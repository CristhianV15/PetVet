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bposgromero-my.sharepoint.com/personal/ecortezs_agricolachira_com_pe/Documents/Equipo Lobo- La Huaca/MACROS/"/>
    </mc:Choice>
  </mc:AlternateContent>
  <xr:revisionPtr revIDLastSave="2603" documentId="13_ncr:1_{FB331FCC-F469-4E63-95CC-33C2EC4D9444}" xr6:coauthVersionLast="47" xr6:coauthVersionMax="47" xr10:uidLastSave="{2B4DF2D7-941C-4E49-970D-1517E951AA3A}"/>
  <bookViews>
    <workbookView xWindow="-108" yWindow="-108" windowWidth="23256" windowHeight="12576" activeTab="4" xr2:uid="{00000000-000D-0000-FFFF-FFFF00000000}"/>
  </bookViews>
  <sheets>
    <sheet name="Formato_Enviar" sheetId="14" r:id="rId1"/>
    <sheet name="Resumen" sheetId="8" r:id="rId2"/>
    <sheet name="Informe_Ingresos" sheetId="1" r:id="rId3"/>
    <sheet name="LH" sheetId="79" r:id="rId4"/>
    <sheet name="IMPUTADOS" sheetId="80" r:id="rId5"/>
    <sheet name="TD" sheetId="72" r:id="rId6"/>
    <sheet name="Compradores" sheetId="15" r:id="rId7"/>
    <sheet name="Almacen" sheetId="31" r:id="rId8"/>
  </sheets>
  <definedNames>
    <definedName name="_xlnm._FilterDatabase" localSheetId="7" hidden="1">Almacen!$A$1:$G$60</definedName>
    <definedName name="_xlnm._FilterDatabase" localSheetId="0" hidden="1">Formato_Enviar!$A$3:$L$3</definedName>
  </definedNames>
  <calcPr calcId="191028"/>
  <pivotCaches>
    <pivotCache cacheId="727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L4" i="72"/>
  <c r="A4" i="72" s="1"/>
  <c r="L5" i="72"/>
  <c r="A5" i="72" s="1"/>
  <c r="L6" i="72"/>
  <c r="A6" i="72" s="1"/>
  <c r="L7" i="72"/>
  <c r="A7" i="72" s="1"/>
  <c r="L8" i="72"/>
  <c r="A8" i="72" s="1"/>
  <c r="L9" i="72"/>
  <c r="A9" i="72" s="1"/>
  <c r="L10" i="72"/>
  <c r="A10" i="72" s="1"/>
  <c r="L11" i="72"/>
  <c r="A11" i="72" s="1"/>
  <c r="L12" i="72"/>
  <c r="A12" i="72" s="1"/>
  <c r="L13" i="72"/>
  <c r="A13" i="72" s="1"/>
  <c r="L14" i="72"/>
  <c r="A14" i="72" s="1"/>
  <c r="L15" i="72"/>
  <c r="A15" i="72" s="1"/>
  <c r="L16" i="72"/>
  <c r="A16" i="72" s="1"/>
  <c r="L17" i="72"/>
  <c r="A17" i="72" s="1"/>
  <c r="L18" i="72"/>
  <c r="A18" i="72" s="1"/>
  <c r="L19" i="72"/>
  <c r="A19" i="72" s="1"/>
  <c r="L20" i="72"/>
  <c r="A20" i="72" s="1"/>
  <c r="L21" i="72"/>
  <c r="A21" i="72" s="1"/>
  <c r="L22" i="72"/>
  <c r="A22" i="72" s="1"/>
  <c r="L23" i="72"/>
  <c r="A23" i="72" s="1"/>
  <c r="L24" i="72"/>
  <c r="A24" i="72" s="1"/>
  <c r="L25" i="72"/>
  <c r="A25" i="72" s="1"/>
  <c r="L26" i="72"/>
  <c r="A26" i="72" s="1"/>
  <c r="L27" i="72"/>
  <c r="A27" i="72" s="1"/>
  <c r="L28" i="72"/>
  <c r="A28" i="72" s="1"/>
  <c r="L29" i="72"/>
  <c r="A29" i="72" s="1"/>
  <c r="L30" i="72"/>
  <c r="A30" i="72" s="1"/>
  <c r="L31" i="72"/>
  <c r="A31" i="72" s="1"/>
  <c r="L32" i="72"/>
  <c r="A32" i="72" s="1"/>
  <c r="L33" i="72"/>
  <c r="A33" i="72" s="1"/>
  <c r="L34" i="72"/>
  <c r="A34" i="72" s="1"/>
  <c r="L35" i="72"/>
  <c r="A35" i="72" s="1"/>
  <c r="L36" i="72"/>
  <c r="A36" i="72" s="1"/>
  <c r="L37" i="72"/>
  <c r="A37" i="72" s="1"/>
  <c r="L38" i="72"/>
  <c r="A38" i="72" s="1"/>
  <c r="L39" i="72"/>
  <c r="A39" i="72" s="1"/>
  <c r="L40" i="72"/>
  <c r="A40" i="72" s="1"/>
  <c r="L41" i="72"/>
  <c r="A41" i="72" s="1"/>
  <c r="L42" i="72"/>
  <c r="A42" i="72" s="1"/>
  <c r="L43" i="72"/>
  <c r="A43" i="72" s="1"/>
  <c r="L44" i="72"/>
  <c r="A44" i="72" s="1"/>
  <c r="L45" i="72"/>
  <c r="A45" i="72" s="1"/>
  <c r="L46" i="72"/>
  <c r="A46" i="72" s="1"/>
  <c r="L47" i="72"/>
  <c r="A47" i="72" s="1"/>
  <c r="L48" i="72"/>
  <c r="A48" i="72" s="1"/>
  <c r="L49" i="72"/>
  <c r="A49" i="72" s="1"/>
  <c r="L50" i="72"/>
  <c r="A50" i="72" s="1"/>
  <c r="L51" i="72"/>
  <c r="A51" i="72" s="1"/>
  <c r="L52" i="72"/>
  <c r="A52" i="72" s="1"/>
  <c r="L53" i="72"/>
  <c r="A53" i="72" s="1"/>
  <c r="L54" i="72"/>
  <c r="A54" i="72" s="1"/>
  <c r="L55" i="72"/>
  <c r="A55" i="72" s="1"/>
  <c r="L56" i="72"/>
  <c r="A56" i="72" s="1"/>
  <c r="L57" i="72"/>
  <c r="A57" i="72" s="1"/>
  <c r="L58" i="72"/>
  <c r="A58" i="72" s="1"/>
  <c r="L59" i="72"/>
  <c r="A59" i="72" s="1"/>
  <c r="L60" i="72"/>
  <c r="A60" i="72" s="1"/>
  <c r="L61" i="72"/>
  <c r="A61" i="72" s="1"/>
  <c r="L62" i="72"/>
  <c r="A62" i="72" s="1"/>
  <c r="L63" i="72"/>
  <c r="A63" i="72" s="1"/>
  <c r="L64" i="72"/>
  <c r="A64" i="72" s="1"/>
  <c r="L65" i="72"/>
  <c r="A65" i="72" s="1"/>
  <c r="L66" i="72"/>
  <c r="A66" i="72" s="1"/>
  <c r="L67" i="72"/>
  <c r="A67" i="72" s="1"/>
  <c r="L68" i="72"/>
  <c r="A68" i="72" s="1"/>
  <c r="L69" i="72"/>
  <c r="A69" i="72" s="1"/>
  <c r="L70" i="72"/>
  <c r="A70" i="72" s="1"/>
  <c r="L71" i="72"/>
  <c r="A71" i="72" s="1"/>
  <c r="L72" i="72"/>
  <c r="A72" i="72" s="1"/>
  <c r="L73" i="72"/>
  <c r="A73" i="72" s="1"/>
  <c r="L74" i="72"/>
  <c r="A74" i="72" s="1"/>
  <c r="L75" i="72"/>
  <c r="A75" i="72" s="1"/>
  <c r="L76" i="72"/>
  <c r="A76" i="72" s="1"/>
  <c r="L77" i="72"/>
  <c r="A77" i="72" s="1"/>
  <c r="L78" i="72"/>
  <c r="A78" i="72" s="1"/>
  <c r="L79" i="72"/>
  <c r="A79" i="72" s="1"/>
  <c r="L80" i="72"/>
  <c r="A80" i="72" s="1"/>
  <c r="L81" i="72"/>
  <c r="A81" i="72" s="1"/>
  <c r="L82" i="72"/>
  <c r="A82" i="72" s="1"/>
  <c r="L83" i="72"/>
  <c r="A83" i="72" s="1"/>
  <c r="L84" i="72"/>
  <c r="A84" i="72" s="1"/>
  <c r="L85" i="72"/>
  <c r="A85" i="72" s="1"/>
  <c r="L86" i="72"/>
  <c r="A86" i="72" s="1"/>
  <c r="L87" i="72"/>
  <c r="A87" i="72" s="1"/>
  <c r="L88" i="72"/>
  <c r="A88" i="72" s="1"/>
  <c r="L89" i="72"/>
  <c r="A89" i="72" s="1"/>
  <c r="L90" i="72"/>
  <c r="A90" i="72" s="1"/>
  <c r="L91" i="72"/>
  <c r="A91" i="72" s="1"/>
  <c r="L92" i="72"/>
  <c r="A92" i="72" s="1"/>
  <c r="L93" i="72"/>
  <c r="A93" i="72" s="1"/>
  <c r="L94" i="72"/>
  <c r="A94" i="72" s="1"/>
  <c r="L95" i="72"/>
  <c r="A95" i="72" s="1"/>
  <c r="L96" i="72"/>
  <c r="A96" i="72" s="1"/>
  <c r="L97" i="72"/>
  <c r="A97" i="72" s="1"/>
  <c r="L98" i="72"/>
  <c r="A98" i="72" s="1"/>
  <c r="L99" i="72"/>
  <c r="A99" i="72" s="1"/>
  <c r="L100" i="72"/>
  <c r="A100" i="72" s="1"/>
  <c r="L101" i="72"/>
  <c r="A101" i="72" s="1"/>
  <c r="L102" i="72"/>
  <c r="A102" i="72" s="1"/>
  <c r="L103" i="72"/>
  <c r="A103" i="72" s="1"/>
  <c r="L104" i="72"/>
  <c r="A104" i="72" s="1"/>
  <c r="L105" i="72"/>
  <c r="A105" i="72" s="1"/>
  <c r="L106" i="72"/>
  <c r="A106" i="72" s="1"/>
  <c r="L107" i="72"/>
  <c r="A107" i="72" s="1"/>
  <c r="L108" i="72"/>
  <c r="A108" i="72" s="1"/>
  <c r="L109" i="72"/>
  <c r="A109" i="72" s="1"/>
  <c r="L110" i="72"/>
  <c r="A110" i="72" s="1"/>
  <c r="L111" i="72"/>
  <c r="A111" i="72" s="1"/>
  <c r="L112" i="72"/>
  <c r="A112" i="72" s="1"/>
  <c r="L113" i="72"/>
  <c r="A113" i="72" s="1"/>
  <c r="L114" i="72"/>
  <c r="A114" i="72" s="1"/>
  <c r="L115" i="72"/>
  <c r="A115" i="72" s="1"/>
  <c r="L116" i="72"/>
  <c r="A116" i="72" s="1"/>
  <c r="L117" i="72"/>
  <c r="A117" i="72" s="1"/>
  <c r="L118" i="72"/>
  <c r="A118" i="72" s="1"/>
  <c r="L119" i="72"/>
  <c r="A119" i="72" s="1"/>
  <c r="L120" i="72"/>
  <c r="A120" i="72" s="1"/>
  <c r="L121" i="72"/>
  <c r="A121" i="72" s="1"/>
  <c r="L122" i="72"/>
  <c r="A122" i="72" s="1"/>
  <c r="L123" i="72"/>
  <c r="A123" i="72" s="1"/>
  <c r="L124" i="72"/>
  <c r="A124" i="72" s="1"/>
  <c r="L125" i="72"/>
  <c r="A125" i="72" s="1"/>
  <c r="L126" i="72"/>
  <c r="A126" i="72" s="1"/>
  <c r="L127" i="72"/>
  <c r="A127" i="72" s="1"/>
  <c r="L128" i="72"/>
  <c r="A128" i="72" s="1"/>
  <c r="L129" i="72"/>
  <c r="A129" i="72" s="1"/>
  <c r="L130" i="72"/>
  <c r="A130" i="72" s="1"/>
  <c r="L131" i="72"/>
  <c r="A131" i="72" s="1"/>
  <c r="L132" i="72"/>
  <c r="A132" i="72" s="1"/>
  <c r="L133" i="72"/>
  <c r="A133" i="72" s="1"/>
  <c r="L134" i="72"/>
  <c r="A134" i="72" s="1"/>
  <c r="L135" i="72"/>
  <c r="A135" i="72" s="1"/>
  <c r="L136" i="72"/>
  <c r="A136" i="72" s="1"/>
  <c r="L137" i="72"/>
  <c r="A137" i="72" s="1"/>
  <c r="L138" i="72"/>
  <c r="A138" i="72" s="1"/>
  <c r="L139" i="72"/>
  <c r="A139" i="72" s="1"/>
  <c r="L140" i="72"/>
  <c r="A140" i="72" s="1"/>
  <c r="L141" i="72"/>
  <c r="A141" i="72" s="1"/>
  <c r="L142" i="72"/>
  <c r="A142" i="72" s="1"/>
  <c r="L143" i="72"/>
  <c r="A143" i="72" s="1"/>
  <c r="L144" i="72"/>
  <c r="A144" i="72" s="1"/>
  <c r="L145" i="72"/>
  <c r="A145" i="72" s="1"/>
  <c r="L146" i="72"/>
  <c r="A146" i="72" s="1"/>
  <c r="L147" i="72"/>
  <c r="A147" i="72" s="1"/>
  <c r="L148" i="72"/>
  <c r="A148" i="72" s="1"/>
  <c r="L149" i="72"/>
  <c r="A149" i="72" s="1"/>
  <c r="L150" i="72"/>
  <c r="A150" i="72" s="1"/>
  <c r="L151" i="72"/>
  <c r="A151" i="72" s="1"/>
  <c r="L152" i="72"/>
  <c r="A152" i="72" s="1"/>
  <c r="L153" i="72"/>
  <c r="A153" i="72" s="1"/>
  <c r="L154" i="72"/>
  <c r="A154" i="72" s="1"/>
  <c r="L155" i="72"/>
  <c r="A155" i="72" s="1"/>
  <c r="L156" i="72"/>
  <c r="A156" i="72" s="1"/>
  <c r="L157" i="72"/>
  <c r="A157" i="72" s="1"/>
  <c r="L158" i="72"/>
  <c r="A158" i="72" s="1"/>
  <c r="L159" i="72"/>
  <c r="A159" i="72" s="1"/>
  <c r="L160" i="72"/>
  <c r="A160" i="72" s="1"/>
  <c r="L161" i="72"/>
  <c r="A161" i="72" s="1"/>
  <c r="L162" i="72"/>
  <c r="A162" i="72" s="1"/>
  <c r="L163" i="72"/>
  <c r="A163" i="72" s="1"/>
  <c r="L164" i="72"/>
  <c r="A164" i="72" s="1"/>
  <c r="L165" i="72"/>
  <c r="A165" i="72" s="1"/>
  <c r="L166" i="72"/>
  <c r="A166" i="72" s="1"/>
  <c r="L167" i="72"/>
  <c r="A167" i="72" s="1"/>
  <c r="L168" i="72"/>
  <c r="A168" i="72" s="1"/>
  <c r="L169" i="72"/>
  <c r="A169" i="72" s="1"/>
  <c r="L170" i="72"/>
  <c r="A170" i="72" s="1"/>
  <c r="L171" i="72"/>
  <c r="A171" i="72" s="1"/>
  <c r="L172" i="72"/>
  <c r="A172" i="72" s="1"/>
  <c r="L173" i="72"/>
  <c r="A173" i="72" s="1"/>
  <c r="L174" i="72"/>
  <c r="A174" i="72" s="1"/>
  <c r="L175" i="72"/>
  <c r="A175" i="72" s="1"/>
  <c r="L176" i="72"/>
  <c r="A176" i="72" s="1"/>
  <c r="L177" i="72"/>
  <c r="A177" i="72" s="1"/>
  <c r="L178" i="72"/>
  <c r="A178" i="72" s="1"/>
  <c r="L179" i="72"/>
  <c r="A179" i="72" s="1"/>
  <c r="L180" i="72"/>
  <c r="A180" i="72" s="1"/>
  <c r="L181" i="72"/>
  <c r="A181" i="72" s="1"/>
  <c r="L182" i="72"/>
  <c r="A182" i="72" s="1"/>
  <c r="L183" i="72"/>
  <c r="A183" i="72" s="1"/>
  <c r="L184" i="72"/>
  <c r="A184" i="72" s="1"/>
  <c r="L185" i="72"/>
  <c r="A185" i="72" s="1"/>
  <c r="L186" i="72"/>
  <c r="A186" i="72" s="1"/>
  <c r="L187" i="72"/>
  <c r="A187" i="72" s="1"/>
  <c r="L188" i="72"/>
  <c r="A188" i="72" s="1"/>
  <c r="L189" i="72"/>
  <c r="A189" i="72" s="1"/>
  <c r="L190" i="72"/>
  <c r="A190" i="72" s="1"/>
  <c r="L191" i="72"/>
  <c r="A191" i="72" s="1"/>
  <c r="L192" i="72"/>
  <c r="A192" i="72" s="1"/>
  <c r="L193" i="72"/>
  <c r="A193" i="72" s="1"/>
  <c r="L194" i="72"/>
  <c r="A194" i="72" s="1"/>
  <c r="L195" i="72"/>
  <c r="A195" i="72" s="1"/>
  <c r="L196" i="72"/>
  <c r="A196" i="72" s="1"/>
  <c r="L197" i="72"/>
  <c r="A197" i="72" s="1"/>
  <c r="L198" i="72"/>
  <c r="A198" i="72" s="1"/>
  <c r="L199" i="72"/>
  <c r="A199" i="72" s="1"/>
  <c r="L200" i="72"/>
  <c r="A200" i="72" s="1"/>
  <c r="L201" i="72"/>
  <c r="A201" i="72" s="1"/>
  <c r="L202" i="72"/>
  <c r="A202" i="72" s="1"/>
  <c r="L203" i="72"/>
  <c r="A203" i="72" s="1"/>
  <c r="L204" i="72"/>
  <c r="A204" i="72" s="1"/>
  <c r="L205" i="72"/>
  <c r="A205" i="72" s="1"/>
  <c r="L206" i="72"/>
  <c r="A206" i="72" s="1"/>
  <c r="L207" i="72"/>
  <c r="A207" i="72" s="1"/>
  <c r="L208" i="72"/>
  <c r="A208" i="72" s="1"/>
  <c r="L209" i="72"/>
  <c r="A209" i="72" s="1"/>
  <c r="L210" i="72"/>
  <c r="A210" i="72" s="1"/>
  <c r="L211" i="72"/>
  <c r="A211" i="72" s="1"/>
  <c r="L212" i="72"/>
  <c r="A212" i="72" s="1"/>
  <c r="L213" i="72"/>
  <c r="A213" i="72" s="1"/>
  <c r="L214" i="72"/>
  <c r="A214" i="72" s="1"/>
  <c r="L215" i="72"/>
  <c r="A215" i="72" s="1"/>
  <c r="L216" i="72"/>
  <c r="A216" i="72" s="1"/>
  <c r="L217" i="72"/>
  <c r="A217" i="72" s="1"/>
  <c r="L218" i="72"/>
  <c r="A218" i="72" s="1"/>
  <c r="L219" i="72"/>
  <c r="A219" i="72" s="1"/>
  <c r="L220" i="72"/>
  <c r="A220" i="72" s="1"/>
  <c r="L221" i="72"/>
  <c r="A221" i="72" s="1"/>
  <c r="L222" i="72"/>
  <c r="A222" i="72" s="1"/>
  <c r="L223" i="72"/>
  <c r="A223" i="72" s="1"/>
  <c r="L224" i="72"/>
  <c r="A224" i="72" s="1"/>
  <c r="L225" i="72"/>
  <c r="A225" i="72" s="1"/>
  <c r="L226" i="72"/>
  <c r="A226" i="72" s="1"/>
  <c r="L227" i="72"/>
  <c r="A227" i="72" s="1"/>
  <c r="L228" i="72"/>
  <c r="A228" i="72" s="1"/>
  <c r="L229" i="72"/>
  <c r="A229" i="72" s="1"/>
  <c r="L230" i="72"/>
  <c r="A230" i="72" s="1"/>
  <c r="L231" i="72"/>
  <c r="A231" i="72" s="1"/>
  <c r="L232" i="72"/>
  <c r="A232" i="72" s="1"/>
  <c r="L233" i="72"/>
  <c r="A233" i="72" s="1"/>
  <c r="L234" i="72"/>
  <c r="A234" i="72" s="1"/>
  <c r="L235" i="72"/>
  <c r="A235" i="72" s="1"/>
  <c r="L236" i="72"/>
  <c r="A236" i="72" s="1"/>
  <c r="L237" i="72"/>
  <c r="A237" i="72" s="1"/>
  <c r="L238" i="72"/>
  <c r="A238" i="72" s="1"/>
  <c r="L239" i="72"/>
  <c r="A239" i="72" s="1"/>
  <c r="L240" i="72"/>
  <c r="A240" i="72" s="1"/>
  <c r="L241" i="72"/>
  <c r="A241" i="72" s="1"/>
  <c r="L242" i="72"/>
  <c r="A242" i="72" s="1"/>
  <c r="L243" i="72"/>
  <c r="A243" i="72" s="1"/>
  <c r="L244" i="72"/>
  <c r="A244" i="72" s="1"/>
  <c r="L245" i="72"/>
  <c r="A245" i="72" s="1"/>
  <c r="L246" i="72"/>
  <c r="A246" i="72" s="1"/>
  <c r="L247" i="72"/>
  <c r="A247" i="72" s="1"/>
  <c r="L248" i="72"/>
  <c r="A248" i="72" s="1"/>
  <c r="L249" i="72"/>
  <c r="A249" i="72" s="1"/>
  <c r="L250" i="72"/>
  <c r="A250" i="72" s="1"/>
  <c r="L251" i="72"/>
  <c r="A251" i="72" s="1"/>
  <c r="L252" i="72"/>
  <c r="A252" i="72" s="1"/>
  <c r="L253" i="72"/>
  <c r="A253" i="72" s="1"/>
  <c r="L254" i="72"/>
  <c r="A254" i="72" s="1"/>
  <c r="L255" i="72"/>
  <c r="A255" i="72" s="1"/>
  <c r="L256" i="72"/>
  <c r="A256" i="72" s="1"/>
  <c r="L257" i="72"/>
  <c r="A257" i="72" s="1"/>
  <c r="L258" i="72"/>
  <c r="A258" i="72" s="1"/>
  <c r="L259" i="72"/>
  <c r="A259" i="72" s="1"/>
  <c r="L260" i="72"/>
  <c r="A260" i="72" s="1"/>
  <c r="L261" i="72"/>
  <c r="A261" i="72" s="1"/>
  <c r="L262" i="72"/>
  <c r="A262" i="72" s="1"/>
  <c r="L263" i="72"/>
  <c r="A263" i="72" s="1"/>
  <c r="L264" i="72"/>
  <c r="A264" i="72" s="1"/>
  <c r="L265" i="72"/>
  <c r="A265" i="72" s="1"/>
  <c r="L266" i="72"/>
  <c r="A266" i="72" s="1"/>
  <c r="L267" i="72"/>
  <c r="A267" i="72" s="1"/>
  <c r="L268" i="72"/>
  <c r="A268" i="72" s="1"/>
  <c r="L269" i="72"/>
  <c r="A269" i="72" s="1"/>
  <c r="L270" i="72"/>
  <c r="A270" i="72" s="1"/>
  <c r="L271" i="72"/>
  <c r="A271" i="72" s="1"/>
  <c r="L272" i="72"/>
  <c r="A272" i="72" s="1"/>
  <c r="L273" i="72"/>
  <c r="A273" i="72" s="1"/>
  <c r="L274" i="72"/>
  <c r="A274" i="72" s="1"/>
  <c r="L275" i="72"/>
  <c r="A275" i="72" s="1"/>
  <c r="L276" i="72"/>
  <c r="A276" i="72" s="1"/>
  <c r="L277" i="72"/>
  <c r="A277" i="72" s="1"/>
  <c r="L278" i="72"/>
  <c r="A278" i="72" s="1"/>
  <c r="L279" i="72"/>
  <c r="A279" i="72" s="1"/>
  <c r="L280" i="72"/>
  <c r="A280" i="72" s="1"/>
  <c r="L281" i="72"/>
  <c r="A281" i="72" s="1"/>
  <c r="L282" i="72"/>
  <c r="A282" i="72" s="1"/>
  <c r="L283" i="72"/>
  <c r="A283" i="72" s="1"/>
  <c r="L284" i="72"/>
  <c r="A284" i="72" s="1"/>
  <c r="L285" i="72"/>
  <c r="A285" i="72" s="1"/>
  <c r="L286" i="72"/>
  <c r="A286" i="72" s="1"/>
  <c r="L287" i="72"/>
  <c r="A287" i="72" s="1"/>
  <c r="L288" i="72"/>
  <c r="A288" i="72" s="1"/>
  <c r="L289" i="72"/>
  <c r="A289" i="72" s="1"/>
  <c r="L290" i="72"/>
  <c r="A290" i="72" s="1"/>
  <c r="L291" i="72"/>
  <c r="A291" i="72" s="1"/>
  <c r="L292" i="72"/>
  <c r="A292" i="72" s="1"/>
  <c r="L293" i="72"/>
  <c r="A293" i="72" s="1"/>
  <c r="L294" i="72"/>
  <c r="A294" i="72" s="1"/>
  <c r="L295" i="72"/>
  <c r="A295" i="72" s="1"/>
  <c r="L296" i="72"/>
  <c r="A296" i="72" s="1"/>
  <c r="L297" i="72"/>
  <c r="A297" i="72" s="1"/>
  <c r="L298" i="72"/>
  <c r="A298" i="72" s="1"/>
  <c r="L299" i="72"/>
  <c r="A299" i="72" s="1"/>
  <c r="L300" i="72"/>
  <c r="A300" i="72" s="1"/>
  <c r="L301" i="72"/>
  <c r="A301" i="72" s="1"/>
  <c r="L302" i="72"/>
  <c r="A302" i="72" s="1"/>
  <c r="L303" i="72"/>
  <c r="A303" i="72" s="1"/>
  <c r="L304" i="72"/>
  <c r="A304" i="72" s="1"/>
  <c r="L305" i="72"/>
  <c r="A305" i="72" s="1"/>
  <c r="L306" i="72"/>
  <c r="A306" i="72" s="1"/>
  <c r="L307" i="72"/>
  <c r="A307" i="72" s="1"/>
  <c r="L308" i="72"/>
  <c r="A308" i="72" s="1"/>
  <c r="L309" i="72"/>
  <c r="A309" i="72" s="1"/>
  <c r="L310" i="72"/>
  <c r="A310" i="72" s="1"/>
  <c r="L311" i="72"/>
  <c r="A311" i="72" s="1"/>
  <c r="L312" i="72"/>
  <c r="A312" i="72" s="1"/>
  <c r="L313" i="72"/>
  <c r="A313" i="72" s="1"/>
  <c r="L314" i="72"/>
  <c r="A314" i="72" s="1"/>
  <c r="L315" i="72"/>
  <c r="A315" i="72" s="1"/>
  <c r="L316" i="72"/>
  <c r="A316" i="72" s="1"/>
  <c r="L317" i="72"/>
  <c r="A317" i="72" s="1"/>
  <c r="L318" i="72"/>
  <c r="A318" i="72" s="1"/>
  <c r="L319" i="72"/>
  <c r="A319" i="72" s="1"/>
  <c r="L320" i="72"/>
  <c r="A320" i="72" s="1"/>
  <c r="L321" i="72"/>
  <c r="A321" i="72" s="1"/>
  <c r="L322" i="72"/>
  <c r="A322" i="72" s="1"/>
  <c r="L323" i="72"/>
  <c r="A323" i="72" s="1"/>
  <c r="L324" i="72"/>
  <c r="A324" i="72" s="1"/>
  <c r="L325" i="72"/>
  <c r="A325" i="72" s="1"/>
  <c r="L326" i="72"/>
  <c r="A326" i="72" s="1"/>
  <c r="L327" i="72"/>
  <c r="A327" i="72" s="1"/>
  <c r="L328" i="72"/>
  <c r="A328" i="72" s="1"/>
  <c r="L329" i="72"/>
  <c r="A329" i="72" s="1"/>
  <c r="L330" i="72"/>
  <c r="A330" i="72" s="1"/>
  <c r="L331" i="72"/>
  <c r="A331" i="72" s="1"/>
  <c r="L332" i="72"/>
  <c r="A332" i="72" s="1"/>
  <c r="L333" i="72"/>
  <c r="A333" i="72" s="1"/>
  <c r="L334" i="72"/>
  <c r="A334" i="72" s="1"/>
  <c r="L335" i="72"/>
  <c r="A335" i="72" s="1"/>
  <c r="L336" i="72"/>
  <c r="A336" i="72" s="1"/>
  <c r="L337" i="72"/>
  <c r="A337" i="72" s="1"/>
  <c r="L338" i="72"/>
  <c r="A338" i="72" s="1"/>
  <c r="L339" i="72"/>
  <c r="A339" i="72" s="1"/>
  <c r="L340" i="72"/>
  <c r="A340" i="72" s="1"/>
  <c r="L341" i="72"/>
  <c r="A341" i="72" s="1"/>
  <c r="L342" i="72"/>
  <c r="A342" i="72" s="1"/>
  <c r="L343" i="72"/>
  <c r="A343" i="72" s="1"/>
  <c r="L344" i="72"/>
  <c r="A344" i="72" s="1"/>
  <c r="L345" i="72"/>
  <c r="A345" i="72" s="1"/>
  <c r="L346" i="72"/>
  <c r="A346" i="72" s="1"/>
  <c r="L347" i="72"/>
  <c r="A347" i="72" s="1"/>
  <c r="L348" i="72"/>
  <c r="A348" i="72" s="1"/>
  <c r="L349" i="72"/>
  <c r="A349" i="72" s="1"/>
  <c r="L350" i="72"/>
  <c r="A350" i="72" s="1"/>
  <c r="L351" i="72"/>
  <c r="A351" i="72" s="1"/>
  <c r="L352" i="72"/>
  <c r="A352" i="72" s="1"/>
  <c r="L353" i="72"/>
  <c r="A353" i="72" s="1"/>
  <c r="L354" i="72"/>
  <c r="A354" i="72" s="1"/>
  <c r="L355" i="72"/>
  <c r="A355" i="72" s="1"/>
  <c r="L356" i="72"/>
  <c r="A356" i="72" s="1"/>
  <c r="L357" i="72"/>
  <c r="A357" i="72" s="1"/>
  <c r="L358" i="72"/>
  <c r="A358" i="72" s="1"/>
  <c r="L359" i="72"/>
  <c r="A359" i="72" s="1"/>
  <c r="L360" i="72"/>
  <c r="A360" i="72" s="1"/>
  <c r="L361" i="72"/>
  <c r="A361" i="72" s="1"/>
  <c r="L362" i="72"/>
  <c r="A362" i="72" s="1"/>
  <c r="L363" i="72"/>
  <c r="A363" i="72" s="1"/>
  <c r="L364" i="72"/>
  <c r="A364" i="72" s="1"/>
  <c r="L365" i="72"/>
  <c r="A365" i="72" s="1"/>
  <c r="L366" i="72"/>
  <c r="A366" i="72" s="1"/>
  <c r="L367" i="72"/>
  <c r="A367" i="72" s="1"/>
  <c r="L368" i="72"/>
  <c r="A368" i="72" s="1"/>
  <c r="L369" i="72"/>
  <c r="A369" i="72" s="1"/>
  <c r="L370" i="72"/>
  <c r="A370" i="72" s="1"/>
  <c r="L371" i="72"/>
  <c r="A371" i="72" s="1"/>
  <c r="L372" i="72"/>
  <c r="A372" i="72" s="1"/>
  <c r="L373" i="72"/>
  <c r="A373" i="72" s="1"/>
  <c r="L374" i="72"/>
  <c r="A374" i="72" s="1"/>
  <c r="L375" i="72"/>
  <c r="A375" i="72" s="1"/>
  <c r="L376" i="72"/>
  <c r="A376" i="72" s="1"/>
  <c r="L377" i="72"/>
  <c r="A377" i="72" s="1"/>
  <c r="L378" i="72"/>
  <c r="A378" i="72" s="1"/>
  <c r="L379" i="72"/>
  <c r="A379" i="72" s="1"/>
  <c r="L380" i="72"/>
  <c r="A380" i="72" s="1"/>
  <c r="L381" i="72"/>
  <c r="A381" i="72" s="1"/>
  <c r="L382" i="72"/>
  <c r="A382" i="72" s="1"/>
  <c r="L383" i="72"/>
  <c r="A383" i="72" s="1"/>
  <c r="L384" i="72"/>
  <c r="A384" i="72" s="1"/>
  <c r="L385" i="72"/>
  <c r="A385" i="72" s="1"/>
  <c r="L386" i="72"/>
  <c r="A386" i="72" s="1"/>
  <c r="L387" i="72"/>
  <c r="A387" i="72" s="1"/>
  <c r="L388" i="72"/>
  <c r="A388" i="72" s="1"/>
  <c r="L389" i="72"/>
  <c r="A389" i="72" s="1"/>
  <c r="L390" i="72"/>
  <c r="A390" i="72" s="1"/>
  <c r="L391" i="72"/>
  <c r="A391" i="72" s="1"/>
  <c r="L392" i="72"/>
  <c r="A392" i="72" s="1"/>
  <c r="L393" i="72"/>
  <c r="A393" i="72" s="1"/>
  <c r="L394" i="72"/>
  <c r="A394" i="72" s="1"/>
  <c r="L395" i="72"/>
  <c r="A395" i="72" s="1"/>
  <c r="L396" i="72"/>
  <c r="A396" i="72" s="1"/>
  <c r="L397" i="72"/>
  <c r="A397" i="72" s="1"/>
  <c r="L398" i="72"/>
  <c r="A398" i="72" s="1"/>
  <c r="L399" i="72"/>
  <c r="A399" i="72" s="1"/>
  <c r="L400" i="72"/>
  <c r="A400" i="72" s="1"/>
  <c r="L401" i="72"/>
  <c r="A401" i="72" s="1"/>
  <c r="L402" i="72"/>
  <c r="A402" i="72" s="1"/>
  <c r="L403" i="72"/>
  <c r="A403" i="72" s="1"/>
  <c r="L404" i="72"/>
  <c r="A404" i="72" s="1"/>
  <c r="L405" i="72"/>
  <c r="A405" i="72" s="1"/>
  <c r="L406" i="72"/>
  <c r="A406" i="72" s="1"/>
  <c r="L407" i="72"/>
  <c r="A407" i="72" s="1"/>
  <c r="L408" i="72"/>
  <c r="A408" i="72" s="1"/>
  <c r="L409" i="72"/>
  <c r="A409" i="72" s="1"/>
  <c r="L410" i="72"/>
  <c r="A410" i="72" s="1"/>
  <c r="L411" i="72"/>
  <c r="A411" i="72" s="1"/>
  <c r="L412" i="72"/>
  <c r="A412" i="72" s="1"/>
  <c r="L413" i="72"/>
  <c r="A413" i="72" s="1"/>
  <c r="L414" i="72"/>
  <c r="A414" i="72" s="1"/>
  <c r="L415" i="72"/>
  <c r="A415" i="72" s="1"/>
  <c r="L416" i="72"/>
  <c r="A416" i="72" s="1"/>
  <c r="L417" i="72"/>
  <c r="A417" i="72" s="1"/>
  <c r="L418" i="72"/>
  <c r="A418" i="72" s="1"/>
  <c r="L419" i="72"/>
  <c r="A419" i="72" s="1"/>
  <c r="L420" i="72"/>
  <c r="A420" i="72" s="1"/>
  <c r="L421" i="72"/>
  <c r="A421" i="72" s="1"/>
  <c r="L422" i="72"/>
  <c r="A422" i="72" s="1"/>
  <c r="L423" i="72"/>
  <c r="A423" i="72" s="1"/>
  <c r="L424" i="72"/>
  <c r="A424" i="72" s="1"/>
  <c r="L425" i="72"/>
  <c r="A425" i="72" s="1"/>
  <c r="L426" i="72"/>
  <c r="A426" i="72" s="1"/>
  <c r="L427" i="72"/>
  <c r="A427" i="72" s="1"/>
  <c r="L428" i="72"/>
  <c r="A428" i="72" s="1"/>
  <c r="L429" i="72"/>
  <c r="A429" i="72" s="1"/>
  <c r="L430" i="72"/>
  <c r="A430" i="72" s="1"/>
  <c r="L431" i="72"/>
  <c r="A431" i="72" s="1"/>
  <c r="L432" i="72"/>
  <c r="A432" i="72" s="1"/>
  <c r="L433" i="72"/>
  <c r="A433" i="72" s="1"/>
  <c r="L434" i="72"/>
  <c r="A434" i="72" s="1"/>
  <c r="L435" i="72"/>
  <c r="A435" i="72" s="1"/>
  <c r="L436" i="72"/>
  <c r="A436" i="72" s="1"/>
  <c r="L437" i="72"/>
  <c r="A437" i="72" s="1"/>
  <c r="L438" i="72"/>
  <c r="A438" i="72" s="1"/>
  <c r="L439" i="72"/>
  <c r="A439" i="72" s="1"/>
  <c r="L440" i="72"/>
  <c r="A440" i="72" s="1"/>
  <c r="L441" i="72"/>
  <c r="A441" i="72" s="1"/>
  <c r="L442" i="72"/>
  <c r="A442" i="72" s="1"/>
  <c r="L443" i="72"/>
  <c r="A443" i="72" s="1"/>
  <c r="L444" i="72"/>
  <c r="A444" i="72" s="1"/>
  <c r="L445" i="72"/>
  <c r="A445" i="72" s="1"/>
  <c r="L446" i="72"/>
  <c r="A446" i="72" s="1"/>
  <c r="L447" i="72"/>
  <c r="A447" i="72" s="1"/>
  <c r="L448" i="72"/>
  <c r="A448" i="72" s="1"/>
  <c r="L449" i="72"/>
  <c r="A449" i="72" s="1"/>
  <c r="L450" i="72"/>
  <c r="A450" i="72" s="1"/>
  <c r="L451" i="72"/>
  <c r="A451" i="72" s="1"/>
  <c r="L452" i="72"/>
  <c r="A452" i="72" s="1"/>
  <c r="L453" i="72"/>
  <c r="A453" i="72" s="1"/>
  <c r="L454" i="72"/>
  <c r="A454" i="72" s="1"/>
  <c r="L455" i="72"/>
  <c r="A455" i="72" s="1"/>
  <c r="L456" i="72"/>
  <c r="A456" i="72" s="1"/>
  <c r="L457" i="72"/>
  <c r="A457" i="72" s="1"/>
  <c r="L458" i="72"/>
  <c r="A458" i="72" s="1"/>
  <c r="L459" i="72"/>
  <c r="A459" i="72" s="1"/>
  <c r="L460" i="72"/>
  <c r="A460" i="72" s="1"/>
  <c r="L461" i="72"/>
  <c r="A461" i="72" s="1"/>
  <c r="L462" i="72"/>
  <c r="A462" i="72" s="1"/>
  <c r="L463" i="72"/>
  <c r="A463" i="72" s="1"/>
  <c r="L464" i="72"/>
  <c r="A464" i="72" s="1"/>
  <c r="L465" i="72"/>
  <c r="A465" i="72" s="1"/>
  <c r="L466" i="72"/>
  <c r="A466" i="72" s="1"/>
  <c r="L467" i="72"/>
  <c r="A467" i="72" s="1"/>
  <c r="L468" i="72"/>
  <c r="A468" i="72" s="1"/>
  <c r="L469" i="72"/>
  <c r="A469" i="72" s="1"/>
  <c r="L470" i="72"/>
  <c r="A470" i="72" s="1"/>
  <c r="L471" i="72"/>
  <c r="A471" i="72" s="1"/>
  <c r="L472" i="72"/>
  <c r="A472" i="72" s="1"/>
  <c r="L473" i="72"/>
  <c r="A473" i="72" s="1"/>
  <c r="L474" i="72"/>
  <c r="A474" i="72" s="1"/>
  <c r="L475" i="72"/>
  <c r="A475" i="72" s="1"/>
  <c r="L476" i="72"/>
  <c r="A476" i="72" s="1"/>
  <c r="L477" i="72"/>
  <c r="A477" i="72" s="1"/>
  <c r="L478" i="72"/>
  <c r="A478" i="72" s="1"/>
  <c r="L479" i="72"/>
  <c r="A479" i="72" s="1"/>
  <c r="L480" i="72"/>
  <c r="A480" i="72" s="1"/>
  <c r="L481" i="72"/>
  <c r="A481" i="72" s="1"/>
  <c r="L482" i="72"/>
  <c r="A482" i="72" s="1"/>
  <c r="L483" i="72"/>
  <c r="A483" i="72" s="1"/>
  <c r="L484" i="72"/>
  <c r="A484" i="72" s="1"/>
  <c r="L485" i="72"/>
  <c r="A485" i="72" s="1"/>
  <c r="L486" i="72"/>
  <c r="A486" i="72" s="1"/>
  <c r="L487" i="72"/>
  <c r="A487" i="72" s="1"/>
  <c r="L488" i="72"/>
  <c r="A488" i="72" s="1"/>
  <c r="L489" i="72"/>
  <c r="A489" i="72" s="1"/>
  <c r="L490" i="72"/>
  <c r="A490" i="72" s="1"/>
  <c r="L491" i="72"/>
  <c r="A491" i="72" s="1"/>
  <c r="L492" i="72"/>
  <c r="A492" i="72" s="1"/>
  <c r="L493" i="72"/>
  <c r="A493" i="72" s="1"/>
  <c r="L494" i="72"/>
  <c r="A494" i="72" s="1"/>
  <c r="L495" i="72"/>
  <c r="A495" i="72" s="1"/>
  <c r="L496" i="72"/>
  <c r="A496" i="72" s="1"/>
  <c r="L497" i="72"/>
  <c r="A497" i="72" s="1"/>
  <c r="L498" i="72"/>
  <c r="A498" i="72" s="1"/>
  <c r="L499" i="72"/>
  <c r="A499" i="72" s="1"/>
  <c r="L500" i="72"/>
  <c r="A500" i="72" s="1"/>
  <c r="L501" i="72"/>
  <c r="A501" i="72" s="1"/>
  <c r="L502" i="72"/>
  <c r="A502" i="72" s="1"/>
  <c r="L503" i="72"/>
  <c r="A503" i="72" s="1"/>
  <c r="L504" i="72"/>
  <c r="A504" i="72" s="1"/>
  <c r="L505" i="72"/>
  <c r="A505" i="72" s="1"/>
  <c r="L506" i="72"/>
  <c r="A506" i="72" s="1"/>
  <c r="L507" i="72"/>
  <c r="A507" i="72" s="1"/>
  <c r="L508" i="72"/>
  <c r="A508" i="72" s="1"/>
  <c r="L509" i="72"/>
  <c r="A509" i="72" s="1"/>
  <c r="L510" i="72"/>
  <c r="A510" i="72" s="1"/>
  <c r="L511" i="72"/>
  <c r="A511" i="72" s="1"/>
  <c r="L512" i="72"/>
  <c r="A512" i="72" s="1"/>
  <c r="L513" i="72"/>
  <c r="A513" i="72" s="1"/>
  <c r="L514" i="72"/>
  <c r="A514" i="72" s="1"/>
  <c r="L515" i="72"/>
  <c r="A515" i="72" s="1"/>
  <c r="L516" i="72"/>
  <c r="A516" i="72" s="1"/>
  <c r="L517" i="72"/>
  <c r="A517" i="72" s="1"/>
  <c r="L518" i="72"/>
  <c r="A518" i="72" s="1"/>
  <c r="L519" i="72"/>
  <c r="A519" i="72" s="1"/>
  <c r="L520" i="72"/>
  <c r="A520" i="72" s="1"/>
  <c r="L521" i="72"/>
  <c r="A521" i="72" s="1"/>
  <c r="L522" i="72"/>
  <c r="A522" i="72" s="1"/>
  <c r="L523" i="72"/>
  <c r="A523" i="72" s="1"/>
  <c r="L524" i="72"/>
  <c r="A524" i="72" s="1"/>
  <c r="L525" i="72"/>
  <c r="A525" i="72" s="1"/>
  <c r="L526" i="72"/>
  <c r="A526" i="72" s="1"/>
  <c r="L527" i="72"/>
  <c r="A527" i="72" s="1"/>
  <c r="L528" i="72"/>
  <c r="A528" i="72" s="1"/>
  <c r="L529" i="72"/>
  <c r="A529" i="72" s="1"/>
  <c r="L530" i="72"/>
  <c r="A530" i="72" s="1"/>
  <c r="L531" i="72"/>
  <c r="A531" i="72" s="1"/>
  <c r="L532" i="72"/>
  <c r="A532" i="72" s="1"/>
  <c r="L533" i="72"/>
  <c r="A533" i="72" s="1"/>
  <c r="L534" i="72"/>
  <c r="A534" i="72" s="1"/>
  <c r="L535" i="72"/>
  <c r="A535" i="72" s="1"/>
  <c r="L536" i="72"/>
  <c r="A536" i="72" s="1"/>
  <c r="L537" i="72"/>
  <c r="A537" i="72" s="1"/>
  <c r="L538" i="72"/>
  <c r="A538" i="72" s="1"/>
  <c r="L539" i="72"/>
  <c r="A539" i="72" s="1"/>
  <c r="L540" i="72"/>
  <c r="A540" i="72" s="1"/>
  <c r="L541" i="72"/>
  <c r="A541" i="72" s="1"/>
  <c r="L542" i="72"/>
  <c r="A542" i="72" s="1"/>
  <c r="L543" i="72"/>
  <c r="A543" i="72" s="1"/>
  <c r="L544" i="72"/>
  <c r="A544" i="72" s="1"/>
  <c r="L545" i="72"/>
  <c r="A545" i="72" s="1"/>
  <c r="L546" i="72"/>
  <c r="A546" i="72" s="1"/>
  <c r="L547" i="72"/>
  <c r="A547" i="72" s="1"/>
  <c r="L548" i="72"/>
  <c r="A548" i="72" s="1"/>
  <c r="L549" i="72"/>
  <c r="A549" i="72" s="1"/>
  <c r="L550" i="72"/>
  <c r="A550" i="72" s="1"/>
  <c r="L551" i="72"/>
  <c r="A551" i="72" s="1"/>
  <c r="L552" i="72"/>
  <c r="A552" i="72" s="1"/>
  <c r="L553" i="72"/>
  <c r="A553" i="72" s="1"/>
  <c r="L554" i="72"/>
  <c r="A554" i="72" s="1"/>
  <c r="L555" i="72"/>
  <c r="A555" i="72" s="1"/>
  <c r="L556" i="72"/>
  <c r="A556" i="72" s="1"/>
  <c r="L557" i="72"/>
  <c r="A557" i="72" s="1"/>
  <c r="L558" i="72"/>
  <c r="A558" i="72" s="1"/>
  <c r="L559" i="72"/>
  <c r="A559" i="72" s="1"/>
  <c r="L560" i="72"/>
  <c r="A560" i="72" s="1"/>
  <c r="L561" i="72"/>
  <c r="A561" i="72" s="1"/>
  <c r="L562" i="72"/>
  <c r="A562" i="72" s="1"/>
  <c r="L563" i="72"/>
  <c r="A563" i="72" s="1"/>
  <c r="L564" i="72"/>
  <c r="A564" i="72" s="1"/>
  <c r="L565" i="72"/>
  <c r="A565" i="72" s="1"/>
  <c r="L566" i="72"/>
  <c r="A566" i="72" s="1"/>
  <c r="L567" i="72"/>
  <c r="A567" i="72" s="1"/>
  <c r="L568" i="72"/>
  <c r="A568" i="72" s="1"/>
  <c r="L569" i="72"/>
  <c r="A569" i="72" s="1"/>
  <c r="L570" i="72"/>
  <c r="A570" i="72" s="1"/>
  <c r="L571" i="72"/>
  <c r="A571" i="72" s="1"/>
  <c r="L572" i="72"/>
  <c r="A572" i="72" s="1"/>
  <c r="L573" i="72"/>
  <c r="A573" i="72" s="1"/>
  <c r="L574" i="72"/>
  <c r="A574" i="72" s="1"/>
  <c r="L575" i="72"/>
  <c r="A575" i="72" s="1"/>
  <c r="L576" i="72"/>
  <c r="A576" i="72" s="1"/>
  <c r="L577" i="72"/>
  <c r="A577" i="72" s="1"/>
  <c r="L578" i="72"/>
  <c r="A578" i="72" s="1"/>
  <c r="L579" i="72"/>
  <c r="A579" i="72" s="1"/>
  <c r="L580" i="72"/>
  <c r="A580" i="72" s="1"/>
  <c r="L581" i="72"/>
  <c r="A581" i="72" s="1"/>
  <c r="L582" i="72"/>
  <c r="A582" i="72" s="1"/>
  <c r="L583" i="72"/>
  <c r="A583" i="72" s="1"/>
  <c r="L584" i="72"/>
  <c r="A584" i="72" s="1"/>
  <c r="L585" i="72"/>
  <c r="A585" i="72" s="1"/>
  <c r="L586" i="72"/>
  <c r="A586" i="72" s="1"/>
  <c r="L587" i="72"/>
  <c r="A587" i="72" s="1"/>
  <c r="L588" i="72"/>
  <c r="A588" i="72" s="1"/>
  <c r="L589" i="72"/>
  <c r="A589" i="72" s="1"/>
  <c r="L590" i="72"/>
  <c r="A590" i="72" s="1"/>
  <c r="L591" i="72"/>
  <c r="A591" i="72" s="1"/>
  <c r="L592" i="72"/>
  <c r="A592" i="72" s="1"/>
  <c r="L593" i="72"/>
  <c r="A593" i="72" s="1"/>
  <c r="L594" i="72"/>
  <c r="A594" i="72" s="1"/>
  <c r="L595" i="72"/>
  <c r="A595" i="72" s="1"/>
  <c r="L596" i="72"/>
  <c r="A596" i="72" s="1"/>
  <c r="L597" i="72"/>
  <c r="A597" i="72" s="1"/>
  <c r="L598" i="72"/>
  <c r="A598" i="72" s="1"/>
  <c r="L599" i="72"/>
  <c r="A599" i="72" s="1"/>
  <c r="L600" i="72"/>
  <c r="A600" i="72" s="1"/>
  <c r="L601" i="72"/>
  <c r="A601" i="72" s="1"/>
  <c r="L602" i="72"/>
  <c r="A602" i="72" s="1"/>
  <c r="L603" i="72"/>
  <c r="A603" i="72" s="1"/>
  <c r="L604" i="72"/>
  <c r="A604" i="72" s="1"/>
  <c r="L605" i="72"/>
  <c r="A605" i="72" s="1"/>
  <c r="L606" i="72"/>
  <c r="A606" i="72" s="1"/>
  <c r="L607" i="72"/>
  <c r="A607" i="72" s="1"/>
  <c r="L608" i="72"/>
  <c r="A608" i="72" s="1"/>
  <c r="L609" i="72"/>
  <c r="A609" i="72" s="1"/>
  <c r="L610" i="72"/>
  <c r="A610" i="72" s="1"/>
  <c r="L611" i="72"/>
  <c r="A611" i="72" s="1"/>
  <c r="L612" i="72"/>
  <c r="A612" i="72" s="1"/>
  <c r="L613" i="72"/>
  <c r="A613" i="72" s="1"/>
  <c r="L614" i="72"/>
  <c r="A614" i="72" s="1"/>
  <c r="L615" i="72"/>
  <c r="A615" i="72" s="1"/>
  <c r="L616" i="72"/>
  <c r="A616" i="72" s="1"/>
  <c r="L617" i="72"/>
  <c r="A617" i="72" s="1"/>
  <c r="L618" i="72"/>
  <c r="A618" i="72" s="1"/>
  <c r="L619" i="72"/>
  <c r="A619" i="72" s="1"/>
  <c r="L620" i="72"/>
  <c r="A620" i="72" s="1"/>
  <c r="L621" i="72"/>
  <c r="A621" i="72" s="1"/>
  <c r="L622" i="72"/>
  <c r="A622" i="72" s="1"/>
  <c r="L623" i="72"/>
  <c r="A623" i="72" s="1"/>
  <c r="L624" i="72"/>
  <c r="A624" i="72" s="1"/>
  <c r="L625" i="72"/>
  <c r="A625" i="72" s="1"/>
  <c r="L626" i="72"/>
  <c r="A626" i="72" s="1"/>
  <c r="L627" i="72"/>
  <c r="A627" i="72" s="1"/>
  <c r="L628" i="72"/>
  <c r="A628" i="72" s="1"/>
  <c r="L629" i="72"/>
  <c r="A629" i="72" s="1"/>
  <c r="L630" i="72"/>
  <c r="A630" i="72" s="1"/>
  <c r="L631" i="72"/>
  <c r="A631" i="72" s="1"/>
  <c r="L632" i="72"/>
  <c r="A632" i="72" s="1"/>
  <c r="L633" i="72"/>
  <c r="A633" i="72" s="1"/>
  <c r="L634" i="72"/>
  <c r="A634" i="72" s="1"/>
  <c r="L635" i="72"/>
  <c r="A635" i="72" s="1"/>
  <c r="L636" i="72"/>
  <c r="A636" i="72" s="1"/>
  <c r="L637" i="72"/>
  <c r="A637" i="72" s="1"/>
  <c r="L638" i="72"/>
  <c r="A638" i="72" s="1"/>
  <c r="L639" i="72"/>
  <c r="A639" i="72" s="1"/>
  <c r="L640" i="72"/>
  <c r="A640" i="72" s="1"/>
  <c r="L641" i="72"/>
  <c r="A641" i="72" s="1"/>
  <c r="L642" i="72"/>
  <c r="A642" i="72" s="1"/>
  <c r="L643" i="72"/>
  <c r="A643" i="72" s="1"/>
  <c r="L644" i="72"/>
  <c r="A644" i="72" s="1"/>
  <c r="L645" i="72"/>
  <c r="A645" i="72" s="1"/>
  <c r="L646" i="72"/>
  <c r="A646" i="72" s="1"/>
  <c r="L647" i="72"/>
  <c r="A647" i="72" s="1"/>
  <c r="L648" i="72"/>
  <c r="A648" i="72" s="1"/>
  <c r="L649" i="72"/>
  <c r="A649" i="72" s="1"/>
  <c r="L650" i="72"/>
  <c r="A650" i="72" s="1"/>
  <c r="L651" i="72"/>
  <c r="A651" i="72" s="1"/>
  <c r="L652" i="72"/>
  <c r="A652" i="72" s="1"/>
  <c r="L653" i="72"/>
  <c r="A653" i="72" s="1"/>
  <c r="L654" i="72"/>
  <c r="A654" i="72" s="1"/>
  <c r="L655" i="72"/>
  <c r="A655" i="72" s="1"/>
  <c r="L656" i="72"/>
  <c r="A656" i="72" s="1"/>
  <c r="L657" i="72"/>
  <c r="A657" i="72" s="1"/>
  <c r="L658" i="72"/>
  <c r="A658" i="72" s="1"/>
  <c r="L659" i="72"/>
  <c r="A659" i="72" s="1"/>
  <c r="L660" i="72"/>
  <c r="A660" i="72" s="1"/>
  <c r="L661" i="72"/>
  <c r="A661" i="72" s="1"/>
  <c r="L662" i="72"/>
  <c r="A662" i="72" s="1"/>
  <c r="L663" i="72"/>
  <c r="A663" i="72" s="1"/>
  <c r="L664" i="72"/>
  <c r="A664" i="72" s="1"/>
  <c r="L665" i="72"/>
  <c r="A665" i="72" s="1"/>
  <c r="L666" i="72"/>
  <c r="A666" i="72" s="1"/>
  <c r="L667" i="72"/>
  <c r="A667" i="72" s="1"/>
  <c r="L668" i="72"/>
  <c r="A668" i="72" s="1"/>
  <c r="L669" i="72"/>
  <c r="A669" i="72" s="1"/>
  <c r="L670" i="72"/>
  <c r="A670" i="72" s="1"/>
  <c r="L671" i="72"/>
  <c r="A671" i="72" s="1"/>
  <c r="L672" i="72"/>
  <c r="A672" i="72" s="1"/>
  <c r="L673" i="72"/>
  <c r="A673" i="72" s="1"/>
  <c r="L674" i="72"/>
  <c r="A674" i="72" s="1"/>
  <c r="L675" i="72"/>
  <c r="A675" i="72" s="1"/>
  <c r="L676" i="72"/>
  <c r="A676" i="72" s="1"/>
  <c r="L677" i="72"/>
  <c r="A677" i="72" s="1"/>
  <c r="L678" i="72"/>
  <c r="A678" i="72" s="1"/>
  <c r="L679" i="72"/>
  <c r="A679" i="72" s="1"/>
  <c r="L680" i="72"/>
  <c r="A680" i="72" s="1"/>
  <c r="L681" i="72"/>
  <c r="A681" i="72" s="1"/>
  <c r="L682" i="72"/>
  <c r="A682" i="72" s="1"/>
  <c r="L683" i="72"/>
  <c r="A683" i="72" s="1"/>
  <c r="L684" i="72"/>
  <c r="A684" i="72" s="1"/>
  <c r="L685" i="72"/>
  <c r="A685" i="72" s="1"/>
  <c r="L686" i="72"/>
  <c r="A686" i="72" s="1"/>
  <c r="L687" i="72"/>
  <c r="A687" i="72" s="1"/>
  <c r="L688" i="72"/>
  <c r="A688" i="72" s="1"/>
  <c r="L689" i="72"/>
  <c r="A689" i="72" s="1"/>
  <c r="L690" i="72"/>
  <c r="A690" i="72" s="1"/>
  <c r="L691" i="72"/>
  <c r="A691" i="72" s="1"/>
  <c r="L692" i="72"/>
  <c r="A692" i="72" s="1"/>
  <c r="L693" i="72"/>
  <c r="A693" i="72" s="1"/>
  <c r="L694" i="72"/>
  <c r="A694" i="72" s="1"/>
  <c r="L695" i="72"/>
  <c r="A695" i="72" s="1"/>
  <c r="L696" i="72"/>
  <c r="A696" i="72" s="1"/>
  <c r="L697" i="72"/>
  <c r="A697" i="72" s="1"/>
  <c r="L698" i="72"/>
  <c r="A698" i="72" s="1"/>
  <c r="L699" i="72"/>
  <c r="A699" i="72" s="1"/>
  <c r="L700" i="72"/>
  <c r="A700" i="72" s="1"/>
  <c r="L701" i="72"/>
  <c r="A701" i="72" s="1"/>
  <c r="L702" i="72"/>
  <c r="A702" i="72" s="1"/>
  <c r="L703" i="72"/>
  <c r="A703" i="72" s="1"/>
  <c r="L704" i="72"/>
  <c r="A704" i="72" s="1"/>
  <c r="L705" i="72"/>
  <c r="A705" i="72" s="1"/>
  <c r="L706" i="72"/>
  <c r="A706" i="72" s="1"/>
  <c r="L707" i="72"/>
  <c r="A707" i="72" s="1"/>
  <c r="L708" i="72"/>
  <c r="A708" i="72" s="1"/>
  <c r="L709" i="72"/>
  <c r="A709" i="72" s="1"/>
  <c r="L710" i="72"/>
  <c r="A710" i="72" s="1"/>
  <c r="L711" i="72"/>
  <c r="A711" i="72" s="1"/>
  <c r="L712" i="72"/>
  <c r="A712" i="72" s="1"/>
  <c r="L713" i="72"/>
  <c r="A713" i="72" s="1"/>
  <c r="L714" i="72"/>
  <c r="A714" i="72" s="1"/>
  <c r="L715" i="72"/>
  <c r="A715" i="72" s="1"/>
  <c r="L716" i="72"/>
  <c r="A716" i="72" s="1"/>
  <c r="L717" i="72"/>
  <c r="A717" i="72" s="1"/>
  <c r="L718" i="72"/>
  <c r="A718" i="72" s="1"/>
  <c r="L719" i="72"/>
  <c r="A719" i="72" s="1"/>
  <c r="L720" i="72"/>
  <c r="A720" i="72" s="1"/>
  <c r="L721" i="72"/>
  <c r="A721" i="72" s="1"/>
  <c r="L722" i="72"/>
  <c r="A722" i="72" s="1"/>
  <c r="L723" i="72"/>
  <c r="A723" i="72" s="1"/>
  <c r="L724" i="72"/>
  <c r="A724" i="72" s="1"/>
  <c r="L725" i="72"/>
  <c r="A725" i="72" s="1"/>
  <c r="L726" i="72"/>
  <c r="A726" i="72" s="1"/>
  <c r="L727" i="72"/>
  <c r="A727" i="72" s="1"/>
  <c r="L728" i="72"/>
  <c r="A728" i="72" s="1"/>
  <c r="L729" i="72"/>
  <c r="A729" i="72" s="1"/>
  <c r="L730" i="72"/>
  <c r="A730" i="72" s="1"/>
  <c r="L731" i="72"/>
  <c r="A731" i="72" s="1"/>
  <c r="L732" i="72"/>
  <c r="A732" i="72" s="1"/>
  <c r="L733" i="72"/>
  <c r="A733" i="72" s="1"/>
  <c r="L734" i="72"/>
  <c r="A734" i="72" s="1"/>
  <c r="L735" i="72"/>
  <c r="A735" i="72" s="1"/>
  <c r="L736" i="72"/>
  <c r="A736" i="72" s="1"/>
  <c r="L737" i="72"/>
  <c r="A737" i="72" s="1"/>
  <c r="L738" i="72"/>
  <c r="A738" i="72" s="1"/>
  <c r="L739" i="72"/>
  <c r="A739" i="72" s="1"/>
  <c r="L740" i="72"/>
  <c r="A740" i="72" s="1"/>
  <c r="L741" i="72"/>
  <c r="A741" i="72" s="1"/>
  <c r="L742" i="72"/>
  <c r="A742" i="72" s="1"/>
  <c r="L743" i="72"/>
  <c r="A743" i="72" s="1"/>
  <c r="L744" i="72"/>
  <c r="A744" i="72" s="1"/>
  <c r="L745" i="72"/>
  <c r="A745" i="72" s="1"/>
  <c r="L746" i="72"/>
  <c r="A746" i="72" s="1"/>
  <c r="L747" i="72"/>
  <c r="A747" i="72" s="1"/>
  <c r="L748" i="72"/>
  <c r="A748" i="72" s="1"/>
  <c r="L749" i="72"/>
  <c r="A749" i="72" s="1"/>
  <c r="L750" i="72"/>
  <c r="A750" i="72" s="1"/>
  <c r="L751" i="72"/>
  <c r="A751" i="72" s="1"/>
  <c r="L752" i="72"/>
  <c r="A752" i="72" s="1"/>
  <c r="L753" i="72"/>
  <c r="A753" i="72" s="1"/>
  <c r="L754" i="72"/>
  <c r="A754" i="72" s="1"/>
  <c r="L755" i="72"/>
  <c r="A755" i="72" s="1"/>
  <c r="L756" i="72"/>
  <c r="A756" i="72" s="1"/>
  <c r="L757" i="72"/>
  <c r="A757" i="72" s="1"/>
  <c r="L758" i="72"/>
  <c r="A758" i="72" s="1"/>
  <c r="L759" i="72"/>
  <c r="A759" i="72" s="1"/>
  <c r="L760" i="72"/>
  <c r="A760" i="72" s="1"/>
  <c r="L761" i="72"/>
  <c r="A761" i="72" s="1"/>
  <c r="L762" i="72"/>
  <c r="A762" i="72" s="1"/>
  <c r="L763" i="72"/>
  <c r="A763" i="72" s="1"/>
  <c r="L764" i="72"/>
  <c r="A764" i="72" s="1"/>
  <c r="L765" i="72"/>
  <c r="A765" i="72" s="1"/>
  <c r="L766" i="72"/>
  <c r="A766" i="72" s="1"/>
  <c r="L767" i="72"/>
  <c r="A767" i="72" s="1"/>
  <c r="L768" i="72"/>
  <c r="A768" i="72" s="1"/>
  <c r="L769" i="72"/>
  <c r="A769" i="72" s="1"/>
  <c r="L770" i="72"/>
  <c r="A770" i="72" s="1"/>
  <c r="L771" i="72"/>
  <c r="A771" i="72" s="1"/>
  <c r="L772" i="72"/>
  <c r="A772" i="72" s="1"/>
  <c r="L773" i="72"/>
  <c r="A773" i="72" s="1"/>
  <c r="L774" i="72"/>
  <c r="A774" i="72" s="1"/>
  <c r="L775" i="72"/>
  <c r="A775" i="72" s="1"/>
  <c r="L776" i="72"/>
  <c r="A776" i="72" s="1"/>
  <c r="L777" i="72"/>
  <c r="A777" i="72" s="1"/>
  <c r="L778" i="72"/>
  <c r="A778" i="72" s="1"/>
  <c r="L779" i="72"/>
  <c r="A779" i="72" s="1"/>
  <c r="L780" i="72"/>
  <c r="A780" i="72" s="1"/>
  <c r="L781" i="72"/>
  <c r="A781" i="72" s="1"/>
  <c r="L782" i="72"/>
  <c r="A782" i="72" s="1"/>
  <c r="L783" i="72"/>
  <c r="A783" i="72" s="1"/>
  <c r="L784" i="72"/>
  <c r="A784" i="72" s="1"/>
  <c r="L785" i="72"/>
  <c r="A785" i="72" s="1"/>
  <c r="L786" i="72"/>
  <c r="A786" i="72" s="1"/>
  <c r="L787" i="72"/>
  <c r="A787" i="72" s="1"/>
  <c r="L788" i="72"/>
  <c r="A788" i="72" s="1"/>
  <c r="L789" i="72"/>
  <c r="A789" i="72" s="1"/>
  <c r="L790" i="72"/>
  <c r="A790" i="72" s="1"/>
  <c r="L791" i="72"/>
  <c r="A791" i="72" s="1"/>
  <c r="L792" i="72"/>
  <c r="A792" i="72" s="1"/>
  <c r="L793" i="72"/>
  <c r="A793" i="72" s="1"/>
  <c r="L794" i="72"/>
  <c r="A794" i="72" s="1"/>
  <c r="L795" i="72"/>
  <c r="A795" i="72" s="1"/>
  <c r="L796" i="72"/>
  <c r="A796" i="72" s="1"/>
  <c r="L797" i="72"/>
  <c r="A797" i="72" s="1"/>
  <c r="L798" i="72"/>
  <c r="A798" i="72" s="1"/>
  <c r="L799" i="72"/>
  <c r="A799" i="72" s="1"/>
  <c r="L800" i="72"/>
  <c r="A800" i="72" s="1"/>
  <c r="L801" i="72"/>
  <c r="A801" i="72" s="1"/>
  <c r="L802" i="72"/>
  <c r="A802" i="72" s="1"/>
  <c r="L803" i="72"/>
  <c r="A803" i="72" s="1"/>
  <c r="L804" i="72"/>
  <c r="A804" i="72" s="1"/>
  <c r="L805" i="72"/>
  <c r="A805" i="72" s="1"/>
  <c r="L806" i="72"/>
  <c r="A806" i="72" s="1"/>
  <c r="L807" i="72"/>
  <c r="A807" i="72" s="1"/>
  <c r="L808" i="72"/>
  <c r="A808" i="72" s="1"/>
  <c r="L809" i="72"/>
  <c r="A809" i="72" s="1"/>
  <c r="L810" i="72"/>
  <c r="A810" i="72" s="1"/>
  <c r="L811" i="72"/>
  <c r="A811" i="72" s="1"/>
  <c r="L812" i="72"/>
  <c r="A812" i="72" s="1"/>
  <c r="L813" i="72"/>
  <c r="A813" i="72" s="1"/>
  <c r="L814" i="72"/>
  <c r="A814" i="72" s="1"/>
  <c r="L815" i="72"/>
  <c r="A815" i="72" s="1"/>
  <c r="L816" i="72"/>
  <c r="A816" i="72" s="1"/>
  <c r="L817" i="72"/>
  <c r="A817" i="72" s="1"/>
  <c r="L818" i="72"/>
  <c r="A818" i="72" s="1"/>
  <c r="L819" i="72"/>
  <c r="A819" i="72" s="1"/>
  <c r="L820" i="72"/>
  <c r="A820" i="72" s="1"/>
  <c r="L821" i="72"/>
  <c r="A821" i="72" s="1"/>
  <c r="L822" i="72"/>
  <c r="A822" i="72" s="1"/>
  <c r="L823" i="72"/>
  <c r="A823" i="72" s="1"/>
  <c r="L824" i="72"/>
  <c r="A824" i="72" s="1"/>
  <c r="L825" i="72"/>
  <c r="A825" i="72" s="1"/>
  <c r="L826" i="72"/>
  <c r="A826" i="72" s="1"/>
  <c r="L827" i="72"/>
  <c r="A827" i="72" s="1"/>
  <c r="L828" i="72"/>
  <c r="A828" i="72" s="1"/>
  <c r="L829" i="72"/>
  <c r="A829" i="72" s="1"/>
  <c r="L830" i="72"/>
  <c r="A830" i="72" s="1"/>
  <c r="L831" i="72"/>
  <c r="A831" i="72" s="1"/>
  <c r="L832" i="72"/>
  <c r="A832" i="72" s="1"/>
  <c r="L833" i="72"/>
  <c r="A833" i="72" s="1"/>
  <c r="L834" i="72"/>
  <c r="A834" i="72" s="1"/>
  <c r="L835" i="72"/>
  <c r="A835" i="72" s="1"/>
  <c r="L836" i="72"/>
  <c r="A836" i="72" s="1"/>
  <c r="L837" i="72"/>
  <c r="A837" i="72" s="1"/>
  <c r="L838" i="72"/>
  <c r="A838" i="72" s="1"/>
  <c r="L839" i="72"/>
  <c r="A839" i="72" s="1"/>
  <c r="L840" i="72"/>
  <c r="A840" i="72" s="1"/>
  <c r="L841" i="72"/>
  <c r="A841" i="72" s="1"/>
  <c r="L842" i="72"/>
  <c r="A842" i="72" s="1"/>
  <c r="L843" i="72"/>
  <c r="A843" i="72" s="1"/>
  <c r="L844" i="72"/>
  <c r="A844" i="72" s="1"/>
  <c r="L845" i="72"/>
  <c r="A845" i="72" s="1"/>
  <c r="L846" i="72"/>
  <c r="A846" i="72" s="1"/>
  <c r="L847" i="72"/>
  <c r="A847" i="72" s="1"/>
  <c r="L848" i="72"/>
  <c r="A848" i="72" s="1"/>
  <c r="L849" i="72"/>
  <c r="A849" i="72" s="1"/>
  <c r="L850" i="72"/>
  <c r="A850" i="72" s="1"/>
  <c r="L851" i="72"/>
  <c r="A851" i="72" s="1"/>
  <c r="L852" i="72"/>
  <c r="A852" i="72" s="1"/>
  <c r="L853" i="72"/>
  <c r="A853" i="72" s="1"/>
  <c r="L854" i="72"/>
  <c r="A854" i="72" s="1"/>
  <c r="L855" i="72"/>
  <c r="A855" i="72" s="1"/>
  <c r="L856" i="72"/>
  <c r="A856" i="72" s="1"/>
  <c r="L857" i="72"/>
  <c r="A857" i="72" s="1"/>
  <c r="L858" i="72"/>
  <c r="A858" i="72" s="1"/>
  <c r="L859" i="72"/>
  <c r="A859" i="72" s="1"/>
  <c r="L860" i="72"/>
  <c r="A860" i="72" s="1"/>
  <c r="L861" i="72"/>
  <c r="A861" i="72" s="1"/>
  <c r="L862" i="72"/>
  <c r="A862" i="72" s="1"/>
  <c r="L863" i="72"/>
  <c r="A863" i="72" s="1"/>
  <c r="L864" i="72"/>
  <c r="A864" i="72" s="1"/>
  <c r="L865" i="72"/>
  <c r="A865" i="72" s="1"/>
  <c r="L866" i="72"/>
  <c r="A866" i="72" s="1"/>
  <c r="L867" i="72"/>
  <c r="A867" i="72" s="1"/>
  <c r="L868" i="72"/>
  <c r="A868" i="72" s="1"/>
  <c r="L869" i="72"/>
  <c r="A869" i="72" s="1"/>
  <c r="L870" i="72"/>
  <c r="A870" i="72" s="1"/>
  <c r="L871" i="72"/>
  <c r="A871" i="72" s="1"/>
  <c r="L872" i="72"/>
  <c r="A872" i="72" s="1"/>
  <c r="L873" i="72"/>
  <c r="A873" i="72" s="1"/>
  <c r="L874" i="72"/>
  <c r="A874" i="72" s="1"/>
  <c r="L875" i="72"/>
  <c r="A875" i="72" s="1"/>
  <c r="L876" i="72"/>
  <c r="A876" i="72" s="1"/>
  <c r="L877" i="72"/>
  <c r="A877" i="72" s="1"/>
  <c r="L878" i="72"/>
  <c r="A878" i="72" s="1"/>
  <c r="L879" i="72"/>
  <c r="A879" i="72" s="1"/>
  <c r="L880" i="72"/>
  <c r="A880" i="72" s="1"/>
  <c r="L881" i="72"/>
  <c r="A881" i="72" s="1"/>
  <c r="L882" i="72"/>
  <c r="A882" i="72" s="1"/>
  <c r="L883" i="72"/>
  <c r="A883" i="72" s="1"/>
  <c r="L884" i="72"/>
  <c r="A884" i="72" s="1"/>
  <c r="L885" i="72"/>
  <c r="A885" i="72" s="1"/>
  <c r="L886" i="72"/>
  <c r="A886" i="72" s="1"/>
  <c r="L887" i="72"/>
  <c r="A887" i="72" s="1"/>
  <c r="L888" i="72"/>
  <c r="A888" i="72" s="1"/>
  <c r="L889" i="72"/>
  <c r="A889" i="72" s="1"/>
  <c r="L890" i="72"/>
  <c r="A890" i="72" s="1"/>
  <c r="L891" i="72"/>
  <c r="A891" i="72" s="1"/>
  <c r="L892" i="72"/>
  <c r="A892" i="72" s="1"/>
  <c r="L893" i="72"/>
  <c r="A893" i="72" s="1"/>
  <c r="L894" i="72"/>
  <c r="A894" i="72" s="1"/>
  <c r="L895" i="72"/>
  <c r="A895" i="72" s="1"/>
  <c r="L896" i="72"/>
  <c r="A896" i="72" s="1"/>
  <c r="L897" i="72"/>
  <c r="A897" i="72" s="1"/>
  <c r="L898" i="72"/>
  <c r="A898" i="72" s="1"/>
  <c r="L899" i="72"/>
  <c r="A899" i="72" s="1"/>
  <c r="L900" i="72"/>
  <c r="A900" i="72" s="1"/>
  <c r="L901" i="72"/>
  <c r="A901" i="72" s="1"/>
  <c r="L902" i="72"/>
  <c r="A902" i="72" s="1"/>
  <c r="L903" i="72"/>
  <c r="A903" i="72" s="1"/>
  <c r="L904" i="72"/>
  <c r="A904" i="72" s="1"/>
  <c r="L905" i="72"/>
  <c r="A905" i="72" s="1"/>
  <c r="L906" i="72"/>
  <c r="A906" i="72" s="1"/>
  <c r="L907" i="72"/>
  <c r="A907" i="72" s="1"/>
  <c r="L908" i="72"/>
  <c r="A908" i="72" s="1"/>
  <c r="L909" i="72"/>
  <c r="A909" i="72" s="1"/>
  <c r="L910" i="72"/>
  <c r="A910" i="72" s="1"/>
  <c r="L911" i="72"/>
  <c r="A911" i="72" s="1"/>
  <c r="L912" i="72"/>
  <c r="A912" i="72" s="1"/>
  <c r="L913" i="72"/>
  <c r="A913" i="72" s="1"/>
  <c r="L914" i="72"/>
  <c r="A914" i="72" s="1"/>
  <c r="L915" i="72"/>
  <c r="A915" i="72" s="1"/>
  <c r="L916" i="72"/>
  <c r="A916" i="72" s="1"/>
  <c r="L917" i="72"/>
  <c r="A917" i="72" s="1"/>
  <c r="L918" i="72"/>
  <c r="A918" i="72" s="1"/>
  <c r="L919" i="72"/>
  <c r="A919" i="72" s="1"/>
  <c r="L920" i="72"/>
  <c r="A920" i="72" s="1"/>
  <c r="L921" i="72"/>
  <c r="A921" i="72" s="1"/>
  <c r="L922" i="72"/>
  <c r="A922" i="72" s="1"/>
  <c r="L923" i="72"/>
  <c r="A923" i="72" s="1"/>
  <c r="L924" i="72"/>
  <c r="A924" i="72" s="1"/>
  <c r="L925" i="72"/>
  <c r="A925" i="72" s="1"/>
  <c r="L926" i="72"/>
  <c r="A926" i="72" s="1"/>
  <c r="L927" i="72"/>
  <c r="A927" i="72" s="1"/>
  <c r="L928" i="72"/>
  <c r="A928" i="72" s="1"/>
  <c r="L929" i="72"/>
  <c r="A929" i="72" s="1"/>
  <c r="L930" i="72"/>
  <c r="A930" i="72" s="1"/>
  <c r="L931" i="72"/>
  <c r="A931" i="72" s="1"/>
  <c r="L932" i="72"/>
  <c r="A932" i="72" s="1"/>
  <c r="L933" i="72"/>
  <c r="A933" i="72" s="1"/>
  <c r="L934" i="72"/>
  <c r="A934" i="72" s="1"/>
  <c r="L935" i="72"/>
  <c r="A935" i="72" s="1"/>
  <c r="L936" i="72"/>
  <c r="A936" i="72" s="1"/>
  <c r="L937" i="72"/>
  <c r="A937" i="72" s="1"/>
  <c r="L938" i="72"/>
  <c r="A938" i="72" s="1"/>
  <c r="L939" i="72"/>
  <c r="A939" i="72" s="1"/>
  <c r="L940" i="72"/>
  <c r="A940" i="72" s="1"/>
  <c r="L941" i="72"/>
  <c r="A941" i="72" s="1"/>
  <c r="L942" i="72"/>
  <c r="A942" i="72" s="1"/>
  <c r="L943" i="72"/>
  <c r="A943" i="72" s="1"/>
  <c r="L944" i="72"/>
  <c r="A944" i="72" s="1"/>
  <c r="L945" i="72"/>
  <c r="A945" i="72" s="1"/>
  <c r="L946" i="72"/>
  <c r="A946" i="72" s="1"/>
  <c r="L947" i="72"/>
  <c r="A947" i="72" s="1"/>
  <c r="L948" i="72"/>
  <c r="A948" i="72" s="1"/>
  <c r="L949" i="72"/>
  <c r="A949" i="72" s="1"/>
  <c r="L950" i="72"/>
  <c r="A950" i="72" s="1"/>
  <c r="L951" i="72"/>
  <c r="A951" i="72" s="1"/>
  <c r="L952" i="72"/>
  <c r="A952" i="72" s="1"/>
  <c r="L953" i="72"/>
  <c r="A953" i="72" s="1"/>
  <c r="L954" i="72"/>
  <c r="A954" i="72" s="1"/>
  <c r="L955" i="72"/>
  <c r="A955" i="72" s="1"/>
  <c r="L956" i="72"/>
  <c r="A956" i="72" s="1"/>
  <c r="L957" i="72"/>
  <c r="A957" i="72" s="1"/>
  <c r="L958" i="72"/>
  <c r="A958" i="72" s="1"/>
  <c r="L959" i="72"/>
  <c r="A959" i="72" s="1"/>
  <c r="L960" i="72"/>
  <c r="A960" i="72" s="1"/>
  <c r="L961" i="72"/>
  <c r="A961" i="72" s="1"/>
  <c r="L962" i="72"/>
  <c r="A962" i="72" s="1"/>
  <c r="L963" i="72"/>
  <c r="A963" i="72" s="1"/>
  <c r="L964" i="72"/>
  <c r="A964" i="72" s="1"/>
  <c r="L965" i="72"/>
  <c r="A965" i="72" s="1"/>
  <c r="L966" i="72"/>
  <c r="A966" i="72" s="1"/>
  <c r="L967" i="72"/>
  <c r="A967" i="72" s="1"/>
  <c r="L968" i="72"/>
  <c r="A968" i="72" s="1"/>
  <c r="L969" i="72"/>
  <c r="A969" i="72" s="1"/>
  <c r="L970" i="72"/>
  <c r="A970" i="72" s="1"/>
  <c r="L971" i="72"/>
  <c r="A971" i="72" s="1"/>
  <c r="L972" i="72"/>
  <c r="A972" i="72" s="1"/>
  <c r="L973" i="72"/>
  <c r="A973" i="72" s="1"/>
  <c r="L974" i="72"/>
  <c r="A974" i="72" s="1"/>
  <c r="L975" i="72"/>
  <c r="A975" i="72" s="1"/>
  <c r="L976" i="72"/>
  <c r="A976" i="72" s="1"/>
  <c r="L977" i="72"/>
  <c r="A977" i="72" s="1"/>
  <c r="L978" i="72"/>
  <c r="A978" i="72" s="1"/>
  <c r="L979" i="72"/>
  <c r="A979" i="72" s="1"/>
  <c r="L980" i="72"/>
  <c r="A980" i="72" s="1"/>
  <c r="L981" i="72"/>
  <c r="A981" i="72" s="1"/>
  <c r="L982" i="72"/>
  <c r="A982" i="72" s="1"/>
  <c r="L983" i="72"/>
  <c r="A983" i="72" s="1"/>
  <c r="L984" i="72"/>
  <c r="A984" i="72" s="1"/>
  <c r="L985" i="72"/>
  <c r="A985" i="72" s="1"/>
  <c r="L986" i="72"/>
  <c r="A986" i="72" s="1"/>
  <c r="L987" i="72"/>
  <c r="A987" i="72" s="1"/>
  <c r="L988" i="72"/>
  <c r="A988" i="72" s="1"/>
  <c r="L989" i="72"/>
  <c r="A989" i="72" s="1"/>
  <c r="L990" i="72"/>
  <c r="A990" i="72" s="1"/>
  <c r="L991" i="72"/>
  <c r="A991" i="72" s="1"/>
  <c r="L992" i="72"/>
  <c r="A992" i="72" s="1"/>
  <c r="L993" i="72"/>
  <c r="A993" i="72" s="1"/>
  <c r="L994" i="72"/>
  <c r="A994" i="72" s="1"/>
  <c r="L995" i="72"/>
  <c r="A995" i="72" s="1"/>
  <c r="L996" i="72"/>
  <c r="A996" i="72" s="1"/>
  <c r="L997" i="72"/>
  <c r="A997" i="72" s="1"/>
  <c r="L998" i="72"/>
  <c r="A998" i="72" s="1"/>
  <c r="L999" i="72"/>
  <c r="A999" i="72" s="1"/>
  <c r="L1000" i="72"/>
  <c r="A1000" i="72" s="1"/>
  <c r="L1001" i="72"/>
  <c r="A1001" i="72" s="1"/>
  <c r="L1002" i="72"/>
  <c r="A1002" i="72" s="1"/>
  <c r="L1003" i="72"/>
  <c r="A1003" i="72" s="1"/>
  <c r="L1004" i="72"/>
  <c r="A1004" i="72" s="1"/>
  <c r="L1005" i="72"/>
  <c r="A1005" i="72" s="1"/>
  <c r="L1006" i="72"/>
  <c r="A1006" i="72" s="1"/>
  <c r="L1007" i="72"/>
  <c r="A1007" i="72" s="1"/>
  <c r="L1008" i="72"/>
  <c r="A1008" i="72" s="1"/>
  <c r="L1009" i="72"/>
  <c r="A1009" i="72" s="1"/>
  <c r="L1010" i="72"/>
  <c r="A1010" i="72" s="1"/>
  <c r="L1011" i="72"/>
  <c r="A1011" i="72" s="1"/>
  <c r="L1012" i="72"/>
  <c r="A1012" i="72" s="1"/>
  <c r="L1013" i="72"/>
  <c r="A1013" i="72" s="1"/>
  <c r="L1014" i="72"/>
  <c r="A1014" i="72" s="1"/>
  <c r="L1015" i="72"/>
  <c r="A1015" i="72" s="1"/>
  <c r="L1016" i="72"/>
  <c r="A1016" i="72" s="1"/>
  <c r="L1017" i="72"/>
  <c r="A1017" i="72" s="1"/>
  <c r="L1018" i="72"/>
  <c r="A1018" i="72" s="1"/>
  <c r="L1019" i="72"/>
  <c r="A1019" i="72" s="1"/>
  <c r="L1020" i="72"/>
  <c r="A1020" i="72" s="1"/>
  <c r="L1021" i="72"/>
  <c r="A1021" i="72" s="1"/>
  <c r="L1022" i="72"/>
  <c r="A1022" i="72" s="1"/>
  <c r="L1023" i="72"/>
  <c r="A1023" i="72" s="1"/>
  <c r="L1024" i="72"/>
  <c r="A1024" i="72" s="1"/>
  <c r="L1025" i="72"/>
  <c r="A1025" i="72" s="1"/>
  <c r="L1026" i="72"/>
  <c r="A1026" i="72" s="1"/>
  <c r="L1027" i="72"/>
  <c r="A1027" i="72" s="1"/>
  <c r="L1028" i="72"/>
  <c r="A1028" i="72" s="1"/>
  <c r="L1029" i="72"/>
  <c r="A1029" i="72" s="1"/>
  <c r="L1030" i="72"/>
  <c r="A1030" i="72" s="1"/>
  <c r="L1031" i="72"/>
  <c r="A1031" i="72" s="1"/>
  <c r="L1032" i="72"/>
  <c r="A1032" i="72" s="1"/>
  <c r="L1033" i="72"/>
  <c r="A1033" i="72" s="1"/>
  <c r="L1034" i="72"/>
  <c r="A1034" i="72" s="1"/>
  <c r="L1035" i="72"/>
  <c r="A1035" i="72" s="1"/>
  <c r="L1036" i="72"/>
  <c r="A1036" i="72" s="1"/>
  <c r="L1037" i="72"/>
  <c r="A1037" i="72" s="1"/>
  <c r="L1038" i="72"/>
  <c r="A1038" i="72" s="1"/>
  <c r="L1039" i="72"/>
  <c r="A1039" i="72" s="1"/>
  <c r="L1040" i="72"/>
  <c r="A1040" i="72" s="1"/>
  <c r="L1041" i="72"/>
  <c r="A1041" i="72" s="1"/>
  <c r="L1042" i="72"/>
  <c r="A1042" i="72" s="1"/>
  <c r="L1043" i="72"/>
  <c r="A1043" i="72" s="1"/>
  <c r="L1044" i="72"/>
  <c r="A1044" i="72" s="1"/>
  <c r="L1045" i="72"/>
  <c r="A1045" i="72" s="1"/>
  <c r="L1046" i="72"/>
  <c r="A1046" i="72" s="1"/>
  <c r="L1047" i="72"/>
  <c r="A1047" i="72" s="1"/>
  <c r="L1048" i="72"/>
  <c r="A1048" i="72" s="1"/>
  <c r="L1049" i="72"/>
  <c r="A1049" i="72" s="1"/>
  <c r="L1050" i="72"/>
  <c r="A1050" i="72" s="1"/>
  <c r="L1051" i="72"/>
  <c r="A1051" i="72" s="1"/>
  <c r="L1052" i="72"/>
  <c r="A1052" i="72" s="1"/>
  <c r="L1053" i="72"/>
  <c r="A1053" i="72" s="1"/>
  <c r="L1054" i="72"/>
  <c r="A1054" i="72" s="1"/>
  <c r="L1055" i="72"/>
  <c r="A1055" i="72" s="1"/>
  <c r="L1056" i="72"/>
  <c r="A1056" i="72" s="1"/>
  <c r="L1057" i="72"/>
  <c r="A1057" i="72" s="1"/>
  <c r="L1058" i="72"/>
  <c r="A1058" i="72" s="1"/>
  <c r="L1059" i="72"/>
  <c r="A1059" i="72" s="1"/>
  <c r="L1060" i="72"/>
  <c r="A1060" i="72" s="1"/>
  <c r="L1061" i="72"/>
  <c r="A1061" i="72" s="1"/>
  <c r="L1062" i="72"/>
  <c r="A1062" i="72" s="1"/>
  <c r="L1063" i="72"/>
  <c r="A1063" i="72" s="1"/>
  <c r="L1064" i="72"/>
  <c r="A1064" i="72" s="1"/>
  <c r="L1065" i="72"/>
  <c r="A1065" i="72" s="1"/>
  <c r="L1066" i="72"/>
  <c r="A1066" i="72" s="1"/>
  <c r="L1067" i="72"/>
  <c r="A1067" i="72" s="1"/>
  <c r="L1068" i="72"/>
  <c r="A1068" i="72" s="1"/>
  <c r="L1069" i="72"/>
  <c r="A1069" i="72" s="1"/>
  <c r="L1070" i="72"/>
  <c r="A1070" i="72" s="1"/>
  <c r="L1071" i="72"/>
  <c r="A1071" i="72" s="1"/>
  <c r="L1072" i="72"/>
  <c r="A1072" i="72" s="1"/>
  <c r="L1073" i="72"/>
  <c r="A1073" i="72" s="1"/>
  <c r="L1074" i="72"/>
  <c r="A1074" i="72" s="1"/>
  <c r="L1075" i="72"/>
  <c r="A1075" i="72" s="1"/>
  <c r="L1076" i="72"/>
  <c r="A1076" i="72" s="1"/>
  <c r="L1077" i="72"/>
  <c r="A1077" i="72" s="1"/>
  <c r="L1078" i="72"/>
  <c r="A1078" i="72" s="1"/>
  <c r="L1079" i="72"/>
  <c r="A1079" i="72" s="1"/>
  <c r="L1080" i="72"/>
  <c r="A1080" i="72" s="1"/>
  <c r="L1081" i="72"/>
  <c r="A1081" i="72" s="1"/>
  <c r="L1082" i="72"/>
  <c r="A1082" i="72" s="1"/>
  <c r="L1083" i="72"/>
  <c r="A1083" i="72" s="1"/>
  <c r="L1084" i="72"/>
  <c r="A1084" i="72" s="1"/>
  <c r="L1085" i="72"/>
  <c r="A1085" i="72" s="1"/>
  <c r="L1086" i="72"/>
  <c r="A1086" i="72" s="1"/>
  <c r="L1087" i="72"/>
  <c r="A1087" i="72" s="1"/>
  <c r="L1088" i="72"/>
  <c r="A1088" i="72" s="1"/>
  <c r="L1089" i="72"/>
  <c r="A1089" i="72" s="1"/>
  <c r="L1090" i="72"/>
  <c r="A1090" i="72" s="1"/>
  <c r="L1091" i="72"/>
  <c r="A1091" i="72" s="1"/>
  <c r="L1092" i="72"/>
  <c r="A1092" i="72" s="1"/>
  <c r="L1093" i="72"/>
  <c r="A1093" i="72" s="1"/>
  <c r="L1094" i="72"/>
  <c r="A1094" i="72" s="1"/>
  <c r="L1095" i="72"/>
  <c r="A1095" i="72" s="1"/>
  <c r="L1096" i="72"/>
  <c r="A1096" i="72" s="1"/>
  <c r="L1097" i="72"/>
  <c r="A1097" i="72" s="1"/>
  <c r="L1098" i="72"/>
  <c r="A1098" i="72" s="1"/>
  <c r="L1099" i="72"/>
  <c r="A1099" i="72" s="1"/>
  <c r="L1100" i="72"/>
  <c r="A1100" i="72" s="1"/>
  <c r="L1101" i="72"/>
  <c r="A1101" i="72" s="1"/>
  <c r="L1102" i="72"/>
  <c r="A1102" i="72" s="1"/>
  <c r="L1103" i="72"/>
  <c r="A1103" i="72" s="1"/>
  <c r="L1104" i="72"/>
  <c r="A1104" i="72" s="1"/>
  <c r="L1105" i="72"/>
  <c r="A1105" i="72" s="1"/>
  <c r="L1106" i="72"/>
  <c r="A1106" i="72" s="1"/>
  <c r="L1107" i="72"/>
  <c r="A1107" i="72" s="1"/>
  <c r="L1108" i="72"/>
  <c r="A1108" i="72" s="1"/>
  <c r="L1109" i="72"/>
  <c r="A1109" i="72" s="1"/>
  <c r="L1110" i="72"/>
  <c r="A1110" i="72" s="1"/>
  <c r="L1111" i="72"/>
  <c r="A1111" i="72" s="1"/>
  <c r="L1112" i="72"/>
  <c r="A1112" i="72" s="1"/>
  <c r="L1113" i="72"/>
  <c r="A1113" i="72" s="1"/>
  <c r="L1114" i="72"/>
  <c r="A1114" i="72" s="1"/>
  <c r="L1115" i="72"/>
  <c r="A1115" i="72" s="1"/>
  <c r="L1116" i="72"/>
  <c r="A1116" i="72" s="1"/>
  <c r="L1117" i="72"/>
  <c r="A1117" i="72" s="1"/>
  <c r="L1118" i="72"/>
  <c r="A1118" i="72" s="1"/>
  <c r="L1119" i="72"/>
  <c r="A1119" i="72" s="1"/>
  <c r="L1120" i="72"/>
  <c r="A1120" i="72" s="1"/>
  <c r="L1121" i="72"/>
  <c r="A1121" i="72" s="1"/>
  <c r="L1122" i="72"/>
  <c r="A1122" i="72" s="1"/>
  <c r="L1123" i="72"/>
  <c r="A1123" i="72" s="1"/>
  <c r="L1124" i="72"/>
  <c r="A1124" i="72" s="1"/>
  <c r="L1125" i="72"/>
  <c r="A1125" i="72" s="1"/>
  <c r="L1126" i="72"/>
  <c r="A1126" i="72" s="1"/>
  <c r="L1127" i="72"/>
  <c r="A1127" i="72" s="1"/>
  <c r="L1128" i="72"/>
  <c r="A1128" i="72" s="1"/>
  <c r="L1129" i="72"/>
  <c r="A1129" i="72" s="1"/>
  <c r="L1130" i="72"/>
  <c r="A1130" i="72" s="1"/>
  <c r="L1131" i="72"/>
  <c r="A1131" i="72" s="1"/>
  <c r="L1132" i="72"/>
  <c r="A1132" i="72" s="1"/>
  <c r="L1133" i="72"/>
  <c r="A1133" i="72" s="1"/>
  <c r="L1134" i="72"/>
  <c r="A1134" i="72" s="1"/>
  <c r="L1135" i="72"/>
  <c r="A1135" i="72" s="1"/>
  <c r="L1136" i="72"/>
  <c r="A1136" i="72" s="1"/>
  <c r="L1137" i="72"/>
  <c r="A1137" i="72" s="1"/>
  <c r="L1138" i="72"/>
  <c r="A1138" i="72" s="1"/>
  <c r="L1139" i="72"/>
  <c r="A1139" i="72" s="1"/>
  <c r="L1140" i="72"/>
  <c r="A1140" i="72" s="1"/>
  <c r="L1141" i="72"/>
  <c r="A1141" i="72" s="1"/>
  <c r="L1142" i="72"/>
  <c r="A1142" i="72" s="1"/>
  <c r="L1143" i="72"/>
  <c r="A1143" i="72" s="1"/>
  <c r="L1144" i="72"/>
  <c r="A1144" i="72" s="1"/>
  <c r="L1145" i="72"/>
  <c r="A1145" i="72" s="1"/>
  <c r="L1146" i="72"/>
  <c r="A1146" i="72" s="1"/>
  <c r="L1147" i="72"/>
  <c r="A1147" i="72" s="1"/>
  <c r="L1148" i="72"/>
  <c r="A1148" i="72" s="1"/>
  <c r="L1149" i="72"/>
  <c r="A1149" i="72" s="1"/>
  <c r="L1150" i="72"/>
  <c r="A1150" i="72" s="1"/>
  <c r="L1151" i="72"/>
  <c r="A1151" i="72" s="1"/>
  <c r="L1152" i="72"/>
  <c r="A1152" i="72" s="1"/>
  <c r="L1153" i="72"/>
  <c r="A1153" i="72" s="1"/>
  <c r="L1154" i="72"/>
  <c r="A1154" i="72" s="1"/>
  <c r="L1155" i="72"/>
  <c r="A1155" i="72" s="1"/>
  <c r="L1156" i="72"/>
  <c r="A1156" i="72" s="1"/>
  <c r="L1157" i="72"/>
  <c r="A1157" i="72" s="1"/>
  <c r="L1158" i="72"/>
  <c r="A1158" i="72" s="1"/>
  <c r="L1159" i="72"/>
  <c r="A1159" i="72" s="1"/>
  <c r="L1160" i="72"/>
  <c r="A1160" i="72" s="1"/>
  <c r="L1161" i="72"/>
  <c r="A1161" i="72" s="1"/>
  <c r="L1162" i="72"/>
  <c r="A1162" i="72" s="1"/>
  <c r="L1163" i="72"/>
  <c r="A1163" i="72" s="1"/>
  <c r="L1164" i="72"/>
  <c r="A1164" i="72" s="1"/>
  <c r="L1165" i="72"/>
  <c r="A1165" i="72" s="1"/>
  <c r="L1166" i="72"/>
  <c r="A1166" i="72" s="1"/>
  <c r="L1167" i="72"/>
  <c r="A1167" i="72" s="1"/>
  <c r="L1168" i="72"/>
  <c r="A1168" i="72" s="1"/>
  <c r="L1169" i="72"/>
  <c r="A1169" i="72" s="1"/>
  <c r="L1170" i="72"/>
  <c r="A1170" i="72" s="1"/>
  <c r="L1171" i="72"/>
  <c r="A1171" i="72" s="1"/>
  <c r="L1172" i="72"/>
  <c r="A1172" i="72" s="1"/>
  <c r="L1173" i="72"/>
  <c r="A1173" i="72" s="1"/>
  <c r="L1174" i="72"/>
  <c r="A1174" i="72" s="1"/>
  <c r="L1175" i="72"/>
  <c r="A1175" i="72" s="1"/>
  <c r="L1176" i="72"/>
  <c r="A1176" i="72" s="1"/>
  <c r="L1177" i="72"/>
  <c r="A1177" i="72" s="1"/>
  <c r="L1178" i="72"/>
  <c r="A1178" i="72" s="1"/>
  <c r="L1179" i="72"/>
  <c r="A1179" i="72" s="1"/>
  <c r="L1180" i="72"/>
  <c r="A1180" i="72" s="1"/>
  <c r="L1181" i="72"/>
  <c r="A1181" i="72" s="1"/>
  <c r="L1182" i="72"/>
  <c r="A1182" i="72" s="1"/>
  <c r="L1183" i="72"/>
  <c r="A1183" i="72" s="1"/>
  <c r="L1184" i="72"/>
  <c r="A1184" i="72" s="1"/>
  <c r="L1185" i="72"/>
  <c r="A1185" i="72" s="1"/>
  <c r="L1186" i="72"/>
  <c r="A1186" i="72" s="1"/>
  <c r="L1187" i="72"/>
  <c r="A1187" i="72" s="1"/>
  <c r="L1188" i="72"/>
  <c r="A1188" i="72" s="1"/>
  <c r="L1189" i="72"/>
  <c r="A1189" i="72" s="1"/>
  <c r="L1190" i="72"/>
  <c r="A1190" i="72" s="1"/>
  <c r="L1191" i="72"/>
  <c r="A1191" i="72" s="1"/>
  <c r="L1192" i="72"/>
  <c r="A1192" i="72" s="1"/>
  <c r="L1193" i="72"/>
  <c r="A1193" i="72" s="1"/>
  <c r="L1194" i="72"/>
  <c r="A1194" i="72" s="1"/>
  <c r="L1195" i="72"/>
  <c r="A1195" i="72" s="1"/>
  <c r="L1196" i="72"/>
  <c r="A1196" i="72" s="1"/>
  <c r="L1197" i="72"/>
  <c r="A1197" i="72" s="1"/>
  <c r="L1198" i="72"/>
  <c r="A1198" i="72" s="1"/>
  <c r="L1199" i="72"/>
  <c r="A1199" i="72" s="1"/>
  <c r="L1200" i="72"/>
  <c r="A1200" i="72" s="1"/>
  <c r="L1201" i="72"/>
  <c r="A1201" i="72" s="1"/>
  <c r="L1202" i="72"/>
  <c r="A1202" i="72" s="1"/>
  <c r="L1203" i="72"/>
  <c r="A1203" i="72" s="1"/>
  <c r="L1204" i="72"/>
  <c r="A1204" i="72" s="1"/>
  <c r="L1205" i="72"/>
  <c r="A1205" i="72" s="1"/>
  <c r="L1206" i="72"/>
  <c r="A1206" i="72" s="1"/>
  <c r="L1207" i="72"/>
  <c r="A1207" i="72" s="1"/>
  <c r="L1208" i="72"/>
  <c r="A1208" i="72" s="1"/>
  <c r="L1209" i="72"/>
  <c r="A1209" i="72" s="1"/>
  <c r="L1210" i="72"/>
  <c r="A1210" i="72" s="1"/>
  <c r="L1211" i="72"/>
  <c r="A1211" i="72" s="1"/>
  <c r="L1212" i="72"/>
  <c r="A1212" i="72" s="1"/>
  <c r="L1213" i="72"/>
  <c r="A1213" i="72" s="1"/>
  <c r="L1214" i="72"/>
  <c r="A1214" i="72" s="1"/>
  <c r="L1215" i="72"/>
  <c r="A1215" i="72" s="1"/>
  <c r="L1216" i="72"/>
  <c r="A1216" i="72" s="1"/>
  <c r="L1217" i="72"/>
  <c r="A1217" i="72" s="1"/>
  <c r="L1218" i="72"/>
  <c r="A1218" i="72" s="1"/>
  <c r="L1219" i="72"/>
  <c r="A1219" i="72" s="1"/>
  <c r="L1220" i="72"/>
  <c r="A1220" i="72" s="1"/>
  <c r="L1221" i="72"/>
  <c r="A1221" i="72" s="1"/>
  <c r="L1222" i="72"/>
  <c r="A1222" i="72" s="1"/>
  <c r="L1223" i="72"/>
  <c r="A1223" i="72" s="1"/>
  <c r="L1224" i="72"/>
  <c r="A1224" i="72" s="1"/>
  <c r="L1225" i="72"/>
  <c r="A1225" i="72" s="1"/>
  <c r="L1226" i="72"/>
  <c r="A1226" i="72" s="1"/>
  <c r="L1227" i="72"/>
  <c r="A1227" i="72" s="1"/>
  <c r="L1228" i="72"/>
  <c r="A1228" i="72" s="1"/>
  <c r="L1229" i="72"/>
  <c r="A1229" i="72" s="1"/>
  <c r="L1230" i="72"/>
  <c r="A1230" i="72" s="1"/>
  <c r="L1231" i="72"/>
  <c r="A1231" i="72" s="1"/>
  <c r="L1232" i="72"/>
  <c r="A1232" i="72" s="1"/>
  <c r="L1233" i="72"/>
  <c r="A1233" i="72" s="1"/>
  <c r="L1234" i="72"/>
  <c r="A1234" i="72" s="1"/>
  <c r="L1235" i="72"/>
  <c r="A1235" i="72" s="1"/>
  <c r="L1236" i="72"/>
  <c r="A1236" i="72" s="1"/>
  <c r="L1237" i="72"/>
  <c r="A1237" i="72" s="1"/>
  <c r="L1238" i="72"/>
  <c r="A1238" i="72" s="1"/>
  <c r="L1239" i="72"/>
  <c r="A1239" i="72" s="1"/>
  <c r="L1240" i="72"/>
  <c r="A1240" i="72" s="1"/>
  <c r="L1241" i="72"/>
  <c r="A1241" i="72" s="1"/>
  <c r="L1242" i="72"/>
  <c r="A1242" i="72" s="1"/>
  <c r="L1243" i="72"/>
  <c r="A1243" i="72" s="1"/>
  <c r="L1244" i="72"/>
  <c r="A1244" i="72" s="1"/>
  <c r="L1245" i="72"/>
  <c r="A1245" i="72" s="1"/>
  <c r="L1246" i="72"/>
  <c r="A1246" i="72" s="1"/>
  <c r="L1247" i="72"/>
  <c r="A1247" i="72" s="1"/>
  <c r="L1248" i="72"/>
  <c r="A1248" i="72" s="1"/>
  <c r="L1249" i="72"/>
  <c r="A1249" i="72" s="1"/>
  <c r="L1250" i="72"/>
  <c r="A1250" i="72" s="1"/>
  <c r="L1251" i="72"/>
  <c r="A1251" i="72" s="1"/>
  <c r="L1252" i="72"/>
  <c r="A1252" i="72" s="1"/>
  <c r="L1253" i="72"/>
  <c r="A1253" i="72" s="1"/>
  <c r="L1254" i="72"/>
  <c r="A1254" i="72" s="1"/>
  <c r="L1255" i="72"/>
  <c r="A1255" i="72" s="1"/>
  <c r="L1256" i="72"/>
  <c r="A1256" i="72" s="1"/>
  <c r="L1257" i="72"/>
  <c r="A1257" i="72" s="1"/>
  <c r="L1258" i="72"/>
  <c r="A1258" i="72" s="1"/>
  <c r="L1259" i="72"/>
  <c r="A1259" i="72" s="1"/>
  <c r="L1260" i="72"/>
  <c r="A1260" i="72" s="1"/>
  <c r="L1261" i="72"/>
  <c r="A1261" i="72" s="1"/>
  <c r="L1262" i="72"/>
  <c r="A1262" i="72" s="1"/>
  <c r="L1263" i="72"/>
  <c r="A1263" i="72" s="1"/>
  <c r="L1264" i="72"/>
  <c r="A1264" i="72" s="1"/>
  <c r="L1265" i="72"/>
  <c r="A1265" i="72" s="1"/>
  <c r="L1266" i="72"/>
  <c r="A1266" i="72" s="1"/>
  <c r="L1267" i="72"/>
  <c r="A1267" i="72" s="1"/>
  <c r="L1268" i="72"/>
  <c r="A1268" i="72" s="1"/>
  <c r="L1269" i="72"/>
  <c r="A1269" i="72" s="1"/>
  <c r="L1270" i="72"/>
  <c r="A1270" i="72" s="1"/>
  <c r="L1271" i="72"/>
  <c r="A1271" i="72" s="1"/>
  <c r="L1272" i="72"/>
  <c r="A1272" i="72" s="1"/>
  <c r="L1273" i="72"/>
  <c r="A1273" i="72" s="1"/>
  <c r="L1274" i="72"/>
  <c r="A1274" i="72" s="1"/>
  <c r="L1275" i="72"/>
  <c r="A1275" i="72" s="1"/>
  <c r="L1276" i="72"/>
  <c r="A1276" i="72" s="1"/>
  <c r="L1277" i="72"/>
  <c r="A1277" i="72" s="1"/>
  <c r="L1278" i="72"/>
  <c r="A1278" i="72" s="1"/>
  <c r="L1279" i="72"/>
  <c r="A1279" i="72" s="1"/>
  <c r="L1280" i="72"/>
  <c r="A1280" i="72" s="1"/>
  <c r="L1281" i="72"/>
  <c r="A1281" i="72" s="1"/>
  <c r="L1282" i="72"/>
  <c r="A1282" i="72" s="1"/>
  <c r="L1283" i="72"/>
  <c r="A1283" i="72" s="1"/>
  <c r="L1284" i="72"/>
  <c r="A1284" i="72" s="1"/>
  <c r="L1285" i="72"/>
  <c r="A1285" i="72" s="1"/>
  <c r="L1286" i="72"/>
  <c r="A1286" i="72" s="1"/>
  <c r="L1287" i="72"/>
  <c r="A1287" i="72" s="1"/>
  <c r="L1288" i="72"/>
  <c r="A1288" i="72" s="1"/>
  <c r="L1289" i="72"/>
  <c r="A1289" i="72" s="1"/>
  <c r="L1290" i="72"/>
  <c r="A1290" i="72" s="1"/>
  <c r="L1291" i="72"/>
  <c r="A1291" i="72" s="1"/>
  <c r="L1292" i="72"/>
  <c r="A1292" i="72" s="1"/>
  <c r="L1293" i="72"/>
  <c r="A1293" i="72" s="1"/>
  <c r="L1294" i="72"/>
  <c r="A1294" i="72" s="1"/>
  <c r="L1295" i="72"/>
  <c r="A1295" i="72" s="1"/>
  <c r="L1296" i="72"/>
  <c r="A1296" i="72" s="1"/>
  <c r="L1297" i="72"/>
  <c r="A1297" i="72" s="1"/>
  <c r="L1298" i="72"/>
  <c r="A1298" i="72" s="1"/>
  <c r="L1299" i="72"/>
  <c r="A1299" i="72" s="1"/>
  <c r="L1300" i="72"/>
  <c r="A1300" i="72" s="1"/>
  <c r="L1301" i="72"/>
  <c r="A1301" i="72" s="1"/>
  <c r="L1302" i="72"/>
  <c r="A1302" i="72" s="1"/>
  <c r="L1303" i="72"/>
  <c r="A1303" i="72" s="1"/>
  <c r="L1304" i="72"/>
  <c r="A1304" i="72" s="1"/>
  <c r="L1305" i="72"/>
  <c r="A1305" i="72" s="1"/>
  <c r="L1306" i="72"/>
  <c r="A1306" i="72" s="1"/>
  <c r="L1307" i="72"/>
  <c r="A1307" i="72" s="1"/>
  <c r="L1308" i="72"/>
  <c r="A1308" i="72" s="1"/>
  <c r="L1309" i="72"/>
  <c r="A1309" i="72" s="1"/>
  <c r="L1310" i="72"/>
  <c r="A1310" i="72" s="1"/>
  <c r="L1311" i="72"/>
  <c r="A1311" i="72" s="1"/>
  <c r="L1312" i="72"/>
  <c r="A1312" i="72" s="1"/>
  <c r="L1313" i="72"/>
  <c r="A1313" i="72" s="1"/>
  <c r="L1314" i="72"/>
  <c r="A1314" i="72" s="1"/>
  <c r="L1315" i="72"/>
  <c r="A1315" i="72" s="1"/>
  <c r="L1316" i="72"/>
  <c r="A1316" i="72" s="1"/>
  <c r="L1317" i="72"/>
  <c r="A1317" i="72" s="1"/>
  <c r="L1318" i="72"/>
  <c r="A1318" i="72" s="1"/>
  <c r="L1319" i="72"/>
  <c r="A1319" i="72" s="1"/>
  <c r="L1320" i="72"/>
  <c r="A1320" i="72" s="1"/>
  <c r="L1321" i="72"/>
  <c r="A1321" i="72" s="1"/>
  <c r="L1322" i="72"/>
  <c r="A1322" i="72" s="1"/>
  <c r="L1323" i="72"/>
  <c r="A1323" i="72" s="1"/>
  <c r="L1324" i="72"/>
  <c r="A1324" i="72" s="1"/>
  <c r="L1325" i="72"/>
  <c r="A1325" i="72" s="1"/>
  <c r="L1326" i="72"/>
  <c r="A1326" i="72" s="1"/>
  <c r="L1327" i="72"/>
  <c r="A1327" i="72" s="1"/>
  <c r="L1328" i="72"/>
  <c r="A1328" i="72" s="1"/>
  <c r="L1329" i="72"/>
  <c r="A1329" i="72" s="1"/>
  <c r="L1330" i="72"/>
  <c r="A1330" i="72" s="1"/>
  <c r="L1331" i="72"/>
  <c r="A1331" i="72" s="1"/>
  <c r="L1332" i="72"/>
  <c r="A1332" i="72" s="1"/>
  <c r="L1333" i="72"/>
  <c r="A1333" i="72" s="1"/>
  <c r="L1334" i="72"/>
  <c r="A1334" i="72" s="1"/>
  <c r="L1335" i="72"/>
  <c r="A1335" i="72" s="1"/>
  <c r="L1336" i="72"/>
  <c r="A1336" i="72" s="1"/>
  <c r="L1337" i="72"/>
  <c r="A1337" i="72" s="1"/>
  <c r="L1338" i="72"/>
  <c r="A1338" i="72" s="1"/>
  <c r="L1339" i="72"/>
  <c r="A1339" i="72" s="1"/>
  <c r="L1340" i="72"/>
  <c r="A1340" i="72" s="1"/>
  <c r="L1341" i="72"/>
  <c r="A1341" i="72" s="1"/>
  <c r="L1342" i="72"/>
  <c r="A1342" i="72" s="1"/>
  <c r="L1343" i="72"/>
  <c r="A1343" i="72" s="1"/>
  <c r="L1344" i="72"/>
  <c r="A1344" i="72" s="1"/>
  <c r="L1345" i="72"/>
  <c r="A1345" i="72" s="1"/>
  <c r="L1346" i="72"/>
  <c r="A1346" i="72" s="1"/>
  <c r="L1347" i="72"/>
  <c r="A1347" i="72" s="1"/>
  <c r="L1348" i="72"/>
  <c r="A1348" i="72" s="1"/>
  <c r="L1349" i="72"/>
  <c r="A1349" i="72" s="1"/>
  <c r="L1350" i="72"/>
  <c r="A1350" i="72" s="1"/>
  <c r="L1351" i="72"/>
  <c r="A1351" i="72" s="1"/>
  <c r="L1352" i="72"/>
  <c r="A1352" i="72" s="1"/>
  <c r="L1353" i="72"/>
  <c r="A1353" i="72" s="1"/>
  <c r="L1354" i="72"/>
  <c r="A1354" i="72" s="1"/>
  <c r="L1355" i="72"/>
  <c r="A1355" i="72" s="1"/>
  <c r="L1356" i="72"/>
  <c r="A1356" i="72" s="1"/>
  <c r="L1357" i="72"/>
  <c r="A1357" i="72" s="1"/>
  <c r="L1358" i="72"/>
  <c r="A1358" i="72" s="1"/>
  <c r="L1359" i="72"/>
  <c r="A1359" i="72" s="1"/>
  <c r="L1360" i="72"/>
  <c r="A1360" i="72" s="1"/>
  <c r="L1361" i="72"/>
  <c r="A1361" i="72" s="1"/>
  <c r="L1362" i="72"/>
  <c r="A1362" i="72" s="1"/>
  <c r="L1363" i="72"/>
  <c r="A1363" i="72" s="1"/>
  <c r="L1364" i="72"/>
  <c r="A1364" i="72" s="1"/>
  <c r="L1365" i="72"/>
  <c r="A1365" i="72" s="1"/>
  <c r="L1366" i="72"/>
  <c r="A1366" i="72" s="1"/>
  <c r="L1367" i="72"/>
  <c r="A1367" i="72" s="1"/>
  <c r="L1368" i="72"/>
  <c r="A1368" i="72" s="1"/>
  <c r="L1369" i="72"/>
  <c r="A1369" i="72" s="1"/>
  <c r="L1370" i="72"/>
  <c r="A1370" i="72" s="1"/>
  <c r="L1371" i="72"/>
  <c r="A1371" i="72" s="1"/>
  <c r="L1372" i="72"/>
  <c r="A1372" i="72" s="1"/>
  <c r="L1373" i="72"/>
  <c r="A1373" i="72" s="1"/>
  <c r="L1374" i="72"/>
  <c r="A1374" i="72" s="1"/>
  <c r="L1375" i="72"/>
  <c r="A1375" i="72" s="1"/>
  <c r="L1376" i="72"/>
  <c r="A1376" i="72" s="1"/>
  <c r="L1377" i="72"/>
  <c r="A1377" i="72" s="1"/>
  <c r="L1378" i="72"/>
  <c r="A1378" i="72" s="1"/>
  <c r="L1379" i="72"/>
  <c r="A1379" i="72" s="1"/>
  <c r="L1380" i="72"/>
  <c r="A1380" i="72" s="1"/>
  <c r="L1381" i="72"/>
  <c r="A1381" i="72" s="1"/>
  <c r="L1382" i="72"/>
  <c r="A1382" i="72" s="1"/>
  <c r="L1383" i="72"/>
  <c r="A1383" i="72" s="1"/>
  <c r="L1384" i="72"/>
  <c r="A1384" i="72" s="1"/>
  <c r="L1385" i="72"/>
  <c r="A1385" i="72" s="1"/>
  <c r="L1386" i="72"/>
  <c r="A1386" i="72" s="1"/>
  <c r="L1387" i="72"/>
  <c r="A1387" i="72" s="1"/>
  <c r="L1388" i="72"/>
  <c r="A1388" i="72" s="1"/>
  <c r="L1389" i="72"/>
  <c r="A1389" i="72" s="1"/>
  <c r="L1390" i="72"/>
  <c r="A1390" i="72" s="1"/>
  <c r="L1391" i="72"/>
  <c r="A1391" i="72" s="1"/>
  <c r="L1392" i="72"/>
  <c r="A1392" i="72" s="1"/>
  <c r="L1393" i="72"/>
  <c r="A1393" i="72" s="1"/>
  <c r="L1394" i="72"/>
  <c r="A1394" i="72" s="1"/>
  <c r="L1395" i="72"/>
  <c r="A1395" i="72" s="1"/>
  <c r="L1396" i="72"/>
  <c r="A1396" i="72" s="1"/>
  <c r="L1397" i="72"/>
  <c r="A1397" i="72" s="1"/>
  <c r="L1398" i="72"/>
  <c r="A1398" i="72" s="1"/>
  <c r="L1399" i="72"/>
  <c r="A1399" i="72" s="1"/>
  <c r="L1400" i="72"/>
  <c r="A1400" i="72" s="1"/>
  <c r="L1401" i="72"/>
  <c r="A1401" i="72" s="1"/>
  <c r="L1402" i="72"/>
  <c r="A1402" i="72" s="1"/>
  <c r="L1403" i="72"/>
  <c r="A1403" i="72" s="1"/>
  <c r="L1404" i="72"/>
  <c r="A1404" i="72" s="1"/>
  <c r="L1405" i="72"/>
  <c r="A1405" i="72" s="1"/>
  <c r="L1406" i="72"/>
  <c r="A1406" i="72" s="1"/>
  <c r="L1407" i="72"/>
  <c r="A1407" i="72" s="1"/>
  <c r="L1408" i="72"/>
  <c r="A1408" i="72" s="1"/>
  <c r="L1409" i="72"/>
  <c r="A1409" i="72" s="1"/>
  <c r="L1410" i="72"/>
  <c r="A1410" i="72" s="1"/>
  <c r="L1411" i="72"/>
  <c r="A1411" i="72" s="1"/>
  <c r="L1412" i="72"/>
  <c r="A1412" i="72" s="1"/>
  <c r="L1413" i="72"/>
  <c r="A1413" i="72" s="1"/>
  <c r="L1414" i="72"/>
  <c r="A1414" i="72" s="1"/>
  <c r="L1415" i="72"/>
  <c r="A1415" i="72" s="1"/>
  <c r="L1416" i="72"/>
  <c r="A1416" i="72" s="1"/>
  <c r="L1417" i="72"/>
  <c r="A1417" i="72" s="1"/>
  <c r="L1418" i="72"/>
  <c r="A1418" i="72" s="1"/>
  <c r="L1419" i="72"/>
  <c r="A1419" i="72" s="1"/>
  <c r="L1420" i="72"/>
  <c r="A1420" i="72" s="1"/>
  <c r="L1421" i="72"/>
  <c r="A1421" i="72" s="1"/>
  <c r="L1422" i="72"/>
  <c r="A1422" i="72" s="1"/>
  <c r="L1423" i="72"/>
  <c r="A1423" i="72" s="1"/>
  <c r="L1424" i="72"/>
  <c r="A1424" i="72" s="1"/>
  <c r="L1425" i="72"/>
  <c r="A1425" i="72" s="1"/>
  <c r="L1426" i="72"/>
  <c r="A1426" i="72" s="1"/>
  <c r="L1427" i="72"/>
  <c r="A1427" i="72" s="1"/>
  <c r="L1428" i="72"/>
  <c r="A1428" i="72" s="1"/>
  <c r="L1429" i="72"/>
  <c r="A1429" i="72" s="1"/>
  <c r="L1430" i="72"/>
  <c r="A1430" i="72" s="1"/>
  <c r="L1431" i="72"/>
  <c r="A1431" i="72" s="1"/>
  <c r="L1432" i="72"/>
  <c r="A1432" i="72" s="1"/>
  <c r="L1433" i="72"/>
  <c r="A1433" i="72" s="1"/>
  <c r="L1434" i="72"/>
  <c r="A1434" i="72" s="1"/>
  <c r="L1435" i="72"/>
  <c r="A1435" i="72" s="1"/>
  <c r="L1436" i="72"/>
  <c r="A1436" i="72" s="1"/>
  <c r="L1437" i="72"/>
  <c r="A1437" i="72" s="1"/>
  <c r="L1438" i="72"/>
  <c r="A1438" i="72" s="1"/>
  <c r="L1439" i="72"/>
  <c r="A1439" i="72" s="1"/>
  <c r="L1440" i="72"/>
  <c r="A1440" i="72" s="1"/>
  <c r="L1441" i="72"/>
  <c r="A1441" i="72" s="1"/>
  <c r="L1442" i="72"/>
  <c r="A1442" i="72" s="1"/>
  <c r="L1443" i="72"/>
  <c r="A1443" i="72" s="1"/>
  <c r="L1444" i="72"/>
  <c r="A1444" i="72" s="1"/>
  <c r="L1445" i="72"/>
  <c r="A1445" i="72" s="1"/>
  <c r="L1446" i="72"/>
  <c r="A1446" i="72" s="1"/>
  <c r="L1447" i="72"/>
  <c r="A1447" i="72" s="1"/>
  <c r="L1448" i="72"/>
  <c r="A1448" i="72" s="1"/>
  <c r="L1449" i="72"/>
  <c r="A1449" i="72" s="1"/>
  <c r="L1450" i="72"/>
  <c r="A1450" i="72" s="1"/>
  <c r="L1451" i="72"/>
  <c r="A1451" i="72" s="1"/>
  <c r="L1452" i="72"/>
  <c r="A1452" i="72" s="1"/>
  <c r="L1453" i="72"/>
  <c r="A1453" i="72" s="1"/>
  <c r="L1454" i="72"/>
  <c r="A1454" i="72" s="1"/>
  <c r="L1455" i="72"/>
  <c r="A1455" i="72" s="1"/>
  <c r="L1456" i="72"/>
  <c r="A1456" i="72" s="1"/>
  <c r="L1457" i="72"/>
  <c r="A1457" i="72" s="1"/>
  <c r="L1458" i="72"/>
  <c r="A1458" i="72" s="1"/>
  <c r="L1459" i="72"/>
  <c r="A1459" i="72" s="1"/>
  <c r="L1460" i="72"/>
  <c r="A1460" i="72" s="1"/>
  <c r="L1461" i="72"/>
  <c r="A1461" i="72" s="1"/>
  <c r="L1462" i="72"/>
  <c r="A1462" i="72" s="1"/>
  <c r="L1463" i="72"/>
  <c r="A1463" i="72" s="1"/>
  <c r="L1464" i="72"/>
  <c r="A1464" i="72" s="1"/>
  <c r="L1465" i="72"/>
  <c r="A1465" i="72" s="1"/>
  <c r="L1466" i="72"/>
  <c r="A1466" i="72" s="1"/>
  <c r="L1467" i="72"/>
  <c r="A1467" i="72" s="1"/>
  <c r="L1468" i="72"/>
  <c r="A1468" i="72" s="1"/>
  <c r="L1469" i="72"/>
  <c r="A1469" i="72" s="1"/>
  <c r="L1470" i="72"/>
  <c r="A1470" i="72" s="1"/>
  <c r="L1471" i="72"/>
  <c r="A1471" i="72" s="1"/>
  <c r="L1472" i="72"/>
  <c r="A1472" i="72" s="1"/>
  <c r="L1473" i="72"/>
  <c r="A1473" i="72" s="1"/>
  <c r="L1474" i="72"/>
  <c r="A1474" i="72" s="1"/>
  <c r="L1475" i="72"/>
  <c r="A1475" i="72" s="1"/>
  <c r="L1476" i="72"/>
  <c r="A1476" i="72" s="1"/>
  <c r="L1477" i="72"/>
  <c r="A1477" i="72" s="1"/>
  <c r="L1478" i="72"/>
  <c r="A1478" i="72" s="1"/>
  <c r="L1479" i="72"/>
  <c r="A1479" i="72" s="1"/>
  <c r="L1480" i="72"/>
  <c r="A1480" i="72" s="1"/>
  <c r="L1481" i="72"/>
  <c r="A1481" i="72" s="1"/>
  <c r="L1482" i="72"/>
  <c r="A1482" i="72" s="1"/>
  <c r="L1483" i="72"/>
  <c r="A1483" i="72" s="1"/>
  <c r="L1484" i="72"/>
  <c r="A1484" i="72" s="1"/>
  <c r="L1485" i="72"/>
  <c r="A1485" i="72" s="1"/>
  <c r="L1486" i="72"/>
  <c r="A1486" i="72" s="1"/>
  <c r="L1487" i="72"/>
  <c r="A1487" i="72" s="1"/>
  <c r="L1488" i="72"/>
  <c r="A1488" i="72" s="1"/>
  <c r="L1489" i="72"/>
  <c r="A1489" i="72" s="1"/>
  <c r="L1490" i="72"/>
  <c r="A1490" i="72" s="1"/>
  <c r="L1491" i="72"/>
  <c r="A1491" i="72" s="1"/>
  <c r="L1492" i="72"/>
  <c r="A1492" i="72" s="1"/>
  <c r="L1493" i="72"/>
  <c r="A1493" i="72" s="1"/>
  <c r="L1494" i="72"/>
  <c r="A1494" i="72" s="1"/>
  <c r="L1495" i="72"/>
  <c r="A1495" i="72" s="1"/>
  <c r="L1496" i="72"/>
  <c r="A1496" i="72" s="1"/>
  <c r="L1497" i="72"/>
  <c r="A1497" i="72" s="1"/>
  <c r="L1498" i="72"/>
  <c r="A1498" i="72" s="1"/>
  <c r="L1499" i="72"/>
  <c r="A1499" i="72" s="1"/>
  <c r="L1500" i="72"/>
  <c r="A1500" i="72" s="1"/>
  <c r="L1501" i="72"/>
  <c r="A1501" i="72" s="1"/>
  <c r="L1502" i="72"/>
  <c r="A1502" i="72" s="1"/>
  <c r="L1503" i="72"/>
  <c r="A1503" i="72" s="1"/>
  <c r="L1504" i="72"/>
  <c r="A1504" i="72" s="1"/>
  <c r="L1505" i="72"/>
  <c r="A1505" i="72" s="1"/>
  <c r="L1506" i="72"/>
  <c r="A1506" i="72" s="1"/>
  <c r="L1507" i="72"/>
  <c r="A1507" i="72" s="1"/>
  <c r="L1508" i="72"/>
  <c r="A1508" i="72" s="1"/>
  <c r="L1509" i="72"/>
  <c r="A1509" i="72" s="1"/>
  <c r="L1510" i="72"/>
  <c r="A1510" i="72" s="1"/>
  <c r="L1511" i="72"/>
  <c r="A1511" i="72" s="1"/>
  <c r="L1512" i="72"/>
  <c r="A1512" i="72" s="1"/>
  <c r="L1513" i="72"/>
  <c r="A1513" i="72" s="1"/>
  <c r="L1514" i="72"/>
  <c r="A1514" i="72" s="1"/>
  <c r="L1515" i="72"/>
  <c r="A1515" i="72" s="1"/>
  <c r="L1516" i="72"/>
  <c r="A1516" i="72" s="1"/>
  <c r="L1517" i="72"/>
  <c r="A1517" i="72" s="1"/>
  <c r="L1518" i="72"/>
  <c r="A1518" i="72" s="1"/>
  <c r="L1519" i="72"/>
  <c r="A1519" i="72" s="1"/>
  <c r="L1520" i="72"/>
  <c r="A1520" i="72" s="1"/>
  <c r="L1521" i="72"/>
  <c r="A1521" i="72" s="1"/>
  <c r="L1522" i="72"/>
  <c r="A1522" i="72" s="1"/>
  <c r="L1523" i="72"/>
  <c r="A1523" i="72" s="1"/>
  <c r="L1524" i="72"/>
  <c r="A1524" i="72" s="1"/>
  <c r="L1525" i="72"/>
  <c r="A1525" i="72" s="1"/>
  <c r="L1526" i="72"/>
  <c r="A1526" i="72" s="1"/>
  <c r="L1527" i="72"/>
  <c r="A1527" i="72" s="1"/>
  <c r="L1528" i="72"/>
  <c r="A1528" i="72" s="1"/>
  <c r="L1529" i="72"/>
  <c r="A1529" i="72" s="1"/>
  <c r="L1530" i="72"/>
  <c r="A1530" i="72" s="1"/>
  <c r="L1531" i="72"/>
  <c r="A1531" i="72" s="1"/>
  <c r="L1532" i="72"/>
  <c r="A1532" i="72" s="1"/>
  <c r="L1533" i="72"/>
  <c r="A1533" i="72" s="1"/>
  <c r="L1534" i="72"/>
  <c r="A1534" i="72" s="1"/>
  <c r="L1535" i="72"/>
  <c r="A1535" i="72" s="1"/>
  <c r="L1536" i="72"/>
  <c r="A1536" i="72" s="1"/>
  <c r="L1537" i="72"/>
  <c r="A1537" i="72" s="1"/>
  <c r="L1538" i="72"/>
  <c r="A1538" i="72" s="1"/>
  <c r="L1539" i="72"/>
  <c r="A1539" i="72" s="1"/>
  <c r="L1540" i="72"/>
  <c r="A1540" i="72" s="1"/>
  <c r="L1541" i="72"/>
  <c r="A1541" i="72" s="1"/>
  <c r="L1542" i="72"/>
  <c r="A1542" i="72" s="1"/>
  <c r="L1543" i="72"/>
  <c r="A1543" i="72" s="1"/>
  <c r="L1544" i="72"/>
  <c r="A1544" i="72" s="1"/>
  <c r="L1545" i="72"/>
  <c r="A1545" i="72" s="1"/>
  <c r="L1546" i="72"/>
  <c r="A1546" i="72" s="1"/>
  <c r="L1547" i="72"/>
  <c r="A1547" i="72" s="1"/>
  <c r="L1548" i="72"/>
  <c r="A1548" i="72" s="1"/>
  <c r="L1549" i="72"/>
  <c r="A1549" i="72" s="1"/>
  <c r="L1550" i="72"/>
  <c r="A1550" i="72" s="1"/>
  <c r="L1551" i="72"/>
  <c r="A1551" i="72" s="1"/>
  <c r="L1552" i="72"/>
  <c r="A1552" i="72" s="1"/>
  <c r="L1553" i="72"/>
  <c r="A1553" i="72" s="1"/>
  <c r="L1554" i="72"/>
  <c r="A1554" i="72" s="1"/>
  <c r="L1555" i="72"/>
  <c r="A1555" i="72" s="1"/>
  <c r="L1556" i="72"/>
  <c r="A1556" i="72" s="1"/>
  <c r="L1557" i="72"/>
  <c r="A1557" i="72" s="1"/>
  <c r="L1558" i="72"/>
  <c r="A1558" i="72" s="1"/>
  <c r="L1559" i="72"/>
  <c r="A1559" i="72" s="1"/>
  <c r="L1560" i="72"/>
  <c r="A1560" i="72" s="1"/>
  <c r="L1561" i="72"/>
  <c r="A1561" i="72" s="1"/>
  <c r="L1562" i="72"/>
  <c r="A1562" i="72" s="1"/>
  <c r="L1563" i="72"/>
  <c r="A1563" i="72" s="1"/>
  <c r="L1564" i="72"/>
  <c r="A1564" i="72" s="1"/>
  <c r="L1565" i="72"/>
  <c r="A1565" i="72" s="1"/>
  <c r="L1566" i="72"/>
  <c r="A1566" i="72" s="1"/>
  <c r="L1567" i="72"/>
  <c r="A1567" i="72" s="1"/>
  <c r="L1568" i="72"/>
  <c r="A1568" i="72" s="1"/>
  <c r="L1569" i="72"/>
  <c r="A1569" i="72" s="1"/>
  <c r="L1570" i="72"/>
  <c r="A1570" i="72" s="1"/>
  <c r="L1571" i="72"/>
  <c r="A1571" i="72" s="1"/>
  <c r="L1572" i="72"/>
  <c r="A1572" i="72" s="1"/>
  <c r="L1573" i="72"/>
  <c r="A1573" i="72" s="1"/>
  <c r="L1574" i="72"/>
  <c r="A1574" i="72" s="1"/>
  <c r="L1575" i="72"/>
  <c r="A1575" i="72" s="1"/>
  <c r="L1576" i="72"/>
  <c r="A1576" i="72" s="1"/>
  <c r="L1577" i="72"/>
  <c r="A1577" i="72" s="1"/>
  <c r="L1578" i="72"/>
  <c r="A1578" i="72" s="1"/>
  <c r="L1579" i="72"/>
  <c r="A1579" i="72" s="1"/>
  <c r="L1580" i="72"/>
  <c r="A1580" i="72" s="1"/>
  <c r="L1581" i="72"/>
  <c r="A1581" i="72" s="1"/>
  <c r="L1582" i="72"/>
  <c r="A1582" i="72" s="1"/>
  <c r="L1583" i="72"/>
  <c r="A1583" i="72" s="1"/>
  <c r="L1584" i="72"/>
  <c r="A1584" i="72" s="1"/>
  <c r="L1585" i="72"/>
  <c r="A1585" i="72" s="1"/>
  <c r="L1586" i="72"/>
  <c r="A1586" i="72" s="1"/>
  <c r="L1587" i="72"/>
  <c r="A1587" i="72" s="1"/>
  <c r="L1588" i="72"/>
  <c r="A1588" i="72" s="1"/>
  <c r="L1589" i="72"/>
  <c r="A1589" i="72" s="1"/>
  <c r="L1590" i="72"/>
  <c r="A1590" i="72" s="1"/>
  <c r="L1591" i="72"/>
  <c r="A1591" i="72" s="1"/>
  <c r="L1592" i="72"/>
  <c r="A1592" i="72" s="1"/>
  <c r="L1593" i="72"/>
  <c r="A1593" i="72" s="1"/>
  <c r="L1594" i="72"/>
  <c r="A1594" i="72" s="1"/>
  <c r="L1595" i="72"/>
  <c r="A1595" i="72" s="1"/>
  <c r="L1596" i="72"/>
  <c r="A1596" i="72" s="1"/>
  <c r="L1597" i="72"/>
  <c r="A1597" i="72" s="1"/>
  <c r="L1598" i="72"/>
  <c r="A1598" i="72" s="1"/>
  <c r="L1599" i="72"/>
  <c r="A1599" i="72" s="1"/>
  <c r="L1600" i="72"/>
  <c r="A1600" i="72" s="1"/>
  <c r="L1601" i="72"/>
  <c r="A1601" i="72" s="1"/>
  <c r="L1602" i="72"/>
  <c r="A1602" i="72" s="1"/>
  <c r="L1603" i="72"/>
  <c r="A1603" i="72" s="1"/>
  <c r="L1604" i="72"/>
  <c r="A1604" i="72" s="1"/>
  <c r="L1605" i="72"/>
  <c r="A1605" i="72" s="1"/>
  <c r="L1606" i="72"/>
  <c r="A1606" i="72" s="1"/>
  <c r="L1607" i="72"/>
  <c r="A1607" i="72" s="1"/>
  <c r="L1608" i="72"/>
  <c r="A1608" i="72" s="1"/>
  <c r="L1609" i="72"/>
  <c r="A1609" i="72" s="1"/>
  <c r="L1610" i="72"/>
  <c r="A1610" i="72" s="1"/>
  <c r="L1611" i="72"/>
  <c r="A1611" i="72" s="1"/>
  <c r="L1612" i="72"/>
  <c r="A1612" i="72" s="1"/>
  <c r="L1613" i="72"/>
  <c r="A1613" i="72" s="1"/>
  <c r="L1614" i="72"/>
  <c r="A1614" i="72" s="1"/>
  <c r="L1615" i="72"/>
  <c r="A1615" i="72" s="1"/>
  <c r="L1616" i="72"/>
  <c r="A1616" i="72" s="1"/>
  <c r="L1617" i="72"/>
  <c r="A1617" i="72" s="1"/>
  <c r="L1618" i="72"/>
  <c r="A1618" i="72" s="1"/>
  <c r="L1619" i="72"/>
  <c r="A1619" i="72" s="1"/>
  <c r="L1620" i="72"/>
  <c r="A1620" i="72" s="1"/>
  <c r="L1621" i="72"/>
  <c r="A1621" i="72" s="1"/>
  <c r="L1622" i="72"/>
  <c r="A1622" i="72" s="1"/>
  <c r="L1623" i="72"/>
  <c r="A1623" i="72" s="1"/>
  <c r="L1624" i="72"/>
  <c r="A1624" i="72" s="1"/>
  <c r="L1625" i="72"/>
  <c r="A1625" i="72" s="1"/>
  <c r="L1626" i="72"/>
  <c r="A1626" i="72" s="1"/>
  <c r="L1627" i="72"/>
  <c r="A1627" i="72" s="1"/>
  <c r="L1628" i="72"/>
  <c r="A1628" i="72" s="1"/>
  <c r="L1629" i="72"/>
  <c r="A1629" i="72" s="1"/>
  <c r="L1630" i="72"/>
  <c r="A1630" i="72" s="1"/>
  <c r="L1631" i="72"/>
  <c r="A1631" i="72" s="1"/>
  <c r="L1632" i="72"/>
  <c r="A1632" i="72" s="1"/>
  <c r="L1633" i="72"/>
  <c r="A1633" i="72" s="1"/>
  <c r="L1634" i="72"/>
  <c r="A1634" i="72" s="1"/>
  <c r="L1635" i="72"/>
  <c r="A1635" i="72" s="1"/>
  <c r="L1636" i="72"/>
  <c r="A1636" i="72" s="1"/>
  <c r="L1637" i="72"/>
  <c r="A1637" i="72" s="1"/>
  <c r="L1638" i="72"/>
  <c r="A1638" i="72" s="1"/>
  <c r="L1639" i="72"/>
  <c r="A1639" i="72" s="1"/>
  <c r="L1640" i="72"/>
  <c r="A1640" i="72" s="1"/>
  <c r="L1641" i="72"/>
  <c r="A1641" i="72" s="1"/>
  <c r="L1642" i="72"/>
  <c r="A1642" i="72" s="1"/>
  <c r="L1643" i="72"/>
  <c r="A1643" i="72" s="1"/>
  <c r="L1644" i="72"/>
  <c r="A1644" i="72" s="1"/>
  <c r="L1645" i="72"/>
  <c r="A1645" i="72" s="1"/>
  <c r="L1646" i="72"/>
  <c r="A1646" i="72" s="1"/>
  <c r="L1647" i="72"/>
  <c r="A1647" i="72" s="1"/>
  <c r="L1648" i="72"/>
  <c r="A1648" i="72" s="1"/>
  <c r="L1649" i="72"/>
  <c r="A1649" i="72" s="1"/>
  <c r="L1650" i="72"/>
  <c r="A1650" i="72" s="1"/>
  <c r="L1651" i="72"/>
  <c r="A1651" i="72" s="1"/>
  <c r="L1652" i="72"/>
  <c r="A1652" i="72" s="1"/>
  <c r="L1653" i="72"/>
  <c r="A1653" i="72" s="1"/>
  <c r="L1654" i="72"/>
  <c r="A1654" i="72" s="1"/>
  <c r="L1655" i="72"/>
  <c r="A1655" i="72" s="1"/>
  <c r="L1656" i="72"/>
  <c r="A1656" i="72" s="1"/>
  <c r="L1657" i="72"/>
  <c r="A1657" i="72" s="1"/>
  <c r="L1658" i="72"/>
  <c r="A1658" i="72" s="1"/>
  <c r="L1659" i="72"/>
  <c r="A1659" i="72" s="1"/>
  <c r="L1660" i="72"/>
  <c r="A1660" i="72" s="1"/>
  <c r="L1661" i="72"/>
  <c r="A1661" i="72" s="1"/>
  <c r="L1662" i="72"/>
  <c r="A1662" i="72" s="1"/>
  <c r="L1663" i="72"/>
  <c r="A1663" i="72" s="1"/>
  <c r="L1664" i="72"/>
  <c r="A1664" i="72" s="1"/>
  <c r="L1665" i="72"/>
  <c r="A1665" i="72" s="1"/>
  <c r="L1666" i="72"/>
  <c r="A1666" i="72" s="1"/>
  <c r="L1667" i="72"/>
  <c r="A1667" i="72" s="1"/>
  <c r="L1668" i="72"/>
  <c r="A1668" i="72" s="1"/>
  <c r="L1669" i="72"/>
  <c r="A1669" i="72" s="1"/>
  <c r="L1670" i="72"/>
  <c r="A1670" i="72" s="1"/>
  <c r="L1671" i="72"/>
  <c r="A1671" i="72" s="1"/>
  <c r="L1672" i="72"/>
  <c r="A1672" i="72" s="1"/>
  <c r="L1673" i="72"/>
  <c r="A1673" i="72" s="1"/>
  <c r="L1674" i="72"/>
  <c r="A1674" i="72" s="1"/>
  <c r="L1675" i="72"/>
  <c r="A1675" i="72" s="1"/>
  <c r="L1676" i="72"/>
  <c r="A1676" i="72" s="1"/>
  <c r="L1677" i="72"/>
  <c r="A1677" i="72" s="1"/>
  <c r="L1678" i="72"/>
  <c r="A1678" i="72" s="1"/>
  <c r="L1679" i="72"/>
  <c r="A1679" i="72" s="1"/>
  <c r="L1680" i="72"/>
  <c r="A1680" i="72" s="1"/>
  <c r="L1681" i="72"/>
  <c r="A1681" i="72" s="1"/>
  <c r="L1682" i="72"/>
  <c r="A1682" i="72" s="1"/>
  <c r="L1683" i="72"/>
  <c r="A1683" i="72" s="1"/>
  <c r="L1684" i="72"/>
  <c r="A1684" i="72" s="1"/>
  <c r="L1685" i="72"/>
  <c r="A1685" i="72" s="1"/>
  <c r="L1686" i="72"/>
  <c r="A1686" i="72" s="1"/>
  <c r="L1687" i="72"/>
  <c r="A1687" i="72" s="1"/>
  <c r="L1688" i="72"/>
  <c r="A1688" i="72" s="1"/>
  <c r="L1689" i="72"/>
  <c r="A1689" i="72" s="1"/>
  <c r="L1690" i="72"/>
  <c r="A1690" i="72" s="1"/>
  <c r="L1691" i="72"/>
  <c r="A1691" i="72" s="1"/>
  <c r="L1692" i="72"/>
  <c r="A1692" i="72" s="1"/>
  <c r="L1693" i="72"/>
  <c r="A1693" i="72" s="1"/>
  <c r="L1694" i="72"/>
  <c r="A1694" i="72" s="1"/>
  <c r="L1695" i="72"/>
  <c r="A1695" i="72" s="1"/>
  <c r="L1696" i="72"/>
  <c r="A1696" i="72" s="1"/>
  <c r="L1697" i="72"/>
  <c r="A1697" i="72" s="1"/>
  <c r="L1698" i="72"/>
  <c r="A1698" i="72" s="1"/>
  <c r="L1699" i="72"/>
  <c r="A1699" i="72" s="1"/>
  <c r="L1700" i="72"/>
  <c r="A1700" i="72" s="1"/>
  <c r="L1701" i="72"/>
  <c r="A1701" i="72" s="1"/>
  <c r="L1702" i="72"/>
  <c r="A1702" i="72" s="1"/>
  <c r="L1703" i="72"/>
  <c r="A1703" i="72" s="1"/>
  <c r="L1704" i="72"/>
  <c r="A1704" i="72" s="1"/>
  <c r="L1705" i="72"/>
  <c r="A1705" i="72" s="1"/>
  <c r="L1706" i="72"/>
  <c r="A1706" i="72" s="1"/>
  <c r="L1707" i="72"/>
  <c r="A1707" i="72" s="1"/>
  <c r="L1708" i="72"/>
  <c r="A1708" i="72" s="1"/>
  <c r="L1709" i="72"/>
  <c r="A1709" i="72" s="1"/>
  <c r="L1710" i="72"/>
  <c r="A1710" i="72" s="1"/>
  <c r="L1711" i="72"/>
  <c r="A1711" i="72" s="1"/>
  <c r="L1712" i="72"/>
  <c r="A1712" i="72" s="1"/>
  <c r="L1713" i="72"/>
  <c r="A1713" i="72" s="1"/>
  <c r="L1714" i="72"/>
  <c r="A1714" i="72" s="1"/>
  <c r="L1715" i="72"/>
  <c r="A1715" i="72" s="1"/>
  <c r="L1716" i="72"/>
  <c r="A1716" i="72" s="1"/>
  <c r="L1717" i="72"/>
  <c r="A1717" i="72" s="1"/>
  <c r="L1718" i="72"/>
  <c r="A1718" i="72" s="1"/>
  <c r="L1719" i="72"/>
  <c r="A1719" i="72" s="1"/>
  <c r="L1720" i="72"/>
  <c r="A1720" i="72" s="1"/>
  <c r="L1721" i="72"/>
  <c r="A1721" i="72" s="1"/>
  <c r="L1722" i="72"/>
  <c r="A1722" i="72" s="1"/>
  <c r="L1723" i="72"/>
  <c r="A1723" i="72" s="1"/>
  <c r="L1724" i="72"/>
  <c r="A1724" i="72" s="1"/>
  <c r="L1725" i="72"/>
  <c r="A1725" i="72" s="1"/>
  <c r="L1726" i="72"/>
  <c r="A1726" i="72" s="1"/>
  <c r="L1727" i="72"/>
  <c r="A1727" i="72" s="1"/>
  <c r="L1728" i="72"/>
  <c r="A1728" i="72" s="1"/>
  <c r="L1729" i="72"/>
  <c r="A1729" i="72" s="1"/>
  <c r="L1730" i="72"/>
  <c r="A1730" i="72" s="1"/>
  <c r="L1731" i="72"/>
  <c r="A1731" i="72" s="1"/>
  <c r="L1732" i="72"/>
  <c r="A1732" i="72" s="1"/>
  <c r="L1733" i="72"/>
  <c r="A1733" i="72" s="1"/>
  <c r="L1734" i="72"/>
  <c r="A1734" i="72" s="1"/>
  <c r="L1735" i="72"/>
  <c r="A1735" i="72" s="1"/>
  <c r="L1736" i="72"/>
  <c r="A1736" i="72" s="1"/>
  <c r="L1737" i="72"/>
  <c r="A1737" i="72" s="1"/>
  <c r="L1738" i="72"/>
  <c r="A1738" i="72" s="1"/>
  <c r="L1739" i="72"/>
  <c r="A1739" i="72" s="1"/>
  <c r="L1740" i="72"/>
  <c r="A1740" i="72" s="1"/>
  <c r="L1741" i="72"/>
  <c r="A1741" i="72" s="1"/>
  <c r="L1742" i="72"/>
  <c r="A1742" i="72" s="1"/>
  <c r="L1743" i="72"/>
  <c r="A1743" i="72" s="1"/>
  <c r="L1744" i="72"/>
  <c r="A1744" i="72" s="1"/>
  <c r="L1745" i="72"/>
  <c r="A1745" i="72" s="1"/>
  <c r="L1746" i="72"/>
  <c r="A1746" i="72" s="1"/>
  <c r="L1747" i="72"/>
  <c r="A1747" i="72" s="1"/>
  <c r="L1748" i="72"/>
  <c r="A1748" i="72" s="1"/>
  <c r="L1749" i="72"/>
  <c r="A1749" i="72" s="1"/>
  <c r="L1750" i="72"/>
  <c r="A1750" i="72" s="1"/>
  <c r="L1751" i="72"/>
  <c r="A1751" i="72" s="1"/>
  <c r="L1752" i="72"/>
  <c r="A1752" i="72" s="1"/>
  <c r="L1753" i="72"/>
  <c r="A1753" i="72" s="1"/>
  <c r="L1754" i="72"/>
  <c r="A1754" i="72" s="1"/>
  <c r="L1755" i="72"/>
  <c r="A1755" i="72" s="1"/>
  <c r="L1756" i="72"/>
  <c r="A1756" i="72" s="1"/>
  <c r="L1757" i="72"/>
  <c r="A1757" i="72" s="1"/>
  <c r="L1758" i="72"/>
  <c r="A1758" i="72" s="1"/>
  <c r="L1759" i="72"/>
  <c r="A1759" i="72" s="1"/>
  <c r="L1760" i="72"/>
  <c r="A1760" i="72" s="1"/>
  <c r="L1761" i="72"/>
  <c r="A1761" i="72" s="1"/>
  <c r="L1762" i="72"/>
  <c r="A1762" i="72" s="1"/>
  <c r="L1763" i="72"/>
  <c r="A1763" i="72" s="1"/>
  <c r="L1764" i="72"/>
  <c r="A1764" i="72" s="1"/>
  <c r="L1765" i="72"/>
  <c r="A1765" i="72" s="1"/>
  <c r="L1766" i="72"/>
  <c r="A1766" i="72" s="1"/>
  <c r="L1767" i="72"/>
  <c r="A1767" i="72" s="1"/>
  <c r="L1768" i="72"/>
  <c r="A1768" i="72" s="1"/>
  <c r="L1769" i="72"/>
  <c r="A1769" i="72" s="1"/>
  <c r="L1770" i="72"/>
  <c r="A1770" i="72" s="1"/>
  <c r="L1771" i="72"/>
  <c r="A1771" i="72" s="1"/>
  <c r="L1772" i="72"/>
  <c r="A1772" i="72" s="1"/>
  <c r="L1773" i="72"/>
  <c r="A1773" i="72" s="1"/>
  <c r="L1774" i="72"/>
  <c r="A1774" i="72" s="1"/>
  <c r="L1775" i="72"/>
  <c r="A1775" i="72" s="1"/>
  <c r="L1776" i="72"/>
  <c r="A1776" i="72" s="1"/>
  <c r="L1777" i="72"/>
  <c r="A1777" i="72" s="1"/>
  <c r="L1778" i="72"/>
  <c r="A1778" i="72" s="1"/>
  <c r="L1779" i="72"/>
  <c r="A1779" i="72" s="1"/>
  <c r="L1780" i="72"/>
  <c r="A1780" i="72" s="1"/>
  <c r="L1781" i="72"/>
  <c r="A1781" i="72" s="1"/>
  <c r="L1782" i="72"/>
  <c r="A1782" i="72" s="1"/>
  <c r="L1783" i="72"/>
  <c r="A1783" i="72" s="1"/>
  <c r="L1784" i="72"/>
  <c r="A1784" i="72" s="1"/>
  <c r="L1785" i="72"/>
  <c r="A1785" i="72" s="1"/>
  <c r="L1786" i="72"/>
  <c r="A1786" i="72" s="1"/>
  <c r="L1787" i="72"/>
  <c r="A1787" i="72" s="1"/>
  <c r="L1788" i="72"/>
  <c r="A1788" i="72" s="1"/>
  <c r="L1789" i="72"/>
  <c r="A1789" i="72" s="1"/>
  <c r="L1790" i="72"/>
  <c r="A1790" i="72" s="1"/>
  <c r="L1791" i="72"/>
  <c r="A1791" i="72" s="1"/>
  <c r="L1792" i="72"/>
  <c r="A1792" i="72" s="1"/>
  <c r="L1793" i="72"/>
  <c r="A1793" i="72" s="1"/>
  <c r="L1794" i="72"/>
  <c r="A1794" i="72" s="1"/>
  <c r="L1795" i="72"/>
  <c r="A1795" i="72" s="1"/>
  <c r="L1796" i="72"/>
  <c r="A1796" i="72" s="1"/>
  <c r="L1797" i="72"/>
  <c r="A1797" i="72" s="1"/>
  <c r="L1798" i="72"/>
  <c r="A1798" i="72" s="1"/>
  <c r="L1799" i="72"/>
  <c r="A1799" i="72" s="1"/>
  <c r="L1800" i="72"/>
  <c r="A1800" i="72" s="1"/>
  <c r="L1801" i="72"/>
  <c r="A1801" i="72" s="1"/>
  <c r="L1802" i="72"/>
  <c r="A1802" i="72" s="1"/>
  <c r="L1803" i="72"/>
  <c r="A1803" i="72" s="1"/>
  <c r="L1804" i="72"/>
  <c r="A1804" i="72" s="1"/>
  <c r="L1805" i="72"/>
  <c r="A1805" i="72" s="1"/>
  <c r="L1806" i="72"/>
  <c r="A1806" i="72" s="1"/>
  <c r="L1807" i="72"/>
  <c r="A1807" i="72" s="1"/>
  <c r="L1808" i="72"/>
  <c r="A1808" i="72" s="1"/>
  <c r="L1809" i="72"/>
  <c r="A1809" i="72" s="1"/>
  <c r="L1810" i="72"/>
  <c r="A1810" i="72" s="1"/>
  <c r="L1811" i="72"/>
  <c r="A1811" i="72" s="1"/>
  <c r="L1812" i="72"/>
  <c r="A1812" i="72" s="1"/>
  <c r="L1813" i="72"/>
  <c r="A1813" i="72" s="1"/>
  <c r="L1814" i="72"/>
  <c r="A1814" i="72" s="1"/>
  <c r="L1815" i="72"/>
  <c r="A1815" i="72" s="1"/>
  <c r="L1816" i="72"/>
  <c r="A1816" i="72" s="1"/>
  <c r="L1817" i="72"/>
  <c r="A1817" i="72" s="1"/>
  <c r="L1818" i="72"/>
  <c r="A1818" i="72" s="1"/>
  <c r="L1819" i="72"/>
  <c r="A1819" i="72" s="1"/>
  <c r="L1820" i="72"/>
  <c r="A1820" i="72" s="1"/>
  <c r="L1821" i="72"/>
  <c r="A1821" i="72" s="1"/>
  <c r="L1822" i="72"/>
  <c r="A1822" i="72" s="1"/>
  <c r="L1823" i="72"/>
  <c r="A1823" i="72" s="1"/>
  <c r="L1824" i="72"/>
  <c r="A1824" i="72" s="1"/>
  <c r="L1825" i="72"/>
  <c r="A1825" i="72" s="1"/>
  <c r="L1826" i="72"/>
  <c r="A1826" i="72" s="1"/>
  <c r="L1827" i="72"/>
  <c r="A1827" i="72" s="1"/>
  <c r="L1828" i="72"/>
  <c r="A1828" i="72" s="1"/>
  <c r="L1829" i="72"/>
  <c r="A1829" i="72" s="1"/>
  <c r="L1830" i="72"/>
  <c r="A1830" i="72" s="1"/>
  <c r="L1831" i="72"/>
  <c r="A1831" i="72" s="1"/>
  <c r="L1832" i="72"/>
  <c r="A1832" i="72" s="1"/>
  <c r="L1833" i="72"/>
  <c r="A1833" i="72" s="1"/>
  <c r="L1834" i="72"/>
  <c r="A1834" i="72" s="1"/>
  <c r="L1835" i="72"/>
  <c r="A1835" i="72" s="1"/>
  <c r="L1836" i="72"/>
  <c r="A1836" i="72" s="1"/>
  <c r="L1837" i="72"/>
  <c r="A1837" i="72" s="1"/>
  <c r="L1838" i="72"/>
  <c r="A1838" i="72" s="1"/>
  <c r="L1839" i="72"/>
  <c r="A1839" i="72" s="1"/>
  <c r="L1840" i="72"/>
  <c r="A1840" i="72" s="1"/>
  <c r="L1841" i="72"/>
  <c r="A1841" i="72" s="1"/>
  <c r="L1842" i="72"/>
  <c r="A1842" i="72" s="1"/>
  <c r="L1843" i="72"/>
  <c r="A1843" i="72" s="1"/>
  <c r="L1844" i="72"/>
  <c r="A1844" i="72" s="1"/>
  <c r="L1845" i="72"/>
  <c r="A1845" i="72" s="1"/>
  <c r="L1846" i="72"/>
  <c r="A1846" i="72" s="1"/>
  <c r="L1847" i="72"/>
  <c r="A1847" i="72" s="1"/>
  <c r="L1848" i="72"/>
  <c r="A1848" i="72" s="1"/>
  <c r="L1849" i="72"/>
  <c r="A1849" i="72" s="1"/>
  <c r="L1850" i="72"/>
  <c r="A1850" i="72" s="1"/>
  <c r="L1851" i="72"/>
  <c r="A1851" i="72" s="1"/>
  <c r="L1852" i="72"/>
  <c r="A1852" i="72" s="1"/>
  <c r="L1853" i="72"/>
  <c r="A1853" i="72" s="1"/>
  <c r="L1854" i="72"/>
  <c r="A1854" i="72" s="1"/>
  <c r="L1855" i="72"/>
  <c r="A1855" i="72" s="1"/>
  <c r="L1856" i="72"/>
  <c r="A1856" i="72" s="1"/>
  <c r="L1857" i="72"/>
  <c r="A1857" i="72" s="1"/>
  <c r="L1858" i="72"/>
  <c r="A1858" i="72" s="1"/>
  <c r="L1859" i="72"/>
  <c r="A1859" i="72" s="1"/>
  <c r="L1860" i="72"/>
  <c r="A1860" i="72" s="1"/>
  <c r="L1861" i="72"/>
  <c r="A1861" i="72" s="1"/>
  <c r="L1862" i="72"/>
  <c r="A1862" i="72" s="1"/>
  <c r="L1863" i="72"/>
  <c r="A1863" i="72" s="1"/>
  <c r="L1864" i="72"/>
  <c r="A1864" i="72" s="1"/>
  <c r="L1865" i="72"/>
  <c r="A1865" i="72" s="1"/>
  <c r="L1866" i="72"/>
  <c r="A1866" i="72" s="1"/>
  <c r="L1867" i="72"/>
  <c r="A1867" i="72" s="1"/>
  <c r="L1868" i="72"/>
  <c r="A1868" i="72" s="1"/>
  <c r="L1869" i="72"/>
  <c r="A1869" i="72" s="1"/>
  <c r="L1870" i="72"/>
  <c r="A1870" i="72" s="1"/>
  <c r="L1871" i="72"/>
  <c r="A1871" i="72" s="1"/>
  <c r="L1872" i="72"/>
  <c r="A1872" i="72" s="1"/>
  <c r="L1873" i="72"/>
  <c r="A1873" i="72" s="1"/>
  <c r="L1874" i="72"/>
  <c r="A1874" i="72" s="1"/>
  <c r="L1875" i="72"/>
  <c r="A1875" i="72" s="1"/>
  <c r="L1876" i="72"/>
  <c r="A1876" i="72" s="1"/>
  <c r="L1877" i="72"/>
  <c r="A1877" i="72" s="1"/>
  <c r="L1878" i="72"/>
  <c r="A1878" i="72" s="1"/>
  <c r="L1879" i="72"/>
  <c r="A1879" i="72" s="1"/>
  <c r="L1880" i="72"/>
  <c r="A1880" i="72" s="1"/>
  <c r="L1881" i="72"/>
  <c r="A1881" i="72" s="1"/>
  <c r="L1882" i="72"/>
  <c r="A1882" i="72" s="1"/>
  <c r="L1883" i="72"/>
  <c r="A1883" i="72" s="1"/>
  <c r="L1884" i="72"/>
  <c r="A1884" i="72" s="1"/>
  <c r="L1885" i="72"/>
  <c r="A1885" i="72" s="1"/>
  <c r="L1886" i="72"/>
  <c r="A1886" i="72" s="1"/>
  <c r="L1887" i="72"/>
  <c r="A1887" i="72" s="1"/>
  <c r="L1888" i="72"/>
  <c r="A1888" i="72" s="1"/>
  <c r="L1889" i="72"/>
  <c r="A1889" i="72" s="1"/>
  <c r="L1890" i="72"/>
  <c r="A1890" i="72" s="1"/>
  <c r="L1891" i="72"/>
  <c r="A1891" i="72" s="1"/>
  <c r="L1892" i="72"/>
  <c r="A1892" i="72" s="1"/>
  <c r="L1893" i="72"/>
  <c r="A1893" i="72" s="1"/>
  <c r="L1894" i="72"/>
  <c r="A1894" i="72" s="1"/>
  <c r="L1895" i="72"/>
  <c r="A1895" i="72" s="1"/>
  <c r="L1896" i="72"/>
  <c r="A1896" i="72" s="1"/>
  <c r="L1897" i="72"/>
  <c r="A1897" i="72" s="1"/>
  <c r="L1898" i="72"/>
  <c r="A1898" i="72" s="1"/>
  <c r="L1899" i="72"/>
  <c r="A1899" i="72" s="1"/>
  <c r="L1900" i="72"/>
  <c r="A1900" i="72" s="1"/>
  <c r="L1901" i="72"/>
  <c r="A1901" i="72" s="1"/>
  <c r="L1902" i="72"/>
  <c r="A1902" i="72" s="1"/>
  <c r="L1903" i="72"/>
  <c r="A1903" i="72" s="1"/>
  <c r="L1904" i="72"/>
  <c r="A1904" i="72" s="1"/>
  <c r="L1905" i="72"/>
  <c r="A1905" i="72" s="1"/>
  <c r="L1906" i="72"/>
  <c r="A1906" i="72" s="1"/>
  <c r="L1907" i="72"/>
  <c r="A1907" i="72" s="1"/>
  <c r="L1908" i="72"/>
  <c r="A1908" i="72" s="1"/>
  <c r="L1909" i="72"/>
  <c r="A1909" i="72" s="1"/>
  <c r="L1910" i="72"/>
  <c r="A1910" i="72" s="1"/>
  <c r="L1911" i="72"/>
  <c r="A1911" i="72" s="1"/>
  <c r="L1912" i="72"/>
  <c r="A1912" i="72" s="1"/>
  <c r="L1913" i="72"/>
  <c r="A1913" i="72" s="1"/>
  <c r="L1914" i="72"/>
  <c r="A1914" i="72" s="1"/>
  <c r="L1915" i="72"/>
  <c r="A1915" i="72" s="1"/>
  <c r="L1916" i="72"/>
  <c r="A1916" i="72" s="1"/>
  <c r="L1917" i="72"/>
  <c r="A1917" i="72" s="1"/>
  <c r="L1918" i="72"/>
  <c r="A1918" i="72" s="1"/>
  <c r="L1919" i="72"/>
  <c r="A1919" i="72" s="1"/>
  <c r="L1920" i="72"/>
  <c r="A1920" i="72" s="1"/>
  <c r="L1921" i="72"/>
  <c r="A1921" i="72" s="1"/>
  <c r="L1922" i="72"/>
  <c r="A1922" i="72" s="1"/>
  <c r="L1923" i="72"/>
  <c r="A1923" i="72" s="1"/>
  <c r="L1924" i="72"/>
  <c r="A1924" i="72" s="1"/>
  <c r="L1925" i="72"/>
  <c r="A1925" i="72" s="1"/>
  <c r="L1926" i="72"/>
  <c r="A1926" i="72" s="1"/>
  <c r="L1927" i="72"/>
  <c r="A1927" i="72" s="1"/>
  <c r="L1928" i="72"/>
  <c r="A1928" i="72" s="1"/>
  <c r="L1929" i="72"/>
  <c r="A1929" i="72" s="1"/>
  <c r="L1930" i="72"/>
  <c r="A1930" i="72" s="1"/>
  <c r="L1931" i="72"/>
  <c r="A1931" i="72" s="1"/>
  <c r="L1932" i="72"/>
  <c r="A1932" i="72" s="1"/>
  <c r="L1933" i="72"/>
  <c r="A1933" i="72" s="1"/>
  <c r="L1934" i="72"/>
  <c r="A1934" i="72" s="1"/>
  <c r="L1935" i="72"/>
  <c r="A1935" i="72" s="1"/>
  <c r="L1936" i="72"/>
  <c r="A1936" i="72" s="1"/>
  <c r="L1937" i="72"/>
  <c r="A1937" i="72" s="1"/>
  <c r="L1938" i="72"/>
  <c r="A1938" i="72" s="1"/>
  <c r="L1939" i="72"/>
  <c r="A1939" i="72" s="1"/>
  <c r="L1940" i="72"/>
  <c r="A1940" i="72" s="1"/>
  <c r="L1941" i="72"/>
  <c r="A1941" i="72" s="1"/>
  <c r="L1942" i="72"/>
  <c r="A1942" i="72" s="1"/>
  <c r="L1943" i="72"/>
  <c r="A1943" i="72" s="1"/>
  <c r="L1944" i="72"/>
  <c r="A1944" i="72" s="1"/>
  <c r="L1945" i="72"/>
  <c r="A1945" i="72" s="1"/>
  <c r="L1946" i="72"/>
  <c r="A1946" i="72" s="1"/>
  <c r="L1947" i="72"/>
  <c r="A1947" i="72" s="1"/>
  <c r="L1948" i="72"/>
  <c r="A1948" i="72" s="1"/>
  <c r="L1949" i="72"/>
  <c r="A1949" i="72" s="1"/>
  <c r="L1950" i="72"/>
  <c r="A1950" i="72" s="1"/>
  <c r="L1951" i="72"/>
  <c r="A1951" i="72" s="1"/>
  <c r="L1952" i="72"/>
  <c r="A1952" i="72" s="1"/>
  <c r="L1953" i="72"/>
  <c r="A1953" i="72" s="1"/>
  <c r="L1954" i="72"/>
  <c r="A1954" i="72" s="1"/>
  <c r="L1955" i="72"/>
  <c r="A1955" i="72" s="1"/>
  <c r="L1956" i="72"/>
  <c r="A1956" i="72" s="1"/>
  <c r="L1957" i="72"/>
  <c r="A1957" i="72" s="1"/>
  <c r="L1958" i="72"/>
  <c r="A1958" i="72" s="1"/>
  <c r="L1959" i="72"/>
  <c r="A1959" i="72" s="1"/>
  <c r="L1960" i="72"/>
  <c r="A1960" i="72" s="1"/>
  <c r="L1961" i="72"/>
  <c r="A1961" i="72" s="1"/>
  <c r="L1962" i="72"/>
  <c r="A1962" i="72" s="1"/>
  <c r="L1963" i="72"/>
  <c r="A1963" i="72" s="1"/>
  <c r="L1964" i="72"/>
  <c r="A1964" i="72" s="1"/>
  <c r="L1965" i="72"/>
  <c r="A1965" i="72" s="1"/>
  <c r="L1966" i="72"/>
  <c r="A1966" i="72" s="1"/>
  <c r="L1967" i="72"/>
  <c r="A1967" i="72" s="1"/>
  <c r="L1968" i="72"/>
  <c r="A1968" i="72" s="1"/>
  <c r="L1969" i="72"/>
  <c r="A1969" i="72" s="1"/>
  <c r="L1970" i="72"/>
  <c r="A1970" i="72" s="1"/>
  <c r="L1971" i="72"/>
  <c r="A1971" i="72" s="1"/>
  <c r="L1972" i="72"/>
  <c r="A1972" i="72" s="1"/>
  <c r="L1973" i="72"/>
  <c r="A1973" i="72" s="1"/>
  <c r="L1974" i="72"/>
  <c r="A1974" i="72" s="1"/>
  <c r="L1975" i="72"/>
  <c r="A1975" i="72" s="1"/>
  <c r="L1976" i="72"/>
  <c r="A1976" i="72" s="1"/>
  <c r="L1977" i="72"/>
  <c r="A1977" i="72" s="1"/>
  <c r="L1978" i="72"/>
  <c r="A1978" i="72" s="1"/>
  <c r="L1979" i="72"/>
  <c r="A1979" i="72" s="1"/>
  <c r="L1980" i="72"/>
  <c r="A1980" i="72" s="1"/>
  <c r="L1981" i="72"/>
  <c r="A1981" i="72" s="1"/>
  <c r="L1982" i="72"/>
  <c r="A1982" i="72" s="1"/>
  <c r="L1983" i="72"/>
  <c r="A1983" i="72" s="1"/>
  <c r="L1984" i="72"/>
  <c r="A1984" i="72" s="1"/>
  <c r="L1985" i="72"/>
  <c r="A1985" i="72" s="1"/>
  <c r="L1986" i="72"/>
  <c r="A1986" i="72" s="1"/>
  <c r="L1987" i="72"/>
  <c r="A1987" i="72" s="1"/>
  <c r="L1988" i="72"/>
  <c r="A1988" i="72" s="1"/>
  <c r="L1989" i="72"/>
  <c r="A1989" i="72" s="1"/>
  <c r="L1990" i="72"/>
  <c r="A1990" i="72" s="1"/>
  <c r="L1991" i="72"/>
  <c r="A1991" i="72" s="1"/>
  <c r="L1992" i="72"/>
  <c r="A1992" i="72" s="1"/>
  <c r="L1993" i="72"/>
  <c r="A1993" i="72" s="1"/>
  <c r="L1994" i="72"/>
  <c r="A1994" i="72" s="1"/>
  <c r="L1995" i="72"/>
  <c r="A1995" i="72" s="1"/>
  <c r="L1996" i="72"/>
  <c r="A1996" i="72" s="1"/>
  <c r="L1997" i="72"/>
  <c r="A1997" i="72" s="1"/>
  <c r="L1998" i="72"/>
  <c r="A1998" i="72" s="1"/>
  <c r="L1999" i="72"/>
  <c r="A1999" i="72" s="1"/>
  <c r="L2000" i="72"/>
  <c r="A2000" i="72" s="1"/>
  <c r="L2001" i="72"/>
  <c r="A2001" i="72" s="1"/>
  <c r="L2002" i="72"/>
  <c r="A2002" i="72" s="1"/>
  <c r="L2003" i="72"/>
  <c r="A2003" i="72" s="1"/>
  <c r="L2004" i="72"/>
  <c r="A2004" i="72" s="1"/>
  <c r="L2005" i="72"/>
  <c r="A2005" i="72" s="1"/>
  <c r="L2006" i="72"/>
  <c r="A2006" i="72" s="1"/>
  <c r="L2007" i="72"/>
  <c r="A2007" i="72" s="1"/>
  <c r="L2008" i="72"/>
  <c r="A2008" i="72" s="1"/>
  <c r="L2009" i="72"/>
  <c r="A2009" i="72" s="1"/>
  <c r="L2010" i="72"/>
  <c r="A2010" i="72" s="1"/>
  <c r="L2011" i="72"/>
  <c r="A2011" i="72" s="1"/>
  <c r="L2012" i="72"/>
  <c r="A2012" i="72" s="1"/>
  <c r="L2013" i="72"/>
  <c r="A2013" i="72" s="1"/>
  <c r="L2014" i="72"/>
  <c r="A2014" i="72" s="1"/>
  <c r="L2015" i="72"/>
  <c r="A2015" i="72" s="1"/>
  <c r="L2016" i="72"/>
  <c r="A2016" i="72" s="1"/>
  <c r="L2017" i="72"/>
  <c r="A2017" i="72" s="1"/>
  <c r="L2018" i="72"/>
  <c r="A2018" i="72" s="1"/>
  <c r="L2019" i="72"/>
  <c r="A2019" i="72" s="1"/>
  <c r="L2020" i="72"/>
  <c r="A2020" i="72" s="1"/>
  <c r="L2021" i="72"/>
  <c r="A2021" i="72" s="1"/>
  <c r="L2022" i="72"/>
  <c r="A2022" i="72" s="1"/>
  <c r="L2023" i="72"/>
  <c r="A2023" i="72" s="1"/>
  <c r="L2024" i="72"/>
  <c r="A2024" i="72" s="1"/>
  <c r="L2025" i="72"/>
  <c r="A2025" i="72" s="1"/>
  <c r="L2026" i="72"/>
  <c r="A2026" i="72" s="1"/>
  <c r="L2027" i="72"/>
  <c r="A2027" i="72" s="1"/>
  <c r="L2028" i="72"/>
  <c r="A2028" i="72" s="1"/>
  <c r="L2029" i="72"/>
  <c r="A2029" i="72" s="1"/>
  <c r="L2030" i="72"/>
  <c r="A2030" i="72" s="1"/>
  <c r="L2031" i="72"/>
  <c r="A2031" i="72" s="1"/>
  <c r="L2032" i="72"/>
  <c r="A2032" i="72" s="1"/>
  <c r="L2033" i="72"/>
  <c r="A2033" i="72" s="1"/>
  <c r="L2034" i="72"/>
  <c r="A2034" i="72" s="1"/>
  <c r="L2035" i="72"/>
  <c r="A2035" i="72" s="1"/>
  <c r="L2036" i="72"/>
  <c r="A2036" i="72" s="1"/>
  <c r="L2037" i="72"/>
  <c r="A2037" i="72" s="1"/>
  <c r="L2038" i="72"/>
  <c r="A2038" i="72" s="1"/>
  <c r="L2039" i="72"/>
  <c r="A2039" i="72" s="1"/>
  <c r="L2040" i="72"/>
  <c r="A2040" i="72" s="1"/>
  <c r="L2041" i="72"/>
  <c r="A2041" i="72" s="1"/>
  <c r="L2042" i="72"/>
  <c r="A2042" i="72" s="1"/>
  <c r="L2043" i="72"/>
  <c r="A2043" i="72" s="1"/>
  <c r="L2044" i="72"/>
  <c r="A2044" i="72" s="1"/>
  <c r="L2045" i="72"/>
  <c r="A2045" i="72" s="1"/>
  <c r="L2046" i="72"/>
  <c r="A2046" i="72" s="1"/>
  <c r="L2047" i="72"/>
  <c r="A2047" i="72" s="1"/>
  <c r="L2048" i="72"/>
  <c r="A2048" i="72" s="1"/>
  <c r="L2049" i="72"/>
  <c r="A2049" i="72" s="1"/>
  <c r="L2050" i="72"/>
  <c r="A2050" i="72" s="1"/>
  <c r="L2051" i="72"/>
  <c r="A2051" i="72" s="1"/>
  <c r="L2052" i="72"/>
  <c r="A2052" i="72" s="1"/>
  <c r="L2053" i="72"/>
  <c r="A2053" i="72" s="1"/>
  <c r="L2054" i="72"/>
  <c r="A2054" i="72" s="1"/>
  <c r="L2055" i="72"/>
  <c r="A2055" i="72" s="1"/>
  <c r="L2056" i="72"/>
  <c r="A2056" i="72" s="1"/>
  <c r="L2057" i="72"/>
  <c r="A2057" i="72" s="1"/>
  <c r="L2058" i="72"/>
  <c r="A2058" i="72" s="1"/>
  <c r="L2059" i="72"/>
  <c r="A2059" i="72" s="1"/>
  <c r="L2060" i="72"/>
  <c r="A2060" i="72" s="1"/>
  <c r="L2061" i="72"/>
  <c r="A2061" i="72" s="1"/>
  <c r="L2062" i="72"/>
  <c r="A2062" i="72" s="1"/>
  <c r="L2063" i="72"/>
  <c r="A2063" i="72" s="1"/>
  <c r="L2064" i="72"/>
  <c r="A2064" i="72" s="1"/>
  <c r="L2065" i="72"/>
  <c r="A2065" i="72" s="1"/>
  <c r="L2066" i="72"/>
  <c r="A2066" i="72" s="1"/>
  <c r="L2067" i="72"/>
  <c r="A2067" i="72" s="1"/>
  <c r="L2068" i="72"/>
  <c r="A2068" i="72" s="1"/>
  <c r="L2069" i="72"/>
  <c r="A2069" i="72" s="1"/>
  <c r="L2070" i="72"/>
  <c r="A2070" i="72" s="1"/>
  <c r="L2071" i="72"/>
  <c r="A2071" i="72" s="1"/>
  <c r="L2072" i="72"/>
  <c r="A2072" i="72" s="1"/>
  <c r="L2073" i="72"/>
  <c r="A2073" i="72" s="1"/>
  <c r="L2074" i="72"/>
  <c r="A2074" i="72" s="1"/>
  <c r="L2075" i="72"/>
  <c r="A2075" i="72" s="1"/>
  <c r="L2076" i="72"/>
  <c r="A2076" i="72" s="1"/>
  <c r="L2077" i="72"/>
  <c r="A2077" i="72" s="1"/>
  <c r="L2078" i="72"/>
  <c r="A2078" i="72" s="1"/>
  <c r="L2079" i="72"/>
  <c r="A2079" i="72" s="1"/>
  <c r="L2080" i="72"/>
  <c r="A2080" i="72" s="1"/>
  <c r="L2081" i="72"/>
  <c r="A2081" i="72" s="1"/>
  <c r="L2082" i="72"/>
  <c r="A2082" i="72" s="1"/>
  <c r="L2083" i="72"/>
  <c r="A2083" i="72" s="1"/>
  <c r="L2084" i="72"/>
  <c r="A2084" i="72" s="1"/>
  <c r="L2085" i="72"/>
  <c r="A2085" i="72" s="1"/>
  <c r="L2086" i="72"/>
  <c r="A2086" i="72" s="1"/>
  <c r="L2087" i="72"/>
  <c r="A2087" i="72" s="1"/>
  <c r="L2088" i="72"/>
  <c r="A2088" i="72" s="1"/>
  <c r="L2089" i="72"/>
  <c r="A2089" i="72" s="1"/>
  <c r="L2090" i="72"/>
  <c r="A2090" i="72" s="1"/>
  <c r="L2091" i="72"/>
  <c r="A2091" i="72" s="1"/>
  <c r="L2092" i="72"/>
  <c r="A2092" i="72" s="1"/>
  <c r="L2093" i="72"/>
  <c r="A2093" i="72" s="1"/>
  <c r="L2094" i="72"/>
  <c r="A2094" i="72" s="1"/>
  <c r="L2095" i="72"/>
  <c r="A2095" i="72" s="1"/>
  <c r="L2096" i="72"/>
  <c r="A2096" i="72" s="1"/>
  <c r="L2097" i="72"/>
  <c r="A2097" i="72" s="1"/>
  <c r="L2098" i="72"/>
  <c r="A2098" i="72" s="1"/>
  <c r="L2099" i="72"/>
  <c r="A2099" i="72" s="1"/>
  <c r="L2100" i="72"/>
  <c r="A2100" i="72" s="1"/>
  <c r="L2101" i="72"/>
  <c r="A2101" i="72" s="1"/>
  <c r="L2102" i="72"/>
  <c r="A2102" i="72" s="1"/>
  <c r="L2103" i="72"/>
  <c r="A2103" i="72" s="1"/>
  <c r="L2104" i="72"/>
  <c r="A2104" i="72" s="1"/>
  <c r="L2105" i="72"/>
  <c r="A2105" i="72" s="1"/>
  <c r="L2106" i="72"/>
  <c r="A2106" i="72" s="1"/>
  <c r="L2107" i="72"/>
  <c r="A2107" i="72" s="1"/>
  <c r="L2108" i="72"/>
  <c r="A2108" i="72" s="1"/>
  <c r="L2109" i="72"/>
  <c r="A2109" i="72" s="1"/>
  <c r="L2110" i="72"/>
  <c r="A2110" i="72" s="1"/>
  <c r="L2111" i="72"/>
  <c r="A2111" i="72" s="1"/>
  <c r="L2112" i="72"/>
  <c r="A2112" i="72" s="1"/>
  <c r="L2113" i="72"/>
  <c r="A2113" i="72" s="1"/>
  <c r="L2114" i="72"/>
  <c r="A2114" i="72" s="1"/>
  <c r="L2115" i="72"/>
  <c r="A2115" i="72" s="1"/>
  <c r="L2116" i="72"/>
  <c r="A2116" i="72" s="1"/>
  <c r="L2117" i="72"/>
  <c r="A2117" i="72" s="1"/>
  <c r="L2118" i="72"/>
  <c r="A2118" i="72" s="1"/>
  <c r="L2119" i="72"/>
  <c r="A2119" i="72" s="1"/>
  <c r="L2120" i="72"/>
  <c r="A2120" i="72" s="1"/>
  <c r="L2121" i="72"/>
  <c r="A2121" i="72" s="1"/>
  <c r="L2122" i="72"/>
  <c r="A2122" i="72" s="1"/>
  <c r="L2123" i="72"/>
  <c r="A2123" i="72" s="1"/>
  <c r="L2124" i="72"/>
  <c r="A2124" i="72" s="1"/>
  <c r="L2125" i="72"/>
  <c r="A2125" i="72" s="1"/>
  <c r="L2126" i="72"/>
  <c r="A2126" i="72" s="1"/>
  <c r="L2127" i="72"/>
  <c r="A2127" i="72" s="1"/>
  <c r="L2128" i="72"/>
  <c r="A2128" i="72" s="1"/>
  <c r="L2129" i="72"/>
  <c r="A2129" i="72" s="1"/>
  <c r="L2130" i="72"/>
  <c r="A2130" i="72" s="1"/>
  <c r="L2131" i="72"/>
  <c r="A2131" i="72" s="1"/>
  <c r="L2132" i="72"/>
  <c r="A2132" i="72" s="1"/>
  <c r="L2133" i="72"/>
  <c r="A2133" i="72" s="1"/>
  <c r="L2134" i="72"/>
  <c r="A2134" i="72" s="1"/>
  <c r="L2135" i="72"/>
  <c r="A2135" i="72" s="1"/>
  <c r="L2136" i="72"/>
  <c r="A2136" i="72" s="1"/>
  <c r="L2137" i="72"/>
  <c r="A2137" i="72" s="1"/>
  <c r="L2138" i="72"/>
  <c r="A2138" i="72" s="1"/>
  <c r="L2139" i="72"/>
  <c r="A2139" i="72" s="1"/>
  <c r="L2140" i="72"/>
  <c r="A2140" i="72" s="1"/>
  <c r="L2141" i="72"/>
  <c r="A2141" i="72" s="1"/>
  <c r="L2142" i="72"/>
  <c r="A2142" i="72" s="1"/>
  <c r="L2143" i="72"/>
  <c r="A2143" i="72" s="1"/>
  <c r="L2144" i="72"/>
  <c r="A2144" i="72" s="1"/>
  <c r="L2145" i="72"/>
  <c r="A2145" i="72" s="1"/>
  <c r="L2146" i="72"/>
  <c r="A2146" i="72" s="1"/>
  <c r="L2147" i="72"/>
  <c r="A2147" i="72" s="1"/>
  <c r="L2148" i="72"/>
  <c r="A2148" i="72" s="1"/>
  <c r="L2149" i="72"/>
  <c r="A2149" i="72" s="1"/>
  <c r="L2150" i="72"/>
  <c r="A2150" i="72" s="1"/>
  <c r="L2151" i="72"/>
  <c r="A2151" i="72" s="1"/>
  <c r="L2152" i="72"/>
  <c r="A2152" i="72" s="1"/>
  <c r="L2153" i="72"/>
  <c r="A2153" i="72" s="1"/>
  <c r="L2154" i="72"/>
  <c r="A2154" i="72" s="1"/>
  <c r="L2155" i="72"/>
  <c r="A2155" i="72" s="1"/>
  <c r="L2156" i="72"/>
  <c r="A2156" i="72" s="1"/>
  <c r="L2157" i="72"/>
  <c r="A2157" i="72" s="1"/>
  <c r="L2158" i="72"/>
  <c r="A2158" i="72" s="1"/>
  <c r="L2159" i="72"/>
  <c r="A2159" i="72" s="1"/>
  <c r="L2160" i="72"/>
  <c r="A2160" i="72" s="1"/>
  <c r="L2161" i="72"/>
  <c r="A2161" i="72" s="1"/>
  <c r="L2162" i="72"/>
  <c r="A2162" i="72" s="1"/>
  <c r="L2163" i="72"/>
  <c r="A2163" i="72" s="1"/>
  <c r="L2164" i="72"/>
  <c r="A2164" i="72" s="1"/>
  <c r="L2165" i="72"/>
  <c r="A2165" i="72" s="1"/>
  <c r="L2166" i="72"/>
  <c r="A2166" i="72" s="1"/>
  <c r="L2167" i="72"/>
  <c r="A2167" i="72" s="1"/>
  <c r="L2168" i="72"/>
  <c r="A2168" i="72" s="1"/>
  <c r="L2169" i="72"/>
  <c r="A2169" i="72" s="1"/>
  <c r="L2170" i="72"/>
  <c r="A2170" i="72" s="1"/>
  <c r="L2171" i="72"/>
  <c r="A2171" i="72" s="1"/>
  <c r="L2172" i="72"/>
  <c r="A2172" i="72" s="1"/>
  <c r="L2173" i="72"/>
  <c r="A2173" i="72" s="1"/>
  <c r="L2174" i="72"/>
  <c r="A2174" i="72" s="1"/>
  <c r="L2175" i="72"/>
  <c r="A2175" i="72" s="1"/>
  <c r="L2176" i="72"/>
  <c r="A2176" i="72" s="1"/>
  <c r="L2177" i="72"/>
  <c r="A2177" i="72" s="1"/>
  <c r="L2178" i="72"/>
  <c r="A2178" i="72" s="1"/>
  <c r="L2179" i="72"/>
  <c r="A2179" i="72" s="1"/>
  <c r="L2180" i="72"/>
  <c r="A2180" i="72" s="1"/>
  <c r="L2181" i="72"/>
  <c r="A2181" i="72" s="1"/>
  <c r="L2182" i="72"/>
  <c r="A2182" i="72" s="1"/>
  <c r="L2183" i="72"/>
  <c r="A2183" i="72" s="1"/>
  <c r="L2184" i="72"/>
  <c r="A2184" i="72" s="1"/>
  <c r="L2185" i="72"/>
  <c r="A2185" i="72" s="1"/>
  <c r="L2186" i="72"/>
  <c r="A2186" i="72" s="1"/>
  <c r="L2187" i="72"/>
  <c r="A2187" i="72" s="1"/>
  <c r="L2188" i="72"/>
  <c r="A2188" i="72" s="1"/>
  <c r="L2189" i="72"/>
  <c r="A2189" i="72" s="1"/>
  <c r="L2190" i="72"/>
  <c r="A2190" i="72" s="1"/>
  <c r="L2191" i="72"/>
  <c r="A2191" i="72" s="1"/>
  <c r="L2192" i="72"/>
  <c r="A2192" i="72" s="1"/>
  <c r="L2193" i="72"/>
  <c r="A2193" i="72" s="1"/>
  <c r="L2194" i="72"/>
  <c r="A2194" i="72" s="1"/>
  <c r="L2195" i="72"/>
  <c r="A2195" i="72" s="1"/>
  <c r="L2196" i="72"/>
  <c r="A2196" i="72" s="1"/>
  <c r="L2197" i="72"/>
  <c r="A2197" i="72" s="1"/>
  <c r="L2198" i="72"/>
  <c r="A2198" i="72" s="1"/>
  <c r="L2199" i="72"/>
  <c r="A2199" i="72" s="1"/>
  <c r="L2200" i="72"/>
  <c r="A2200" i="72" s="1"/>
  <c r="L2201" i="72"/>
  <c r="A2201" i="72" s="1"/>
  <c r="L2202" i="72"/>
  <c r="A2202" i="72" s="1"/>
  <c r="L2203" i="72"/>
  <c r="A2203" i="72" s="1"/>
  <c r="L2204" i="72"/>
  <c r="A2204" i="72" s="1"/>
  <c r="L2205" i="72"/>
  <c r="A2205" i="72" s="1"/>
  <c r="L2206" i="72"/>
  <c r="A2206" i="72" s="1"/>
  <c r="L2207" i="72"/>
  <c r="A2207" i="72" s="1"/>
  <c r="L2208" i="72"/>
  <c r="A2208" i="72" s="1"/>
  <c r="L2209" i="72"/>
  <c r="A2209" i="72" s="1"/>
  <c r="L2210" i="72"/>
  <c r="A2210" i="72" s="1"/>
  <c r="L2211" i="72"/>
  <c r="A2211" i="72" s="1"/>
  <c r="L2212" i="72"/>
  <c r="A2212" i="72" s="1"/>
  <c r="L2213" i="72"/>
  <c r="A2213" i="72" s="1"/>
  <c r="L2214" i="72"/>
  <c r="A2214" i="72" s="1"/>
  <c r="L2215" i="72"/>
  <c r="A2215" i="72" s="1"/>
  <c r="L2216" i="72"/>
  <c r="A2216" i="72" s="1"/>
  <c r="L2217" i="72"/>
  <c r="A2217" i="72" s="1"/>
  <c r="L2218" i="72"/>
  <c r="A2218" i="72" s="1"/>
  <c r="L2219" i="72"/>
  <c r="A2219" i="72" s="1"/>
  <c r="L2220" i="72"/>
  <c r="A2220" i="72" s="1"/>
  <c r="L2221" i="72"/>
  <c r="A2221" i="72" s="1"/>
  <c r="L2222" i="72"/>
  <c r="A2222" i="72" s="1"/>
  <c r="L2223" i="72"/>
  <c r="A2223" i="72" s="1"/>
  <c r="L2224" i="72"/>
  <c r="A2224" i="72" s="1"/>
  <c r="L2225" i="72"/>
  <c r="A2225" i="72" s="1"/>
  <c r="L2226" i="72"/>
  <c r="A2226" i="72" s="1"/>
  <c r="L2227" i="72"/>
  <c r="A2227" i="72" s="1"/>
  <c r="L2228" i="72"/>
  <c r="A2228" i="72" s="1"/>
  <c r="L2229" i="72"/>
  <c r="A2229" i="72" s="1"/>
  <c r="L2230" i="72"/>
  <c r="A2230" i="72" s="1"/>
  <c r="L2231" i="72"/>
  <c r="A2231" i="72" s="1"/>
  <c r="L2232" i="72"/>
  <c r="A2232" i="72" s="1"/>
  <c r="L2233" i="72"/>
  <c r="A2233" i="72" s="1"/>
  <c r="L2234" i="72"/>
  <c r="A2234" i="72" s="1"/>
  <c r="L2235" i="72"/>
  <c r="A2235" i="72" s="1"/>
  <c r="L2236" i="72"/>
  <c r="A2236" i="72" s="1"/>
  <c r="L2237" i="72"/>
  <c r="A2237" i="72" s="1"/>
  <c r="L2238" i="72"/>
  <c r="A2238" i="72" s="1"/>
  <c r="L2239" i="72"/>
  <c r="A2239" i="72" s="1"/>
  <c r="L2240" i="72"/>
  <c r="A2240" i="72" s="1"/>
  <c r="L2241" i="72"/>
  <c r="A2241" i="72" s="1"/>
  <c r="L2242" i="72"/>
  <c r="A2242" i="72" s="1"/>
  <c r="L2243" i="72"/>
  <c r="A2243" i="72" s="1"/>
  <c r="L2244" i="72"/>
  <c r="A2244" i="72" s="1"/>
  <c r="L2245" i="72"/>
  <c r="A2245" i="72" s="1"/>
  <c r="L2246" i="72"/>
  <c r="A2246" i="72" s="1"/>
  <c r="L2247" i="72"/>
  <c r="A2247" i="72" s="1"/>
  <c r="L2248" i="72"/>
  <c r="A2248" i="72" s="1"/>
  <c r="L2249" i="72"/>
  <c r="A2249" i="72" s="1"/>
  <c r="L2250" i="72"/>
  <c r="A2250" i="72" s="1"/>
  <c r="L2251" i="72"/>
  <c r="A2251" i="72" s="1"/>
  <c r="L2252" i="72"/>
  <c r="A2252" i="72" s="1"/>
  <c r="L2253" i="72"/>
  <c r="A2253" i="72" s="1"/>
  <c r="L2254" i="72"/>
  <c r="A2254" i="72" s="1"/>
  <c r="L2255" i="72"/>
  <c r="A2255" i="72" s="1"/>
  <c r="L2256" i="72"/>
  <c r="A2256" i="72" s="1"/>
  <c r="L2257" i="72"/>
  <c r="A2257" i="72" s="1"/>
  <c r="L2258" i="72"/>
  <c r="A2258" i="72" s="1"/>
  <c r="L2259" i="72"/>
  <c r="A2259" i="72" s="1"/>
  <c r="L2260" i="72"/>
  <c r="A2260" i="72" s="1"/>
  <c r="L2261" i="72"/>
  <c r="A2261" i="72" s="1"/>
  <c r="L2262" i="72"/>
  <c r="A2262" i="72" s="1"/>
  <c r="L2263" i="72"/>
  <c r="A2263" i="72" s="1"/>
  <c r="L2264" i="72"/>
  <c r="A2264" i="72" s="1"/>
  <c r="L2265" i="72"/>
  <c r="A2265" i="72" s="1"/>
  <c r="L2266" i="72"/>
  <c r="A2266" i="72" s="1"/>
  <c r="L2267" i="72"/>
  <c r="A2267" i="72" s="1"/>
  <c r="L2268" i="72"/>
  <c r="A2268" i="72" s="1"/>
  <c r="L2269" i="72"/>
  <c r="A2269" i="72" s="1"/>
  <c r="L2270" i="72"/>
  <c r="A2270" i="72" s="1"/>
  <c r="L2271" i="72"/>
  <c r="A2271" i="72" s="1"/>
  <c r="L2272" i="72"/>
  <c r="A2272" i="72" s="1"/>
  <c r="L2273" i="72"/>
  <c r="A2273" i="72" s="1"/>
  <c r="L2274" i="72"/>
  <c r="A2274" i="72" s="1"/>
  <c r="L2275" i="72"/>
  <c r="A2275" i="72" s="1"/>
  <c r="L2276" i="72"/>
  <c r="A2276" i="72" s="1"/>
  <c r="L2277" i="72"/>
  <c r="A2277" i="72" s="1"/>
  <c r="L2278" i="72"/>
  <c r="A2278" i="72" s="1"/>
  <c r="L2279" i="72"/>
  <c r="A2279" i="72" s="1"/>
  <c r="L2280" i="72"/>
  <c r="A2280" i="72" s="1"/>
  <c r="L2281" i="72"/>
  <c r="A2281" i="72" s="1"/>
  <c r="L2282" i="72"/>
  <c r="A2282" i="72" s="1"/>
  <c r="L2283" i="72"/>
  <c r="A2283" i="72" s="1"/>
  <c r="L2284" i="72"/>
  <c r="A2284" i="72" s="1"/>
  <c r="L2285" i="72"/>
  <c r="A2285" i="72" s="1"/>
  <c r="L2286" i="72"/>
  <c r="A2286" i="72" s="1"/>
  <c r="L2287" i="72"/>
  <c r="A2287" i="72" s="1"/>
  <c r="L2288" i="72"/>
  <c r="A2288" i="72" s="1"/>
  <c r="L2289" i="72"/>
  <c r="A2289" i="72" s="1"/>
  <c r="L2290" i="72"/>
  <c r="A2290" i="72" s="1"/>
  <c r="L2291" i="72"/>
  <c r="A2291" i="72" s="1"/>
  <c r="L2292" i="72"/>
  <c r="A2292" i="72" s="1"/>
  <c r="L2293" i="72"/>
  <c r="A2293" i="72" s="1"/>
  <c r="L2294" i="72"/>
  <c r="A2294" i="72" s="1"/>
  <c r="L2295" i="72"/>
  <c r="A2295" i="72" s="1"/>
  <c r="L2296" i="72"/>
  <c r="A2296" i="72" s="1"/>
  <c r="L2297" i="72"/>
  <c r="A2297" i="72" s="1"/>
  <c r="L2298" i="72"/>
  <c r="A2298" i="72" s="1"/>
  <c r="L2299" i="72"/>
  <c r="A2299" i="72" s="1"/>
  <c r="L2300" i="72"/>
  <c r="A2300" i="72" s="1"/>
  <c r="L2301" i="72"/>
  <c r="A2301" i="72" s="1"/>
  <c r="L2302" i="72"/>
  <c r="A2302" i="72" s="1"/>
  <c r="L2303" i="72"/>
  <c r="A2303" i="72" s="1"/>
  <c r="L2304" i="72"/>
  <c r="A2304" i="72" s="1"/>
  <c r="L2305" i="72"/>
  <c r="A2305" i="72" s="1"/>
  <c r="L2306" i="72"/>
  <c r="A2306" i="72" s="1"/>
  <c r="L2307" i="72"/>
  <c r="A2307" i="72" s="1"/>
  <c r="L2308" i="72"/>
  <c r="A2308" i="72" s="1"/>
  <c r="L2309" i="72"/>
  <c r="A2309" i="72" s="1"/>
  <c r="L2310" i="72"/>
  <c r="A2310" i="72" s="1"/>
  <c r="L2311" i="72"/>
  <c r="A2311" i="72" s="1"/>
  <c r="L2312" i="72"/>
  <c r="A2312" i="72" s="1"/>
  <c r="L2313" i="72"/>
  <c r="A2313" i="72" s="1"/>
  <c r="L2314" i="72"/>
  <c r="A2314" i="72" s="1"/>
  <c r="L2315" i="72"/>
  <c r="A2315" i="72" s="1"/>
  <c r="L2316" i="72"/>
  <c r="A2316" i="72" s="1"/>
  <c r="L2317" i="72"/>
  <c r="A2317" i="72" s="1"/>
  <c r="L2318" i="72"/>
  <c r="A2318" i="72" s="1"/>
  <c r="L2319" i="72"/>
  <c r="A2319" i="72" s="1"/>
  <c r="L2320" i="72"/>
  <c r="A2320" i="72" s="1"/>
  <c r="L2321" i="72"/>
  <c r="A2321" i="72" s="1"/>
  <c r="L2322" i="72"/>
  <c r="A2322" i="72" s="1"/>
  <c r="L2323" i="72"/>
  <c r="A2323" i="72" s="1"/>
  <c r="L2324" i="72"/>
  <c r="A2324" i="72" s="1"/>
  <c r="L2325" i="72"/>
  <c r="A2325" i="72" s="1"/>
  <c r="L2326" i="72"/>
  <c r="A2326" i="72" s="1"/>
  <c r="L2327" i="72"/>
  <c r="A2327" i="72" s="1"/>
  <c r="L2328" i="72"/>
  <c r="A2328" i="72" s="1"/>
  <c r="L2329" i="72"/>
  <c r="A2329" i="72" s="1"/>
  <c r="L2330" i="72"/>
  <c r="A2330" i="72" s="1"/>
  <c r="L2331" i="72"/>
  <c r="A2331" i="72" s="1"/>
  <c r="L2332" i="72"/>
  <c r="A2332" i="72" s="1"/>
  <c r="L2333" i="72"/>
  <c r="A2333" i="72" s="1"/>
  <c r="L2334" i="72"/>
  <c r="A2334" i="72" s="1"/>
  <c r="L2335" i="72"/>
  <c r="A2335" i="72" s="1"/>
  <c r="L2336" i="72"/>
  <c r="A2336" i="72" s="1"/>
  <c r="L2337" i="72"/>
  <c r="A2337" i="72" s="1"/>
  <c r="L2338" i="72"/>
  <c r="A2338" i="72" s="1"/>
  <c r="L2339" i="72"/>
  <c r="A2339" i="72" s="1"/>
  <c r="L2340" i="72"/>
  <c r="A2340" i="72" s="1"/>
  <c r="L2341" i="72"/>
  <c r="A2341" i="72" s="1"/>
  <c r="L2342" i="72"/>
  <c r="A2342" i="72" s="1"/>
  <c r="L2343" i="72"/>
  <c r="A2343" i="72" s="1"/>
  <c r="L2344" i="72"/>
  <c r="A2344" i="72" s="1"/>
  <c r="L2345" i="72"/>
  <c r="A2345" i="72" s="1"/>
  <c r="L2346" i="72"/>
  <c r="A2346" i="72" s="1"/>
  <c r="L2347" i="72"/>
  <c r="A2347" i="72" s="1"/>
  <c r="L2348" i="72"/>
  <c r="A2348" i="72" s="1"/>
  <c r="L2349" i="72"/>
  <c r="A2349" i="72" s="1"/>
  <c r="L2350" i="72"/>
  <c r="A2350" i="72" s="1"/>
  <c r="L2351" i="72"/>
  <c r="A2351" i="72" s="1"/>
  <c r="L2352" i="72"/>
  <c r="A2352" i="72" s="1"/>
  <c r="L2353" i="72"/>
  <c r="A2353" i="72" s="1"/>
  <c r="L2354" i="72"/>
  <c r="A2354" i="72" s="1"/>
  <c r="L2355" i="72"/>
  <c r="A2355" i="72" s="1"/>
  <c r="L2356" i="72"/>
  <c r="A2356" i="72" s="1"/>
  <c r="L2357" i="72"/>
  <c r="A2357" i="72" s="1"/>
  <c r="L2358" i="72"/>
  <c r="A2358" i="72" s="1"/>
  <c r="L2359" i="72"/>
  <c r="A2359" i="72" s="1"/>
  <c r="L2360" i="72"/>
  <c r="A2360" i="72" s="1"/>
  <c r="L2361" i="72"/>
  <c r="A2361" i="72" s="1"/>
  <c r="L2362" i="72"/>
  <c r="A2362" i="72" s="1"/>
  <c r="L2363" i="72"/>
  <c r="A2363" i="72" s="1"/>
  <c r="L2364" i="72"/>
  <c r="A2364" i="72" s="1"/>
  <c r="L2365" i="72"/>
  <c r="A2365" i="72" s="1"/>
  <c r="L2366" i="72"/>
  <c r="A2366" i="72" s="1"/>
  <c r="L2367" i="72"/>
  <c r="A2367" i="72" s="1"/>
  <c r="L2368" i="72"/>
  <c r="A2368" i="72" s="1"/>
  <c r="L2369" i="72"/>
  <c r="A2369" i="72" s="1"/>
  <c r="L2370" i="72"/>
  <c r="A2370" i="72" s="1"/>
  <c r="L2371" i="72"/>
  <c r="A2371" i="72" s="1"/>
  <c r="L2372" i="72"/>
  <c r="A2372" i="72" s="1"/>
  <c r="L2373" i="72"/>
  <c r="A2373" i="72" s="1"/>
  <c r="L2374" i="72"/>
  <c r="A2374" i="72" s="1"/>
  <c r="L2375" i="72"/>
  <c r="A2375" i="72" s="1"/>
  <c r="L2376" i="72"/>
  <c r="A2376" i="72" s="1"/>
  <c r="L2377" i="72"/>
  <c r="A2377" i="72" s="1"/>
  <c r="L2378" i="72"/>
  <c r="A2378" i="72" s="1"/>
  <c r="L2379" i="72"/>
  <c r="A2379" i="72" s="1"/>
  <c r="L2380" i="72"/>
  <c r="A2380" i="72" s="1"/>
  <c r="L2381" i="72"/>
  <c r="A2381" i="72" s="1"/>
  <c r="L2382" i="72"/>
  <c r="A2382" i="72" s="1"/>
  <c r="L2383" i="72"/>
  <c r="A2383" i="72" s="1"/>
  <c r="L2384" i="72"/>
  <c r="A2384" i="72" s="1"/>
  <c r="L2385" i="72"/>
  <c r="A2385" i="72" s="1"/>
  <c r="L2386" i="72"/>
  <c r="A2386" i="72" s="1"/>
  <c r="L2387" i="72"/>
  <c r="A2387" i="72" s="1"/>
  <c r="L2388" i="72"/>
  <c r="A2388" i="72" s="1"/>
  <c r="L2389" i="72"/>
  <c r="A2389" i="72" s="1"/>
  <c r="L2390" i="72"/>
  <c r="A2390" i="72" s="1"/>
  <c r="L2391" i="72"/>
  <c r="A2391" i="72" s="1"/>
  <c r="L2392" i="72"/>
  <c r="A2392" i="72" s="1"/>
  <c r="L2393" i="72"/>
  <c r="A2393" i="72" s="1"/>
  <c r="L2394" i="72"/>
  <c r="A2394" i="72" s="1"/>
  <c r="L2395" i="72"/>
  <c r="A2395" i="72" s="1"/>
  <c r="L2396" i="72"/>
  <c r="A2396" i="72" s="1"/>
  <c r="L2397" i="72"/>
  <c r="A2397" i="72" s="1"/>
  <c r="L2398" i="72"/>
  <c r="A2398" i="72" s="1"/>
  <c r="L2399" i="72"/>
  <c r="A2399" i="72" s="1"/>
  <c r="L2400" i="72"/>
  <c r="A2400" i="72" s="1"/>
  <c r="L2401" i="72"/>
  <c r="A2401" i="72" s="1"/>
  <c r="L2402" i="72"/>
  <c r="A2402" i="72" s="1"/>
  <c r="L2403" i="72"/>
  <c r="A2403" i="72" s="1"/>
  <c r="L2404" i="72"/>
  <c r="A2404" i="72" s="1"/>
  <c r="L2405" i="72"/>
  <c r="A2405" i="72" s="1"/>
  <c r="L2406" i="72"/>
  <c r="A2406" i="72" s="1"/>
  <c r="L2407" i="72"/>
  <c r="A2407" i="72" s="1"/>
  <c r="L2408" i="72"/>
  <c r="A2408" i="72" s="1"/>
  <c r="L2409" i="72"/>
  <c r="A2409" i="72" s="1"/>
  <c r="L2410" i="72"/>
  <c r="A2410" i="72" s="1"/>
  <c r="L2411" i="72"/>
  <c r="A2411" i="72" s="1"/>
  <c r="L2412" i="72"/>
  <c r="A2412" i="72" s="1"/>
  <c r="L2413" i="72"/>
  <c r="A2413" i="72" s="1"/>
  <c r="L2414" i="72"/>
  <c r="A2414" i="72" s="1"/>
  <c r="L2415" i="72"/>
  <c r="A2415" i="72" s="1"/>
  <c r="L2416" i="72"/>
  <c r="A2416" i="72" s="1"/>
  <c r="L2417" i="72"/>
  <c r="A2417" i="72" s="1"/>
  <c r="L2418" i="72"/>
  <c r="A2418" i="72" s="1"/>
  <c r="L2419" i="72"/>
  <c r="A2419" i="72" s="1"/>
  <c r="L2420" i="72"/>
  <c r="A2420" i="72" s="1"/>
  <c r="L2421" i="72"/>
  <c r="A2421" i="72" s="1"/>
  <c r="L2422" i="72"/>
  <c r="A2422" i="72" s="1"/>
  <c r="L2423" i="72"/>
  <c r="A2423" i="72" s="1"/>
  <c r="L2424" i="72"/>
  <c r="A2424" i="72" s="1"/>
  <c r="L2425" i="72"/>
  <c r="A2425" i="72" s="1"/>
  <c r="L2426" i="72"/>
  <c r="A2426" i="72" s="1"/>
  <c r="L2427" i="72"/>
  <c r="A2427" i="72" s="1"/>
  <c r="L2428" i="72"/>
  <c r="A2428" i="72" s="1"/>
  <c r="L2429" i="72"/>
  <c r="A2429" i="72" s="1"/>
  <c r="L2430" i="72"/>
  <c r="A2430" i="72" s="1"/>
  <c r="L2431" i="72"/>
  <c r="A2431" i="72" s="1"/>
  <c r="L2432" i="72"/>
  <c r="A2432" i="72" s="1"/>
  <c r="L2433" i="72"/>
  <c r="A2433" i="72" s="1"/>
  <c r="L2434" i="72"/>
  <c r="A2434" i="72" s="1"/>
  <c r="L2435" i="72"/>
  <c r="A2435" i="72" s="1"/>
  <c r="L2436" i="72"/>
  <c r="A2436" i="72" s="1"/>
  <c r="L2437" i="72"/>
  <c r="A2437" i="72" s="1"/>
  <c r="L2438" i="72"/>
  <c r="A2438" i="72" s="1"/>
  <c r="L2439" i="72"/>
  <c r="A2439" i="72" s="1"/>
  <c r="L2440" i="72"/>
  <c r="A2440" i="72" s="1"/>
  <c r="L2441" i="72"/>
  <c r="A2441" i="72" s="1"/>
  <c r="L2442" i="72"/>
  <c r="A2442" i="72" s="1"/>
  <c r="L2443" i="72"/>
  <c r="A2443" i="72" s="1"/>
  <c r="L2444" i="72"/>
  <c r="A2444" i="72" s="1"/>
  <c r="L2445" i="72"/>
  <c r="A2445" i="72" s="1"/>
  <c r="L2446" i="72"/>
  <c r="A2446" i="72" s="1"/>
  <c r="L2447" i="72"/>
  <c r="A2447" i="72" s="1"/>
  <c r="L2448" i="72"/>
  <c r="A2448" i="72" s="1"/>
  <c r="L2449" i="72"/>
  <c r="A2449" i="72" s="1"/>
  <c r="L2450" i="72"/>
  <c r="A2450" i="72" s="1"/>
  <c r="L2451" i="72"/>
  <c r="A2451" i="72" s="1"/>
  <c r="L2452" i="72"/>
  <c r="A2452" i="72" s="1"/>
  <c r="L2453" i="72"/>
  <c r="A2453" i="72" s="1"/>
  <c r="L2454" i="72"/>
  <c r="A2454" i="72" s="1"/>
  <c r="L2455" i="72"/>
  <c r="A2455" i="72" s="1"/>
  <c r="L2456" i="72"/>
  <c r="A2456" i="72" s="1"/>
  <c r="L2457" i="72"/>
  <c r="A2457" i="72" s="1"/>
  <c r="L2458" i="72"/>
  <c r="A2458" i="72" s="1"/>
  <c r="L2459" i="72"/>
  <c r="A2459" i="72" s="1"/>
  <c r="L2460" i="72"/>
  <c r="A2460" i="72" s="1"/>
  <c r="L2461" i="72"/>
  <c r="A2461" i="72" s="1"/>
  <c r="L2462" i="72"/>
  <c r="A2462" i="72" s="1"/>
  <c r="L2463" i="72"/>
  <c r="A2463" i="72" s="1"/>
  <c r="L2464" i="72"/>
  <c r="A2464" i="72" s="1"/>
  <c r="L2465" i="72"/>
  <c r="A2465" i="72" s="1"/>
  <c r="L2466" i="72"/>
  <c r="A2466" i="72" s="1"/>
  <c r="L2467" i="72"/>
  <c r="A2467" i="72" s="1"/>
  <c r="L2468" i="72"/>
  <c r="A2468" i="72" s="1"/>
  <c r="L2469" i="72"/>
  <c r="A2469" i="72" s="1"/>
  <c r="L2470" i="72"/>
  <c r="A2470" i="72" s="1"/>
  <c r="L2471" i="72"/>
  <c r="A2471" i="72" s="1"/>
  <c r="L2472" i="72"/>
  <c r="A2472" i="72" s="1"/>
  <c r="L2473" i="72"/>
  <c r="A2473" i="72" s="1"/>
  <c r="L2474" i="72"/>
  <c r="A2474" i="72" s="1"/>
  <c r="L2475" i="72"/>
  <c r="A2475" i="72" s="1"/>
  <c r="L2476" i="72"/>
  <c r="A2476" i="72" s="1"/>
  <c r="L2477" i="72"/>
  <c r="A2477" i="72" s="1"/>
  <c r="L2478" i="72"/>
  <c r="A2478" i="72" s="1"/>
  <c r="L2479" i="72"/>
  <c r="A2479" i="72" s="1"/>
  <c r="L2480" i="72"/>
  <c r="A2480" i="72" s="1"/>
  <c r="L2481" i="72"/>
  <c r="A2481" i="72" s="1"/>
  <c r="L2482" i="72"/>
  <c r="A2482" i="72" s="1"/>
  <c r="L2483" i="72"/>
  <c r="A2483" i="72" s="1"/>
  <c r="L2484" i="72"/>
  <c r="A2484" i="72" s="1"/>
  <c r="L2485" i="72"/>
  <c r="A2485" i="72" s="1"/>
  <c r="L2486" i="72"/>
  <c r="A2486" i="72" s="1"/>
  <c r="L2487" i="72"/>
  <c r="A2487" i="72" s="1"/>
  <c r="L2488" i="72"/>
  <c r="A2488" i="72" s="1"/>
  <c r="L2489" i="72"/>
  <c r="A2489" i="72" s="1"/>
  <c r="L2490" i="72"/>
  <c r="A2490" i="72" s="1"/>
  <c r="L2491" i="72"/>
  <c r="A2491" i="72" s="1"/>
  <c r="L2492" i="72"/>
  <c r="A2492" i="72" s="1"/>
  <c r="L2493" i="72"/>
  <c r="A2493" i="72" s="1"/>
  <c r="L2494" i="72"/>
  <c r="A2494" i="72" s="1"/>
  <c r="L2495" i="72"/>
  <c r="A2495" i="72" s="1"/>
  <c r="L2496" i="72"/>
  <c r="A2496" i="72" s="1"/>
  <c r="L2497" i="72"/>
  <c r="A2497" i="72" s="1"/>
  <c r="L2498" i="72"/>
  <c r="A2498" i="72" s="1"/>
  <c r="L2499" i="72"/>
  <c r="A2499" i="72" s="1"/>
  <c r="L2500" i="72"/>
  <c r="A2500" i="72" s="1"/>
  <c r="L2501" i="72"/>
  <c r="A2501" i="72" s="1"/>
  <c r="L2502" i="72"/>
  <c r="A2502" i="72" s="1"/>
  <c r="L2503" i="72"/>
  <c r="A2503" i="72" s="1"/>
  <c r="L2504" i="72"/>
  <c r="A2504" i="72" s="1"/>
  <c r="L2505" i="72"/>
  <c r="A2505" i="72" s="1"/>
  <c r="L2506" i="72"/>
  <c r="A2506" i="72" s="1"/>
  <c r="L2507" i="72"/>
  <c r="A2507" i="72" s="1"/>
  <c r="L2508" i="72"/>
  <c r="A2508" i="72" s="1"/>
  <c r="L2509" i="72"/>
  <c r="A2509" i="72" s="1"/>
  <c r="L2510" i="72"/>
  <c r="A2510" i="72" s="1"/>
  <c r="L2511" i="72"/>
  <c r="A2511" i="72" s="1"/>
  <c r="L2512" i="72"/>
  <c r="A2512" i="72" s="1"/>
  <c r="L2513" i="72"/>
  <c r="A2513" i="72" s="1"/>
  <c r="L2514" i="72"/>
  <c r="A2514" i="72" s="1"/>
  <c r="L2515" i="72"/>
  <c r="A2515" i="72" s="1"/>
  <c r="L2516" i="72"/>
  <c r="A2516" i="72" s="1"/>
  <c r="L2517" i="72"/>
  <c r="A2517" i="72" s="1"/>
  <c r="L2518" i="72"/>
  <c r="A2518" i="72" s="1"/>
  <c r="L2519" i="72"/>
  <c r="A2519" i="72" s="1"/>
  <c r="L2520" i="72"/>
  <c r="A2520" i="72" s="1"/>
  <c r="L2521" i="72"/>
  <c r="A2521" i="72" s="1"/>
  <c r="L2522" i="72"/>
  <c r="A2522" i="72" s="1"/>
  <c r="L2523" i="72"/>
  <c r="A2523" i="72" s="1"/>
  <c r="L2524" i="72"/>
  <c r="A2524" i="72" s="1"/>
  <c r="L2525" i="72"/>
  <c r="A2525" i="72" s="1"/>
  <c r="L2526" i="72"/>
  <c r="A2526" i="72" s="1"/>
  <c r="L2527" i="72"/>
  <c r="A2527" i="72" s="1"/>
  <c r="L2528" i="72"/>
  <c r="A2528" i="72" s="1"/>
  <c r="L2529" i="72"/>
  <c r="A2529" i="72" s="1"/>
  <c r="L2530" i="72"/>
  <c r="A2530" i="72" s="1"/>
  <c r="L2531" i="72"/>
  <c r="A2531" i="72" s="1"/>
  <c r="L2532" i="72"/>
  <c r="A2532" i="72" s="1"/>
  <c r="L2533" i="72"/>
  <c r="A2533" i="72" s="1"/>
  <c r="L2534" i="72"/>
  <c r="A2534" i="72" s="1"/>
  <c r="L2535" i="72"/>
  <c r="A2535" i="72" s="1"/>
  <c r="L2536" i="72"/>
  <c r="A2536" i="72" s="1"/>
  <c r="L2537" i="72"/>
  <c r="A2537" i="72" s="1"/>
  <c r="L2538" i="72"/>
  <c r="A2538" i="72" s="1"/>
  <c r="L2539" i="72"/>
  <c r="A2539" i="72" s="1"/>
  <c r="L2540" i="72"/>
  <c r="A2540" i="72" s="1"/>
  <c r="L2541" i="72"/>
  <c r="A2541" i="72" s="1"/>
  <c r="L2542" i="72"/>
  <c r="A2542" i="72" s="1"/>
  <c r="L2543" i="72"/>
  <c r="A2543" i="72" s="1"/>
  <c r="L2544" i="72"/>
  <c r="A2544" i="72" s="1"/>
  <c r="L2545" i="72"/>
  <c r="A2545" i="72" s="1"/>
  <c r="L2546" i="72"/>
  <c r="A2546" i="72" s="1"/>
  <c r="L2547" i="72"/>
  <c r="A2547" i="72" s="1"/>
  <c r="L2548" i="72"/>
  <c r="A2548" i="72" s="1"/>
  <c r="L2549" i="72"/>
  <c r="A2549" i="72" s="1"/>
  <c r="L2550" i="72"/>
  <c r="A2550" i="72" s="1"/>
  <c r="L2551" i="72"/>
  <c r="A2551" i="72" s="1"/>
  <c r="L2552" i="72"/>
  <c r="A2552" i="72" s="1"/>
  <c r="L2553" i="72"/>
  <c r="A2553" i="72" s="1"/>
  <c r="L2554" i="72"/>
  <c r="A2554" i="72" s="1"/>
  <c r="L2555" i="72"/>
  <c r="A2555" i="72" s="1"/>
  <c r="L2556" i="72"/>
  <c r="A2556" i="72" s="1"/>
  <c r="L2557" i="72"/>
  <c r="A2557" i="72" s="1"/>
  <c r="L2558" i="72"/>
  <c r="A2558" i="72" s="1"/>
  <c r="L2559" i="72"/>
  <c r="A2559" i="72" s="1"/>
  <c r="L2560" i="72"/>
  <c r="A2560" i="72" s="1"/>
  <c r="L2561" i="72"/>
  <c r="A2561" i="72" s="1"/>
  <c r="L2562" i="72"/>
  <c r="A2562" i="72" s="1"/>
  <c r="L2563" i="72"/>
  <c r="A2563" i="72" s="1"/>
  <c r="L2564" i="72"/>
  <c r="A2564" i="72" s="1"/>
  <c r="L2565" i="72"/>
  <c r="A2565" i="72" s="1"/>
  <c r="L2566" i="72"/>
  <c r="A2566" i="72" s="1"/>
  <c r="L2567" i="72"/>
  <c r="A2567" i="72" s="1"/>
  <c r="L2568" i="72"/>
  <c r="A2568" i="72" s="1"/>
  <c r="L2569" i="72"/>
  <c r="A2569" i="72" s="1"/>
  <c r="L2570" i="72"/>
  <c r="A2570" i="72" s="1"/>
  <c r="L2571" i="72"/>
  <c r="A2571" i="72" s="1"/>
  <c r="L2572" i="72"/>
  <c r="A2572" i="72" s="1"/>
  <c r="L2573" i="72"/>
  <c r="A2573" i="72" s="1"/>
  <c r="L2574" i="72"/>
  <c r="A2574" i="72" s="1"/>
  <c r="L2575" i="72"/>
  <c r="A2575" i="72" s="1"/>
  <c r="L2576" i="72"/>
  <c r="A2576" i="72" s="1"/>
  <c r="L2577" i="72"/>
  <c r="A2577" i="72" s="1"/>
  <c r="L2578" i="72"/>
  <c r="A2578" i="72" s="1"/>
  <c r="L2579" i="72"/>
  <c r="A2579" i="72" s="1"/>
  <c r="L2580" i="72"/>
  <c r="A2580" i="72" s="1"/>
  <c r="L2581" i="72"/>
  <c r="A2581" i="72" s="1"/>
  <c r="L2582" i="72"/>
  <c r="A2582" i="72" s="1"/>
  <c r="L2583" i="72"/>
  <c r="A2583" i="72" s="1"/>
  <c r="L2584" i="72"/>
  <c r="A2584" i="72" s="1"/>
  <c r="L2585" i="72"/>
  <c r="A2585" i="72" s="1"/>
  <c r="L2586" i="72"/>
  <c r="A2586" i="72" s="1"/>
  <c r="L2587" i="72"/>
  <c r="A2587" i="72" s="1"/>
  <c r="L2588" i="72"/>
  <c r="A2588" i="72" s="1"/>
  <c r="L2589" i="72"/>
  <c r="A2589" i="72" s="1"/>
  <c r="L2590" i="72"/>
  <c r="A2590" i="72" s="1"/>
  <c r="L2591" i="72"/>
  <c r="A2591" i="72" s="1"/>
  <c r="L2592" i="72"/>
  <c r="A2592" i="72" s="1"/>
  <c r="L2593" i="72"/>
  <c r="A2593" i="72" s="1"/>
  <c r="L2594" i="72"/>
  <c r="A2594" i="72" s="1"/>
  <c r="L2595" i="72"/>
  <c r="A2595" i="72" s="1"/>
  <c r="L2596" i="72"/>
  <c r="A2596" i="72" s="1"/>
  <c r="L2597" i="72"/>
  <c r="A2597" i="72" s="1"/>
  <c r="L2598" i="72"/>
  <c r="A2598" i="72" s="1"/>
  <c r="L2599" i="72"/>
  <c r="A2599" i="72" s="1"/>
  <c r="L2600" i="72"/>
  <c r="A2600" i="72" s="1"/>
  <c r="L2601" i="72"/>
  <c r="A2601" i="72" s="1"/>
  <c r="L2602" i="72"/>
  <c r="A2602" i="72" s="1"/>
  <c r="L2603" i="72"/>
  <c r="A2603" i="72" s="1"/>
  <c r="L2604" i="72"/>
  <c r="A2604" i="72" s="1"/>
  <c r="L2605" i="72"/>
  <c r="A2605" i="72" s="1"/>
  <c r="L2606" i="72"/>
  <c r="A2606" i="72" s="1"/>
  <c r="L2607" i="72"/>
  <c r="A2607" i="72" s="1"/>
  <c r="L2608" i="72"/>
  <c r="A2608" i="72" s="1"/>
  <c r="L2609" i="72"/>
  <c r="A2609" i="72" s="1"/>
  <c r="L2610" i="72"/>
  <c r="A2610" i="72" s="1"/>
  <c r="L2611" i="72"/>
  <c r="A2611" i="72" s="1"/>
  <c r="L2612" i="72"/>
  <c r="A2612" i="72" s="1"/>
  <c r="L2613" i="72"/>
  <c r="A2613" i="72" s="1"/>
  <c r="L2614" i="72"/>
  <c r="A2614" i="72" s="1"/>
  <c r="L2615" i="72"/>
  <c r="A2615" i="72" s="1"/>
  <c r="L2616" i="72"/>
  <c r="A2616" i="72" s="1"/>
  <c r="L2617" i="72"/>
  <c r="A2617" i="72" s="1"/>
  <c r="L2618" i="72"/>
  <c r="A2618" i="72" s="1"/>
  <c r="L2619" i="72"/>
  <c r="A2619" i="72" s="1"/>
  <c r="L2620" i="72"/>
  <c r="A2620" i="72" s="1"/>
  <c r="L2621" i="72"/>
  <c r="A2621" i="72" s="1"/>
  <c r="L2622" i="72"/>
  <c r="A2622" i="72" s="1"/>
  <c r="L2623" i="72"/>
  <c r="A2623" i="72" s="1"/>
  <c r="L2624" i="72"/>
  <c r="A2624" i="72" s="1"/>
  <c r="L2625" i="72"/>
  <c r="A2625" i="72" s="1"/>
  <c r="L2626" i="72"/>
  <c r="A2626" i="72" s="1"/>
  <c r="L2627" i="72"/>
  <c r="A2627" i="72" s="1"/>
  <c r="L2628" i="72"/>
  <c r="A2628" i="72" s="1"/>
  <c r="L2629" i="72"/>
  <c r="A2629" i="72" s="1"/>
  <c r="L2630" i="72"/>
  <c r="A2630" i="72" s="1"/>
  <c r="L2631" i="72"/>
  <c r="A2631" i="72" s="1"/>
  <c r="L2632" i="72"/>
  <c r="A2632" i="72" s="1"/>
  <c r="L2633" i="72"/>
  <c r="A2633" i="72" s="1"/>
  <c r="L2634" i="72"/>
  <c r="A2634" i="72" s="1"/>
  <c r="L2635" i="72"/>
  <c r="A2635" i="72" s="1"/>
  <c r="L2636" i="72"/>
  <c r="A2636" i="72" s="1"/>
  <c r="L2637" i="72"/>
  <c r="A2637" i="72" s="1"/>
  <c r="L2638" i="72"/>
  <c r="A2638" i="72" s="1"/>
  <c r="L2639" i="72"/>
  <c r="A2639" i="72" s="1"/>
  <c r="L2640" i="72"/>
  <c r="A2640" i="72" s="1"/>
  <c r="L2641" i="72"/>
  <c r="A2641" i="72" s="1"/>
  <c r="L2642" i="72"/>
  <c r="A2642" i="72" s="1"/>
  <c r="L2643" i="72"/>
  <c r="A2643" i="72" s="1"/>
  <c r="L2644" i="72"/>
  <c r="A2644" i="72" s="1"/>
  <c r="L2645" i="72"/>
  <c r="A2645" i="72" s="1"/>
  <c r="L2646" i="72"/>
  <c r="A2646" i="72" s="1"/>
  <c r="L2647" i="72"/>
  <c r="A2647" i="72" s="1"/>
  <c r="L2648" i="72"/>
  <c r="A2648" i="72" s="1"/>
  <c r="L2649" i="72"/>
  <c r="A2649" i="72" s="1"/>
  <c r="L2650" i="72"/>
  <c r="A2650" i="72" s="1"/>
  <c r="L2651" i="72"/>
  <c r="A2651" i="72" s="1"/>
  <c r="L2652" i="72"/>
  <c r="A2652" i="72" s="1"/>
  <c r="L2653" i="72"/>
  <c r="A2653" i="72" s="1"/>
  <c r="L2654" i="72"/>
  <c r="A2654" i="72" s="1"/>
  <c r="L2655" i="72"/>
  <c r="A2655" i="72" s="1"/>
  <c r="L2656" i="72"/>
  <c r="A2656" i="72" s="1"/>
  <c r="L2657" i="72"/>
  <c r="A2657" i="72" s="1"/>
  <c r="L2658" i="72"/>
  <c r="A2658" i="72" s="1"/>
  <c r="L2659" i="72"/>
  <c r="A2659" i="72" s="1"/>
  <c r="L2660" i="72"/>
  <c r="A2660" i="72" s="1"/>
  <c r="L2661" i="72"/>
  <c r="A2661" i="72" s="1"/>
  <c r="L2662" i="72"/>
  <c r="A2662" i="72" s="1"/>
  <c r="L2663" i="72"/>
  <c r="A2663" i="72" s="1"/>
  <c r="L2664" i="72"/>
  <c r="A2664" i="72" s="1"/>
  <c r="L2665" i="72"/>
  <c r="A2665" i="72" s="1"/>
  <c r="L2666" i="72"/>
  <c r="A2666" i="72" s="1"/>
  <c r="L2667" i="72"/>
  <c r="A2667" i="72" s="1"/>
  <c r="L2668" i="72"/>
  <c r="A2668" i="72" s="1"/>
  <c r="L2669" i="72"/>
  <c r="A2669" i="72" s="1"/>
  <c r="L2670" i="72"/>
  <c r="A2670" i="72" s="1"/>
  <c r="L2671" i="72"/>
  <c r="A2671" i="72" s="1"/>
  <c r="L2672" i="72"/>
  <c r="A2672" i="72" s="1"/>
  <c r="L2673" i="72"/>
  <c r="A2673" i="72" s="1"/>
  <c r="L2674" i="72"/>
  <c r="A2674" i="72" s="1"/>
  <c r="L2675" i="72"/>
  <c r="A2675" i="72" s="1"/>
  <c r="L2676" i="72"/>
  <c r="A2676" i="72" s="1"/>
  <c r="L2677" i="72"/>
  <c r="A2677" i="72" s="1"/>
  <c r="L2678" i="72"/>
  <c r="A2678" i="72" s="1"/>
  <c r="L2679" i="72"/>
  <c r="A2679" i="72" s="1"/>
  <c r="L2680" i="72"/>
  <c r="A2680" i="72" s="1"/>
  <c r="L2681" i="72"/>
  <c r="A2681" i="72" s="1"/>
  <c r="L2682" i="72"/>
  <c r="A2682" i="72" s="1"/>
  <c r="L2683" i="72"/>
  <c r="A2683" i="72" s="1"/>
  <c r="L2684" i="72"/>
  <c r="A2684" i="72" s="1"/>
  <c r="L2685" i="72"/>
  <c r="A2685" i="72" s="1"/>
  <c r="L2686" i="72"/>
  <c r="A2686" i="72" s="1"/>
  <c r="L2687" i="72"/>
  <c r="A2687" i="72" s="1"/>
  <c r="L2688" i="72"/>
  <c r="A2688" i="72" s="1"/>
  <c r="L2689" i="72"/>
  <c r="A2689" i="72" s="1"/>
  <c r="L2690" i="72"/>
  <c r="A2690" i="72" s="1"/>
  <c r="L2691" i="72"/>
  <c r="A2691" i="72" s="1"/>
  <c r="L2692" i="72"/>
  <c r="A2692" i="72" s="1"/>
  <c r="L2693" i="72"/>
  <c r="A2693" i="72" s="1"/>
  <c r="L2694" i="72"/>
  <c r="A2694" i="72" s="1"/>
  <c r="L2695" i="72"/>
  <c r="A2695" i="72" s="1"/>
  <c r="L2696" i="72"/>
  <c r="A2696" i="72" s="1"/>
  <c r="L2697" i="72"/>
  <c r="A2697" i="72" s="1"/>
  <c r="L2698" i="72"/>
  <c r="A2698" i="72" s="1"/>
  <c r="L2699" i="72"/>
  <c r="A2699" i="72" s="1"/>
  <c r="L2700" i="72"/>
  <c r="A2700" i="72" s="1"/>
  <c r="L2701" i="72"/>
  <c r="A2701" i="72" s="1"/>
  <c r="L2702" i="72"/>
  <c r="A2702" i="72" s="1"/>
  <c r="L2703" i="72"/>
  <c r="A2703" i="72" s="1"/>
  <c r="L2704" i="72"/>
  <c r="A2704" i="72" s="1"/>
  <c r="L2705" i="72"/>
  <c r="A2705" i="72" s="1"/>
  <c r="L2706" i="72"/>
  <c r="A2706" i="72" s="1"/>
  <c r="L2707" i="72"/>
  <c r="A2707" i="72" s="1"/>
  <c r="L2708" i="72"/>
  <c r="A2708" i="72" s="1"/>
  <c r="L2709" i="72"/>
  <c r="A2709" i="72" s="1"/>
  <c r="L2710" i="72"/>
  <c r="A2710" i="72" s="1"/>
  <c r="L2711" i="72"/>
  <c r="A2711" i="72" s="1"/>
  <c r="L2712" i="72"/>
  <c r="A2712" i="72" s="1"/>
  <c r="L2713" i="72"/>
  <c r="A2713" i="72" s="1"/>
  <c r="L2714" i="72"/>
  <c r="A2714" i="72" s="1"/>
  <c r="L2715" i="72"/>
  <c r="A2715" i="72" s="1"/>
  <c r="L2716" i="72"/>
  <c r="A2716" i="72" s="1"/>
  <c r="L2717" i="72"/>
  <c r="A2717" i="72" s="1"/>
  <c r="L2718" i="72"/>
  <c r="A2718" i="72" s="1"/>
  <c r="L2719" i="72"/>
  <c r="A2719" i="72" s="1"/>
  <c r="L2720" i="72"/>
  <c r="A2720" i="72" s="1"/>
  <c r="L2721" i="72"/>
  <c r="A2721" i="72" s="1"/>
  <c r="L2722" i="72"/>
  <c r="A2722" i="72" s="1"/>
  <c r="L2723" i="72"/>
  <c r="A2723" i="72" s="1"/>
  <c r="L2724" i="72"/>
  <c r="A2724" i="72" s="1"/>
  <c r="L2725" i="72"/>
  <c r="A2725" i="72" s="1"/>
  <c r="L2726" i="72"/>
  <c r="A2726" i="72" s="1"/>
  <c r="L2727" i="72"/>
  <c r="A2727" i="72" s="1"/>
  <c r="L2728" i="72"/>
  <c r="A2728" i="72" s="1"/>
  <c r="L2729" i="72"/>
  <c r="A2729" i="72" s="1"/>
  <c r="L2730" i="72"/>
  <c r="A2730" i="72" s="1"/>
  <c r="L2731" i="72"/>
  <c r="A2731" i="72" s="1"/>
  <c r="L2732" i="72"/>
  <c r="A2732" i="72" s="1"/>
  <c r="L2733" i="72"/>
  <c r="A2733" i="72" s="1"/>
  <c r="L2734" i="72"/>
  <c r="A2734" i="72" s="1"/>
  <c r="L2735" i="72"/>
  <c r="A2735" i="72" s="1"/>
  <c r="L2736" i="72"/>
  <c r="A2736" i="72" s="1"/>
  <c r="L2737" i="72"/>
  <c r="A2737" i="72" s="1"/>
  <c r="L2738" i="72"/>
  <c r="A2738" i="72" s="1"/>
  <c r="L2739" i="72"/>
  <c r="A2739" i="72" s="1"/>
  <c r="L2740" i="72"/>
  <c r="A2740" i="72" s="1"/>
  <c r="L2741" i="72"/>
  <c r="A2741" i="72" s="1"/>
  <c r="L2742" i="72"/>
  <c r="A2742" i="72" s="1"/>
  <c r="L2743" i="72"/>
  <c r="A2743" i="72" s="1"/>
  <c r="L2744" i="72"/>
  <c r="A2744" i="72" s="1"/>
  <c r="L2745" i="72"/>
  <c r="A2745" i="72" s="1"/>
  <c r="L2746" i="72"/>
  <c r="A2746" i="72" s="1"/>
  <c r="L2747" i="72"/>
  <c r="A2747" i="72" s="1"/>
  <c r="L2748" i="72"/>
  <c r="A2748" i="72" s="1"/>
  <c r="L2749" i="72"/>
  <c r="A2749" i="72" s="1"/>
  <c r="L2750" i="72"/>
  <c r="A2750" i="72" s="1"/>
  <c r="L2751" i="72"/>
  <c r="A2751" i="72" s="1"/>
  <c r="L2752" i="72"/>
  <c r="A2752" i="72" s="1"/>
  <c r="L2753" i="72"/>
  <c r="A2753" i="72" s="1"/>
  <c r="L2754" i="72"/>
  <c r="A2754" i="72" s="1"/>
  <c r="L2755" i="72"/>
  <c r="A2755" i="72" s="1"/>
  <c r="L2756" i="72"/>
  <c r="A2756" i="72" s="1"/>
  <c r="L2757" i="72"/>
  <c r="A2757" i="72" s="1"/>
  <c r="L2758" i="72"/>
  <c r="A2758" i="72" s="1"/>
  <c r="L2759" i="72"/>
  <c r="A2759" i="72" s="1"/>
  <c r="L2760" i="72"/>
  <c r="A2760" i="72" s="1"/>
  <c r="L2761" i="72"/>
  <c r="A2761" i="72" s="1"/>
  <c r="L2762" i="72"/>
  <c r="A2762" i="72" s="1"/>
  <c r="L2763" i="72"/>
  <c r="A2763" i="72" s="1"/>
  <c r="L2764" i="72"/>
  <c r="A2764" i="72" s="1"/>
  <c r="L2765" i="72"/>
  <c r="A2765" i="72" s="1"/>
  <c r="L2766" i="72"/>
  <c r="A2766" i="72" s="1"/>
  <c r="L2767" i="72"/>
  <c r="A2767" i="72" s="1"/>
  <c r="L2768" i="72"/>
  <c r="A2768" i="72" s="1"/>
  <c r="L2769" i="72"/>
  <c r="A2769" i="72" s="1"/>
  <c r="L2770" i="72"/>
  <c r="A2770" i="72" s="1"/>
  <c r="L2771" i="72"/>
  <c r="A2771" i="72" s="1"/>
  <c r="L2772" i="72"/>
  <c r="A2772" i="72" s="1"/>
  <c r="L2773" i="72"/>
  <c r="A2773" i="72" s="1"/>
  <c r="L2774" i="72"/>
  <c r="A2774" i="72" s="1"/>
  <c r="L2775" i="72"/>
  <c r="A2775" i="72" s="1"/>
  <c r="L2776" i="72"/>
  <c r="A2776" i="72" s="1"/>
  <c r="L2777" i="72"/>
  <c r="A2777" i="72" s="1"/>
  <c r="L2778" i="72"/>
  <c r="A2778" i="72" s="1"/>
  <c r="L2779" i="72"/>
  <c r="A2779" i="72" s="1"/>
  <c r="L2780" i="72"/>
  <c r="A2780" i="72" s="1"/>
  <c r="L2781" i="72"/>
  <c r="A2781" i="72" s="1"/>
  <c r="L2782" i="72"/>
  <c r="A2782" i="72" s="1"/>
  <c r="L2783" i="72"/>
  <c r="A2783" i="72" s="1"/>
  <c r="L2784" i="72"/>
  <c r="A2784" i="72" s="1"/>
  <c r="L2785" i="72"/>
  <c r="A2785" i="72" s="1"/>
  <c r="L2786" i="72"/>
  <c r="A2786" i="72" s="1"/>
  <c r="L2787" i="72"/>
  <c r="A2787" i="72" s="1"/>
  <c r="L2788" i="72"/>
  <c r="A2788" i="72" s="1"/>
  <c r="L2789" i="72"/>
  <c r="A2789" i="72" s="1"/>
  <c r="L2790" i="72"/>
  <c r="A2790" i="72" s="1"/>
  <c r="L2791" i="72"/>
  <c r="A2791" i="72" s="1"/>
  <c r="L2792" i="72"/>
  <c r="A2792" i="72" s="1"/>
  <c r="L2793" i="72"/>
  <c r="A2793" i="72" s="1"/>
  <c r="L2794" i="72"/>
  <c r="A2794" i="72" s="1"/>
  <c r="L2795" i="72"/>
  <c r="A2795" i="72" s="1"/>
  <c r="L2796" i="72"/>
  <c r="A2796" i="72" s="1"/>
  <c r="L2797" i="72"/>
  <c r="A2797" i="72" s="1"/>
  <c r="L2798" i="72"/>
  <c r="A2798" i="72" s="1"/>
  <c r="L2799" i="72"/>
  <c r="A2799" i="72" s="1"/>
  <c r="L2800" i="72"/>
  <c r="A2800" i="72" s="1"/>
  <c r="L2801" i="72"/>
  <c r="A2801" i="72" s="1"/>
  <c r="L2802" i="72"/>
  <c r="A2802" i="72" s="1"/>
  <c r="L2803" i="72"/>
  <c r="A2803" i="72" s="1"/>
  <c r="L2804" i="72"/>
  <c r="A2804" i="72" s="1"/>
  <c r="L2805" i="72"/>
  <c r="A2805" i="72" s="1"/>
  <c r="L2806" i="72"/>
  <c r="A2806" i="72" s="1"/>
  <c r="L2807" i="72"/>
  <c r="A2807" i="72" s="1"/>
  <c r="L2808" i="72"/>
  <c r="A2808" i="72" s="1"/>
  <c r="L2809" i="72"/>
  <c r="A2809" i="72" s="1"/>
  <c r="L2810" i="72"/>
  <c r="A2810" i="72" s="1"/>
  <c r="L2811" i="72"/>
  <c r="A2811" i="72" s="1"/>
  <c r="L2812" i="72"/>
  <c r="A2812" i="72" s="1"/>
  <c r="L2813" i="72"/>
  <c r="A2813" i="72" s="1"/>
  <c r="L2814" i="72"/>
  <c r="A2814" i="72" s="1"/>
  <c r="L2815" i="72"/>
  <c r="A2815" i="72" s="1"/>
  <c r="L2816" i="72"/>
  <c r="A2816" i="72" s="1"/>
  <c r="L2817" i="72"/>
  <c r="A2817" i="72" s="1"/>
  <c r="L2818" i="72"/>
  <c r="A2818" i="72" s="1"/>
  <c r="L2819" i="72"/>
  <c r="A2819" i="72" s="1"/>
  <c r="L2820" i="72"/>
  <c r="A2820" i="72" s="1"/>
  <c r="L2821" i="72"/>
  <c r="A2821" i="72" s="1"/>
  <c r="L2822" i="72"/>
  <c r="A2822" i="72" s="1"/>
  <c r="L2823" i="72"/>
  <c r="A2823" i="72" s="1"/>
  <c r="L2824" i="72"/>
  <c r="A2824" i="72" s="1"/>
  <c r="L2825" i="72"/>
  <c r="A2825" i="72" s="1"/>
  <c r="L2826" i="72"/>
  <c r="A2826" i="72" s="1"/>
  <c r="L2827" i="72"/>
  <c r="A2827" i="72" s="1"/>
  <c r="L2828" i="72"/>
  <c r="A2828" i="72" s="1"/>
  <c r="L2829" i="72"/>
  <c r="A2829" i="72" s="1"/>
  <c r="L2830" i="72"/>
  <c r="A2830" i="72" s="1"/>
  <c r="L2831" i="72"/>
  <c r="A2831" i="72" s="1"/>
  <c r="L2832" i="72"/>
  <c r="A2832" i="72" s="1"/>
  <c r="L2833" i="72"/>
  <c r="A2833" i="72" s="1"/>
  <c r="L2834" i="72"/>
  <c r="A2834" i="72" s="1"/>
  <c r="L2835" i="72"/>
  <c r="A2835" i="72" s="1"/>
  <c r="L2836" i="72"/>
  <c r="A2836" i="72" s="1"/>
  <c r="L2837" i="72"/>
  <c r="A2837" i="72" s="1"/>
  <c r="L2838" i="72"/>
  <c r="A2838" i="72" s="1"/>
  <c r="L2839" i="72"/>
  <c r="A2839" i="72" s="1"/>
  <c r="L2840" i="72"/>
  <c r="A2840" i="72" s="1"/>
  <c r="L2841" i="72"/>
  <c r="A2841" i="72" s="1"/>
  <c r="L2842" i="72"/>
  <c r="A2842" i="72" s="1"/>
  <c r="L2843" i="72"/>
  <c r="A2843" i="72" s="1"/>
  <c r="L2844" i="72"/>
  <c r="A2844" i="72" s="1"/>
  <c r="L2845" i="72"/>
  <c r="A2845" i="72" s="1"/>
  <c r="L2846" i="72"/>
  <c r="A2846" i="72" s="1"/>
  <c r="L2847" i="72"/>
  <c r="A2847" i="72" s="1"/>
  <c r="L2848" i="72"/>
  <c r="A2848" i="72" s="1"/>
  <c r="L2849" i="72"/>
  <c r="A2849" i="72" s="1"/>
  <c r="L2850" i="72"/>
  <c r="A2850" i="72" s="1"/>
  <c r="L2851" i="72"/>
  <c r="A2851" i="72" s="1"/>
  <c r="L2852" i="72"/>
  <c r="A2852" i="72" s="1"/>
  <c r="L2853" i="72"/>
  <c r="A2853" i="72" s="1"/>
  <c r="L2854" i="72"/>
  <c r="A2854" i="72" s="1"/>
  <c r="L2855" i="72"/>
  <c r="A2855" i="72" s="1"/>
  <c r="L2856" i="72"/>
  <c r="A2856" i="72" s="1"/>
  <c r="L2857" i="72"/>
  <c r="A2857" i="72" s="1"/>
  <c r="L2858" i="72"/>
  <c r="A2858" i="72" s="1"/>
  <c r="L2859" i="72"/>
  <c r="A2859" i="72" s="1"/>
  <c r="L2860" i="72"/>
  <c r="A2860" i="72" s="1"/>
  <c r="L2861" i="72"/>
  <c r="A2861" i="72" s="1"/>
  <c r="L2862" i="72"/>
  <c r="A2862" i="72" s="1"/>
  <c r="L2863" i="72"/>
  <c r="A2863" i="72" s="1"/>
  <c r="L2864" i="72"/>
  <c r="A2864" i="72" s="1"/>
  <c r="L2865" i="72"/>
  <c r="A2865" i="72" s="1"/>
  <c r="L2866" i="72"/>
  <c r="A2866" i="72" s="1"/>
  <c r="L2867" i="72"/>
  <c r="A2867" i="72" s="1"/>
  <c r="L2868" i="72"/>
  <c r="A2868" i="72" s="1"/>
  <c r="L2869" i="72"/>
  <c r="A2869" i="72" s="1"/>
  <c r="L2870" i="72"/>
  <c r="A2870" i="72" s="1"/>
  <c r="L2871" i="72"/>
  <c r="A2871" i="72" s="1"/>
  <c r="L2872" i="72"/>
  <c r="A2872" i="72" s="1"/>
  <c r="L2873" i="72"/>
  <c r="A2873" i="72" s="1"/>
  <c r="L2874" i="72"/>
  <c r="A2874" i="72" s="1"/>
  <c r="L2875" i="72"/>
  <c r="A2875" i="72" s="1"/>
  <c r="L2876" i="72"/>
  <c r="A2876" i="72" s="1"/>
  <c r="L2877" i="72"/>
  <c r="A2877" i="72" s="1"/>
  <c r="L2878" i="72"/>
  <c r="A2878" i="72" s="1"/>
  <c r="L2879" i="72"/>
  <c r="A2879" i="72" s="1"/>
  <c r="L2880" i="72"/>
  <c r="A2880" i="72" s="1"/>
  <c r="L2881" i="72"/>
  <c r="A2881" i="72" s="1"/>
  <c r="L2882" i="72"/>
  <c r="A2882" i="72" s="1"/>
  <c r="L2883" i="72"/>
  <c r="A2883" i="72" s="1"/>
  <c r="L2884" i="72"/>
  <c r="A2884" i="72" s="1"/>
  <c r="L2885" i="72"/>
  <c r="A2885" i="72" s="1"/>
  <c r="L2886" i="72"/>
  <c r="A2886" i="72" s="1"/>
  <c r="L2887" i="72"/>
  <c r="A2887" i="72" s="1"/>
  <c r="L2888" i="72"/>
  <c r="A2888" i="72" s="1"/>
  <c r="L2889" i="72"/>
  <c r="A2889" i="72" s="1"/>
  <c r="L2890" i="72"/>
  <c r="A2890" i="72" s="1"/>
  <c r="L2891" i="72"/>
  <c r="A2891" i="72" s="1"/>
  <c r="L2892" i="72"/>
  <c r="A2892" i="72" s="1"/>
  <c r="L2893" i="72"/>
  <c r="A2893" i="72" s="1"/>
  <c r="L2894" i="72"/>
  <c r="A2894" i="72" s="1"/>
  <c r="L2895" i="72"/>
  <c r="A2895" i="72" s="1"/>
  <c r="L2896" i="72"/>
  <c r="A2896" i="72" s="1"/>
  <c r="L2897" i="72"/>
  <c r="A2897" i="72" s="1"/>
  <c r="L2898" i="72"/>
  <c r="A2898" i="72" s="1"/>
  <c r="L2899" i="72"/>
  <c r="A2899" i="72" s="1"/>
  <c r="L2900" i="72"/>
  <c r="A2900" i="72" s="1"/>
  <c r="L2901" i="72"/>
  <c r="A2901" i="72" s="1"/>
  <c r="L2902" i="72"/>
  <c r="A2902" i="72" s="1"/>
  <c r="L2903" i="72"/>
  <c r="A2903" i="72" s="1"/>
  <c r="L2904" i="72"/>
  <c r="A2904" i="72" s="1"/>
  <c r="L2905" i="72"/>
  <c r="A2905" i="72" s="1"/>
  <c r="L2906" i="72"/>
  <c r="A2906" i="72" s="1"/>
  <c r="L2907" i="72"/>
  <c r="A2907" i="72" s="1"/>
  <c r="L2908" i="72"/>
  <c r="A2908" i="72" s="1"/>
  <c r="L2909" i="72"/>
  <c r="A2909" i="72" s="1"/>
  <c r="L2910" i="72"/>
  <c r="A2910" i="72" s="1"/>
  <c r="L2911" i="72"/>
  <c r="A2911" i="72" s="1"/>
  <c r="L2912" i="72"/>
  <c r="A2912" i="72" s="1"/>
  <c r="L2913" i="72"/>
  <c r="A2913" i="72" s="1"/>
  <c r="L2914" i="72"/>
  <c r="A2914" i="72" s="1"/>
  <c r="L2915" i="72"/>
  <c r="A2915" i="72" s="1"/>
  <c r="L2916" i="72"/>
  <c r="A2916" i="72" s="1"/>
  <c r="L2917" i="72"/>
  <c r="A2917" i="72" s="1"/>
  <c r="L2918" i="72"/>
  <c r="A2918" i="72" s="1"/>
  <c r="L2919" i="72"/>
  <c r="A2919" i="72" s="1"/>
  <c r="L2920" i="72"/>
  <c r="A2920" i="72" s="1"/>
  <c r="L2921" i="72"/>
  <c r="A2921" i="72" s="1"/>
  <c r="L2922" i="72"/>
  <c r="A2922" i="72" s="1"/>
  <c r="L2923" i="72"/>
  <c r="A2923" i="72" s="1"/>
  <c r="L2924" i="72"/>
  <c r="A2924" i="72" s="1"/>
  <c r="L2925" i="72"/>
  <c r="A2925" i="72" s="1"/>
  <c r="L2926" i="72"/>
  <c r="A2926" i="72" s="1"/>
  <c r="L2927" i="72"/>
  <c r="A2927" i="72" s="1"/>
  <c r="L2928" i="72"/>
  <c r="A2928" i="72" s="1"/>
  <c r="L2929" i="72"/>
  <c r="A2929" i="72" s="1"/>
  <c r="L2930" i="72"/>
  <c r="A2930" i="72" s="1"/>
  <c r="L2931" i="72"/>
  <c r="A2931" i="72" s="1"/>
  <c r="L2932" i="72"/>
  <c r="A2932" i="72" s="1"/>
  <c r="L2933" i="72"/>
  <c r="A2933" i="72" s="1"/>
  <c r="L2934" i="72"/>
  <c r="A2934" i="72" s="1"/>
  <c r="L2935" i="72"/>
  <c r="A2935" i="72" s="1"/>
  <c r="L2936" i="72"/>
  <c r="A2936" i="72" s="1"/>
  <c r="L2937" i="72"/>
  <c r="A2937" i="72" s="1"/>
  <c r="L2938" i="72"/>
  <c r="A2938" i="72" s="1"/>
  <c r="L2939" i="72"/>
  <c r="A2939" i="72" s="1"/>
  <c r="L2940" i="72"/>
  <c r="A2940" i="72" s="1"/>
  <c r="L2941" i="72"/>
  <c r="A2941" i="72" s="1"/>
  <c r="L2942" i="72"/>
  <c r="A2942" i="72" s="1"/>
  <c r="L2943" i="72"/>
  <c r="A2943" i="72" s="1"/>
  <c r="L2944" i="72"/>
  <c r="A2944" i="72" s="1"/>
  <c r="L2945" i="72"/>
  <c r="A2945" i="72" s="1"/>
  <c r="L2946" i="72"/>
  <c r="A2946" i="72" s="1"/>
  <c r="L2947" i="72"/>
  <c r="A2947" i="72" s="1"/>
  <c r="L2948" i="72"/>
  <c r="A2948" i="72" s="1"/>
  <c r="L2949" i="72"/>
  <c r="A2949" i="72" s="1"/>
  <c r="L2950" i="72"/>
  <c r="A2950" i="72" s="1"/>
  <c r="L2951" i="72"/>
  <c r="A2951" i="72" s="1"/>
  <c r="L2952" i="72"/>
  <c r="A2952" i="72" s="1"/>
  <c r="L2953" i="72"/>
  <c r="A2953" i="72" s="1"/>
  <c r="L2954" i="72"/>
  <c r="A2954" i="72" s="1"/>
  <c r="L2955" i="72"/>
  <c r="A2955" i="72" s="1"/>
  <c r="L2956" i="72"/>
  <c r="A2956" i="72" s="1"/>
  <c r="L2957" i="72"/>
  <c r="A2957" i="72" s="1"/>
  <c r="L2958" i="72"/>
  <c r="A2958" i="72" s="1"/>
  <c r="L2959" i="72"/>
  <c r="A2959" i="72" s="1"/>
  <c r="L2960" i="72"/>
  <c r="A2960" i="72" s="1"/>
  <c r="L2961" i="72"/>
  <c r="A2961" i="72" s="1"/>
  <c r="L2962" i="72"/>
  <c r="A2962" i="72" s="1"/>
  <c r="L2963" i="72"/>
  <c r="A2963" i="72" s="1"/>
  <c r="L2964" i="72"/>
  <c r="A2964" i="72" s="1"/>
  <c r="L2965" i="72"/>
  <c r="A2965" i="72" s="1"/>
  <c r="L2966" i="72"/>
  <c r="A2966" i="72" s="1"/>
  <c r="L2967" i="72"/>
  <c r="A2967" i="72" s="1"/>
  <c r="L2968" i="72"/>
  <c r="A2968" i="72" s="1"/>
  <c r="L2969" i="72"/>
  <c r="A2969" i="72" s="1"/>
  <c r="L2970" i="72"/>
  <c r="A2970" i="72" s="1"/>
  <c r="L2971" i="72"/>
  <c r="A2971" i="72" s="1"/>
  <c r="L2972" i="72"/>
  <c r="A2972" i="72" s="1"/>
  <c r="L2973" i="72"/>
  <c r="A2973" i="72" s="1"/>
  <c r="L2974" i="72"/>
  <c r="A2974" i="72" s="1"/>
  <c r="L2975" i="72"/>
  <c r="A2975" i="72" s="1"/>
  <c r="L2976" i="72"/>
  <c r="A2976" i="72" s="1"/>
  <c r="L2977" i="72"/>
  <c r="A2977" i="72" s="1"/>
  <c r="L2978" i="72"/>
  <c r="A2978" i="72" s="1"/>
  <c r="L2979" i="72"/>
  <c r="A2979" i="72" s="1"/>
  <c r="L2980" i="72"/>
  <c r="A2980" i="72" s="1"/>
  <c r="L2981" i="72"/>
  <c r="A2981" i="72" s="1"/>
  <c r="L2982" i="72"/>
  <c r="A2982" i="72" s="1"/>
  <c r="L2983" i="72"/>
  <c r="A2983" i="72" s="1"/>
  <c r="L2984" i="72"/>
  <c r="A2984" i="72" s="1"/>
  <c r="L2985" i="72"/>
  <c r="A2985" i="72" s="1"/>
  <c r="L2986" i="72"/>
  <c r="A2986" i="72" s="1"/>
  <c r="L2987" i="72"/>
  <c r="A2987" i="72" s="1"/>
  <c r="L2988" i="72"/>
  <c r="A2988" i="72" s="1"/>
  <c r="L2989" i="72"/>
  <c r="A2989" i="72" s="1"/>
  <c r="L2990" i="72"/>
  <c r="A2990" i="72" s="1"/>
  <c r="L2991" i="72"/>
  <c r="A2991" i="72" s="1"/>
  <c r="L2992" i="72"/>
  <c r="A2992" i="72" s="1"/>
  <c r="L2993" i="72"/>
  <c r="A2993" i="72" s="1"/>
  <c r="L2994" i="72"/>
  <c r="A2994" i="72" s="1"/>
  <c r="L2995" i="72"/>
  <c r="A2995" i="72" s="1"/>
  <c r="L2996" i="72"/>
  <c r="A2996" i="72" s="1"/>
  <c r="L2997" i="72"/>
  <c r="A2997" i="72" s="1"/>
  <c r="L2998" i="72"/>
  <c r="A2998" i="72" s="1"/>
  <c r="L2999" i="72"/>
  <c r="A2999" i="72" s="1"/>
  <c r="L3000" i="72"/>
  <c r="A3000" i="72" s="1"/>
  <c r="L3001" i="72"/>
  <c r="A3001" i="72" s="1"/>
  <c r="L3002" i="72"/>
  <c r="A3002" i="72" s="1"/>
  <c r="L3003" i="72"/>
  <c r="A3003" i="72" s="1"/>
  <c r="L3004" i="72"/>
  <c r="A3004" i="72" s="1"/>
  <c r="L3005" i="72"/>
  <c r="A3005" i="72" s="1"/>
  <c r="L3006" i="72"/>
  <c r="A3006" i="72" s="1"/>
  <c r="L3007" i="72"/>
  <c r="A3007" i="72" s="1"/>
  <c r="L3008" i="72"/>
  <c r="A3008" i="72" s="1"/>
  <c r="L3009" i="72"/>
  <c r="A3009" i="72" s="1"/>
  <c r="L3010" i="72"/>
  <c r="A3010" i="72" s="1"/>
  <c r="L3011" i="72"/>
  <c r="A3011" i="72" s="1"/>
  <c r="L3012" i="72"/>
  <c r="A3012" i="72" s="1"/>
  <c r="L3013" i="72"/>
  <c r="A3013" i="72" s="1"/>
  <c r="L3014" i="72"/>
  <c r="A3014" i="72" s="1"/>
  <c r="L3015" i="72"/>
  <c r="A3015" i="72" s="1"/>
  <c r="L3016" i="72"/>
  <c r="A3016" i="72" s="1"/>
  <c r="L3017" i="72"/>
  <c r="A3017" i="72" s="1"/>
  <c r="L3018" i="72"/>
  <c r="A3018" i="72" s="1"/>
  <c r="L3019" i="72"/>
  <c r="A3019" i="72" s="1"/>
  <c r="L3020" i="72"/>
  <c r="A3020" i="72" s="1"/>
  <c r="L3021" i="72"/>
  <c r="A3021" i="72" s="1"/>
  <c r="L3022" i="72"/>
  <c r="A3022" i="72" s="1"/>
  <c r="L3023" i="72"/>
  <c r="A3023" i="72" s="1"/>
  <c r="L3024" i="72"/>
  <c r="A3024" i="72" s="1"/>
  <c r="L3025" i="72"/>
  <c r="A3025" i="72" s="1"/>
  <c r="L3026" i="72"/>
  <c r="A3026" i="72" s="1"/>
  <c r="L3027" i="72"/>
  <c r="A3027" i="72" s="1"/>
  <c r="L3028" i="72"/>
  <c r="A3028" i="72" s="1"/>
  <c r="L3029" i="72"/>
  <c r="A3029" i="72" s="1"/>
  <c r="L3030" i="72"/>
  <c r="A3030" i="72" s="1"/>
  <c r="L3031" i="72"/>
  <c r="A3031" i="72" s="1"/>
  <c r="L3032" i="72"/>
  <c r="A3032" i="72" s="1"/>
  <c r="L3033" i="72"/>
  <c r="A3033" i="72" s="1"/>
  <c r="L3034" i="72"/>
  <c r="A3034" i="72" s="1"/>
  <c r="L3035" i="72"/>
  <c r="A3035" i="72" s="1"/>
  <c r="L3036" i="72"/>
  <c r="A3036" i="72" s="1"/>
  <c r="L3037" i="72"/>
  <c r="A3037" i="72" s="1"/>
  <c r="L3038" i="72"/>
  <c r="A3038" i="72" s="1"/>
  <c r="L3039" i="72"/>
  <c r="A3039" i="72" s="1"/>
  <c r="L3040" i="72"/>
  <c r="A3040" i="72" s="1"/>
  <c r="L3041" i="72"/>
  <c r="A3041" i="72" s="1"/>
  <c r="L3042" i="72"/>
  <c r="A3042" i="72" s="1"/>
  <c r="L3043" i="72"/>
  <c r="A3043" i="72" s="1"/>
  <c r="L3044" i="72"/>
  <c r="A3044" i="72" s="1"/>
  <c r="L3045" i="72"/>
  <c r="A3045" i="72" s="1"/>
  <c r="L3046" i="72"/>
  <c r="A3046" i="72" s="1"/>
  <c r="L3047" i="72"/>
  <c r="A3047" i="72" s="1"/>
  <c r="L3048" i="72"/>
  <c r="A3048" i="72" s="1"/>
  <c r="L3049" i="72"/>
  <c r="A3049" i="72" s="1"/>
  <c r="L3050" i="72"/>
  <c r="A3050" i="72" s="1"/>
  <c r="L3051" i="72"/>
  <c r="A3051" i="72" s="1"/>
  <c r="L3052" i="72"/>
  <c r="A3052" i="72" s="1"/>
  <c r="L3053" i="72"/>
  <c r="A3053" i="72" s="1"/>
  <c r="L3054" i="72"/>
  <c r="A3054" i="72" s="1"/>
  <c r="L3055" i="72"/>
  <c r="A3055" i="72" s="1"/>
  <c r="L3056" i="72"/>
  <c r="A3056" i="72" s="1"/>
  <c r="L3057" i="72"/>
  <c r="A3057" i="72" s="1"/>
  <c r="L3058" i="72"/>
  <c r="A3058" i="72" s="1"/>
  <c r="L3059" i="72"/>
  <c r="A3059" i="72" s="1"/>
  <c r="L3060" i="72"/>
  <c r="A3060" i="72" s="1"/>
  <c r="L3061" i="72"/>
  <c r="A3061" i="72" s="1"/>
  <c r="L3062" i="72"/>
  <c r="A3062" i="72" s="1"/>
  <c r="L3063" i="72"/>
  <c r="A3063" i="72" s="1"/>
  <c r="L3064" i="72"/>
  <c r="A3064" i="72" s="1"/>
  <c r="L3065" i="72"/>
  <c r="A3065" i="72" s="1"/>
  <c r="L3066" i="72"/>
  <c r="A3066" i="72" s="1"/>
  <c r="L3067" i="72"/>
  <c r="A3067" i="72" s="1"/>
  <c r="L3068" i="72"/>
  <c r="A3068" i="72" s="1"/>
  <c r="L3069" i="72"/>
  <c r="A3069" i="72" s="1"/>
  <c r="L3070" i="72"/>
  <c r="A3070" i="72" s="1"/>
  <c r="L3071" i="72"/>
  <c r="A3071" i="72" s="1"/>
  <c r="L3072" i="72"/>
  <c r="A3072" i="72" s="1"/>
  <c r="L3073" i="72"/>
  <c r="A3073" i="72" s="1"/>
  <c r="L3074" i="72"/>
  <c r="A3074" i="72" s="1"/>
  <c r="L3075" i="72"/>
  <c r="A3075" i="72" s="1"/>
  <c r="L3076" i="72"/>
  <c r="A3076" i="72" s="1"/>
  <c r="L3077" i="72"/>
  <c r="A3077" i="72" s="1"/>
  <c r="L3078" i="72"/>
  <c r="A3078" i="72" s="1"/>
  <c r="L3079" i="72"/>
  <c r="A3079" i="72" s="1"/>
  <c r="L3080" i="72"/>
  <c r="A3080" i="72" s="1"/>
  <c r="L3081" i="72"/>
  <c r="A3081" i="72" s="1"/>
  <c r="L3082" i="72"/>
  <c r="A3082" i="72" s="1"/>
  <c r="L3083" i="72"/>
  <c r="A3083" i="72" s="1"/>
  <c r="L3084" i="72"/>
  <c r="A3084" i="72" s="1"/>
  <c r="L3085" i="72"/>
  <c r="A3085" i="72" s="1"/>
  <c r="L3086" i="72"/>
  <c r="A3086" i="72" s="1"/>
  <c r="L3087" i="72"/>
  <c r="A3087" i="72" s="1"/>
  <c r="L3088" i="72"/>
  <c r="A3088" i="72" s="1"/>
  <c r="L3089" i="72"/>
  <c r="A3089" i="72" s="1"/>
  <c r="L3090" i="72"/>
  <c r="A3090" i="72" s="1"/>
  <c r="L3091" i="72"/>
  <c r="A3091" i="72" s="1"/>
  <c r="L3092" i="72"/>
  <c r="A3092" i="72" s="1"/>
  <c r="L3093" i="72"/>
  <c r="A3093" i="72" s="1"/>
  <c r="L3094" i="72"/>
  <c r="A3094" i="72" s="1"/>
  <c r="L3095" i="72"/>
  <c r="A3095" i="72" s="1"/>
  <c r="L3096" i="72"/>
  <c r="A3096" i="72" s="1"/>
  <c r="L3097" i="72"/>
  <c r="A3097" i="72" s="1"/>
  <c r="L3098" i="72"/>
  <c r="A3098" i="72" s="1"/>
  <c r="L3099" i="72"/>
  <c r="A3099" i="72" s="1"/>
  <c r="L3100" i="72"/>
  <c r="A3100" i="72" s="1"/>
  <c r="L3101" i="72"/>
  <c r="A3101" i="72" s="1"/>
  <c r="L3102" i="72"/>
  <c r="A3102" i="72" s="1"/>
  <c r="L3103" i="72"/>
  <c r="A3103" i="72" s="1"/>
  <c r="L3104" i="72"/>
  <c r="A3104" i="72" s="1"/>
  <c r="L3105" i="72"/>
  <c r="A3105" i="72" s="1"/>
  <c r="L3106" i="72"/>
  <c r="A3106" i="72" s="1"/>
  <c r="L3107" i="72"/>
  <c r="A3107" i="72" s="1"/>
  <c r="L3108" i="72"/>
  <c r="A3108" i="72" s="1"/>
  <c r="L3109" i="72"/>
  <c r="A3109" i="72" s="1"/>
  <c r="L3110" i="72"/>
  <c r="A3110" i="72" s="1"/>
  <c r="L3111" i="72"/>
  <c r="A3111" i="72" s="1"/>
  <c r="L3112" i="72"/>
  <c r="A3112" i="72" s="1"/>
  <c r="L3113" i="72"/>
  <c r="A3113" i="72" s="1"/>
  <c r="L3114" i="72"/>
  <c r="A3114" i="72" s="1"/>
  <c r="L3115" i="72"/>
  <c r="A3115" i="72" s="1"/>
  <c r="L3116" i="72"/>
  <c r="A3116" i="72" s="1"/>
  <c r="L3117" i="72"/>
  <c r="A3117" i="72" s="1"/>
  <c r="L3118" i="72"/>
  <c r="A3118" i="72" s="1"/>
  <c r="L3119" i="72"/>
  <c r="A3119" i="72" s="1"/>
  <c r="L3120" i="72"/>
  <c r="A3120" i="72" s="1"/>
  <c r="L3121" i="72"/>
  <c r="A3121" i="72" s="1"/>
  <c r="L3122" i="72"/>
  <c r="A3122" i="72" s="1"/>
  <c r="L3123" i="72"/>
  <c r="A3123" i="72" s="1"/>
  <c r="L3124" i="72"/>
  <c r="A3124" i="72" s="1"/>
  <c r="L3125" i="72"/>
  <c r="A3125" i="72" s="1"/>
  <c r="L3126" i="72"/>
  <c r="A3126" i="72" s="1"/>
  <c r="L3127" i="72"/>
  <c r="A3127" i="72" s="1"/>
  <c r="L3128" i="72"/>
  <c r="A3128" i="72" s="1"/>
  <c r="L3129" i="72"/>
  <c r="A3129" i="72" s="1"/>
  <c r="L3130" i="72"/>
  <c r="A3130" i="72" s="1"/>
  <c r="L3131" i="72"/>
  <c r="A3131" i="72" s="1"/>
  <c r="L3132" i="72"/>
  <c r="A3132" i="72" s="1"/>
  <c r="L3133" i="72"/>
  <c r="A3133" i="72" s="1"/>
  <c r="L3134" i="72"/>
  <c r="A3134" i="72" s="1"/>
  <c r="L3135" i="72"/>
  <c r="A3135" i="72" s="1"/>
  <c r="L3136" i="72"/>
  <c r="A3136" i="72" s="1"/>
  <c r="L3137" i="72"/>
  <c r="A3137" i="72" s="1"/>
  <c r="L3138" i="72"/>
  <c r="A3138" i="72" s="1"/>
  <c r="L3139" i="72"/>
  <c r="A3139" i="72" s="1"/>
  <c r="L3140" i="72"/>
  <c r="A3140" i="72" s="1"/>
  <c r="L3141" i="72"/>
  <c r="A3141" i="72" s="1"/>
  <c r="L3142" i="72"/>
  <c r="A3142" i="72" s="1"/>
  <c r="L3143" i="72"/>
  <c r="A3143" i="72" s="1"/>
  <c r="L3144" i="72"/>
  <c r="A3144" i="72" s="1"/>
  <c r="L3145" i="72"/>
  <c r="A3145" i="72" s="1"/>
  <c r="L3146" i="72"/>
  <c r="A3146" i="72" s="1"/>
  <c r="L3147" i="72"/>
  <c r="A3147" i="72" s="1"/>
  <c r="L3148" i="72"/>
  <c r="A3148" i="72" s="1"/>
  <c r="L3149" i="72"/>
  <c r="A3149" i="72" s="1"/>
  <c r="L3150" i="72"/>
  <c r="A3150" i="72" s="1"/>
  <c r="L3151" i="72"/>
  <c r="A3151" i="72" s="1"/>
  <c r="L3152" i="72"/>
  <c r="A3152" i="72" s="1"/>
  <c r="L3153" i="72"/>
  <c r="A3153" i="72" s="1"/>
  <c r="L3154" i="72"/>
  <c r="A3154" i="72" s="1"/>
  <c r="L3155" i="72"/>
  <c r="A3155" i="72" s="1"/>
  <c r="L3156" i="72"/>
  <c r="A3156" i="72" s="1"/>
  <c r="L3157" i="72"/>
  <c r="A3157" i="72" s="1"/>
  <c r="L3158" i="72"/>
  <c r="A3158" i="72" s="1"/>
  <c r="L3159" i="72"/>
  <c r="A3159" i="72" s="1"/>
  <c r="L3160" i="72"/>
  <c r="A3160" i="72" s="1"/>
  <c r="L3161" i="72"/>
  <c r="A3161" i="72" s="1"/>
  <c r="L3162" i="72"/>
  <c r="A3162" i="72" s="1"/>
  <c r="L3163" i="72"/>
  <c r="A3163" i="72" s="1"/>
  <c r="L3164" i="72"/>
  <c r="A3164" i="72" s="1"/>
  <c r="L3165" i="72"/>
  <c r="A3165" i="72" s="1"/>
  <c r="L3166" i="72"/>
  <c r="A3166" i="72" s="1"/>
  <c r="L3167" i="72"/>
  <c r="A3167" i="72" s="1"/>
  <c r="L3168" i="72"/>
  <c r="A3168" i="72" s="1"/>
  <c r="L3169" i="72"/>
  <c r="A3169" i="72" s="1"/>
  <c r="L3170" i="72"/>
  <c r="A3170" i="72" s="1"/>
  <c r="L3171" i="72"/>
  <c r="A3171" i="72" s="1"/>
  <c r="L3172" i="72"/>
  <c r="A3172" i="72" s="1"/>
  <c r="L3173" i="72"/>
  <c r="A3173" i="72" s="1"/>
  <c r="L3174" i="72"/>
  <c r="A3174" i="72" s="1"/>
  <c r="L3175" i="72"/>
  <c r="A3175" i="72" s="1"/>
  <c r="L3176" i="72"/>
  <c r="A3176" i="72" s="1"/>
  <c r="L3177" i="72"/>
  <c r="A3177" i="72" s="1"/>
  <c r="L3178" i="72"/>
  <c r="A3178" i="72" s="1"/>
  <c r="L3179" i="72"/>
  <c r="A3179" i="72" s="1"/>
  <c r="L3180" i="72"/>
  <c r="A3180" i="72" s="1"/>
  <c r="L3181" i="72"/>
  <c r="A3181" i="72" s="1"/>
  <c r="L3182" i="72"/>
  <c r="A3182" i="72" s="1"/>
  <c r="L3183" i="72"/>
  <c r="A3183" i="72" s="1"/>
  <c r="L3184" i="72"/>
  <c r="A3184" i="72" s="1"/>
  <c r="L3185" i="72"/>
  <c r="A3185" i="72" s="1"/>
  <c r="L3186" i="72"/>
  <c r="A3186" i="72" s="1"/>
  <c r="L3187" i="72"/>
  <c r="A3187" i="72" s="1"/>
  <c r="L3188" i="72"/>
  <c r="A3188" i="72" s="1"/>
  <c r="L3189" i="72"/>
  <c r="A3189" i="72" s="1"/>
  <c r="L3190" i="72"/>
  <c r="A3190" i="72" s="1"/>
  <c r="L3191" i="72"/>
  <c r="A3191" i="72" s="1"/>
  <c r="L3192" i="72"/>
  <c r="A3192" i="72" s="1"/>
  <c r="L3193" i="72"/>
  <c r="A3193" i="72" s="1"/>
  <c r="L3194" i="72"/>
  <c r="A3194" i="72" s="1"/>
  <c r="L3195" i="72"/>
  <c r="A3195" i="72" s="1"/>
  <c r="L3196" i="72"/>
  <c r="A3196" i="72" s="1"/>
  <c r="L3197" i="72"/>
  <c r="A3197" i="72" s="1"/>
  <c r="L3198" i="72"/>
  <c r="A3198" i="72" s="1"/>
  <c r="L3199" i="72"/>
  <c r="A3199" i="72" s="1"/>
  <c r="L3200" i="72"/>
  <c r="A3200" i="72" s="1"/>
  <c r="L3201" i="72"/>
  <c r="A3201" i="72" s="1"/>
  <c r="L3202" i="72"/>
  <c r="A3202" i="72" s="1"/>
  <c r="L3203" i="72"/>
  <c r="A3203" i="72" s="1"/>
  <c r="L3204" i="72"/>
  <c r="A3204" i="72" s="1"/>
  <c r="L3205" i="72"/>
  <c r="A3205" i="72" s="1"/>
  <c r="L3206" i="72"/>
  <c r="A3206" i="72" s="1"/>
  <c r="L3207" i="72"/>
  <c r="A3207" i="72" s="1"/>
  <c r="L3208" i="72"/>
  <c r="A3208" i="72" s="1"/>
  <c r="L3209" i="72"/>
  <c r="A3209" i="72" s="1"/>
  <c r="L3210" i="72"/>
  <c r="A3210" i="72" s="1"/>
  <c r="L3211" i="72"/>
  <c r="A3211" i="72" s="1"/>
  <c r="L3212" i="72"/>
  <c r="A3212" i="72" s="1"/>
  <c r="L3213" i="72"/>
  <c r="A3213" i="72" s="1"/>
  <c r="L3214" i="72"/>
  <c r="A3214" i="72" s="1"/>
  <c r="L3215" i="72"/>
  <c r="A3215" i="72" s="1"/>
  <c r="L3216" i="72"/>
  <c r="A3216" i="72" s="1"/>
  <c r="L3217" i="72"/>
  <c r="A3217" i="72" s="1"/>
  <c r="L3218" i="72"/>
  <c r="A3218" i="72" s="1"/>
  <c r="L3219" i="72"/>
  <c r="A3219" i="72" s="1"/>
  <c r="L3220" i="72"/>
  <c r="A3220" i="72" s="1"/>
  <c r="L3221" i="72"/>
  <c r="A3221" i="72" s="1"/>
  <c r="L3222" i="72"/>
  <c r="A3222" i="72" s="1"/>
  <c r="L3223" i="72"/>
  <c r="A3223" i="72" s="1"/>
  <c r="L3224" i="72"/>
  <c r="A3224" i="72" s="1"/>
  <c r="L3225" i="72"/>
  <c r="A3225" i="72" s="1"/>
  <c r="L3226" i="72"/>
  <c r="A3226" i="72" s="1"/>
  <c r="L3227" i="72"/>
  <c r="A3227" i="72" s="1"/>
  <c r="L3228" i="72"/>
  <c r="A3228" i="72" s="1"/>
  <c r="L3229" i="72"/>
  <c r="A3229" i="72" s="1"/>
  <c r="L3230" i="72"/>
  <c r="A3230" i="72" s="1"/>
  <c r="L3231" i="72"/>
  <c r="A3231" i="72" s="1"/>
  <c r="L3232" i="72"/>
  <c r="A3232" i="72" s="1"/>
  <c r="L3233" i="72"/>
  <c r="A3233" i="72" s="1"/>
  <c r="L3234" i="72"/>
  <c r="A3234" i="72" s="1"/>
  <c r="L3235" i="72"/>
  <c r="A3235" i="72" s="1"/>
  <c r="L3236" i="72"/>
  <c r="A3236" i="72" s="1"/>
  <c r="L3237" i="72"/>
  <c r="A3237" i="72" s="1"/>
  <c r="L3238" i="72"/>
  <c r="A3238" i="72" s="1"/>
  <c r="L3239" i="72"/>
  <c r="A3239" i="72" s="1"/>
  <c r="L3240" i="72"/>
  <c r="A3240" i="72" s="1"/>
  <c r="L3241" i="72"/>
  <c r="A3241" i="72" s="1"/>
  <c r="L3242" i="72"/>
  <c r="A3242" i="72" s="1"/>
  <c r="L3243" i="72"/>
  <c r="A3243" i="72" s="1"/>
  <c r="L3244" i="72"/>
  <c r="A3244" i="72" s="1"/>
  <c r="L3245" i="72"/>
  <c r="A3245" i="72" s="1"/>
  <c r="L3246" i="72"/>
  <c r="A3246" i="72" s="1"/>
  <c r="L3247" i="72"/>
  <c r="A3247" i="72" s="1"/>
  <c r="L3248" i="72"/>
  <c r="A3248" i="72" s="1"/>
  <c r="L3249" i="72"/>
  <c r="A3249" i="72" s="1"/>
  <c r="L3250" i="72"/>
  <c r="A3250" i="72" s="1"/>
  <c r="L3251" i="72"/>
  <c r="A3251" i="72" s="1"/>
  <c r="L3252" i="72"/>
  <c r="A3252" i="72" s="1"/>
  <c r="L3253" i="72"/>
  <c r="A3253" i="72" s="1"/>
  <c r="L3254" i="72"/>
  <c r="A3254" i="72" s="1"/>
  <c r="L3255" i="72"/>
  <c r="A3255" i="72" s="1"/>
  <c r="L3256" i="72"/>
  <c r="A3256" i="72" s="1"/>
  <c r="L3257" i="72"/>
  <c r="A3257" i="72" s="1"/>
  <c r="L3258" i="72"/>
  <c r="A3258" i="72" s="1"/>
  <c r="L3259" i="72"/>
  <c r="A3259" i="72" s="1"/>
  <c r="L3260" i="72"/>
  <c r="A3260" i="72" s="1"/>
  <c r="L3261" i="72"/>
  <c r="A3261" i="72" s="1"/>
  <c r="L3262" i="72"/>
  <c r="A3262" i="72" s="1"/>
  <c r="L3263" i="72"/>
  <c r="A3263" i="72" s="1"/>
  <c r="L3264" i="72"/>
  <c r="A3264" i="72" s="1"/>
  <c r="L3265" i="72"/>
  <c r="A3265" i="72" s="1"/>
  <c r="L3266" i="72"/>
  <c r="A3266" i="72" s="1"/>
  <c r="L3267" i="72"/>
  <c r="A3267" i="72" s="1"/>
  <c r="L3268" i="72"/>
  <c r="A3268" i="72" s="1"/>
  <c r="L3269" i="72"/>
  <c r="A3269" i="72" s="1"/>
  <c r="L3270" i="72"/>
  <c r="A3270" i="72" s="1"/>
  <c r="L3271" i="72"/>
  <c r="A3271" i="72" s="1"/>
  <c r="L3272" i="72"/>
  <c r="A3272" i="72" s="1"/>
  <c r="L3273" i="72"/>
  <c r="A3273" i="72" s="1"/>
  <c r="L3274" i="72"/>
  <c r="A3274" i="72" s="1"/>
  <c r="L3275" i="72"/>
  <c r="A3275" i="72" s="1"/>
  <c r="L3276" i="72"/>
  <c r="A3276" i="72" s="1"/>
  <c r="L3277" i="72"/>
  <c r="A3277" i="72" s="1"/>
  <c r="L3278" i="72"/>
  <c r="A3278" i="72" s="1"/>
  <c r="L3279" i="72"/>
  <c r="A3279" i="72" s="1"/>
  <c r="L3280" i="72"/>
  <c r="A3280" i="72" s="1"/>
  <c r="L3281" i="72"/>
  <c r="A3281" i="72" s="1"/>
  <c r="L3282" i="72"/>
  <c r="A3282" i="72" s="1"/>
  <c r="L3283" i="72"/>
  <c r="A3283" i="72" s="1"/>
  <c r="L3284" i="72"/>
  <c r="A3284" i="72" s="1"/>
  <c r="L3285" i="72"/>
  <c r="A3285" i="72" s="1"/>
  <c r="L3286" i="72"/>
  <c r="A3286" i="72" s="1"/>
  <c r="L3287" i="72"/>
  <c r="A3287" i="72" s="1"/>
  <c r="L3288" i="72"/>
  <c r="A3288" i="72" s="1"/>
  <c r="L3289" i="72"/>
  <c r="A3289" i="72" s="1"/>
  <c r="L3290" i="72"/>
  <c r="A3290" i="72" s="1"/>
  <c r="L3291" i="72"/>
  <c r="A3291" i="72" s="1"/>
  <c r="L3292" i="72"/>
  <c r="A3292" i="72" s="1"/>
  <c r="L3293" i="72"/>
  <c r="A3293" i="72" s="1"/>
  <c r="L3294" i="72"/>
  <c r="A3294" i="72" s="1"/>
  <c r="L3295" i="72"/>
  <c r="A3295" i="72" s="1"/>
  <c r="L3296" i="72"/>
  <c r="A3296" i="72" s="1"/>
  <c r="L3297" i="72"/>
  <c r="A3297" i="72" s="1"/>
  <c r="L3298" i="72"/>
  <c r="A3298" i="72" s="1"/>
  <c r="L3299" i="72"/>
  <c r="A3299" i="72" s="1"/>
  <c r="L3300" i="72"/>
  <c r="A3300" i="72" s="1"/>
  <c r="L3301" i="72"/>
  <c r="A3301" i="72" s="1"/>
  <c r="L3302" i="72"/>
  <c r="A3302" i="72" s="1"/>
  <c r="L3303" i="72"/>
  <c r="A3303" i="72" s="1"/>
  <c r="L3304" i="72"/>
  <c r="A3304" i="72" s="1"/>
  <c r="L3305" i="72"/>
  <c r="A3305" i="72" s="1"/>
  <c r="L3306" i="72"/>
  <c r="A3306" i="72" s="1"/>
  <c r="L3307" i="72"/>
  <c r="A3307" i="72" s="1"/>
  <c r="L3308" i="72"/>
  <c r="A3308" i="72" s="1"/>
  <c r="L3309" i="72"/>
  <c r="A3309" i="72" s="1"/>
  <c r="L3310" i="72"/>
  <c r="A3310" i="72" s="1"/>
  <c r="L3311" i="72"/>
  <c r="A3311" i="72" s="1"/>
  <c r="L3312" i="72"/>
  <c r="A3312" i="72" s="1"/>
  <c r="L3313" i="72"/>
  <c r="A3313" i="72" s="1"/>
  <c r="L3314" i="72"/>
  <c r="A3314" i="72" s="1"/>
  <c r="L3315" i="72"/>
  <c r="A3315" i="72" s="1"/>
  <c r="L3316" i="72"/>
  <c r="A3316" i="72" s="1"/>
  <c r="L3317" i="72"/>
  <c r="A3317" i="72" s="1"/>
  <c r="L3318" i="72"/>
  <c r="A3318" i="72" s="1"/>
  <c r="L3319" i="72"/>
  <c r="A3319" i="72" s="1"/>
  <c r="L3320" i="72"/>
  <c r="A3320" i="72" s="1"/>
  <c r="L3321" i="72"/>
  <c r="A3321" i="72" s="1"/>
  <c r="L3322" i="72"/>
  <c r="A3322" i="72" s="1"/>
  <c r="L3323" i="72"/>
  <c r="A3323" i="72" s="1"/>
  <c r="L3324" i="72"/>
  <c r="A3324" i="72" s="1"/>
  <c r="L3325" i="72"/>
  <c r="A3325" i="72" s="1"/>
  <c r="L3326" i="72"/>
  <c r="A3326" i="72" s="1"/>
  <c r="L3327" i="72"/>
  <c r="A3327" i="72" s="1"/>
  <c r="L3328" i="72"/>
  <c r="A3328" i="72" s="1"/>
  <c r="L3329" i="72"/>
  <c r="A3329" i="72" s="1"/>
  <c r="L3330" i="72"/>
  <c r="A3330" i="72" s="1"/>
  <c r="L3331" i="72"/>
  <c r="A3331" i="72" s="1"/>
  <c r="L3332" i="72"/>
  <c r="A3332" i="72" s="1"/>
  <c r="L3333" i="72"/>
  <c r="A3333" i="72" s="1"/>
  <c r="L3334" i="72"/>
  <c r="A3334" i="72" s="1"/>
  <c r="L3335" i="72"/>
  <c r="A3335" i="72" s="1"/>
  <c r="L3336" i="72"/>
  <c r="A3336" i="72" s="1"/>
  <c r="L3337" i="72"/>
  <c r="A3337" i="72" s="1"/>
  <c r="L3338" i="72"/>
  <c r="A3338" i="72" s="1"/>
  <c r="L3339" i="72"/>
  <c r="A3339" i="72" s="1"/>
  <c r="L3340" i="72"/>
  <c r="A3340" i="72" s="1"/>
  <c r="L3341" i="72"/>
  <c r="A3341" i="72" s="1"/>
  <c r="L3342" i="72"/>
  <c r="A3342" i="72" s="1"/>
  <c r="L3343" i="72"/>
  <c r="A3343" i="72" s="1"/>
  <c r="L3344" i="72"/>
  <c r="A3344" i="72" s="1"/>
  <c r="L3345" i="72"/>
  <c r="A3345" i="72" s="1"/>
  <c r="L3346" i="72"/>
  <c r="A3346" i="72" s="1"/>
  <c r="L3347" i="72"/>
  <c r="A3347" i="72" s="1"/>
  <c r="L3348" i="72"/>
  <c r="A3348" i="72" s="1"/>
  <c r="L3349" i="72"/>
  <c r="A3349" i="72" s="1"/>
  <c r="L3350" i="72"/>
  <c r="A3350" i="72" s="1"/>
  <c r="L3351" i="72"/>
  <c r="A3351" i="72" s="1"/>
  <c r="L3352" i="72"/>
  <c r="A3352" i="72" s="1"/>
  <c r="L3353" i="72"/>
  <c r="A3353" i="72" s="1"/>
  <c r="L3354" i="72"/>
  <c r="A3354" i="72" s="1"/>
  <c r="L3355" i="72"/>
  <c r="A3355" i="72" s="1"/>
  <c r="L3356" i="72"/>
  <c r="A3356" i="72" s="1"/>
  <c r="L3357" i="72"/>
  <c r="A3357" i="72" s="1"/>
  <c r="L3358" i="72"/>
  <c r="A3358" i="72" s="1"/>
  <c r="L3359" i="72"/>
  <c r="A3359" i="72" s="1"/>
  <c r="L3360" i="72"/>
  <c r="A3360" i="72" s="1"/>
  <c r="L3361" i="72"/>
  <c r="A3361" i="72" s="1"/>
  <c r="L3362" i="72"/>
  <c r="A3362" i="72" s="1"/>
  <c r="L3363" i="72"/>
  <c r="A3363" i="72" s="1"/>
  <c r="L3364" i="72"/>
  <c r="A3364" i="72" s="1"/>
  <c r="L3365" i="72"/>
  <c r="A3365" i="72" s="1"/>
  <c r="L3366" i="72"/>
  <c r="A3366" i="72" s="1"/>
  <c r="L3367" i="72"/>
  <c r="A3367" i="72" s="1"/>
  <c r="L3368" i="72"/>
  <c r="A3368" i="72" s="1"/>
  <c r="L3369" i="72"/>
  <c r="A3369" i="72" s="1"/>
  <c r="L3370" i="72"/>
  <c r="A3370" i="72" s="1"/>
  <c r="L3371" i="72"/>
  <c r="A3371" i="72" s="1"/>
  <c r="L3372" i="72"/>
  <c r="A3372" i="72" s="1"/>
  <c r="L3373" i="72"/>
  <c r="A3373" i="72" s="1"/>
  <c r="L3374" i="72"/>
  <c r="A3374" i="72" s="1"/>
  <c r="L3375" i="72"/>
  <c r="A3375" i="72" s="1"/>
  <c r="L3376" i="72"/>
  <c r="A3376" i="72" s="1"/>
  <c r="L3377" i="72"/>
  <c r="A3377" i="72" s="1"/>
  <c r="L3378" i="72"/>
  <c r="A3378" i="72" s="1"/>
  <c r="L3379" i="72"/>
  <c r="A3379" i="72" s="1"/>
  <c r="L3380" i="72"/>
  <c r="A3380" i="72" s="1"/>
  <c r="L3381" i="72"/>
  <c r="A3381" i="72" s="1"/>
  <c r="L3382" i="72"/>
  <c r="A3382" i="72" s="1"/>
  <c r="L3383" i="72"/>
  <c r="A3383" i="72" s="1"/>
  <c r="L3384" i="72"/>
  <c r="A3384" i="72" s="1"/>
  <c r="L3385" i="72"/>
  <c r="A3385" i="72" s="1"/>
  <c r="L3386" i="72"/>
  <c r="A3386" i="72" s="1"/>
  <c r="L3387" i="72"/>
  <c r="A3387" i="72" s="1"/>
  <c r="L3388" i="72"/>
  <c r="A3388" i="72" s="1"/>
  <c r="L3389" i="72"/>
  <c r="A3389" i="72" s="1"/>
  <c r="L3390" i="72"/>
  <c r="A3390" i="72" s="1"/>
  <c r="L3391" i="72"/>
  <c r="A3391" i="72" s="1"/>
  <c r="L3392" i="72"/>
  <c r="A3392" i="72" s="1"/>
  <c r="L3393" i="72"/>
  <c r="A3393" i="72" s="1"/>
  <c r="L3394" i="72"/>
  <c r="A3394" i="72" s="1"/>
  <c r="L3395" i="72"/>
  <c r="A3395" i="72" s="1"/>
  <c r="L3396" i="72"/>
  <c r="A3396" i="72" s="1"/>
  <c r="L3397" i="72"/>
  <c r="A3397" i="72" s="1"/>
  <c r="L3398" i="72"/>
  <c r="A3398" i="72" s="1"/>
  <c r="L3399" i="72"/>
  <c r="A3399" i="72" s="1"/>
  <c r="L3400" i="72"/>
  <c r="A3400" i="72" s="1"/>
  <c r="L3401" i="72"/>
  <c r="A3401" i="72" s="1"/>
  <c r="L3402" i="72"/>
  <c r="A3402" i="72" s="1"/>
  <c r="L3403" i="72"/>
  <c r="A3403" i="72" s="1"/>
  <c r="L3404" i="72"/>
  <c r="A3404" i="72" s="1"/>
  <c r="L3405" i="72"/>
  <c r="A3405" i="72" s="1"/>
  <c r="L3406" i="72"/>
  <c r="A3406" i="72" s="1"/>
  <c r="L3407" i="72"/>
  <c r="A3407" i="72" s="1"/>
  <c r="L3408" i="72"/>
  <c r="A3408" i="72" s="1"/>
  <c r="L3409" i="72"/>
  <c r="A3409" i="72" s="1"/>
  <c r="L3410" i="72"/>
  <c r="A3410" i="72" s="1"/>
  <c r="L3411" i="72"/>
  <c r="A3411" i="72" s="1"/>
  <c r="L3412" i="72"/>
  <c r="A3412" i="72" s="1"/>
  <c r="L3413" i="72"/>
  <c r="A3413" i="72" s="1"/>
  <c r="L3414" i="72"/>
  <c r="A3414" i="72" s="1"/>
  <c r="L3415" i="72"/>
  <c r="A3415" i="72" s="1"/>
  <c r="L3416" i="72"/>
  <c r="A3416" i="72" s="1"/>
  <c r="L3417" i="72"/>
  <c r="A3417" i="72" s="1"/>
  <c r="L3418" i="72"/>
  <c r="A3418" i="72" s="1"/>
  <c r="L3419" i="72"/>
  <c r="A3419" i="72" s="1"/>
  <c r="L3420" i="72"/>
  <c r="A3420" i="72" s="1"/>
  <c r="L3421" i="72"/>
  <c r="A3421" i="72" s="1"/>
  <c r="L3422" i="72"/>
  <c r="A3422" i="72" s="1"/>
  <c r="L3423" i="72"/>
  <c r="A3423" i="72" s="1"/>
  <c r="L3424" i="72"/>
  <c r="A3424" i="72" s="1"/>
  <c r="L3425" i="72"/>
  <c r="A3425" i="72" s="1"/>
  <c r="L3426" i="72"/>
  <c r="A3426" i="72" s="1"/>
  <c r="L3427" i="72"/>
  <c r="A3427" i="72" s="1"/>
  <c r="L3428" i="72"/>
  <c r="A3428" i="72" s="1"/>
  <c r="L3429" i="72"/>
  <c r="A3429" i="72" s="1"/>
  <c r="L3430" i="72"/>
  <c r="A3430" i="72" s="1"/>
  <c r="L3431" i="72"/>
  <c r="A3431" i="72" s="1"/>
  <c r="L3432" i="72"/>
  <c r="A3432" i="72" s="1"/>
  <c r="L3433" i="72"/>
  <c r="A3433" i="72" s="1"/>
  <c r="L3434" i="72"/>
  <c r="A3434" i="72" s="1"/>
  <c r="L3435" i="72"/>
  <c r="A3435" i="72" s="1"/>
  <c r="L3436" i="72"/>
  <c r="A3436" i="72" s="1"/>
  <c r="L3437" i="72"/>
  <c r="A3437" i="72" s="1"/>
  <c r="L3438" i="72"/>
  <c r="A3438" i="72" s="1"/>
  <c r="L3439" i="72"/>
  <c r="A3439" i="72" s="1"/>
  <c r="L3440" i="72"/>
  <c r="A3440" i="72" s="1"/>
  <c r="L3441" i="72"/>
  <c r="A3441" i="72" s="1"/>
  <c r="L3442" i="72"/>
  <c r="A3442" i="72" s="1"/>
  <c r="L3443" i="72"/>
  <c r="A3443" i="72" s="1"/>
  <c r="L3444" i="72"/>
  <c r="A3444" i="72" s="1"/>
  <c r="L3445" i="72"/>
  <c r="A3445" i="72" s="1"/>
  <c r="L3446" i="72"/>
  <c r="A3446" i="72" s="1"/>
  <c r="L3447" i="72"/>
  <c r="A3447" i="72" s="1"/>
  <c r="L3448" i="72"/>
  <c r="A3448" i="72" s="1"/>
  <c r="L3449" i="72"/>
  <c r="A3449" i="72" s="1"/>
  <c r="L3450" i="72"/>
  <c r="A3450" i="72" s="1"/>
  <c r="L3451" i="72"/>
  <c r="A3451" i="72" s="1"/>
  <c r="L3452" i="72"/>
  <c r="A3452" i="72" s="1"/>
  <c r="L3453" i="72"/>
  <c r="A3453" i="72" s="1"/>
  <c r="L3454" i="72"/>
  <c r="A3454" i="72" s="1"/>
  <c r="L3455" i="72"/>
  <c r="A3455" i="72" s="1"/>
  <c r="L3456" i="72"/>
  <c r="A3456" i="72" s="1"/>
  <c r="L3457" i="72"/>
  <c r="A3457" i="72" s="1"/>
  <c r="L3458" i="72"/>
  <c r="A3458" i="72" s="1"/>
  <c r="L3459" i="72"/>
  <c r="A3459" i="72" s="1"/>
  <c r="L3460" i="72"/>
  <c r="A3460" i="72" s="1"/>
  <c r="L3461" i="72"/>
  <c r="A3461" i="72" s="1"/>
  <c r="L3462" i="72"/>
  <c r="A3462" i="72" s="1"/>
  <c r="L3463" i="72"/>
  <c r="A3463" i="72" s="1"/>
  <c r="L3464" i="72"/>
  <c r="A3464" i="72" s="1"/>
  <c r="L3465" i="72"/>
  <c r="A3465" i="72" s="1"/>
  <c r="L3466" i="72"/>
  <c r="A3466" i="72" s="1"/>
  <c r="L3467" i="72"/>
  <c r="A3467" i="72" s="1"/>
  <c r="L3468" i="72"/>
  <c r="A3468" i="72" s="1"/>
  <c r="L3469" i="72"/>
  <c r="A3469" i="72" s="1"/>
  <c r="L3470" i="72"/>
  <c r="A3470" i="72" s="1"/>
  <c r="L3471" i="72"/>
  <c r="A3471" i="72" s="1"/>
  <c r="L3472" i="72"/>
  <c r="A3472" i="72" s="1"/>
  <c r="L3473" i="72"/>
  <c r="A3473" i="72" s="1"/>
  <c r="L3474" i="72"/>
  <c r="A3474" i="72" s="1"/>
  <c r="L3475" i="72"/>
  <c r="A3475" i="72" s="1"/>
  <c r="L3476" i="72"/>
  <c r="A3476" i="72" s="1"/>
  <c r="L3477" i="72"/>
  <c r="A3477" i="72" s="1"/>
  <c r="L3478" i="72"/>
  <c r="A3478" i="72" s="1"/>
  <c r="L3479" i="72"/>
  <c r="A3479" i="72" s="1"/>
  <c r="L3480" i="72"/>
  <c r="A3480" i="72" s="1"/>
  <c r="L3481" i="72"/>
  <c r="A3481" i="72" s="1"/>
  <c r="L3482" i="72"/>
  <c r="A3482" i="72" s="1"/>
  <c r="L3483" i="72"/>
  <c r="A3483" i="72" s="1"/>
  <c r="L3484" i="72"/>
  <c r="A3484" i="72" s="1"/>
  <c r="L3485" i="72"/>
  <c r="A3485" i="72" s="1"/>
  <c r="L3486" i="72"/>
  <c r="A3486" i="72" s="1"/>
  <c r="L3487" i="72"/>
  <c r="A3487" i="72" s="1"/>
  <c r="L3488" i="72"/>
  <c r="A3488" i="72" s="1"/>
  <c r="L3489" i="72"/>
  <c r="A3489" i="72" s="1"/>
  <c r="L3490" i="72"/>
  <c r="A3490" i="72" s="1"/>
  <c r="L3491" i="72"/>
  <c r="A3491" i="72" s="1"/>
  <c r="L3492" i="72"/>
  <c r="A3492" i="72" s="1"/>
  <c r="L3493" i="72"/>
  <c r="A3493" i="72" s="1"/>
  <c r="L3494" i="72"/>
  <c r="A3494" i="72" s="1"/>
  <c r="L3495" i="72"/>
  <c r="A3495" i="72" s="1"/>
  <c r="L3496" i="72"/>
  <c r="A3496" i="72" s="1"/>
  <c r="L3497" i="72"/>
  <c r="A3497" i="72" s="1"/>
  <c r="L3498" i="72"/>
  <c r="A3498" i="72" s="1"/>
  <c r="L3499" i="72"/>
  <c r="A3499" i="72" s="1"/>
  <c r="L3500" i="72"/>
  <c r="A3500" i="72" s="1"/>
  <c r="L3501" i="72"/>
  <c r="A3501" i="72" s="1"/>
  <c r="L3502" i="72"/>
  <c r="A3502" i="72" s="1"/>
  <c r="L3503" i="72"/>
  <c r="A3503" i="72" s="1"/>
  <c r="L3504" i="72"/>
  <c r="A3504" i="72" s="1"/>
  <c r="L3505" i="72"/>
  <c r="A3505" i="72" s="1"/>
  <c r="L3506" i="72"/>
  <c r="A3506" i="72" s="1"/>
  <c r="L3507" i="72"/>
  <c r="A3507" i="72" s="1"/>
  <c r="L3508" i="72"/>
  <c r="A3508" i="72" s="1"/>
  <c r="L3509" i="72"/>
  <c r="A3509" i="72" s="1"/>
  <c r="L3510" i="72"/>
  <c r="A3510" i="72" s="1"/>
  <c r="L3511" i="72"/>
  <c r="A3511" i="72" s="1"/>
  <c r="L3512" i="72"/>
  <c r="A3512" i="72" s="1"/>
  <c r="L3513" i="72"/>
  <c r="A3513" i="72" s="1"/>
  <c r="L3514" i="72"/>
  <c r="A3514" i="72" s="1"/>
  <c r="L3515" i="72"/>
  <c r="A3515" i="72" s="1"/>
  <c r="L3516" i="72"/>
  <c r="A3516" i="72" s="1"/>
  <c r="L3517" i="72"/>
  <c r="A3517" i="72" s="1"/>
  <c r="L3518" i="72"/>
  <c r="A3518" i="72" s="1"/>
  <c r="L3519" i="72"/>
  <c r="A3519" i="72" s="1"/>
  <c r="L3520" i="72"/>
  <c r="A3520" i="72" s="1"/>
  <c r="L3521" i="72"/>
  <c r="A3521" i="72" s="1"/>
  <c r="L3522" i="72"/>
  <c r="A3522" i="72" s="1"/>
  <c r="L3523" i="72"/>
  <c r="A3523" i="72" s="1"/>
  <c r="L3524" i="72"/>
  <c r="A3524" i="72" s="1"/>
  <c r="L3525" i="72"/>
  <c r="A3525" i="72" s="1"/>
  <c r="L3526" i="72"/>
  <c r="A3526" i="72" s="1"/>
  <c r="L3527" i="72"/>
  <c r="A3527" i="72" s="1"/>
  <c r="L3528" i="72"/>
  <c r="A3528" i="72" s="1"/>
  <c r="L3529" i="72"/>
  <c r="A3529" i="72" s="1"/>
  <c r="L3530" i="72"/>
  <c r="A3530" i="72" s="1"/>
  <c r="L3531" i="72"/>
  <c r="A3531" i="72" s="1"/>
  <c r="L3532" i="72"/>
  <c r="A3532" i="72" s="1"/>
  <c r="L3533" i="72"/>
  <c r="A3533" i="72" s="1"/>
  <c r="L3534" i="72"/>
  <c r="A3534" i="72" s="1"/>
  <c r="L3535" i="72"/>
  <c r="A3535" i="72" s="1"/>
  <c r="L3536" i="72"/>
  <c r="A3536" i="72" s="1"/>
  <c r="L3537" i="72"/>
  <c r="A3537" i="72" s="1"/>
  <c r="L3538" i="72"/>
  <c r="A3538" i="72" s="1"/>
  <c r="L3539" i="72"/>
  <c r="A3539" i="72" s="1"/>
  <c r="L3540" i="72"/>
  <c r="A3540" i="72" s="1"/>
  <c r="L3541" i="72"/>
  <c r="A3541" i="72" s="1"/>
  <c r="L3542" i="72"/>
  <c r="A3542" i="72" s="1"/>
  <c r="L3543" i="72"/>
  <c r="A3543" i="72" s="1"/>
  <c r="L3544" i="72"/>
  <c r="A3544" i="72" s="1"/>
  <c r="L3545" i="72"/>
  <c r="A3545" i="72" s="1"/>
  <c r="L3546" i="72"/>
  <c r="A3546" i="72" s="1"/>
  <c r="L3547" i="72"/>
  <c r="A3547" i="72" s="1"/>
  <c r="L3548" i="72"/>
  <c r="A3548" i="72" s="1"/>
  <c r="L3549" i="72"/>
  <c r="A3549" i="72" s="1"/>
  <c r="L3550" i="72"/>
  <c r="A3550" i="72" s="1"/>
  <c r="L3551" i="72"/>
  <c r="A3551" i="72" s="1"/>
  <c r="L3552" i="72"/>
  <c r="A3552" i="72" s="1"/>
  <c r="L3553" i="72"/>
  <c r="A3553" i="72" s="1"/>
  <c r="L3554" i="72"/>
  <c r="A3554" i="72" s="1"/>
  <c r="L3555" i="72"/>
  <c r="A3555" i="72" s="1"/>
  <c r="L3556" i="72"/>
  <c r="A3556" i="72" s="1"/>
  <c r="L3557" i="72"/>
  <c r="A3557" i="72" s="1"/>
  <c r="L3558" i="72"/>
  <c r="A3558" i="72" s="1"/>
  <c r="L3559" i="72"/>
  <c r="A3559" i="72" s="1"/>
  <c r="L3560" i="72"/>
  <c r="A3560" i="72" s="1"/>
  <c r="L3561" i="72"/>
  <c r="A3561" i="72" s="1"/>
  <c r="L3562" i="72"/>
  <c r="A3562" i="72" s="1"/>
  <c r="L3563" i="72"/>
  <c r="A3563" i="72" s="1"/>
  <c r="L3564" i="72"/>
  <c r="A3564" i="72" s="1"/>
  <c r="L3565" i="72"/>
  <c r="A3565" i="72" s="1"/>
  <c r="L3566" i="72"/>
  <c r="A3566" i="72" s="1"/>
  <c r="L3567" i="72"/>
  <c r="A3567" i="72" s="1"/>
  <c r="L3568" i="72"/>
  <c r="A3568" i="72" s="1"/>
  <c r="L3569" i="72"/>
  <c r="A3569" i="72" s="1"/>
  <c r="L3570" i="72"/>
  <c r="A3570" i="72" s="1"/>
  <c r="L3571" i="72"/>
  <c r="A3571" i="72" s="1"/>
  <c r="L3572" i="72"/>
  <c r="A3572" i="72" s="1"/>
  <c r="L3573" i="72"/>
  <c r="A3573" i="72" s="1"/>
  <c r="L3574" i="72"/>
  <c r="A3574" i="72" s="1"/>
  <c r="L3575" i="72"/>
  <c r="A3575" i="72" s="1"/>
  <c r="L3576" i="72"/>
  <c r="A3576" i="72" s="1"/>
  <c r="L3577" i="72"/>
  <c r="A3577" i="72" s="1"/>
  <c r="L3578" i="72"/>
  <c r="A3578" i="72" s="1"/>
  <c r="L3579" i="72"/>
  <c r="A3579" i="72" s="1"/>
  <c r="L3580" i="72"/>
  <c r="A3580" i="72" s="1"/>
  <c r="L3581" i="72"/>
  <c r="A3581" i="72" s="1"/>
  <c r="L3582" i="72"/>
  <c r="A3582" i="72" s="1"/>
  <c r="L3583" i="72"/>
  <c r="A3583" i="72" s="1"/>
  <c r="L3584" i="72"/>
  <c r="A3584" i="72" s="1"/>
  <c r="L3585" i="72"/>
  <c r="A3585" i="72" s="1"/>
  <c r="L3586" i="72"/>
  <c r="A3586" i="72" s="1"/>
  <c r="L3587" i="72"/>
  <c r="A3587" i="72" s="1"/>
  <c r="L3588" i="72"/>
  <c r="A3588" i="72" s="1"/>
  <c r="L3589" i="72"/>
  <c r="A3589" i="72" s="1"/>
  <c r="L3590" i="72"/>
  <c r="A3590" i="72" s="1"/>
  <c r="L3591" i="72"/>
  <c r="A3591" i="72" s="1"/>
  <c r="L3592" i="72"/>
  <c r="A3592" i="72" s="1"/>
  <c r="L3593" i="72"/>
  <c r="A3593" i="72" s="1"/>
  <c r="L3594" i="72"/>
  <c r="A3594" i="72" s="1"/>
  <c r="L3595" i="72"/>
  <c r="A3595" i="72" s="1"/>
  <c r="L3596" i="72"/>
  <c r="A3596" i="72" s="1"/>
  <c r="L3597" i="72"/>
  <c r="A3597" i="72" s="1"/>
  <c r="L3598" i="72"/>
  <c r="A3598" i="72" s="1"/>
  <c r="L3599" i="72"/>
  <c r="A3599" i="72" s="1"/>
  <c r="L3600" i="72"/>
  <c r="A3600" i="72" s="1"/>
  <c r="L3601" i="72"/>
  <c r="A3601" i="72" s="1"/>
  <c r="L3602" i="72"/>
  <c r="A3602" i="72" s="1"/>
  <c r="L3603" i="72"/>
  <c r="A3603" i="72" s="1"/>
  <c r="L3604" i="72"/>
  <c r="A3604" i="72" s="1"/>
  <c r="L3605" i="72"/>
  <c r="A3605" i="72" s="1"/>
  <c r="L3606" i="72"/>
  <c r="A3606" i="72" s="1"/>
  <c r="L3607" i="72"/>
  <c r="A3607" i="72" s="1"/>
  <c r="L3608" i="72"/>
  <c r="A3608" i="72" s="1"/>
  <c r="L3609" i="72"/>
  <c r="A3609" i="72" s="1"/>
  <c r="L3610" i="72"/>
  <c r="A3610" i="72" s="1"/>
  <c r="L3611" i="72"/>
  <c r="A3611" i="72" s="1"/>
  <c r="L3612" i="72"/>
  <c r="A3612" i="72" s="1"/>
  <c r="L3613" i="72"/>
  <c r="A3613" i="72" s="1"/>
  <c r="L3614" i="72"/>
  <c r="A3614" i="72" s="1"/>
  <c r="L3615" i="72"/>
  <c r="A3615" i="72" s="1"/>
  <c r="L3616" i="72"/>
  <c r="A3616" i="72" s="1"/>
  <c r="L3617" i="72"/>
  <c r="A3617" i="72" s="1"/>
  <c r="L3618" i="72"/>
  <c r="A3618" i="72" s="1"/>
  <c r="L3619" i="72"/>
  <c r="A3619" i="72" s="1"/>
  <c r="L3620" i="72"/>
  <c r="A3620" i="72" s="1"/>
  <c r="L3621" i="72"/>
  <c r="A3621" i="72" s="1"/>
  <c r="L3622" i="72"/>
  <c r="A3622" i="72" s="1"/>
  <c r="L3623" i="72"/>
  <c r="A3623" i="72" s="1"/>
  <c r="L3624" i="72"/>
  <c r="A3624" i="72" s="1"/>
  <c r="L3625" i="72"/>
  <c r="A3625" i="72" s="1"/>
  <c r="L3626" i="72"/>
  <c r="A3626" i="72" s="1"/>
  <c r="L3627" i="72"/>
  <c r="A3627" i="72" s="1"/>
  <c r="L3628" i="72"/>
  <c r="A3628" i="72" s="1"/>
  <c r="L3629" i="72"/>
  <c r="A3629" i="72" s="1"/>
  <c r="L3630" i="72"/>
  <c r="A3630" i="72" s="1"/>
  <c r="L3631" i="72"/>
  <c r="A3631" i="72" s="1"/>
  <c r="L3632" i="72"/>
  <c r="A3632" i="72" s="1"/>
  <c r="L3633" i="72"/>
  <c r="A3633" i="72" s="1"/>
  <c r="L3634" i="72"/>
  <c r="A3634" i="72" s="1"/>
  <c r="L3635" i="72"/>
  <c r="A3635" i="72" s="1"/>
  <c r="L3636" i="72"/>
  <c r="A3636" i="72" s="1"/>
  <c r="L3637" i="72"/>
  <c r="A3637" i="72" s="1"/>
  <c r="L3638" i="72"/>
  <c r="A3638" i="72" s="1"/>
  <c r="L3639" i="72"/>
  <c r="A3639" i="72" s="1"/>
  <c r="L3640" i="72"/>
  <c r="A3640" i="72" s="1"/>
  <c r="L3641" i="72"/>
  <c r="A3641" i="72" s="1"/>
  <c r="L3642" i="72"/>
  <c r="A3642" i="72" s="1"/>
  <c r="L3643" i="72"/>
  <c r="A3643" i="72" s="1"/>
  <c r="L3644" i="72"/>
  <c r="A3644" i="72" s="1"/>
  <c r="L3645" i="72"/>
  <c r="A3645" i="72" s="1"/>
  <c r="L3646" i="72"/>
  <c r="A3646" i="72" s="1"/>
  <c r="L3647" i="72"/>
  <c r="A3647" i="72" s="1"/>
  <c r="L3648" i="72"/>
  <c r="A3648" i="72" s="1"/>
  <c r="L3649" i="72"/>
  <c r="A3649" i="72" s="1"/>
  <c r="L3650" i="72"/>
  <c r="A3650" i="72" s="1"/>
  <c r="L3651" i="72"/>
  <c r="A3651" i="72" s="1"/>
  <c r="L3652" i="72"/>
  <c r="A3652" i="72" s="1"/>
  <c r="L3653" i="72"/>
  <c r="A3653" i="72" s="1"/>
  <c r="L3654" i="72"/>
  <c r="A3654" i="72" s="1"/>
  <c r="L3655" i="72"/>
  <c r="A3655" i="72" s="1"/>
  <c r="L3656" i="72"/>
  <c r="A3656" i="72" s="1"/>
  <c r="L3657" i="72"/>
  <c r="A3657" i="72" s="1"/>
  <c r="L3658" i="72"/>
  <c r="A3658" i="72" s="1"/>
  <c r="L3659" i="72"/>
  <c r="A3659" i="72" s="1"/>
  <c r="L3660" i="72"/>
  <c r="A3660" i="72" s="1"/>
  <c r="L3661" i="72"/>
  <c r="A3661" i="72" s="1"/>
  <c r="L3662" i="72"/>
  <c r="A3662" i="72" s="1"/>
  <c r="L3663" i="72"/>
  <c r="A3663" i="72" s="1"/>
  <c r="L3664" i="72"/>
  <c r="A3664" i="72" s="1"/>
  <c r="L3665" i="72"/>
  <c r="A3665" i="72" s="1"/>
  <c r="L3666" i="72"/>
  <c r="A3666" i="72" s="1"/>
  <c r="L3667" i="72"/>
  <c r="A3667" i="72" s="1"/>
  <c r="L3668" i="72"/>
  <c r="A3668" i="72" s="1"/>
  <c r="L3669" i="72"/>
  <c r="A3669" i="72" s="1"/>
  <c r="L3670" i="72"/>
  <c r="A3670" i="72" s="1"/>
  <c r="L3671" i="72"/>
  <c r="A3671" i="72" s="1"/>
  <c r="L3672" i="72"/>
  <c r="A3672" i="72" s="1"/>
  <c r="L3673" i="72"/>
  <c r="A3673" i="72" s="1"/>
  <c r="L3674" i="72"/>
  <c r="A3674" i="72" s="1"/>
  <c r="L3675" i="72"/>
  <c r="A3675" i="72" s="1"/>
  <c r="L3676" i="72"/>
  <c r="A3676" i="72" s="1"/>
  <c r="L3677" i="72"/>
  <c r="A3677" i="72" s="1"/>
  <c r="L3678" i="72"/>
  <c r="A3678" i="72" s="1"/>
  <c r="L3679" i="72"/>
  <c r="A3679" i="72" s="1"/>
  <c r="L3680" i="72"/>
  <c r="A3680" i="72" s="1"/>
  <c r="L3681" i="72"/>
  <c r="A3681" i="72" s="1"/>
  <c r="L3682" i="72"/>
  <c r="A3682" i="72" s="1"/>
  <c r="L3683" i="72"/>
  <c r="A3683" i="72" s="1"/>
  <c r="L3684" i="72"/>
  <c r="A3684" i="72" s="1"/>
  <c r="L3685" i="72"/>
  <c r="A3685" i="72" s="1"/>
  <c r="L3686" i="72"/>
  <c r="A3686" i="72" s="1"/>
  <c r="L3687" i="72"/>
  <c r="A3687" i="72" s="1"/>
  <c r="L3688" i="72"/>
  <c r="A3688" i="72" s="1"/>
  <c r="L3689" i="72"/>
  <c r="A3689" i="72" s="1"/>
  <c r="L3690" i="72"/>
  <c r="A3690" i="72" s="1"/>
  <c r="L3691" i="72"/>
  <c r="A3691" i="72" s="1"/>
  <c r="L3692" i="72"/>
  <c r="A3692" i="72" s="1"/>
  <c r="L3693" i="72"/>
  <c r="A3693" i="72" s="1"/>
  <c r="L3694" i="72"/>
  <c r="A3694" i="72" s="1"/>
  <c r="L3695" i="72"/>
  <c r="A3695" i="72" s="1"/>
  <c r="L3696" i="72"/>
  <c r="A3696" i="72" s="1"/>
  <c r="L3697" i="72"/>
  <c r="A3697" i="72" s="1"/>
  <c r="L3698" i="72"/>
  <c r="A3698" i="72" s="1"/>
  <c r="L3699" i="72"/>
  <c r="A3699" i="72" s="1"/>
  <c r="L3700" i="72"/>
  <c r="A3700" i="72" s="1"/>
  <c r="L3701" i="72"/>
  <c r="A3701" i="72" s="1"/>
  <c r="L3702" i="72"/>
  <c r="A3702" i="72" s="1"/>
  <c r="L3703" i="72"/>
  <c r="A3703" i="72" s="1"/>
  <c r="L3704" i="72"/>
  <c r="A3704" i="72" s="1"/>
  <c r="L3705" i="72"/>
  <c r="A3705" i="72" s="1"/>
  <c r="L3706" i="72"/>
  <c r="A3706" i="72" s="1"/>
  <c r="L3707" i="72"/>
  <c r="A3707" i="72" s="1"/>
  <c r="L3708" i="72"/>
  <c r="A3708" i="72" s="1"/>
  <c r="L3709" i="72"/>
  <c r="A3709" i="72" s="1"/>
  <c r="L3710" i="72"/>
  <c r="A3710" i="72" s="1"/>
  <c r="L3711" i="72"/>
  <c r="A3711" i="72" s="1"/>
  <c r="L3712" i="72"/>
  <c r="A3712" i="72" s="1"/>
  <c r="L3713" i="72"/>
  <c r="A3713" i="72" s="1"/>
  <c r="L3714" i="72"/>
  <c r="A3714" i="72" s="1"/>
  <c r="L3715" i="72"/>
  <c r="A3715" i="72" s="1"/>
  <c r="L3716" i="72"/>
  <c r="A3716" i="72" s="1"/>
  <c r="L3717" i="72"/>
  <c r="A3717" i="72" s="1"/>
  <c r="L3718" i="72"/>
  <c r="A3718" i="72" s="1"/>
  <c r="L3719" i="72"/>
  <c r="A3719" i="72" s="1"/>
  <c r="L3720" i="72"/>
  <c r="A3720" i="72" s="1"/>
  <c r="L3721" i="72"/>
  <c r="A3721" i="72" s="1"/>
  <c r="L3722" i="72"/>
  <c r="A3722" i="72" s="1"/>
  <c r="L3723" i="72"/>
  <c r="A3723" i="72" s="1"/>
  <c r="L3724" i="72"/>
  <c r="A3724" i="72" s="1"/>
  <c r="L3725" i="72"/>
  <c r="A3725" i="72" s="1"/>
  <c r="L3726" i="72"/>
  <c r="A3726" i="72" s="1"/>
  <c r="L3727" i="72"/>
  <c r="A3727" i="72" s="1"/>
  <c r="L3728" i="72"/>
  <c r="A3728" i="72" s="1"/>
  <c r="L3729" i="72"/>
  <c r="A3729" i="72" s="1"/>
  <c r="L3730" i="72"/>
  <c r="A3730" i="72" s="1"/>
  <c r="L3731" i="72"/>
  <c r="A3731" i="72" s="1"/>
  <c r="L3732" i="72"/>
  <c r="A3732" i="72" s="1"/>
  <c r="L3733" i="72"/>
  <c r="A3733" i="72" s="1"/>
  <c r="L3734" i="72"/>
  <c r="A3734" i="72" s="1"/>
  <c r="L3735" i="72"/>
  <c r="A3735" i="72" s="1"/>
  <c r="L3736" i="72"/>
  <c r="A3736" i="72" s="1"/>
  <c r="L3737" i="72"/>
  <c r="A3737" i="72" s="1"/>
  <c r="L3738" i="72"/>
  <c r="A3738" i="72" s="1"/>
  <c r="L3739" i="72"/>
  <c r="A3739" i="72" s="1"/>
  <c r="L3740" i="72"/>
  <c r="A3740" i="72" s="1"/>
  <c r="L3741" i="72"/>
  <c r="A3741" i="72" s="1"/>
  <c r="L3742" i="72"/>
  <c r="A3742" i="72" s="1"/>
  <c r="L3743" i="72"/>
  <c r="A3743" i="72" s="1"/>
  <c r="L3744" i="72"/>
  <c r="A3744" i="72" s="1"/>
  <c r="L3745" i="72"/>
  <c r="A3745" i="72" s="1"/>
  <c r="L3746" i="72"/>
  <c r="A3746" i="72" s="1"/>
  <c r="L3747" i="72"/>
  <c r="A3747" i="72" s="1"/>
  <c r="L3748" i="72"/>
  <c r="A3748" i="72" s="1"/>
  <c r="L3749" i="72"/>
  <c r="A3749" i="72" s="1"/>
  <c r="L3750" i="72"/>
  <c r="A3750" i="72" s="1"/>
  <c r="L3751" i="72"/>
  <c r="A3751" i="72" s="1"/>
  <c r="L3752" i="72"/>
  <c r="A3752" i="72" s="1"/>
  <c r="L3753" i="72"/>
  <c r="A3753" i="72" s="1"/>
  <c r="L3754" i="72"/>
  <c r="A3754" i="72" s="1"/>
  <c r="L3755" i="72"/>
  <c r="A3755" i="72" s="1"/>
  <c r="L3756" i="72"/>
  <c r="A3756" i="72" s="1"/>
  <c r="L3757" i="72"/>
  <c r="A3757" i="72" s="1"/>
  <c r="L3758" i="72"/>
  <c r="A3758" i="72" s="1"/>
  <c r="L3759" i="72"/>
  <c r="A3759" i="72" s="1"/>
  <c r="L3760" i="72"/>
  <c r="A3760" i="72" s="1"/>
  <c r="L3761" i="72"/>
  <c r="A3761" i="72" s="1"/>
  <c r="L3762" i="72"/>
  <c r="A3762" i="72" s="1"/>
  <c r="L3763" i="72"/>
  <c r="A3763" i="72" s="1"/>
  <c r="L3764" i="72"/>
  <c r="A3764" i="72" s="1"/>
  <c r="L3765" i="72"/>
  <c r="A3765" i="72" s="1"/>
  <c r="L3766" i="72"/>
  <c r="A3766" i="72" s="1"/>
  <c r="L3767" i="72"/>
  <c r="A3767" i="72" s="1"/>
  <c r="L3768" i="72"/>
  <c r="A3768" i="72" s="1"/>
  <c r="L3769" i="72"/>
  <c r="A3769" i="72" s="1"/>
  <c r="L3770" i="72"/>
  <c r="A3770" i="72" s="1"/>
  <c r="L3771" i="72"/>
  <c r="A3771" i="72" s="1"/>
  <c r="L3772" i="72"/>
  <c r="A3772" i="72" s="1"/>
  <c r="L3773" i="72"/>
  <c r="A3773" i="72" s="1"/>
  <c r="L3774" i="72"/>
  <c r="A3774" i="72" s="1"/>
  <c r="L3775" i="72"/>
  <c r="A3775" i="72" s="1"/>
  <c r="L3776" i="72"/>
  <c r="A3776" i="72" s="1"/>
  <c r="L3777" i="72"/>
  <c r="A3777" i="72" s="1"/>
  <c r="L3778" i="72"/>
  <c r="A3778" i="72" s="1"/>
  <c r="L3779" i="72"/>
  <c r="A3779" i="72" s="1"/>
  <c r="L3780" i="72"/>
  <c r="A3780" i="72" s="1"/>
  <c r="L3781" i="72"/>
  <c r="A3781" i="72" s="1"/>
  <c r="L3782" i="72"/>
  <c r="A3782" i="72" s="1"/>
  <c r="L3783" i="72"/>
  <c r="A3783" i="72" s="1"/>
  <c r="L3784" i="72"/>
  <c r="A3784" i="72" s="1"/>
  <c r="L3785" i="72"/>
  <c r="A3785" i="72" s="1"/>
  <c r="L3786" i="72"/>
  <c r="A3786" i="72" s="1"/>
  <c r="L3787" i="72"/>
  <c r="A3787" i="72" s="1"/>
  <c r="L3788" i="72"/>
  <c r="A3788" i="72" s="1"/>
  <c r="L3789" i="72"/>
  <c r="A3789" i="72" s="1"/>
  <c r="L3790" i="72"/>
  <c r="A3790" i="72" s="1"/>
  <c r="L3791" i="72"/>
  <c r="A3791" i="72" s="1"/>
  <c r="L3792" i="72"/>
  <c r="A3792" i="72" s="1"/>
  <c r="L3793" i="72"/>
  <c r="A3793" i="72" s="1"/>
  <c r="L3794" i="72"/>
  <c r="A3794" i="72" s="1"/>
  <c r="L3795" i="72"/>
  <c r="A3795" i="72" s="1"/>
  <c r="L3796" i="72"/>
  <c r="A3796" i="72" s="1"/>
  <c r="L3797" i="72"/>
  <c r="A3797" i="72" s="1"/>
  <c r="L3798" i="72"/>
  <c r="A3798" i="72" s="1"/>
  <c r="L3799" i="72"/>
  <c r="A3799" i="72" s="1"/>
  <c r="L3800" i="72"/>
  <c r="A3800" i="72" s="1"/>
  <c r="L3801" i="72"/>
  <c r="A3801" i="72" s="1"/>
  <c r="L3802" i="72"/>
  <c r="A3802" i="72" s="1"/>
  <c r="L3803" i="72"/>
  <c r="A3803" i="72" s="1"/>
  <c r="L3804" i="72"/>
  <c r="A3804" i="72" s="1"/>
  <c r="L3805" i="72"/>
  <c r="A3805" i="72" s="1"/>
  <c r="L3806" i="72"/>
  <c r="A3806" i="72" s="1"/>
  <c r="L3807" i="72"/>
  <c r="A3807" i="72" s="1"/>
  <c r="L3808" i="72"/>
  <c r="A3808" i="72" s="1"/>
  <c r="L3809" i="72"/>
  <c r="A3809" i="72" s="1"/>
  <c r="L3810" i="72"/>
  <c r="A3810" i="72" s="1"/>
  <c r="L3811" i="72"/>
  <c r="A3811" i="72" s="1"/>
  <c r="L3812" i="72"/>
  <c r="A3812" i="72" s="1"/>
  <c r="L3813" i="72"/>
  <c r="A3813" i="72" s="1"/>
  <c r="L3814" i="72"/>
  <c r="A3814" i="72" s="1"/>
  <c r="L3815" i="72"/>
  <c r="A3815" i="72" s="1"/>
  <c r="L3816" i="72"/>
  <c r="A3816" i="72" s="1"/>
  <c r="L3817" i="72"/>
  <c r="A3817" i="72" s="1"/>
  <c r="L3818" i="72"/>
  <c r="A3818" i="72" s="1"/>
  <c r="L3819" i="72"/>
  <c r="A3819" i="72" s="1"/>
  <c r="L3820" i="72"/>
  <c r="A3820" i="72" s="1"/>
  <c r="L3821" i="72"/>
  <c r="A3821" i="72" s="1"/>
  <c r="L3822" i="72"/>
  <c r="A3822" i="72" s="1"/>
  <c r="L3823" i="72"/>
  <c r="A3823" i="72" s="1"/>
  <c r="L3824" i="72"/>
  <c r="A3824" i="72" s="1"/>
  <c r="L3825" i="72"/>
  <c r="A3825" i="72" s="1"/>
  <c r="L3826" i="72"/>
  <c r="A3826" i="72" s="1"/>
  <c r="L3827" i="72"/>
  <c r="A3827" i="72" s="1"/>
  <c r="L3828" i="72"/>
  <c r="A3828" i="72" s="1"/>
  <c r="L3829" i="72"/>
  <c r="A3829" i="72" s="1"/>
  <c r="L3830" i="72"/>
  <c r="A3830" i="72" s="1"/>
  <c r="L3831" i="72"/>
  <c r="A3831" i="72" s="1"/>
  <c r="L3832" i="72"/>
  <c r="A3832" i="72" s="1"/>
  <c r="L3833" i="72"/>
  <c r="A3833" i="72" s="1"/>
  <c r="L3834" i="72"/>
  <c r="A3834" i="72" s="1"/>
  <c r="L3835" i="72"/>
  <c r="A3835" i="72" s="1"/>
  <c r="L3836" i="72"/>
  <c r="A3836" i="72" s="1"/>
  <c r="L3837" i="72"/>
  <c r="A3837" i="72" s="1"/>
  <c r="L3838" i="72"/>
  <c r="A3838" i="72" s="1"/>
  <c r="L3839" i="72"/>
  <c r="A3839" i="72" s="1"/>
  <c r="L3840" i="72"/>
  <c r="A3840" i="72" s="1"/>
  <c r="L3841" i="72"/>
  <c r="A3841" i="72" s="1"/>
  <c r="L3842" i="72"/>
  <c r="A3842" i="72" s="1"/>
  <c r="L3843" i="72"/>
  <c r="A3843" i="72" s="1"/>
  <c r="L3844" i="72"/>
  <c r="A3844" i="72" s="1"/>
  <c r="L3845" i="72"/>
  <c r="A3845" i="72" s="1"/>
  <c r="L3846" i="72"/>
  <c r="A3846" i="72" s="1"/>
  <c r="L3847" i="72"/>
  <c r="A3847" i="72" s="1"/>
  <c r="L3848" i="72"/>
  <c r="A3848" i="72" s="1"/>
  <c r="L3849" i="72"/>
  <c r="A3849" i="72" s="1"/>
  <c r="L3850" i="72"/>
  <c r="A3850" i="72" s="1"/>
  <c r="L3851" i="72"/>
  <c r="A3851" i="72" s="1"/>
  <c r="L3852" i="72"/>
  <c r="A3852" i="72" s="1"/>
  <c r="L3853" i="72"/>
  <c r="A3853" i="72" s="1"/>
  <c r="L3854" i="72"/>
  <c r="A3854" i="72" s="1"/>
  <c r="L3855" i="72"/>
  <c r="A3855" i="72" s="1"/>
  <c r="L3856" i="72"/>
  <c r="A3856" i="72" s="1"/>
  <c r="L3857" i="72"/>
  <c r="A3857" i="72" s="1"/>
  <c r="L3858" i="72"/>
  <c r="A3858" i="72" s="1"/>
  <c r="L3859" i="72"/>
  <c r="A3859" i="72" s="1"/>
  <c r="L3860" i="72"/>
  <c r="A3860" i="72" s="1"/>
  <c r="L3861" i="72"/>
  <c r="A3861" i="72" s="1"/>
  <c r="L3862" i="72"/>
  <c r="A3862" i="72" s="1"/>
  <c r="L3863" i="72"/>
  <c r="A3863" i="72" s="1"/>
  <c r="L3864" i="72"/>
  <c r="A3864" i="72" s="1"/>
  <c r="L3865" i="72"/>
  <c r="A3865" i="72" s="1"/>
  <c r="L3866" i="72"/>
  <c r="A3866" i="72" s="1"/>
  <c r="L3867" i="72"/>
  <c r="A3867" i="72" s="1"/>
  <c r="L3868" i="72"/>
  <c r="A3868" i="72" s="1"/>
  <c r="L3869" i="72"/>
  <c r="A3869" i="72" s="1"/>
  <c r="L3870" i="72"/>
  <c r="A3870" i="72" s="1"/>
  <c r="L3871" i="72"/>
  <c r="A3871" i="72" s="1"/>
  <c r="L3872" i="72"/>
  <c r="A3872" i="72" s="1"/>
  <c r="L3873" i="72"/>
  <c r="A3873" i="72" s="1"/>
  <c r="L3874" i="72"/>
  <c r="A3874" i="72" s="1"/>
  <c r="L3875" i="72"/>
  <c r="A3875" i="72" s="1"/>
  <c r="L3876" i="72"/>
  <c r="A3876" i="72" s="1"/>
  <c r="L3877" i="72"/>
  <c r="A3877" i="72" s="1"/>
  <c r="L3878" i="72"/>
  <c r="A3878" i="72" s="1"/>
  <c r="L3879" i="72"/>
  <c r="A3879" i="72" s="1"/>
  <c r="L3880" i="72"/>
  <c r="A3880" i="72" s="1"/>
  <c r="L3881" i="72"/>
  <c r="A3881" i="72" s="1"/>
  <c r="L3882" i="72"/>
  <c r="A3882" i="72" s="1"/>
  <c r="L3883" i="72"/>
  <c r="A3883" i="72" s="1"/>
  <c r="L3884" i="72"/>
  <c r="A3884" i="72" s="1"/>
  <c r="L3885" i="72"/>
  <c r="A3885" i="72" s="1"/>
  <c r="L3886" i="72"/>
  <c r="A3886" i="72" s="1"/>
  <c r="L3887" i="72"/>
  <c r="A3887" i="72" s="1"/>
  <c r="L3888" i="72"/>
  <c r="A3888" i="72" s="1"/>
  <c r="L3889" i="72"/>
  <c r="A3889" i="72" s="1"/>
  <c r="L3890" i="72"/>
  <c r="A3890" i="72" s="1"/>
  <c r="L3891" i="72"/>
  <c r="A3891" i="72" s="1"/>
  <c r="L3892" i="72"/>
  <c r="A3892" i="72" s="1"/>
  <c r="L3893" i="72"/>
  <c r="A3893" i="72" s="1"/>
  <c r="L3894" i="72"/>
  <c r="A3894" i="72" s="1"/>
  <c r="L3895" i="72"/>
  <c r="A3895" i="72" s="1"/>
  <c r="L3896" i="72"/>
  <c r="A3896" i="72" s="1"/>
  <c r="L3897" i="72"/>
  <c r="A3897" i="72" s="1"/>
  <c r="L3898" i="72"/>
  <c r="A3898" i="72" s="1"/>
  <c r="L3899" i="72"/>
  <c r="A3899" i="72" s="1"/>
  <c r="L3900" i="72"/>
  <c r="A3900" i="72" s="1"/>
  <c r="L3901" i="72"/>
  <c r="A3901" i="72" s="1"/>
  <c r="L3902" i="72"/>
  <c r="A3902" i="72" s="1"/>
  <c r="L3903" i="72"/>
  <c r="A3903" i="72" s="1"/>
  <c r="L3904" i="72"/>
  <c r="A3904" i="72" s="1"/>
  <c r="L3905" i="72"/>
  <c r="A3905" i="72" s="1"/>
  <c r="L3906" i="72"/>
  <c r="A3906" i="72" s="1"/>
  <c r="L3907" i="72"/>
  <c r="A3907" i="72" s="1"/>
  <c r="L3908" i="72"/>
  <c r="A3908" i="72" s="1"/>
  <c r="L3909" i="72"/>
  <c r="A3909" i="72" s="1"/>
  <c r="L3910" i="72"/>
  <c r="A3910" i="72" s="1"/>
  <c r="L3911" i="72"/>
  <c r="A3911" i="72" s="1"/>
  <c r="L3912" i="72"/>
  <c r="A3912" i="72" s="1"/>
  <c r="L3913" i="72"/>
  <c r="A3913" i="72" s="1"/>
  <c r="L3914" i="72"/>
  <c r="A3914" i="72" s="1"/>
  <c r="L3915" i="72"/>
  <c r="A3915" i="72" s="1"/>
  <c r="L3916" i="72"/>
  <c r="A3916" i="72" s="1"/>
  <c r="L3917" i="72"/>
  <c r="A3917" i="72" s="1"/>
  <c r="L3918" i="72"/>
  <c r="A3918" i="72" s="1"/>
  <c r="L3919" i="72"/>
  <c r="A3919" i="72" s="1"/>
  <c r="L3920" i="72"/>
  <c r="A3920" i="72" s="1"/>
  <c r="L3921" i="72"/>
  <c r="A3921" i="72" s="1"/>
  <c r="L3922" i="72"/>
  <c r="A3922" i="72" s="1"/>
  <c r="L3923" i="72"/>
  <c r="A3923" i="72" s="1"/>
  <c r="L3924" i="72"/>
  <c r="A3924" i="72" s="1"/>
  <c r="L3925" i="72"/>
  <c r="A3925" i="72" s="1"/>
  <c r="L3926" i="72"/>
  <c r="A3926" i="72" s="1"/>
  <c r="L3927" i="72"/>
  <c r="A3927" i="72" s="1"/>
  <c r="L3928" i="72"/>
  <c r="A3928" i="72" s="1"/>
  <c r="L3929" i="72"/>
  <c r="A3929" i="72" s="1"/>
  <c r="L3930" i="72"/>
  <c r="A3930" i="72" s="1"/>
  <c r="L3931" i="72"/>
  <c r="A3931" i="72" s="1"/>
  <c r="L3932" i="72"/>
  <c r="A3932" i="72" s="1"/>
  <c r="L3933" i="72"/>
  <c r="A3933" i="72" s="1"/>
  <c r="L3934" i="72"/>
  <c r="A3934" i="72" s="1"/>
  <c r="L3935" i="72"/>
  <c r="A3935" i="72" s="1"/>
  <c r="L3936" i="72"/>
  <c r="A3936" i="72" s="1"/>
  <c r="L3937" i="72"/>
  <c r="A3937" i="72" s="1"/>
  <c r="L3938" i="72"/>
  <c r="A3938" i="72" s="1"/>
  <c r="L3939" i="72"/>
  <c r="A3939" i="72" s="1"/>
  <c r="L3940" i="72"/>
  <c r="A3940" i="72" s="1"/>
  <c r="L3941" i="72"/>
  <c r="A3941" i="72" s="1"/>
  <c r="L3942" i="72"/>
  <c r="A3942" i="72" s="1"/>
  <c r="L3943" i="72"/>
  <c r="A3943" i="72" s="1"/>
  <c r="L3944" i="72"/>
  <c r="A3944" i="72" s="1"/>
  <c r="L3945" i="72"/>
  <c r="A3945" i="72" s="1"/>
  <c r="L3946" i="72"/>
  <c r="A3946" i="72" s="1"/>
  <c r="L3947" i="72"/>
  <c r="A3947" i="72" s="1"/>
  <c r="L3948" i="72"/>
  <c r="A3948" i="72" s="1"/>
  <c r="L3949" i="72"/>
  <c r="A3949" i="72" s="1"/>
  <c r="L3950" i="72"/>
  <c r="A3950" i="72" s="1"/>
  <c r="L3951" i="72"/>
  <c r="A3951" i="72" s="1"/>
  <c r="L3952" i="72"/>
  <c r="A3952" i="72" s="1"/>
  <c r="L3953" i="72"/>
  <c r="A3953" i="72" s="1"/>
  <c r="L3954" i="72"/>
  <c r="A3954" i="72" s="1"/>
  <c r="L3955" i="72"/>
  <c r="A3955" i="72" s="1"/>
  <c r="L3956" i="72"/>
  <c r="A3956" i="72" s="1"/>
  <c r="L3957" i="72"/>
  <c r="A3957" i="72" s="1"/>
  <c r="L3958" i="72"/>
  <c r="A3958" i="72" s="1"/>
  <c r="L3959" i="72"/>
  <c r="A3959" i="72" s="1"/>
  <c r="L3960" i="72"/>
  <c r="A3960" i="72" s="1"/>
  <c r="L3961" i="72"/>
  <c r="A3961" i="72" s="1"/>
  <c r="L3962" i="72"/>
  <c r="A3962" i="72" s="1"/>
  <c r="L3963" i="72"/>
  <c r="A3963" i="72" s="1"/>
  <c r="L3964" i="72"/>
  <c r="A3964" i="72" s="1"/>
  <c r="L3965" i="72"/>
  <c r="A3965" i="72" s="1"/>
  <c r="L3966" i="72"/>
  <c r="A3966" i="72" s="1"/>
  <c r="L3967" i="72"/>
  <c r="A3967" i="72" s="1"/>
  <c r="L3968" i="72"/>
  <c r="A3968" i="72" s="1"/>
  <c r="L3969" i="72"/>
  <c r="A3969" i="72" s="1"/>
  <c r="L3970" i="72"/>
  <c r="A3970" i="72" s="1"/>
  <c r="L3971" i="72"/>
  <c r="A3971" i="72" s="1"/>
  <c r="L3972" i="72"/>
  <c r="A3972" i="72" s="1"/>
  <c r="L3973" i="72"/>
  <c r="A3973" i="72" s="1"/>
  <c r="L3974" i="72"/>
  <c r="A3974" i="72" s="1"/>
  <c r="L3975" i="72"/>
  <c r="A3975" i="72" s="1"/>
  <c r="L3976" i="72"/>
  <c r="A3976" i="72" s="1"/>
  <c r="L3977" i="72"/>
  <c r="A3977" i="72" s="1"/>
  <c r="L3978" i="72"/>
  <c r="A3978" i="72" s="1"/>
  <c r="L3979" i="72"/>
  <c r="A3979" i="72" s="1"/>
  <c r="L3980" i="72"/>
  <c r="A3980" i="72" s="1"/>
  <c r="L3981" i="72"/>
  <c r="A3981" i="72" s="1"/>
  <c r="L3982" i="72"/>
  <c r="A3982" i="72" s="1"/>
  <c r="L3983" i="72"/>
  <c r="A3983" i="72" s="1"/>
  <c r="L3984" i="72"/>
  <c r="A3984" i="72" s="1"/>
  <c r="L3985" i="72"/>
  <c r="A3985" i="72" s="1"/>
  <c r="L3986" i="72"/>
  <c r="A3986" i="72" s="1"/>
  <c r="L3987" i="72"/>
  <c r="A3987" i="72" s="1"/>
  <c r="L3988" i="72"/>
  <c r="A3988" i="72" s="1"/>
  <c r="L3989" i="72"/>
  <c r="A3989" i="72" s="1"/>
  <c r="L3990" i="72"/>
  <c r="A3990" i="72" s="1"/>
  <c r="L3991" i="72"/>
  <c r="A3991" i="72" s="1"/>
  <c r="L3992" i="72"/>
  <c r="A3992" i="72" s="1"/>
  <c r="L3993" i="72"/>
  <c r="A3993" i="72" s="1"/>
  <c r="L3994" i="72"/>
  <c r="A3994" i="72" s="1"/>
  <c r="L3995" i="72"/>
  <c r="A3995" i="72" s="1"/>
  <c r="L3996" i="72"/>
  <c r="A3996" i="72" s="1"/>
  <c r="L3997" i="72"/>
  <c r="A3997" i="72" s="1"/>
  <c r="L3998" i="72"/>
  <c r="A3998" i="72" s="1"/>
  <c r="L3999" i="72"/>
  <c r="A3999" i="72" s="1"/>
  <c r="L4000" i="72"/>
  <c r="A4000" i="72" s="1"/>
  <c r="L4001" i="72"/>
  <c r="A4001" i="72" s="1"/>
  <c r="L4002" i="72"/>
  <c r="A4002" i="72" s="1"/>
  <c r="L4003" i="72"/>
  <c r="A4003" i="72" s="1"/>
  <c r="L4004" i="72"/>
  <c r="A4004" i="72" s="1"/>
  <c r="L4005" i="72"/>
  <c r="A4005" i="72" s="1"/>
  <c r="L4006" i="72"/>
  <c r="A4006" i="72" s="1"/>
  <c r="L4007" i="72"/>
  <c r="A4007" i="72" s="1"/>
  <c r="L4008" i="72"/>
  <c r="A4008" i="72" s="1"/>
  <c r="L4009" i="72"/>
  <c r="A4009" i="72" s="1"/>
  <c r="L4010" i="72"/>
  <c r="A4010" i="72" s="1"/>
  <c r="L4011" i="72"/>
  <c r="A4011" i="72" s="1"/>
  <c r="L4012" i="72"/>
  <c r="A4012" i="72" s="1"/>
  <c r="L4013" i="72"/>
  <c r="A4013" i="72" s="1"/>
  <c r="L4014" i="72"/>
  <c r="A4014" i="72" s="1"/>
  <c r="L4015" i="72"/>
  <c r="A4015" i="72" s="1"/>
  <c r="L4016" i="72"/>
  <c r="A4016" i="72" s="1"/>
  <c r="L4017" i="72"/>
  <c r="A4017" i="72" s="1"/>
  <c r="L4018" i="72"/>
  <c r="A4018" i="72" s="1"/>
  <c r="L4019" i="72"/>
  <c r="A4019" i="72" s="1"/>
  <c r="L4020" i="72"/>
  <c r="A4020" i="72" s="1"/>
  <c r="L4021" i="72"/>
  <c r="A4021" i="72" s="1"/>
  <c r="L4022" i="72"/>
  <c r="A4022" i="72" s="1"/>
  <c r="L4023" i="72"/>
  <c r="A4023" i="72" s="1"/>
  <c r="L4024" i="72"/>
  <c r="A4024" i="72" s="1"/>
  <c r="L4025" i="72"/>
  <c r="A4025" i="72" s="1"/>
  <c r="L4026" i="72"/>
  <c r="A4026" i="72" s="1"/>
  <c r="L4027" i="72"/>
  <c r="A4027" i="72" s="1"/>
  <c r="L4028" i="72"/>
  <c r="A4028" i="72" s="1"/>
  <c r="L4029" i="72"/>
  <c r="A4029" i="72" s="1"/>
  <c r="L4030" i="72"/>
  <c r="A4030" i="72" s="1"/>
  <c r="L4031" i="72"/>
  <c r="A4031" i="72" s="1"/>
  <c r="L4032" i="72"/>
  <c r="A4032" i="72" s="1"/>
  <c r="L4033" i="72"/>
  <c r="A4033" i="72" s="1"/>
  <c r="L4034" i="72"/>
  <c r="A4034" i="72" s="1"/>
  <c r="L4035" i="72"/>
  <c r="A4035" i="72" s="1"/>
  <c r="L4036" i="72"/>
  <c r="A4036" i="72" s="1"/>
  <c r="L4037" i="72"/>
  <c r="A4037" i="72" s="1"/>
  <c r="L4038" i="72"/>
  <c r="A4038" i="72" s="1"/>
  <c r="L4039" i="72"/>
  <c r="A4039" i="72" s="1"/>
  <c r="L4040" i="72"/>
  <c r="A4040" i="72" s="1"/>
  <c r="L4041" i="72"/>
  <c r="A4041" i="72" s="1"/>
  <c r="L4042" i="72"/>
  <c r="A4042" i="72" s="1"/>
  <c r="L4043" i="72"/>
  <c r="A4043" i="72" s="1"/>
  <c r="L4044" i="72"/>
  <c r="A4044" i="72" s="1"/>
  <c r="L4045" i="72"/>
  <c r="A4045" i="72" s="1"/>
  <c r="L4046" i="72"/>
  <c r="A4046" i="72" s="1"/>
  <c r="L4047" i="72"/>
  <c r="A4047" i="72" s="1"/>
  <c r="L4048" i="72"/>
  <c r="A4048" i="72" s="1"/>
  <c r="L4049" i="72"/>
  <c r="A4049" i="72" s="1"/>
  <c r="L4050" i="72"/>
  <c r="A4050" i="72" s="1"/>
  <c r="L4051" i="72"/>
  <c r="A4051" i="72" s="1"/>
  <c r="L4052" i="72"/>
  <c r="A4052" i="72" s="1"/>
  <c r="L4053" i="72"/>
  <c r="A4053" i="72" s="1"/>
  <c r="L4054" i="72"/>
  <c r="A4054" i="72" s="1"/>
  <c r="L4055" i="72"/>
  <c r="A4055" i="72" s="1"/>
  <c r="L4056" i="72"/>
  <c r="A4056" i="72" s="1"/>
  <c r="L4057" i="72"/>
  <c r="A4057" i="72" s="1"/>
  <c r="L4058" i="72"/>
  <c r="A4058" i="72" s="1"/>
  <c r="L4059" i="72"/>
  <c r="A4059" i="72" s="1"/>
  <c r="L4060" i="72"/>
  <c r="A4060" i="72" s="1"/>
  <c r="L4061" i="72"/>
  <c r="A4061" i="72" s="1"/>
  <c r="L4062" i="72"/>
  <c r="A4062" i="72" s="1"/>
  <c r="L4063" i="72"/>
  <c r="A4063" i="72" s="1"/>
  <c r="L4064" i="72"/>
  <c r="A4064" i="72" s="1"/>
  <c r="L4065" i="72"/>
  <c r="A4065" i="72" s="1"/>
  <c r="L4066" i="72"/>
  <c r="A4066" i="72" s="1"/>
  <c r="L4067" i="72"/>
  <c r="A4067" i="72" s="1"/>
  <c r="L4068" i="72"/>
  <c r="A4068" i="72" s="1"/>
  <c r="L4069" i="72"/>
  <c r="A4069" i="72" s="1"/>
  <c r="L4070" i="72"/>
  <c r="A4070" i="72" s="1"/>
  <c r="L4071" i="72"/>
  <c r="A4071" i="72" s="1"/>
  <c r="L4072" i="72"/>
  <c r="A4072" i="72" s="1"/>
  <c r="L4073" i="72"/>
  <c r="A4073" i="72" s="1"/>
  <c r="L4074" i="72"/>
  <c r="A4074" i="72" s="1"/>
  <c r="L4075" i="72"/>
  <c r="A4075" i="72" s="1"/>
  <c r="L4076" i="72"/>
  <c r="A4076" i="72" s="1"/>
  <c r="L4077" i="72"/>
  <c r="A4077" i="72" s="1"/>
  <c r="L4078" i="72"/>
  <c r="A4078" i="72" s="1"/>
  <c r="L4079" i="72"/>
  <c r="A4079" i="72" s="1"/>
  <c r="L4080" i="72"/>
  <c r="A4080" i="72" s="1"/>
  <c r="L4081" i="72"/>
  <c r="A4081" i="72" s="1"/>
  <c r="L4082" i="72"/>
  <c r="A4082" i="72" s="1"/>
  <c r="L4083" i="72"/>
  <c r="A4083" i="72" s="1"/>
  <c r="L4084" i="72"/>
  <c r="A4084" i="72" s="1"/>
  <c r="L4085" i="72"/>
  <c r="A4085" i="72" s="1"/>
  <c r="L4086" i="72"/>
  <c r="A4086" i="72" s="1"/>
  <c r="L4087" i="72"/>
  <c r="A4087" i="72" s="1"/>
  <c r="L4088" i="72"/>
  <c r="A4088" i="72" s="1"/>
  <c r="L4089" i="72"/>
  <c r="A4089" i="72" s="1"/>
  <c r="L4090" i="72"/>
  <c r="A4090" i="72" s="1"/>
  <c r="L4091" i="72"/>
  <c r="A4091" i="72" s="1"/>
  <c r="L4092" i="72"/>
  <c r="A4092" i="72" s="1"/>
  <c r="L4093" i="72"/>
  <c r="A4093" i="72" s="1"/>
  <c r="L4094" i="72"/>
  <c r="A4094" i="72" s="1"/>
  <c r="L4095" i="72"/>
  <c r="A4095" i="72" s="1"/>
  <c r="L4096" i="72"/>
  <c r="A4096" i="72" s="1"/>
  <c r="L4097" i="72"/>
  <c r="A4097" i="72" s="1"/>
  <c r="L4098" i="72"/>
  <c r="A4098" i="72" s="1"/>
  <c r="L4099" i="72"/>
  <c r="A4099" i="72" s="1"/>
  <c r="L4100" i="72"/>
  <c r="A4100" i="72" s="1"/>
  <c r="L4101" i="72"/>
  <c r="A4101" i="72" s="1"/>
  <c r="L4102" i="72"/>
  <c r="A4102" i="72" s="1"/>
  <c r="L4103" i="72"/>
  <c r="A4103" i="72" s="1"/>
  <c r="L4104" i="72"/>
  <c r="A4104" i="72" s="1"/>
  <c r="L4105" i="72"/>
  <c r="A4105" i="72" s="1"/>
  <c r="L4106" i="72"/>
  <c r="A4106" i="72" s="1"/>
  <c r="L4107" i="72"/>
  <c r="A4107" i="72" s="1"/>
  <c r="L4108" i="72"/>
  <c r="A4108" i="72" s="1"/>
  <c r="L4109" i="72"/>
  <c r="A4109" i="72" s="1"/>
  <c r="L4110" i="72"/>
  <c r="A4110" i="72" s="1"/>
  <c r="L4111" i="72"/>
  <c r="A4111" i="72" s="1"/>
  <c r="L4112" i="72"/>
  <c r="A4112" i="72" s="1"/>
  <c r="L4113" i="72"/>
  <c r="A4113" i="72" s="1"/>
  <c r="L4114" i="72"/>
  <c r="A4114" i="72" s="1"/>
  <c r="L4115" i="72"/>
  <c r="A4115" i="72" s="1"/>
  <c r="L4116" i="72"/>
  <c r="A4116" i="72" s="1"/>
  <c r="L4117" i="72"/>
  <c r="A4117" i="72" s="1"/>
  <c r="L4118" i="72"/>
  <c r="A4118" i="72" s="1"/>
  <c r="L4119" i="72"/>
  <c r="A4119" i="72" s="1"/>
  <c r="L4120" i="72"/>
  <c r="A4120" i="72" s="1"/>
  <c r="L4121" i="72"/>
  <c r="A4121" i="72" s="1"/>
  <c r="L4122" i="72"/>
  <c r="A4122" i="72" s="1"/>
  <c r="L4123" i="72"/>
  <c r="A4123" i="72" s="1"/>
  <c r="L4124" i="72"/>
  <c r="A4124" i="72" s="1"/>
  <c r="L4125" i="72"/>
  <c r="A4125" i="72" s="1"/>
  <c r="L4126" i="72"/>
  <c r="A4126" i="72" s="1"/>
  <c r="L4127" i="72"/>
  <c r="A4127" i="72" s="1"/>
  <c r="L4128" i="72"/>
  <c r="A4128" i="72" s="1"/>
  <c r="L4129" i="72"/>
  <c r="A4129" i="72" s="1"/>
  <c r="L4130" i="72"/>
  <c r="A4130" i="72" s="1"/>
  <c r="L4131" i="72"/>
  <c r="A4131" i="72" s="1"/>
  <c r="L4132" i="72"/>
  <c r="A4132" i="72" s="1"/>
  <c r="L4133" i="72"/>
  <c r="A4133" i="72" s="1"/>
  <c r="L4134" i="72"/>
  <c r="A4134" i="72" s="1"/>
  <c r="L4135" i="72"/>
  <c r="A4135" i="72" s="1"/>
  <c r="L4136" i="72"/>
  <c r="A4136" i="72" s="1"/>
  <c r="L4137" i="72"/>
  <c r="A4137" i="72" s="1"/>
  <c r="L4138" i="72"/>
  <c r="A4138" i="72" s="1"/>
  <c r="L4139" i="72"/>
  <c r="A4139" i="72" s="1"/>
  <c r="L4140" i="72"/>
  <c r="A4140" i="72" s="1"/>
  <c r="L4141" i="72"/>
  <c r="A4141" i="72" s="1"/>
  <c r="L4142" i="72"/>
  <c r="A4142" i="72" s="1"/>
  <c r="L4143" i="72"/>
  <c r="A4143" i="72" s="1"/>
  <c r="L4144" i="72"/>
  <c r="A4144" i="72" s="1"/>
  <c r="L4145" i="72"/>
  <c r="A4145" i="72" s="1"/>
  <c r="L4146" i="72"/>
  <c r="A4146" i="72" s="1"/>
  <c r="L4147" i="72"/>
  <c r="A4147" i="72" s="1"/>
  <c r="L4148" i="72"/>
  <c r="A4148" i="72" s="1"/>
  <c r="L4149" i="72"/>
  <c r="A4149" i="72" s="1"/>
  <c r="L4150" i="72"/>
  <c r="A4150" i="72" s="1"/>
  <c r="L4151" i="72"/>
  <c r="A4151" i="72" s="1"/>
  <c r="L4152" i="72"/>
  <c r="A4152" i="72" s="1"/>
  <c r="L4153" i="72"/>
  <c r="A4153" i="72" s="1"/>
  <c r="L4154" i="72"/>
  <c r="A4154" i="72" s="1"/>
  <c r="L4155" i="72"/>
  <c r="A4155" i="72" s="1"/>
  <c r="L4156" i="72"/>
  <c r="A4156" i="72" s="1"/>
  <c r="L4157" i="72"/>
  <c r="A4157" i="72" s="1"/>
  <c r="L4158" i="72"/>
  <c r="A4158" i="72" s="1"/>
  <c r="L4159" i="72"/>
  <c r="A4159" i="72" s="1"/>
  <c r="L4160" i="72"/>
  <c r="A4160" i="72" s="1"/>
  <c r="L4161" i="72"/>
  <c r="A4161" i="72" s="1"/>
  <c r="L4162" i="72"/>
  <c r="A4162" i="72" s="1"/>
  <c r="L4163" i="72"/>
  <c r="A4163" i="72" s="1"/>
  <c r="L4164" i="72"/>
  <c r="A4164" i="72" s="1"/>
  <c r="L4165" i="72"/>
  <c r="A4165" i="72" s="1"/>
  <c r="L4166" i="72"/>
  <c r="A4166" i="72" s="1"/>
  <c r="L4167" i="72"/>
  <c r="A4167" i="72" s="1"/>
  <c r="L4168" i="72"/>
  <c r="A4168" i="72" s="1"/>
  <c r="L4169" i="72"/>
  <c r="A4169" i="72" s="1"/>
  <c r="L4170" i="72"/>
  <c r="A4170" i="72" s="1"/>
  <c r="L4171" i="72"/>
  <c r="A4171" i="72" s="1"/>
  <c r="L4172" i="72"/>
  <c r="A4172" i="72" s="1"/>
  <c r="L4173" i="72"/>
  <c r="A4173" i="72" s="1"/>
  <c r="L4174" i="72"/>
  <c r="A4174" i="72" s="1"/>
  <c r="L4175" i="72"/>
  <c r="A4175" i="72" s="1"/>
  <c r="L4176" i="72"/>
  <c r="A4176" i="72" s="1"/>
  <c r="L4177" i="72"/>
  <c r="A4177" i="72" s="1"/>
  <c r="L4178" i="72"/>
  <c r="A4178" i="72" s="1"/>
  <c r="L4179" i="72"/>
  <c r="A4179" i="72" s="1"/>
  <c r="L4180" i="72"/>
  <c r="A4180" i="72" s="1"/>
  <c r="L4181" i="72"/>
  <c r="A4181" i="72" s="1"/>
  <c r="L4182" i="72"/>
  <c r="A4182" i="72" s="1"/>
  <c r="L4183" i="72"/>
  <c r="A4183" i="72" s="1"/>
  <c r="L4184" i="72"/>
  <c r="A4184" i="72" s="1"/>
  <c r="L4185" i="72"/>
  <c r="A4185" i="72" s="1"/>
  <c r="L4186" i="72"/>
  <c r="A4186" i="72" s="1"/>
  <c r="L4187" i="72"/>
  <c r="A4187" i="72" s="1"/>
  <c r="L4188" i="72"/>
  <c r="A4188" i="72" s="1"/>
  <c r="L4189" i="72"/>
  <c r="A4189" i="72" s="1"/>
  <c r="L4190" i="72"/>
  <c r="A4190" i="72" s="1"/>
  <c r="L4191" i="72"/>
  <c r="A4191" i="72" s="1"/>
  <c r="L4192" i="72"/>
  <c r="A4192" i="72" s="1"/>
  <c r="L4193" i="72"/>
  <c r="A4193" i="72" s="1"/>
  <c r="L4194" i="72"/>
  <c r="A4194" i="72" s="1"/>
  <c r="L4195" i="72"/>
  <c r="A4195" i="72" s="1"/>
  <c r="L4196" i="72"/>
  <c r="A4196" i="72" s="1"/>
  <c r="L4197" i="72"/>
  <c r="A4197" i="72" s="1"/>
  <c r="L4198" i="72"/>
  <c r="A4198" i="72" s="1"/>
  <c r="L4199" i="72"/>
  <c r="A4199" i="72" s="1"/>
  <c r="L4200" i="72"/>
  <c r="A4200" i="72" s="1"/>
  <c r="L4201" i="72"/>
  <c r="A4201" i="72" s="1"/>
  <c r="L4202" i="72"/>
  <c r="A4202" i="72" s="1"/>
  <c r="L4203" i="72"/>
  <c r="A4203" i="72" s="1"/>
  <c r="L4204" i="72"/>
  <c r="A4204" i="72" s="1"/>
  <c r="L4205" i="72"/>
  <c r="A4205" i="72" s="1"/>
  <c r="L4206" i="72"/>
  <c r="A4206" i="72" s="1"/>
  <c r="L4207" i="72"/>
  <c r="A4207" i="72" s="1"/>
  <c r="L4208" i="72"/>
  <c r="A4208" i="72" s="1"/>
  <c r="L4209" i="72"/>
  <c r="A4209" i="72" s="1"/>
  <c r="L4210" i="72"/>
  <c r="A4210" i="72" s="1"/>
  <c r="L4211" i="72"/>
  <c r="A4211" i="72" s="1"/>
  <c r="L4212" i="72"/>
  <c r="A4212" i="72" s="1"/>
  <c r="L4213" i="72"/>
  <c r="A4213" i="72" s="1"/>
  <c r="L4214" i="72"/>
  <c r="A4214" i="72" s="1"/>
  <c r="L4215" i="72"/>
  <c r="A4215" i="72" s="1"/>
  <c r="L4216" i="72"/>
  <c r="A4216" i="72" s="1"/>
  <c r="L4217" i="72"/>
  <c r="A4217" i="72" s="1"/>
  <c r="L4218" i="72"/>
  <c r="A4218" i="72" s="1"/>
  <c r="L4219" i="72"/>
  <c r="A4219" i="72" s="1"/>
  <c r="L4220" i="72"/>
  <c r="A4220" i="72" s="1"/>
  <c r="L4221" i="72"/>
  <c r="A4221" i="72" s="1"/>
  <c r="L4222" i="72"/>
  <c r="A4222" i="72" s="1"/>
  <c r="L4223" i="72"/>
  <c r="A4223" i="72" s="1"/>
  <c r="L4224" i="72"/>
  <c r="A4224" i="72" s="1"/>
  <c r="L4225" i="72"/>
  <c r="A4225" i="72" s="1"/>
  <c r="L4226" i="72"/>
  <c r="A4226" i="72" s="1"/>
  <c r="L4227" i="72"/>
  <c r="A4227" i="72" s="1"/>
  <c r="L4228" i="72"/>
  <c r="A4228" i="72" s="1"/>
  <c r="L4229" i="72"/>
  <c r="A4229" i="72" s="1"/>
  <c r="L4230" i="72"/>
  <c r="A4230" i="72" s="1"/>
  <c r="L4231" i="72"/>
  <c r="A4231" i="72" s="1"/>
  <c r="L4232" i="72"/>
  <c r="A4232" i="72" s="1"/>
  <c r="L4233" i="72"/>
  <c r="A4233" i="72" s="1"/>
  <c r="L4234" i="72"/>
  <c r="A4234" i="72" s="1"/>
  <c r="L4235" i="72"/>
  <c r="A4235" i="72" s="1"/>
  <c r="L4236" i="72"/>
  <c r="A4236" i="72" s="1"/>
  <c r="L4237" i="72"/>
  <c r="A4237" i="72" s="1"/>
  <c r="L4238" i="72"/>
  <c r="A4238" i="72" s="1"/>
  <c r="L4239" i="72"/>
  <c r="A4239" i="72" s="1"/>
  <c r="L4240" i="72"/>
  <c r="A4240" i="72" s="1"/>
  <c r="L4241" i="72"/>
  <c r="A4241" i="72" s="1"/>
  <c r="L4242" i="72"/>
  <c r="A4242" i="72" s="1"/>
  <c r="L4243" i="72"/>
  <c r="A4243" i="72" s="1"/>
  <c r="L4244" i="72"/>
  <c r="A4244" i="72" s="1"/>
  <c r="L4245" i="72"/>
  <c r="A4245" i="72" s="1"/>
  <c r="L4246" i="72"/>
  <c r="A4246" i="72" s="1"/>
  <c r="L4247" i="72"/>
  <c r="A4247" i="72" s="1"/>
  <c r="L4248" i="72"/>
  <c r="A4248" i="72" s="1"/>
  <c r="L4249" i="72"/>
  <c r="A4249" i="72" s="1"/>
  <c r="L4250" i="72"/>
  <c r="A4250" i="72" s="1"/>
  <c r="L4251" i="72"/>
  <c r="A4251" i="72" s="1"/>
  <c r="L4252" i="72"/>
  <c r="A4252" i="72" s="1"/>
  <c r="L4253" i="72"/>
  <c r="A4253" i="72" s="1"/>
  <c r="L4254" i="72"/>
  <c r="A4254" i="72" s="1"/>
  <c r="L4255" i="72"/>
  <c r="A4255" i="72" s="1"/>
  <c r="L4256" i="72"/>
  <c r="A4256" i="72" s="1"/>
  <c r="L4257" i="72"/>
  <c r="A4257" i="72" s="1"/>
  <c r="L4258" i="72"/>
  <c r="A4258" i="72" s="1"/>
  <c r="L4259" i="72"/>
  <c r="A4259" i="72" s="1"/>
  <c r="L4260" i="72"/>
  <c r="A4260" i="72" s="1"/>
  <c r="L4261" i="72"/>
  <c r="A4261" i="72" s="1"/>
  <c r="L4262" i="72"/>
  <c r="A4262" i="72" s="1"/>
  <c r="L4263" i="72"/>
  <c r="A4263" i="72" s="1"/>
  <c r="L4264" i="72"/>
  <c r="A4264" i="72" s="1"/>
  <c r="L4265" i="72"/>
  <c r="A4265" i="72" s="1"/>
  <c r="L4266" i="72"/>
  <c r="A4266" i="72" s="1"/>
  <c r="L4267" i="72"/>
  <c r="A4267" i="72" s="1"/>
  <c r="L4268" i="72"/>
  <c r="A4268" i="72" s="1"/>
  <c r="L4269" i="72"/>
  <c r="A4269" i="72" s="1"/>
  <c r="L4270" i="72"/>
  <c r="A4270" i="72" s="1"/>
  <c r="L4271" i="72"/>
  <c r="A4271" i="72" s="1"/>
  <c r="L4272" i="72"/>
  <c r="A4272" i="72" s="1"/>
  <c r="L4273" i="72"/>
  <c r="A4273" i="72" s="1"/>
  <c r="L4274" i="72"/>
  <c r="A4274" i="72" s="1"/>
  <c r="L4275" i="72"/>
  <c r="A4275" i="72" s="1"/>
  <c r="L4276" i="72"/>
  <c r="A4276" i="72" s="1"/>
  <c r="L4277" i="72"/>
  <c r="A4277" i="72" s="1"/>
  <c r="L4278" i="72"/>
  <c r="A4278" i="72" s="1"/>
  <c r="L4279" i="72"/>
  <c r="A4279" i="72" s="1"/>
  <c r="L4280" i="72"/>
  <c r="A4280" i="72" s="1"/>
  <c r="L4281" i="72"/>
  <c r="A4281" i="72" s="1"/>
  <c r="L4282" i="72"/>
  <c r="A4282" i="72" s="1"/>
  <c r="L4283" i="72"/>
  <c r="A4283" i="72" s="1"/>
  <c r="L4284" i="72"/>
  <c r="A4284" i="72" s="1"/>
  <c r="L4285" i="72"/>
  <c r="A4285" i="72" s="1"/>
  <c r="L4286" i="72"/>
  <c r="A4286" i="72" s="1"/>
  <c r="L4287" i="72"/>
  <c r="A4287" i="72" s="1"/>
  <c r="L4288" i="72"/>
  <c r="A4288" i="72" s="1"/>
  <c r="L4289" i="72"/>
  <c r="A4289" i="72" s="1"/>
  <c r="L4290" i="72"/>
  <c r="A4290" i="72" s="1"/>
  <c r="L4291" i="72"/>
  <c r="A4291" i="72" s="1"/>
  <c r="L4292" i="72"/>
  <c r="A4292" i="72" s="1"/>
  <c r="L4293" i="72"/>
  <c r="A4293" i="72" s="1"/>
  <c r="L4294" i="72"/>
  <c r="A4294" i="72" s="1"/>
  <c r="L4295" i="72"/>
  <c r="A4295" i="72" s="1"/>
  <c r="L4296" i="72"/>
  <c r="A4296" i="72" s="1"/>
  <c r="L4297" i="72"/>
  <c r="A4297" i="72" s="1"/>
  <c r="L4298" i="72"/>
  <c r="A4298" i="72" s="1"/>
  <c r="L4299" i="72"/>
  <c r="A4299" i="72" s="1"/>
  <c r="L4300" i="72"/>
  <c r="A4300" i="72" s="1"/>
  <c r="L4301" i="72"/>
  <c r="A4301" i="72" s="1"/>
  <c r="L4302" i="72"/>
  <c r="A4302" i="72" s="1"/>
  <c r="L4303" i="72"/>
  <c r="A4303" i="72" s="1"/>
  <c r="L4304" i="72"/>
  <c r="A4304" i="72" s="1"/>
  <c r="L4305" i="72"/>
  <c r="A4305" i="72" s="1"/>
  <c r="L4306" i="72"/>
  <c r="A4306" i="72" s="1"/>
  <c r="L4307" i="72"/>
  <c r="A4307" i="72" s="1"/>
  <c r="L4308" i="72"/>
  <c r="A4308" i="72" s="1"/>
  <c r="L4309" i="72"/>
  <c r="A4309" i="72" s="1"/>
  <c r="L4310" i="72"/>
  <c r="A4310" i="72" s="1"/>
  <c r="L4311" i="72"/>
  <c r="A4311" i="72" s="1"/>
  <c r="L4312" i="72"/>
  <c r="A4312" i="72" s="1"/>
  <c r="L4313" i="72"/>
  <c r="A4313" i="72" s="1"/>
  <c r="L4314" i="72"/>
  <c r="A4314" i="72" s="1"/>
  <c r="L4315" i="72"/>
  <c r="A4315" i="72" s="1"/>
  <c r="L4316" i="72"/>
  <c r="A4316" i="72" s="1"/>
  <c r="L4317" i="72"/>
  <c r="A4317" i="72" s="1"/>
  <c r="L4318" i="72"/>
  <c r="A4318" i="72" s="1"/>
  <c r="L4319" i="72"/>
  <c r="A4319" i="72" s="1"/>
  <c r="L4320" i="72"/>
  <c r="A4320" i="72" s="1"/>
  <c r="L4321" i="72"/>
  <c r="A4321" i="72" s="1"/>
  <c r="L4322" i="72"/>
  <c r="A4322" i="72" s="1"/>
  <c r="L4323" i="72"/>
  <c r="A4323" i="72" s="1"/>
  <c r="L4324" i="72"/>
  <c r="A4324" i="72" s="1"/>
  <c r="L4325" i="72"/>
  <c r="A4325" i="72" s="1"/>
  <c r="L4326" i="72"/>
  <c r="A4326" i="72" s="1"/>
  <c r="L4327" i="72"/>
  <c r="A4327" i="72" s="1"/>
  <c r="L4328" i="72"/>
  <c r="A4328" i="72" s="1"/>
  <c r="L4329" i="72"/>
  <c r="A4329" i="72" s="1"/>
  <c r="L4330" i="72"/>
  <c r="A4330" i="72" s="1"/>
  <c r="L4331" i="72"/>
  <c r="A4331" i="72" s="1"/>
  <c r="L4332" i="72"/>
  <c r="A4332" i="72" s="1"/>
  <c r="L4333" i="72"/>
  <c r="A4333" i="72" s="1"/>
  <c r="L4334" i="72"/>
  <c r="A4334" i="72" s="1"/>
  <c r="L4335" i="72"/>
  <c r="A4335" i="72" s="1"/>
  <c r="L4336" i="72"/>
  <c r="A4336" i="72" s="1"/>
  <c r="L4337" i="72"/>
  <c r="A4337" i="72" s="1"/>
  <c r="L4338" i="72"/>
  <c r="A4338" i="72" s="1"/>
  <c r="L4339" i="72"/>
  <c r="A4339" i="72" s="1"/>
  <c r="L4340" i="72"/>
  <c r="A4340" i="72" s="1"/>
  <c r="L4341" i="72"/>
  <c r="A4341" i="72" s="1"/>
  <c r="L4342" i="72"/>
  <c r="A4342" i="72" s="1"/>
  <c r="L4343" i="72"/>
  <c r="A4343" i="72" s="1"/>
  <c r="L4344" i="72"/>
  <c r="A4344" i="72" s="1"/>
  <c r="L4345" i="72"/>
  <c r="A4345" i="72" s="1"/>
  <c r="L4346" i="72"/>
  <c r="A4346" i="72" s="1"/>
  <c r="L4347" i="72"/>
  <c r="A4347" i="72" s="1"/>
  <c r="L4348" i="72"/>
  <c r="A4348" i="72" s="1"/>
  <c r="L4349" i="72"/>
  <c r="A4349" i="72" s="1"/>
  <c r="L4350" i="72"/>
  <c r="A4350" i="72" s="1"/>
  <c r="L4351" i="72"/>
  <c r="A4351" i="72" s="1"/>
  <c r="L4352" i="72"/>
  <c r="A4352" i="72" s="1"/>
  <c r="L4353" i="72"/>
  <c r="A4353" i="72" s="1"/>
  <c r="L4354" i="72"/>
  <c r="A4354" i="72" s="1"/>
  <c r="L4355" i="72"/>
  <c r="A4355" i="72" s="1"/>
  <c r="L4356" i="72"/>
  <c r="A4356" i="72" s="1"/>
  <c r="L4357" i="72"/>
  <c r="A4357" i="72" s="1"/>
  <c r="L4358" i="72"/>
  <c r="A4358" i="72" s="1"/>
  <c r="L4359" i="72"/>
  <c r="A4359" i="72" s="1"/>
  <c r="L4360" i="72"/>
  <c r="A4360" i="72" s="1"/>
  <c r="L4361" i="72"/>
  <c r="A4361" i="72" s="1"/>
  <c r="L4362" i="72"/>
  <c r="A4362" i="72" s="1"/>
  <c r="L4363" i="72"/>
  <c r="A4363" i="72" s="1"/>
  <c r="L4364" i="72"/>
  <c r="A4364" i="72" s="1"/>
  <c r="L4365" i="72"/>
  <c r="A4365" i="72" s="1"/>
  <c r="L4366" i="72"/>
  <c r="A4366" i="72" s="1"/>
  <c r="L4367" i="72"/>
  <c r="A4367" i="72" s="1"/>
  <c r="L4368" i="72"/>
  <c r="A4368" i="72" s="1"/>
  <c r="L4369" i="72"/>
  <c r="A4369" i="72" s="1"/>
  <c r="L4370" i="72"/>
  <c r="A4370" i="72" s="1"/>
  <c r="L4371" i="72"/>
  <c r="A4371" i="72" s="1"/>
  <c r="L4372" i="72"/>
  <c r="A4372" i="72" s="1"/>
  <c r="L4373" i="72"/>
  <c r="A4373" i="72" s="1"/>
  <c r="L4374" i="72"/>
  <c r="A4374" i="72" s="1"/>
  <c r="L4375" i="72"/>
  <c r="A4375" i="72" s="1"/>
  <c r="L4376" i="72"/>
  <c r="A4376" i="72" s="1"/>
  <c r="L4377" i="72"/>
  <c r="A4377" i="72" s="1"/>
  <c r="L4378" i="72"/>
  <c r="A4378" i="72" s="1"/>
  <c r="L4379" i="72"/>
  <c r="A4379" i="72" s="1"/>
  <c r="L4380" i="72"/>
  <c r="A4380" i="72" s="1"/>
  <c r="L4381" i="72"/>
  <c r="A4381" i="72" s="1"/>
  <c r="L4382" i="72"/>
  <c r="A4382" i="72" s="1"/>
  <c r="L4383" i="72"/>
  <c r="A4383" i="72" s="1"/>
  <c r="L4384" i="72"/>
  <c r="A4384" i="72" s="1"/>
  <c r="L4385" i="72"/>
  <c r="A4385" i="72" s="1"/>
  <c r="L4386" i="72"/>
  <c r="A4386" i="72" s="1"/>
  <c r="L4387" i="72"/>
  <c r="A4387" i="72" s="1"/>
  <c r="L4388" i="72"/>
  <c r="A4388" i="72" s="1"/>
  <c r="L4389" i="72"/>
  <c r="A4389" i="72" s="1"/>
  <c r="L4390" i="72"/>
  <c r="A4390" i="72" s="1"/>
  <c r="L4391" i="72"/>
  <c r="A4391" i="72" s="1"/>
  <c r="L4392" i="72"/>
  <c r="A4392" i="72" s="1"/>
  <c r="L4393" i="72"/>
  <c r="A4393" i="72" s="1"/>
  <c r="L4394" i="72"/>
  <c r="A4394" i="72" s="1"/>
  <c r="L4395" i="72"/>
  <c r="A4395" i="72" s="1"/>
  <c r="L4396" i="72"/>
  <c r="A4396" i="72" s="1"/>
  <c r="L4397" i="72"/>
  <c r="A4397" i="72" s="1"/>
  <c r="L4398" i="72"/>
  <c r="A4398" i="72" s="1"/>
  <c r="L4399" i="72"/>
  <c r="A4399" i="72" s="1"/>
  <c r="L4400" i="72"/>
  <c r="A4400" i="72" s="1"/>
  <c r="L4401" i="72"/>
  <c r="A4401" i="72" s="1"/>
  <c r="L4402" i="72"/>
  <c r="A4402" i="72" s="1"/>
  <c r="L4403" i="72"/>
  <c r="A4403" i="72" s="1"/>
  <c r="L4404" i="72"/>
  <c r="A4404" i="72" s="1"/>
  <c r="L4405" i="72"/>
  <c r="A4405" i="72" s="1"/>
  <c r="L4406" i="72"/>
  <c r="A4406" i="72" s="1"/>
  <c r="L4407" i="72"/>
  <c r="A4407" i="72" s="1"/>
  <c r="L4408" i="72"/>
  <c r="A4408" i="72" s="1"/>
  <c r="L4409" i="72"/>
  <c r="A4409" i="72" s="1"/>
  <c r="L4410" i="72"/>
  <c r="A4410" i="72" s="1"/>
  <c r="L4411" i="72"/>
  <c r="A4411" i="72" s="1"/>
  <c r="L4412" i="72"/>
  <c r="A4412" i="72" s="1"/>
  <c r="L4413" i="72"/>
  <c r="A4413" i="72" s="1"/>
  <c r="L4414" i="72"/>
  <c r="A4414" i="72" s="1"/>
  <c r="L4415" i="72"/>
  <c r="A4415" i="72" s="1"/>
  <c r="L4416" i="72"/>
  <c r="A4416" i="72" s="1"/>
  <c r="L4417" i="72"/>
  <c r="A4417" i="72" s="1"/>
  <c r="L4418" i="72"/>
  <c r="A4418" i="72" s="1"/>
  <c r="L4419" i="72"/>
  <c r="A4419" i="72" s="1"/>
  <c r="L4420" i="72"/>
  <c r="A4420" i="72" s="1"/>
  <c r="L4421" i="72"/>
  <c r="A4421" i="72" s="1"/>
  <c r="L4422" i="72"/>
  <c r="A4422" i="72" s="1"/>
  <c r="L4423" i="72"/>
  <c r="A4423" i="72" s="1"/>
  <c r="L4424" i="72"/>
  <c r="A4424" i="72" s="1"/>
  <c r="L4425" i="72"/>
  <c r="A4425" i="72" s="1"/>
  <c r="L4426" i="72"/>
  <c r="A4426" i="72" s="1"/>
  <c r="L4427" i="72"/>
  <c r="A4427" i="72" s="1"/>
  <c r="L4428" i="72"/>
  <c r="A4428" i="72" s="1"/>
  <c r="L4429" i="72"/>
  <c r="A4429" i="72" s="1"/>
  <c r="L4430" i="72"/>
  <c r="A4430" i="72" s="1"/>
  <c r="L4431" i="72"/>
  <c r="A4431" i="72" s="1"/>
  <c r="L4432" i="72"/>
  <c r="A4432" i="72" s="1"/>
  <c r="L4433" i="72"/>
  <c r="A4433" i="72" s="1"/>
  <c r="L4434" i="72"/>
  <c r="A4434" i="72" s="1"/>
  <c r="L4435" i="72"/>
  <c r="A4435" i="72" s="1"/>
  <c r="L4436" i="72"/>
  <c r="A4436" i="72" s="1"/>
  <c r="L4437" i="72"/>
  <c r="A4437" i="72" s="1"/>
  <c r="L4438" i="72"/>
  <c r="A4438" i="72" s="1"/>
  <c r="L4439" i="72"/>
  <c r="A4439" i="72" s="1"/>
  <c r="L4440" i="72"/>
  <c r="A4440" i="72" s="1"/>
  <c r="L4441" i="72"/>
  <c r="A4441" i="72" s="1"/>
  <c r="L4442" i="72"/>
  <c r="A4442" i="72" s="1"/>
  <c r="L4443" i="72"/>
  <c r="A4443" i="72" s="1"/>
  <c r="L4444" i="72"/>
  <c r="A4444" i="72" s="1"/>
  <c r="L4445" i="72"/>
  <c r="A4445" i="72" s="1"/>
  <c r="L4446" i="72"/>
  <c r="A4446" i="72" s="1"/>
  <c r="L4447" i="72"/>
  <c r="A4447" i="72" s="1"/>
  <c r="L4448" i="72"/>
  <c r="A4448" i="72" s="1"/>
  <c r="L4449" i="72"/>
  <c r="A4449" i="72" s="1"/>
  <c r="L4450" i="72"/>
  <c r="A4450" i="72" s="1"/>
  <c r="L4451" i="72"/>
  <c r="A4451" i="72" s="1"/>
  <c r="L4452" i="72"/>
  <c r="A4452" i="72" s="1"/>
  <c r="L4453" i="72"/>
  <c r="A4453" i="72" s="1"/>
  <c r="L4454" i="72"/>
  <c r="A4454" i="72" s="1"/>
  <c r="L4455" i="72"/>
  <c r="A4455" i="72" s="1"/>
  <c r="L4456" i="72"/>
  <c r="A4456" i="72" s="1"/>
  <c r="L4457" i="72"/>
  <c r="A4457" i="72" s="1"/>
  <c r="L4458" i="72"/>
  <c r="A4458" i="72" s="1"/>
  <c r="L4459" i="72"/>
  <c r="A4459" i="72" s="1"/>
  <c r="L4460" i="72"/>
  <c r="A4460" i="72" s="1"/>
  <c r="L4461" i="72"/>
  <c r="A4461" i="72" s="1"/>
  <c r="L4462" i="72"/>
  <c r="A4462" i="72" s="1"/>
  <c r="L4463" i="72"/>
  <c r="A4463" i="72" s="1"/>
  <c r="L4464" i="72"/>
  <c r="A4464" i="72" s="1"/>
  <c r="L4465" i="72"/>
  <c r="A4465" i="72" s="1"/>
  <c r="L4466" i="72"/>
  <c r="A4466" i="72" s="1"/>
  <c r="L4467" i="72"/>
  <c r="A4467" i="72" s="1"/>
  <c r="L4468" i="72"/>
  <c r="A4468" i="72" s="1"/>
  <c r="L4469" i="72"/>
  <c r="A4469" i="72" s="1"/>
  <c r="L4470" i="72"/>
  <c r="A4470" i="72" s="1"/>
  <c r="L4471" i="72"/>
  <c r="A4471" i="72" s="1"/>
  <c r="L4472" i="72"/>
  <c r="A4472" i="72" s="1"/>
  <c r="L4473" i="72"/>
  <c r="A4473" i="72" s="1"/>
  <c r="L4474" i="72"/>
  <c r="A4474" i="72" s="1"/>
  <c r="L4475" i="72"/>
  <c r="A4475" i="72" s="1"/>
  <c r="L4476" i="72"/>
  <c r="A4476" i="72" s="1"/>
  <c r="L4477" i="72"/>
  <c r="A4477" i="72" s="1"/>
  <c r="L4478" i="72"/>
  <c r="A4478" i="72" s="1"/>
  <c r="L4479" i="72"/>
  <c r="A4479" i="72" s="1"/>
  <c r="L4480" i="72"/>
  <c r="A4480" i="72" s="1"/>
  <c r="L4481" i="72"/>
  <c r="A4481" i="72" s="1"/>
  <c r="L4482" i="72"/>
  <c r="A4482" i="72" s="1"/>
  <c r="L4483" i="72"/>
  <c r="A4483" i="72" s="1"/>
  <c r="L4484" i="72"/>
  <c r="A4484" i="72" s="1"/>
  <c r="L4485" i="72"/>
  <c r="A4485" i="72" s="1"/>
  <c r="L4486" i="72"/>
  <c r="A4486" i="72" s="1"/>
  <c r="L4487" i="72"/>
  <c r="A4487" i="72" s="1"/>
  <c r="L4488" i="72"/>
  <c r="A4488" i="72" s="1"/>
  <c r="L4489" i="72"/>
  <c r="A4489" i="72" s="1"/>
  <c r="L4490" i="72"/>
  <c r="A4490" i="72" s="1"/>
  <c r="L4491" i="72"/>
  <c r="A4491" i="72" s="1"/>
  <c r="L4492" i="72"/>
  <c r="A4492" i="72" s="1"/>
  <c r="L4493" i="72"/>
  <c r="A4493" i="72" s="1"/>
  <c r="L4494" i="72"/>
  <c r="A4494" i="72" s="1"/>
  <c r="L4495" i="72"/>
  <c r="A4495" i="72" s="1"/>
  <c r="L4496" i="72"/>
  <c r="A4496" i="72" s="1"/>
  <c r="L4497" i="72"/>
  <c r="A4497" i="72" s="1"/>
  <c r="L4498" i="72"/>
  <c r="A4498" i="72" s="1"/>
  <c r="L4499" i="72"/>
  <c r="A4499" i="72" s="1"/>
  <c r="L4500" i="72"/>
  <c r="A4500" i="72" s="1"/>
  <c r="L4501" i="72"/>
  <c r="A4501" i="72" s="1"/>
  <c r="L4502" i="72"/>
  <c r="A4502" i="72" s="1"/>
  <c r="L4503" i="72"/>
  <c r="A4503" i="72" s="1"/>
  <c r="L4504" i="72"/>
  <c r="A4504" i="72" s="1"/>
  <c r="L4505" i="72"/>
  <c r="A4505" i="72" s="1"/>
  <c r="L4506" i="72"/>
  <c r="A4506" i="72" s="1"/>
  <c r="L4507" i="72"/>
  <c r="A4507" i="72" s="1"/>
  <c r="L4508" i="72"/>
  <c r="A4508" i="72" s="1"/>
  <c r="L4509" i="72"/>
  <c r="A4509" i="72" s="1"/>
  <c r="L4510" i="72"/>
  <c r="A4510" i="72" s="1"/>
  <c r="L4511" i="72"/>
  <c r="A4511" i="72" s="1"/>
  <c r="L4512" i="72"/>
  <c r="A4512" i="72" s="1"/>
  <c r="L4513" i="72"/>
  <c r="A4513" i="72" s="1"/>
  <c r="L4514" i="72"/>
  <c r="A4514" i="72" s="1"/>
  <c r="L4515" i="72"/>
  <c r="A4515" i="72" s="1"/>
  <c r="L4516" i="72"/>
  <c r="A4516" i="72" s="1"/>
  <c r="L4517" i="72"/>
  <c r="A4517" i="72" s="1"/>
  <c r="L4518" i="72"/>
  <c r="A4518" i="72" s="1"/>
  <c r="L4519" i="72"/>
  <c r="A4519" i="72" s="1"/>
  <c r="L4520" i="72"/>
  <c r="A4520" i="72" s="1"/>
  <c r="L4521" i="72"/>
  <c r="A4521" i="72" s="1"/>
  <c r="L4522" i="72"/>
  <c r="A4522" i="72" s="1"/>
  <c r="L4523" i="72"/>
  <c r="A4523" i="72" s="1"/>
  <c r="L4524" i="72"/>
  <c r="A4524" i="72" s="1"/>
  <c r="L4525" i="72"/>
  <c r="A4525" i="72" s="1"/>
  <c r="L4526" i="72"/>
  <c r="A4526" i="72" s="1"/>
  <c r="L4527" i="72"/>
  <c r="A4527" i="72" s="1"/>
  <c r="L4528" i="72"/>
  <c r="A4528" i="72" s="1"/>
  <c r="L4529" i="72"/>
  <c r="A4529" i="72" s="1"/>
  <c r="L4530" i="72"/>
  <c r="A4530" i="72" s="1"/>
  <c r="L4531" i="72"/>
  <c r="A4531" i="72" s="1"/>
  <c r="L4532" i="72"/>
  <c r="A4532" i="72" s="1"/>
  <c r="L4533" i="72"/>
  <c r="A4533" i="72" s="1"/>
  <c r="L4534" i="72"/>
  <c r="A4534" i="72" s="1"/>
  <c r="L4535" i="72"/>
  <c r="A4535" i="72" s="1"/>
  <c r="L4536" i="72"/>
  <c r="A4536" i="72" s="1"/>
  <c r="L4537" i="72"/>
  <c r="A4537" i="72" s="1"/>
  <c r="L4538" i="72"/>
  <c r="A4538" i="72" s="1"/>
  <c r="L4539" i="72"/>
  <c r="A4539" i="72" s="1"/>
  <c r="L4540" i="72"/>
  <c r="A4540" i="72" s="1"/>
  <c r="L4541" i="72"/>
  <c r="A4541" i="72" s="1"/>
  <c r="L4542" i="72"/>
  <c r="A4542" i="72" s="1"/>
  <c r="L4543" i="72"/>
  <c r="A4543" i="72" s="1"/>
  <c r="L4544" i="72"/>
  <c r="A4544" i="72" s="1"/>
  <c r="L4545" i="72"/>
  <c r="A4545" i="72" s="1"/>
  <c r="L4546" i="72"/>
  <c r="A4546" i="72" s="1"/>
  <c r="L4547" i="72"/>
  <c r="A4547" i="72" s="1"/>
  <c r="L4548" i="72"/>
  <c r="A4548" i="72" s="1"/>
  <c r="L4549" i="72"/>
  <c r="A4549" i="72" s="1"/>
  <c r="L4550" i="72"/>
  <c r="A4550" i="72" s="1"/>
  <c r="L4551" i="72"/>
  <c r="A4551" i="72" s="1"/>
  <c r="L4552" i="72"/>
  <c r="A4552" i="72" s="1"/>
  <c r="L4553" i="72"/>
  <c r="A4553" i="72" s="1"/>
  <c r="L4554" i="72"/>
  <c r="A4554" i="72" s="1"/>
  <c r="L4555" i="72"/>
  <c r="A4555" i="72" s="1"/>
  <c r="L4556" i="72"/>
  <c r="A4556" i="72" s="1"/>
  <c r="L4557" i="72"/>
  <c r="A4557" i="72" s="1"/>
  <c r="L4558" i="72"/>
  <c r="A4558" i="72" s="1"/>
  <c r="L4559" i="72"/>
  <c r="A4559" i="72" s="1"/>
  <c r="L4560" i="72"/>
  <c r="A4560" i="72" s="1"/>
  <c r="L4561" i="72"/>
  <c r="A4561" i="72" s="1"/>
  <c r="L4562" i="72"/>
  <c r="A4562" i="72" s="1"/>
  <c r="L4563" i="72"/>
  <c r="A4563" i="72" s="1"/>
  <c r="L4564" i="72"/>
  <c r="A4564" i="72" s="1"/>
  <c r="L4565" i="72"/>
  <c r="A4565" i="72" s="1"/>
  <c r="L4566" i="72"/>
  <c r="A4566" i="72" s="1"/>
  <c r="L4567" i="72"/>
  <c r="A4567" i="72" s="1"/>
  <c r="L4568" i="72"/>
  <c r="A4568" i="72" s="1"/>
  <c r="L4569" i="72"/>
  <c r="A4569" i="72" s="1"/>
  <c r="L4570" i="72"/>
  <c r="A4570" i="72" s="1"/>
  <c r="L4571" i="72"/>
  <c r="A4571" i="72" s="1"/>
  <c r="L4572" i="72"/>
  <c r="A4572" i="72" s="1"/>
  <c r="L4573" i="72"/>
  <c r="A4573" i="72" s="1"/>
  <c r="L4574" i="72"/>
  <c r="A4574" i="72" s="1"/>
  <c r="L4575" i="72"/>
  <c r="A4575" i="72" s="1"/>
  <c r="L4576" i="72"/>
  <c r="A4576" i="72" s="1"/>
  <c r="L4577" i="72"/>
  <c r="A4577" i="72" s="1"/>
  <c r="L4578" i="72"/>
  <c r="A4578" i="72" s="1"/>
  <c r="L4579" i="72"/>
  <c r="A4579" i="72" s="1"/>
  <c r="L4580" i="72"/>
  <c r="A4580" i="72" s="1"/>
  <c r="L4581" i="72"/>
  <c r="A4581" i="72" s="1"/>
  <c r="L4582" i="72"/>
  <c r="A4582" i="72" s="1"/>
  <c r="L4583" i="72"/>
  <c r="A4583" i="72" s="1"/>
  <c r="L4584" i="72"/>
  <c r="A4584" i="72" s="1"/>
  <c r="L4585" i="72"/>
  <c r="A4585" i="72" s="1"/>
  <c r="L4586" i="72"/>
  <c r="A4586" i="72" s="1"/>
  <c r="L4587" i="72"/>
  <c r="A4587" i="72" s="1"/>
  <c r="L4588" i="72"/>
  <c r="A4588" i="72" s="1"/>
  <c r="L4589" i="72"/>
  <c r="A4589" i="72" s="1"/>
  <c r="L4590" i="72"/>
  <c r="A4590" i="72" s="1"/>
  <c r="L4591" i="72"/>
  <c r="A4591" i="72" s="1"/>
  <c r="L4592" i="72"/>
  <c r="A4592" i="72" s="1"/>
  <c r="L4593" i="72"/>
  <c r="A4593" i="72" s="1"/>
  <c r="L4594" i="72"/>
  <c r="A4594" i="72" s="1"/>
  <c r="L4595" i="72"/>
  <c r="A4595" i="72" s="1"/>
  <c r="L4596" i="72"/>
  <c r="A4596" i="72" s="1"/>
  <c r="L4597" i="72"/>
  <c r="A4597" i="72" s="1"/>
  <c r="L4598" i="72"/>
  <c r="A4598" i="72" s="1"/>
  <c r="L4599" i="72"/>
  <c r="A4599" i="72" s="1"/>
  <c r="L4600" i="72"/>
  <c r="A4600" i="72" s="1"/>
  <c r="L4601" i="72"/>
  <c r="A4601" i="72" s="1"/>
  <c r="L4602" i="72"/>
  <c r="A4602" i="72" s="1"/>
  <c r="L4603" i="72"/>
  <c r="A4603" i="72" s="1"/>
  <c r="L4604" i="72"/>
  <c r="A4604" i="72" s="1"/>
  <c r="L4605" i="72"/>
  <c r="A4605" i="72" s="1"/>
  <c r="L4606" i="72"/>
  <c r="A4606" i="72" s="1"/>
  <c r="L4607" i="72"/>
  <c r="A4607" i="72" s="1"/>
  <c r="L4608" i="72"/>
  <c r="A4608" i="72" s="1"/>
  <c r="L4609" i="72"/>
  <c r="A4609" i="72" s="1"/>
  <c r="L4610" i="72"/>
  <c r="A4610" i="72" s="1"/>
  <c r="L4611" i="72"/>
  <c r="A4611" i="72" s="1"/>
  <c r="L4612" i="72"/>
  <c r="A4612" i="72" s="1"/>
  <c r="L4613" i="72"/>
  <c r="A4613" i="72" s="1"/>
  <c r="L4614" i="72"/>
  <c r="A4614" i="72" s="1"/>
  <c r="L4615" i="72"/>
  <c r="A4615" i="72" s="1"/>
  <c r="L4616" i="72"/>
  <c r="A4616" i="72" s="1"/>
  <c r="L4617" i="72"/>
  <c r="A4617" i="72" s="1"/>
  <c r="L4618" i="72"/>
  <c r="A4618" i="72" s="1"/>
  <c r="L4619" i="72"/>
  <c r="A4619" i="72" s="1"/>
  <c r="L4620" i="72"/>
  <c r="A4620" i="72" s="1"/>
  <c r="L4621" i="72"/>
  <c r="A4621" i="72" s="1"/>
  <c r="L4622" i="72"/>
  <c r="A4622" i="72" s="1"/>
  <c r="L4623" i="72"/>
  <c r="A4623" i="72" s="1"/>
  <c r="L4624" i="72"/>
  <c r="A4624" i="72" s="1"/>
  <c r="L4625" i="72"/>
  <c r="A4625" i="72" s="1"/>
  <c r="L4626" i="72"/>
  <c r="A4626" i="72" s="1"/>
  <c r="L4627" i="72"/>
  <c r="A4627" i="72" s="1"/>
  <c r="L4628" i="72"/>
  <c r="A4628" i="72" s="1"/>
  <c r="L4629" i="72"/>
  <c r="A4629" i="72" s="1"/>
  <c r="L4630" i="72"/>
  <c r="A4630" i="72" s="1"/>
  <c r="L4631" i="72"/>
  <c r="A4631" i="72" s="1"/>
  <c r="L4632" i="72"/>
  <c r="A4632" i="72" s="1"/>
  <c r="L4633" i="72"/>
  <c r="A4633" i="72" s="1"/>
  <c r="L4634" i="72"/>
  <c r="A4634" i="72" s="1"/>
  <c r="L4635" i="72"/>
  <c r="A4635" i="72" s="1"/>
  <c r="L4636" i="72"/>
  <c r="A4636" i="72" s="1"/>
  <c r="L4637" i="72"/>
  <c r="A4637" i="72" s="1"/>
  <c r="L4638" i="72"/>
  <c r="A4638" i="72" s="1"/>
  <c r="L4639" i="72"/>
  <c r="A4639" i="72" s="1"/>
  <c r="L4640" i="72"/>
  <c r="A4640" i="72" s="1"/>
  <c r="L4641" i="72"/>
  <c r="A4641" i="72" s="1"/>
  <c r="L4642" i="72"/>
  <c r="A4642" i="72" s="1"/>
  <c r="L4643" i="72"/>
  <c r="A4643" i="72" s="1"/>
  <c r="L4644" i="72"/>
  <c r="A4644" i="72" s="1"/>
  <c r="L4645" i="72"/>
  <c r="A4645" i="72" s="1"/>
  <c r="L4646" i="72"/>
  <c r="A4646" i="72" s="1"/>
  <c r="L4647" i="72"/>
  <c r="A4647" i="72" s="1"/>
  <c r="L4648" i="72"/>
  <c r="A4648" i="72" s="1"/>
  <c r="L4649" i="72"/>
  <c r="A4649" i="72" s="1"/>
  <c r="L4650" i="72"/>
  <c r="A4650" i="72" s="1"/>
  <c r="L4651" i="72"/>
  <c r="A4651" i="72" s="1"/>
  <c r="L4652" i="72"/>
  <c r="A4652" i="72" s="1"/>
  <c r="L4653" i="72"/>
  <c r="A4653" i="72" s="1"/>
  <c r="L4654" i="72"/>
  <c r="A4654" i="72" s="1"/>
  <c r="L4655" i="72"/>
  <c r="A4655" i="72" s="1"/>
  <c r="L4656" i="72"/>
  <c r="A4656" i="72" s="1"/>
  <c r="L4657" i="72"/>
  <c r="A4657" i="72" s="1"/>
  <c r="L4658" i="72"/>
  <c r="A4658" i="72" s="1"/>
  <c r="L4659" i="72"/>
  <c r="A4659" i="72" s="1"/>
  <c r="L4660" i="72"/>
  <c r="A4660" i="72" s="1"/>
  <c r="L4661" i="72"/>
  <c r="A4661" i="72" s="1"/>
  <c r="L4662" i="72"/>
  <c r="A4662" i="72" s="1"/>
  <c r="L4663" i="72"/>
  <c r="A4663" i="72" s="1"/>
  <c r="L4664" i="72"/>
  <c r="A4664" i="72" s="1"/>
  <c r="L4665" i="72"/>
  <c r="A4665" i="72" s="1"/>
  <c r="L4666" i="72"/>
  <c r="A4666" i="72" s="1"/>
  <c r="L4667" i="72"/>
  <c r="A4667" i="72" s="1"/>
  <c r="L4668" i="72"/>
  <c r="A4668" i="72" s="1"/>
  <c r="L4669" i="72"/>
  <c r="A4669" i="72" s="1"/>
  <c r="L4670" i="72"/>
  <c r="A4670" i="72" s="1"/>
  <c r="L4671" i="72"/>
  <c r="A4671" i="72" s="1"/>
  <c r="L4672" i="72"/>
  <c r="A4672" i="72" s="1"/>
  <c r="L4673" i="72"/>
  <c r="A4673" i="72" s="1"/>
  <c r="L4674" i="72"/>
  <c r="A4674" i="72" s="1"/>
  <c r="L4675" i="72"/>
  <c r="A4675" i="72" s="1"/>
  <c r="L4676" i="72"/>
  <c r="A4676" i="72" s="1"/>
  <c r="L4677" i="72"/>
  <c r="A4677" i="72" s="1"/>
  <c r="L4678" i="72"/>
  <c r="A4678" i="72" s="1"/>
  <c r="L4679" i="72"/>
  <c r="A4679" i="72" s="1"/>
  <c r="L4680" i="72"/>
  <c r="A4680" i="72" s="1"/>
  <c r="L4681" i="72"/>
  <c r="A4681" i="72" s="1"/>
  <c r="L4682" i="72"/>
  <c r="A4682" i="72" s="1"/>
  <c r="L4683" i="72"/>
  <c r="A4683" i="72" s="1"/>
  <c r="L4684" i="72"/>
  <c r="A4684" i="72" s="1"/>
  <c r="L4685" i="72"/>
  <c r="A4685" i="72" s="1"/>
  <c r="L4686" i="72"/>
  <c r="A4686" i="72" s="1"/>
  <c r="L4687" i="72"/>
  <c r="A4687" i="72" s="1"/>
  <c r="L4688" i="72"/>
  <c r="A4688" i="72" s="1"/>
  <c r="L4689" i="72"/>
  <c r="A4689" i="72" s="1"/>
  <c r="L4690" i="72"/>
  <c r="A4690" i="72" s="1"/>
  <c r="L4691" i="72"/>
  <c r="A4691" i="72" s="1"/>
  <c r="L4692" i="72"/>
  <c r="A4692" i="72" s="1"/>
  <c r="L4693" i="72"/>
  <c r="A4693" i="72" s="1"/>
  <c r="L4694" i="72"/>
  <c r="A4694" i="72" s="1"/>
  <c r="L4695" i="72"/>
  <c r="A4695" i="72" s="1"/>
  <c r="L4696" i="72"/>
  <c r="A4696" i="72" s="1"/>
  <c r="L4697" i="72"/>
  <c r="A4697" i="72" s="1"/>
  <c r="L4698" i="72"/>
  <c r="A4698" i="72" s="1"/>
  <c r="L4699" i="72"/>
  <c r="A4699" i="72" s="1"/>
  <c r="L4700" i="72"/>
  <c r="A4700" i="72" s="1"/>
  <c r="L4701" i="72"/>
  <c r="A4701" i="72" s="1"/>
  <c r="L4702" i="72"/>
  <c r="A4702" i="72" s="1"/>
  <c r="L4703" i="72"/>
  <c r="A4703" i="72" s="1"/>
  <c r="L4704" i="72"/>
  <c r="A4704" i="72" s="1"/>
  <c r="L4705" i="72"/>
  <c r="A4705" i="72" s="1"/>
  <c r="L4706" i="72"/>
  <c r="A4706" i="72" s="1"/>
  <c r="L4707" i="72"/>
  <c r="A4707" i="72" s="1"/>
  <c r="L4708" i="72"/>
  <c r="A4708" i="72" s="1"/>
  <c r="L4709" i="72"/>
  <c r="A4709" i="72" s="1"/>
  <c r="L4710" i="72"/>
  <c r="A4710" i="72" s="1"/>
  <c r="L4711" i="72"/>
  <c r="A4711" i="72" s="1"/>
  <c r="L4712" i="72"/>
  <c r="A4712" i="72" s="1"/>
  <c r="L4713" i="72"/>
  <c r="A4713" i="72" s="1"/>
  <c r="L4714" i="72"/>
  <c r="A4714" i="72" s="1"/>
  <c r="L4715" i="72"/>
  <c r="A4715" i="72" s="1"/>
  <c r="L4716" i="72"/>
  <c r="A4716" i="72" s="1"/>
  <c r="L4717" i="72"/>
  <c r="A4717" i="72" s="1"/>
  <c r="L4718" i="72"/>
  <c r="A4718" i="72" s="1"/>
  <c r="L4719" i="72"/>
  <c r="A4719" i="72" s="1"/>
  <c r="L4720" i="72"/>
  <c r="A4720" i="72" s="1"/>
  <c r="L4721" i="72"/>
  <c r="A4721" i="72" s="1"/>
  <c r="L4722" i="72"/>
  <c r="A4722" i="72" s="1"/>
  <c r="L4723" i="72"/>
  <c r="A4723" i="72" s="1"/>
  <c r="L4724" i="72"/>
  <c r="A4724" i="72" s="1"/>
  <c r="L4725" i="72"/>
  <c r="A4725" i="72" s="1"/>
  <c r="L4726" i="72"/>
  <c r="A4726" i="72" s="1"/>
  <c r="L4727" i="72"/>
  <c r="A4727" i="72" s="1"/>
  <c r="L4728" i="72"/>
  <c r="A4728" i="72" s="1"/>
  <c r="L4729" i="72"/>
  <c r="A4729" i="72" s="1"/>
  <c r="L4730" i="72"/>
  <c r="A4730" i="72" s="1"/>
  <c r="L4731" i="72"/>
  <c r="A4731" i="72" s="1"/>
  <c r="L4732" i="72"/>
  <c r="A4732" i="72" s="1"/>
  <c r="L4733" i="72"/>
  <c r="A4733" i="72" s="1"/>
  <c r="L4734" i="72"/>
  <c r="A4734" i="72" s="1"/>
  <c r="L4735" i="72"/>
  <c r="A4735" i="72" s="1"/>
  <c r="L4736" i="72"/>
  <c r="A4736" i="72" s="1"/>
  <c r="L4737" i="72"/>
  <c r="A4737" i="72" s="1"/>
  <c r="L4738" i="72"/>
  <c r="A4738" i="72" s="1"/>
  <c r="L4739" i="72"/>
  <c r="A4739" i="72" s="1"/>
  <c r="L4740" i="72"/>
  <c r="A4740" i="72" s="1"/>
  <c r="L4741" i="72"/>
  <c r="A4741" i="72" s="1"/>
  <c r="L4742" i="72"/>
  <c r="A4742" i="72" s="1"/>
  <c r="L4743" i="72"/>
  <c r="A4743" i="72" s="1"/>
  <c r="L4744" i="72"/>
  <c r="A4744" i="72" s="1"/>
  <c r="L4745" i="72"/>
  <c r="A4745" i="72" s="1"/>
  <c r="L4746" i="72"/>
  <c r="A4746" i="72" s="1"/>
  <c r="L4747" i="72"/>
  <c r="A4747" i="72" s="1"/>
  <c r="L4748" i="72"/>
  <c r="A4748" i="72" s="1"/>
  <c r="L4749" i="72"/>
  <c r="A4749" i="72" s="1"/>
  <c r="L4750" i="72"/>
  <c r="A4750" i="72" s="1"/>
  <c r="L4751" i="72"/>
  <c r="A4751" i="72" s="1"/>
  <c r="L4752" i="72"/>
  <c r="A4752" i="72" s="1"/>
  <c r="L4753" i="72"/>
  <c r="A4753" i="72" s="1"/>
  <c r="L4754" i="72"/>
  <c r="A4754" i="72" s="1"/>
  <c r="L4755" i="72"/>
  <c r="A4755" i="72" s="1"/>
  <c r="L4756" i="72"/>
  <c r="A4756" i="72" s="1"/>
  <c r="L4757" i="72"/>
  <c r="A4757" i="72" s="1"/>
  <c r="L4758" i="72"/>
  <c r="A4758" i="72" s="1"/>
  <c r="L4759" i="72"/>
  <c r="A4759" i="72" s="1"/>
  <c r="L4760" i="72"/>
  <c r="A4760" i="72" s="1"/>
  <c r="L4761" i="72"/>
  <c r="A4761" i="72" s="1"/>
  <c r="L4762" i="72"/>
  <c r="A4762" i="72" s="1"/>
  <c r="L4763" i="72"/>
  <c r="A4763" i="72" s="1"/>
  <c r="L4764" i="72"/>
  <c r="A4764" i="72" s="1"/>
  <c r="L4765" i="72"/>
  <c r="A4765" i="72" s="1"/>
  <c r="L4766" i="72"/>
  <c r="A4766" i="72" s="1"/>
  <c r="L4767" i="72"/>
  <c r="A4767" i="72" s="1"/>
  <c r="L4768" i="72"/>
  <c r="A4768" i="72" s="1"/>
  <c r="L4769" i="72"/>
  <c r="A4769" i="72" s="1"/>
  <c r="L4770" i="72"/>
  <c r="A4770" i="72" s="1"/>
  <c r="L4771" i="72"/>
  <c r="A4771" i="72" s="1"/>
  <c r="L4772" i="72"/>
  <c r="A4772" i="72" s="1"/>
  <c r="L4773" i="72"/>
  <c r="A4773" i="72" s="1"/>
  <c r="L4774" i="72"/>
  <c r="A4774" i="72" s="1"/>
  <c r="L4775" i="72"/>
  <c r="A4775" i="72" s="1"/>
  <c r="L4776" i="72"/>
  <c r="A4776" i="72" s="1"/>
  <c r="L4777" i="72"/>
  <c r="A4777" i="72" s="1"/>
  <c r="L4778" i="72"/>
  <c r="A4778" i="72" s="1"/>
  <c r="L4779" i="72"/>
  <c r="A4779" i="72" s="1"/>
  <c r="L4780" i="72"/>
  <c r="A4780" i="72" s="1"/>
  <c r="L4781" i="72"/>
  <c r="A4781" i="72" s="1"/>
  <c r="L4782" i="72"/>
  <c r="A4782" i="72" s="1"/>
  <c r="L4783" i="72"/>
  <c r="A4783" i="72" s="1"/>
  <c r="L4784" i="72"/>
  <c r="A4784" i="72" s="1"/>
  <c r="L4785" i="72"/>
  <c r="A4785" i="72" s="1"/>
  <c r="L4786" i="72"/>
  <c r="A4786" i="72" s="1"/>
  <c r="L4787" i="72"/>
  <c r="A4787" i="72" s="1"/>
  <c r="L4788" i="72"/>
  <c r="A4788" i="72" s="1"/>
  <c r="L4789" i="72"/>
  <c r="A4789" i="72" s="1"/>
  <c r="L4790" i="72"/>
  <c r="A4790" i="72" s="1"/>
  <c r="L4791" i="72"/>
  <c r="A4791" i="72" s="1"/>
  <c r="L4792" i="72"/>
  <c r="A4792" i="72" s="1"/>
  <c r="L4793" i="72"/>
  <c r="A4793" i="72" s="1"/>
  <c r="L4794" i="72"/>
  <c r="A4794" i="72" s="1"/>
  <c r="L4795" i="72"/>
  <c r="A4795" i="72" s="1"/>
  <c r="L4796" i="72"/>
  <c r="A4796" i="72" s="1"/>
  <c r="L4797" i="72"/>
  <c r="A4797" i="72" s="1"/>
  <c r="L4798" i="72"/>
  <c r="A4798" i="72" s="1"/>
  <c r="L4799" i="72"/>
  <c r="A4799" i="72" s="1"/>
  <c r="L4800" i="72"/>
  <c r="A4800" i="72" s="1"/>
  <c r="L4801" i="72"/>
  <c r="A4801" i="72" s="1"/>
  <c r="L4802" i="72"/>
  <c r="A4802" i="72" s="1"/>
  <c r="L4803" i="72"/>
  <c r="A4803" i="72" s="1"/>
  <c r="L4804" i="72"/>
  <c r="A4804" i="72" s="1"/>
  <c r="L4805" i="72"/>
  <c r="A4805" i="72" s="1"/>
  <c r="L4806" i="72"/>
  <c r="A4806" i="72" s="1"/>
  <c r="L4807" i="72"/>
  <c r="A4807" i="72" s="1"/>
  <c r="L4808" i="72"/>
  <c r="A4808" i="72" s="1"/>
  <c r="L4809" i="72"/>
  <c r="A4809" i="72" s="1"/>
  <c r="L4810" i="72"/>
  <c r="A4810" i="72" s="1"/>
  <c r="L4811" i="72"/>
  <c r="A4811" i="72" s="1"/>
  <c r="L4812" i="72"/>
  <c r="A4812" i="72" s="1"/>
  <c r="L4813" i="72"/>
  <c r="A4813" i="72" s="1"/>
  <c r="L4814" i="72"/>
  <c r="A4814" i="72" s="1"/>
  <c r="L4815" i="72"/>
  <c r="A4815" i="72" s="1"/>
  <c r="L4816" i="72"/>
  <c r="A4816" i="72" s="1"/>
  <c r="L4817" i="72"/>
  <c r="A4817" i="72" s="1"/>
  <c r="L4818" i="72"/>
  <c r="A4818" i="72" s="1"/>
  <c r="L4819" i="72"/>
  <c r="A4819" i="72" s="1"/>
  <c r="L4820" i="72"/>
  <c r="A4820" i="72" s="1"/>
  <c r="L4821" i="72"/>
  <c r="A4821" i="72" s="1"/>
  <c r="L4822" i="72"/>
  <c r="A4822" i="72" s="1"/>
  <c r="L4823" i="72"/>
  <c r="A4823" i="72" s="1"/>
  <c r="L4824" i="72"/>
  <c r="A4824" i="72" s="1"/>
  <c r="L4825" i="72"/>
  <c r="A4825" i="72" s="1"/>
  <c r="L4826" i="72"/>
  <c r="A4826" i="72" s="1"/>
  <c r="L4827" i="72"/>
  <c r="A4827" i="72" s="1"/>
  <c r="L4828" i="72"/>
  <c r="A4828" i="72" s="1"/>
  <c r="L4829" i="72"/>
  <c r="A4829" i="72" s="1"/>
  <c r="L4830" i="72"/>
  <c r="A4830" i="72" s="1"/>
  <c r="L4831" i="72"/>
  <c r="A4831" i="72" s="1"/>
  <c r="L4832" i="72"/>
  <c r="A4832" i="72" s="1"/>
  <c r="L4833" i="72"/>
  <c r="A4833" i="72" s="1"/>
  <c r="L4834" i="72"/>
  <c r="A4834" i="72" s="1"/>
  <c r="L4835" i="72"/>
  <c r="A4835" i="72" s="1"/>
  <c r="L4836" i="72"/>
  <c r="A4836" i="72" s="1"/>
  <c r="L4837" i="72"/>
  <c r="A4837" i="72" s="1"/>
  <c r="L4838" i="72"/>
  <c r="A4838" i="72" s="1"/>
  <c r="L4839" i="72"/>
  <c r="A4839" i="72" s="1"/>
  <c r="L4840" i="72"/>
  <c r="A4840" i="72" s="1"/>
  <c r="L4841" i="72"/>
  <c r="A4841" i="72" s="1"/>
  <c r="L4842" i="72"/>
  <c r="A4842" i="72" s="1"/>
  <c r="L4843" i="72"/>
  <c r="A4843" i="72" s="1"/>
  <c r="L4844" i="72"/>
  <c r="A4844" i="72" s="1"/>
  <c r="L4845" i="72"/>
  <c r="A4845" i="72" s="1"/>
  <c r="L4846" i="72"/>
  <c r="A4846" i="72" s="1"/>
  <c r="L4847" i="72"/>
  <c r="A4847" i="72" s="1"/>
  <c r="L4848" i="72"/>
  <c r="A4848" i="72" s="1"/>
  <c r="L4849" i="72"/>
  <c r="A4849" i="72" s="1"/>
  <c r="L4850" i="72"/>
  <c r="A4850" i="72" s="1"/>
  <c r="L4851" i="72"/>
  <c r="A4851" i="72" s="1"/>
  <c r="L4852" i="72"/>
  <c r="A4852" i="72" s="1"/>
  <c r="L4853" i="72"/>
  <c r="A4853" i="72" s="1"/>
  <c r="L4854" i="72"/>
  <c r="A4854" i="72" s="1"/>
  <c r="L4855" i="72"/>
  <c r="A4855" i="72" s="1"/>
  <c r="L4856" i="72"/>
  <c r="A4856" i="72" s="1"/>
  <c r="L4857" i="72"/>
  <c r="A4857" i="72" s="1"/>
  <c r="L4858" i="72"/>
  <c r="A4858" i="72" s="1"/>
  <c r="L4859" i="72"/>
  <c r="A4859" i="72" s="1"/>
  <c r="L4860" i="72"/>
  <c r="A4860" i="72" s="1"/>
  <c r="L4861" i="72"/>
  <c r="A4861" i="72" s="1"/>
  <c r="L4862" i="72"/>
  <c r="A4862" i="72" s="1"/>
  <c r="L4863" i="72"/>
  <c r="A4863" i="72" s="1"/>
  <c r="L4864" i="72"/>
  <c r="A4864" i="72" s="1"/>
  <c r="L4865" i="72"/>
  <c r="A4865" i="72" s="1"/>
  <c r="L4866" i="72"/>
  <c r="A4866" i="72" s="1"/>
  <c r="L4867" i="72"/>
  <c r="A4867" i="72" s="1"/>
  <c r="L4868" i="72"/>
  <c r="A4868" i="72" s="1"/>
  <c r="L4869" i="72"/>
  <c r="A4869" i="72" s="1"/>
  <c r="L4870" i="72"/>
  <c r="A4870" i="72" s="1"/>
  <c r="L4871" i="72"/>
  <c r="A4871" i="72" s="1"/>
  <c r="L4872" i="72"/>
  <c r="A4872" i="72" s="1"/>
  <c r="L4873" i="72"/>
  <c r="A4873" i="72" s="1"/>
  <c r="L4874" i="72"/>
  <c r="A4874" i="72" s="1"/>
  <c r="L4875" i="72"/>
  <c r="A4875" i="72" s="1"/>
  <c r="L4876" i="72"/>
  <c r="A4876" i="72" s="1"/>
  <c r="L4877" i="72"/>
  <c r="A4877" i="72" s="1"/>
  <c r="L4878" i="72"/>
  <c r="A4878" i="72" s="1"/>
  <c r="L4879" i="72"/>
  <c r="A4879" i="72" s="1"/>
  <c r="L4880" i="72"/>
  <c r="A4880" i="72" s="1"/>
  <c r="L4881" i="72"/>
  <c r="A4881" i="72" s="1"/>
  <c r="L4882" i="72"/>
  <c r="A4882" i="72" s="1"/>
  <c r="L4883" i="72"/>
  <c r="A4883" i="72" s="1"/>
  <c r="L4884" i="72"/>
  <c r="A4884" i="72" s="1"/>
  <c r="L4885" i="72"/>
  <c r="A4885" i="72" s="1"/>
  <c r="L4886" i="72"/>
  <c r="A4886" i="72" s="1"/>
  <c r="L4887" i="72"/>
  <c r="A4887" i="72" s="1"/>
  <c r="L4888" i="72"/>
  <c r="A4888" i="72" s="1"/>
  <c r="L4889" i="72"/>
  <c r="A4889" i="72" s="1"/>
  <c r="L4890" i="72"/>
  <c r="A4890" i="72" s="1"/>
  <c r="L4891" i="72"/>
  <c r="A4891" i="72" s="1"/>
  <c r="L4892" i="72"/>
  <c r="A4892" i="72" s="1"/>
  <c r="L4893" i="72"/>
  <c r="A4893" i="72" s="1"/>
  <c r="L4894" i="72"/>
  <c r="A4894" i="72" s="1"/>
  <c r="L4895" i="72"/>
  <c r="A4895" i="72" s="1"/>
  <c r="L4896" i="72"/>
  <c r="A4896" i="72" s="1"/>
  <c r="L4897" i="72"/>
  <c r="A4897" i="72" s="1"/>
  <c r="L4898" i="72"/>
  <c r="A4898" i="72" s="1"/>
  <c r="L4899" i="72"/>
  <c r="A4899" i="72" s="1"/>
  <c r="L4900" i="72"/>
  <c r="A4900" i="72" s="1"/>
  <c r="L4901" i="72"/>
  <c r="A4901" i="72" s="1"/>
  <c r="L4902" i="72"/>
  <c r="A4902" i="72" s="1"/>
  <c r="L4903" i="72"/>
  <c r="A4903" i="72" s="1"/>
  <c r="L4904" i="72"/>
  <c r="A4904" i="72" s="1"/>
  <c r="L4905" i="72"/>
  <c r="A4905" i="72" s="1"/>
  <c r="L4906" i="72"/>
  <c r="A4906" i="72" s="1"/>
  <c r="L4907" i="72"/>
  <c r="A4907" i="72" s="1"/>
  <c r="L4908" i="72"/>
  <c r="A4908" i="72" s="1"/>
  <c r="L4909" i="72"/>
  <c r="A4909" i="72" s="1"/>
  <c r="L4910" i="72"/>
  <c r="A4910" i="72" s="1"/>
  <c r="L4911" i="72"/>
  <c r="A4911" i="72" s="1"/>
  <c r="L4912" i="72"/>
  <c r="A4912" i="72" s="1"/>
  <c r="L4913" i="72"/>
  <c r="A4913" i="72" s="1"/>
  <c r="L4914" i="72"/>
  <c r="A4914" i="72" s="1"/>
  <c r="L4915" i="72"/>
  <c r="A4915" i="72" s="1"/>
  <c r="L4916" i="72"/>
  <c r="A4916" i="72" s="1"/>
  <c r="L4917" i="72"/>
  <c r="A4917" i="72" s="1"/>
  <c r="L4918" i="72"/>
  <c r="A4918" i="72" s="1"/>
  <c r="L4919" i="72"/>
  <c r="A4919" i="72" s="1"/>
  <c r="L4920" i="72"/>
  <c r="A4920" i="72" s="1"/>
  <c r="L4921" i="72"/>
  <c r="A4921" i="72" s="1"/>
  <c r="L4922" i="72"/>
  <c r="A4922" i="72" s="1"/>
  <c r="L4923" i="72"/>
  <c r="A4923" i="72" s="1"/>
  <c r="L4924" i="72"/>
  <c r="A4924" i="72" s="1"/>
  <c r="L4925" i="72"/>
  <c r="A4925" i="72" s="1"/>
  <c r="L4926" i="72"/>
  <c r="A4926" i="72" s="1"/>
  <c r="L4927" i="72"/>
  <c r="A4927" i="72" s="1"/>
  <c r="L4928" i="72"/>
  <c r="A4928" i="72" s="1"/>
  <c r="L4929" i="72"/>
  <c r="A4929" i="72" s="1"/>
  <c r="L4930" i="72"/>
  <c r="A4930" i="72" s="1"/>
  <c r="L4931" i="72"/>
  <c r="A4931" i="72" s="1"/>
  <c r="L4932" i="72"/>
  <c r="A4932" i="72" s="1"/>
  <c r="L4933" i="72"/>
  <c r="A4933" i="72" s="1"/>
  <c r="L4934" i="72"/>
  <c r="A4934" i="72" s="1"/>
  <c r="L4935" i="72"/>
  <c r="A4935" i="72" s="1"/>
  <c r="L4936" i="72"/>
  <c r="A4936" i="72" s="1"/>
  <c r="L4937" i="72"/>
  <c r="A4937" i="72" s="1"/>
  <c r="L4938" i="72"/>
  <c r="A4938" i="72" s="1"/>
  <c r="L4939" i="72"/>
  <c r="A4939" i="72" s="1"/>
  <c r="L4940" i="72"/>
  <c r="A4940" i="72" s="1"/>
  <c r="L4941" i="72"/>
  <c r="A4941" i="72" s="1"/>
  <c r="L4942" i="72"/>
  <c r="A4942" i="72" s="1"/>
  <c r="L4943" i="72"/>
  <c r="A4943" i="72" s="1"/>
  <c r="L4944" i="72"/>
  <c r="A4944" i="72" s="1"/>
  <c r="L4945" i="72"/>
  <c r="A4945" i="72" s="1"/>
  <c r="L4946" i="72"/>
  <c r="A4946" i="72" s="1"/>
  <c r="L4947" i="72"/>
  <c r="A4947" i="72" s="1"/>
  <c r="L4948" i="72"/>
  <c r="A4948" i="72" s="1"/>
  <c r="L4949" i="72"/>
  <c r="A4949" i="72" s="1"/>
  <c r="L4950" i="72"/>
  <c r="A4950" i="72" s="1"/>
  <c r="L4951" i="72"/>
  <c r="A4951" i="72" s="1"/>
  <c r="L4952" i="72"/>
  <c r="A4952" i="72" s="1"/>
  <c r="L4953" i="72"/>
  <c r="A4953" i="72" s="1"/>
  <c r="L4954" i="72"/>
  <c r="A4954" i="72" s="1"/>
  <c r="L4955" i="72"/>
  <c r="A4955" i="72" s="1"/>
  <c r="L4956" i="72"/>
  <c r="A4956" i="72" s="1"/>
  <c r="L4957" i="72"/>
  <c r="A4957" i="72" s="1"/>
  <c r="L4958" i="72"/>
  <c r="A4958" i="72" s="1"/>
  <c r="L4959" i="72"/>
  <c r="A4959" i="72" s="1"/>
  <c r="L4960" i="72"/>
  <c r="A4960" i="72" s="1"/>
  <c r="L4961" i="72"/>
  <c r="A4961" i="72" s="1"/>
  <c r="L4962" i="72"/>
  <c r="A4962" i="72" s="1"/>
  <c r="L4963" i="72"/>
  <c r="A4963" i="72" s="1"/>
  <c r="L4964" i="72"/>
  <c r="A4964" i="72" s="1"/>
  <c r="L4965" i="72"/>
  <c r="A4965" i="72" s="1"/>
  <c r="L4966" i="72"/>
  <c r="A4966" i="72" s="1"/>
  <c r="L4967" i="72"/>
  <c r="A4967" i="72" s="1"/>
  <c r="L4968" i="72"/>
  <c r="A4968" i="72" s="1"/>
  <c r="L4969" i="72"/>
  <c r="A4969" i="72" s="1"/>
  <c r="L4970" i="72"/>
  <c r="A4970" i="72" s="1"/>
  <c r="L4971" i="72"/>
  <c r="A4971" i="72" s="1"/>
  <c r="L4972" i="72"/>
  <c r="A4972" i="72" s="1"/>
  <c r="L4973" i="72"/>
  <c r="A4973" i="72" s="1"/>
  <c r="L4974" i="72"/>
  <c r="A4974" i="72" s="1"/>
  <c r="L4975" i="72"/>
  <c r="A4975" i="72" s="1"/>
  <c r="L4976" i="72"/>
  <c r="A4976" i="72" s="1"/>
  <c r="L4977" i="72"/>
  <c r="A4977" i="72" s="1"/>
  <c r="L4978" i="72"/>
  <c r="A4978" i="72" s="1"/>
  <c r="L4979" i="72"/>
  <c r="A4979" i="72" s="1"/>
  <c r="L4980" i="72"/>
  <c r="A4980" i="72" s="1"/>
  <c r="L4981" i="72"/>
  <c r="A4981" i="72" s="1"/>
  <c r="L4982" i="72"/>
  <c r="A4982" i="72" s="1"/>
  <c r="L4983" i="72"/>
  <c r="A4983" i="72" s="1"/>
  <c r="L4984" i="72"/>
  <c r="A4984" i="72" s="1"/>
  <c r="L4985" i="72"/>
  <c r="A4985" i="72" s="1"/>
  <c r="L4986" i="72"/>
  <c r="A4986" i="72" s="1"/>
  <c r="L4987" i="72"/>
  <c r="A4987" i="72" s="1"/>
  <c r="L4988" i="72"/>
  <c r="A4988" i="72" s="1"/>
  <c r="L4989" i="72"/>
  <c r="A4989" i="72" s="1"/>
  <c r="L4990" i="72"/>
  <c r="A4990" i="72" s="1"/>
  <c r="L4991" i="72"/>
  <c r="A4991" i="72" s="1"/>
  <c r="L4992" i="72"/>
  <c r="A4992" i="72" s="1"/>
  <c r="L4993" i="72"/>
  <c r="A4993" i="72" s="1"/>
  <c r="L4994" i="72"/>
  <c r="A4994" i="72" s="1"/>
  <c r="L4995" i="72"/>
  <c r="A4995" i="72" s="1"/>
  <c r="L4996" i="72"/>
  <c r="A4996" i="72" s="1"/>
  <c r="L4997" i="72"/>
  <c r="A4997" i="72" s="1"/>
  <c r="L4998" i="72"/>
  <c r="A4998" i="72" s="1"/>
  <c r="L4999" i="72"/>
  <c r="A4999" i="72" s="1"/>
  <c r="L5000" i="72"/>
  <c r="A5000" i="72" s="1"/>
  <c r="L5001" i="72"/>
  <c r="A5001" i="72" s="1"/>
  <c r="L5002" i="72"/>
  <c r="A5002" i="72" s="1"/>
  <c r="L5003" i="72"/>
  <c r="A5003" i="72" s="1"/>
  <c r="L5004" i="72"/>
  <c r="A5004" i="72" s="1"/>
  <c r="L5005" i="72"/>
  <c r="A5005" i="72" s="1"/>
  <c r="L5006" i="72"/>
  <c r="A5006" i="72" s="1"/>
  <c r="L5007" i="72"/>
  <c r="A5007" i="72" s="1"/>
  <c r="L5008" i="72"/>
  <c r="A5008" i="72" s="1"/>
  <c r="L5009" i="72"/>
  <c r="A5009" i="72" s="1"/>
  <c r="L5010" i="72"/>
  <c r="A5010" i="72" s="1"/>
  <c r="L5011" i="72"/>
  <c r="A5011" i="72" s="1"/>
  <c r="L5012" i="72"/>
  <c r="A5012" i="72" s="1"/>
  <c r="L5013" i="72"/>
  <c r="A5013" i="72" s="1"/>
  <c r="L5014" i="72"/>
  <c r="A5014" i="72" s="1"/>
  <c r="L5015" i="72"/>
  <c r="A5015" i="72" s="1"/>
  <c r="L5016" i="72"/>
  <c r="A5016" i="72" s="1"/>
  <c r="L5017" i="72"/>
  <c r="A5017" i="72" s="1"/>
  <c r="L5018" i="72"/>
  <c r="A5018" i="72" s="1"/>
  <c r="L5019" i="72"/>
  <c r="A5019" i="72" s="1"/>
  <c r="L5020" i="72"/>
  <c r="A5020" i="72" s="1"/>
  <c r="L5021" i="72"/>
  <c r="A5021" i="72" s="1"/>
  <c r="L5022" i="72"/>
  <c r="A5022" i="72" s="1"/>
  <c r="L5023" i="72"/>
  <c r="A5023" i="72" s="1"/>
  <c r="L5024" i="72"/>
  <c r="A5024" i="72" s="1"/>
  <c r="L5025" i="72"/>
  <c r="A5025" i="72" s="1"/>
  <c r="L5026" i="72"/>
  <c r="A5026" i="72" s="1"/>
  <c r="L5027" i="72"/>
  <c r="A5027" i="72" s="1"/>
  <c r="L5028" i="72"/>
  <c r="A5028" i="72" s="1"/>
  <c r="L5029" i="72"/>
  <c r="A5029" i="72" s="1"/>
  <c r="L5030" i="72"/>
  <c r="A5030" i="72" s="1"/>
  <c r="L5031" i="72"/>
  <c r="A5031" i="72" s="1"/>
  <c r="L5032" i="72"/>
  <c r="A5032" i="72" s="1"/>
  <c r="L5033" i="72"/>
  <c r="A5033" i="72" s="1"/>
  <c r="L5034" i="72"/>
  <c r="A5034" i="72" s="1"/>
  <c r="L5035" i="72"/>
  <c r="A5035" i="72" s="1"/>
  <c r="L5036" i="72"/>
  <c r="A5036" i="72" s="1"/>
  <c r="L5037" i="72"/>
  <c r="A5037" i="72" s="1"/>
  <c r="L5038" i="72"/>
  <c r="A5038" i="72" s="1"/>
  <c r="L5039" i="72"/>
  <c r="A5039" i="72" s="1"/>
  <c r="L5040" i="72"/>
  <c r="A5040" i="72" s="1"/>
  <c r="L5041" i="72"/>
  <c r="A5041" i="72" s="1"/>
  <c r="L5042" i="72"/>
  <c r="A5042" i="72" s="1"/>
  <c r="L5043" i="72"/>
  <c r="A5043" i="72" s="1"/>
  <c r="L5044" i="72"/>
  <c r="A5044" i="72" s="1"/>
  <c r="L5045" i="72"/>
  <c r="A5045" i="72" s="1"/>
  <c r="L5046" i="72"/>
  <c r="A5046" i="72" s="1"/>
  <c r="L5047" i="72"/>
  <c r="A5047" i="72" s="1"/>
  <c r="L5048" i="72"/>
  <c r="A5048" i="72" s="1"/>
  <c r="L5049" i="72"/>
  <c r="A5049" i="72" s="1"/>
  <c r="L5050" i="72"/>
  <c r="A5050" i="72" s="1"/>
  <c r="L5051" i="72"/>
  <c r="A5051" i="72" s="1"/>
  <c r="L5052" i="72"/>
  <c r="A5052" i="72" s="1"/>
  <c r="L5053" i="72"/>
  <c r="A5053" i="72" s="1"/>
  <c r="L5054" i="72"/>
  <c r="A5054" i="72" s="1"/>
  <c r="L5055" i="72"/>
  <c r="A5055" i="72" s="1"/>
  <c r="L5056" i="72"/>
  <c r="A5056" i="72" s="1"/>
  <c r="L5057" i="72"/>
  <c r="A5057" i="72" s="1"/>
  <c r="L5058" i="72"/>
  <c r="A5058" i="72" s="1"/>
  <c r="L5059" i="72"/>
  <c r="A5059" i="72" s="1"/>
  <c r="L5060" i="72"/>
  <c r="A5060" i="72" s="1"/>
  <c r="L5061" i="72"/>
  <c r="A5061" i="72" s="1"/>
  <c r="L5062" i="72"/>
  <c r="A5062" i="72" s="1"/>
  <c r="L5063" i="72"/>
  <c r="A5063" i="72" s="1"/>
  <c r="L5064" i="72"/>
  <c r="A5064" i="72" s="1"/>
  <c r="L5065" i="72"/>
  <c r="A5065" i="72" s="1"/>
  <c r="L5066" i="72"/>
  <c r="A5066" i="72" s="1"/>
  <c r="L5067" i="72"/>
  <c r="A5067" i="72" s="1"/>
  <c r="L5068" i="72"/>
  <c r="A5068" i="72" s="1"/>
  <c r="L5069" i="72"/>
  <c r="A5069" i="72" s="1"/>
  <c r="L5070" i="72"/>
  <c r="A5070" i="72" s="1"/>
  <c r="L5071" i="72"/>
  <c r="A5071" i="72" s="1"/>
  <c r="L5072" i="72"/>
  <c r="A5072" i="72" s="1"/>
  <c r="L5073" i="72"/>
  <c r="A5073" i="72" s="1"/>
  <c r="L5074" i="72"/>
  <c r="A5074" i="72" s="1"/>
  <c r="L5075" i="72"/>
  <c r="A5075" i="72" s="1"/>
  <c r="L5076" i="72"/>
  <c r="A5076" i="72" s="1"/>
  <c r="L5077" i="72"/>
  <c r="A5077" i="72" s="1"/>
  <c r="L5078" i="72"/>
  <c r="A5078" i="72" s="1"/>
  <c r="L5079" i="72"/>
  <c r="A5079" i="72" s="1"/>
  <c r="L5080" i="72"/>
  <c r="A5080" i="72" s="1"/>
  <c r="L5081" i="72"/>
  <c r="A5081" i="72" s="1"/>
  <c r="L5082" i="72"/>
  <c r="A5082" i="72" s="1"/>
  <c r="L5083" i="72"/>
  <c r="A5083" i="72" s="1"/>
  <c r="L5084" i="72"/>
  <c r="A5084" i="72" s="1"/>
  <c r="L5085" i="72"/>
  <c r="A5085" i="72" s="1"/>
  <c r="L5086" i="72"/>
  <c r="A5086" i="72" s="1"/>
  <c r="L5087" i="72"/>
  <c r="A5087" i="72" s="1"/>
  <c r="L5088" i="72"/>
  <c r="A5088" i="72" s="1"/>
  <c r="L5089" i="72"/>
  <c r="A5089" i="72" s="1"/>
  <c r="L5090" i="72"/>
  <c r="A5090" i="72" s="1"/>
  <c r="L5091" i="72"/>
  <c r="A5091" i="72" s="1"/>
  <c r="L5092" i="72"/>
  <c r="A5092" i="72" s="1"/>
  <c r="L5093" i="72"/>
  <c r="A5093" i="72" s="1"/>
  <c r="L5094" i="72"/>
  <c r="A5094" i="72" s="1"/>
  <c r="L5095" i="72"/>
  <c r="A5095" i="72" s="1"/>
  <c r="L5096" i="72"/>
  <c r="A5096" i="72" s="1"/>
  <c r="L5097" i="72"/>
  <c r="A5097" i="72" s="1"/>
  <c r="L5098" i="72"/>
  <c r="A5098" i="72" s="1"/>
  <c r="L5099" i="72"/>
  <c r="A5099" i="72" s="1"/>
  <c r="L5100" i="72"/>
  <c r="A5100" i="72" s="1"/>
  <c r="L5101" i="72"/>
  <c r="A5101" i="72" s="1"/>
  <c r="L5102" i="72"/>
  <c r="A5102" i="72" s="1"/>
  <c r="L5103" i="72"/>
  <c r="A5103" i="72" s="1"/>
  <c r="L5104" i="72"/>
  <c r="A5104" i="72" s="1"/>
  <c r="L5105" i="72"/>
  <c r="A5105" i="72" s="1"/>
  <c r="L5106" i="72"/>
  <c r="A5106" i="72" s="1"/>
  <c r="L5107" i="72"/>
  <c r="A5107" i="72" s="1"/>
  <c r="L5108" i="72"/>
  <c r="A5108" i="72" s="1"/>
  <c r="L5109" i="72"/>
  <c r="A5109" i="72" s="1"/>
  <c r="L5110" i="72"/>
  <c r="A5110" i="72" s="1"/>
  <c r="L5111" i="72"/>
  <c r="A5111" i="72" s="1"/>
  <c r="L5112" i="72"/>
  <c r="A5112" i="72" s="1"/>
  <c r="L5113" i="72"/>
  <c r="A5113" i="72" s="1"/>
  <c r="L5114" i="72"/>
  <c r="A5114" i="72" s="1"/>
  <c r="L5115" i="72"/>
  <c r="A5115" i="72" s="1"/>
  <c r="L5116" i="72"/>
  <c r="A5116" i="72" s="1"/>
  <c r="L5117" i="72"/>
  <c r="A5117" i="72" s="1"/>
  <c r="L5118" i="72"/>
  <c r="A5118" i="72" s="1"/>
  <c r="L5119" i="72"/>
  <c r="A5119" i="72" s="1"/>
  <c r="L5120" i="72"/>
  <c r="A5120" i="72" s="1"/>
  <c r="L5121" i="72"/>
  <c r="A5121" i="72" s="1"/>
  <c r="L5122" i="72"/>
  <c r="A5122" i="72" s="1"/>
  <c r="L5123" i="72"/>
  <c r="A5123" i="72" s="1"/>
  <c r="L3" i="72" l="1"/>
  <c r="A3" i="72" s="1"/>
  <c r="E3" i="31"/>
  <c r="E4" i="31"/>
  <c r="E5" i="31"/>
  <c r="E6" i="31"/>
  <c r="E7" i="31"/>
  <c r="E8" i="31"/>
  <c r="E9" i="31"/>
  <c r="E10" i="31"/>
  <c r="E11" i="31"/>
  <c r="E12" i="31"/>
  <c r="E13" i="31"/>
  <c r="E14" i="31"/>
  <c r="E15" i="31"/>
  <c r="E16" i="31"/>
  <c r="E17" i="31"/>
  <c r="E18" i="31"/>
  <c r="E19" i="31"/>
  <c r="E20" i="31"/>
  <c r="E21" i="31"/>
  <c r="E22" i="31"/>
  <c r="E23" i="31"/>
  <c r="E24" i="31"/>
  <c r="E25" i="31"/>
  <c r="E26" i="31"/>
  <c r="E27" i="31"/>
  <c r="E28" i="31"/>
  <c r="E29" i="31"/>
  <c r="E30" i="31"/>
  <c r="E31" i="31"/>
  <c r="E32" i="31"/>
  <c r="E33" i="31"/>
  <c r="E34" i="31"/>
  <c r="E35" i="31"/>
  <c r="E36" i="31"/>
  <c r="E37" i="31"/>
  <c r="E38" i="31"/>
  <c r="E39" i="31"/>
  <c r="E40" i="31"/>
  <c r="E41" i="31"/>
  <c r="E42" i="31"/>
  <c r="E43" i="31"/>
  <c r="E44" i="31"/>
  <c r="E45" i="31"/>
  <c r="E46" i="31"/>
  <c r="E47" i="31"/>
  <c r="E48" i="31"/>
  <c r="E49" i="31"/>
  <c r="E50" i="31"/>
  <c r="E51" i="31"/>
  <c r="E52" i="31"/>
  <c r="E53" i="31"/>
  <c r="E54" i="31"/>
  <c r="E55" i="31"/>
  <c r="E56" i="31"/>
  <c r="E57" i="31"/>
  <c r="E58" i="31"/>
  <c r="E59" i="31"/>
  <c r="E60" i="31"/>
  <c r="E2" i="31"/>
  <c r="A45" i="31" l="1"/>
  <c r="A40" i="31"/>
  <c r="A3" i="31"/>
  <c r="A46" i="31"/>
  <c r="A41" i="31"/>
  <c r="A4" i="31"/>
  <c r="A47" i="31"/>
  <c r="A42" i="31"/>
  <c r="A5" i="31"/>
  <c r="A48" i="31"/>
  <c r="A43" i="31"/>
  <c r="A6" i="31"/>
  <c r="A49" i="31"/>
  <c r="A7" i="31"/>
  <c r="A50" i="31"/>
  <c r="A8" i="31"/>
  <c r="A51" i="31"/>
  <c r="A9" i="31"/>
  <c r="A52" i="31"/>
  <c r="A10" i="31"/>
  <c r="A53" i="31"/>
  <c r="A11" i="31"/>
  <c r="A54" i="31"/>
  <c r="A12" i="31"/>
  <c r="A55" i="31"/>
  <c r="A13" i="31"/>
  <c r="A56" i="31"/>
  <c r="A14" i="31"/>
  <c r="A57" i="31"/>
  <c r="A15" i="31"/>
  <c r="A58" i="31"/>
  <c r="A16" i="31"/>
  <c r="A17" i="31"/>
  <c r="A18" i="31"/>
  <c r="A19" i="31"/>
  <c r="A20" i="31"/>
  <c r="A21" i="31"/>
  <c r="A22" i="31"/>
  <c r="A23" i="31"/>
  <c r="A24" i="31"/>
  <c r="A25" i="31"/>
  <c r="A26" i="31"/>
  <c r="A27" i="31"/>
  <c r="A28" i="31"/>
  <c r="A29" i="31"/>
  <c r="A59" i="31"/>
  <c r="A30" i="31"/>
  <c r="A31" i="31"/>
  <c r="A32" i="31"/>
  <c r="A33" i="31"/>
  <c r="A60" i="31"/>
  <c r="A44" i="31"/>
  <c r="A34" i="31"/>
  <c r="A35" i="31"/>
  <c r="A36" i="31"/>
  <c r="A37" i="31"/>
  <c r="A38" i="31"/>
  <c r="A39" i="31"/>
  <c r="A2" i="31"/>
  <c r="A1" i="15" l="1"/>
  <c r="D4" i="1" l="1"/>
</calcChain>
</file>

<file path=xl/sharedStrings.xml><?xml version="1.0" encoding="utf-8"?>
<sst xmlns="http://schemas.openxmlformats.org/spreadsheetml/2006/main" count="34067" uniqueCount="1231">
  <si>
    <t>Centro</t>
  </si>
  <si>
    <t>Codigo</t>
  </si>
  <si>
    <t>Denomin.</t>
  </si>
  <si>
    <t>UM</t>
  </si>
  <si>
    <t>Proveedor</t>
  </si>
  <si>
    <t>Referencia</t>
  </si>
  <si>
    <t>Solicitante</t>
  </si>
  <si>
    <t>Imputación</t>
  </si>
  <si>
    <t>Pedido</t>
  </si>
  <si>
    <t>Evaluación proveedor</t>
  </si>
  <si>
    <t>Comprador</t>
  </si>
  <si>
    <t xml:space="preserve"> Cantidad</t>
  </si>
  <si>
    <t>Agricola del Chira Planta</t>
  </si>
  <si>
    <t>UND</t>
  </si>
  <si>
    <t xml:space="preserve">COMERCIAL CHUMI SRL                </t>
  </si>
  <si>
    <t>Planific Com</t>
  </si>
  <si>
    <t>STOCK DE ALMACEN</t>
  </si>
  <si>
    <t/>
  </si>
  <si>
    <t>AAGUILARMO</t>
  </si>
  <si>
    <t>GAL</t>
  </si>
  <si>
    <t>ACABANILLASO</t>
  </si>
  <si>
    <t xml:space="preserve">KG </t>
  </si>
  <si>
    <t xml:space="preserve">M&amp;W REPRESENTACIONES SCRL          </t>
  </si>
  <si>
    <t>Entrega Tarde</t>
  </si>
  <si>
    <t xml:space="preserve">WATER TRADE SAC                    </t>
  </si>
  <si>
    <t xml:space="preserve">WCHAVEZS    </t>
  </si>
  <si>
    <t xml:space="preserve">Plan. Mant. </t>
  </si>
  <si>
    <t>SOLUCIONES EN TRANSMISIONES Y AFINE</t>
  </si>
  <si>
    <t xml:space="preserve">            </t>
  </si>
  <si>
    <t xml:space="preserve">ASEMINARIOV </t>
  </si>
  <si>
    <t>JCHAPARROB</t>
  </si>
  <si>
    <t xml:space="preserve">L  </t>
  </si>
  <si>
    <t xml:space="preserve">ACRIMSA SULLANA SRL                </t>
  </si>
  <si>
    <t>Implement ag</t>
  </si>
  <si>
    <t xml:space="preserve">LALAYOA     </t>
  </si>
  <si>
    <t xml:space="preserve">SILICONA GRIS 85GR  V/CHEM              </t>
  </si>
  <si>
    <t xml:space="preserve">SOLTRAK SA                         </t>
  </si>
  <si>
    <t>GBAYONAC</t>
  </si>
  <si>
    <t xml:space="preserve">CORPORACION PRIMAX SA              </t>
  </si>
  <si>
    <t xml:space="preserve">ALACHIRAP   </t>
  </si>
  <si>
    <t xml:space="preserve">IPESA HYDRO SA                     </t>
  </si>
  <si>
    <t xml:space="preserve">WELLCO PERUANA SA                  </t>
  </si>
  <si>
    <t xml:space="preserve">VENTAS Y SERVICIOS ESPECIALES      </t>
  </si>
  <si>
    <t>ROL</t>
  </si>
  <si>
    <t xml:space="preserve">LIVIA TORRES CRISTIAN              </t>
  </si>
  <si>
    <t>BOL</t>
  </si>
  <si>
    <t xml:space="preserve">TRANSPORTES DE CARGA INTER         </t>
  </si>
  <si>
    <t xml:space="preserve">jquevedoa   </t>
  </si>
  <si>
    <t>CENTRO DE COSTO</t>
  </si>
  <si>
    <t xml:space="preserve">PRODUCTOS CAUCHO S.R.L.            </t>
  </si>
  <si>
    <t>FVALLADARESC</t>
  </si>
  <si>
    <t>API</t>
  </si>
  <si>
    <t xml:space="preserve">SERVICIOS Y COMERCIALIZACION       </t>
  </si>
  <si>
    <t xml:space="preserve">AGUA D/MESA 20L BIDON SAN PEDRO         </t>
  </si>
  <si>
    <t xml:space="preserve">JEAN ANDREE LIZAMA ARICA           </t>
  </si>
  <si>
    <t xml:space="preserve">CET55406232       </t>
  </si>
  <si>
    <t xml:space="preserve">M  </t>
  </si>
  <si>
    <t xml:space="preserve">CS34015030        </t>
  </si>
  <si>
    <t xml:space="preserve">THINNER ACRILICO                        </t>
  </si>
  <si>
    <t>Fecha Ini.</t>
  </si>
  <si>
    <t>Fecha Fin.</t>
  </si>
  <si>
    <t>Almacen</t>
  </si>
  <si>
    <t>7</t>
  </si>
  <si>
    <t>Concatenar</t>
  </si>
  <si>
    <t>Almacén</t>
  </si>
  <si>
    <t>Cantidad</t>
  </si>
  <si>
    <t>Cl.mov.</t>
  </si>
  <si>
    <t>Posición</t>
  </si>
  <si>
    <t>Fe.contable</t>
  </si>
  <si>
    <t>Doc.mat.</t>
  </si>
  <si>
    <t>Usuario Almacen</t>
  </si>
  <si>
    <t>Fec. Entrega</t>
  </si>
  <si>
    <t>Montelima</t>
  </si>
  <si>
    <t>Concatena</t>
  </si>
  <si>
    <t xml:space="preserve">Solicit.    </t>
  </si>
  <si>
    <t xml:space="preserve">Proveedor          </t>
  </si>
  <si>
    <t>Fe.entrega</t>
  </si>
  <si>
    <t>Material</t>
  </si>
  <si>
    <t>Posicion</t>
  </si>
  <si>
    <t>Nro Almacen</t>
  </si>
  <si>
    <t>Fe.Doc</t>
  </si>
  <si>
    <t>Nom Almacen</t>
  </si>
  <si>
    <t xml:space="preserve">CONTIX SA                          </t>
  </si>
  <si>
    <t>19.11.2024</t>
  </si>
  <si>
    <t xml:space="preserve">SEDISA SAC                         </t>
  </si>
  <si>
    <t>Sucroalcolera del Chira Planta</t>
  </si>
  <si>
    <t>Bioenergía del Chira Planta</t>
  </si>
  <si>
    <t>18.11.2024</t>
  </si>
  <si>
    <t xml:space="preserve">MACROSOURCE PERÚ S.R.L.            </t>
  </si>
  <si>
    <t xml:space="preserve">PHARTEC SAC                        </t>
  </si>
  <si>
    <t>16.11.2024</t>
  </si>
  <si>
    <t xml:space="preserve">NUTRISUELO S.A.C.                  </t>
  </si>
  <si>
    <t xml:space="preserve">MWAGR00013        </t>
  </si>
  <si>
    <t>15.11.2024</t>
  </si>
  <si>
    <t xml:space="preserve">QUIMPAC SA                         </t>
  </si>
  <si>
    <t xml:space="preserve">MWCLOROGAS        </t>
  </si>
  <si>
    <t xml:space="preserve">OLYMPUS INDUSTRIAS SRL             </t>
  </si>
  <si>
    <t>14.11.2024</t>
  </si>
  <si>
    <t>13.11.2024</t>
  </si>
  <si>
    <t>12.11.2024</t>
  </si>
  <si>
    <t>11.11.2024</t>
  </si>
  <si>
    <t>09.11.2024</t>
  </si>
  <si>
    <t>08.11.2024</t>
  </si>
  <si>
    <t xml:space="preserve">QUIMICOS Y EQUIPOS DEL NORTE SRL   </t>
  </si>
  <si>
    <t xml:space="preserve">CF20720003        </t>
  </si>
  <si>
    <t>07.11.2024</t>
  </si>
  <si>
    <t>06.11.2024</t>
  </si>
  <si>
    <t>05.11.2024</t>
  </si>
  <si>
    <t>04.11.2024</t>
  </si>
  <si>
    <t>02.11.2024</t>
  </si>
  <si>
    <t>31.10.2024</t>
  </si>
  <si>
    <t>30.10.2024</t>
  </si>
  <si>
    <t xml:space="preserve">QUIMEX SA                          </t>
  </si>
  <si>
    <t xml:space="preserve">MWAGR000058       </t>
  </si>
  <si>
    <t>29.10.2024</t>
  </si>
  <si>
    <t>28.10.2024</t>
  </si>
  <si>
    <t>25.10.2024</t>
  </si>
  <si>
    <t>24.10.2024</t>
  </si>
  <si>
    <t>23.10.2024</t>
  </si>
  <si>
    <t>22.10.2024</t>
  </si>
  <si>
    <t>21.10.2024</t>
  </si>
  <si>
    <t>18.10.2024</t>
  </si>
  <si>
    <t>17.10.2024</t>
  </si>
  <si>
    <t>16.10.2024</t>
  </si>
  <si>
    <t>15.10.2024</t>
  </si>
  <si>
    <t>14.10.2024</t>
  </si>
  <si>
    <t>12.10.2024</t>
  </si>
  <si>
    <t>11.10.2024</t>
  </si>
  <si>
    <t>10.10.2024</t>
  </si>
  <si>
    <t>09.10.2024</t>
  </si>
  <si>
    <t>07.10.2024</t>
  </si>
  <si>
    <t>05.10.2024</t>
  </si>
  <si>
    <t>04.10.2024</t>
  </si>
  <si>
    <t>03.10.2024</t>
  </si>
  <si>
    <t>02.10.2024</t>
  </si>
  <si>
    <t>01.10.2024</t>
  </si>
  <si>
    <t>30.09.2024</t>
  </si>
  <si>
    <t xml:space="preserve">VALVULAS &amp; AFINES SAC              </t>
  </si>
  <si>
    <t>Mtto Mecanic</t>
  </si>
  <si>
    <t xml:space="preserve">JALBUJARC   </t>
  </si>
  <si>
    <t xml:space="preserve">JREYESC     </t>
  </si>
  <si>
    <t xml:space="preserve">OPTIMIZACION CONFIABILIDAD Y       </t>
  </si>
  <si>
    <t xml:space="preserve">JCHUMACEROC </t>
  </si>
  <si>
    <t xml:space="preserve">BAUMETALL EIRL                     </t>
  </si>
  <si>
    <t>28.09.2024</t>
  </si>
  <si>
    <t>Plan.mtto tr</t>
  </si>
  <si>
    <t xml:space="preserve">JULIO FRANCISCO VEGAS CORONADO     </t>
  </si>
  <si>
    <t>27.09.2024</t>
  </si>
  <si>
    <t>Insumos Agr.</t>
  </si>
  <si>
    <t>Plan. Mant.C</t>
  </si>
  <si>
    <t xml:space="preserve">DEYSI MEDALIT MALDONADO CLAVIJO    </t>
  </si>
  <si>
    <t xml:space="preserve">AVASQUEZM   </t>
  </si>
  <si>
    <t>26.09.2024</t>
  </si>
  <si>
    <t xml:space="preserve">dyarlequel  </t>
  </si>
  <si>
    <t xml:space="preserve">SOLENIS PERU S.A.C                 </t>
  </si>
  <si>
    <t xml:space="preserve">    </t>
  </si>
  <si>
    <t xml:space="preserve">RCRESPOV    </t>
  </si>
  <si>
    <t xml:space="preserve">REPRESENTACIONES Y FABRICACIONES   </t>
  </si>
  <si>
    <t xml:space="preserve">CET00800165       </t>
  </si>
  <si>
    <t>ALMACÉN GENE</t>
  </si>
  <si>
    <t xml:space="preserve">GPS GRV EIRL                       </t>
  </si>
  <si>
    <t xml:space="preserve">TECNIFAJAS SA                      </t>
  </si>
  <si>
    <t>25.09.2024</t>
  </si>
  <si>
    <t>ccarrillor</t>
  </si>
  <si>
    <t>//</t>
  </si>
  <si>
    <t xml:space="preserve"> // </t>
  </si>
  <si>
    <t xml:space="preserve">IPESA SAC                          </t>
  </si>
  <si>
    <t xml:space="preserve">CARMEN ROSA JUAREZ EYZAGUIRRE      </t>
  </si>
  <si>
    <t xml:space="preserve">DYSMAR EIRL                        </t>
  </si>
  <si>
    <t xml:space="preserve">BIOENERGIA DEL CHIRA SA            </t>
  </si>
  <si>
    <t xml:space="preserve">CC73002942        </t>
  </si>
  <si>
    <t xml:space="preserve">RTORRESS    </t>
  </si>
  <si>
    <t xml:space="preserve">IMPLEMENTOS PERU SAC               </t>
  </si>
  <si>
    <t xml:space="preserve">TECNIEMPAQUETADURAS SR LTDA        </t>
  </si>
  <si>
    <t>23.09.2024</t>
  </si>
  <si>
    <t>Pl Sucroalco</t>
  </si>
  <si>
    <t xml:space="preserve">LVILLARF    </t>
  </si>
  <si>
    <t xml:space="preserve">SUDAMERIS PERU SAC                 </t>
  </si>
  <si>
    <t xml:space="preserve">creyesy     </t>
  </si>
  <si>
    <t xml:space="preserve">SAGER SA SUCURSAL PERU             </t>
  </si>
  <si>
    <t>Mtto Mecánic</t>
  </si>
  <si>
    <t xml:space="preserve">JMIOA       </t>
  </si>
  <si>
    <t xml:space="preserve">CCARRILLOR  </t>
  </si>
  <si>
    <t xml:space="preserve">CM220116          </t>
  </si>
  <si>
    <t xml:space="preserve">CF20400223        </t>
  </si>
  <si>
    <t xml:space="preserve">JingaF      </t>
  </si>
  <si>
    <t xml:space="preserve">BCORONADOA  </t>
  </si>
  <si>
    <t xml:space="preserve">MWCALHIDRATADA    </t>
  </si>
  <si>
    <t xml:space="preserve">SNIZAMAM    </t>
  </si>
  <si>
    <t xml:space="preserve">CODIZA S A                         </t>
  </si>
  <si>
    <t>21.09.2024</t>
  </si>
  <si>
    <t>Mtto Automat</t>
  </si>
  <si>
    <t xml:space="preserve">VHILARESZ   </t>
  </si>
  <si>
    <t xml:space="preserve">GRUPO FUMINSUMOS SAC               </t>
  </si>
  <si>
    <t>20.09.2024</t>
  </si>
  <si>
    <t xml:space="preserve">SUCROALCOLERA DEL CHIRA SA         </t>
  </si>
  <si>
    <t>Mtto Eléctri</t>
  </si>
  <si>
    <t xml:space="preserve">ORGANIZACIONES BALENO SRLTDA       </t>
  </si>
  <si>
    <t xml:space="preserve">PVITEC      </t>
  </si>
  <si>
    <t xml:space="preserve">CMENDOZAM   </t>
  </si>
  <si>
    <t xml:space="preserve">EAMESM      </t>
  </si>
  <si>
    <t>19.09.2024</t>
  </si>
  <si>
    <t>Mtto Electri</t>
  </si>
  <si>
    <t xml:space="preserve">CS310420          </t>
  </si>
  <si>
    <t xml:space="preserve">CS101060          </t>
  </si>
  <si>
    <t xml:space="preserve">CT310840          </t>
  </si>
  <si>
    <t xml:space="preserve">HCRUZA      </t>
  </si>
  <si>
    <t xml:space="preserve">PROMOTORES ELECTRICOS SA           </t>
  </si>
  <si>
    <t>18.09.2024</t>
  </si>
  <si>
    <t>EAMESM</t>
  </si>
  <si>
    <t>K//K</t>
  </si>
  <si>
    <t xml:space="preserve">KA LINSON PERU SAC                 </t>
  </si>
  <si>
    <t xml:space="preserve">FORMULARIOS PIURA S.A.C            </t>
  </si>
  <si>
    <t xml:space="preserve">METAL MECANICA NPJ EIRL            </t>
  </si>
  <si>
    <t xml:space="preserve">RLUPUCHEQ   </t>
  </si>
  <si>
    <t xml:space="preserve">NETZSCH PERU SAC                   </t>
  </si>
  <si>
    <t xml:space="preserve">MASA EQUIPOS INDUSTRIALES SA       </t>
  </si>
  <si>
    <t xml:space="preserve">CS22175154        </t>
  </si>
  <si>
    <t xml:space="preserve">CP190038          </t>
  </si>
  <si>
    <t>17.09.2024</t>
  </si>
  <si>
    <t>darrunategui</t>
  </si>
  <si>
    <t xml:space="preserve">CORPORACION DE SERVICIOS GR SA     </t>
  </si>
  <si>
    <t xml:space="preserve">CF20800110        </t>
  </si>
  <si>
    <t xml:space="preserve">RUBBER NORTH S.A.C.                </t>
  </si>
  <si>
    <t xml:space="preserve">ccarrillor  </t>
  </si>
  <si>
    <t xml:space="preserve">EMEJIAM     </t>
  </si>
  <si>
    <t xml:space="preserve">DCHERON     </t>
  </si>
  <si>
    <t xml:space="preserve">UNIMAQ SA                          </t>
  </si>
  <si>
    <t xml:space="preserve">SERVICIOS ELECTROMECANICOS         </t>
  </si>
  <si>
    <t xml:space="preserve">Mat Cosecha </t>
  </si>
  <si>
    <t xml:space="preserve">PROCABLES SA                       </t>
  </si>
  <si>
    <t xml:space="preserve">SEGURINDUSTRIA SA                  </t>
  </si>
  <si>
    <t xml:space="preserve">VENUS PERUANA SAC                  </t>
  </si>
  <si>
    <t xml:space="preserve">CK00000598        </t>
  </si>
  <si>
    <t>EMIJAHUANCAG</t>
  </si>
  <si>
    <t xml:space="preserve">FACTORIA LIBERTAD SCRL             </t>
  </si>
  <si>
    <t>16.09.2024</t>
  </si>
  <si>
    <t xml:space="preserve">BAYOMED HEALTH PERU S.A.C.         </t>
  </si>
  <si>
    <t xml:space="preserve">MANSERVED DEALER SAC               </t>
  </si>
  <si>
    <t>14.09.2024</t>
  </si>
  <si>
    <t xml:space="preserve">HIDROSTAL SA                       </t>
  </si>
  <si>
    <t xml:space="preserve">SONEPAR PERU SAC                   </t>
  </si>
  <si>
    <t xml:space="preserve">EXIQUIM S.A.C.                     </t>
  </si>
  <si>
    <t xml:space="preserve">MWTENSOACTIVO     </t>
  </si>
  <si>
    <t>13.09.2024</t>
  </si>
  <si>
    <t>F//F</t>
  </si>
  <si>
    <t xml:space="preserve">CC11190445        </t>
  </si>
  <si>
    <t xml:space="preserve">CK00000121        </t>
  </si>
  <si>
    <t xml:space="preserve">CK00000122        </t>
  </si>
  <si>
    <t xml:space="preserve">CET0711342        </t>
  </si>
  <si>
    <t xml:space="preserve">CK00000123        </t>
  </si>
  <si>
    <t xml:space="preserve">CP243432          </t>
  </si>
  <si>
    <t>12.09.2024</t>
  </si>
  <si>
    <t xml:space="preserve">CF32060185        </t>
  </si>
  <si>
    <t xml:space="preserve">FESTO SRL                          </t>
  </si>
  <si>
    <t xml:space="preserve">MARCO PERUANA SA                   </t>
  </si>
  <si>
    <t xml:space="preserve">MCULQUEC    </t>
  </si>
  <si>
    <t>11.09.2024</t>
  </si>
  <si>
    <t xml:space="preserve">VLOPEZS     </t>
  </si>
  <si>
    <t xml:space="preserve">ACOLOMAL    </t>
  </si>
  <si>
    <t xml:space="preserve">ESQUIVEL CONSULTORES SA            </t>
  </si>
  <si>
    <t xml:space="preserve">JNEGRONC    </t>
  </si>
  <si>
    <t xml:space="preserve">CISAR SAC                          </t>
  </si>
  <si>
    <t>Pl Agri. del</t>
  </si>
  <si>
    <t xml:space="preserve">SMERINOV    </t>
  </si>
  <si>
    <t xml:space="preserve">ECORTEZS    </t>
  </si>
  <si>
    <t xml:space="preserve">WATER PARTNERS SAC                 </t>
  </si>
  <si>
    <t xml:space="preserve">MWCOLUNULTRA      </t>
  </si>
  <si>
    <t>10.09.2024</t>
  </si>
  <si>
    <t xml:space="preserve">CK00000103        </t>
  </si>
  <si>
    <t xml:space="preserve">REPRESENTACIONES PERUVIAN TRADING  </t>
  </si>
  <si>
    <t xml:space="preserve">FULL MAQUINARIAS SA                </t>
  </si>
  <si>
    <t xml:space="preserve">RENSA VENTAS Y SERVICIOS SRL       </t>
  </si>
  <si>
    <t>09.09.2024</t>
  </si>
  <si>
    <t xml:space="preserve">GCUBASA     </t>
  </si>
  <si>
    <t xml:space="preserve">TGI INGENIERIA EIRL                </t>
  </si>
  <si>
    <t xml:space="preserve">CM310428          </t>
  </si>
  <si>
    <t xml:space="preserve">snizamam    </t>
  </si>
  <si>
    <t xml:space="preserve">RELIX PERU SAC                     </t>
  </si>
  <si>
    <t xml:space="preserve">JAQUIJED    </t>
  </si>
  <si>
    <t xml:space="preserve">KYAMUNAQUEJ </t>
  </si>
  <si>
    <t xml:space="preserve">SEW EURODRIVE DEL PERU SAC         </t>
  </si>
  <si>
    <t>07.09.2024</t>
  </si>
  <si>
    <t>06.09.2024</t>
  </si>
  <si>
    <t xml:space="preserve">AQA QUIMICA S.A                    </t>
  </si>
  <si>
    <t>GESTORES EN MAQUINARIA INDUSTRIAL S</t>
  </si>
  <si>
    <t>05.09.2024</t>
  </si>
  <si>
    <t xml:space="preserve">CRAMOSG     </t>
  </si>
  <si>
    <t xml:space="preserve">AGRICOLA DEL CHIRA SA              </t>
  </si>
  <si>
    <t xml:space="preserve">GPENAP      </t>
  </si>
  <si>
    <t xml:space="preserve">EHEREDIAR   </t>
  </si>
  <si>
    <t>04.09.2024</t>
  </si>
  <si>
    <t xml:space="preserve">ACEROS IMPORTADORA INDUSTRIAL EIRL </t>
  </si>
  <si>
    <t xml:space="preserve">NPJ SERVICIOS Y PROYECTOS E.I.R.L  </t>
  </si>
  <si>
    <t xml:space="preserve">CT905854          </t>
  </si>
  <si>
    <t xml:space="preserve">SUMINISTROS Y DISTRIBUIDORA ANDINA </t>
  </si>
  <si>
    <t>03.09.2024</t>
  </si>
  <si>
    <t xml:space="preserve">MAKRO SUPERMAYORISTA SA            </t>
  </si>
  <si>
    <t xml:space="preserve">PROTEX CORPORATION SAC             </t>
  </si>
  <si>
    <t xml:space="preserve">SUMINCO SA                         </t>
  </si>
  <si>
    <t xml:space="preserve">COMPRESORES DEL PERU SAC           </t>
  </si>
  <si>
    <t>02.09.2024</t>
  </si>
  <si>
    <t xml:space="preserve">NEOAGRUM SAC                       </t>
  </si>
  <si>
    <t xml:space="preserve">TECNOLOGIA QUIMICA Y COMERCIO SA   </t>
  </si>
  <si>
    <t xml:space="preserve">NAV LOGISTICA Y SERVICIOS EIRL     </t>
  </si>
  <si>
    <t xml:space="preserve">RUEDAMAX E.I.R.L                   </t>
  </si>
  <si>
    <t xml:space="preserve">CNEYRAM     </t>
  </si>
  <si>
    <t>31.08.2024</t>
  </si>
  <si>
    <t>29.08.2024</t>
  </si>
  <si>
    <t xml:space="preserve">CL514001          </t>
  </si>
  <si>
    <t xml:space="preserve">FEQUSA INGS SAC                    </t>
  </si>
  <si>
    <t>28.08.2024</t>
  </si>
  <si>
    <t xml:space="preserve">AGRO GESTION SAC                   </t>
  </si>
  <si>
    <t xml:space="preserve">INDUSTRIAS ELECTROMECANICAS        </t>
  </si>
  <si>
    <t>27.08.2024</t>
  </si>
  <si>
    <t>26.08.2024</t>
  </si>
  <si>
    <t xml:space="preserve">ANA KARINA OBALLE ELESPURU         </t>
  </si>
  <si>
    <t xml:space="preserve">CB03530           </t>
  </si>
  <si>
    <t xml:space="preserve">SOLUCIONES QUIMICAS DEL PERU SA    </t>
  </si>
  <si>
    <t xml:space="preserve">WEG PERU S.A.C.                    </t>
  </si>
  <si>
    <t xml:space="preserve">CK00000399        </t>
  </si>
  <si>
    <t>24.08.2024</t>
  </si>
  <si>
    <t>23.08.2024</t>
  </si>
  <si>
    <t xml:space="preserve">CS601222          </t>
  </si>
  <si>
    <t>22.08.2024</t>
  </si>
  <si>
    <t>21.08.2024</t>
  </si>
  <si>
    <t xml:space="preserve">VSANCHEZA   </t>
  </si>
  <si>
    <t>20.08.2024</t>
  </si>
  <si>
    <t xml:space="preserve">JROJASB     </t>
  </si>
  <si>
    <t xml:space="preserve">JQUEVEDOA   </t>
  </si>
  <si>
    <t>19.08.2024</t>
  </si>
  <si>
    <t xml:space="preserve">EUROCONSUMIBLES &amp; SERVICIOS EIRL   </t>
  </si>
  <si>
    <t>18.08.2024</t>
  </si>
  <si>
    <t>17.08.2024</t>
  </si>
  <si>
    <t>16.08.2024</t>
  </si>
  <si>
    <t>15.08.2024</t>
  </si>
  <si>
    <t>14.08.2024</t>
  </si>
  <si>
    <t>13.08.2024</t>
  </si>
  <si>
    <t>12.08.2024</t>
  </si>
  <si>
    <t>10.08.2024</t>
  </si>
  <si>
    <t>09.08.2024</t>
  </si>
  <si>
    <t xml:space="preserve">FERRETERIA BRILLANTE EIRL          </t>
  </si>
  <si>
    <t>08.08.2024</t>
  </si>
  <si>
    <t xml:space="preserve">PHERNANDEZ  </t>
  </si>
  <si>
    <t>07.08.2024</t>
  </si>
  <si>
    <t>05.08.2024</t>
  </si>
  <si>
    <t>03.08.2024</t>
  </si>
  <si>
    <t xml:space="preserve">INGENIERIA Y SOLUCIONES MECANICAS  </t>
  </si>
  <si>
    <t>02.08.2024</t>
  </si>
  <si>
    <t>01.08.2024</t>
  </si>
  <si>
    <t>31.07.2024</t>
  </si>
  <si>
    <t>30.07.2024</t>
  </si>
  <si>
    <t>27.07.2024</t>
  </si>
  <si>
    <t>26.07.2024</t>
  </si>
  <si>
    <t>22.07.2024</t>
  </si>
  <si>
    <t>20.07.2024</t>
  </si>
  <si>
    <t>19.07.2024</t>
  </si>
  <si>
    <t>18.07.2024</t>
  </si>
  <si>
    <t>17.07.2024</t>
  </si>
  <si>
    <t>16.07.2024</t>
  </si>
  <si>
    <t>15.07.2024</t>
  </si>
  <si>
    <t>12.07.2024</t>
  </si>
  <si>
    <t>11.07.2024</t>
  </si>
  <si>
    <t>08.07.2024</t>
  </si>
  <si>
    <t>06.07.2024</t>
  </si>
  <si>
    <t xml:space="preserve">CONECTA RETAIL SA                  </t>
  </si>
  <si>
    <t xml:space="preserve">PROCESS AUTOMATION SAC             </t>
  </si>
  <si>
    <t>04.07.2024</t>
  </si>
  <si>
    <t xml:space="preserve">ALMA EIRL                          </t>
  </si>
  <si>
    <t>01.07.2024</t>
  </si>
  <si>
    <t>28.06.2024</t>
  </si>
  <si>
    <t>26.06.2024</t>
  </si>
  <si>
    <t>25.06.2024</t>
  </si>
  <si>
    <t>22.06.2024</t>
  </si>
  <si>
    <t>21.06.2024</t>
  </si>
  <si>
    <t>20.06.2024</t>
  </si>
  <si>
    <t>19.06.2024</t>
  </si>
  <si>
    <t>18.06.2024</t>
  </si>
  <si>
    <t>17.06.2024</t>
  </si>
  <si>
    <t>14.06.2024</t>
  </si>
  <si>
    <t>13.06.2024</t>
  </si>
  <si>
    <t>12.06.2024</t>
  </si>
  <si>
    <t>11.06.2024</t>
  </si>
  <si>
    <t>10.06.2024</t>
  </si>
  <si>
    <t xml:space="preserve">dgameros    </t>
  </si>
  <si>
    <t xml:space="preserve">CABARRIA IQA SAS                   </t>
  </si>
  <si>
    <t>MWCOLORCARAMELOGAR</t>
  </si>
  <si>
    <t>06.06.2024</t>
  </si>
  <si>
    <t>05.06.2024</t>
  </si>
  <si>
    <t>04.06.2024</t>
  </si>
  <si>
    <t>03.06.2024</t>
  </si>
  <si>
    <t>01.06.2024</t>
  </si>
  <si>
    <t>31.05.2024</t>
  </si>
  <si>
    <t>30.05.2024</t>
  </si>
  <si>
    <t>29.05.2024</t>
  </si>
  <si>
    <t>28.05.2024</t>
  </si>
  <si>
    <t>27.05.2024</t>
  </si>
  <si>
    <t>23.05.2024</t>
  </si>
  <si>
    <t>20.05.2024</t>
  </si>
  <si>
    <t>16.05.2024</t>
  </si>
  <si>
    <t>15.05.2024</t>
  </si>
  <si>
    <t>14.05.2024</t>
  </si>
  <si>
    <t>13.05.2024</t>
  </si>
  <si>
    <t>UNIMIL INDÚSTRIA E COMÉRCIO DE PEÇA</t>
  </si>
  <si>
    <t>08.05.2024</t>
  </si>
  <si>
    <t>07.05.2024</t>
  </si>
  <si>
    <t>02.05.2024</t>
  </si>
  <si>
    <t>30.04.2024</t>
  </si>
  <si>
    <t>26.04.2024</t>
  </si>
  <si>
    <t>25.04.2024</t>
  </si>
  <si>
    <t>23.04.2024</t>
  </si>
  <si>
    <t>22.04.2024</t>
  </si>
  <si>
    <t>18.04.2024</t>
  </si>
  <si>
    <t>16.04.2024</t>
  </si>
  <si>
    <t>15.04.2024</t>
  </si>
  <si>
    <t>13.04.2024</t>
  </si>
  <si>
    <t>10.04.2024</t>
  </si>
  <si>
    <t>06.04.2024</t>
  </si>
  <si>
    <t>05.04.2024</t>
  </si>
  <si>
    <t>04.04.2024</t>
  </si>
  <si>
    <t>03.04.2024</t>
  </si>
  <si>
    <t>02.04.2024</t>
  </si>
  <si>
    <t>01.04.2024</t>
  </si>
  <si>
    <t>27.03.2024</t>
  </si>
  <si>
    <t>25.03.2024</t>
  </si>
  <si>
    <t>22.03.2024</t>
  </si>
  <si>
    <t>21.03.2024</t>
  </si>
  <si>
    <t>18.03.2024</t>
  </si>
  <si>
    <t>16.03.2024</t>
  </si>
  <si>
    <t>15.03.2024</t>
  </si>
  <si>
    <t>07.03.2024</t>
  </si>
  <si>
    <t>06.03.2024</t>
  </si>
  <si>
    <t>05.03.2024</t>
  </si>
  <si>
    <t>01.03.2024</t>
  </si>
  <si>
    <t>28.02.2024</t>
  </si>
  <si>
    <t xml:space="preserve">FERREYROS SA                       </t>
  </si>
  <si>
    <t>27.02.2024</t>
  </si>
  <si>
    <t>26.02.2024</t>
  </si>
  <si>
    <t>23.02.2024</t>
  </si>
  <si>
    <t>22.02.2024</t>
  </si>
  <si>
    <t>19.02.2024</t>
  </si>
  <si>
    <t>15.02.2024</t>
  </si>
  <si>
    <t>14.02.2024</t>
  </si>
  <si>
    <t>12.02.2024</t>
  </si>
  <si>
    <t>09.02.2024</t>
  </si>
  <si>
    <t>02.02.2024</t>
  </si>
  <si>
    <t>29.01.2024</t>
  </si>
  <si>
    <t>28.01.2024</t>
  </si>
  <si>
    <t>27.01.2024</t>
  </si>
  <si>
    <t>25.01.2024</t>
  </si>
  <si>
    <t>24.01.2024</t>
  </si>
  <si>
    <t>19.01.2024</t>
  </si>
  <si>
    <t>18.01.2024</t>
  </si>
  <si>
    <t>17.01.2024</t>
  </si>
  <si>
    <t>11.01.2024</t>
  </si>
  <si>
    <t>10.01.2024</t>
  </si>
  <si>
    <t>09.01.2024</t>
  </si>
  <si>
    <t>04.01.2024</t>
  </si>
  <si>
    <t>22.12.2023</t>
  </si>
  <si>
    <t>15.12.2023</t>
  </si>
  <si>
    <t>14.12.2023</t>
  </si>
  <si>
    <t>13.12.2023</t>
  </si>
  <si>
    <t>11.12.2023</t>
  </si>
  <si>
    <t>07.12.2023</t>
  </si>
  <si>
    <t>02.12.2023</t>
  </si>
  <si>
    <t>01.12.2023</t>
  </si>
  <si>
    <t>24.11.2023</t>
  </si>
  <si>
    <t>22.11.2023</t>
  </si>
  <si>
    <t>18.11.2023</t>
  </si>
  <si>
    <t>09.11.2023</t>
  </si>
  <si>
    <t>03.11.2023</t>
  </si>
  <si>
    <t>31.10.2023</t>
  </si>
  <si>
    <t>27.10.2023</t>
  </si>
  <si>
    <t>25.10.2023</t>
  </si>
  <si>
    <t>19.10.2023</t>
  </si>
  <si>
    <t>18.10.2023</t>
  </si>
  <si>
    <t>12.10.2023</t>
  </si>
  <si>
    <t>04.10.2023</t>
  </si>
  <si>
    <t>03.10.2023</t>
  </si>
  <si>
    <t>02.10.2023</t>
  </si>
  <si>
    <t>27.09.2023</t>
  </si>
  <si>
    <t>21.09.2023</t>
  </si>
  <si>
    <t>20.09.2023</t>
  </si>
  <si>
    <t>19.09.2023</t>
  </si>
  <si>
    <t>15.09.2023</t>
  </si>
  <si>
    <t>13.09.2023</t>
  </si>
  <si>
    <t>07.09.2023</t>
  </si>
  <si>
    <t>06.09.2023</t>
  </si>
  <si>
    <t>29.08.2023</t>
  </si>
  <si>
    <t>24.08.2023</t>
  </si>
  <si>
    <t>15.08.2023</t>
  </si>
  <si>
    <t>10.08.2023</t>
  </si>
  <si>
    <t>09.08.2023</t>
  </si>
  <si>
    <t>03.08.2023</t>
  </si>
  <si>
    <t>31.07.2023</t>
  </si>
  <si>
    <t>25.07.2023</t>
  </si>
  <si>
    <t>21.07.2023</t>
  </si>
  <si>
    <t>18.07.2023</t>
  </si>
  <si>
    <t>05.07.2023</t>
  </si>
  <si>
    <t>28.06.2023</t>
  </si>
  <si>
    <t>10.06.2023</t>
  </si>
  <si>
    <t>06.06.2023</t>
  </si>
  <si>
    <t>05.06.2023</t>
  </si>
  <si>
    <t>03.06.2023</t>
  </si>
  <si>
    <t>28.04.2023</t>
  </si>
  <si>
    <t>27.04.2023</t>
  </si>
  <si>
    <t>26.04.2023</t>
  </si>
  <si>
    <t>05.04.2023</t>
  </si>
  <si>
    <t>30.03.2023</t>
  </si>
  <si>
    <t>29.03.2023</t>
  </si>
  <si>
    <t>28.03.2023</t>
  </si>
  <si>
    <t>27.03.2023</t>
  </si>
  <si>
    <t>14.03.2023</t>
  </si>
  <si>
    <t>20.02.2023</t>
  </si>
  <si>
    <t>11.02.2023</t>
  </si>
  <si>
    <t>07.02.2023</t>
  </si>
  <si>
    <t>01.02.2023</t>
  </si>
  <si>
    <t>27.01.2023</t>
  </si>
  <si>
    <t>24.01.2023</t>
  </si>
  <si>
    <t>19.01.2023</t>
  </si>
  <si>
    <t>17.01.2023</t>
  </si>
  <si>
    <t>05.01.2023</t>
  </si>
  <si>
    <t>30.12.2022</t>
  </si>
  <si>
    <t>22.12.2022</t>
  </si>
  <si>
    <t>12.12.2022</t>
  </si>
  <si>
    <t>30.11.2022</t>
  </si>
  <si>
    <t>29.11.2022</t>
  </si>
  <si>
    <t>17.11.2022</t>
  </si>
  <si>
    <t>09.11.2022</t>
  </si>
  <si>
    <t>02.11.2022</t>
  </si>
  <si>
    <t>21.10.2022</t>
  </si>
  <si>
    <t>19.10.2022</t>
  </si>
  <si>
    <t>27.09.2022</t>
  </si>
  <si>
    <t>21.09.2022</t>
  </si>
  <si>
    <t>15.09.2022</t>
  </si>
  <si>
    <t>14.09.2022</t>
  </si>
  <si>
    <t>13.09.2022</t>
  </si>
  <si>
    <t>01.09.2022</t>
  </si>
  <si>
    <t>31.08.2022</t>
  </si>
  <si>
    <t>22.08.2022</t>
  </si>
  <si>
    <t>12.08.2022</t>
  </si>
  <si>
    <t>09.08.2022</t>
  </si>
  <si>
    <t>08.08.2022</t>
  </si>
  <si>
    <t>05.08.2022</t>
  </si>
  <si>
    <t>02.08.2022</t>
  </si>
  <si>
    <t>01.08.2022</t>
  </si>
  <si>
    <t>19.07.2022</t>
  </si>
  <si>
    <t>15.07.2022</t>
  </si>
  <si>
    <t>14.07.2022</t>
  </si>
  <si>
    <t>07.07.2022</t>
  </si>
  <si>
    <t>06.07.2022</t>
  </si>
  <si>
    <t>04.07.2022</t>
  </si>
  <si>
    <t>24.06.2022</t>
  </si>
  <si>
    <t>22.06.2022</t>
  </si>
  <si>
    <t>09.06.2022</t>
  </si>
  <si>
    <t>07.06.2022</t>
  </si>
  <si>
    <t>01.06.2022</t>
  </si>
  <si>
    <t>24.05.2022</t>
  </si>
  <si>
    <t>18.05.2022</t>
  </si>
  <si>
    <t>10.05.2022</t>
  </si>
  <si>
    <t>03.05.2022</t>
  </si>
  <si>
    <t>29.04.2022</t>
  </si>
  <si>
    <t>27.04.2022</t>
  </si>
  <si>
    <t>26.04.2022</t>
  </si>
  <si>
    <t>22.04.2022</t>
  </si>
  <si>
    <t>19.04.2022</t>
  </si>
  <si>
    <t>31.03.2022</t>
  </si>
  <si>
    <t>22.03.2022</t>
  </si>
  <si>
    <t>17.03.2022</t>
  </si>
  <si>
    <t>11.03.2022</t>
  </si>
  <si>
    <t>10.03.2022</t>
  </si>
  <si>
    <t>09.03.2022</t>
  </si>
  <si>
    <t>07.03.2022</t>
  </si>
  <si>
    <t>23.02.2022</t>
  </si>
  <si>
    <t>22.02.2022</t>
  </si>
  <si>
    <t>14.02.2022</t>
  </si>
  <si>
    <t>08.02.2022</t>
  </si>
  <si>
    <t>05.02.2022</t>
  </si>
  <si>
    <t>04.02.2022</t>
  </si>
  <si>
    <t>26.01.2022</t>
  </si>
  <si>
    <t>25.01.2022</t>
  </si>
  <si>
    <t>20.01.2022</t>
  </si>
  <si>
    <t>13.01.2022</t>
  </si>
  <si>
    <t>11.01.2022</t>
  </si>
  <si>
    <t>07.01.2022</t>
  </si>
  <si>
    <t>16.12.2021</t>
  </si>
  <si>
    <t>15.12.2021</t>
  </si>
  <si>
    <t>14.12.2021</t>
  </si>
  <si>
    <t>13.12.2021</t>
  </si>
  <si>
    <t>07.12.2021</t>
  </si>
  <si>
    <t>03.12.2021</t>
  </si>
  <si>
    <t>30.11.2021</t>
  </si>
  <si>
    <t>29.11.2021</t>
  </si>
  <si>
    <t>24.11.2021</t>
  </si>
  <si>
    <t>17.11.2021</t>
  </si>
  <si>
    <t>12.11.2021</t>
  </si>
  <si>
    <t>10.11.2021</t>
  </si>
  <si>
    <t>05.11.2021</t>
  </si>
  <si>
    <t>01.11.2021</t>
  </si>
  <si>
    <t>12.10.2021</t>
  </si>
  <si>
    <t>17.09.2021</t>
  </si>
  <si>
    <t>11.09.2021</t>
  </si>
  <si>
    <t>27.08.2021</t>
  </si>
  <si>
    <t>23.08.2021</t>
  </si>
  <si>
    <t>21.08.2021</t>
  </si>
  <si>
    <t>20.08.2021</t>
  </si>
  <si>
    <t>18.08.2021</t>
  </si>
  <si>
    <t>03.08.2021</t>
  </si>
  <si>
    <t>02.08.2021</t>
  </si>
  <si>
    <t>30.07.2021</t>
  </si>
  <si>
    <t>23.07.2021</t>
  </si>
  <si>
    <t>02.07.2021</t>
  </si>
  <si>
    <t>30.06.2021</t>
  </si>
  <si>
    <t>11.06.2021</t>
  </si>
  <si>
    <t>09.06.2021</t>
  </si>
  <si>
    <t>03.06.2021</t>
  </si>
  <si>
    <t>02.06.2021</t>
  </si>
  <si>
    <t>27.05.2021</t>
  </si>
  <si>
    <t>21.05.2021</t>
  </si>
  <si>
    <t>20.05.2021</t>
  </si>
  <si>
    <t>15.05.2021</t>
  </si>
  <si>
    <t>11.05.2021</t>
  </si>
  <si>
    <t>07.05.2021</t>
  </si>
  <si>
    <t>06.05.2021</t>
  </si>
  <si>
    <t>05.05.2021</t>
  </si>
  <si>
    <t>26.04.2021</t>
  </si>
  <si>
    <t>15.04.2021</t>
  </si>
  <si>
    <t>03.04.2021</t>
  </si>
  <si>
    <t>30.03.2021</t>
  </si>
  <si>
    <t>27.03.2021</t>
  </si>
  <si>
    <t>26.03.2021</t>
  </si>
  <si>
    <t>25.03.2021</t>
  </si>
  <si>
    <t>19.03.2021</t>
  </si>
  <si>
    <t>10.03.2021</t>
  </si>
  <si>
    <t>09.03.2021</t>
  </si>
  <si>
    <t>05.03.2021</t>
  </si>
  <si>
    <t>04.03.2021</t>
  </si>
  <si>
    <t>24.02.2021</t>
  </si>
  <si>
    <t>17.02.2021</t>
  </si>
  <si>
    <t>13.02.2021</t>
  </si>
  <si>
    <t>12.02.2021</t>
  </si>
  <si>
    <t>09.02.2021</t>
  </si>
  <si>
    <t>03.02.2021</t>
  </si>
  <si>
    <t>27.01.2021</t>
  </si>
  <si>
    <t>20.01.2021</t>
  </si>
  <si>
    <t>16.01.2021</t>
  </si>
  <si>
    <t>15.01.2021</t>
  </si>
  <si>
    <t>13.01.2021</t>
  </si>
  <si>
    <t>12.01.2021</t>
  </si>
  <si>
    <t>06.01.2021</t>
  </si>
  <si>
    <t>21.12.2020</t>
  </si>
  <si>
    <t>15.12.2020</t>
  </si>
  <si>
    <t>10.12.2020</t>
  </si>
  <si>
    <t>09.12.2020</t>
  </si>
  <si>
    <t>28.11.2020</t>
  </si>
  <si>
    <t>25.11.2020</t>
  </si>
  <si>
    <t>24.11.2020</t>
  </si>
  <si>
    <t>21.11.2020</t>
  </si>
  <si>
    <t>18.11.2020</t>
  </si>
  <si>
    <t>04.11.2020</t>
  </si>
  <si>
    <t>03.11.2020</t>
  </si>
  <si>
    <t>28.10.2020</t>
  </si>
  <si>
    <t>20.10.2020</t>
  </si>
  <si>
    <t>19.10.2020</t>
  </si>
  <si>
    <t>15.10.2020</t>
  </si>
  <si>
    <t>14.10.2020</t>
  </si>
  <si>
    <t>08.10.2020</t>
  </si>
  <si>
    <t>07.10.2020</t>
  </si>
  <si>
    <t>25.09.2020</t>
  </si>
  <si>
    <t>24.09.2020</t>
  </si>
  <si>
    <t>23.09.2020</t>
  </si>
  <si>
    <t>18.09.2020</t>
  </si>
  <si>
    <t>10.09.2020</t>
  </si>
  <si>
    <t>03.09.2020</t>
  </si>
  <si>
    <t>01.09.2020</t>
  </si>
  <si>
    <t>28.08.2020</t>
  </si>
  <si>
    <t>27.08.2020</t>
  </si>
  <si>
    <t>26.08.2020</t>
  </si>
  <si>
    <t>12.08.2020</t>
  </si>
  <si>
    <t>11.08.2020</t>
  </si>
  <si>
    <t>08.08.2020</t>
  </si>
  <si>
    <t>07.08.2020</t>
  </si>
  <si>
    <t>06.08.2020</t>
  </si>
  <si>
    <t>04.08.2020</t>
  </si>
  <si>
    <t>30.07.2020</t>
  </si>
  <si>
    <t>25.07.2020</t>
  </si>
  <si>
    <t>23.07.2020</t>
  </si>
  <si>
    <t>18.07.2020</t>
  </si>
  <si>
    <t>15.07.2020</t>
  </si>
  <si>
    <t>13.07.2020</t>
  </si>
  <si>
    <t>09.07.2020</t>
  </si>
  <si>
    <t>03.07.2020</t>
  </si>
  <si>
    <t>25.06.2020</t>
  </si>
  <si>
    <t>19.06.2020</t>
  </si>
  <si>
    <t>17.06.2020</t>
  </si>
  <si>
    <t>11.06.2020</t>
  </si>
  <si>
    <t>07.06.2020</t>
  </si>
  <si>
    <t>04.06.2020</t>
  </si>
  <si>
    <t>27.05.2020</t>
  </si>
  <si>
    <t>15.05.2020</t>
  </si>
  <si>
    <t>13.05.2020</t>
  </si>
  <si>
    <t>17.03.2020</t>
  </si>
  <si>
    <t>11.03.2020</t>
  </si>
  <si>
    <t>28.02.2020</t>
  </si>
  <si>
    <t>18.02.2020</t>
  </si>
  <si>
    <t>12.02.2020</t>
  </si>
  <si>
    <t>11.02.2020</t>
  </si>
  <si>
    <t>07.02.2020</t>
  </si>
  <si>
    <t>06.02.2020</t>
  </si>
  <si>
    <t>30.01.2020</t>
  </si>
  <si>
    <t>21.01.2020</t>
  </si>
  <si>
    <t>23.12.2019</t>
  </si>
  <si>
    <t>16.12.2019</t>
  </si>
  <si>
    <t>26.11.2019</t>
  </si>
  <si>
    <t>15.11.2019</t>
  </si>
  <si>
    <t>06.11.2019</t>
  </si>
  <si>
    <t>16.10.2019</t>
  </si>
  <si>
    <t>11.10.2019</t>
  </si>
  <si>
    <t>09.10.2019</t>
  </si>
  <si>
    <t>03.10.2019</t>
  </si>
  <si>
    <t>25.09.2019</t>
  </si>
  <si>
    <t>17.09.2019</t>
  </si>
  <si>
    <t>07.09.2019</t>
  </si>
  <si>
    <t>05.09.2019</t>
  </si>
  <si>
    <t>04.09.2019</t>
  </si>
  <si>
    <t>26.08.2019</t>
  </si>
  <si>
    <t>24.08.2019</t>
  </si>
  <si>
    <t>13.08.2019</t>
  </si>
  <si>
    <t>16.07.2019</t>
  </si>
  <si>
    <t>03.07.2019</t>
  </si>
  <si>
    <t>27.06.2019</t>
  </si>
  <si>
    <t>22.06.2019</t>
  </si>
  <si>
    <t>21.06.2019</t>
  </si>
  <si>
    <t>10.06.2019</t>
  </si>
  <si>
    <t>04.06.2019</t>
  </si>
  <si>
    <t>21.05.2019</t>
  </si>
  <si>
    <t>30.04.2019</t>
  </si>
  <si>
    <t>26.04.2019</t>
  </si>
  <si>
    <t>22.04.2019</t>
  </si>
  <si>
    <t>20.04.2019</t>
  </si>
  <si>
    <t>18.04.2019</t>
  </si>
  <si>
    <t>12.04.2019</t>
  </si>
  <si>
    <t>06.04.2019</t>
  </si>
  <si>
    <t>27.03.2019</t>
  </si>
  <si>
    <t>25.03.2019</t>
  </si>
  <si>
    <t>22.03.2019</t>
  </si>
  <si>
    <t>21.03.2019</t>
  </si>
  <si>
    <t>12.03.2019</t>
  </si>
  <si>
    <t>07.03.2019</t>
  </si>
  <si>
    <t>04.03.2019</t>
  </si>
  <si>
    <t>27.02.2019</t>
  </si>
  <si>
    <t>18.02.2019</t>
  </si>
  <si>
    <t>02.02.2019</t>
  </si>
  <si>
    <t>24.01.2019</t>
  </si>
  <si>
    <t>07.01.2019</t>
  </si>
  <si>
    <t>20.12.2018</t>
  </si>
  <si>
    <t>19.12.2018</t>
  </si>
  <si>
    <t>17.12.2018</t>
  </si>
  <si>
    <t>20.11.2018</t>
  </si>
  <si>
    <t>13.11.2018</t>
  </si>
  <si>
    <t>09.11.2018</t>
  </si>
  <si>
    <t>07.11.2018</t>
  </si>
  <si>
    <t>02.11.2018</t>
  </si>
  <si>
    <t>19.10.2018</t>
  </si>
  <si>
    <t>06.10.2018</t>
  </si>
  <si>
    <t>02.10.2018</t>
  </si>
  <si>
    <t>20.09.2018</t>
  </si>
  <si>
    <t>19.09.2018</t>
  </si>
  <si>
    <t>12.09.2018</t>
  </si>
  <si>
    <t>11.09.2018</t>
  </si>
  <si>
    <t>01.09.2018</t>
  </si>
  <si>
    <t>25.08.2018</t>
  </si>
  <si>
    <t>21.08.2018</t>
  </si>
  <si>
    <t>16.08.2018</t>
  </si>
  <si>
    <t>13.08.2018</t>
  </si>
  <si>
    <t>08.08.2018</t>
  </si>
  <si>
    <t>24.07.2018</t>
  </si>
  <si>
    <t>18.07.2018</t>
  </si>
  <si>
    <t>02.07.2018</t>
  </si>
  <si>
    <t>28.06.2018</t>
  </si>
  <si>
    <t>27.06.2018</t>
  </si>
  <si>
    <t>22.06.2018</t>
  </si>
  <si>
    <t>20.06.2018</t>
  </si>
  <si>
    <t>28.05.2018</t>
  </si>
  <si>
    <t>22.05.2018</t>
  </si>
  <si>
    <t>23.04.2018</t>
  </si>
  <si>
    <t>11.04.2018</t>
  </si>
  <si>
    <t>28.03.2018</t>
  </si>
  <si>
    <t>26.03.2018</t>
  </si>
  <si>
    <t>22.03.2018</t>
  </si>
  <si>
    <t>19.03.2018</t>
  </si>
  <si>
    <t>15.03.2018</t>
  </si>
  <si>
    <t>05.03.2018</t>
  </si>
  <si>
    <t>03.03.2018</t>
  </si>
  <si>
    <t>28.02.2018</t>
  </si>
  <si>
    <t>21.02.2018</t>
  </si>
  <si>
    <t>19.02.2018</t>
  </si>
  <si>
    <t>17.02.2018</t>
  </si>
  <si>
    <t>SOCIEDADES</t>
  </si>
  <si>
    <t>Doc.compr.</t>
  </si>
  <si>
    <t>Usuario Comprador</t>
  </si>
  <si>
    <t>ABARONR</t>
  </si>
  <si>
    <t>JCHEROPA</t>
  </si>
  <si>
    <t>ABURNEOL</t>
  </si>
  <si>
    <t>id</t>
  </si>
  <si>
    <t>Ce.</t>
  </si>
  <si>
    <t>Alm.</t>
  </si>
  <si>
    <t>Denom-almacén</t>
  </si>
  <si>
    <t>id2</t>
  </si>
  <si>
    <t>centro</t>
  </si>
  <si>
    <t>descrip</t>
  </si>
  <si>
    <t>La Huaca</t>
  </si>
  <si>
    <t>San Vicente</t>
  </si>
  <si>
    <t>Biosalc Montelim</t>
  </si>
  <si>
    <t>Biosalc La Huaca</t>
  </si>
  <si>
    <t>Biosalc Sn Vicen</t>
  </si>
  <si>
    <t>Almacen Lobo</t>
  </si>
  <si>
    <t>Grif Mov Fren 1</t>
  </si>
  <si>
    <t>Parada Fábrica</t>
  </si>
  <si>
    <t>Alm. Mtto. Prev.</t>
  </si>
  <si>
    <t>Ferti. Montelima</t>
  </si>
  <si>
    <t>Ferti. R4</t>
  </si>
  <si>
    <t>Ferti. R5</t>
  </si>
  <si>
    <t>Ferti. Hualtaco</t>
  </si>
  <si>
    <t>Alm frente 01</t>
  </si>
  <si>
    <t>Alm frente 02</t>
  </si>
  <si>
    <t>Alm. San Jose</t>
  </si>
  <si>
    <t>Ferti. Huaca</t>
  </si>
  <si>
    <t>Ferti. Lobo</t>
  </si>
  <si>
    <t>Ferti. SVicent01</t>
  </si>
  <si>
    <t>Ferti. SVicent02</t>
  </si>
  <si>
    <t>Ferti. SVicent03</t>
  </si>
  <si>
    <t>FERTI LOBO 2</t>
  </si>
  <si>
    <t>FERTI LOBO 3</t>
  </si>
  <si>
    <t>Grif Mov Fren 2</t>
  </si>
  <si>
    <t>Azucar</t>
  </si>
  <si>
    <t>Puerto Salaverry</t>
  </si>
  <si>
    <t>Insumos venc. ML</t>
  </si>
  <si>
    <t>Almacén maquila</t>
  </si>
  <si>
    <t>Insumos venc. LB</t>
  </si>
  <si>
    <t>Insumos venc. SV</t>
  </si>
  <si>
    <t>Venta ML</t>
  </si>
  <si>
    <t>Venta LB</t>
  </si>
  <si>
    <t>Venta SV</t>
  </si>
  <si>
    <t>Almacén Lima</t>
  </si>
  <si>
    <t>Oficinas Piura</t>
  </si>
  <si>
    <t>Producto Observ</t>
  </si>
  <si>
    <t>Maquilador 2</t>
  </si>
  <si>
    <t>Alm Insumos</t>
  </si>
  <si>
    <t>Alm. Huaca</t>
  </si>
  <si>
    <t>Parada fábrica</t>
  </si>
  <si>
    <t>Disp. Venta ML</t>
  </si>
  <si>
    <t>Alm PT Montelima</t>
  </si>
  <si>
    <t>TK 1304</t>
  </si>
  <si>
    <t>TK 1305</t>
  </si>
  <si>
    <t>TK 1309</t>
  </si>
  <si>
    <t>Almacén TK 1306</t>
  </si>
  <si>
    <t>Alcohol 75%</t>
  </si>
  <si>
    <t>Almacén PT</t>
  </si>
  <si>
    <t>Alm prod propios</t>
  </si>
  <si>
    <t>Producto Observ.</t>
  </si>
  <si>
    <t>02.12.2024</t>
  </si>
  <si>
    <t>CINTA VULCANIZANTE 3M 19x0.76MM x 9.15mt</t>
  </si>
  <si>
    <t xml:space="preserve">MNAVARROM  </t>
  </si>
  <si>
    <t xml:space="preserve">ECORTEZS   </t>
  </si>
  <si>
    <t xml:space="preserve">LS191118 PRISIONERO NC 3/8 X 5/8        </t>
  </si>
  <si>
    <t xml:space="preserve">LHERRERAM  </t>
  </si>
  <si>
    <t xml:space="preserve">AQUAZIX E52 [PEROX D/HID]CILx200KG      </t>
  </si>
  <si>
    <t xml:space="preserve">Loctite 495 Adhesivo Instantaneo        </t>
  </si>
  <si>
    <t xml:space="preserve">CINTA CAMBRIDG DE 3/4"                  </t>
  </si>
  <si>
    <t>03.12.2024</t>
  </si>
  <si>
    <t>CJA</t>
  </si>
  <si>
    <t xml:space="preserve">ARROZ SUPERIOR COSTEÑO 750 GR           </t>
  </si>
  <si>
    <t>04.12.2024</t>
  </si>
  <si>
    <t xml:space="preserve">RODAMIENTO 7320 BECBM                   </t>
  </si>
  <si>
    <t xml:space="preserve">BOCINA EJE  1.15/16" X 2.3/8" X 145 MM  </t>
  </si>
  <si>
    <t xml:space="preserve">RODAMIENTO UN 2228 ECML                 </t>
  </si>
  <si>
    <t>05.12.2024</t>
  </si>
  <si>
    <t>ETIQUETA POLIESTER (4.00" x 4.00") 1COL,</t>
  </si>
  <si>
    <t>ETIQUETA POLIESTER (2.00" x 2.00") 2COL,</t>
  </si>
  <si>
    <t xml:space="preserve">RIBBON DE RESINA 110X300MTRS            </t>
  </si>
  <si>
    <t>06.12.2024</t>
  </si>
  <si>
    <t xml:space="preserve">Empaq. Teflonada 1/2"                   </t>
  </si>
  <si>
    <t xml:space="preserve">SELLO MEC 21 de 1.1/8 BF501C1           </t>
  </si>
  <si>
    <t>MANGUE 16MM DRIPNET 16150,1.6L/H0.62M AS</t>
  </si>
  <si>
    <t>AMINOFUL[ACIDO FULVICO/MAT ORGANI]GRANEL</t>
  </si>
  <si>
    <t>09.12.2024</t>
  </si>
  <si>
    <t>10.12.2024</t>
  </si>
  <si>
    <t>FCO</t>
  </si>
  <si>
    <t>BOCINA EJE PREN 1. 7/16-140mm-HC1E250045</t>
  </si>
  <si>
    <t xml:space="preserve">ACEITE DE MOTOR 10W40                   </t>
  </si>
  <si>
    <t xml:space="preserve">PERNO HEX. INOX. 316 M12X40M PASO 1.75  </t>
  </si>
  <si>
    <t xml:space="preserve">IMPRESORA ZEBRA ZD230 C/LICENCIA        </t>
  </si>
  <si>
    <t>BOCINA EJE PREN 1.11/16X145/B HC1D520045</t>
  </si>
  <si>
    <t>11.12.2024</t>
  </si>
  <si>
    <t xml:space="preserve">FILTER COVER 25010402                   </t>
  </si>
  <si>
    <t>PQT</t>
  </si>
  <si>
    <t xml:space="preserve">MICA PORTAPAPEL A4                      </t>
  </si>
  <si>
    <t>12.12.2024</t>
  </si>
  <si>
    <t xml:space="preserve">GALLETA SURTIDA CJA x 36 PQT            </t>
  </si>
  <si>
    <t xml:space="preserve">AVENA STA CATALINA x 100 GR             </t>
  </si>
  <si>
    <t xml:space="preserve">ACEITE VEG. PRIMOR 900 ML               </t>
  </si>
  <si>
    <t xml:space="preserve">MERMELADA DE FRESA DOYPACK 227GR FANNY  </t>
  </si>
  <si>
    <t xml:space="preserve">CARAMELO BON AMI BISABOR 18x100x4.3GR   </t>
  </si>
  <si>
    <t xml:space="preserve">ARVEJA VRD PART HOJAx500 GR             </t>
  </si>
  <si>
    <t xml:space="preserve">LENTEJA BEBEx500 GR                     </t>
  </si>
  <si>
    <t xml:space="preserve">FID.NICOLINI SPAGHETTI 450 GR           </t>
  </si>
  <si>
    <t xml:space="preserve">FID.NICOLINI TORNILLO 250GR             </t>
  </si>
  <si>
    <t xml:space="preserve">IDEAL AMANECER MEZCLA LACTEA LT395GR    </t>
  </si>
  <si>
    <t xml:space="preserve">FILETE ATUN PRIMOR 170GR                </t>
  </si>
  <si>
    <t xml:space="preserve">ESPUMANTE SANTIAGO QUEIROLO 750ML       </t>
  </si>
  <si>
    <t xml:space="preserve">PAQUETE DE GALLETA CASINO               </t>
  </si>
  <si>
    <t xml:space="preserve">GELATINA UNIVERSAL 130 GR               </t>
  </si>
  <si>
    <t xml:space="preserve">FLAN VAINILLA UNIVERSAL 100 GR          </t>
  </si>
  <si>
    <t>TABLETA CHOCOLATE P/TAZA CUSO REAL 90 GR</t>
  </si>
  <si>
    <t>13.12.2024</t>
  </si>
  <si>
    <t xml:space="preserve">Cortina para ducha                      </t>
  </si>
  <si>
    <t xml:space="preserve">ALGODON HIDROFILO X 25 GR               </t>
  </si>
  <si>
    <t xml:space="preserve">GR </t>
  </si>
  <si>
    <t xml:space="preserve">VASO DESCARTABLE 4 ONZAS                </t>
  </si>
  <si>
    <t xml:space="preserve">PRISIONERO NC 5/16 X  5/8 LS190894      </t>
  </si>
  <si>
    <t xml:space="preserve">PERNO SOCKET NC 1/4 X 2.1/2 LS191161    </t>
  </si>
  <si>
    <t>PINTURA ESMALTE SECADO RAPIDO AZUL HIDRO</t>
  </si>
  <si>
    <t xml:space="preserve">LIJA PARA FIERRO N° 40                  </t>
  </si>
  <si>
    <t xml:space="preserve">DISCO DE CORTE 7" X 1MM                 </t>
  </si>
  <si>
    <t xml:space="preserve">DILUYENTE JETECOPOL                     </t>
  </si>
  <si>
    <t xml:space="preserve">ABRAZADERA 1/2" INOX 316                </t>
  </si>
  <si>
    <t xml:space="preserve">NIPLE ESCAMADO MACHO NPT 1/2" INOX 316  </t>
  </si>
  <si>
    <t xml:space="preserve">PERNO INOX 1/2 X 2                      </t>
  </si>
  <si>
    <t xml:space="preserve">PERNO INOX 1/2" X 1 1/4" COMPLETO       </t>
  </si>
  <si>
    <t xml:space="preserve">PERNO HEX.INOX CALIDAD 316 3/4 X 4"     </t>
  </si>
  <si>
    <t>14.01.2025</t>
  </si>
  <si>
    <t xml:space="preserve">FILTRO D/PETROLEO LOMBARDINI 9LD625/2   </t>
  </si>
  <si>
    <t xml:space="preserve">EG07-00000207   </t>
  </si>
  <si>
    <t xml:space="preserve">UREA AGRICOLA                           </t>
  </si>
  <si>
    <t>13.01.2025</t>
  </si>
  <si>
    <t xml:space="preserve">TI80-00005273   </t>
  </si>
  <si>
    <t xml:space="preserve">ESPARRAGO INOX 5/8"X1M                  </t>
  </si>
  <si>
    <t xml:space="preserve">T001-00001346   </t>
  </si>
  <si>
    <t xml:space="preserve">TUERCA HEX. INOX. 5/8                   </t>
  </si>
  <si>
    <t xml:space="preserve">T001-00001339   </t>
  </si>
  <si>
    <t xml:space="preserve">ANILLO PRESION INOX. 5/8                </t>
  </si>
  <si>
    <t xml:space="preserve">ESPARRAGO M16 X 1MT ACERO INOX          </t>
  </si>
  <si>
    <t xml:space="preserve">TUERCA HEXAGONAL M-16 INOXIDABLE        </t>
  </si>
  <si>
    <t xml:space="preserve">ANILLO PRESION M-16 INOX                </t>
  </si>
  <si>
    <t xml:space="preserve">ANILLO PLANO ACERO INOX. M16 NC         </t>
  </si>
  <si>
    <t xml:space="preserve">ANILLO PLANO 5/8" INOX C316             </t>
  </si>
  <si>
    <t xml:space="preserve">EG07-00001147   </t>
  </si>
  <si>
    <t xml:space="preserve">MWAGR000072       </t>
  </si>
  <si>
    <t xml:space="preserve">BIOECOL [AMIN FORTE 80] BLS 20KG        </t>
  </si>
  <si>
    <t xml:space="preserve">T005-3627       </t>
  </si>
  <si>
    <t xml:space="preserve">MWAGR00042        </t>
  </si>
  <si>
    <t>BIOPLUS QUITOSANO 5%+AMINOACIDOS BIDx20L</t>
  </si>
  <si>
    <t xml:space="preserve">T021-0001192    </t>
  </si>
  <si>
    <t>11.01.2025</t>
  </si>
  <si>
    <t xml:space="preserve">SULFATO D/COBRE PENTA 25% SCOx25KG      </t>
  </si>
  <si>
    <t xml:space="preserve">EG07-00002917   </t>
  </si>
  <si>
    <t xml:space="preserve">CUCHILLA CUTTER                         </t>
  </si>
  <si>
    <t>10.01.2025</t>
  </si>
  <si>
    <t xml:space="preserve">T002-00001814   </t>
  </si>
  <si>
    <t xml:space="preserve">T002-00001812   </t>
  </si>
  <si>
    <t xml:space="preserve">CINTILLOS DE 4.8x300 MM BOLSA x 100 UND </t>
  </si>
  <si>
    <t xml:space="preserve">LOCTITE-609                             </t>
  </si>
  <si>
    <t xml:space="preserve">T014-0005322    </t>
  </si>
  <si>
    <t xml:space="preserve">SIKAFLEX GRIS SALCHICHA  DE 600 ML      </t>
  </si>
  <si>
    <t xml:space="preserve">EG07-00000865   </t>
  </si>
  <si>
    <t xml:space="preserve">CB230B1401988     </t>
  </si>
  <si>
    <t xml:space="preserve">CB230B1402047     </t>
  </si>
  <si>
    <t xml:space="preserve">CB230BCC00208     </t>
  </si>
  <si>
    <t xml:space="preserve">CB230BCC00317     </t>
  </si>
  <si>
    <t xml:space="preserve">CC11011935        </t>
  </si>
  <si>
    <t xml:space="preserve">ALAMBRE Nº 8 PARA CONSTRUCCION          </t>
  </si>
  <si>
    <t xml:space="preserve">CM310273          </t>
  </si>
  <si>
    <t xml:space="preserve">CM501503          </t>
  </si>
  <si>
    <t xml:space="preserve">CS20010102        </t>
  </si>
  <si>
    <t xml:space="preserve">EG07-00000194   </t>
  </si>
  <si>
    <t xml:space="preserve">EG07-00000195   </t>
  </si>
  <si>
    <t>09.01.2025</t>
  </si>
  <si>
    <t xml:space="preserve">ARO SELLO 274A-253.59 X 3.53  LS040792  </t>
  </si>
  <si>
    <t xml:space="preserve">EG07-00000295   </t>
  </si>
  <si>
    <t xml:space="preserve">ARO SELLO 300 X 5 - (LS040597)          </t>
  </si>
  <si>
    <t xml:space="preserve">EG07-00000289   </t>
  </si>
  <si>
    <t>08.01.2025</t>
  </si>
  <si>
    <t xml:space="preserve">ACEITE HIDRAULICO SAE 68                </t>
  </si>
  <si>
    <t xml:space="preserve">TT01-00000405   </t>
  </si>
  <si>
    <t xml:space="preserve">TT01-00000404   </t>
  </si>
  <si>
    <t xml:space="preserve">EG07-00001139   </t>
  </si>
  <si>
    <t xml:space="preserve">CB230B3140111     </t>
  </si>
  <si>
    <t xml:space="preserve">CC11333200        </t>
  </si>
  <si>
    <t>07.01.2025</t>
  </si>
  <si>
    <t xml:space="preserve">TABLERO VARIADOR FRECUENCIA 150HP 440V  </t>
  </si>
  <si>
    <t xml:space="preserve">0001-004991     </t>
  </si>
  <si>
    <t xml:space="preserve">CC11233132        </t>
  </si>
  <si>
    <t>06.01.2025</t>
  </si>
  <si>
    <t xml:space="preserve">Empaq. Teflonada 3/8"                   </t>
  </si>
  <si>
    <t xml:space="preserve">T001-7534       </t>
  </si>
  <si>
    <t>KIT OTRAETAPA 4025877  BOMBA MULTI V 206</t>
  </si>
  <si>
    <t xml:space="preserve">T102-5833       </t>
  </si>
  <si>
    <t xml:space="preserve">ELASTOMERO JOINT FLEX OMEGA 10          </t>
  </si>
  <si>
    <t xml:space="preserve">T001-0000969    </t>
  </si>
  <si>
    <t xml:space="preserve">EG07-00002678   </t>
  </si>
  <si>
    <t xml:space="preserve">ANILLO DE TOLERANCIA 7228 (SSB-0984)    </t>
  </si>
  <si>
    <t xml:space="preserve">T102-5840       </t>
  </si>
  <si>
    <t xml:space="preserve">KIT DE SELLO MECANICO - CD2250          </t>
  </si>
  <si>
    <t xml:space="preserve">T001-2127       </t>
  </si>
  <si>
    <t xml:space="preserve">ACIDO MURIATICO ENVASE DE 980 ML        </t>
  </si>
  <si>
    <t xml:space="preserve">T001-00010153   </t>
  </si>
  <si>
    <t xml:space="preserve">PAPEL TOALLA JUMBO SUMAC 1UND X 130MT   </t>
  </si>
  <si>
    <t xml:space="preserve">GEL PARA ECOGRAFÍA                      </t>
  </si>
  <si>
    <t xml:space="preserve">EG07-00002361   </t>
  </si>
  <si>
    <t xml:space="preserve">MWSODACAUSTICA    </t>
  </si>
  <si>
    <t>04.01.2025</t>
  </si>
  <si>
    <t xml:space="preserve">MWACIDOSULFURICO  </t>
  </si>
  <si>
    <t>03.01.2025</t>
  </si>
  <si>
    <t xml:space="preserve">LLAVE MIXTA DE  1  15/16"               </t>
  </si>
  <si>
    <t xml:space="preserve">T002-00001780   </t>
  </si>
  <si>
    <t xml:space="preserve">T002-00001779   </t>
  </si>
  <si>
    <t xml:space="preserve">CC11201115        </t>
  </si>
  <si>
    <t>02.01.2025</t>
  </si>
  <si>
    <t>31.12.2024</t>
  </si>
  <si>
    <t xml:space="preserve">AVENA SANTA CATALINA x 150 GR           </t>
  </si>
  <si>
    <t xml:space="preserve">EG07-00001122   </t>
  </si>
  <si>
    <t>30.12.2024</t>
  </si>
  <si>
    <t>27.12.2024</t>
  </si>
  <si>
    <t>26.12.2024</t>
  </si>
  <si>
    <t xml:space="preserve">TT01-00000382   </t>
  </si>
  <si>
    <t xml:space="preserve">ANILLO PRESION ACERO INOX. M16 NC       </t>
  </si>
  <si>
    <t xml:space="preserve">CA0770001638      </t>
  </si>
  <si>
    <t xml:space="preserve">TUERCA HEX INOX M16                     </t>
  </si>
  <si>
    <t>24.12.2024</t>
  </si>
  <si>
    <t xml:space="preserve">EG07-00001115   </t>
  </si>
  <si>
    <t>23.12.2024</t>
  </si>
  <si>
    <t xml:space="preserve">IMPULSOR DE BOMBA CD 250                </t>
  </si>
  <si>
    <t xml:space="preserve">T001-2131       </t>
  </si>
  <si>
    <t xml:space="preserve">WEARPLATE CD 250 12-0465-0115           </t>
  </si>
  <si>
    <t xml:space="preserve">REAR WEARPLATE CD 250 12-0472-0116      </t>
  </si>
  <si>
    <t xml:space="preserve">CT901113          </t>
  </si>
  <si>
    <t>20.12.2024</t>
  </si>
  <si>
    <t xml:space="preserve">T005-3605       </t>
  </si>
  <si>
    <t>19.12.2024</t>
  </si>
  <si>
    <t xml:space="preserve">ELASTOMERO PHE F90NRTYRE                </t>
  </si>
  <si>
    <t xml:space="preserve">T014-0005212    </t>
  </si>
  <si>
    <t>18.12.2024</t>
  </si>
  <si>
    <t xml:space="preserve">FILTRO TOMA VALVULA 1/2 BRONCE-SOSTENED </t>
  </si>
  <si>
    <t xml:space="preserve">T007-1318       </t>
  </si>
  <si>
    <t>17.12.2024</t>
  </si>
  <si>
    <t xml:space="preserve">EG07-00001092   </t>
  </si>
  <si>
    <t>16.12.2024</t>
  </si>
  <si>
    <t xml:space="preserve">HARINA DE MAIZ                          </t>
  </si>
  <si>
    <t xml:space="preserve">EG07-00002354   </t>
  </si>
  <si>
    <t xml:space="preserve">T014-0005182    </t>
  </si>
  <si>
    <t xml:space="preserve">LOCTITE C5-A COBRE ANTI-SEIZE-1Lb       </t>
  </si>
  <si>
    <t xml:space="preserve">LB </t>
  </si>
  <si>
    <t xml:space="preserve">ACIDO ASCORBICO SPECTRUM Q.P. x 100 gr  </t>
  </si>
  <si>
    <t xml:space="preserve">EG07-00000570   </t>
  </si>
  <si>
    <t xml:space="preserve">METIL PARABENO SPECTRUM Q.P.            </t>
  </si>
  <si>
    <t xml:space="preserve">ACIDO SORBICO SPECTRUM Q.P. x 100 gr    </t>
  </si>
  <si>
    <t xml:space="preserve">ARO SELLO 245 x 5  NITRILO - (LS040616) </t>
  </si>
  <si>
    <t xml:space="preserve">T102-5742       </t>
  </si>
  <si>
    <t xml:space="preserve">LIMPIA CONTACTO CRC 32429-AA  500 ML    </t>
  </si>
  <si>
    <t xml:space="preserve">T001-10967      </t>
  </si>
  <si>
    <t xml:space="preserve">EG07-00002619   </t>
  </si>
  <si>
    <t xml:space="preserve">CC11214760        </t>
  </si>
  <si>
    <t xml:space="preserve">CS34015056        </t>
  </si>
  <si>
    <t xml:space="preserve">CT905028          </t>
  </si>
  <si>
    <t xml:space="preserve">EG07-00002267   </t>
  </si>
  <si>
    <t xml:space="preserve">EG07-00000872   </t>
  </si>
  <si>
    <t xml:space="preserve">T001-00010033   </t>
  </si>
  <si>
    <t xml:space="preserve">TT01-00000349   </t>
  </si>
  <si>
    <t xml:space="preserve">T001-00001326   </t>
  </si>
  <si>
    <t xml:space="preserve">T001-00001324   </t>
  </si>
  <si>
    <t xml:space="preserve">T002-00001710   </t>
  </si>
  <si>
    <t xml:space="preserve">T002-00001711   </t>
  </si>
  <si>
    <t xml:space="preserve">CA0770006625      </t>
  </si>
  <si>
    <t xml:space="preserve">MWCARAMELO858     </t>
  </si>
  <si>
    <t xml:space="preserve">EG07-2619       </t>
  </si>
  <si>
    <t xml:space="preserve">EG07-00002318   </t>
  </si>
  <si>
    <t xml:space="preserve">EG07-00002343   </t>
  </si>
  <si>
    <t xml:space="preserve">T007-3102       </t>
  </si>
  <si>
    <t xml:space="preserve">T005-3583       </t>
  </si>
  <si>
    <t xml:space="preserve">CK00000035        </t>
  </si>
  <si>
    <t xml:space="preserve">CK00000092        </t>
  </si>
  <si>
    <t xml:space="preserve">TT01-00000343   </t>
  </si>
  <si>
    <t xml:space="preserve">TT01-00000344   </t>
  </si>
  <si>
    <t xml:space="preserve">TT01-00000338   </t>
  </si>
  <si>
    <t xml:space="preserve">EG07-00001313   </t>
  </si>
  <si>
    <t xml:space="preserve">EG07-00001312   </t>
  </si>
  <si>
    <t xml:space="preserve">T001-7351       </t>
  </si>
  <si>
    <t xml:space="preserve">T102-5477       </t>
  </si>
  <si>
    <t xml:space="preserve">T007-3093       </t>
  </si>
  <si>
    <t xml:space="preserve">EG07-00001340   </t>
  </si>
  <si>
    <t xml:space="preserve">CH00490           </t>
  </si>
  <si>
    <t xml:space="preserve">CP180029          </t>
  </si>
  <si>
    <t xml:space="preserve">T015-3326       </t>
  </si>
  <si>
    <t xml:space="preserve">EG07-00001069   </t>
  </si>
  <si>
    <t xml:space="preserve">TT01-00000332   </t>
  </si>
  <si>
    <t xml:space="preserve">MWAGR00040        </t>
  </si>
  <si>
    <t xml:space="preserve">EG07-00046459   </t>
  </si>
  <si>
    <t xml:space="preserve">T001-00009690   </t>
  </si>
  <si>
    <t xml:space="preserve">T001-00009687   </t>
  </si>
  <si>
    <t xml:space="preserve">T001-00009686   </t>
  </si>
  <si>
    <t xml:space="preserve">T001-00001317   </t>
  </si>
  <si>
    <t xml:space="preserve">T005-3565       </t>
  </si>
  <si>
    <t xml:space="preserve">CB03285           </t>
  </si>
  <si>
    <t xml:space="preserve">T014-0005035    </t>
  </si>
  <si>
    <t xml:space="preserve">CC11214830        </t>
  </si>
  <si>
    <t xml:space="preserve">CM103000          </t>
  </si>
  <si>
    <t xml:space="preserve">EG07-00002577   </t>
  </si>
  <si>
    <t xml:space="preserve">EQUILIBRA PERU SA                  </t>
  </si>
  <si>
    <t>15.01.2025</t>
  </si>
  <si>
    <t xml:space="preserve">NATURAGRO S.A                      </t>
  </si>
  <si>
    <t xml:space="preserve">ALFREDO PIMENTEL SEVILLA SA        </t>
  </si>
  <si>
    <t xml:space="preserve">DROKASA PERU S.A.                  </t>
  </si>
  <si>
    <t>05.01.2025</t>
  </si>
  <si>
    <t xml:space="preserve">JURBINAP    </t>
  </si>
  <si>
    <t xml:space="preserve">GLOBAL JF SERVICE SAC              </t>
  </si>
  <si>
    <t xml:space="preserve">zmuñoz      </t>
  </si>
  <si>
    <t>AGENCIA DIGITAL CREATIVA SOCIEDAD</t>
  </si>
  <si>
    <t xml:space="preserve">ZMUÑOZ      </t>
  </si>
  <si>
    <t>ZMUÑOZ</t>
  </si>
  <si>
    <t>25.01.2025</t>
  </si>
  <si>
    <t>ECORTEZS</t>
  </si>
  <si>
    <t xml:space="preserve">CRAMOS      </t>
  </si>
  <si>
    <t xml:space="preserve">NHANSENG    </t>
  </si>
  <si>
    <t xml:space="preserve">LRODRIGUEZC </t>
  </si>
  <si>
    <t xml:space="preserve">RENZO JAVIER CASTRO SILUPU         </t>
  </si>
  <si>
    <t xml:space="preserve">JMendozaG   </t>
  </si>
  <si>
    <t xml:space="preserve">SERVIMOTOR EIRL                    </t>
  </si>
  <si>
    <t xml:space="preserve">SEGEMIND SAC                       </t>
  </si>
  <si>
    <t xml:space="preserve">WELDING &amp; SAFETY FOR LIFE E.I.R.L  </t>
  </si>
  <si>
    <t xml:space="preserve">SERVICIOS GENERALES TECMEIND EIRL  </t>
  </si>
  <si>
    <t xml:space="preserve">FERNANDO ANTONIO CALLE CHIRA       </t>
  </si>
  <si>
    <t>29.11.2024</t>
  </si>
  <si>
    <t xml:space="preserve">ROSA JUSTO VILLASANTE              </t>
  </si>
  <si>
    <t xml:space="preserve">Joteroj     </t>
  </si>
  <si>
    <t xml:space="preserve">CIMATEC SAC                        </t>
  </si>
  <si>
    <t xml:space="preserve">MS INGENIERIA &amp; PROYECTOS EIRL     </t>
  </si>
  <si>
    <t>PERFECT FILTRATION SOUTH AMERICA EI</t>
  </si>
  <si>
    <t>15.12.2024</t>
  </si>
  <si>
    <t>AVASQUEZM</t>
  </si>
  <si>
    <t xml:space="preserve">VVERAN      </t>
  </si>
  <si>
    <t xml:space="preserve">DICOMET PERU SAC                   </t>
  </si>
  <si>
    <t xml:space="preserve">3R INGENIERIA SAC                  </t>
  </si>
  <si>
    <t xml:space="preserve">CRAMOSR     </t>
  </si>
  <si>
    <t xml:space="preserve">EALMESTARG  </t>
  </si>
  <si>
    <t xml:space="preserve">JOTEROJ     </t>
  </si>
  <si>
    <t xml:space="preserve">SERVICIOS GONZALEZ INDUSTRIAL SA   </t>
  </si>
  <si>
    <t xml:space="preserve">ELECTROPRO E.I.R.L.                </t>
  </si>
  <si>
    <t xml:space="preserve">PLASTIC TECHNOLOGY DEL PERU SAC    </t>
  </si>
  <si>
    <t xml:space="preserve">RROMEROC    </t>
  </si>
  <si>
    <t xml:space="preserve">AGULDENG    </t>
  </si>
  <si>
    <t xml:space="preserve">OMEGA PERU S A                     </t>
  </si>
  <si>
    <t xml:space="preserve">UNIVERSAL SUPPLIERS INGENIERIA     </t>
  </si>
  <si>
    <t xml:space="preserve">INSTRUMENTATION VALVE &amp; FITTING SA </t>
  </si>
  <si>
    <t xml:space="preserve">JVASQUEZC   </t>
  </si>
  <si>
    <t>MULTISERVICIOS PIRAMIDES DE ORO SRL</t>
  </si>
  <si>
    <t xml:space="preserve">COMPANIA KAYSER SAC                </t>
  </si>
  <si>
    <t xml:space="preserve">CARP &amp; ASOCIADOS SCRL              </t>
  </si>
  <si>
    <t xml:space="preserve">SOLGAS S.A.                        </t>
  </si>
  <si>
    <t xml:space="preserve">VANTEZANAM  </t>
  </si>
  <si>
    <t>30.11.2024</t>
  </si>
  <si>
    <t>28.11.2024</t>
  </si>
  <si>
    <t xml:space="preserve">PLUXEE PERU S.A.C.                 </t>
  </si>
  <si>
    <t xml:space="preserve">ERODRIGUEZC </t>
  </si>
  <si>
    <t xml:space="preserve">CT905226          </t>
  </si>
  <si>
    <t>27.11.2024</t>
  </si>
  <si>
    <t xml:space="preserve">RMARCELOY   </t>
  </si>
  <si>
    <t>26.11.2024</t>
  </si>
  <si>
    <t xml:space="preserve">Mtto Autom  </t>
  </si>
  <si>
    <t xml:space="preserve">M. VELARDE REPRESENTACIONES COM.   </t>
  </si>
  <si>
    <t>25.11.2024</t>
  </si>
  <si>
    <t xml:space="preserve">VVERA       </t>
  </si>
  <si>
    <t xml:space="preserve">TEC AGRO PERU SAC                  </t>
  </si>
  <si>
    <t xml:space="preserve">BLISS IMPORT EIRL                  </t>
  </si>
  <si>
    <t xml:space="preserve">MEDICAMENTOS PERU EIRL             </t>
  </si>
  <si>
    <t>22.11.2024</t>
  </si>
  <si>
    <t>21.11.2024</t>
  </si>
  <si>
    <t xml:space="preserve">MEQUIM SA                          </t>
  </si>
  <si>
    <t xml:space="preserve">INDUSTRIAS PALA SAC                </t>
  </si>
  <si>
    <t>20.11.2024</t>
  </si>
  <si>
    <t xml:space="preserve">RHGO24 S.A.C.                      </t>
  </si>
  <si>
    <t xml:space="preserve">DMB MAQUINAS E IMPLEMENTOS         </t>
  </si>
  <si>
    <t xml:space="preserve">QUIMTIA SA                         </t>
  </si>
  <si>
    <t xml:space="preserve">SERVICORP MULTISERVICIOS E.I.R.L.  </t>
  </si>
  <si>
    <t xml:space="preserve">XYLEM WATER SOLUTIONS PERU SA      </t>
  </si>
  <si>
    <t xml:space="preserve">MARKET AGRICOLA PERU SAC           </t>
  </si>
  <si>
    <t xml:space="preserve">DAKA SERVICIOS DE INGENIERIA SAC   </t>
  </si>
  <si>
    <t xml:space="preserve">INGENIERIA DE SEPARACION SAC       </t>
  </si>
  <si>
    <t>INGENIERIA PROVEEDURIA Y CONSTRUCCI</t>
  </si>
  <si>
    <t xml:space="preserve">JJUAREZS    </t>
  </si>
  <si>
    <t xml:space="preserve">TRACTOR IMPORT SAC                 </t>
  </si>
  <si>
    <t xml:space="preserve">BRN INTERNACIONAL INDUSTRIA E      </t>
  </si>
  <si>
    <t xml:space="preserve">JOHN CRANE PERU SAC                </t>
  </si>
  <si>
    <t>10.11.2024</t>
  </si>
  <si>
    <t xml:space="preserve">LOLAYAL     </t>
  </si>
  <si>
    <t xml:space="preserve">MVILLEGAS   </t>
  </si>
  <si>
    <t xml:space="preserve">GP MOTOS S.A.C.                    </t>
  </si>
  <si>
    <t xml:space="preserve">UNIONES ARPOL SA                   </t>
  </si>
  <si>
    <t>03.11.2024</t>
  </si>
  <si>
    <t xml:space="preserve">INGENIERIA INNOVACION TECNOLOGIA Y </t>
  </si>
  <si>
    <t xml:space="preserve">MVILLEGASJ  </t>
  </si>
  <si>
    <t xml:space="preserve">ANTECO REPRESENTACIONES E          </t>
  </si>
  <si>
    <t>26.10.2024</t>
  </si>
  <si>
    <t xml:space="preserve">PUBLIVENTA PUBLICIDAD Y MARKETING  </t>
  </si>
  <si>
    <t xml:space="preserve">JBACILIOH   </t>
  </si>
  <si>
    <t xml:space="preserve">CP082616          </t>
  </si>
  <si>
    <t xml:space="preserve">GRUPO TECNOLOGICO INTERNACIONAL    </t>
  </si>
  <si>
    <t xml:space="preserve">IRBI MAQUINAS E EQUIPAMENTOS LTD   </t>
  </si>
  <si>
    <t>BR EXPORT TRADE INDUSTRIA E COMERCI</t>
  </si>
  <si>
    <t xml:space="preserve">TECFRESH SAC                       </t>
  </si>
  <si>
    <t>13.10.2024</t>
  </si>
  <si>
    <t xml:space="preserve">ANDROS ENGINEERING                 </t>
  </si>
  <si>
    <t xml:space="preserve">SCHWEITZER ENGINEERING             </t>
  </si>
  <si>
    <t xml:space="preserve">MARKETING TEXTIL CORPORACION SAC   </t>
  </si>
  <si>
    <t xml:space="preserve">CONSYCON PIURA S.A.C.              </t>
  </si>
  <si>
    <t xml:space="preserve">SAN FERNANDO SA                    </t>
  </si>
  <si>
    <t xml:space="preserve">CONTROL Y TECNOLOGIA SAC           </t>
  </si>
  <si>
    <t xml:space="preserve">PSP PUMPS PVT LTD.                 </t>
  </si>
  <si>
    <t xml:space="preserve">T J A INDUSTRIA E COMERCIO SA      </t>
  </si>
  <si>
    <t>02.06.2024</t>
  </si>
  <si>
    <t>12.04.2024</t>
  </si>
  <si>
    <t>29.12.2023</t>
  </si>
  <si>
    <t xml:space="preserve">CET00800151       </t>
  </si>
  <si>
    <t xml:space="preserve">CET00800163       </t>
  </si>
  <si>
    <t xml:space="preserve">CET00800197       </t>
  </si>
  <si>
    <t xml:space="preserve">CET00800289       </t>
  </si>
  <si>
    <t xml:space="preserve">CET00800389       </t>
  </si>
  <si>
    <t xml:space="preserve">CET00800390       </t>
  </si>
  <si>
    <t>29.09.2023</t>
  </si>
  <si>
    <t>I//I</t>
  </si>
  <si>
    <t>LTIMANAT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</si>
</sst>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99"/>
        <bgColor theme="9"/>
      </patternFill>
    </fill>
    <fill>
      <patternFill patternType="solid">
        <fgColor rgb="FFFFFFCC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79998168889431442"/>
        <bgColor theme="6" tint="0.79998168889431442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2" borderId="1" xfId="0" applyFont="1" applyFill="1" applyBorder="1"/>
    <xf numFmtId="49" fontId="2" fillId="0" borderId="1" xfId="0" quotePrefix="1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14" fontId="2" fillId="0" borderId="1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/>
    <xf numFmtId="0" fontId="0" fillId="3" borderId="0" xfId="0" applyFill="1" applyAlignment="1">
      <alignment horizontal="left"/>
    </xf>
    <xf numFmtId="0" fontId="3" fillId="5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vertical="center"/>
    </xf>
    <xf numFmtId="14" fontId="0" fillId="0" borderId="0" xfId="0" applyNumberFormat="1"/>
    <xf numFmtId="0" fontId="0" fillId="6" borderId="0" xfId="0" applyFill="1"/>
    <xf numFmtId="0" fontId="0" fillId="0" borderId="0" xfId="0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5" fillId="7" borderId="8" xfId="0" applyFont="1" applyFill="1" applyBorder="1"/>
    <xf numFmtId="0" fontId="5" fillId="7" borderId="10" xfId="0" applyFont="1" applyFill="1" applyBorder="1"/>
    <xf numFmtId="0" fontId="0" fillId="8" borderId="11" xfId="0" applyFont="1" applyFill="1" applyBorder="1"/>
    <xf numFmtId="0" fontId="0" fillId="8" borderId="12" xfId="0" applyFont="1" applyFill="1" applyBorder="1"/>
    <xf numFmtId="0" fontId="5" fillId="7" borderId="13" xfId="0" applyFont="1" applyFill="1" applyBorder="1"/>
    <xf numFmtId="0" fontId="0" fillId="0" borderId="0" xfId="0" applyNumberFormat="1"/>
    <xf numFmtId="0" fontId="0" fillId="8" borderId="15" xfId="0" applyFont="1" applyFill="1" applyBorder="1"/>
    <xf numFmtId="0" fontId="0" fillId="8" borderId="9" xfId="0" applyFont="1" applyFill="1" applyBorder="1"/>
    <xf numFmtId="0" fontId="0" fillId="9" borderId="15" xfId="0" applyFont="1" applyFill="1" applyBorder="1"/>
    <xf numFmtId="0" fontId="0" fillId="9" borderId="9" xfId="0" applyFont="1" applyFill="1" applyBorder="1"/>
    <xf numFmtId="0" fontId="0" fillId="9" borderId="12" xfId="0" applyFont="1" applyFill="1" applyBorder="1"/>
    <xf numFmtId="0" fontId="5" fillId="7" borderId="10" xfId="0" applyFont="1" applyFill="1" applyBorder="1" applyAlignment="1">
      <alignment horizontal="center"/>
    </xf>
    <xf numFmtId="0" fontId="5" fillId="7" borderId="10" xfId="0" applyFont="1" applyFill="1" applyBorder="1" applyAlignment="1">
      <alignment horizontal="left"/>
    </xf>
    <xf numFmtId="0" fontId="0" fillId="8" borderId="9" xfId="0" applyFont="1" applyFill="1" applyBorder="1" applyAlignment="1">
      <alignment horizontal="center"/>
    </xf>
    <xf numFmtId="14" fontId="0" fillId="8" borderId="9" xfId="0" applyNumberFormat="1" applyFont="1" applyFill="1" applyBorder="1"/>
    <xf numFmtId="0" fontId="0" fillId="8" borderId="9" xfId="0" applyFont="1" applyFill="1" applyBorder="1" applyAlignment="1">
      <alignment horizontal="left"/>
    </xf>
    <xf numFmtId="0" fontId="0" fillId="8" borderId="9" xfId="0" applyNumberFormat="1" applyFont="1" applyFill="1" applyBorder="1"/>
    <xf numFmtId="14" fontId="0" fillId="8" borderId="9" xfId="0" applyNumberFormat="1" applyFont="1" applyFill="1" applyBorder="1" applyAlignment="1">
      <alignment horizontal="left"/>
    </xf>
    <xf numFmtId="0" fontId="0" fillId="8" borderId="16" xfId="0" applyNumberFormat="1" applyFont="1" applyFill="1" applyBorder="1"/>
    <xf numFmtId="0" fontId="0" fillId="9" borderId="9" xfId="0" applyFont="1" applyFill="1" applyBorder="1" applyAlignment="1">
      <alignment horizontal="center"/>
    </xf>
    <xf numFmtId="14" fontId="0" fillId="9" borderId="9" xfId="0" applyNumberFormat="1" applyFont="1" applyFill="1" applyBorder="1"/>
    <xf numFmtId="0" fontId="0" fillId="9" borderId="9" xfId="0" applyFont="1" applyFill="1" applyBorder="1" applyAlignment="1">
      <alignment horizontal="left"/>
    </xf>
    <xf numFmtId="0" fontId="0" fillId="9" borderId="9" xfId="0" applyNumberFormat="1" applyFont="1" applyFill="1" applyBorder="1"/>
    <xf numFmtId="14" fontId="0" fillId="9" borderId="9" xfId="0" applyNumberFormat="1" applyFont="1" applyFill="1" applyBorder="1" applyAlignment="1">
      <alignment horizontal="left"/>
    </xf>
    <xf numFmtId="0" fontId="0" fillId="9" borderId="16" xfId="0" applyNumberFormat="1" applyFont="1" applyFill="1" applyBorder="1"/>
    <xf numFmtId="0" fontId="0" fillId="8" borderId="12" xfId="0" applyFont="1" applyFill="1" applyBorder="1" applyAlignment="1">
      <alignment horizontal="center"/>
    </xf>
    <xf numFmtId="14" fontId="0" fillId="8" borderId="12" xfId="0" applyNumberFormat="1" applyFont="1" applyFill="1" applyBorder="1"/>
    <xf numFmtId="0" fontId="0" fillId="8" borderId="12" xfId="0" applyFont="1" applyFill="1" applyBorder="1" applyAlignment="1">
      <alignment horizontal="left"/>
    </xf>
    <xf numFmtId="0" fontId="0" fillId="8" borderId="12" xfId="0" applyNumberFormat="1" applyFont="1" applyFill="1" applyBorder="1"/>
    <xf numFmtId="14" fontId="0" fillId="8" borderId="12" xfId="0" applyNumberFormat="1" applyFont="1" applyFill="1" applyBorder="1" applyAlignment="1">
      <alignment horizontal="left"/>
    </xf>
    <xf numFmtId="0" fontId="0" fillId="8" borderId="14" xfId="0" applyNumberFormat="1" applyFont="1" applyFill="1" applyBorder="1"/>
    <xf numFmtId="0" fontId="0" fillId="9" borderId="12" xfId="0" applyFont="1" applyFill="1" applyBorder="1" applyAlignment="1">
      <alignment horizontal="center"/>
    </xf>
    <xf numFmtId="14" fontId="0" fillId="9" borderId="12" xfId="0" applyNumberFormat="1" applyFont="1" applyFill="1" applyBorder="1"/>
    <xf numFmtId="0" fontId="0" fillId="9" borderId="12" xfId="0" applyFont="1" applyFill="1" applyBorder="1" applyAlignment="1">
      <alignment horizontal="left"/>
    </xf>
    <xf numFmtId="0" fontId="0" fillId="9" borderId="12" xfId="0" applyNumberFormat="1" applyFont="1" applyFill="1" applyBorder="1"/>
    <xf numFmtId="14" fontId="0" fillId="9" borderId="12" xfId="0" applyNumberFormat="1" applyFont="1" applyFill="1" applyBorder="1" applyAlignment="1">
      <alignment horizontal="left"/>
    </xf>
    <xf numFmtId="0" fontId="0" fillId="9" borderId="14" xfId="0" applyNumberFormat="1" applyFont="1" applyFill="1" applyBorder="1"/>
  </cellXfs>
  <cellStyles count="1">
    <cellStyle name="Normal" xfId="0" builtinId="0"/>
  </cellStyles>
  <dxfs count="47">
    <dxf>
      <numFmt numFmtId="0" formatCode="General"/>
      <fill>
        <patternFill patternType="solid">
          <fgColor theme="6" tint="0.59999389629810485"/>
          <bgColor theme="6" tint="0.59999389629810485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numFmt numFmtId="0" formatCode="General"/>
      <fill>
        <patternFill patternType="solid">
          <fgColor theme="6" tint="0.59999389629810485"/>
          <bgColor theme="6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9" formatCode="dd/mm/yyyy"/>
      <fill>
        <patternFill patternType="solid">
          <fgColor theme="6" tint="0.59999389629810485"/>
          <bgColor theme="6" tint="0.5999938962981048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0" formatCode="General"/>
      <fill>
        <patternFill patternType="solid">
          <fgColor theme="6" tint="0.59999389629810485"/>
          <bgColor theme="6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0" formatCode="General"/>
      <fill>
        <patternFill patternType="solid">
          <fgColor theme="6" tint="0.59999389629810485"/>
          <bgColor theme="6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0" formatCode="General"/>
      <fill>
        <patternFill patternType="solid">
          <fgColor theme="6" tint="0.59999389629810485"/>
          <bgColor theme="6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6" tint="0.59999389629810485"/>
          <bgColor theme="6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 patternType="solid">
          <fgColor theme="6" tint="0.59999389629810485"/>
          <bgColor theme="6" tint="0.5999938962981048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6" tint="0.59999389629810485"/>
          <bgColor theme="6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9" formatCode="dd/mm/yyyy"/>
      <fill>
        <patternFill patternType="solid">
          <fgColor theme="6" tint="0.59999389629810485"/>
          <bgColor theme="6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6" tint="0.59999389629810485"/>
          <bgColor theme="6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6" tint="0.59999389629810485"/>
          <bgColor theme="6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6" tint="0.59999389629810485"/>
          <bgColor theme="6" tint="0.59999389629810485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FFFF99"/>
        </patternFill>
      </fill>
    </dxf>
    <dxf>
      <fill>
        <patternFill patternType="solid">
          <bgColor rgb="FFFFFF99"/>
        </patternFill>
      </fill>
    </dxf>
    <dxf>
      <alignment horizontal="left" readingOrder="0"/>
    </dxf>
    <dxf>
      <alignment horizontal="center" readingOrder="0"/>
    </dxf>
    <dxf>
      <alignment horizontal="general" readingOrder="0"/>
    </dxf>
    <dxf>
      <alignment horizontal="left" readingOrder="0"/>
    </dxf>
    <dxf>
      <alignment horizontal="center" readingOrder="0"/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0</xdr:row>
          <xdr:rowOff>22860</xdr:rowOff>
        </xdr:from>
        <xdr:to>
          <xdr:col>1</xdr:col>
          <xdr:colOff>0</xdr:colOff>
          <xdr:row>1</xdr:row>
          <xdr:rowOff>167640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22860</xdr:rowOff>
        </xdr:from>
        <xdr:to>
          <xdr:col>2</xdr:col>
          <xdr:colOff>396240</xdr:colOff>
          <xdr:row>1</xdr:row>
          <xdr:rowOff>167640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144780</xdr:colOff>
          <xdr:row>1</xdr:row>
          <xdr:rowOff>0</xdr:rowOff>
        </xdr:from>
        <xdr:to>
          <xdr:col>4</xdr:col>
          <xdr:colOff>1744980</xdr:colOff>
          <xdr:row>4</xdr:row>
          <xdr:rowOff>22860</xdr:rowOff>
        </xdr:to>
        <xdr:sp macro="" textlink="">
          <xdr:nvSpPr>
            <xdr:cNvPr id="1026" name="Actualiza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1859280</xdr:colOff>
          <xdr:row>0</xdr:row>
          <xdr:rowOff>160020</xdr:rowOff>
        </xdr:from>
        <xdr:to>
          <xdr:col>4</xdr:col>
          <xdr:colOff>2903220</xdr:colOff>
          <xdr:row>3</xdr:row>
          <xdr:rowOff>175260</xdr:rowOff>
        </xdr:to>
        <xdr:sp macro="" textlink="">
          <xdr:nvSpPr>
            <xdr:cNvPr id="1027" name="Limpia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lvira Josefina Cortez Sandoval" refreshedDate="45671.491560300929" createdVersion="6" refreshedVersion="8" minRefreshableVersion="3" recordCount="95" xr:uid="{00000000-000A-0000-FFFF-FFFF00000000}">
  <cacheSource type="worksheet">
    <worksheetSource name="Ingresos"/>
  </cacheSource>
  <cacheFields count="20">
    <cacheField name="Concatenar" numFmtId="0">
      <sharedItems/>
    </cacheField>
    <cacheField name="Centro" numFmtId="0">
      <sharedItems count="3">
        <s v="Agricola del Chira Planta"/>
        <s v="Sucroalcolera del Chira Planta" u="1"/>
        <s v="Bioenergía del Chira Planta" u="1"/>
      </sharedItems>
    </cacheField>
    <cacheField name="Almacén" numFmtId="0">
      <sharedItems/>
    </cacheField>
    <cacheField name="Codigo" numFmtId="0">
      <sharedItems containsMixedTypes="1" containsNumber="1" containsInteger="1" minValue="301900" maxValue="72008981" count="1353">
        <n v="721426"/>
        <n v="70100392"/>
        <n v="814781"/>
        <n v="70069179"/>
        <n v="70069183"/>
        <n v="70128403"/>
        <n v="70077698"/>
        <n v="868331"/>
        <n v="70118374"/>
        <n v="804894"/>
        <n v="884090"/>
        <n v="884098"/>
        <n v="887595"/>
        <n v="893851"/>
        <n v="893854"/>
        <n v="70017132"/>
        <n v="70061350"/>
        <s v="MWAGR000072       "/>
        <s v="MWAGR00042        "/>
        <n v="802317"/>
        <n v="868096"/>
        <n v="872860"/>
        <s v="CC11011935        "/>
        <s v="CS34015030        "/>
        <s v="MWAGR00013        "/>
        <n v="70003825"/>
        <n v="70004950"/>
        <n v="867439"/>
        <n v="70004310"/>
        <n v="70135249"/>
        <n v="748268"/>
        <n v="755674"/>
        <n v="850829"/>
        <n v="70004596"/>
        <n v="70043537"/>
        <n v="70113596"/>
        <n v="745473"/>
        <n v="808835"/>
        <n v="70043958"/>
        <n v="70061692"/>
        <n v="70061693"/>
        <n v="894559"/>
        <n v="894561"/>
        <n v="894562"/>
        <n v="70052954"/>
        <n v="736856"/>
        <n v="808346"/>
        <n v="70003837"/>
        <n v="70003844"/>
        <n v="70019150"/>
        <n v="70047475"/>
        <n v="70048323"/>
        <s v="CS310420          "/>
        <n v="70097146"/>
        <n v="70004306"/>
        <n v="70099880"/>
        <n v="70112201"/>
        <n v="70061481"/>
        <n v="70108070"/>
        <s v="CB03285           "/>
        <n v="70047878"/>
        <n v="744716"/>
        <n v="70004704"/>
        <n v="895421"/>
        <n v="70061785"/>
        <n v="70061786"/>
        <n v="70082928"/>
        <n v="70098846"/>
        <s v="CA0770006625      "/>
        <n v="748341"/>
        <n v="760364"/>
        <n v="70135105"/>
        <n v="70135106"/>
        <n v="70135107"/>
        <n v="873339"/>
        <n v="70011440"/>
        <n v="724696"/>
        <n v="724828"/>
        <n v="844106"/>
        <n v="755525" u="1"/>
        <n v="849010" u="1"/>
        <n v="701226" u="1"/>
        <n v="70050498" u="1"/>
        <n v="721669" u="1"/>
        <n v="831839" u="1"/>
        <n v="801637" u="1"/>
        <n v="801662" u="1"/>
        <n v="70117228" u="1"/>
        <n v="752729" u="1"/>
        <n v="896433" u="1"/>
        <n v="70058001" u="1"/>
        <n v="70074657" u="1"/>
        <n v="70074662" u="1"/>
        <n v="70074665" u="1"/>
        <n v="70074793" u="1"/>
        <n v="70074794" u="1"/>
        <n v="70075794" u="1"/>
        <n v="70075796" u="1"/>
        <n v="70075797" u="1"/>
        <n v="70091212" u="1"/>
        <n v="70094260" u="1"/>
        <n v="70108258" u="1"/>
        <n v="70108274" u="1"/>
        <n v="70108276" u="1"/>
        <n v="70108331" u="1"/>
        <n v="70108379" u="1"/>
        <n v="70135731" u="1"/>
        <n v="831449" u="1"/>
        <n v="70119603" u="1"/>
        <n v="830480" u="1"/>
        <n v="758947" u="1"/>
        <n v="806643" u="1"/>
        <n v="828327" u="1"/>
        <n v="70006479" u="1"/>
        <n v="70029448" u="1"/>
        <n v="721576" u="1"/>
        <n v="722592" u="1"/>
        <n v="761496" u="1"/>
        <n v="70028472" u="1"/>
        <n v="70053033" u="1"/>
        <n v="70113159" u="1"/>
        <n v="721547" u="1"/>
        <n v="70076752" u="1"/>
        <n v="754842" u="1"/>
        <n v="817725" u="1"/>
        <n v="896580" u="1"/>
        <n v="70034486" u="1"/>
        <n v="70067202" u="1"/>
        <n v="70069177" u="1"/>
        <n v="70077136" u="1"/>
        <n v="70135993" u="1"/>
        <n v="70135994" u="1"/>
        <n v="721708" u="1"/>
        <n v="744278" u="1"/>
        <n v="824418" u="1"/>
        <n v="824598" u="1"/>
        <n v="863362" u="1"/>
        <n v="863364" u="1"/>
        <n v="873032" u="1"/>
        <n v="760508" u="1"/>
        <n v="763905" u="1"/>
        <n v="70012257" u="1"/>
        <n v="70136047" u="1"/>
        <n v="769670" u="1"/>
        <n v="70074663" u="1"/>
        <n v="70136105" u="1"/>
        <n v="831066" u="1"/>
        <n v="877019" u="1"/>
        <n v="701675" u="1"/>
        <n v="721676" u="1"/>
        <n v="728974" u="1"/>
        <n v="70048232" u="1"/>
        <n v="806644" u="1"/>
        <n v="70033367" u="1"/>
        <n v="70130468" u="1"/>
        <n v="70131953" u="1"/>
        <n v="70131954" u="1"/>
        <n v="70134806" u="1"/>
        <n v="717670" u="1"/>
        <n v="784191" u="1"/>
        <n v="899474" u="1"/>
        <n v="70066119" u="1"/>
        <n v="70135205" u="1"/>
        <n v="70014448" u="1"/>
        <n v="822812" u="1"/>
        <n v="825294" u="1"/>
        <n v="827681" u="1"/>
        <n v="839408" u="1"/>
        <n v="847308" u="1"/>
        <n v="70088281" u="1"/>
        <n v="72008981" u="1"/>
        <n v="70014752" u="1"/>
        <n v="70079072" u="1"/>
        <n v="70100922" u="1"/>
        <n v="70038676" u="1"/>
        <n v="701439" u="1"/>
        <n v="761535" u="1"/>
        <n v="788878" u="1"/>
        <n v="70101747" u="1"/>
        <n v="721809" u="1"/>
        <n v="755670" u="1"/>
        <n v="755671" u="1"/>
        <n v="847697" u="1"/>
        <n v="70018802" u="1"/>
        <n v="70044042" u="1"/>
        <n v="70044043" u="1"/>
        <n v="70081354" u="1"/>
        <n v="70127133" u="1"/>
        <n v="70104164" u="1"/>
        <n v="70108044" u="1"/>
        <n v="70017133" u="1"/>
        <n v="747234" u="1"/>
        <n v="747235" u="1"/>
        <n v="880546" u="1"/>
        <n v="899361" u="1"/>
        <n v="764020" u="1"/>
        <n v="708660" u="1"/>
        <n v="717636" u="1"/>
        <n v="717638" u="1"/>
        <n v="717702" u="1"/>
        <n v="70089787" u="1"/>
        <n v="823298" u="1"/>
        <n v="70086240" u="1"/>
        <n v="847698" u="1"/>
        <n v="70001699" u="1"/>
        <n v="70011211" u="1"/>
        <n v="813884" u="1"/>
        <n v="818110" u="1"/>
        <n v="70085284" u="1"/>
        <n v="758946" u="1"/>
        <n v="828329" u="1"/>
        <n v="70034342" u="1"/>
        <n v="70108161" u="1"/>
        <n v="896581" u="1"/>
        <n v="832270" u="1"/>
        <n v="70053781" u="1"/>
        <n v="759069" u="1"/>
        <n v="767529" u="1"/>
        <n v="800910" u="1"/>
        <n v="802196" u="1"/>
        <n v="810158" u="1"/>
        <n v="815182" u="1"/>
        <n v="825730" u="1"/>
        <n v="831093" u="1"/>
        <n v="842446" u="1"/>
        <n v="70011700" u="1"/>
        <n v="70032805" u="1"/>
        <n v="70047943" u="1"/>
        <n v="70072372" u="1"/>
        <n v="70077995" u="1"/>
        <n v="70099680" u="1"/>
        <n v="70133634" u="1"/>
        <n v="70136352" u="1"/>
        <n v="70023469" u="1"/>
        <n v="704643" u="1"/>
        <n v="707757" u="1"/>
        <n v="717352" u="1"/>
        <n v="721551" u="1"/>
        <n v="721557" u="1"/>
        <n v="721753" u="1"/>
        <n v="721764" u="1"/>
        <n v="722951" u="1"/>
        <n v="724673" u="1"/>
        <n v="730419" u="1"/>
        <n v="733906" u="1"/>
        <n v="735204" u="1"/>
        <n v="745394" u="1"/>
        <n v="749427" u="1"/>
        <n v="755526" u="1"/>
        <n v="769389" u="1"/>
        <n v="771770" u="1"/>
        <n v="771788" u="1"/>
        <n v="777268" u="1"/>
        <n v="791419" u="1"/>
        <n v="793935" u="1"/>
        <n v="798918" u="1"/>
        <n v="806002" u="1"/>
        <n v="806007" u="1"/>
        <n v="810134" u="1"/>
        <n v="810136" u="1"/>
        <n v="810249" u="1"/>
        <n v="810958" u="1"/>
        <n v="812333" u="1"/>
        <n v="813002" u="1"/>
        <n v="813003" u="1"/>
        <n v="813005" u="1"/>
        <n v="813056" u="1"/>
        <n v="814844" u="1"/>
        <n v="815801" u="1"/>
        <n v="818935" u="1"/>
        <n v="821603" u="1"/>
        <n v="822061" u="1"/>
        <n v="822730" u="1"/>
        <n v="823287" u="1"/>
        <n v="826397" u="1"/>
        <n v="827199" u="1"/>
        <n v="827629" u="1"/>
        <n v="828045" u="1"/>
        <n v="828049" u="1"/>
        <n v="828243" u="1"/>
        <n v="832222" u="1"/>
        <n v="833504" u="1"/>
        <n v="834966" u="1"/>
        <n v="834979" u="1"/>
        <n v="835226" u="1"/>
        <n v="837689" u="1"/>
        <n v="837732" u="1"/>
        <n v="839402" u="1"/>
        <n v="839409" u="1"/>
        <n v="839423" u="1"/>
        <n v="839898" u="1"/>
        <n v="840418" u="1"/>
        <n v="840971" u="1"/>
        <n v="841942" u="1"/>
        <n v="841944" u="1"/>
        <n v="844508" u="1"/>
        <n v="844515" u="1"/>
        <n v="844516" u="1"/>
        <n v="844526" u="1"/>
        <n v="844532" u="1"/>
        <n v="844533" u="1"/>
        <n v="844540" u="1"/>
        <n v="844541" u="1"/>
        <n v="844622" u="1"/>
        <n v="844631" u="1"/>
        <n v="848021" u="1"/>
        <n v="848934" u="1"/>
        <n v="850059" u="1"/>
        <n v="850657" u="1"/>
        <n v="851069" u="1"/>
        <n v="860099" u="1"/>
        <n v="860875" u="1"/>
        <n v="864090" u="1"/>
        <n v="866455" u="1"/>
        <n v="868161" u="1"/>
        <n v="869826" u="1"/>
        <n v="871813" u="1"/>
        <n v="873051" u="1"/>
        <n v="873086" u="1"/>
        <n v="873100" u="1"/>
        <n v="877365" u="1"/>
        <n v="885604" u="1"/>
        <n v="886262" u="1"/>
        <n v="888968" u="1"/>
        <n v="889183" u="1"/>
        <n v="893931" u="1"/>
        <n v="894192" u="1"/>
        <n v="895624" u="1"/>
        <n v="897934" u="1"/>
        <n v="898437" u="1"/>
        <n v="70000165" u="1"/>
        <n v="70000252" u="1"/>
        <n v="70000722" u="1"/>
        <n v="70001611" u="1"/>
        <n v="70005004" u="1"/>
        <n v="70005879" u="1"/>
        <n v="70006143" u="1"/>
        <n v="70006290" u="1"/>
        <n v="70006292" u="1"/>
        <n v="70006293" u="1"/>
        <n v="70006295" u="1"/>
        <n v="70006606" u="1"/>
        <n v="70006833" u="1"/>
        <n v="70007002" u="1"/>
        <n v="70008639" u="1"/>
        <n v="70009816" u="1"/>
        <n v="70011060" u="1"/>
        <n v="70011369" u="1"/>
        <n v="70011563" u="1"/>
        <n v="70012309" u="1"/>
        <n v="70012707" u="1"/>
        <n v="70012904" u="1"/>
        <n v="70013865" u="1"/>
        <n v="70014282" u="1"/>
        <n v="70015293" u="1"/>
        <n v="70019166" u="1"/>
        <n v="70019843" u="1"/>
        <n v="70022354" u="1"/>
        <n v="70022355" u="1"/>
        <n v="70022520" u="1"/>
        <n v="70022916" u="1"/>
        <n v="70023404" u="1"/>
        <n v="70023407" u="1"/>
        <n v="70023588" u="1"/>
        <n v="70026208" u="1"/>
        <n v="70026724" u="1"/>
        <n v="70027222" u="1"/>
        <n v="70030124" u="1"/>
        <n v="70030646" u="1"/>
        <n v="70031943" u="1"/>
        <n v="70032578" u="1"/>
        <n v="70036501" u="1"/>
        <n v="70039112" u="1"/>
        <n v="70039473" u="1"/>
        <n v="70043837" u="1"/>
        <n v="70044368" u="1"/>
        <n v="70046873" u="1"/>
        <n v="70047418" u="1"/>
        <n v="70047886" u="1"/>
        <n v="70052503" u="1"/>
        <n v="70052506" u="1"/>
        <n v="70053921" u="1"/>
        <n v="70055883" u="1"/>
        <n v="70058228" u="1"/>
        <n v="70058742" u="1"/>
        <n v="70058743" u="1"/>
        <n v="70058746" u="1"/>
        <n v="70062769" u="1"/>
        <n v="70062773" u="1"/>
        <n v="70072927" u="1"/>
        <n v="70075912" u="1"/>
        <n v="70081626" u="1"/>
        <n v="70081984" u="1"/>
        <n v="70089099" u="1"/>
        <n v="70089100" u="1"/>
        <n v="70097069" u="1"/>
        <n v="70097814" u="1"/>
        <n v="70097815" u="1"/>
        <n v="70098708" u="1"/>
        <n v="70098830" u="1"/>
        <n v="70098833" u="1"/>
        <n v="70106747" u="1"/>
        <n v="70108592" u="1"/>
        <n v="70109018" u="1"/>
        <n v="70110910" u="1"/>
        <n v="70121950" u="1"/>
        <n v="70125308" u="1"/>
        <n v="70126232" u="1"/>
        <n v="70130260" u="1"/>
        <n v="70130534" u="1"/>
        <n v="70132723" u="1"/>
        <n v="70134645" u="1"/>
        <n v="70135040" u="1"/>
        <n v="70135116" u="1"/>
        <n v="70135486" u="1"/>
        <n v="756875" u="1"/>
        <n v="802287" u="1"/>
        <n v="807336" u="1"/>
        <n v="811219" u="1"/>
        <n v="847524" u="1"/>
        <n v="865491" u="1"/>
        <n v="886820" u="1"/>
        <n v="70028730" u="1"/>
        <n v="70028738" u="1"/>
        <n v="70028739" u="1"/>
        <n v="70057749" u="1"/>
        <n v="70132293" u="1"/>
        <n v="70132900" u="1"/>
        <n v="702075" u="1"/>
        <n v="706503" u="1"/>
        <n v="716984" u="1"/>
        <n v="721620" u="1"/>
        <n v="721781" u="1"/>
        <n v="721784" u="1"/>
        <n v="722908" u="1"/>
        <n v="723190" u="1"/>
        <n v="729342" u="1"/>
        <n v="743828" u="1"/>
        <n v="754593" u="1"/>
        <n v="754756" u="1"/>
        <n v="763986" u="1"/>
        <n v="764040" u="1"/>
        <n v="773372" u="1"/>
        <n v="776403" u="1"/>
        <n v="778146" u="1"/>
        <n v="778847" u="1"/>
        <n v="782294" u="1"/>
        <n v="802012" u="1"/>
        <n v="807060" u="1"/>
        <n v="807939" u="1"/>
        <n v="808068" u="1"/>
        <n v="810347" u="1"/>
        <n v="810446" u="1"/>
        <n v="810467" u="1"/>
        <n v="810478" u="1"/>
        <n v="811085" u="1"/>
        <n v="816884" u="1"/>
        <n v="834391" u="1"/>
        <n v="842223" u="1"/>
        <n v="847760" u="1"/>
        <n v="850593" u="1"/>
        <n v="867291" u="1"/>
        <n v="880204" u="1"/>
        <n v="880205" u="1"/>
        <n v="882719" u="1"/>
        <n v="886970" u="1"/>
        <n v="887833" u="1"/>
        <n v="889466" u="1"/>
        <n v="890938" u="1"/>
        <n v="893870" u="1"/>
        <n v="896987" u="1"/>
        <n v="70010960" u="1"/>
        <n v="70011638" u="1"/>
        <n v="70012902" u="1"/>
        <n v="70022246" u="1"/>
        <n v="70022247" u="1"/>
        <n v="70023739" u="1"/>
        <n v="70030983" u="1"/>
        <n v="70031004" u="1"/>
        <n v="70031005" u="1"/>
        <n v="70031006" u="1"/>
        <n v="70031132" u="1"/>
        <n v="70032803" u="1"/>
        <n v="70032973" u="1"/>
        <n v="70035903" u="1"/>
        <n v="70038269" u="1"/>
        <n v="70042956" u="1"/>
        <n v="70046939" u="1"/>
        <n v="70047596" u="1"/>
        <n v="70047597" u="1"/>
        <n v="70062172" u="1"/>
        <n v="70063141" u="1"/>
        <n v="70069189" u="1"/>
        <n v="70073897" u="1"/>
        <n v="70093741" u="1"/>
        <n v="70096723" u="1"/>
        <n v="70117784" u="1"/>
        <n v="70129788" u="1"/>
        <n v="70130638" u="1"/>
        <n v="70132079" u="1"/>
        <n v="70135646" u="1"/>
        <n v="701640" u="1"/>
        <n v="724927" u="1"/>
        <n v="730298" u="1"/>
        <n v="730300" u="1"/>
        <n v="744011" u="1"/>
        <n v="754978" u="1"/>
        <n v="758908" u="1"/>
        <n v="758941" u="1"/>
        <n v="796637" u="1"/>
        <n v="805076" u="1"/>
        <n v="807964" u="1"/>
        <n v="825564" u="1"/>
        <n v="828409" u="1"/>
        <n v="859397" u="1"/>
        <n v="859399" u="1"/>
        <n v="859402" u="1"/>
        <n v="867004" u="1"/>
        <n v="882180" u="1"/>
        <n v="890456" u="1"/>
        <n v="890457" u="1"/>
        <n v="893100" u="1"/>
        <n v="70000197" u="1"/>
        <n v="70031500" u="1"/>
        <n v="70094027" u="1"/>
        <n v="70094051" u="1"/>
        <n v="70102702" u="1"/>
        <n v="701020" u="1"/>
        <n v="707297" u="1"/>
        <n v="709179" u="1"/>
        <n v="721905" u="1"/>
        <n v="726335" u="1"/>
        <n v="747055" u="1"/>
        <n v="750393" u="1"/>
        <n v="778701" u="1"/>
        <n v="778764" u="1"/>
        <n v="801846" u="1"/>
        <n v="803191" u="1"/>
        <n v="805577" u="1"/>
        <n v="805832" u="1"/>
        <n v="806591" u="1"/>
        <n v="807348" u="1"/>
        <n v="813224" u="1"/>
        <n v="814803" u="1"/>
        <n v="825552" u="1"/>
        <n v="837061" u="1"/>
        <n v="837723" u="1"/>
        <n v="838321" u="1"/>
        <n v="844601" u="1"/>
        <n v="847693" u="1"/>
        <n v="847696" u="1"/>
        <n v="847699" u="1"/>
        <n v="847702" u="1"/>
        <n v="853081" u="1"/>
        <n v="859388" u="1"/>
        <n v="859466" u="1"/>
        <n v="860358" u="1"/>
        <n v="860482" u="1"/>
        <n v="860808" u="1"/>
        <n v="864960" u="1"/>
        <n v="866583" u="1"/>
        <n v="867900" u="1"/>
        <n v="873674" u="1"/>
        <n v="876629" u="1"/>
        <n v="883465" u="1"/>
        <n v="884442" u="1"/>
        <n v="885066" u="1"/>
        <n v="890399" u="1"/>
        <n v="891646" u="1"/>
        <n v="892843" u="1"/>
        <n v="70004459" u="1"/>
        <n v="70004905" u="1"/>
        <n v="70016273" u="1"/>
        <n v="70019740" u="1"/>
        <n v="70025550" u="1"/>
        <n v="70037383" u="1"/>
        <n v="70046815" u="1"/>
        <n v="70048352" u="1"/>
        <n v="70054782" u="1"/>
        <n v="70061290" u="1"/>
        <n v="70062460" u="1"/>
        <n v="70063974" u="1"/>
        <n v="70068243" u="1"/>
        <n v="70072620" u="1"/>
        <n v="70075885" u="1"/>
        <n v="70085505" u="1"/>
        <n v="70095819" u="1"/>
        <n v="70098483" u="1"/>
        <n v="70102375" u="1"/>
        <n v="70120864" u="1"/>
        <n v="70121985" u="1"/>
        <n v="70127935" u="1"/>
        <n v="70132778" u="1"/>
        <n v="70132779" u="1"/>
        <n v="70133683" u="1"/>
        <n v="70135315" u="1"/>
        <n v="70136046" u="1"/>
        <n v="70136131" u="1"/>
        <n v="70118260" u="1"/>
        <n v="702208" u="1"/>
        <n v="709788" u="1"/>
        <n v="714356" u="1"/>
        <n v="717453" u="1"/>
        <n v="736133" u="1"/>
        <n v="737178" u="1"/>
        <n v="745484" u="1"/>
        <n v="750557" u="1"/>
        <n v="752127" u="1"/>
        <n v="757786" u="1"/>
        <n v="760265" u="1"/>
        <n v="766023" u="1"/>
        <n v="767927" u="1"/>
        <n v="771810" u="1"/>
        <n v="772671" u="1"/>
        <n v="774115" u="1"/>
        <n v="775758" u="1"/>
        <n v="776849" u="1"/>
        <n v="777554" u="1"/>
        <n v="787354" u="1"/>
        <n v="799049" u="1"/>
        <n v="808231" u="1"/>
        <n v="809354" u="1"/>
        <n v="821641" u="1"/>
        <n v="826737" u="1"/>
        <n v="842443" u="1"/>
        <n v="842444" u="1"/>
        <n v="865173" u="1"/>
        <n v="866447" u="1"/>
        <n v="866579" u="1"/>
        <n v="866599" u="1"/>
        <n v="866902" u="1"/>
        <n v="867854" u="1"/>
        <n v="868044" u="1"/>
        <n v="868045" u="1"/>
        <n v="874075" u="1"/>
        <n v="875027" u="1"/>
        <n v="888784" u="1"/>
        <n v="891397" u="1"/>
        <n v="898763" u="1"/>
        <n v="70001480" u="1"/>
        <n v="70005651" u="1"/>
        <n v="70005664" u="1"/>
        <n v="70005665" u="1"/>
        <n v="70005677" u="1"/>
        <n v="70005679" u="1"/>
        <n v="70005681" u="1"/>
        <n v="70007733" u="1"/>
        <n v="70017744" u="1"/>
        <n v="70019159" u="1"/>
        <n v="70027990" u="1"/>
        <n v="70032489" u="1"/>
        <n v="70037593" u="1"/>
        <n v="70037612" u="1"/>
        <n v="70045086" u="1"/>
        <n v="70047270" u="1"/>
        <n v="70048006" u="1"/>
        <n v="70048007" u="1"/>
        <n v="70063004" u="1"/>
        <n v="70063461" u="1"/>
        <n v="70079875" u="1"/>
        <n v="70083243" u="1"/>
        <n v="70096620" u="1"/>
        <n v="70096801" u="1"/>
        <n v="70103044" u="1"/>
        <n v="70116853" u="1"/>
        <n v="70131854" u="1"/>
        <n v="70132924" u="1"/>
        <n v="70132925" u="1"/>
        <n v="70132926" u="1"/>
        <n v="70132927" u="1"/>
        <n v="70132929" u="1"/>
        <n v="70132930" u="1"/>
        <n v="70132931" u="1"/>
        <n v="70132932" u="1"/>
        <n v="70132933" u="1"/>
        <n v="70132934" u="1"/>
        <n v="70132935" u="1"/>
        <n v="70132936" u="1"/>
        <n v="70132937" u="1"/>
        <n v="70132938" u="1"/>
        <n v="70132939" u="1"/>
        <n v="70132940" u="1"/>
        <n v="70132941" u="1"/>
        <n v="70132942" u="1"/>
        <n v="70132943" u="1"/>
        <n v="70132944" u="1"/>
        <n v="70132947" u="1"/>
        <n v="70132948" u="1"/>
        <n v="70132957" u="1"/>
        <n v="70132958" u="1"/>
        <n v="70133359" u="1"/>
        <n v="70133572" u="1"/>
        <n v="70133573" u="1"/>
        <n v="70133574" u="1"/>
        <n v="70133575" u="1"/>
        <n v="70133577" u="1"/>
        <n v="70133578" u="1"/>
        <n v="70135061" u="1"/>
        <n v="70135062" u="1"/>
        <n v="70135063" u="1"/>
        <n v="70135064" u="1"/>
        <n v="70135113" u="1"/>
        <n v="70135958" u="1"/>
        <n v="70062962" u="1"/>
        <n v="70135715" u="1"/>
        <n v="764553" u="1"/>
        <n v="70016153" u="1"/>
        <n v="722283" u="1"/>
        <n v="766912" u="1"/>
        <n v="70048234" u="1"/>
        <n v="804201" u="1"/>
        <n v="853465" u="1"/>
        <n v="70133686" u="1"/>
        <n v="70136133" u="1"/>
        <n v="70136134" u="1"/>
        <n v="806177" u="1"/>
        <n v="806214" u="1"/>
        <n v="811145" u="1"/>
        <n v="70133156" u="1"/>
        <n v="70135675" u="1"/>
        <n v="70135676" u="1"/>
        <n v="70135677" u="1"/>
        <n v="807360" u="1"/>
        <n v="897635" u="1"/>
        <n v="724413" u="1"/>
        <n v="777305" u="1"/>
        <n v="850103" u="1"/>
        <n v="865548" u="1"/>
        <n v="70044006" u="1"/>
        <n v="70069181" u="1"/>
        <n v="70135485" u="1"/>
        <n v="722276" u="1"/>
        <n v="730463" u="1"/>
        <n v="736725" u="1"/>
        <n v="763503" u="1"/>
        <n v="790028" u="1"/>
        <n v="844490" u="1"/>
        <n v="893791" u="1"/>
        <n v="70003103" u="1"/>
        <n v="70031647" u="1"/>
        <n v="70035904" u="1"/>
        <n v="70128363" u="1"/>
        <n v="70134644" u="1"/>
        <n v="70135266" u="1"/>
        <n v="70135801" u="1"/>
        <n v="804110" u="1"/>
        <n v="860382" u="1"/>
        <n v="70026335" u="1"/>
        <n v="70127085" u="1"/>
        <n v="70134131" u="1"/>
        <n v="709683" u="1"/>
        <n v="718598" u="1"/>
        <n v="747810" u="1"/>
        <n v="751779" u="1"/>
        <n v="803154" u="1"/>
        <n v="803155" u="1"/>
        <n v="809033" u="1"/>
        <n v="809034" u="1"/>
        <n v="820576" u="1"/>
        <n v="836741" u="1"/>
        <n v="862994" u="1"/>
        <n v="862999" u="1"/>
        <n v="863000" u="1"/>
        <n v="863927" u="1"/>
        <n v="873427" u="1"/>
        <n v="875540" u="1"/>
        <n v="875628" u="1"/>
        <n v="877743" u="1"/>
        <n v="882052" u="1"/>
        <n v="884037" u="1"/>
        <n v="885291" u="1"/>
        <n v="895925" u="1"/>
        <n v="70022629" u="1"/>
        <n v="70030909" u="1"/>
        <n v="70036734" u="1"/>
        <n v="70040046" u="1"/>
        <n v="70045090" u="1"/>
        <n v="70048233" u="1"/>
        <n v="70060411" u="1"/>
        <n v="70091934" u="1"/>
        <n v="70106911" u="1"/>
        <n v="70135559" u="1"/>
        <n v="70135577" u="1"/>
        <n v="70135654" u="1"/>
        <n v="72006569" u="1"/>
        <n v="708707" u="1"/>
        <n v="717817" u="1"/>
        <n v="722243" u="1"/>
        <n v="725425" u="1"/>
        <n v="726316" u="1"/>
        <n v="731436" u="1"/>
        <n v="761645" u="1"/>
        <n v="769799" u="1"/>
        <n v="777662" u="1"/>
        <n v="793286" u="1"/>
        <n v="805771" u="1"/>
        <n v="807992" u="1"/>
        <n v="808069" u="1"/>
        <n v="813894" u="1"/>
        <n v="815442" u="1"/>
        <n v="820982" u="1"/>
        <n v="821273" u="1"/>
        <n v="827197" u="1"/>
        <n v="829432" u="1"/>
        <n v="849432" u="1"/>
        <n v="850095" u="1"/>
        <n v="854661" u="1"/>
        <n v="862025" u="1"/>
        <n v="863031" u="1"/>
        <n v="865417" u="1"/>
        <n v="867167" u="1"/>
        <n v="872635" u="1"/>
        <n v="873144" u="1"/>
        <n v="881324" u="1"/>
        <n v="886114" u="1"/>
        <n v="886130" u="1"/>
        <n v="886132" u="1"/>
        <n v="888690" u="1"/>
        <n v="894560" u="1"/>
        <n v="70002187" u="1"/>
        <n v="70002481" u="1"/>
        <n v="70013401" u="1"/>
        <n v="70019815" u="1"/>
        <n v="70026110" u="1"/>
        <n v="70036976" u="1"/>
        <n v="70053985" u="1"/>
        <n v="70065786" u="1"/>
        <n v="70071059" u="1"/>
        <n v="70081837" u="1"/>
        <n v="70084357" u="1"/>
        <n v="70084359" u="1"/>
        <n v="70084360" u="1"/>
        <n v="70084367" u="1"/>
        <n v="70094731" u="1"/>
        <n v="70097812" u="1"/>
        <n v="70110317" u="1"/>
        <n v="70117226" u="1"/>
        <n v="70119130" u="1"/>
        <n v="70129783" u="1"/>
        <n v="70133911" u="1"/>
        <n v="70135946" u="1"/>
        <n v="711944" u="1"/>
        <n v="714506" u="1"/>
        <n v="718604" u="1"/>
        <n v="718616" u="1"/>
        <n v="718815" u="1"/>
        <n v="719354" u="1"/>
        <n v="721558" u="1"/>
        <n v="721716" u="1"/>
        <n v="721790" u="1"/>
        <n v="726961" u="1"/>
        <n v="727376" u="1"/>
        <n v="734967" u="1"/>
        <n v="745617" u="1"/>
        <n v="749119" u="1"/>
        <n v="758371" u="1"/>
        <n v="758374" u="1"/>
        <n v="758375" u="1"/>
        <n v="763104" u="1"/>
        <n v="764012" u="1"/>
        <n v="767346" u="1"/>
        <n v="767778" u="1"/>
        <n v="767979" u="1"/>
        <n v="768371" u="1"/>
        <n v="774993" u="1"/>
        <n v="810189" u="1"/>
        <n v="821293" u="1"/>
        <n v="825934" u="1"/>
        <n v="828046" u="1"/>
        <n v="830605" u="1"/>
        <n v="837733" u="1"/>
        <n v="841320" u="1"/>
        <n v="841494" u="1"/>
        <n v="843790" u="1"/>
        <n v="846648" u="1"/>
        <n v="860871" u="1"/>
        <n v="860872" u="1"/>
        <n v="860873" u="1"/>
        <n v="861100" u="1"/>
        <n v="864636" u="1"/>
        <n v="865172" u="1"/>
        <n v="865281" u="1"/>
        <n v="865285" u="1"/>
        <n v="866336" u="1"/>
        <n v="867975" u="1"/>
        <n v="871077" u="1"/>
        <n v="871693" u="1"/>
        <n v="880920" u="1"/>
        <n v="881291" u="1"/>
        <n v="882370" u="1"/>
        <n v="884401" u="1"/>
        <n v="885564" u="1"/>
        <n v="885599" u="1"/>
        <n v="888311" u="1"/>
        <n v="889184" u="1"/>
        <n v="891078" u="1"/>
        <n v="892883" u="1"/>
        <n v="896264" u="1"/>
        <n v="896293" u="1"/>
        <n v="898259" u="1"/>
        <n v="70003711" u="1"/>
        <n v="70006159" u="1"/>
        <n v="70006294" u="1"/>
        <n v="70012258" u="1"/>
        <n v="70017820" u="1"/>
        <n v="70018925" u="1"/>
        <n v="70022513" u="1"/>
        <n v="70024217" u="1"/>
        <n v="70026582" u="1"/>
        <n v="70028916" u="1"/>
        <n v="70029212" u="1"/>
        <n v="70031968" u="1"/>
        <n v="70033106" u="1"/>
        <n v="70042254" u="1"/>
        <n v="70043580" u="1"/>
        <n v="70043989" u="1"/>
        <n v="70044040" u="1"/>
        <n v="70046872" u="1"/>
        <n v="70047417" u="1"/>
        <n v="70047595" u="1"/>
        <n v="70058731" u="1"/>
        <n v="70068404" u="1"/>
        <n v="70087119" u="1"/>
        <n v="70087667" u="1"/>
        <n v="70094019" u="1"/>
        <n v="70094057" u="1"/>
        <n v="70098201" u="1"/>
        <n v="70104074" u="1"/>
        <n v="70108182" u="1"/>
        <n v="70131091" u="1"/>
        <n v="70133682" u="1"/>
        <n v="70133951" u="1"/>
        <n v="70135087" u="1"/>
        <n v="841089" u="1"/>
        <n v="70016461" u="1"/>
        <n v="70086079" u="1"/>
        <n v="70086080" u="1"/>
        <n v="70106325" u="1"/>
        <n v="70108159" u="1"/>
        <n v="70112000" u="1"/>
        <n v="70129868" u="1"/>
        <n v="70131061" u="1"/>
        <n v="70131063" u="1"/>
        <n v="70133700" u="1"/>
        <n v="70134128" u="1"/>
        <n v="70134933" u="1"/>
        <n v="718612" u="1"/>
        <n v="718614" u="1"/>
        <n v="718625" u="1"/>
        <n v="718631" u="1"/>
        <n v="718633" u="1"/>
        <n v="718647" u="1"/>
        <n v="718668" u="1"/>
        <n v="718753" u="1"/>
        <n v="718869" u="1"/>
        <n v="721548" u="1"/>
        <n v="727377" u="1"/>
        <n v="728037" u="1"/>
        <n v="730032" u="1"/>
        <n v="744316" u="1"/>
        <n v="746580" u="1"/>
        <n v="748084" u="1"/>
        <n v="752011" u="1"/>
        <n v="763987" u="1"/>
        <n v="763996" u="1"/>
        <n v="764064" u="1"/>
        <n v="766541" u="1"/>
        <n v="767191" u="1"/>
        <n v="771668" u="1"/>
        <n v="772905" u="1"/>
        <n v="779575" u="1"/>
        <n v="800763" u="1"/>
        <n v="801663" u="1"/>
        <n v="804176" u="1"/>
        <n v="804177" u="1"/>
        <n v="804191" u="1"/>
        <n v="804192" u="1"/>
        <n v="806179" u="1"/>
        <n v="810525" u="1"/>
        <n v="812552" u="1"/>
        <n v="814305" u="1"/>
        <n v="817847" u="1"/>
        <n v="818052" u="1"/>
        <n v="818058" u="1"/>
        <n v="818111" u="1"/>
        <n v="818144" u="1"/>
        <n v="820873" u="1"/>
        <n v="822253" u="1"/>
        <n v="822674" u="1"/>
        <n v="825346" u="1"/>
        <n v="825448" u="1"/>
        <n v="833267" u="1"/>
        <n v="836116" u="1"/>
        <n v="841202" u="1"/>
        <n v="841246" u="1"/>
        <n v="841527" u="1"/>
        <n v="841681" u="1"/>
        <n v="841683" u="1"/>
        <n v="841690" u="1"/>
        <n v="841700" u="1"/>
        <n v="841779" u="1"/>
        <n v="844646" u="1"/>
        <n v="844647" u="1"/>
        <n v="844651" u="1"/>
        <n v="846411" u="1"/>
        <n v="846551" u="1"/>
        <n v="850624" u="1"/>
        <n v="851815" u="1"/>
        <n v="851816" u="1"/>
        <n v="858425" u="1"/>
        <n v="863361" u="1"/>
        <n v="865869" u="1"/>
        <n v="872211" u="1"/>
        <n v="879988" u="1"/>
        <n v="886131" u="1"/>
        <n v="887829" u="1"/>
        <n v="893610" u="1"/>
        <n v="894238" u="1"/>
        <n v="897892" u="1"/>
        <n v="70004452" u="1"/>
        <n v="70004578" u="1"/>
        <n v="70007468" u="1"/>
        <n v="70008763" u="1"/>
        <n v="70011635" u="1"/>
        <n v="70011636" u="1"/>
        <n v="70011637" u="1"/>
        <n v="70012903" u="1"/>
        <n v="70018803" u="1"/>
        <n v="70042066" u="1"/>
        <n v="70046514" u="1"/>
        <n v="70073658" u="1"/>
        <n v="70076210" u="1"/>
        <n v="70086072" u="1"/>
        <n v="70086076" u="1"/>
        <n v="70086077" u="1"/>
        <n v="70086078" u="1"/>
        <n v="70086081" u="1"/>
        <n v="70096187" u="1"/>
        <n v="70127936" u="1"/>
        <n v="70130506" u="1"/>
        <n v="70133389" u="1"/>
        <n v="70133390" u="1"/>
        <n v="70133964" u="1"/>
        <n v="70133965" u="1"/>
        <n v="70135721" u="1"/>
        <n v="301900" u="1"/>
        <n v="301901" u="1"/>
        <n v="713589" u="1"/>
        <n v="723461" u="1"/>
        <n v="810904" u="1"/>
        <n v="818757" u="1"/>
        <n v="825562" u="1"/>
        <n v="835467" u="1"/>
        <n v="837208" u="1"/>
        <n v="851466" u="1"/>
        <n v="869017" u="1"/>
        <n v="869036" u="1"/>
        <n v="870003" u="1"/>
        <n v="875811" u="1"/>
        <n v="890681" u="1"/>
        <n v="899197" u="1"/>
        <n v="70027201" u="1"/>
        <n v="70077293" u="1"/>
        <n v="70085559" u="1"/>
        <n v="70087529" u="1"/>
        <n v="70123645" u="1"/>
        <n v="70124128" u="1"/>
        <n v="70125556" u="1"/>
        <n v="70125570" u="1"/>
        <n v="70125571" u="1"/>
        <n v="70125572" u="1"/>
        <n v="70125573" u="1"/>
        <n v="70125574" u="1"/>
        <n v="70133388" u="1"/>
        <n v="70133701" u="1"/>
        <n v="70133704" u="1"/>
        <n v="70134036" u="1"/>
        <n v="70134127" u="1"/>
        <n v="70134130" u="1"/>
        <n v="70135644" u="1"/>
        <n v="70135720" u="1"/>
        <n v="880428" u="1"/>
        <n v="70032972" u="1"/>
        <n v="70022058" u="1"/>
        <n v="70132715" u="1"/>
        <n v="723755" u="1"/>
        <n v="756994" u="1"/>
        <n v="758391" u="1"/>
        <n v="767317" u="1"/>
        <n v="768457" u="1"/>
        <n v="770350" u="1"/>
        <n v="801459" u="1"/>
        <n v="804988" u="1"/>
        <n v="810139" u="1"/>
        <n v="810250" u="1"/>
        <n v="827625" u="1"/>
        <n v="828087" u="1"/>
        <n v="839407" u="1"/>
        <n v="841308" u="1"/>
        <n v="841687" u="1"/>
        <n v="842369" u="1"/>
        <n v="844511" u="1"/>
        <n v="844523" u="1"/>
        <n v="844539" u="1"/>
        <n v="848024" u="1"/>
        <n v="848025" u="1"/>
        <n v="853977" u="1"/>
        <n v="858181" u="1"/>
        <n v="862041" u="1"/>
        <n v="865749" u="1"/>
        <n v="865760" u="1"/>
        <n v="868745" u="1"/>
        <n v="869253" u="1"/>
        <n v="871464" u="1"/>
        <n v="871811" u="1"/>
        <n v="872000" u="1"/>
        <n v="872001" u="1"/>
        <n v="877296" u="1"/>
        <n v="880586" u="1"/>
        <n v="884774" u="1"/>
        <n v="885601" u="1"/>
        <n v="889539" u="1"/>
        <n v="899370" u="1"/>
        <n v="70001775" u="1"/>
        <n v="70002705" u="1"/>
        <n v="70003080" u="1"/>
        <n v="70004795" u="1"/>
        <n v="70010663" u="1"/>
        <n v="70011368" u="1"/>
        <n v="70017088" u="1"/>
        <n v="70019814" u="1"/>
        <n v="70025263" u="1"/>
        <n v="70025935" u="1"/>
        <n v="70033684" u="1"/>
        <n v="70033685" u="1"/>
        <n v="70033746" u="1"/>
        <n v="70037248" u="1"/>
        <n v="70040034" u="1"/>
        <n v="70053266" u="1"/>
        <n v="70065268" u="1"/>
        <n v="70069779" u="1"/>
        <n v="70071176" u="1"/>
        <n v="70072995" u="1"/>
        <n v="70081419" u="1"/>
        <n v="70085266" u="1"/>
        <n v="70087898" u="1"/>
        <n v="70102703" u="1"/>
        <n v="70111439" u="1"/>
        <n v="70111470" u="1"/>
        <n v="70115941" u="1"/>
        <n v="70120412" u="1"/>
        <n v="70122708" u="1"/>
        <n v="70134984" u="1"/>
        <n v="70135275" u="1"/>
        <n v="70135684" u="1"/>
        <n v="705988" u="1"/>
        <n v="718210" u="1"/>
        <n v="741900" u="1"/>
        <n v="757977" u="1"/>
        <n v="814657" u="1"/>
        <n v="873376" u="1"/>
        <n v="70031427" u="1"/>
        <n v="70044054" u="1"/>
        <n v="70045561" u="1"/>
        <n v="70057474" u="1"/>
        <n v="70086000" u="1"/>
        <n v="70086001" u="1"/>
        <n v="70086002" u="1"/>
        <n v="70086003" u="1"/>
        <n v="70086004" u="1"/>
        <n v="70086005" u="1"/>
        <n v="70086008" u="1"/>
        <n v="70086009" u="1"/>
        <n v="70086010" u="1"/>
        <n v="70086011" u="1"/>
        <n v="70086022" u="1"/>
        <n v="70086027" u="1"/>
        <n v="70086028" u="1"/>
        <n v="70086029" u="1"/>
        <n v="70086030" u="1"/>
        <n v="70086040" u="1"/>
        <n v="70086041" u="1"/>
        <n v="70086042" u="1"/>
        <n v="70086043" u="1"/>
        <n v="70086044" u="1"/>
        <n v="70086048" u="1"/>
        <n v="70086049" u="1"/>
        <n v="70086050" u="1"/>
        <n v="70086051" u="1"/>
        <n v="70086055" u="1"/>
        <n v="70086056" u="1"/>
        <n v="70086057" u="1"/>
        <n v="70086069" u="1"/>
        <n v="70086070" u="1"/>
        <n v="70086071" u="1"/>
        <n v="70086075" u="1"/>
        <n v="70086082" u="1"/>
        <n v="70086084" u="1"/>
        <n v="70086085" u="1"/>
        <n v="70086086" u="1"/>
        <n v="70086087" u="1"/>
        <n v="70086090" u="1"/>
        <n v="70086104" u="1"/>
        <n v="70086105" u="1"/>
        <n v="70086106" u="1"/>
        <n v="70086107" u="1"/>
        <n v="70086108" u="1"/>
        <n v="70086110" u="1"/>
        <n v="70086130" u="1"/>
        <n v="70086131" u="1"/>
        <n v="70086132" u="1"/>
        <n v="70086137" u="1"/>
        <n v="70086138" u="1"/>
        <n v="70086139" u="1"/>
        <n v="70086143" u="1"/>
        <n v="70086144" u="1"/>
        <n v="70086145" u="1"/>
        <n v="70086146" u="1"/>
        <n v="70086147" u="1"/>
        <n v="70100624" u="1"/>
        <n v="70100627" u="1"/>
        <n v="70100628" u="1"/>
        <n v="70100643" u="1"/>
        <n v="70111992" u="1"/>
        <n v="70111993" u="1"/>
        <n v="70111994" u="1"/>
        <n v="70111995" u="1"/>
        <n v="70111996" u="1"/>
        <n v="70111997" u="1"/>
        <n v="70111998" u="1"/>
        <n v="70111999" u="1"/>
        <n v="70112029" u="1"/>
        <n v="70112941" u="1"/>
        <n v="70123586" u="1"/>
        <n v="70133621" u="1"/>
        <n v="70133623" u="1"/>
        <n v="70133624" u="1"/>
        <n v="702712" u="1"/>
        <n v="723318" u="1"/>
        <n v="725090" u="1"/>
        <n v="727241" u="1"/>
        <n v="758951" u="1"/>
        <n v="768360" u="1"/>
        <n v="815446" u="1"/>
        <n v="824298" u="1"/>
        <n v="837792" u="1"/>
        <n v="844502" u="1"/>
        <n v="888777" u="1"/>
        <n v="70023628" u="1"/>
        <n v="70029660" u="1"/>
        <n v="70030879" u="1"/>
        <n v="70032053" u="1"/>
        <n v="70037592" u="1"/>
        <n v="70039358" u="1"/>
        <n v="70053863" u="1"/>
        <n v="70076141" u="1"/>
        <n v="70084369" u="1"/>
        <n v="70084371" u="1"/>
        <n v="70113612" u="1"/>
        <n v="70127271" u="1"/>
        <n v="70130986" u="1"/>
        <n v="70133970" u="1"/>
        <n v="70134326" u="1"/>
        <n v="747883" u="1"/>
        <n v="847701" u="1"/>
        <n v="858334" u="1"/>
        <n v="867856" u="1"/>
        <n v="887514" u="1"/>
        <n v="894475" u="1"/>
        <n v="895424" u="1"/>
        <n v="70009264" u="1"/>
        <n v="70035060" u="1"/>
        <n v="70048657" u="1"/>
        <n v="70079195" u="1"/>
        <n v="70108275" u="1"/>
        <n v="70132812" u="1"/>
        <n v="70132815" u="1"/>
        <n v="703857" u="1"/>
        <n v="716997" u="1"/>
        <n v="717835" u="1"/>
        <n v="749451" u="1"/>
        <n v="762980" u="1"/>
        <n v="774344" u="1"/>
        <n v="787980" u="1"/>
        <n v="788808" u="1"/>
        <n v="789403" u="1"/>
        <n v="810188" u="1"/>
        <n v="815326" u="1"/>
        <n v="817614" u="1"/>
        <n v="842942" u="1"/>
        <n v="844225" u="1"/>
        <n v="844398" u="1"/>
        <n v="844399" u="1"/>
        <n v="845715" u="1"/>
        <n v="860096" u="1"/>
        <n v="860645" u="1"/>
        <n v="871437" u="1"/>
        <n v="877838" u="1"/>
        <n v="879498" u="1"/>
        <n v="885392" u="1"/>
        <n v="888264" u="1"/>
        <n v="893089" u="1"/>
        <n v="70034216" u="1"/>
        <n v="70037590" u="1"/>
        <n v="70038628" u="1"/>
        <n v="70041628" u="1"/>
        <n v="70044320" u="1"/>
        <n v="70044851" u="1"/>
        <n v="70069048" u="1"/>
        <n v="70073896" u="1"/>
        <n v="70075456" u="1"/>
        <n v="70078140" u="1"/>
        <n v="70101758" u="1"/>
        <n v="70132839" u="1"/>
        <n v="70132841" u="1"/>
        <n v="70132842" u="1"/>
        <n v="70133091" u="1"/>
        <n v="70133581" u="1"/>
        <n v="70134108" u="1"/>
        <n v="70135115" u="1"/>
        <n v="723127" u="1"/>
        <n v="763487" u="1"/>
        <n v="70031418" u="1"/>
        <n v="70133176" u="1"/>
        <n v="736275" u="1"/>
        <n v="859455" u="1"/>
        <n v="717136" u="1"/>
        <n v="717231" u="1"/>
        <n v="721562" u="1"/>
        <n v="735674" u="1"/>
        <n v="741671" u="1"/>
        <n v="743963" u="1"/>
        <n v="744315" u="1"/>
        <n v="776672" u="1"/>
        <n v="777680" u="1"/>
        <n v="824419" u="1"/>
        <n v="873635" u="1"/>
        <n v="70007241" u="1"/>
        <n v="70013647" u="1"/>
        <n v="70015475" u="1"/>
        <n v="70046475" u="1"/>
        <n v="70075545" u="1"/>
        <n v="70077400" u="1"/>
        <n v="70084761" u="1"/>
        <n v="842624" u="1"/>
        <n v="888904" u="1"/>
        <n v="70033744" u="1"/>
        <n v="767577" u="1"/>
        <n v="70009785" u="1"/>
        <n v="873371" u="1"/>
        <n v="723109" u="1"/>
        <n v="70102138" u="1"/>
        <n v="70041170" u="1"/>
      </sharedItems>
    </cacheField>
    <cacheField name="Denomin." numFmtId="0">
      <sharedItems count="1417">
        <s v="UREA AGRICOLA                           "/>
        <s v="AGUA D/MESA 20L BIDON SAN PEDRO         "/>
        <s v="SULFATO D/COBRE PENTA 25% SCOx25KG      "/>
        <s v="ACIDO MURIATICO ENVASE DE 980 ML        "/>
        <s v="PAPEL TOALLA JUMBO SUMAC 1UND X 130MT   "/>
        <s v="AQUAZIX E52 [PEROX D/HID]CILx200KG      "/>
        <s v="FILTRO TOMA VALVULA 1/2 BRONCE-SOSTENED "/>
        <s v="LOCTITE C5-A COBRE ANTI-SEIZE-1Lb       "/>
        <s v="FILTRO D/PETROLEO LOMBARDINI 9LD625/2   "/>
        <s v="ESPARRAGO INOX 5/8&quot;X1M                  "/>
        <s v="TUERCA HEX. INOX. 5/8                   "/>
        <s v="ANILLO PRESION INOX. 5/8                "/>
        <s v="ESPARRAGO M16 X 1MT ACERO INOX          "/>
        <s v="TUERCA HEXAGONAL M-16 INOXIDABLE        "/>
        <s v="ANILLO PRESION M-16 INOX                "/>
        <s v="ANILLO PLANO ACERO INOX. M16 NC         "/>
        <s v="ANILLO PLANO 5/8&quot; INOX C316             "/>
        <s v="BIOECOL [AMIN FORTE 80] BLS 20KG        "/>
        <s v="BIOPLUS QUITOSANO 5%+AMINOACIDOS BIDx20L"/>
        <s v="SILICONA GRIS 85GR  V/CHEM              "/>
        <s v="LOCTITE-609                             "/>
        <s v="SIKAFLEX GRIS SALCHICHA  DE 600 ML      "/>
        <s v="ALAMBRE Nº 8 PARA CONSTRUCCION          "/>
        <s v="THINNER ACRILICO                        "/>
        <s v="AMINOFUL[ACIDO FULVICO/MAT ORGANI]GRANEL"/>
        <s v="ARO SELLO 274A-253.59 X 3.53  LS040792  "/>
        <s v="ARO SELLO 300 X 5 - (LS040597)          "/>
        <s v="ACEITE HIDRAULICO SAE 68                "/>
        <s v="BOCINA EJE PREN 1. 7/16-140mm-HC1E250045"/>
        <s v="TABLERO VARIADOR FRECUENCIA 150HP 440V  "/>
        <s v="Empaq. Teflonada 3/8&quot;                   "/>
        <s v="KIT OTRAETAPA 4025877  BOMBA MULTI V 206"/>
        <s v="ELASTOMERO JOINT FLEX OMEGA 10          "/>
        <s v="ANILLO DE TOLERANCIA 7228 (SSB-0984)    "/>
        <s v="KIT DE SELLO MECANICO - CD2250          "/>
        <s v="GEL PARA ECOGRAFÍA                      "/>
        <s v="LLAVE MIXTA DE  1  15/16&quot;               "/>
        <s v="CINTILLOS DE 4.8x300 MM BOLSA x 100 UND "/>
        <s v="IMPULSOR DE BOMBA CD 250                "/>
        <s v="WEARPLATE CD 250 12-0465-0115           "/>
        <s v="REAR WEARPLATE CD 250 12-0472-0116      "/>
        <s v="ACIDO ASCORBICO SPECTRUM Q.P. x 100 gr  "/>
        <s v="METIL PARABENO SPECTRUM Q.P.            "/>
        <s v="ACIDO SORBICO SPECTRUM Q.P. x 100 gr    "/>
        <s v="LIMPIA CONTACTO CRC 32429-AA  500 ML    "/>
        <s v="Cortina para ducha                      "/>
        <s v="ALGODON HIDROFILO X 25 GR               "/>
        <s v="PRISIONERO NC 5/16 X  5/8 LS190894      "/>
        <s v="PERNO SOCKET NC 1/4 X 2.1/2 LS191161    "/>
        <s v="PINTURA ESMALTE SECADO RAPIDO AZUL HIDRO"/>
        <s v="DISCO DE CORTE 7&quot; X 1MM                 "/>
        <s v="DILUYENTE JETECOPOL                     "/>
        <s v="LIJA PARA FIERRO N° 40                  "/>
        <s v="FILTER COVER 25010402                   "/>
        <s v="BOCINA EJE PREN 1.11/16X145/B HC1D520045"/>
        <s v="ACEITE DE MOTOR 10W40                   "/>
        <s v="PERNO HEX. INOX. 316 M12X40M PASO 1.75  "/>
        <s v="MANGUE 16MM DRIPNET 16150,1.6L/H0.62M AS"/>
        <s v="BOCINA EJE  1.15/16&quot; X 2.3/8&quot; X 145 MM  "/>
        <s v="Loctite 495 Adhesivo Instantaneo        "/>
        <s v="ELASTOMERO PHE F90NRTYRE                "/>
        <s v="HARINA DE MAIZ                          "/>
        <s v="ARO SELLO 245 x 5  NITRILO - (LS040616) "/>
        <s v="VASO DESCARTABLE 4 ONZAS                "/>
        <s v="ABRAZADERA 1/2&quot; INOX 316                "/>
        <s v="NIPLE ESCAMADO MACHO NPT 1/2&quot; INOX 316  "/>
        <s v="PERNO INOX 1/2 X 2                      "/>
        <s v="PERNO INOX 1/2&quot; X 1 1/4&quot; COMPLETO       "/>
        <s v="PERNO HEX.INOX CALIDAD 316 3/4 X 4&quot;     "/>
        <s v="Empaq. Teflonada 1/2&quot;                   "/>
        <s v="SELLO MEC 21 de 1.1/8 BF501C1           "/>
        <s v="ETIQUETA POLIESTER (4.00&quot; x 4.00&quot;) 1COL,"/>
        <s v="ETIQUETA POLIESTER (2.00&quot; x 2.00&quot;) 2COL,"/>
        <s v="RIBBON DE RESINA 110X300MTRS            "/>
        <s v="RODAMIENTO 7320 BECBM                   "/>
        <s v="RODAMIENTO UN 2228 ECML                 "/>
        <s v="CINTA VULCANIZANTE 3M 19x0.76MM x 9.15mt"/>
        <s v="CINTA CAMBRIDG DE 3/4&quot;                  "/>
        <s v="LS191118 PRISIONERO NC 3/8 X 5/8        "/>
        <s v="AMETRINA[PAKATAN 500 FW] CILx200L       " u="1"/>
        <s v="PETROLEO DIESEL B5 S50                  " u="1"/>
        <s v="ACIDO SULFURICO INDUSTRIAL 96% BIDx50KG " u="1"/>
        <s v="ACIDO SULFURICO INDUSTRIAL 96% GRANEL   " u="1"/>
        <s v="ACEITE ADVANCE 4T AX5 20W50             " u="1"/>
        <s v="TRAPO INDUSTRIAL                        " u="1"/>
        <s v="GASOHOL 90 PLUS                         " u="1"/>
        <s v="FUSIBLE UNIVERSAL UÑA 20A 89804895      " u="1"/>
        <s v="FUSIBLE UNIVERSAL UÑA 30A 80092277      " u="1"/>
        <s v="LLANTA PIRELLI 600/50X22.5 HF75 AUTOVOLT" u="1"/>
        <s v="CINTA AISLANTE SUPER 33                 " u="1"/>
        <s v="MUELLE RESORTE DN 250 MM (10&quot;) P/VALVULA" u="1"/>
        <s v="ACEITE HIDRAU SHELL SPIRAX S4 TXM 10W-30" u="1"/>
        <s v="GALLETA SURTIDA CJA x 36 PQT            " u="1"/>
        <s v="MERMELADA DE FRESA DOYPACK 227GR FANNY  " u="1"/>
        <s v="CARAMELO BON AMI BISABOR 18x100x4.3GR   " u="1"/>
        <s v="ARVEJA VRD PART HOJAx500 GR             " u="1"/>
        <s v="LENTEJA BEBEx500 GR                     " u="1"/>
        <s v="ACEITE VEG. PRIMOR 900 ML               " u="1"/>
        <s v="FID.NICOLINI SPAGHETTI 450 GR           " u="1"/>
        <s v="FID.NICOLINI TORNILLO 250GR             " u="1"/>
        <s v="IDEAL AMANECER MEZCLA LACTEA LT395GR    " u="1"/>
        <s v="FILETE ATUN PRIMOR 170GR                " u="1"/>
        <s v="PAQUETE DE GALLETA CASINO               " u="1"/>
        <s v="GELATINA UNIVERSAL 130 GR               " u="1"/>
        <s v="FLAN VAINILLA UNIVERSAL 100 GR          " u="1"/>
        <s v="ESPUMANTE SANTIAGO QUEIROLO 750ML       " u="1"/>
        <s v="TABLETA CHOCOLATE P/TAZA CUSO REAL 90 GR" u="1"/>
        <s v="AVENA STA CATALINA x 100 GR             " u="1"/>
        <s v="AGUA OXIGENADA[PEROX D/HID 50%] BIDx35KG" u="1"/>
        <s v="IMPRESORA ZEBRA ZD230 C/LICENCIA        " u="1"/>
        <s v="TRASMISOR DE PRESION 1/4&quot; NPT 0-10 BAR  " u="1"/>
        <s v="PERNO 1/4&quot; x 1&quot; GRADO 8 C/ TUERCA NYLON " u="1"/>
        <s v="PERNO COMPLE/TUERCA TEFL G8 1/2 X 2 1/2 " u="1"/>
        <s v="PERNO FLAT 3/8 X 1 C/TUERCA TEFLON      " u="1"/>
        <s v="PERNO HEX. 1&quot; x 8&quot; GR 8 C/TUERCA        " u="1"/>
        <s v="PERNO 1&quot; x 10&quot; CON TUERCA - FE GRADO 8  " u="1"/>
        <s v="PEGAMENTO PVC ENVASE DE 1/4&quot; DE GALON   " u="1"/>
        <s v="RETEN 48 X 74 X 10                      " u="1"/>
        <s v="GAS REFRIGERANTE R-134A                 " u="1"/>
        <s v="ACOPLE RAPIDO 6130J AL200979 (AL166180) " u="1"/>
        <s v="ADAPTADOR MACHO DE ACOPLE RAPIDO DE 1/2 " u="1"/>
        <s v="BOQUILLA CERAMICA CHORRO PLANO-203010380" u="1"/>
        <s v="CINTA TEFLON 1/2&quot;x0.075x12MTS           " u="1"/>
        <s v="GRAPA GALV.P'CABLE 5/16&quot; CROSBY PESADA  " u="1"/>
        <s v="AFLOJATODO WD-40                        " u="1"/>
        <s v="ESCARPINES DE CUERO PARA SOLDAR         " u="1"/>
        <s v="FILTRO P-95 CONTRA POLVOS/NEBLINA2071 3M" u="1"/>
        <s v="EMPAQUETADURA JEBE P/TANQUE GRAVA 6&quot;    " u="1"/>
        <s v="RETEN 35-63-9 MM                        " u="1"/>
        <s v="LENTE SEGURIDAD GRIS 352450090072       " u="1"/>
        <s v="LENTE ANTIEMPAÑANTE REVO LUNA CLARA     " u="1"/>
        <s v="RETEN 70 - 90 - 10                      " u="1"/>
        <s v="BOLSAS FILTRO PAPEL X 5 UN ASPIR NT 75/2" u="1"/>
        <s v="FILTRO PLEGADO PLANO HEPA-14 ASPIRADORA " u="1"/>
        <s v="RETEN 80*110*12mm                       " u="1"/>
        <s v="LUBRICANTE PVC                          " u="1"/>
        <s v="ENLACE PVC 8MM x 8 MM                   " u="1"/>
        <s v="UNION REPARACION PVC 400 UF             " u="1"/>
        <s v="NIPLE PVC 90 SP X 3# R/M HILO FINO      " u="1"/>
        <s v="UNION REPARACIÓN 160mm UF  C-10         " u="1"/>
        <s v="UNION REPARACION PVC 110mm UF C-10      " u="1"/>
        <s v="ADAPTADOR POLIETILENO ESPIGA 3/4 A 16 mm" u="1"/>
        <s v="TRIPLE A[ALCOHOL POLIOXIETILENAD]BIDx20L" u="1"/>
        <s v="BATERIA DE 12 VOLTIOS Y 15 PLACAS       " u="1"/>
        <s v="MICA PARA LAMINADO A4                   " u="1"/>
        <s v="KIT DE CARPINTERIA TALADRO + SIERRA     " u="1"/>
        <s v="PAÑO ABSORBENTE WYPALL  X-70 28x42 CM   " u="1"/>
        <s v="AVENA SANTA CATALINA x 150 GR           " u="1"/>
        <s v="SET ACCESORIOS P/ATORNILLADOR X 100PZS  " u="1"/>
        <s v="ADAP 90° M BOSS3/8 x  JIC ½ AW22821     " u="1"/>
        <s v="FILTRO ANILLA 1&quot; NPT AZUD               " u="1"/>
        <s v="RESPIRADOR DE MEDIA CARA 7502 3M 2 VIAS " u="1"/>
        <s v="MANDIL PARA SOLDADOR                    " u="1"/>
        <s v="PROTECTOR AUDITIVO (TAPONES) X 2 UND    " u="1"/>
        <s v="CHAQUETA PARA APLICACIÓN C/REFUERZO     " u="1"/>
        <s v="PERNO COMPLE/TUERCA FLANJ G10.9 M12 X 25" u="1"/>
        <s v="PERNO C/ANILLO PLANO+PRESION G8 1/2 X 2&quot;" u="1"/>
        <s v="UNIÓN FLEXIBLE NEO+700-725 PN10 L2 ARPOL" u="1"/>
        <s v="UNIÓN FLEXIBLE NEO+700-725 PN10 L3 ARPOL" u="1"/>
        <s v="UNIÓN FLEXIBLE NEO+700-725 PN16 L2 ARPOL" u="1"/>
        <s v="UNIÓN FLEXIBLE NEO+900-925 PN16 L2 ARPOL" u="1"/>
        <s v="PINTURA ESMALTE ALUMINIO                " u="1"/>
        <s v="Pintura esmalte color negro             " u="1"/>
        <s v="BOTAS JEBE NEGRAS T-42                  " u="1"/>
        <s v="CARDAN CON PROTECCION-AGM 02-0243       " u="1"/>
        <s v="PASTA PARA CORTE DE ETANOL/METANOL      " u="1"/>
        <s v="RODAMIENTO SKF 22215 EK/C3              " u="1"/>
        <s v="BOCINA VOLANTE TROZADOR 0261305008      " u="1"/>
        <s v="TEE PLASSON DE 2&quot; X 2&quot; X 2&quot;             " u="1"/>
        <s v="ANILLO TORICO-CB11477130 T78313         " u="1"/>
        <s v="PASADOR PISTON ELEVADO T69030 CB01487608" u="1"/>
        <s v="CANDADO C.ELEVADOR JKGTP20001 CB11407067" u="1"/>
        <s v="BIDON PLAST 20L P/AGUA SAN PEDRO        " u="1"/>
        <s v="ARROZ SUPERIOR COSTEÑO 750 GR           " u="1"/>
        <s v="RODAJE 4T32207                          " u="1"/>
        <s v="Rodamiento conico 4T 2689  de aclarayun " u="1"/>
        <s v="KIT SELLO MECANICO 1-3-6 10VR           " u="1"/>
        <s v="VALV BOLA DOBLE UNIVERSAL PVC 1. 1/2&quot; CR" u="1"/>
        <s v="CUCHILLA CUTTER                         " u="1"/>
        <s v="BROCHA NYLON 2&quot;                         " u="1"/>
        <s v="Foco Narva H3 55 W - 12V                " u="1"/>
        <s v="CINTILLOS DE AMARRE DE 45CM X 100 UND   " u="1"/>
        <s v="CASCO PARA MOTOCICLISTAS                " u="1"/>
        <s v="KIT 2da.ETAPA 4025876 BOMBA MULTI V 206 " u="1"/>
        <s v="KIT 3er.ETAPA 4025873  BOMBA MULTI V 206" u="1"/>
        <s v="BOTIN DIELECTRICO T-40                  " u="1"/>
        <s v="FILTRO DE COMBUSTIBLE 5UM FBO 60340     " u="1"/>
        <s v="ESCOBON L:28CM X 5.3CM ROJO             " u="1"/>
        <s v="ESCOBON L:28CM X 5.3CM GRIS             " u="1"/>
        <s v="MEDIDOR DE PH/CE/TDS/SAL RANGO 0-15     " u="1"/>
        <s v="EMPAQUE NO ASBESTO 1/8&quot; X 2&quot; 150PSI     " u="1"/>
        <s v="CHUMACERA DE PARED COMPLETA F209        " u="1"/>
        <s v="90x120x12 HMSA10 RG Reten chum canterizd" u="1"/>
        <s v="ANILLO PRESION ACERO INOX. M16 NC       " u="1"/>
        <s v="TUERCA HEX INOX M16                     " u="1"/>
        <s v="Cable de Embrague codg.  embr-CB        " u="1"/>
        <s v="CANDADO PARA CABLE EMBRAGUE 2MM*2M      " u="1"/>
        <s v="FILTRO DE AIRE COMPLETO 1800206840001   " u="1"/>
        <s v="LLANTA RADIAL 11L -16 SL                " u="1"/>
        <s v="MICA PORTAPAPEL A4                      " u="1"/>
        <s v="CINTILLO 430x9mm                        " u="1"/>
        <s v="PINTURA LATEX VERDE                     " u="1"/>
        <s v="PINTURA PARA TRAFICO COLOR AMARILLO     " u="1"/>
        <s v="PINTURA LATEX PATO BLANCO HUMO CPP      " u="1"/>
        <s v="ABRAZADERA ACERO INOX 12-22MM 251010284 " u="1"/>
        <s v="BUSHING POLIETILENO 1&quot;x3/4&quot; PN10        " u="1"/>
        <s v="PIN BRAZO BALANCIN ACLARAYU 2&quot; C/CHAVETA" u="1"/>
        <s v="BOTIN DIELECTRICO T-41                  " u="1"/>
        <s v="AUTORIZACIÓN USO DE FITOSANITARIOS A5   " u="1"/>
        <s v="GUANTE MULTIFLEX ANTICORTE CUT-5PU T9   " u="1"/>
        <s v="RODAJE UC209-45 CB01437484 UC209LT3     " u="1"/>
        <s v="FUSIBLE UNIVERSAL UÑA 10A 89811773      " u="1"/>
        <s v="CONECTOR DE NYLON RECTO H 3/4&quot; 213092533" u="1"/>
        <s v="PERNO 3/8&quot; x 1-1/2&quot; GRADO 8 C/TUERCA NYL" u="1"/>
        <s v="PERNO 3/8&quot; X 1-1/4&quot; GRADO 8 C/TUERCA NYL" u="1"/>
        <s v="PERNO BIRLO 7/16 x 2&quot; - COMPLETO        " u="1"/>
        <s v="Perno completo/tuerca exagonal g5 M10x60" u="1"/>
        <s v="MANGUE 16MM DRIPNET 16150 1L/H 0.45M AS " u="1"/>
        <s v="TUERCA LATON D/FILTRO GALAXY 4&quot; ARKAL   " u="1"/>
        <s v="CHECK LIST MECANICO RECEPCION           " u="1"/>
        <s v="Perno Hexagonal Inox M12 x 45           " u="1"/>
        <s v="TEE DE PVC DE 2&quot; PESADO                 " u="1"/>
        <s v="PERNO COMPLE/TUERCA TEFL G8 3/8 X 2&quot;    " u="1"/>
        <s v="PERNO M12 X 60 C/T GRADO  8.8           " u="1"/>
        <s v="PERNO COMPLE/TUERCA TEFLO G8 1/2 X 4&quot;   " u="1"/>
        <s v="PERNO M16 X 50 GR 10.9 COMPLETO         " u="1"/>
        <s v="PERNO 7/8&quot; X 3 1/2&quot; GR5 FE COMPLETO     " u="1"/>
        <s v="FINAL DE LINEA CON ANILLOS 16 W/RING    " u="1"/>
        <s v="ESPARRAGO M12X100 C/TUERCA              " u="1"/>
        <s v="PERNO M16x35 DIN X5CrNi1810             " u="1"/>
        <s v="RASTRILLO BASCULAMIENTO 5.6 M TRINCHE   " u="1"/>
        <s v="NIPLE 1&quot; X 8&quot; INOX                      " u="1"/>
        <s v="PERNO ACERO FE M16 X 60 MM COMPLETO     " u="1"/>
        <s v="PERNO COMPLETO 7/8&quot; X 7 GRADO 8°        " u="1"/>
        <s v="LLANTA 12R22.5 FORTUNE FT206 PATA DE OSO" u="1"/>
        <s v="LCD COMPLETE FOR DREAM 2                " u="1"/>
        <s v="KIT DE ORING AGUILON FULL1000           " u="1"/>
        <s v="AGUA POTABLE                            " u="1"/>
        <s v="GUARDAMOTOR 1.6-2.5A GV2-M07 TLM        " u="1"/>
        <s v="TARJETA PERMISO TRABAJO EN CALIENTE     " u="1"/>
        <s v="PLATINA FE NE 1/4&quot;X2&quot;X6M                " u="1"/>
        <s v="CINTA AISLANTE NGR 3/4&quot;X18M TEMFLEX 3M  " u="1"/>
        <s v="SOLDIMIX DE 10 MINUTOS                  " u="1"/>
        <s v="LOCTITE 271-31 ROJO TRABA PERNOS 50ML   " u="1"/>
        <s v="SILICONA EN SPRAY                       " u="1"/>
        <s v="LLANTA 7.50 X 15                        " u="1"/>
        <s v="TERMINAL DE OJO 10AWG-1/4               " u="1"/>
        <s v="MIEL DE ABEJA                           " u="1"/>
        <s v="CONTACTOR LC1DWK12M7 63KVAR/220v        " u="1"/>
        <s v="FORMATO RECIBO INTERNO PARA RENDICIONES " u="1"/>
        <s v="INTERRUPTOR TERMOMAGNETICO RIEL 2x32AMP " u="1"/>
        <s v="CONECTOR RECTO HERMETICO LIQUID TIGHT 1&quot;" u="1"/>
        <s v="RAYO 500 FW (ATRAZINA)                  " u="1"/>
        <s v="TUBO CONDUIT FLEXIBLE C/FORRO PVC 1 1/2&quot;" u="1"/>
        <s v="JUEGO DE LLAVES ALLEN DE 1MM A 19M      " u="1"/>
        <s v="JGO DESTORNILLADOR                      " u="1"/>
        <s v="TOMACORRIENTE                           " u="1"/>
        <s v="CHAPA PARA TABLERO ELECTRICO            " u="1"/>
        <s v="ORING CUADRAD SISTEMA COMBUSTIBLE R51936" u="1"/>
        <s v="Terminal tipo ojo p/ cable de 95 MM2    " u="1"/>
        <s v="SECC. PORTAFUSIBLE XLP 00 160A          " u="1"/>
        <s v="CONTROLADOR FACTOR POTENCIA RVC-12 ABB  " u="1"/>
        <s v="FUSIBLE MINI UÑA 10A 57M7689            " u="1"/>
        <s v="FUSIBLE MINI UÑA 20A 57M7691            " u="1"/>
        <s v="ORING CB01477814                        " u="1"/>
        <s v="RELE OPTOACOPLADOR 24V CC 1 NAF         " u="1"/>
        <s v="FOCO H7 PARA FAROS DE 12 V / 55Ww       " u="1"/>
        <s v="FILTRO DE PETROLEO RE62419              " u="1"/>
        <s v="FILTRO DE MOTOR RE59754                 " u="1"/>
        <s v="FILTRO DE ACEITE AT184206               " u="1"/>
        <s v="PARAGOLPES 0151333927 COSECHADOR J.DEERE" u="1"/>
        <s v="MORDAZA TROZADOR CB01455418 3520        " u="1"/>
        <s v="TUBO TERMOCONTRAIBLE 2.5 MM  5MM2       " u="1"/>
        <s v="ENCHUFE IND.32A 3P+T 380-415VAC.IP67    " u="1"/>
        <s v="CONDENSADOR DE 30 KVAR 460 V  60HZ      " u="1"/>
        <s v="PAPEL TOALLA 24.5x21CM INTERFOL.SCOTT   " u="1"/>
        <s v="BOMBA DE TRANSFERENCIA RE539764         " u="1"/>
        <s v="CILINDRO HIDRAULICO AH176641 (AH212071) " u="1"/>
        <s v="ADAPTADOR M JIC 3/8&quot; X M JIC 3/8&quot;       " u="1"/>
        <s v="ADAPTADOR M NPT 1/8&quot; X M JIC 1/4&quot;       " u="1"/>
        <s v="JUEGO D/RETENE CB11477130 AN221526      " u="1"/>
        <s v="JUNTA CB01467138                        " u="1"/>
        <s v="RETEN TAPA CHOPPER CB01465465           " u="1"/>
        <s v="CONECTOR RECTO HERMET LIQUID TIGHT 1&quot;1/2" u="1"/>
        <s v="JUEGO DE BROCAS DE COBALTO 1/16  A 1/2  " u="1"/>
        <s v="CONECTOR RECTO 2 1/2&quot; HERME LIQUID TIGHT" u="1"/>
        <s v="MANGUERA R226646 COSEC. JD              " u="1"/>
        <s v="ORING 0491346063 COSECH. JD             " u="1"/>
        <s v="ACOPLE HEMBRA DESCOGOLLADOR 0251308308  " u="1"/>
        <s v="ANILLO TORICO CB01410580 R29480         " u="1"/>
        <s v="RETEN BOMBA 5 3 CUERP 0631304891 AT63055" u="1"/>
        <s v="ARANDELA CB01432007                     " u="1"/>
        <s v="PIN TORNAMESA INFE CB01487914 CB11464509" u="1"/>
        <s v="MUÑON 0290248282                        " u="1"/>
        <s v="ARANDELA 0110005999                     " u="1"/>
        <s v="ESLABON IZQUIERDO CADENA ORUGA T104552  " u="1"/>
        <s v="RODAJE 6211/C3 - 0120048156 JD9279      " u="1"/>
        <s v="RUEDA LOCA. RE505265                    " u="1"/>
        <s v="SENSOR DE PRESION DE ACEITE. RE167207   " u="1"/>
        <s v="CONEX. HY04-06FJ 1/4x3/8 10643-6-4      " u="1"/>
        <s v="CONEX. HY06-08FJ 3/8X1/2 10643-8-6H     " u="1"/>
        <s v="HY08-08FJ 1/2X1/2 106HY-8-8             " u="1"/>
        <s v="CONEX. HY10-10FJ90T 5/8x5/8 13943-10-10K" u="1"/>
        <s v="HY08-08FJ45T 1/2X1/2 13743-8-8          " u="1"/>
        <s v="CONEX. HY12-12FJ90T 3/4X3/4 13943-12-12K" u="1"/>
        <s v="HY04-04FJ 1/4X1/4 10643-4-4H            " u="1"/>
        <s v="CONEX. HY16-16FJ90T 1X1 13943-16-16K    " u="1"/>
        <s v="ACEITE MOTOR PARA RODAJE TY26663        " u="1"/>
        <s v="MALLA DE ENTRADA DE AIRE CB01491505     " u="1"/>
        <s v="CASQUILLO CB01432234                    " u="1"/>
        <s v="RETEN CAJA BOMBAS YZ590140 811447600    " u="1"/>
        <s v="JGO DE RETENES CB11504008               " u="1"/>
        <s v="EMPAQUETADURA DE PLOMO PARA VALVULA     " u="1"/>
        <s v="VENTILADOR EXTRACTOR 55 W/ 220 VAC      " u="1"/>
        <s v="FUSIBLE UR 500A aR BR8FA2D11A500        " u="1"/>
        <s v="FILTRO AIRE DE CABINA AL177184          " u="1"/>
        <s v="TORNAMESA DEL ELEVADOR CB11494178       " u="1"/>
        <s v="SEGURO DE PUERTA JD 0701379017          " u="1"/>
        <s v="CADENA ASA -60 PASO  3/4&quot;               " u="1"/>
        <s v="SOLVENTE CITRICO BIODEGRADABLE DISOLV-10" u="1"/>
        <s v="BISAGRA PUERTA JD AL179831              " u="1"/>
        <s v="LLAVE UNIPOLAR C60N C2                  " u="1"/>
        <s v="TOPE SUSP ORUGA RH CB11458521           " u="1"/>
        <s v="SEGURO PARA TOPE SUSP ORUGA CB01458942  " u="1"/>
        <s v="BOCINA TRASMI DELANTERA CQ45134         " u="1"/>
        <s v="CILINDRO DE GAS T6130J DQ61508          " u="1"/>
        <s v="GRILLETE L62239                         " u="1"/>
        <s v="TALONARIO FORMATO DE ATS                " u="1"/>
        <s v="CONJUNTO CONECTOR ELECTRICO JD RE12364  " u="1"/>
        <s v="BARRA CROMADA C/OREJA 2¼X31&quot; CB11475577 " u="1"/>
        <s v="SOCATE DE FOCO HB3                      " u="1"/>
        <s v="BASE KIT SUSPENSION CILIND UNIMIL 026019" u="1"/>
        <s v="ACOPLE PUNTO TESTEO BOMBAS XPD36BTX     " u="1"/>
        <s v="PLACA DE LA BOMBA TROZADOR N319869      " u="1"/>
        <s v="VASTAGO SIST FLOTACION JD3520 N233997   " u="1"/>
        <s v="BOMBA TRANFEREN DEERE RE66153 RE545665  " u="1"/>
        <s v="INTERRUP TERMOMAG 16 AMP - A9F74216     " u="1"/>
        <s v="SOLDADURA EN FRIO PEGATANKE             " u="1"/>
        <s v="MICA TRANSPARENTE DE 1.5 mm P/TABLERO   " u="1"/>
        <s v="CHAPA DE CONTACTO TRACTOR 6130J RE61717 " u="1"/>
        <s v="VARILLA DE SISTEMA FLOTACION N380649    " u="1"/>
        <s v="FILTRO SEPARADOR DE AGUA CH570 AT365869 " u="1"/>
        <s v="FILTRO DE AIRE PRIMARIO CH570 HXE11090  " u="1"/>
        <s v="FILTRO DE AIRE SECUNDARIO CH570 HXE11091" u="1"/>
        <s v="FILTRO AIRE CABINA INTERIO CH570 L214634" u="1"/>
        <s v="TUERCA BAJA TORNAMESA BT573A            " u="1"/>
        <s v="MORDAZA CUCHILLA TROZADOR CXT12137 CH570" u="1"/>
        <s v="KIT PISTON INCLINAC ROLO TUMB AHC13485  " u="1"/>
        <s v="PASADOR T201971                         " u="1"/>
        <s v="CABLE DE ALTA Y BAJA T6130J DQ53134     " u="1"/>
        <s v="SELLO DE COJINETE TRANSM. T6130J L55594 " u="1"/>
        <s v="RETEN T6130J CQ27989                    " u="1"/>
        <s v="SEGURO CH570 AT180588                   " u="1"/>
        <s v="PISTA EXT RODAMIE JD9117 T6130J M84510-N" u="1"/>
        <s v="SEGURO CABLE PALANCA CAMB T6130J L79076 " u="1"/>
        <s v="PARCHE RADIAL RAD 135 TL  203 X 14MM    " u="1"/>
        <s v="ANILLO TORICO - T77858 P/JD 6125D       " u="1"/>
        <s v="TAPON DE TAPA DE CUBO CQ27242           " u="1"/>
        <s v="FILTRO SEPARADOR. AGUA DQ24057 PARKER   " u="1"/>
        <s v="BASE RODAJE PIVOTE CQ27251 6130J        " u="1"/>
        <s v="HEAD LIGHT 16 HOUR RAYOVAC LINTER CABEZA" u="1"/>
        <s v="KIT SELLOS AT224862 CH570               " u="1"/>
        <s v="KIT SELLOS F433465 CH570                " u="1"/>
        <s v="SENSOR POSICION DIVISOR CH570 RE334232  " u="1"/>
        <s v="STICKER RIESGO ELECTRICO                " u="1"/>
        <s v="ABRAZADERA SOPORTE CAÑERIA H114432 ALZAD" u="1"/>
        <s v="BOCINA EJE DIVISOR LINEA 0110038334 CH57" u="1"/>
        <s v="MANGUERA AIRE CONDICIONAD AL216526 6130J" u="1"/>
        <s v="RETENEDOR ASPAS EXTRA PRIMARI CB01383699" u="1"/>
        <s v="BOCINA DIVISOR DE LINEA CH570 CXT16008  " u="1"/>
        <s v="RODA BR TROZ CXT10344 B52 2216-2RKIU1143" u="1"/>
        <s v="PIEDRA ESMERIL GRANO GRUESO 6&quot;X1&quot;X1.1/4&quot;" u="1"/>
        <s v="GRECA PUERTA IZQUIERDA CH570 HXE68156   " u="1"/>
        <s v="SEÑAL EXTINTOR 20 x 30                  " u="1"/>
        <s v="KIT RETENES EJE MOTOR ORUGA CH5 CXT14339" u="1"/>
        <s v="FOCO LED 12 W LUZ BLANCA                " u="1"/>
        <s v="ORING PISTON DIRECCION 6130J L53888     " u="1"/>
        <s v="PALIER PUENTE DELANTERO AL207427 6130J  " u="1"/>
        <s v="TERMINAL UÑA MACHO 14AWG CON FORRO (AL) " u="1"/>
        <s v="TARJETA PELIGRO ¡NO ACCIONAR! FAB - TJ  " u="1"/>
        <s v="LEVA DE PALANCA DE CAMBIOS L115395 6130J" u="1"/>
        <s v="ORING CONEX HIDRA 51M7100 25 X 2 MM 6130" u="1"/>
        <s v="RODAMIENTO 6048                         " u="1"/>
        <s v="CHECK LIST M. MECÁNICO DESTILERÍA       " u="1"/>
        <s v="CHECK LIST M. MECÁNICO FERMENTACIÓN     " u="1"/>
        <s v="Polea guia de cable grua hilo           " u="1"/>
        <s v="ORING BOMBA TROZADOR F37020155 CH570    " u="1"/>
        <s v="Cinta doble contacto 3/4 x 33 mts.      " u="1"/>
        <s v="ORING CAJA TROZADOR T80123 JD18         " u="1"/>
        <s v="ORING CAJA TROZADOR H64810 JD18         " u="1"/>
        <s v="RETENES CAJA TROZADOR KXT10052 JD18     " u="1"/>
        <s v="TERMINAL T. PIN #14                     " u="1"/>
        <s v="HOJA SIERRA SANFLEX                     " u="1"/>
        <s v="PERNO 5/8 X 5 5/8 CE32665 TROZADOR CH570" u="1"/>
        <s v="SOBRECAJA TROZADOR AXT17014 CH570       " u="1"/>
        <s v="ORING CONEX. MANGUERA MOTOR T78612 CH570" u="1"/>
        <s v="ORING B.HIDRAULICA 51M7048 6130J        " u="1"/>
        <s v="PERNO PUERTA BISAGRA SUP 21M7491 T6130J " u="1"/>
        <s v="BUJE DE BISAGRA DE PUERTA L155606 T6130J" u="1"/>
        <s v="BOCINA DEL PUENTE L175588 6190J         " u="1"/>
        <s v="PIN PUENTE DELANTERO 6145J L175586      " u="1"/>
        <s v="PIN PUENTE DELANTERO 6145J L172534      " u="1"/>
        <s v="PIN BRIDA GIRO TORNAMESA UNIMIL 005812  " u="1"/>
        <s v="Rodaje JP12049A AL159598 6190J          " u="1"/>
        <s v="Anillo tórico L113950 6190J             " u="1"/>
        <s v="REPORTE DIARIO TRACTORES AGRICOLAS X 50H" u="1"/>
        <s v="AGUA DESTILADA PARA BATERIA             " u="1"/>
        <s v="BOCINA DE PUENTE DELANTERO L173129 6190J" u="1"/>
        <s v="VENTILADOR 180W-3600M3/H 47.5X47.5CM    " u="1"/>
        <s v="QUELATO 13 [ACRONIS] ENVx1L             " u="1"/>
        <s v="REGISTRO INV DIARIO COMBUSTIBLE TLNx50  " u="1"/>
        <s v="POLEA ELEVADOR DE ACERO 031448 C/RODAJE " u="1"/>
        <s v="KIY RETENES PISTON DIVISOR AHC20488 CH57" u="1"/>
        <s v="PARCH - RAD -125   125x115              " u="1"/>
        <s v="RETENES BLOQUE D/ROLOS CXT21003 CH570   " u="1"/>
        <s v="TRANSFORMADOR TOROIDAL SCHNEIDER        " u="1"/>
        <s v="RACK DE DIRECCION AL220364 6145J        " u="1"/>
        <s v="ARO DE FIJACIÓN SKF FRB 5/140           " u="1"/>
        <s v="PARCH RAC 20 VIPAL 120 X 80             " u="1"/>
        <s v="RETEN AL79750                           " u="1"/>
        <s v="TUERCA DEL INTERRUPTOR R44165           " u="1"/>
        <s v="KNOB H168755                            " u="1"/>
        <s v="CASQUILLO 0610005019                    " u="1"/>
        <s v="WINCHA DE METAL x 5 METROS              " u="1"/>
        <s v="CADENA ESLABONADA DE 3/8&quot;               " u="1"/>
        <s v="LIJA PARA FIERRO N° 120                 " u="1"/>
        <s v="SENSOR DE NIVEL ST-65AB RADAR           " u="1"/>
        <s v="Cable Vulcanizado NLT 3 x 16 AWG        " u="1"/>
        <s v="Sensor Inductivo XS1M30KP340            " u="1"/>
        <s v="MOTOBOMBA 3&quot; X 3&quot;                       " u="1"/>
        <s v="TRANSMISOR DE PRESION MANOMETRICA MOD. L" u="1"/>
        <s v="KIT COMPLETO ACOPLAMIENTO OMEGA E5      " u="1"/>
        <s v="TRAMPA AUTOAHDESIVA SIN ATRAYENTE ROEDOR" u="1"/>
        <s v="FINAL CARRERA RODILLO Y PALANCA SENCILLA" u="1"/>
        <s v="LLAVE DEL FLUJO AGUA 10391712           " u="1"/>
        <s v="ALABE SM6 06&quot;x06&quot;                       " u="1"/>
        <s v="CUÑA DE ROTOR SM6 06&quot;x06&quot;               " u="1"/>
        <s v="BOCINA EJE SM6 06&quot;x06&quot;                  " u="1"/>
        <s v="ACEITE TRANSMIS SHELL SPIRAX S2 A 85W140" u="1"/>
        <s v="OMALA S2 GX 460                         " u="1"/>
        <s v="GRASA GADUS S2 V220 2                   " u="1"/>
        <s v="PELOTA ANTIESTRES                       " u="1"/>
        <s v="CARTUCHO P/MASCARA D/AMONIACO 6004 3M   " u="1"/>
        <s v="PLANCHA DE FIERRO DE 1/8&quot; X 4' X 8'     " u="1"/>
        <s v="GUANTES DE CUERO CORTO                  " u="1"/>
        <s v="MANDIL ANARANJADO DE 0.70 X 1.20 PVC    " u="1"/>
        <s v="ESCOBA  DE PLASTICO CLORINDA            " u="1"/>
        <s v="CAMARA 7.50 X 16 DELANTERO              " u="1"/>
        <s v="POLEN DE ABEJA                          " u="1"/>
        <s v="MICAS TAMAÑO A4 TRANSPARENTE            " u="1"/>
        <s v="PAPEL P/PLOTTER  42&quot; x 150'             " u="1"/>
        <s v="CARTULINA A-4 HILO 180 GR               " u="1"/>
        <s v="Llanta Delantera 90/90-19M/C52PMotoXR150" u="1"/>
        <s v="GRAPAS STD 26/6 X 5000 UND              " u="1"/>
        <s v="FOLDER MANILA TAMAÑO A4 X 25 UND        " u="1"/>
        <s v="MEDIDOR DE PH CE/TDS/Temp HANNA HI 98130" u="1"/>
        <s v="SOBRE MANILA A4                         " u="1"/>
        <s v="SAPOLIO W.C.QUITASARRO X 500 ML.        " u="1"/>
        <s v="ESCOBILLA DE PLASTICO PARA LAVAR ROPA   " u="1"/>
        <s v="PAPEL HIG. SCOTT JRT 550 MTS            " u="1"/>
        <s v="MAMELUCO DESCARTABLE                    " u="1"/>
        <s v="CORDON DE ORING 4 MM EPDM               " u="1"/>
        <s v="ORING DE VITON DE 2mm                   " u="1"/>
        <s v="GUANTE DE BADANA                        " u="1"/>
        <s v="FILTRO 2097 -  P100 (3M)                " u="1"/>
        <s v="JABONCILLO SPA ANTIBACTERIAL X 90 GR    " u="1"/>
        <s v="LAVAVAJILLA LAVA X 1K                   " u="1"/>
        <s v="DESINFECTANTE PINO MANZANA X 1 GALON    " u="1"/>
        <s v="TALISCA MODELO 3&quot;X5/16&quot;X114.3 X 1180MM  " u="1"/>
        <s v="EMPAQ JEBE LONA 1/4&quot; DE 1.20 M          " u="1"/>
        <s v="KIT O'RINGS INT RESTRICTOR MOD 344-0150 " u="1"/>
        <s v="CUADERNO CON LOGO                       " u="1"/>
        <s v="GUANTE DE NITRILO TALLA 09              " u="1"/>
        <s v="RETEN 35X52X8                           " u="1"/>
        <s v="CUBO DE COSECHADORA JHON DEERE DE20510  " u="1"/>
        <s v="LLANTA 500X12 P/TRIMOTO                 " u="1"/>
        <s v="Cámara 500 X 12 Trimoto                 " u="1"/>
        <s v="MANGA DE LONA PESADA 1.2 x 2 x 4M EB1004" u="1"/>
        <s v="LENTES SOBREMONTURA OX1000 LUNA CLARA 3M" u="1"/>
        <s v="LEVADURA SECA INSTANTANEA               " u="1"/>
        <s v="GRASA LTG P/ACOPLAMIENTO FALK 35 Lb     " u="1"/>
        <s v="KIT RETENES PISTON ELEVACION METAGRO    " u="1"/>
        <s v="JEBE LIMPIADOR DIFUSOR 400x1800x24mm    " u="1"/>
        <s v="KIT COMPLETO DE BOCINA PUNTA LANZA      " u="1"/>
        <s v="OREJERAS PELTOR X2P3E P/CASCO 3M        " u="1"/>
        <s v="ORING 5X 285 NITRILO LS040384           " u="1"/>
        <s v="PARCHE RADIAL RAD 110 TL 75X55 MM.      " u="1"/>
        <s v="JEBE LATERAL 200mm X 3/8&quot; 55-60 SHORE A " u="1"/>
        <s v="JEBE LATERAL 400mm X 3/8&quot; 55-60 SHORE A " u="1"/>
        <s v="RETEN COD. 4014238 70-90-10             " u="1"/>
        <s v="OREJERAS PELTOR X5P3E P/CASCO 3M        " u="1"/>
        <s v="BOTA PVC BLANCA REFORZADA P/ACERO T-40  " u="1"/>
        <s v="BOTA PVC BLANCA REFORZADA P/ACERO T-41  " u="1"/>
        <s v="BOTA PVC BLANCA REFORZADA P/ACERO T-42  " u="1"/>
        <s v="PROFIBUS PA LT LD303L-21I-TU11-01313200 " u="1"/>
        <s v="BOTA PETROLERA PTA ACERO 8604 T-41      " u="1"/>
        <s v="BOCINA POLIMERO SEPARADOR MAGNETICO     " u="1"/>
        <s v="BOTA PETROLERA PTA ACERO 8604 T-42      " u="1"/>
        <s v="INTERRUPTOR 2 POSICION ON-OFF           " u="1"/>
        <s v="ORING 2 x 6.5 BOMBA HIDRAULICA T7060    " u="1"/>
        <s v="GUANTE PARA SOLDADOR FLASH MASTER 18    " u="1"/>
        <s v="GUANTE NITRILO DESCHBL TOUCH TUFF  T/M  " u="1"/>
        <s v="GUANTE NITRILO DESCHBL TOUCH TUFF T/L   " u="1"/>
        <s v="POLIN DE CARGA CNT 102-24-2 MC - DIRTEX " u="1"/>
        <s v="PARCH RAD 112 TL, 115 x 70mm. (Cj. X 10)" u="1"/>
        <s v="LEJIA MARCA SAPOLIO                     " u="1"/>
        <s v="Lapicero Caña Brava                     " u="1"/>
        <s v="MANGUERA SUCCION ALAMBRADA ANTIAB. 12&quot;  " u="1"/>
        <s v="ORING VITON 2.6X20.29MM P/B A.SULFURICO " u="1"/>
        <s v="PITON CURVO 115 MM (V3.20.6) COMPLETO   " u="1"/>
        <s v="GUANTE MULTIFLEX ANTICORTE CUT-5PU T10  " u="1"/>
        <s v="RETEN POLIURETANO M2 360 X 390 X 19 RED " u="1"/>
        <s v="LECTOR BLUETOOTH INTERFASE ZSC (40416)  " u="1"/>
        <s v="PASTA DE MONTAJE VIPAL X 3.6 KG         " u="1"/>
        <s v="Codo a/inox  de 1/4&quot; Roscado            " u="1"/>
        <s v="Cinta Cambrige 3/4&quot; Scotch 3M           " u="1"/>
        <s v="CUBRECALZADOS DESECHABLES PAR           " u="1"/>
        <s v="PLANCHA FIERRO NEG. 1/2&quot; X 4' X 8'      " u="1"/>
        <s v="CLORO GASEOSO                           " u="1"/>
        <s v="VALVULA DE AIRE 2&quot; ARI DG 040           " u="1"/>
        <s v="VALVULA BOLA AC. INOX. C316 1.1/2&quot; 2CP  " u="1"/>
        <s v="TUBO DE ACERO INOX SCH 10 DE 1 1/2&quot;     " u="1"/>
        <s v="CODO ACERO INOX C304 SCH10 1.1/2&quot;x90°   " u="1"/>
        <s v="PITON CHORRO / NIEBLA DE 1.1/2&quot;         " u="1"/>
        <s v="NIPLE AC INOX 1 1/2&quot;  X  4&quot;             " u="1"/>
        <s v="PERNO COMPLE/TUERCA TEFL G8 1/2 X 1.1/2&quot;" u="1"/>
        <s v="PERNO 3/8&quot; x 3-1/2&quot; GRADO 8 C/TUERCA NYL" u="1"/>
        <s v="BRIDA SLIP ON Ø 3&quot; ANSI 150 ASTM A-53   " u="1"/>
        <s v="SACAROSA                                " u="1"/>
        <s v="PERNO EXAG.GR.8 DE 5/8 X 2&quot; COMPLETO    " u="1"/>
        <s v="Stub end Ø3&quot; Inox c304L                 " u="1"/>
        <s v="SENSOR PT-100 Ø6.35mmx301mm 3HILO C.ALUM" u="1"/>
        <s v="POLIN DE CARGA 152x300x3228x35x30x11    " u="1"/>
        <s v="POLIN IMPACTO 102/152x300x328x35x30x11  " u="1"/>
        <s v="POLIN RETORNO 152x950x978x35x30x11      " u="1"/>
        <s v="CABLE CAS 7/8&quot; 6X36 RD A/A AEM          " u="1"/>
        <s v="PARCHE DE GOMA P/ VULCANIZADO BANDASOL  " u="1"/>
        <s v="HIERRO REACTIVO FERROVER                " u="1"/>
        <s v="COBRE REACTIVO CUVER 1                  " u="1"/>
        <s v="SILICE REACTIVO ACIDO CITRICO           " u="1"/>
        <s v="SET DE CALIBRACION P/TURBIDEZ           " u="1"/>
        <s v="ACEITE PATELA 1000                      " u="1"/>
        <s v="TUBO  DE 3&quot; INOX C-316 SCH 40 x 6 MT    " u="1"/>
        <s v="CODO ACERO INOX. C316  3&quot; X 90° SCH.40  " u="1"/>
        <s v="ELECTROVALVULA 5/2-VSNC-FC-M52-MD-G14-F8" u="1"/>
        <s v="TEE ACERO INOX. 304 1 1/2               " u="1"/>
        <s v="ESPONJA VERDE SCOTCH BRITE 3M           " u="1"/>
        <s v="RODAMIENTO NU.305.ECP                   " u="1"/>
        <s v="DISCO DE DESBASTE 4.1/2&quot;*1/4&quot;*7/8&quot;      " u="1"/>
        <s v="BROCHA NYLON 4&quot;                         " u="1"/>
        <s v="ESCOBILLAS CIRCULAR PARA DISCO DE 7&quot;    " u="1"/>
        <s v="GUANTES LATEX NO ESTERIL CAJAx100 T&quot;M&quot;  " u="1"/>
        <s v="STRETCH FILM 18&quot; x 15 MIC               " u="1"/>
        <s v="WINCHA 5 MTS STANLEY                    " u="1"/>
        <s v="DESTORNILLADOR STANLEY 10 PZS.          " u="1"/>
        <s v="DISCO DE CORTE INOX. 7 X 1 1/16 X 7/8   " u="1"/>
        <s v="SELLO MEC MON M3N/G9 45mm EPDM          " u="1"/>
        <s v="H048587 BRA-LN 0075500753 R1            " u="1"/>
        <s v="SILLA APILABLE  FIJA SALA REUNIONES     " u="1"/>
        <s v="DISCO CORTE INOX 4.1/2&quot; x 1/16&quot; x 7/8&quot;  " u="1"/>
        <s v="BT302. I1 - TERMINAL DE BARRIDO Fieldbus" u="1"/>
        <s v="ESCOBILLA CIRCULAR ACERO TRENZADO 4.5&quot;  " u="1"/>
        <s v="ELECTROVALVULA NVF3-MOH-5/2-K-1/4-EX    " u="1"/>
        <s v="Brida lap joint Ø3&quot; Inox c304L          " u="1"/>
        <s v="SELLO TIPO 9 Ø2,75&quot; RESOR DER REF 2     " u="1"/>
        <s v="RODAMIENTO 21311 E                      " u="1"/>
        <s v="SENSOR POSICION VALV PS3-M31-2N4-V1     " u="1"/>
        <s v="MANG. HIDRAULICA SAE 100 R15 aeroquip   " u="1"/>
        <s v="BOTIN DIELECTRICO T-36                  " u="1"/>
        <s v="BOTIN DIELECTRICO T-39                  " u="1"/>
        <s v="BOTIN DIELECTRICO T-42                  " u="1"/>
        <s v="BOTIN DIELECTRICO T-45                  " u="1"/>
        <s v="RODAMIENTO 6218-2Z-K24                  " u="1"/>
        <s v="TEMO-O-CID GOMA ENTOMOLOGICA 10 LTS     " u="1"/>
        <s v="POSICIONADOR ELECTRONEUMATICO ND9206PE2 " u="1"/>
        <s v="SELLO MEC MULTI CSSN Ø 60mm CB/TC       " u="1"/>
        <s v="LINTERNA RECARGABLE HARD CASE           " u="1"/>
        <s v="KIT REPUESTO PARA POSICIONADOR ND9206PE1" u="1"/>
        <s v="DEDO FLEX.RESORTE 3/8&quot;X830 ACLAREADOR   " u="1"/>
        <s v="FRESA METAL DURO 13 x 22 FLAMA          " u="1"/>
        <s v="BRAZO IZQ. PEINE SUPERIOR Cod. 3i-7241  " u="1"/>
        <s v="ESLINGA POLIESTER 3&quot; X 5MT 4.2TN 2 CAPAS" u="1"/>
        <s v="LIMA ROTATIVA MT60224 12.7x25x6 SA5M    " u="1"/>
        <s v="MANGUERA  HIDRAUL 1&quot;X1750mm  SFB06MGHD3 " u="1"/>
        <s v="IMPULSOR F4S HIDROHARD                  " u="1"/>
        <s v="RODAMIENTO 6228-C3-IS150028             " u="1"/>
        <s v="LAINA HA03260065                        " u="1"/>
        <s v="GUANTES LATEX NO ESTERIL CAJAx100 T&quot;L&quot;  " u="1"/>
        <s v="RODAMIENTO RADIAL 6230 C3 - IS150029    " u="1"/>
        <s v="RODAMIENTO  7228 BCBM IS150049          " u="1"/>
        <s v="REGISTRADOR DATOS T/HR/PR, EL-USB-2-LCD+" u="1"/>
        <s v="ESTROBO 3/4 X 4.10 MTS C/GCABLE+ANILLA 1" u="1"/>
        <s v="DEDO FLEXIBLE DE 3/8&quot; X 980 AYUNTADOR   " u="1"/>
        <s v="EMPAQUET RECT DE 13 X 6 MM EN SILICONA  " u="1"/>
        <s v="PERNO M50 3i-5348                       " u="1"/>
        <s v="DEDO FLEXIBLE ENLEIRADOR 6 RUEDAS(DMB)  " u="1"/>
        <s v="FAJA/PVC SANITARIA /A:762mm L: 32.5MTRS " u="1"/>
        <s v="EMP.TRENZAD.CHESTERTON DUALPAC 2212 1/2&quot;" u="1"/>
        <s v="TUBING ACERO INOX 1/2&quot;OD x 0.035&quot;ESPESOR" u="1"/>
        <s v="Sensor inductivo metálico               " u="1"/>
        <s v="AMOLADORA 5&quot; MODELO GWS 17125           " u="1"/>
        <s v="CANGILON DE POLIURETANO  CC-HD 14&quot; X 7&quot; " u="1"/>
        <s v="CABLE RV-K 0,6/1 KV 1X150 MM2 NEGRO     " u="1"/>
        <s v="ESLINGA POLYESTER 3&quot;x 3MT 2 CAPAS 3 TN  " u="1"/>
        <s v="CARTUCHOS KLEENOIL KF65                 " u="1"/>
        <s v="FILTRO DE AIRE MOTOBOMBA HONDA AF Z7EO  " u="1"/>
        <s v="CARBURADOR 16100-Z1C-V01 HONDA G 390    " u="1"/>
        <s v="CAUTIL ELECTRICO WELLER TB100EU         " u="1"/>
        <s v="REDUC EXCENT SOLD Ø4&quot;x2&quot; INOX 316 SCH 40" u="1"/>
        <s v="PIN D/FIJACION DE TALISCA TP EC106/107  " u="1"/>
        <s v="GAS PATRON PARA CALIBRACION 806740 CL2  " u="1"/>
        <s v="RODAMIENTO ROLOS CILINDR. Ø560XØ680X56MM" u="1"/>
        <s v="RODAMIENTO ROLOS CILINDR. Ø500XØ620X56MM" u="1"/>
        <s v="SENSOR CAPACITIVO STF-2500              " u="1"/>
        <s v="PT-100 SIN CABEZAL DE 3 HILOS           " u="1"/>
        <s v="AMOLADORA 5&quot; BAT WB 18 LT  BL 11 - 125  " u="1"/>
        <s v="RODAMIENTO DE RODILLO CÓNICO 30207 J2/Q " u="1"/>
        <s v="TOCA SANITARIA DESCARTABLE BLC x 50 UND " u="1"/>
        <s v="Soda Cáustica                           " u="1"/>
        <s v="ACIDO FOSFORICO 85% CNTR IBCx1,015 KG   " u="1"/>
        <s v="Acido sulfúrico                         " u="1"/>
        <s v="TECLE RATCHET DE 1.5 TON X 1.5 MT CADENA" u="1"/>
        <s v="Llaves Mixtas de 7mm a 24mm (14 unid)   " u="1"/>
        <s v="CANDADO 30 MM                           " u="1"/>
        <s v="PILA AAA                                " u="1"/>
        <s v="Tuerca de 1/2&quot;                          " u="1"/>
        <s v="LINTERNA MANOS LIBRES                   " u="1"/>
        <s v="CAJA DE CONCRETO                        " u="1"/>
        <s v="Perno Socket Inox M6 x 20               " u="1"/>
        <s v="SIKA BOOM X 500 Ml.                     " u="1"/>
        <s v="LLAVE MIXTA 1 1/2&quot;                      " u="1"/>
        <s v="Grasera de 3/8 x 45°                    " u="1"/>
        <s v="CINTA TEFLON DE 3/4&quot;                    " u="1"/>
        <s v="BENTONITA (SACO X 30 KILOS)             " u="1"/>
        <s v="LLAVE MIXTA 36 MM                       " u="1"/>
        <s v="TUBERIA PVC SAP 3/4&quot; P/ELECTRICIDAD     " u="1"/>
        <s v="VARILLA DE ANCLAJE A°G°  5/8&quot; X 2.40 mts" u="1"/>
        <s v="ARANDELA CUAD.CURVA A°G° 57x57x5mm 18mm " u="1"/>
        <s v="ALICATE PRESION STANLEY                 " u="1"/>
        <s v="CUCHILLA DE ELECTRICISTA                " u="1"/>
        <s v="DESTORNILLADORES AISLADOS 1 KV (8 PZAS) " u="1"/>
        <s v="CONECTOR D/COBRE TIPO SPLIT BOLT 25 MM2 " u="1"/>
        <s v="PERNO HEX GRADO 8 3/8&quot;x 1&quot; C/ARO PRESION" u="1"/>
        <s v="PERNO 3/8 x 2&quot; FE GR5 C/TUERCA-ARANDELAS" u="1"/>
        <s v="PERNO 3/8&quot; X 2-1/2&quot; INOX  C/TUERCA NYL  " u="1"/>
        <s v="BOQUILLA P/ENGRASADORA 1/8&quot;             " u="1"/>
        <s v="CANCAMO M12 DIN580                      " u="1"/>
        <s v="CANCAMO M20 DIN580                      " u="1"/>
        <s v="BUJE DE PIN DE FIJACION JC-102          " u="1"/>
        <s v="ALICATE P/SEGURO INT-EXT 170-180 MM JG 4" u="1"/>
        <s v="DISCO LAMINADO P/INOX 115MM G/120       " u="1"/>
        <s v="KIT DE DADOS CON RACHET - 32 PCS        " u="1"/>
        <s v="ALICATE P/TERMINALES AISL. Y NO AISL.   " u="1"/>
        <s v="SELLO DE FIELTRO 10x15-530              " u="1"/>
        <s v="RETEN 85 x 120 x 12 NBR                 " u="1"/>
        <s v="RETEN 115 x 150 x 12 NBR                " u="1"/>
        <s v="ESPARRAGO 3/4&quot; x 9 1/2&quot; - GR8           " u="1"/>
        <s v="PERNO 1 1/2 X 1/2 INOX COMPLETO         " u="1"/>
        <s v="VALVULA BOLA DOBLE UNION INOX 1/2&quot;      " u="1"/>
        <s v="JUEGO DE LLAVE ALLEN (PULGADAS)         " u="1"/>
        <s v="LLAVE DE TUERCA SUPERIOR DE CENTRIFUGA  " u="1"/>
        <s v="TUERCA CAMPANA M22X1.5X32 P/CIVEMASA    " u="1"/>
        <s v="TUERCA OJO DE  A°G° PARA PERNO DE 16 MM " u="1"/>
        <s v="HEBILLA ACERO INOX PARA FLEJE DE 19 MM  " u="1"/>
        <s v="FLEJE ACERO INOX 19 MM X 0.8MM          " u="1"/>
        <s v="MORDAZA PREFORMADA A°G° CABLE DE 10 MM Ø" u="1"/>
        <s v="ELECTRODO DE CU PURO 16 MM X 2400 MM    " u="1"/>
        <s v="PLANCHA COBRE TIPO J                    " u="1"/>
        <s v="MARTILLO DESFIBRADOR SC-101             " u="1"/>
        <s v="ANGULO GUIA EC101 3/8&quot; x 6 MT           " u="1"/>
        <s v="FUSIBLE MECANICO BRONCE P/ ROSCA        " u="1"/>
        <s v="GANCHO DE AJUSTE CENTRIFUGA FESK        " u="1"/>
        <s v="ESPARRAGO Gr 8 FeNe 5/8&quot;x6 1/2&quot; /2T+2A/P" u="1"/>
        <s v="UNION DE BRONCE 3/8&quot; COMPLETA (C/GUIAS) " u="1"/>
        <s v="TUERCA PARA PERNO ARTILLER M22          " u="1"/>
        <s v="JUEGO DE DESTORNILLADORES DE GOLPE      " u="1"/>
        <s v="AISLADOR TIPO EXTENSOR SERIE STEX-28    " u="1"/>
        <s v="AISLADOR POLIMERICO TIP SUSPENSION 28 KV" u="1"/>
        <s v="AISLADOR POLIMERICO TIPO PIN 28 KV      " u="1"/>
        <s v="ALICATE JGO X3 1000V PZ 84-011          " u="1"/>
        <s v="CONDUCTOR DESNUDO DE COBRE T/D 35MM2    " u="1"/>
        <s v="ESCOBILLA CIRCULAR INOX DE 4.1/2&quot;       " u="1"/>
        <s v="SELLO MECANICO 50MM VITON SILICIO       " u="1"/>
        <s v="MALETA DE HERRAMIENTAS DE TELA 12&quot;      " u="1"/>
        <s v="VARILLA ARMAR SIMPLE AL-AL AAAC 50 mm2  " u="1"/>
        <s v="ADAPTADOR ACERO IMPACTO 3/4&quot; H X 1/2&quot; M " u="1"/>
        <s v="CABLE N2XOH 3x1x70mm2                   " u="1"/>
        <s v="CABLE N2XOH 10MM2 0.6/1KV               " u="1"/>
        <s v="PERNO MAQ. 16MMØX456MM C/152MM TCA/CTTCA" u="1"/>
        <s v="PERNO MAQ. 16MMØX254MM C/152MM TCA/CTTCA" u="1"/>
        <s v="PERNO M OJO 16MMØX203MM L 102MM TCA/CTTC" u="1"/>
        <s v="PERNO M OJO 16MMØX254MM L 102MM TCA/CTTC" u="1"/>
        <s v="CONDUCTOR DE ALUMINIO AAAC 50 MM2       " u="1"/>
        <s v="CONDUCTOR CU DESNUDO TEMPLE BLANDO 25MM2" u="1"/>
        <s v="CONDUCTOR DE CU FORRADO TIPO WP 25 MM2  " u="1"/>
        <s v="ALAMBRE DE AL 16 MM2 PARA AMARRE        " u="1"/>
        <s v="GRAPA D/ANCLAJE T/PISTOLA AAAC 120MM2   " u="1"/>
        <s v="ESPIGA V/POSTE P/AISL POLIMER T/PIN 28KV" u="1"/>
        <s v="ARANDELA CUAD. CURVA 56MMX56MMX5MM 18MM " u="1"/>
        <s v="ARANDELA CUAD. PLANA 56MMX56MMX5MM 18MM " u="1"/>
        <s v="PERNO MAQ. 16MMØX508MM C/152MM TCA/CTTCA" u="1"/>
        <s v="ADAPTADOR TIPO LIRA DE 16MMØ X 78MM LONG" u="1"/>
        <s v="CABLE DE ACERO HS DE 10MM Ø             " u="1"/>
        <s v="ARANDELA CUADRADA PLANA 102MMX102MMX6MM " u="1"/>
        <s v="PERNO ANG 16MMØ X 308MM C/152MM TCA/CTTC" u="1"/>
        <s v="CANALETA GUARDACABLE 1/2&quot;X30MMX2.4M     " u="1"/>
        <s v="CONDUCTOR P.T. CU RECOCIDO 25 MM2       " u="1"/>
        <s v="CONECTOR DE BRONCE PARA ELECTRODO 16MM  " u="1"/>
        <s v="SECCIONADOR CUT OUT 27KV 150KV-BIL 100A " u="1"/>
        <s v="FUSIBLE DE EXPULSION TIPO K             " u="1"/>
        <s v="CONECTOR MINIWEDGE                      " u="1"/>
        <s v="CINTA PLANA DE ARMAR                    " u="1"/>
        <s v="PISTON HIDRAULICO DE AUTOVOLTEO METAGRO " u="1"/>
        <s v="POSTE CAC 13/400/2/180/375              " u="1"/>
        <s v="CRUCETA SIMETRICA DE C.A.V. Z/1.50/500  " u="1"/>
        <s v="CRUCETA ASIMETRICA CAV ZA/1.50/0.90/300 " u="1"/>
        <s v="BLOQUE C.A. 0.50X0.50X0.20M. C/AGUJERO  " u="1"/>
        <s v="REGISTRO CONCRETO P/INSP PUESTA A TIERRA" u="1"/>
        <s v="TIERRA VEGETAL CERNIDA                  " u="1"/>
        <s v="TRANSFORMAD TRIF 125 KVA 22.9/0.46 KV   " u="1"/>
        <s v="TABLERO DISTRIB 3Ø SED 125 KVA, 460-230V" u="1"/>
        <s v="PALOMILLA SIMPLE CAV MP/2.20/150 (PPP)  " u="1"/>
        <s v="MEDIA LOZA DE CAV 1.10M/750 (PPP)       " u="1"/>
        <s v="ABRAZADERA METALICA ANCHO 1/2&quot;X LONG 94&quot;" u="1"/>
        <s v="TUBERIA HDPE 630MM SDR26 X 6M           " u="1"/>
        <s v="PERNO C/COCHE 1/2&quot;X2&quot;                   " u="1"/>
        <s v="LLAVE FRANCESA DE 8&quot;                    " u="1"/>
        <s v="CANDADO DE 40 MM                        " u="1"/>
        <s v="PERNO P/CAPACHO 5/16&quot;x1.1/4&quot; C/TUERCA   " u="1"/>
        <s v="AMOLADORA 7&quot; BAT WB 18 LTX BL180        " u="1"/>
        <s v="SECADOR DE AIRE AD9 BW 800202:SSTTP     " u="1"/>
        <s v="PLANCHA AC. INOX. 1/8&quot; X 4' X 8'        " u="1"/>
        <s v="ELASTOMERO OMEGA E5                     " u="1"/>
        <s v="OXIGENO X M3.                           " u="1"/>
        <s v="GAS PROPANO (BALON X 10 KILOS)          " u="1"/>
        <s v="PANTALÓN PARA APLICACIÓN C/REFUERZO     " u="1"/>
        <s v="CAL HIDRATADA                           " u="1"/>
        <s v="DISPERSANTE - COLUN ULTRA               " u="1"/>
        <s v="FILTRO DE CABINA 87726675               " u="1"/>
        <s v="BOLSO DE TELA                           " u="1"/>
        <s v="HILERADOR 16 RUEDAS SR616 GII KUHN      " u="1"/>
        <s v="CERVEZA PILSEN CALLAO X 305ML           " u="1"/>
        <s v="CERVEZA CORONA X 330ML                  " u="1"/>
        <s v="HIDROXIDO DE SODIO P.A                  " u="1"/>
        <s v="TARTRATO DE SODIO Y POTASIO TETRAHIDRATA" u="1"/>
        <s v="VALVULA ALIVIO MOD. W4087 M22X-0013032X " u="1"/>
        <s v="KIT DE SELLOS PARA VICO                 " u="1"/>
        <s v="JUNTA TÓRICA W4283 155X3-NBR70          " u="1"/>
        <s v="CAPERUZA DE CIERRE W4300 1-90X12        " u="1"/>
        <s v="ARANDELA D.EST W4585 30308-AV           " u="1"/>
        <s v="GAS PROPANO BALON X 45 KG               " u="1"/>
        <s v="KIT MSK FESX 512S 35 C60 - 54974401     " u="1"/>
        <s v="KIT REPARO SELLO CSSN Ø 45mm CB/TC      " u="1"/>
        <s v="RETEN 32 X 65 X 08MM                    " u="1"/>
        <s v="JABON LIQUIDO                           " u="1"/>
        <s v="JUNTA PLANA D/FILTRO GALAXY 4&quot; ARKAL    " u="1"/>
        <s v="ORING DE EPDM 2.5 x 29.5                " u="1"/>
        <s v="TRAPEADOR HUDE CON BALDE GRIS           " u="1"/>
        <s v="CLOROX PARA ROPA COLOR X 580 ML         " u="1"/>
        <s v="RETEN Ø I. 25.40 X Ø E. 34.92 X ALT.7.94" u="1"/>
        <s v="SOLDADURA DE PLATA 45% 3/32&quot; VARILLA    " u="1"/>
        <s v="MEDIA CONVERTER                         " u="1"/>
        <s v="Sticker LIQUIDO INFLAMABLE              " u="1"/>
        <s v="PILA DOBLE AA                           " u="1"/>
        <s v="FILTRO ACEITE, RPTO FISCHBEIN 15054     " u="1"/>
        <s v="CONEX. 7916-16PH45 1X1 16F79-16-16      " u="1"/>
        <s v="KIT DE SELLOS CB11457787 ALZADORA JD    " u="1"/>
        <s v="JUEGO ORINGS INYECTOR JOHN DEERE RE64292" u="1"/>
        <s v="SENSOR OBSTRUCCION HIDRAU RE212878 6130J" u="1"/>
        <s v="BOTA PETROLERA PTA ACERO 8604 T-43      " u="1"/>
        <s v="ETIQUETA ROMBO NFPA AUTOADHESIVA 25X20CM" u="1"/>
        <s v="REGLETA ETIQUETA PEGABLE 10 CM X 6.10 M " u="1"/>
        <s v="REGLETA EN ETIQUETA PEGABLE 10CM X 9.10M" u="1"/>
        <s v="STICKER COMBUSTIBLE CODIGO ONU 1202     " u="1"/>
        <s v="AGUJA COMPLETA - 105239 P/JACTO 15 LT   " u="1"/>
        <s v="TAPA DE REGISTRO C/ORING - COD. 996058  " u="1"/>
        <s v="CONECTOR VIDEO BALUN DAHUA 4K           " u="1"/>
        <s v="CELULAR XIAOMI REDMI 13C                " u="1"/>
        <s v="CAMARA ANTI EXPLOSION 4.0MPX IP POE     " u="1"/>
        <s v="UNION UNIVERSAL ACERO INOX. 304 DE 3/4&quot; " u="1"/>
        <s v="VINIFAN TAMAÑO OFICIO                   " u="1"/>
        <s v="ANGULO 2 1/2&quot; x2 1/2&quot; x1/4 x 6m ASTM-A36" u="1"/>
        <s v="GUANTE NITRILO 14&quot; MOD. NSK-24          " u="1"/>
        <s v="ACOPLAMIENTO FALK-1140T10C              " u="1"/>
        <s v="ACOPLAMIENTO FALK 1130T10C              " u="1"/>
        <s v="DISCO EMBRAGUE 5165648                  " u="1"/>
        <s v="PLATO PRESOR DIAGRAGMA 5177620          " u="1"/>
        <s v="MOTO FURGON CARGO                       " u="1"/>
        <s v="ACOPLAMIENTO 1030G FALK LIFELIGN G20    " u="1"/>
        <s v="SOLDADURA CASTEC 3055 Ø 5/32&quot; SAGER     " u="1"/>
        <s v="SOLDADURA ABRATEC 6710 XHD Ø 1/8&quot; SAGER " u="1"/>
        <s v="SOLDADURA EUTECTRODE 40 Ø 5/32&quot; SAGER   " u="1"/>
        <s v="EJE SIN FIN DIVISO CB11420776 CB01487619" u="1"/>
        <s v="LENTE LUNA CLARA DUST GOGGLEGEAR        " u="1"/>
        <s v="TUERCA RUEDA ALZ M20 X 1.5  0051327214  " u="1"/>
        <s v="CODO 1/2&quot; x 90° ROSCADO INOX            " u="1"/>
        <s v="ACOPLAMIENTO 1035G FALK LIFELIGN G20    " u="1"/>
        <s v="ACOPLE FLEXIBLE REX VIVA V290           " u="1"/>
        <s v="SOLDADURA EUTECTRODE 4909 Ø 5/32&quot; SAGER " u="1"/>
        <s v="ALAMBRE TEROMATEC AN3965  1/16&quot;         " u="1"/>
        <s v="GOMA PARA KRAMER JOST AD00046J00        " u="1"/>
        <s v="Interflon Food Grease LT2               " u="1"/>
        <s v="CODO 1&quot; 90° FIERRO NEGRO                " u="1"/>
        <s v="PATIN DE TALISCA CUSH CUSH EC-108       " u="1"/>
        <s v="GRASA GRADO ALIMENTICIO HD2 INTERFLON   " u="1"/>
        <s v="SELLO ME MG1/065-G60 Q1Q1VGG COD.8016167" u="1"/>
        <s v="GORRO PARA APLICACIÓN                   " u="1"/>
        <s v="CONECTOR CINTA - CINTA 16MM NETAFIM     " u="1"/>
        <s v="KIT SELLADO CILINDRO HIDRAULICO TJA     " u="1"/>
        <s v="LAPICERO PUBLICITARIO CAÑA BRAVA        " u="1"/>
        <s v="CELULAR SAMSUNG GALAXY A06              " u="1"/>
        <s v="RADIO ICOM IC -F1100DS                  " u="1"/>
        <s v="PATCH CORD DUPLEX ST - SC               " u="1"/>
        <s v="LUMINARIA HIGHBAY LED 150W 18000 LUMENS " u="1"/>
        <s v="TENSOACTIVO PAN AID-SE                  " u="1"/>
        <s v="DISCO DE DESBASTE 7&quot; x 1/4&quot; x 7/8&quot;      " u="1"/>
        <s v="PERNO COMPLE/TUERCA EXAGO G8 5/8 X 3&quot;   " u="1"/>
        <s v="PASTA PARA SOLDADURA ESTAÑO 0.50GRS.    " u="1"/>
        <s v="MANOMETRO 0-100 PSI                     " u="1"/>
        <s v="MANGUE MULTIPROPOSITO DE JEBE Y LONA 3/4" u="1"/>
        <s v="GEOMEMBRANA HDPE 1.00 mm LISA           " u="1"/>
        <s v="CABLE VULCANIZADO 2x14 AWG              " u="1"/>
        <s v="MANGUERA DE JEBE Y LONA 1&quot;              " u="1"/>
        <s v="FLUORESCENTE DE 36 WATTS                " u="1"/>
        <s v="LOCTITE 518                             " u="1"/>
        <s v="LLANTA 14.9X24-12 ALLIANCE FP324        " u="1"/>
        <s v="PERNO EXAG G-2 3/8X2 Hilo Corrido Comple" u="1"/>
        <s v="DISCO GALLETA 4 1/2&quot;                    " u="1"/>
        <s v="RELAY 12 VDC 30 A 5 PATAS MARCA BOSCH   " u="1"/>
        <s v="RODAMIENTO 6305 C3                      " u="1"/>
        <s v="DIAFRAGMA PARA VALVULA DOROT 3&quot; - 4&quot;    " u="1"/>
        <s v="LLANTA 175 / 70  R14                    " u="1"/>
        <s v="ADAPTADOR M NPT 1/4&quot; X M JIC 1/4&quot;       " u="1"/>
        <s v="ADAPTADOR CODO 90 M NPT 3/4 M JIC 1/2   " u="1"/>
        <s v="MANGUERA PVC ANILLADA TRANS. 2&quot;         " u="1"/>
        <s v="UNION DE MANGUERA ALTA PRESION KARCHER  " u="1"/>
        <s v="ELEMENTO FILTRANTE COALESCENTE DD 360   " u="1"/>
        <s v="ADAPTADOR M NPT 1/2&quot; x H JIC 1/2&quot;       " u="1"/>
        <s v="LLANTA 23.1-30 POSTERIOR TM7010/T6130J  " u="1"/>
        <s v="LOCTITE 5920                            " u="1"/>
        <s v="RETEN 43x62x10 VITON R5 NDB4026738      " u="1"/>
        <s v="ADAPTADOR M NPT 1/4&quot; X M JIC 3/8&quot;       " u="1"/>
        <s v="MANG 3m Ø1/4&quot; /H JIC 3/8&quot;xH JIC 90° 3/8&quot;" u="1"/>
        <s v="BOCINA SONORA 12V 400HZ                 " u="1"/>
        <s v="LENGUETA P/VALVULA DE AIRE 2&quot; ARI DG040 " u="1"/>
        <s v="ELEMENTO FILTRO AIRE CAT 91E6100712     " u="1"/>
        <s v="FILTRO SEPARADOR CAT 32A6201020         " u="1"/>
        <s v="FILTRO K200 PARA HIDROLAVADORA KARCHER  " u="1"/>
        <s v="ACIDO BENZOICO SPECTRUM Q.P.            " u="1"/>
        <s v="MANGUERA ATOXICA 1/2&quot;x1.5MT / H JIC 3/8&quot;" u="1"/>
        <s v="RETEN CR 24x38x7 CRW1 V                 " u="1"/>
        <s v="PERNO M6 X 20 MM PASO 1                 " u="1"/>
        <s v="PERNO TROZADORA 3/4&quot;X2 1/2&quot; C/ANILL PRES" u="1"/>
        <s v="MANG 4.6m Ø1/4&quot;/H JIC 3/8&quot;xH JIC90° 3/8&quot;" u="1"/>
        <s v="FOCO INDICADOR LED 220V COLOR VERDE     " u="1"/>
        <s v="PERNO COMPLE/TUER TEFL G8 5/16&quot; X 3-1/  " u="1"/>
        <s v="ACEITE MOTOR SHELL RIMULA R4X  15W - 40 " u="1"/>
        <s v="ABRAZADERA D METAL 2&quot; p/manguera        " u="1"/>
        <s v="PERNO COMPLETO M12 X 80mm 19M7364 6130J " u="1"/>
        <s v="SOLDADURA NZC PRO 7018 3.25 1/8 SUPERCIT" u="1"/>
        <s v="SOLDADURA NZC PLUS 6011 4.00 5/32 CELLOC" u="1"/>
        <s v="SOLDADURA NZC PLUS 6011 3.25 1/8 CELLOC " u="1"/>
        <s v="SOLDADURA NZC NIQUEL 3.25 1/8 CITOFONTE " u="1"/>
        <s v="ESPIGA H GIR KARCHER M22 X 1/4          " u="1"/>
        <s v="TEE M JIC 1/2&quot; X M NPT 1/2&quot; X M JIC 1/2&quot;" u="1"/>
        <s v="BROCA ANULAR CORONA HSS 5/8&quot; X 2&quot; C/GUIA" u="1"/>
        <s v="PRAESTOL DW27AG KF-NC FLOCULANTE        " u="1"/>
        <s v="DIAFRAGMA P/VALV RAPHAEL 8&quot; RAF 80 PN16 " u="1"/>
        <s v="CARBON BRUSH SET WEV 24-180 METABO 7&quot;   " u="1"/>
        <s v="TARUGO/REPARACION MINICOMBI B-10, 3/8   " u="1"/>
        <s v="RODAMIENTO 6300 LU                      " u="1"/>
        <s v="RODAMIENTO 6306.2RS/C3                  " u="1"/>
        <s v="PERNO CBZ. HEXG. 5/8&quot; X 2&quot; HF           " u="1"/>
        <s v="PORTA ELECTRODOS DE 500 AMPERIOS        " u="1"/>
        <s v="ADAPTADOR MACHO PVC 2&quot;                  " u="1"/>
        <s v="Color Caramelo HR                       " u="1"/>
        <s v="Secuestrante CORTROL IS3020             " u="1"/>
        <s v="Flogard MS 6222                         " u="1"/>
        <s v="FOOD PRO SA9854 FLOCULANTE GRANULAR     " u="1"/>
        <s v="Antiescalante HYPERPERSE MDC714         " u="1"/>
        <s v="KLARAID IC1172                          " u="1"/>
        <s v="ADITIVO ALKI  FOAM  KMP VIRGINIA        " u="1"/>
        <s v="REFRIGERANTE                            " u="1"/>
        <s v="LIBRETA DE APUNTE EMPASTADO x 200 HOJAS " u="1"/>
        <s v="CHINCHES DE COLORES                     " u="1"/>
        <s v="SOBRE MANILA OFICIO                     " u="1"/>
        <s v="JERINGA DESCARTABLE DE 20 ML / CC       " u="1"/>
        <s v="CINTA P/EMBALAJE DE 2&quot; X 110YRD.        " u="1"/>
        <s v="TELA POLISEDA                           " u="1"/>
        <s v="TIZA PARA CALDERA                       " u="1"/>
        <s v="PERNO HEX. COMPLETO 5/8X4.1/2 GALV.     " u="1"/>
        <s v="ELEMENTO DE FILTRO 82983474             " u="1"/>
        <s v="CUADERNO CUADRICULADO A4 x 100 HOJAS    " u="1"/>
        <s v="CLORANFENICOL 500mg                     " u="1"/>
        <s v="FILTRO ACEITE MOTOR JD[RE504836]        " u="1"/>
        <s v="Filtro p/ cabina aire AH115833          " u="1"/>
        <s v="Filtros de combustible RE525523         " u="1"/>
        <s v="Filtro p/ cabina recircular AH115836    " u="1"/>
        <s v="JERINGA DESCARTABLE DE 10 ML / CC       " u="1"/>
        <s v="LAPICERO AZUL FABER CASTELL 031         " u="1"/>
        <s v="CASCO DE SEGUR  H-700 / H-800 BLANCO    " u="1"/>
        <s v="GALONERA CAPACIDAD 20 LT.               " u="1"/>
        <s v="VASO DESCARTABLE DE 7 ONZAS             " u="1"/>
        <s v="JERINGA DESCARTABLE DE 5 CC / ML        " u="1"/>
        <s v="ALGODON HIDROFILO x 500 GRAMOS          " u="1"/>
        <s v="EJE INTER MEDIAN MOTOR CHARLY 0330047810" u="1"/>
        <s v="RADIO TRANSMISOR ICOM MODELO IC-F3003   " u="1"/>
        <s v="VENTILADOR M805013                      " u="1"/>
        <s v="JUNTA CB01419173                        " u="1"/>
        <s v="BOLSA POLIPROPILENO 11&quot;x16&quot;X2um(micra)  " u="1"/>
        <s v="RETEN - 0631304891 T143333              " u="1"/>
        <s v="MANGUE 16MM DRIPNET 16250,1L/H,0.4m AS  " u="1"/>
        <s v="CABLE FRENO MANUAL 87752994 87531704    " u="1"/>
        <s v="JUEGO PARA CILINDR.HIDRÁUL. AH161891    " u="1"/>
        <s v="FILTRO RACOR 2020 PM 30 MIC RE171321    " u="1"/>
        <s v="FILT TRANSMISION JD[AL221066]           " u="1"/>
        <s v="FILT AIRE PRIM JD[AL172780]             " u="1"/>
        <s v="FILT AIRE SECU JD[AL150288]             " u="1"/>
        <s v="FILTRO ACEITE HIDRAULICO AL203061       " u="1"/>
        <s v="FAJA TRACTOR 6130J CQ58873              " u="1"/>
        <s v="PIN DE FIJACION DE CUCHILLA JC-102      " u="1"/>
        <s v="SENSOR PRESION C/B JD CB01504175        " u="1"/>
        <s v="FILT COMBUSTIBLE JD[RE522868]           " u="1"/>
        <s v="SOBRE BOCINA DIVISOR JD SH1AT216076     " u="1"/>
        <s v="TAPA REGULACION PEINE SUP Cod. 3i-7244  " u="1"/>
        <s v="ORING EJE ORUGAS 0491326957             " u="1"/>
        <s v="TOMA INDUST.TRIPLE AEREO 32A 3P+T 415V  " u="1"/>
        <s v="CAJA DE ORING´S JOHN DEERE RE568792     " u="1"/>
        <s v="SEGUER PARA RODAMIENTO 0470049286       " u="1"/>
        <s v="TAPA DE TANQUE DE COMBUSTIBLE AL113086  " u="1"/>
        <s v="BATIDORA DE MANO 2600-051 OSTER         " u="1"/>
        <s v="RETEN JD 6130J JDRE538097               " u="1"/>
        <s v="VENTANA DE AIREACION T6130J AL174454    " u="1"/>
        <s v="CORTAVIENTO PARA CASCO EN TELA DRILL    " u="1"/>
        <s v="CONJUNTO CONECTOR ELECTRICO JD R78053   " u="1"/>
        <s v="KIT MOTOR PATEADO 4000 CPT 9900463-000  " u="1"/>
        <s v="FORMATO ASISTENCIA                      " u="1"/>
        <s v="CILINDRO DE GAS AL174358 P/JD 6125 D    " u="1"/>
        <s v="ORING 6 X 60  14471580 7060             " u="1"/>
        <s v="MANGUE 16MM DRIPNET 16250,1L/H,0.35M AS " u="1"/>
        <s v="BARRA CROMADA DURA PINZA E CB11457717   " u="1"/>
        <s v="FILTRO ACEITE MOTOR CH570 RE521420      " u="1"/>
        <s v="FILTRO AIRE CABINA EXTER CH570 RE284091 " u="1"/>
        <s v="MICA PARA LAMINADO A3                   " u="1"/>
        <s v="ARO MODELO CIVEMASA 600/50-22.5         " u="1"/>
        <s v="FILTRO AIRE ACONDICIONADO 842972900 ALZ " u="1"/>
        <s v="GRUPO CABLES AL203916 CH570             " u="1"/>
        <s v="DISCO DESLIZANTE PLANETARIO L40130 3.2mm" u="1"/>
        <s v="APOYO DE SENSOR FLOTACION R100686       " u="1"/>
        <s v="BASE DE CHAPA DE CABINA L203442 6130J   " u="1"/>
        <s v="RELAY CON DIODO TRACTOR 6130J AL152098  " u="1"/>
        <s v="SEGURO EJE POTENCIOMETRO R72653         " u="1"/>
        <s v="CHAPA FIJACION TALISCA DONELLY (IZQ)    " u="1"/>
        <s v="PUNTA DE CROMO -950-0010-KIT            " u="1"/>
        <s v="BARRA CROMADA DURA 1¼&quot; x 37&quot; ECB11472724" u="1"/>
        <s v="ESCOBON L:28CM X 5.3CM VERDE            " u="1"/>
        <s v="ESCOBON L:28CM X 5.3CM AZUL             " u="1"/>
        <s v="SEGURO MANGUE FILTRO HIDRA L171572 6130J" u="1"/>
        <s v="ORING CONEX HIDRA 51M7101 28 X 2 MM 6130" u="1"/>
        <s v="GUANTE NITRILO DESCHBL TOUCH TUFF  T/S  " u="1"/>
        <s v="EJE CAJA TROZADOR CE32781 JD18          " u="1"/>
        <s v="RADIO TRANSMISOR PORTATIL IC-F1100D     " u="1"/>
        <s v="pin moñon de rueda de ayuntador         " u="1"/>
        <s v="SEGURO PIN DE LAS VCS AL79051 T-6130J   " u="1"/>
        <s v="Bandeja desechable transparente         " u="1"/>
        <s v="SENSOR TEMPERATU ADMISION RE540860 CH570" u="1"/>
        <s v="PUERTA IZQUIERDA 6190J L210073          " u="1"/>
        <s v="EJE SUPERIOR DEL ELEVADOR 029230        " u="1"/>
        <s v="JUGUETES UNISEX                         " u="1"/>
        <s v="RESORTE PEDAL ACELERADOR 5148906 7040   " u="1"/>
        <s v="PINTURA EPOXI RAL 3020 X 3.6 LTS ROJO   " u="1"/>
        <s v="ZAPATO CROM CANILL SI1205-301.KIT Andros" u="1"/>
        <s v="AMORTIGUADOR DE TORSION AL180458 6145J  " u="1"/>
        <s v="PAPEL FOTOCOPIA A4 75 GR RESMA x 500 HJ " u="1"/>
        <s v="PLUMON P/GRUESA 23 NEGRO INDELEBLE      " u="1"/>
        <s v="CARAMELO 858                            " u="1"/>
        <s v="MOCHILA                                 " u="1"/>
        <s v="DISCO DURO WESTERN DIGITAL 6TB          " u="1"/>
        <s v="PANTALON CARGO DRILL 2623 VRD 878 T-34  " u="1"/>
        <s v="PANTALON CARGO DRILL 2623 VRD 878 T-36  " u="1"/>
        <s v="SWITCH POE + PLUS DE 8 PUERTOS          " u="1"/>
        <s v="CABLE MULTIHILO12G X 2.5mm 750V CLASE 5 " u="1"/>
        <s v="PANTALON CARGO DRILL 2623 VRD 878 T-44  " u="1"/>
        <s v="ZTE BLADE A54 (E)                       " u="1"/>
        <s v="CELULAR SAMSUNG GALAXY A15              " u="1"/>
        <s v="CELULAR XIAOMI REDMI A3                 " u="1"/>
        <s v="XVR8 CANALES  EN RESOLUCIÓN 4K          " u="1"/>
        <s v="CÁMARA IP DAHUA SMART DUAL 5.0 MPX      " u="1"/>
        <s v="KIT PERIFONEO TIEMPO REAL C/SENSOR MOV. " u="1"/>
        <s v="PAPEL BOND OFICIO                       " u="1"/>
        <s v="ENGRAPADOR TIPO ALICATE                 " u="1"/>
        <s v="CUADERNO EMPASTADO CHICO X100 CUADRIC.  " u="1"/>
        <s v="CORRECTOR LIQUIDO PUNTA FINA            " u="1"/>
        <s v="LAPICERO FABER CASTEL 031-F             " u="1"/>
        <s v="ENGRAPADOR CLASICO                      " u="1"/>
        <s v="PLUMON INDELEBLE JUMBO 23               " u="1"/>
        <s v="CINTA SCOHT CHICA                       " u="1"/>
        <s v="PLUMON INDELEBLE 421-S TIPO LAPICERO    " u="1"/>
        <s v="CINTA MASKING TAPE 1&quot;                   " u="1"/>
        <s v="FILTRO  DE  COMBUSTIBLE 87803187        " u="1"/>
        <s v="GOMA EN BARRA UHU 40 GRAMOS             " u="1"/>
        <s v="PAPEL FOTOCOPIA A4 80 GR RESMA x 500 HJ " u="1"/>
        <s v="VALVULA AIRE CINETICA 1&quot;                " u="1"/>
        <s v="CARTUCHO 6003 P/VAPOR ORGAN Y GAS ACI 3M" u="1"/>
        <s v="ANILLO DE JEBE DE 250 MM P/TUBERIA PVC  " u="1"/>
        <s v="ALIMENTO PARA CANES THOR                " u="1"/>
        <s v="CLIPS CHICOS (CAJA x 100)               " u="1"/>
        <s v="RESALTADOR AMARILLO                     " u="1"/>
        <s v="CUADERNO DE CARGO X 100 HOJAS           " u="1"/>
        <s v="TABLERO DE APUNTES                      " u="1"/>
        <s v="MOTA PARA PIZARRA ACRILICA              " u="1"/>
        <s v="ADAPTADOR HEMBRA  PVC 1&quot;                " u="1"/>
        <s v="BARBIQUEJO ELASTICO C/MENTONERA Y CLIPS " u="1"/>
        <s v="FASTENER CAJA x 50 JUEGOS               " u="1"/>
        <s v="FILTER CAB 73402760                     " u="1"/>
        <s v="FUSIBLE UNIVERSAL UÑA 25A 89504310      " u="1"/>
        <s v="FILTRO PETROLEO SECUNDARIO 87803180     " u="1"/>
        <s v="FILTRO HIDRAULICO SELLADO 86018758      " u="1"/>
        <s v="FILTRO AIRE PRIMARIO 87517154           " u="1"/>
        <s v="FILTRO AIRE SECUNDARIO 87517153         " u="1"/>
        <s v="SULFATO DE COBRE  PENTAHIDRATADO P.A    " u="1"/>
        <s v="FAJA  CA04899178                        " u="1"/>
        <s v="RETEN DE CUBO 45x65x18,5 5169122        " u="1"/>
        <s v="Solución de conductividad  12.88uS/cm   " u="1"/>
        <s v="CAMARAS 23.1 - 26 NEXEN                 " u="1"/>
        <s v="BOMBA CEVADORA 2830266                  " u="1"/>
        <s v="BOMBA DE AGUA 2856893                   " u="1"/>
        <s v="FUSIBLE UNIVERSAL UÑA 15A 89623774      " u="1"/>
        <s v="ORING CAÑERIAS 4894095                  " u="1"/>
        <s v="ESPUMA BLANCA 2x1Mx1/4&quot;                 " u="1"/>
        <s v="CAMARA 23,1x30                          " u="1"/>
        <s v="CONECTOR LINEAL MANGUERA-MANGUERA 17MM  " u="1"/>
        <s v="VALVULA DE BOLA DE PVC 1 1/2&quot;  C/ROSCA  " u="1"/>
        <s v="COLLARIN PE 250MM X 2&quot;                  " u="1"/>
        <s v="UNION REPARACION PVC 75MM U/F           " u="1"/>
        <s v="SEGURO M35 5109282                      " u="1"/>
        <s v="BOMBA HIDRAULICA 84263360 47135548      " u="1"/>
        <s v="DISCO EMBRAGUE - DAMPER 87542609        " u="1"/>
        <s v="RETEN PIÑON ATAQUE 5111415              " u="1"/>
        <s v="TUERCA PIÑON ATAQUE 5119147             " u="1"/>
        <s v="RETEN PAQUETE DISCOS 5122845            " u="1"/>
        <s v="SUPLEMENTO PIVOTES 5137114              " u="1"/>
        <s v="EJE CORTO BOCAMAZA 5194144              " u="1"/>
        <s v="ANILLO DE CIERRE 190X220X14,5-18 5183844" u="1"/>
        <s v="ANILLO DIST INT 7226 HC1A600034         " u="1"/>
        <s v="ANILLO DIST EXT 7226 HC1A610034         " u="1"/>
        <s v="COLLET 12 G HC22670043                  " u="1"/>
        <s v="FILTRO DE COMBUSTIBLE 84283691          " u="1"/>
        <s v="AMORTIGUADOR CAPOT 87672328             " u="1"/>
        <s v="FILTRO DE ACEITE HIDRÁULICO 73401383    " u="1"/>
        <s v="CHAVETA 10X8X35 DIN 6885 LS191344       " u="1"/>
        <s v="CHAVETA 10X8X70 DIN 6880 LS191342       " u="1"/>
        <s v="DUMPER 87304267 (5187845)               " u="1"/>
        <s v="UNION REPARACION PVC 200mm UF C-10      " u="1"/>
        <s v="CABLE DE MANDO HIDRAULICO TM 82030042   " u="1"/>
        <s v="VALVULA DE BOLA 2&quot; C/DOBLE UNIVERSAL CR " u="1"/>
        <s v="ENGANCHE AUTOMATICO 2¨ JOST JOSENG0149  " u="1"/>
        <s v="FILTRO ACEITE MONTACARGA CAT 32A4000400 " u="1"/>
        <s v="EJE 500 HCE2011164 AC INOX 416          " u="1"/>
        <s v="ESPARRAGO REGULACION MASA CAÑERA 3i-5347" u="1"/>
        <s v="VÁLVULA DE AIRE COMBINADA A.R.I DG-10 2&quot;" u="1"/>
        <s v="VENTILADOR RADIAL 230Vca [17153793]     " u="1"/>
        <s v="BOCINA DURAMAX 2X 2. 5/8 X100-HCBP001366" u="1"/>
        <s v="Aro Sello 235 x 5 Código IS040130       " u="1"/>
        <s v="PAPEL BULKY A4 GRAPHOS                  " u="1"/>
        <s v="GUANTE CUB.DE NITRILO C/PUÑO TEJID T9   " u="1"/>
        <s v="EJE BOMBA 12 G-3 (1.7/16) HCE1015064    " u="1"/>
        <s v="EJE ESPACIA 1.15/16-7226/7228 0U64177600" u="1"/>
        <s v="CAJA PRENSAEST 1.7/16X2.1/2 HC27030041  " u="1"/>
        <s v="PARCHE RADIAL RAD 120 TL 125X80 MM.     " u="1"/>
        <s v="FILTRO DE COMBUSTIBLE 10UM FBO 60356    " u="1"/>
        <s v="SUBSOLADOR CANTERIZADOR DE 2 LINEAS     " u="1"/>
        <s v="VÁLVULA CONTROL 110700 SEALCO.          " u="1"/>
        <s v="ANILLO CIERRE P.DIRECCIO 44906168 TM7040" u="1"/>
        <s v="BOLSA POLIPROPILENO 6.5&quot;x8.5&quot;X2um(micra)" u="1"/>
        <s v="CHOMPA JORGE CHAVEZ 600 GR 2139 VRD T-XL" u="1"/>
        <s v="PANTALON CARGO DRILL 2623 VRD 878 T-28  " u="1"/>
        <s v="PANTALON CARGO DRILL 2623 VRD 878 T-30  " u="1"/>
        <s v="PANTALON CARGO DRILL 2623 VRD 878 T-32  " u="1"/>
        <s v="PANTALON CARGO DRILL 2623 VRD 878 T-38  " u="1"/>
        <s v="BICO DE HASTE AGM 01-0252               " u="1"/>
        <s v="KIT DE CALIBRACION PARA DETECTOR MSA CL2" u="1"/>
        <s v="PARCH - RAD -140   195x100              " u="1"/>
        <s v="CAÑERIA DE FRENO 82009308 TM7020        " u="1"/>
        <s v="CAÑERIA DE FRENO 82019071 TM7020        " u="1"/>
        <s v="LAMINA GRADO HIP 3934 NARANJA           " u="1"/>
        <s v="VINILO AUTOADH SCOTCHCAL NEGRO 7125-12  " u="1"/>
        <s v="BRAZO SIST DE FLOTACION AXT13664 CH570  " u="1"/>
        <s v="PLUMON P/PIZARRA ACRILICA - VERDE       " u="1"/>
        <s v="HIPOCLORITO CALCIO AL 65%               " u="1"/>
        <s v="BORRADOR MIXTO LAPIZ/LAPICERO           " u="1"/>
        <s v="GOMA EN BARRA                           " u="1"/>
        <s v="LIMPIATIPOS                             " u="1"/>
        <s v="PLUMON P/PIZARRA ACRILICA - NEGRO       " u="1"/>
        <s v="PLUMON P/PIZARRA ACRILICA - AZUL        " u="1"/>
        <s v="PLUMON P/PIZARRA ACRILICA - ROJO        " u="1"/>
        <s v="CINTA VIRGINIA 1/8&quot; x 2&quot; x 30'          " u="1"/>
        <s v="REGLA METALICA 30CM                     " u="1"/>
        <s v="REMOVEDOR SQP-R-30                      " u="1"/>
        <s v="REMOVEDOR SQP-RO-91                     " u="1"/>
        <s v="Stub - End acero inox 2&quot;                " u="1"/>
        <s v="TUBO DE FIERRO NEGRO 1.1/4&quot; SCH 40      " u="1"/>
        <s v="MARTILLO FIJO MODELO DM540 - COD 540012 " u="1"/>
        <s v="MANGUE 16MM DRIPNET 16150,1L/H,0.4M AS  " u="1"/>
        <s v="Stub end Ø2&quot; Inox c304L                 " u="1"/>
        <s v="JUNTAS DE FLUJO N50.BR MGS-10           " u="1"/>
        <s v="COJINETE ROLMAX F .6(SF 40)  REF 8      " u="1"/>
        <s v="CORONA 130 DIENTES  250046              " u="1"/>
        <s v="VALVULA ALTA PRESION Cod. C20.10.120    " u="1"/>
        <s v="BOCAL DE ACOPLAMIENTO 540026            " u="1"/>
        <s v="REGULADOR FLUJO GRLA-3/8-QS-8-D         " u="1"/>
        <s v="TINTA EPSON T664320 MAGENTA (A GRANEL)  " u="1"/>
        <s v="REPELENTE OFF 200 GR (FRASCO)           " u="1"/>
        <s v="CABLE UTP CAT. 6                        " u="1"/>
        <s v="SQP-DEGREASE-H DESENGRASANTE PARA COCINA" u="1"/>
        <s v="ELASTOMERO OMEGA E-50                   " u="1"/>
        <s v="MANGUERA CIEGA POLIETILENO 16MM X 1.2MM " u="1"/>
        <s v="CINTA PARA CODIFICADORA BROTHER         " u="1"/>
        <s v="TUBO 1&quot;x 6 MT SCH 40 A/CARBONO          " u="1"/>
        <s v="VALVULA REGULADORA D/CAUDAL ANTIRRETORNO" u="1"/>
        <s v="CC11B.00 TARJETA DE CONTROL             " u="1"/>
        <s v="TRAFO AUXILIAR COMANDO 25/480/210V/157  " u="1"/>
        <s v="CONJUNTO RESISTOR PRE-CARGA 40OHM 120W  " u="1"/>
        <s v="CC11B5.00 TARJETA DE CONTROL            " u="1"/>
        <s v="GAB1.FF600-4 TARJETA ADAPTADORA DE PURTA" u="1"/>
        <s v="DFO2A.370-4 TARJETA DE FUENTE           " u="1"/>
        <s v="PISTON HIDRAULICO 25 TN CAMABAJA METAGRO" u="1"/>
        <s v="GABINETE DE RED 4RU                     " u="1"/>
        <s v="FUENTE ALIMENTACIÓN 12 V 2AMP           " u="1"/>
        <s v="VALVULA BOLA AC. INOX. C316 2&quot; 3CP      " u="1"/>
        <s v="CÁMARA DAHUA SMART DUAL 5.0 MPX 2K      " u="1"/>
        <s v="CÁMARA DOMO PTZ IP 2.0MPX FULL HD       " u="1"/>
        <s v="ESPACIADOR MAND FINAL 2.2MM L55603 6130J" u="1"/>
        <s v="ESPACIADOR MAND FINAL 1.7MM L55602 6130J" u="1"/>
        <s v="GAS PROPANO P/BALON VALV PREMIUM X 10 KG" u="1"/>
        <s v="ELECTRODO DE PH InPro4800i/SG/120       " u="1"/>
        <s v="DISTRIBUIDOR MODELO DM 52-100           " u="1"/>
        <s v="MOTOR 450 HP, 2P, 3600 RPM FRAME 315LD  " u="1"/>
        <s v="TUBO CONDUIT FLEXIBLE CON FORRO PVC 1&quot;  " u="1"/>
        <s v="PIE DERECHO DE MADERA 3&quot; X 3MT          " u="1"/>
        <s v="CABLE DE TRABAJO ELEVADOR CB01467761    " u="1"/>
        <s v="tee ac sch 40 1&quot;                        " u="1"/>
        <s v="COMBA DE 4 LIBRAS                       " u="1"/>
        <s v="ADAPTADOR MACHO PVC 3&quot;                  " u="1"/>
        <s v="KIT BOMBIM AUXILIAR 9960040             " u="1"/>
        <s v=" ACIDO CLORHIDRICO P.A.                 " u="1"/>
        <s v="KIT CILINDRO LEV.CABINA AH149817        " u="1"/>
        <s v="LLAVE DE ENCENDIDO AR51481              " u="1"/>
        <s v="VALVULA 0570005455                      " u="1"/>
        <s v="LLAVE DE CHAPA DE CONTACTO RE183935     " u="1"/>
        <s v="PIN TORNAMESA SUPE CB01487917 CB01432669" u="1"/>
        <s v="ANILLO SOPORTE 5140888                  " u="1"/>
        <s v="ARANDELA SOPORTE POST 5136115           " u="1"/>
        <s v="GUIA PARA CABLE DE ELEVADOR CB01471119  " u="1"/>
        <s v="CONEX. HY06-06FJ 3/8X3/8 10643-6-6      " u="1"/>
        <s v="HY12-12FJ 3/4X3/4 10643-12-12           " u="1"/>
        <s v="CONEX. HY16-16FJ 1X1 10643-16-16        " u="1"/>
        <s v="CASQUILLO R81488                        " u="1"/>
        <s v="CASQUILLO R81487                        " u="1"/>
        <s v="SELLO MEC MULTI CDPN Ø 45mm TC/TC/TC/CB " u="1"/>
        <s v="SENSOR DE PALANCA PRIMARIA RE243770     " u="1"/>
        <s v="INTERRUPTOR PRESION 83977007            " u="1"/>
        <s v="KIT REPARO SELLO CDPN Ø 45mm TC/TC/TC/CB" u="1"/>
        <s v="KIT REPARO SELLO CDPN Ø 60mm TC/TC/TC/CB" u="1"/>
        <s v="ACUMULADOR HIDRAULICO CB11496720 (RUEDA)" u="1"/>
        <s v="RUEDA LOCA AL157596 TRACTOR 6130J       " u="1"/>
        <s v="LLAVERO PROMOCIONAL                     " u="1"/>
        <s v="VIDRIO LADO IZQUIERDOTJD L77647         " u="1"/>
        <s v="SELLO MEC MULTI CDPN Ø 70mm TC/TC/TC/CB " u="1"/>
        <s v="SELLO MEC MULTI CSSN Ø 35mm CB/TC       " u="1"/>
        <s v="ANILLO TORICO CUBO CE21706              " u="1"/>
        <s v="CAÑA DE GUAYAQUIL X 6 Mts               " u="1"/>
        <s v="SELLO MEC MULTI CSSN Ø 29mm CB/TC       " u="1"/>
        <s v="ENREJADO T6130J L155598                 " u="1"/>
        <s v="GANCHO SISTE. ENFRIAMIENTO JD0280039677 " u="1"/>
        <s v="SELLO MEC MULTI CSSN Ø 45mm CB/TC       " u="1"/>
        <s v="SELLO TAPA DISTRIBUCION R119384         " u="1"/>
        <s v="MANGO AL113174 P/TRACTOR JD M-6110D     " u="1"/>
        <s v="BULON 45M7063  P/TRACTOR JD 6125D       " u="1"/>
        <s v="SEGURO DE RODAMIENTO T6130J L41159      " u="1"/>
        <s v="COLADOR TANQUE COMBUSTIB T6130J AL206587" u="1"/>
        <s v="RETEN T6130J CQ27244                    " u="1"/>
        <s v="CUADERNO DE RELEVO CONTROLADOR COSECHA  " u="1"/>
        <s v="MOTOR PATEADOR 4000 COMPACTO CB11480572 " u="1"/>
        <s v="SELLO MEC SIMPLE MG1/065-G60 Q1Q1VGG    " u="1"/>
        <s v="FORMATO INSPECCION DE ELEVADOR          " u="1"/>
        <s v="FORMATO INSPECCION DE ROLOS ALIMETADORES" u="1"/>
        <s v="FORMATO INSPECCION DE CORTADOR DE BASE  " u="1"/>
        <s v="MANGUERA  305-0358                      " u="1"/>
        <s v="SEMIEJE MANDO FINAL 6130J CQ27302       " u="1"/>
        <s v="SOLENOIDE BOMBA INYECCION 71104602 7040 " u="1"/>
        <s v="PROTECTOR D/RODAJE CARDAN 5174572 TM7040" u="1"/>
        <s v="KIT EMPAQUES BOMBA CARGA RE70821 6130J  " u="1"/>
        <s v="Tarjeta de Consumo por S/ 150.00        " u="1"/>
        <s v="RODAJE POLEA DE ACERO UNIMIL 029708     " u="1"/>
        <s v="KIT REPARO SELLO CDPN Ø 70mm TC/TC/TC/CB" u="1"/>
        <s v="CONEX BASE BOMBA HIDRA AL111759 6130J   " u="1"/>
        <s v="Tarjeta de Consumo por S/ 300.00        " u="1"/>
        <s v="GANCHOS DE VOLTEO GH-101 409.9mmX470mm  " u="1"/>
        <s v="TERMOSTATO PARA FRIGOBAR 220V AC        " u="1"/>
        <s v="BOMBA EMRAGUE GRUA TEREX                " u="1"/>
        <s v="BOMBA AUXILIAR EMBRAGUE GRUA TEREX      " u="1"/>
        <s v="RETEN DE EJE FRENO POSTER  YZ91212 6125D" u="1"/>
        <s v="KIT SELLO PISTON PERDIGA CH570[AHC21126]" u="1"/>
        <s v="YOYO RETRACTI 28400-ZE3-W01 13HP HYUNDAI" u="1"/>
        <s v="MALLA PRECLEANER CXT36944 CH570 JD23 +  " u="1"/>
        <s v="TARJETA DE CONSUMO S/500.00             " u="1"/>
        <s v="KIT EMBRAGUE CAMION FORD F-750          " u="1"/>
        <s v="Sello                                   " u="1"/>
        <s v="ACIDO SULFURICO P.A.                    " u="1"/>
        <s v="ALAMBRE DE FE.NE. #16 PARA CONSTRUCCION " u="1"/>
        <s v="PANETON                                 " u="1"/>
        <s v="CANGURO DE TELA                         " u="1"/>
        <s v="MALLA RASHELL AL 90% SOMBRA             " u="1"/>
        <s v="RODAJE 6202 2RS1                        " u="1"/>
        <s v="MALLA CUBRE SUELO DE 100G NEGRO         " u="1"/>
        <s v="CAMISA DRILL 770 VRD 878 LOG M/L T-XXXL " u="1"/>
        <s v="TALISCA ELEVADOR TRES NERVADURAS 021569 " u="1"/>
        <s v="CHOMPA JORGE CHAVEZ 600 GR XXL          " u="1"/>
        <s v="CONS DURAZNO ARICA X 820 GR             " u="1"/>
        <s v="CAMISA DRILL 2623 VRD 828 M/L T-XS      " u="1"/>
        <s v="CAMISA DRILL 2623 VRD 828 M/L T-S       " u="1"/>
        <s v="CAMISA DRILL 2623 VRD 828 M/L T-M       " u="1"/>
        <s v="CAMISA DRILL 2623 VRD 828 M/L T-L       " u="1"/>
        <s v="CAMISA DRILL 2623 VRD 828 M/L T-XL      " u="1"/>
        <s v="CAMISA DRILL 2623 VRD 828 M/L T-XXL     " u="1"/>
        <s v="CAMISA DENIM IGNIFUGO C/LOG M/L T-S     " u="1"/>
        <s v="CAMISA DENIM IGNIFUGO C/LOG M/L T-M     " u="1"/>
        <s v="CAMISA DENIM IGNIFUGO C/LOG M/L T-L     " u="1"/>
        <s v="CAMISA DENIM IGNIFUGO C/LOG M/L T-XL    " u="1"/>
        <s v="CAMISA P/MOZO POPELINA BLN M/C T-M      " u="1"/>
        <s v="CAMISA DRILL 770 VRD 878 C/LOG M/L T-S  " u="1"/>
        <s v="CAMISA DRILL 770 VRD 878 C/LOG M/L T-M  " u="1"/>
        <s v="CAMISA DRILL 770 VRD 878 C/LOG M/L T-L  " u="1"/>
        <s v="CAMISA DRILL 770 VRD 878 C/LOG M/L T-XL " u="1"/>
        <s v="POLO BLANCO CON CUELLO CAMISERO M/L T-XS" u="1"/>
        <s v="POLO ALGD BLC M/L C.CAMIS P/V T-S       " u="1"/>
        <s v="POLO ALGD BLC M/L C.CAMIS P/V T-M       " u="1"/>
        <s v="POLO ALGD BLC M/L C.CAMIS P/V T-L       " u="1"/>
        <s v="POLO ALGD BLC M/L C.CAMIS P/V T-XL      " u="1"/>
        <s v="CHALECO DRILL 384 VRD 854 C.RF-C/LOG T-S" u="1"/>
        <s v="CHALECO DRILL 384 VRD 854 C.RF-C/LOG T-M" u="1"/>
        <s v="CHALECO DRILL 384 VRD 854 C.RF-C/LOG T-L" u="1"/>
        <s v="CHALECO DRILL 384 VRD 854 C.RF-LOG T-XL " u="1"/>
        <s v="POLO BLN M/L C/LOG C/VIGA T-S           " u="1"/>
        <s v="POLO BLN M/L C/LOG C/VIGA T-M           " u="1"/>
        <s v="POLO BLN M/L C/LOG C/VIGA T-L           " u="1"/>
        <s v="CHOMPA JORGE CHAVEZ 600 GR 2139 VRD T-S " u="1"/>
        <s v="CHOMPA JORGE CHAVEZ 600 GR 2139 VRD T-M " u="1"/>
        <s v="CHOMPA JORGE CHAVEZ 600 GR 2139 VRD T-L " u="1"/>
        <s v="PANTALON CARGO DRILL 2623 VRD 878 T-26  " u="1"/>
        <s v="PANTALON CARGO DRILL 2623 VRD 878 T-40  " u="1"/>
        <s v="PANTALON DENIM IGNIFUGO T-28            " u="1"/>
        <s v="PANTALON DENIM IGNIFUGO T-30            " u="1"/>
        <s v="PANTALON DENIM IGNIFUGO T-32            " u="1"/>
        <s v="PANTALON DENIM IGNIFUGO T-34            " u="1"/>
        <s v="PANTALON DENIM IGNIFUGO T-40            " u="1"/>
        <s v="PANTALON CARGO DRILL 770 VRD 878 T-28   " u="1"/>
        <s v="PANTALON CARGO DRILL 770 VRD 878 T-30   " u="1"/>
        <s v="PANTALON CARGO DRILL 770 VRD 878 T-32   " u="1"/>
        <s v="PANTALON CARGO DRILL 770 VRD 878 T-34   " u="1"/>
        <s v="PANTALON CARGO DRILL 770 VRD 878 T-36   " u="1"/>
        <s v="PANTALON CARGO DRILL 770 VRD 878 T-40   " u="1"/>
        <s v="CHAQUETA CHEFF DRILL TWILL  LOG M/C T-M " u="1"/>
        <s v="CHAQUETA CHEFF DRILL TWILL  LOG M/C T-L " u="1"/>
        <s v="CHAQUETA CHEFF DRILL TWILL  LOG M/C T-XL" u="1"/>
        <s v="PANTALON TIPO BUZO DRILL TWILL BLN T-30 " u="1"/>
        <s v="PANTALON TIPO BUZO DRILL TWILL BLN T-32 " u="1"/>
        <s v="PANTALON TIPO BUZO DRILL TWILL BLN T-34 " u="1"/>
        <s v="SCRUB MEDICO CHAQUETA/PANTALON LOG T-XS " u="1"/>
        <s v="SCRUB MEDICO CHAQUETA/PANTALON C/LOG T-S" u="1"/>
        <s v="SCRUB MEDICO CHAQUETA/PANTALON C/LOG T-M" u="1"/>
        <s v="SCRUB MEDICO CHAQUETA/PANTALON C/LOG T-L" u="1"/>
        <s v="SCRUB MEDICO CHAQUETA/PANTALON LOG T-XL " u="1"/>
        <s v="GUARDAPOLVO DRILL BLN C.RF 3M T-S       " u="1"/>
        <s v="GUARDAPOLVO DRILL BLN C.RF 3M T-M       " u="1"/>
        <s v="GUARDAPOLVO DRILL BLN C.RF 3M T-L       " u="1"/>
        <s v="GORRO TIPO GARIBALDI CHEFF POPELINA     " u="1"/>
        <s v="PANTALON DRILL OBR VRD C.RF P/V T-28    " u="1"/>
        <s v="PANTALON DRILL OBR VRD C.RF P/V T-30    " u="1"/>
        <s v="PANTALON DRILL OBR VRD C.RF P/V T-32    " u="1"/>
        <s v="PANTALON DRILL OBR VRD C.RF P/V T-34    " u="1"/>
        <s v="PANTALON DRILL OBR VRD C.RF P/V T-36    " u="1"/>
        <s v="PANTALON DRILL OBR VRD C.RF P/V T-38    " u="1"/>
        <s v="PANTALON DRILL OBR VRD C.RF P/V T-40    " u="1"/>
        <s v="PANTALON DRILL OBR VRD C.RF P/V T-42    " u="1"/>
        <s v="PANTALON DRILL NGR-MOZO P/V T-32        " u="1"/>
        <s v="RODAJE PARA POLEA ALZADORA 6203 2RS C3  " u="1"/>
        <s v="CHOMPA JORGE CHAVEZ 600 GR 2139 VRD T-XS" u="1"/>
        <s v="PANTALON TIPO BUZO DRILL TWILL BLN T-28 " u="1"/>
        <s v="POLO JERSEY BLAN 20/1 M/LARG C/REDON T/M" u="1"/>
        <s v="POLO JERSEY BLAN 20/1 M/LARG C/REDON T/L" u="1"/>
        <s v="RODAMIENTO 6314.C3                      " u="1"/>
        <s v="RODAJE 6203 2RS                         " u="1"/>
        <s v="MULTITESTER MODELO:AM1280 DIGITAL AMPROB" u="1"/>
        <s v="PIN COD 863293 POS 5075                 " u="1"/>
        <s v="PERNO 1/4&quot; x 4&quot; GRADO 8 C/TUERCA NYLON  " u="1"/>
        <s v="CABLE VULCANIZADO 4 x 8 AWG NPT         " u="1"/>
        <s v="RODAMIENTO 7313 BECBP                   " u="1"/>
        <s v="PAVO DE 7 KG                            " u="1"/>
        <s v="BOQUILLAS DE OXICORTE NO 2              " u="1"/>
        <s v="CONEX. BW/JJ16-16FJ 1X1 10671-16-16     " u="1"/>
        <s v="TUBO PVC SCH80 DE 2&quot; x 5.8 MT.          " u="1"/>
        <s v="ANILLO CENTRIFUGADOR COD. NMP5066420    " u="1"/>
        <s v="CONEX.3/4X3/4 1JS43-12-12 ESPIGA PLANA  " u="1"/>
        <s v="CONEX. 5/8X5/8 1JS43-10-10              " u="1"/>
        <s v="DISCO POLIFAN 4 1/2&quot; GRANO 60           " u="1"/>
        <s v="FARO PLACA MATRICUA 3 LEDS  12V/24V WAS " u="1"/>
        <s v="FARO LED POSTERIOR 4&quot; 12V/24V - AMBAR   " u="1"/>
        <s v="ESTATOR  NM076 02 S NEMOLAST S11A 1020  " u="1"/>
        <s v="KIT EMPAQUETADURAS TF061600AJ COMPRESOR " u="1"/>
        <s v="SOLDADURA NAZCA DUR 610 3.25 1/8        " u="1"/>
        <s v="SOLDADURA NAZCA DUR 1000HT 3.25 1/8     " u="1"/>
        <s v="RODAJE RODILLOS CIL NJ 2209 ECP  DE32353" u="1"/>
        <s v="BASE DE PAQUETES DE MUELLES             " u="1"/>
        <s v="ANILLO PLANO DE 5/8 X 4 MM DE ESPESOR   " u="1"/>
        <s v="ANILLO DE SELLADOR CÓD. 595957 POS 1045 " u="1"/>
        <s v="RESORTE DE PRESIÓN P/CHECK DF-402       " u="1"/>
        <s v="VELLHUMUS EXTRAC HUMICO/AC FULV CILx200L" u="1"/>
        <s v="PLANCHA 1/8&quot; X 5' X 20' ASTM-A36        " u="1"/>
        <s v="BOTIN DIELECTRICO T-44                  " u="1"/>
        <s v="UNION SIMPLE PVC SCH-80 3&quot;              " u="1"/>
        <s v="CHAVETA DE PIÑON PRINCIPAL Cod. 3i-7164 " u="1"/>
        <s v="CANASTILLA ACERO 20X40X40 P/CAMARA HIDRO" u="1"/>
        <s v="CUCHILLAS INOX DE DIGESTOR TECNAL       " u="1"/>
        <s v="ACEITE BOMBA MACROY P/N: 4070152010     " u="1"/>
        <s v="FRASCO PLASTIC TRANSP C/TAPA ROSCA 1.5 L" u="1"/>
        <s v="RETEN POLIURETANO M1 320 X 350 X 19     " u="1"/>
        <s v="REDUCCION BUSHING PVC 3&quot;X 2&quot; SCH 80     " u="1"/>
        <s v="UNION SIMPLE PVC DE 1.1/4&quot; SCH 80       " u="1"/>
        <s v="CAJAS D/CARTON NAVIDEÑAS 29*375*210CM   " u="1"/>
        <s v="SELLO FBU SEAL EDM D=35MM TC/TC/TC/CB   " u="1"/>
        <s v="SELLO FBU SEAL EDM D=2&quot; TC/TC/TC/CB     " u="1"/>
        <s v="DISCO CORTE DIAMANT 4&quot;                  " u="1"/>
        <s v="PLANCHA DE FIERRO Ne.3/4&quot;x4`x8`         " u="1"/>
        <s v="STOVE BOLTS DE 3/16&quot; X 1                " u="1"/>
        <s v="Perno inox 304 5/8&quot; x 2.1/2&quot; COMPLETO   " u="1"/>
        <s v="CABLE AUTOMOTRIZ GPT #14 AWG NEGRO      " u="1"/>
        <s v="PERNO COMPLE G8 C/TUER.TEFLO 1 1/4 X 5&quot; " u="1"/>
        <s v="Interruptor de puerta 10 A              " u="1"/>
        <s v="Acople rapido 1/2&quot; con espiga 1/2&quot;      " u="1"/>
        <s v="RODAMIENTO 6306 -2Z /C3                 " u="1"/>
        <s v="KIT MOTOR CB11483723 9900462-000 EATON  " u="1"/>
        <s v="RODAMIENTO NU 206 ECKP/C3               " u="1"/>
        <s v="PERNO DE 3/4&quot; x 4&quot; DE LARGO C/TUERCA    " u="1"/>
        <s v="PERNO SOCKET 7/8&quot; NF ROSCA  7/8  X 2 1/2" u="1"/>
        <s v="PERNO INOX  1/2&quot; X 5 1/2&quot;  GR.8 COMPLETO" u="1"/>
        <s v="CONEX. 7916-16OFT45 1X1 1J779-16-16 AERO" u="1"/>
        <s v="CONEX. 7916-16OFT90 1X1 1J979-16-16     " u="1"/>
        <s v="7916-16PH90 1X1 16N79-16-16             " u="1"/>
        <s v="FUSIBLE UR 80A NH aR BR10FA1PV080       " u="1"/>
        <s v="VALVULA DUO CHECK FIERRO DISCO 316 Ø6&quot;  " u="1"/>
        <s v="LUMINARIA PANEL LED MATRIZ 40W 60X60CM  " u="1"/>
        <s v="RELE LATCHING 2NA 48V CC 200A - 12969157" u="1"/>
        <s v="CONEX. 1&quot;X1&quot;  1J079-16-16 R15 aeroquip  " u="1"/>
        <s v="PERNO COMPLETO 1/2 &quot; X 5 1/2&quot; - GRADO 8 " u="1"/>
        <s v="ESPARRAGO 7/8&quot;  X 6-1/2&quot; + 2T + 2A/P    " u="1"/>
        <s v="EXTRACTOR DE PERNOS Y TORNILLOS         " u="1"/>
        <s v="CONEXION PARA MANGUERA ENGRASE 1/4      " u="1"/>
        <s v="PERNO CENTRAL MUELLE 9/16&quot; X 8&quot; UNF-G8  " u="1"/>
        <s v="CONEX MACHO ASIENTO PLANO RECT 1/2 X 1/2" u="1"/>
        <s v="CONEX HEMBRA A.PLANO 1J743-8-8 1/2 X 1/2" u="1"/>
        <s v="CONEX RECTA MACH NPT 3/8 X 3/8 10143-6-6" u="1"/>
        <s v="PERNO-5/8 X 3 1/2&quot; HEX.COMPLETO         " u="1"/>
        <s v="TUERCA C/SEG NYLON UNF 5/8&quot;             " u="1"/>
        <s v="Cuaderno Agenda A-5 Caña Brava          " u="1"/>
        <s v="SELLO MECANICO 1 1/4&quot; P/BOMBA AGUA      " u="1"/>
        <s v="PERNO 7/8&quot; X 8&quot; GR8 FE COMPLETO         " u="1"/>
        <s v="ACOPLE RAPIDO EATON 1/2&quot; 5600-8-10S     " u="1"/>
        <s v="RELE SEL 787 - 1A                       " u="1"/>
        <s v="RELE SEL 487E - 1A                      " u="1"/>
        <s v="RELE SEL 451 - 1A                       " u="1"/>
        <s v="MANGUER 1/4 ALTA PRESION 10000 PSI EATON" u="1"/>
        <s v="EXTENSION HEMBRA THORNTON 1025          " u="1"/>
        <s v="TERMINAL PIN DE COMPRESION 35 MM2       " u="1"/>
        <s v="RODAMIENTO RODILLOS A ROTULA 22313EK SKF" u="1"/>
        <s v="Plancha Estriada 1/8 x 2.40(4) x 1.20(8)" u="1"/>
        <s v="RODAMIENTO 6309 C3                      " u="1"/>
        <s v="PERNO SOCKET M12 x 25mm.                " u="1"/>
        <s v="RETEN 30 X 47 X 7 MM                    " u="1"/>
        <s v="LUNAS RECTANGULARES CLARAS              " u="1"/>
        <s v="PILA GRANDE &quot;D&quot; 1.5V.MN1300 ALCALINA    " u="1"/>
        <s v="SELLO PERNO TAPA BALANCIN 7040  4895360 " u="1"/>
        <s v="POSTE RECTO DE CONCRETO DE 3M PARA CERCO" u="1"/>
        <s v="Llave mixta de 34mm                     " u="1"/>
        <s v="QUELATO 4[AZUFRE PANTERA PROCES]SCOx25KG" u="1"/>
        <s v="GRAPAS DE 1&quot;PARA ALAMBRE DE PUAS        " u="1"/>
        <s v="TUBO PVC DE 3/4&quot; PARA AGUA              " u="1"/>
        <s v="HOJA DE SIERRA DE 12&quot;                   " u="1"/>
        <s v="PINTURA ESMALTE ROJO                    " u="1"/>
        <s v="CUCHARITAS DESCARTABLES x 100 UNDS      " u="1"/>
        <s v="MALLA RASHELL 80% SOMBRA                " u="1"/>
        <s v="VALVULA AIRE 2&quot; CINETICA AV-010 ARI     " u="1"/>
        <s v="BALDE PLASTICO X 10 LTS.                " u="1"/>
        <s v="SACO DE POLIPROPILENO                   " u="1"/>
        <s v="UNION REPARACION PVC 355 UF             " u="1"/>
        <s v="TRIPLAY DE 6 LINEAS DE 2 x 1.8 x 0.40 M " u="1"/>
        <s v="BOLSA DE POLIETILENO 10 X 15&quot; EN ROLLO  " u="1"/>
        <s v="CODO PVC 315 MM x 45° SP C-10           " u="1"/>
        <s v="CINTILLOS ELECT 4.8 x 300mm X 100 UND   " u="1"/>
        <s v="HIDROMETRO BERMAD TURBO-BAR 12&quot; 10m3 pul" u="1"/>
        <s v="CUCHARA DESCARTABLE Nº 6                " u="1"/>
        <s v="PUNTAS DE CORTE ANGULAR DE SURCADOR     " u="1"/>
        <s v="TUBO DE PVC 3/4&quot;                        " u="1"/>
        <s v="DETERGENTE INDUSTRIAL                   " u="1"/>
        <s v="SOGA NYLON DE 3/4&quot;                      " u="1"/>
        <s v="VALVULA DE BRONCE DE 3 VIAS 1/4  X 1/4  " u="1"/>
        <s v="COLLARIN PVC 355mm x 2&quot; NPT             " u="1"/>
        <s v="RODAMIENTO K15123 - K15245              " u="1"/>
        <s v="SAL D/DIMETILAM[SANAMINA 2-4D ] CILx200L" u="1"/>
        <s v="FILTRO 1&quot; CIMTEK 70015 PARA COMBUSTIBLES" u="1"/>
        <s v="PERNO CBZ. HEXG. 7/8&quot;x 8&quot;               " u="1"/>
        <s v="QUELATO 7 [KOHINOR] BIDx20L             " u="1"/>
        <s v="RODAJE CONICO LM67048                   " u="1"/>
        <s v="RODAMIENTOS N¢ 62/32                    " u="1"/>
        <s v="GRASA SHELL GADUS S3 V460D 2            " u="1"/>
        <s v="TERMINAL MANGUITO DOBLE DE 50 mm2       " u="1"/>
      </sharedItems>
    </cacheField>
    <cacheField name="Cantidad" numFmtId="0">
      <sharedItems containsSemiMixedTypes="0" containsString="0" containsNumber="1" minValue="-30000" maxValue="748800" count="245">
        <n v="30000"/>
        <n v="26"/>
        <n v="250"/>
        <n v="10"/>
        <n v="30"/>
        <n v="1600"/>
        <n v="1"/>
        <n v="4"/>
        <n v="1000"/>
        <n v="41"/>
        <n v="2000"/>
        <n v="8"/>
        <n v="2"/>
        <n v="16"/>
        <n v="12"/>
        <n v="6"/>
        <n v="24"/>
        <n v="100"/>
        <n v="680"/>
        <n v="10000"/>
        <n v="31"/>
        <n v="5.6"/>
        <n v="3"/>
        <n v="35"/>
        <n v="2500"/>
        <n v="300"/>
        <n v="5000"/>
        <n v="18"/>
        <n v="29"/>
        <n v="13200"/>
        <n v="748800"/>
        <n v="19"/>
        <n v="65"/>
        <n v="5.2"/>
        <n v="-10"/>
        <n v="-11"/>
        <n v="11"/>
        <n v="200" u="1"/>
        <n v="3000" u="1"/>
        <n v="90" u="1"/>
        <n v="900" u="1"/>
        <n v="-30000" u="1"/>
        <n v="450" u="1"/>
        <n v="420" u="1"/>
        <n v="800" u="1"/>
        <n v="60" u="1"/>
        <n v="2400" u="1"/>
        <n v="500" u="1"/>
        <n v="25" u="1"/>
        <n v="220" u="1"/>
        <n v="456" u="1"/>
        <n v="912" u="1"/>
        <n v="-360" u="1"/>
        <n v="360" u="1"/>
        <n v="55" u="1"/>
        <n v="2600" u="1"/>
        <n v="5" u="1"/>
        <n v="99" u="1"/>
        <n v="33" u="1"/>
        <n v="63" u="1"/>
        <n v="110" u="1"/>
        <n v="-220" u="1"/>
        <n v="-56" u="1"/>
        <n v="-200" u="1"/>
        <n v="-16" u="1"/>
        <n v="-112" u="1"/>
        <n v="-400" u="1"/>
        <n v="-25" u="1"/>
        <n v="27.2" u="1"/>
        <n v="20" u="1"/>
        <n v="7" u="1"/>
        <n v="82" u="1"/>
        <n v="1050" u="1"/>
        <n v="9" u="1"/>
        <n v="21" u="1"/>
        <n v="125" u="1"/>
        <n v="98" u="1"/>
        <n v="120" u="1"/>
        <n v="1.5" u="1"/>
        <n v="260" u="1"/>
        <n v="95" u="1"/>
        <n v="135" u="1"/>
        <n v="2.25" u="1"/>
        <n v="4.25" u="1"/>
        <n v="112" u="1"/>
        <n v="400" u="1"/>
        <n v="72" u="1"/>
        <n v="96" u="1"/>
        <n v="-6" u="1"/>
        <n v="620" u="1"/>
        <n v="-456" u="1"/>
        <n v="-912" u="1"/>
        <n v="80" u="1"/>
        <n v="600" u="1"/>
        <n v="3300" u="1"/>
        <n v="20000" u="1"/>
        <n v="3200" u="1"/>
        <n v="1190" u="1"/>
        <n v="133210" u="1"/>
        <n v="2550" u="1"/>
        <n v="25000" u="1"/>
        <n v="50" u="1"/>
        <n v="168" u="1"/>
        <n v="86" u="1"/>
        <n v="189" u="1"/>
        <n v="6500" u="1"/>
        <n v="48" u="1"/>
        <n v="128" u="1"/>
        <n v="43" u="1"/>
        <n v="272" u="1"/>
        <n v="14" u="1"/>
        <n v="68" u="1"/>
        <n v="23" u="1"/>
        <n v="32" u="1"/>
        <n v="15" u="1"/>
        <n v="22" u="1"/>
        <n v="146" u="1"/>
        <n v="153" u="1"/>
        <n v="-1" u="1"/>
        <n v="27" u="1"/>
        <n v="275" u="1"/>
        <n v="180" u="1"/>
        <n v="17" u="1"/>
        <n v="280" u="1"/>
        <n v="13" u="1"/>
        <n v="150" u="1"/>
        <n v="102" u="1"/>
        <n v="121" u="1"/>
        <n v="-8" u="1"/>
        <n v="1814" u="1"/>
        <n v="-1814" u="1"/>
        <n v="104" u="1"/>
        <n v="142" u="1"/>
        <n v="16000" u="1"/>
        <n v="12000" u="1"/>
        <n v="40" u="1"/>
        <n v="1200" u="1"/>
        <n v="1500" u="1"/>
        <n v="74" u="1"/>
        <n v="75" u="1"/>
        <n v="30150" u="1"/>
        <n v="6090" u="1"/>
        <n v="36" u="1"/>
        <n v="45" u="1"/>
        <n v="53" u="1"/>
        <n v="28" u="1"/>
        <n v="-3" u="1"/>
        <n v="106" u="1"/>
        <n v="155" u="1"/>
        <n v="42" u="1"/>
        <n v="38" u="1"/>
        <n v="1620" u="1"/>
        <n v="3960" u="1"/>
        <n v="111" u="1"/>
        <n v="76" u="1"/>
        <n v="94" u="1"/>
        <n v="84" u="1"/>
        <n v="306" u="1"/>
        <n v="39" u="1"/>
        <n v="30.6" u="1"/>
        <n v="907" u="1"/>
        <n v="85" u="1"/>
        <n v="315" u="1"/>
        <n v="-2" u="1"/>
        <n v="70" u="1"/>
        <n v="290" u="1"/>
        <n v="279" u="1"/>
        <n v="161" u="1"/>
        <n v="130" u="1"/>
        <n v="322" u="1"/>
        <n v="56" u="1"/>
        <n v="64" u="1"/>
        <n v="558" u="1"/>
        <n v="107" u="1"/>
        <n v="-60" u="1"/>
        <n v="393" u="1"/>
        <n v="88" u="1"/>
        <n v="66" u="1"/>
        <n v="-2500" u="1"/>
        <n v="-1000" u="1"/>
        <n v="-300" u="1"/>
        <n v="1015" u="1"/>
        <n v="2721" u="1"/>
        <n v="11760" u="1"/>
        <n v="254.24" u="1"/>
        <n v="317.8" u="1"/>
        <n v="2179.1999999999998" u="1"/>
        <n v="272.39999999999998" u="1"/>
        <n v="29800" u="1"/>
        <n v="46" u="1"/>
        <n v="7000" u="1"/>
        <n v="-20" u="1"/>
        <n v="560000" u="1"/>
        <n v="49" u="1"/>
        <n v="4000" u="1"/>
        <n v="425600" u="1"/>
        <n v="-4" u="1"/>
        <n v="-12" u="1"/>
        <n v="165" u="1"/>
        <n v="172" u="1"/>
        <n v="344" u="1"/>
        <n v="688" u="1"/>
        <n v="148" u="1"/>
        <n v="3896" u="1"/>
        <n v="210" u="1"/>
        <n v="1470" u="1"/>
        <n v="1020.6" u="1"/>
        <n v="550" u="1"/>
        <n v="105" u="1"/>
        <n v="44" u="1"/>
        <n v="240" u="1"/>
        <n v="-110" u="1"/>
        <n v="198000" u="1"/>
        <n v="-5" u="1"/>
        <n v="-24" u="1"/>
        <n v="-4000" u="1"/>
        <n v="255" u="1"/>
        <n v="840" u="1"/>
        <n v="735" u="1"/>
        <n v="92" u="1"/>
        <n v="184" u="1"/>
        <n v="52" u="1"/>
        <n v="218" u="1"/>
        <n v="58" u="1"/>
        <n v="176" u="1"/>
        <n v="34" u="1"/>
        <n v="124" u="1"/>
        <n v="208" u="1"/>
        <n v="140" u="1"/>
        <n v="158" u="1"/>
        <n v="330" u="1"/>
        <n v="-1020.6" u="1"/>
        <n v="31200" u="1"/>
        <n v="210000" u="1"/>
        <n v="126" u="1"/>
        <n v="1082" u="1"/>
        <n v="101" u="1"/>
        <n v="259" u="1"/>
        <n v="195" u="1"/>
        <n v="159" u="1"/>
        <n v="1532" u="1"/>
        <n v="-95" u="1"/>
        <n v="-35" u="1"/>
        <n v="-100" u="1"/>
        <n v="530" u="1"/>
      </sharedItems>
    </cacheField>
    <cacheField name="UM" numFmtId="0">
      <sharedItems count="25">
        <s v="KG "/>
        <s v="UND"/>
        <s v="LB "/>
        <s v="L  "/>
        <s v="GAL"/>
        <s v="FCO"/>
        <s v="BOL"/>
        <s v="GR "/>
        <s v="M  "/>
        <s v="PQT"/>
        <s v="ROL"/>
        <s v="CJA" u="1"/>
        <s v="JG " u="1"/>
        <s v="GLN" u="1"/>
        <s v="PAR" u="1"/>
        <s v="M3 " u="1"/>
        <s v="CTO" u="1"/>
        <s v="PZA" u="1"/>
        <s v="M2 " u="1"/>
        <s v="CJ " u="1"/>
        <s v="BLD" u="1"/>
        <s v="CA " u="1"/>
        <s v="MIL" u="1"/>
        <s v="PL " u="1"/>
        <s v="PCK" u="1"/>
      </sharedItems>
    </cacheField>
    <cacheField name="Cl.mov." numFmtId="0">
      <sharedItems containsSemiMixedTypes="0" containsString="0" containsNumber="1" containsInteger="1" minValue="101" maxValue="102"/>
    </cacheField>
    <cacheField name="Posición" numFmtId="0">
      <sharedItems containsSemiMixedTypes="0" containsString="0" containsNumber="1" containsInteger="1" minValue="10" maxValue="310"/>
    </cacheField>
    <cacheField name="Pedido" numFmtId="0">
      <sharedItems containsSemiMixedTypes="0" containsString="0" containsNumber="1" containsInteger="1" minValue="4511520480" maxValue="5500024939" count="782">
        <n v="5500024939"/>
        <n v="5500024751"/>
        <n v="4511573914"/>
        <n v="5500024855"/>
        <n v="5500024888"/>
        <n v="4511538552"/>
        <n v="4511572171"/>
        <n v="4511573592"/>
        <n v="4511573785"/>
        <n v="4511573761"/>
        <n v="4511574160"/>
        <n v="4511574248"/>
        <n v="4511573901"/>
        <n v="4511572702"/>
        <n v="4511573749"/>
        <n v="4511572652"/>
        <n v="4511571950"/>
        <n v="4511573782"/>
        <n v="4511573566"/>
        <n v="4511572837"/>
        <n v="4511572899"/>
        <n v="4511572148"/>
        <n v="4511573638"/>
        <n v="4511572466"/>
        <n v="4511569944"/>
        <n v="4511573528"/>
        <n v="4511571083"/>
        <n v="4511572679"/>
        <n v="4511571679"/>
        <n v="4511570429"/>
        <n v="4511571748"/>
        <n v="4511572295"/>
        <n v="4511571956"/>
        <n v="4511571756"/>
        <n v="4511571639"/>
        <n v="4511571461"/>
        <n v="4511561153"/>
        <n v="4511571990"/>
        <n v="4511572032"/>
        <n v="4511567003"/>
        <n v="4511566146"/>
        <n v="4511571650"/>
        <n v="4511570926"/>
        <n v="4511572714"/>
        <n v="4511572284"/>
        <n v="4511571951"/>
        <n v="4511572521"/>
        <n v="4511572460"/>
        <n v="4511570734"/>
        <n v="4511570257"/>
        <n v="4511570356"/>
        <n v="4511571319"/>
        <n v="4511571466"/>
        <n v="4511571465"/>
        <n v="4511570932"/>
        <n v="5500024924" u="1"/>
        <n v="4511573324" u="1"/>
        <n v="5500024815" u="1"/>
        <n v="5500024766" u="1"/>
        <n v="5500024881" u="1"/>
        <n v="4511572038" u="1"/>
        <n v="4511572034" u="1"/>
        <n v="4511569803" u="1"/>
        <n v="4511568757" u="1"/>
        <n v="4511569875" u="1"/>
        <n v="4511561663" u="1"/>
        <n v="4511520480" u="1"/>
        <n v="4511566008" u="1"/>
        <n v="4511572241" u="1"/>
        <n v="4511571637" u="1"/>
        <n v="4511572192" u="1"/>
        <n v="4511569095" u="1"/>
        <n v="4511566669" u="1"/>
        <n v="4511569735" u="1"/>
        <n v="4511570161" u="1"/>
        <n v="4511573910" u="1"/>
        <n v="4511573073" u="1"/>
        <n v="4511574115" u="1"/>
        <n v="4511573843" u="1"/>
        <n v="4511574429" u="1"/>
        <n v="4511569936" u="1"/>
        <n v="4511570463" u="1"/>
        <n v="4511572231" u="1"/>
        <n v="4511573765" u="1"/>
        <n v="4511573937" u="1"/>
        <n v="4511572404" u="1"/>
        <n v="4511569940" u="1"/>
        <n v="4511573082" u="1"/>
        <n v="4511573449" u="1"/>
        <n v="4511572717" u="1"/>
        <n v="4511573487" u="1"/>
        <n v="4511573490" u="1"/>
        <n v="4511573330" u="1"/>
        <n v="4511573485" u="1"/>
        <n v="4511573097" u="1"/>
        <n v="4511567967" u="1"/>
        <n v="4511572970" u="1"/>
        <n v="4511570640" u="1"/>
        <n v="4511569948" u="1"/>
        <n v="4511572194" u="1"/>
        <n v="4520095089" u="1"/>
        <n v="4520095103" u="1"/>
        <n v="4511572247" u="1"/>
        <n v="4511571618" u="1"/>
        <n v="4511569927" u="1"/>
        <n v="4520095034" u="1"/>
        <n v="4511570659" u="1"/>
        <n v="4511571462" u="1"/>
        <n v="4511570279" u="1"/>
        <n v="4511570990" u="1"/>
        <n v="4511571458" u="1"/>
        <n v="4511562060" u="1"/>
        <n v="4511571649" u="1"/>
        <n v="4511567223" u="1"/>
        <n v="4511571485" u="1"/>
        <n v="4511571102" u="1"/>
        <n v="4511563740" u="1"/>
        <n v="4511571828" u="1"/>
        <n v="4511574235" u="1"/>
        <n v="4511573756" u="1"/>
        <n v="4511574098" u="1"/>
        <n v="4511573581" u="1"/>
        <n v="4511572402" u="1"/>
        <n v="4511570292" u="1"/>
        <n v="4511572299" u="1"/>
        <n v="4511573677" u="1"/>
        <n v="4511572227" u="1"/>
        <n v="4511569854" u="1"/>
        <n v="4511571594" u="1"/>
        <n v="4511573077" u="1"/>
        <n v="4511572168" u="1"/>
        <n v="4511571527" u="1"/>
        <n v="4511570982" u="1"/>
        <n v="4511570016" u="1"/>
        <n v="4511572223" u="1"/>
        <n v="4511572413" u="1"/>
        <n v="4511572560" u="1"/>
        <n v="4511570777" u="1"/>
        <n v="4511567724" u="1"/>
        <n v="4511571464" u="1"/>
        <n v="4511570098" u="1"/>
        <n v="4511570468" u="1"/>
        <n v="4511569433" u="1"/>
        <n v="4511570127" u="1"/>
        <n v="4511570807" u="1"/>
        <n v="4511571541" u="1"/>
        <n v="4511570688" u="1"/>
        <n v="4511571081" u="1"/>
        <n v="4511556090" u="1"/>
        <n v="4511573825" u="1"/>
        <n v="5500024844" u="1"/>
        <n v="4511573680" u="1"/>
        <n v="5500024925" u="1"/>
        <n v="4511573685" u="1"/>
        <n v="4511573877" u="1"/>
        <n v="4511573770" u="1"/>
        <n v="4511573683" u="1"/>
        <n v="4511574271" u="1"/>
        <n v="4511574256" u="1"/>
        <n v="5500024931" u="1"/>
        <n v="4511574277" u="1"/>
        <n v="4511568730" u="1"/>
        <n v="4511574170" u="1"/>
        <n v="4511571986" u="1"/>
        <n v="5500024752" u="1"/>
        <n v="4511573678" u="1"/>
        <n v="4511574105" u="1"/>
        <n v="4511572179" u="1"/>
        <n v="4511574239" u="1"/>
        <n v="4511573858" u="1"/>
        <n v="4511574026" u="1"/>
        <n v="4511573897" u="1"/>
        <n v="4511573966" u="1"/>
        <n v="4511573918" u="1"/>
        <n v="4511574186" u="1"/>
        <n v="4511571645" u="1"/>
        <n v="4511573515" u="1"/>
        <n v="4511573571" u="1"/>
        <n v="4511570459" u="1"/>
        <n v="4511573820" u="1"/>
        <n v="4511573752" u="1"/>
        <n v="4511574234" u="1"/>
        <n v="4511570958" u="1"/>
        <n v="4511573240" u="1"/>
        <n v="4511573399" u="1"/>
        <n v="4511572398" u="1"/>
        <n v="4511572771" u="1"/>
        <n v="4511573798" u="1"/>
        <n v="4511573797" u="1"/>
        <n v="4511573088" u="1"/>
        <n v="4511573679" u="1"/>
        <n v="4511570991" u="1"/>
        <n v="4511571989" u="1"/>
        <n v="5500019188" u="1"/>
        <n v="4511572175" u="1"/>
        <n v="4511573884" u="1"/>
        <n v="4511572191" u="1"/>
        <n v="4511572706" u="1"/>
        <n v="4511573676" u="1"/>
        <n v="4511573800" u="1"/>
        <n v="4511572668" u="1"/>
        <n v="4511573331" u="1"/>
        <n v="4511572183" u="1"/>
        <n v="4511572512" u="1"/>
        <n v="4511572711" u="1"/>
        <n v="4511574134" u="1"/>
        <n v="4511573755" u="1"/>
        <n v="4511571823" u="1"/>
        <n v="4511572182" u="1"/>
        <n v="4511570720" u="1"/>
        <n v="4511573873" u="1"/>
        <n v="4511570503" u="1"/>
        <n v="4511573500" u="1"/>
        <n v="4511573827" u="1"/>
        <n v="4511571168" u="1"/>
        <n v="4511573586" u="1"/>
        <n v="4511573957" u="1"/>
        <n v="4511574245" u="1"/>
        <n v="4511572513" u="1"/>
        <n v="4511572370" u="1"/>
        <n v="4511567694" u="1"/>
        <n v="4511573709" u="1"/>
        <n v="4511573723" u="1"/>
        <n v="4511573809" u="1"/>
        <n v="4511573329" u="1"/>
        <n v="4511573913" u="1"/>
        <n v="4511572649" u="1"/>
        <n v="4511572372" u="1"/>
        <n v="4511570728" u="1"/>
        <n v="4511568242" u="1"/>
        <n v="4511570443" u="1"/>
        <n v="4511573794" u="1"/>
        <n v="4511573958" u="1"/>
        <n v="4511572790" u="1"/>
        <n v="4511572896" u="1"/>
        <n v="4511573740" u="1"/>
        <n v="4511573741" u="1"/>
        <n v="4511572302" u="1"/>
        <n v="4511572393" u="1"/>
        <n v="4511572392" u="1"/>
        <n v="4511563707" u="1"/>
        <n v="4520094903" u="1"/>
        <n v="5500024892" u="1"/>
        <n v="4511573734" u="1"/>
        <n v="4511573602" u="1"/>
        <n v="4511572291" u="1"/>
        <n v="4511573570" u="1"/>
        <n v="4511573574" u="1"/>
        <n v="4511569941" u="1"/>
        <n v="4511573948" u="1"/>
        <n v="4511572932" u="1"/>
        <n v="4511573712" u="1"/>
        <n v="4511570001" u="1"/>
        <n v="4511572374" u="1"/>
        <n v="4511566985" u="1"/>
        <n v="4511573681" u="1"/>
        <n v="4511572165" u="1"/>
        <n v="4511572979" u="1"/>
        <n v="4511572403" u="1"/>
        <n v="4511573938" u="1"/>
        <n v="4511573575" u="1"/>
        <n v="4511573960" u="1"/>
        <n v="4511572808" u="1"/>
        <n v="4511566788" u="1"/>
        <n v="4511573603" u="1"/>
        <n v="4511573886" u="1"/>
        <n v="4511560050" u="1"/>
        <n v="4511573501" u="1"/>
        <n v="4511573502" u="1"/>
        <n v="4511573750" u="1"/>
        <n v="4511570464" u="1"/>
        <n v="4511568602" u="1"/>
        <n v="4511572167" u="1"/>
        <n v="4511572830" u="1"/>
        <n v="4511570731" u="1"/>
        <n v="4511573949" u="1"/>
        <n v="4511573857" u="1"/>
        <n v="4511573499" u="1"/>
        <n v="4511572653" u="1"/>
        <n v="4511571827" u="1"/>
        <n v="4511573738" u="1"/>
        <n v="4511572267" u="1"/>
        <n v="4511573939" u="1"/>
        <n v="4511572943" u="1"/>
        <n v="4511572418" u="1"/>
        <n v="4511573650" u="1"/>
        <n v="4511573737" u="1"/>
        <n v="4511573781" u="1"/>
        <n v="5500024927" u="1"/>
        <n v="5500024746" u="1"/>
        <n v="4511572915" u="1"/>
        <n v="4511572588" u="1"/>
        <n v="4511572744" u="1"/>
        <n v="4511572251" u="1"/>
        <n v="4511572593" u="1"/>
        <n v="4511571224" u="1"/>
        <n v="4511572764" u="1"/>
        <n v="4511561374" u="1"/>
        <n v="4511572862" u="1"/>
        <n v="4511572708" u="1"/>
        <n v="4511572834" u="1"/>
        <n v="4511571174" u="1"/>
        <n v="4511568783" u="1"/>
        <n v="4511572470" u="1"/>
        <n v="4511570957" u="1"/>
        <n v="4511572660" u="1"/>
        <n v="5500022336" u="1"/>
        <n v="4511573744" u="1"/>
        <n v="4511573686" u="1"/>
        <n v="4511573533" u="1"/>
        <n v="4511572517" u="1"/>
        <n v="4511572395" u="1"/>
        <n v="4511567954" u="1"/>
        <n v="4511571942" u="1"/>
        <n v="4511567435" u="1"/>
        <n v="4511567999" u="1"/>
        <n v="4511569576" u="1"/>
        <n v="4511572516" u="1"/>
        <n v="4511572518" u="1"/>
        <n v="4511572213" u="1"/>
        <n v="4511572399" u="1"/>
        <n v="4511573480" u="1"/>
        <n v="4511573481" u="1"/>
        <n v="4511573721" u="1"/>
        <n v="4511572181" u="1"/>
        <n v="4520095183" u="1"/>
        <n v="4511573509" u="1"/>
        <n v="4511572319" u="1"/>
        <n v="4511572266" u="1"/>
        <n v="4511572169" u="1"/>
        <n v="4511572699" u="1"/>
        <n v="4511572674" u="1"/>
        <n v="5500024896" u="1"/>
        <n v="4511565162" u="1"/>
        <n v="4511573497" u="1"/>
        <n v="4511573484" u="1"/>
        <n v="4511572904" u="1"/>
        <n v="4511572677" u="1"/>
        <n v="4511572743" u="1"/>
        <n v="4511572124" u="1"/>
        <n v="4511572072" u="1"/>
        <n v="4511570266" u="1"/>
        <n v="4511572819" u="1"/>
        <n v="4511572789" u="1"/>
        <n v="4511572277" u="1"/>
        <n v="4511572976" u="1"/>
        <n v="4511572575" u="1"/>
        <n v="4511571987" u="1"/>
        <n v="4511573483" u="1"/>
        <n v="4511566144" u="1"/>
        <n v="4511571109" u="1"/>
        <n v="4511571332" u="1"/>
        <n v="4511573055" u="1"/>
        <n v="4511573057" u="1"/>
        <n v="5500024780" u="1"/>
        <n v="5500024911" u="1"/>
        <n v="4511572651" u="1"/>
        <n v="4511560816" u="1"/>
        <n v="4511572682" u="1"/>
        <n v="4511563992" u="1"/>
        <n v="4511572916" u="1"/>
        <n v="4511573585" u="1"/>
        <n v="4511570063" u="1"/>
        <n v="4511572784" u="1"/>
        <n v="4511567726" u="1"/>
        <n v="4511572688" u="1"/>
        <n v="4511572689" u="1"/>
        <n v="4511560730" u="1"/>
        <n v="4511572723" u="1"/>
        <n v="4511572930" u="1"/>
        <n v="4511573559" u="1"/>
        <n v="4511572724" u="1"/>
        <n v="4511569391" u="1"/>
        <n v="4511566845" u="1"/>
        <n v="4511570109" u="1"/>
        <n v="4511572900" u="1"/>
        <n v="4511572770" u="1"/>
        <n v="4511571537" u="1"/>
        <n v="4511572669" u="1"/>
        <n v="4511570993" u="1"/>
        <n v="4511571952" u="1"/>
        <n v="4511572763" u="1"/>
        <n v="4511571634" u="1"/>
        <n v="4511572412" u="1"/>
        <n v="4511560710" u="1"/>
        <n v="4511573514" u="1"/>
        <n v="4511566828" u="1"/>
        <n v="4511572671" u="1"/>
        <n v="4511573623" u="1"/>
        <n v="4511572041" u="1"/>
        <n v="4511572767" u="1"/>
        <n v="5500022125" u="1"/>
        <n v="5500022126" u="1"/>
        <n v="4511573414" u="1"/>
        <n v="4511573512" u="1"/>
        <n v="5500024818" u="1"/>
        <n v="4511572562" u="1"/>
        <n v="4511565689" u="1"/>
        <n v="4511573335" u="1"/>
        <n v="4511570004" u="1"/>
        <n v="4511566009" u="1"/>
        <n v="4511565182" u="1"/>
        <n v="4511572975" u="1"/>
        <n v="4511569581" u="1"/>
        <n v="4511565702" u="1"/>
        <n v="4511571744" u="1"/>
        <n v="4511572271" u="1"/>
        <n v="4511539582" u="1"/>
        <n v="4511572956" u="1"/>
        <n v="4511571778" u="1"/>
        <n v="4511562148" u="1"/>
        <n v="4511571477" u="1"/>
        <n v="4511570595" u="1"/>
        <n v="4511571985" u="1"/>
        <n v="4511572920" u="1"/>
        <n v="5500024856" u="1"/>
        <n v="4511571259" u="1"/>
        <n v="4511573070" u="1"/>
        <n v="4511569917" u="1"/>
        <n v="4511569763" u="1"/>
        <n v="4511572077" u="1"/>
        <n v="4511535963" u="1"/>
        <n v="4511572800" u="1"/>
        <n v="4511569668" u="1"/>
        <n v="4511571642" u="1"/>
        <n v="4511570003" u="1"/>
        <n v="4511571571" u="1"/>
        <n v="4511572939" u="1"/>
        <n v="4511572197" u="1"/>
        <n v="4511569699" u="1"/>
        <n v="4511571643" u="1"/>
        <n v="4511572196" u="1"/>
        <n v="4511571469" u="1"/>
        <n v="4511572128" u="1"/>
        <n v="4511560831" u="1"/>
        <n v="4511569140" u="1"/>
        <n v="4511571235" u="1"/>
        <n v="4511572130" u="1"/>
        <n v="4511572313" u="1"/>
        <n v="4511571533" u="1"/>
        <n v="4511570125" u="1"/>
        <n v="4511572129" u="1"/>
        <n v="4511571666" u="1"/>
        <n v="4511570732" u="1"/>
        <n v="4511572260" u="1"/>
        <n v="4511571471" u="1"/>
        <n v="4511572161" u="1"/>
        <n v="4511572672" u="1"/>
        <n v="4511572270" u="1"/>
        <n v="4511566154" u="1"/>
        <n v="4511570093" u="1"/>
        <n v="4511571491" u="1"/>
        <n v="4511568375" u="1"/>
        <n v="4511572390" u="1"/>
        <n v="4520094887" u="1"/>
        <n v="4511572285" u="1"/>
        <n v="4511572754" u="1"/>
        <n v="4511572779" u="1"/>
        <n v="4511572734" u="1"/>
        <n v="4511572387" u="1"/>
        <n v="4511572564" u="1"/>
        <n v="5500022338" u="1"/>
        <n v="4511572407" u="1"/>
        <n v="4511569436" u="1"/>
        <n v="4511572670" u="1"/>
        <n v="4511570407" u="1"/>
        <n v="4511572633" u="1"/>
        <n v="4511570989" u="1"/>
        <n v="4511572305" u="1"/>
        <n v="4511570980" u="1"/>
        <n v="4511569931" u="1"/>
        <n v="4511572195" u="1"/>
        <n v="4511572190" u="1"/>
        <n v="5500024903" u="1"/>
        <n v="4511572353" u="1"/>
        <n v="4511572185" u="1"/>
        <n v="4511571473" u="1"/>
        <n v="4511571585" u="1"/>
        <n v="4511567983" u="1"/>
        <n v="4511572704" u="1"/>
        <n v="4511572157" u="1"/>
        <n v="4511572150" u="1"/>
        <n v="4511572375" u="1"/>
        <n v="4511564990" u="1"/>
        <n v="4511566108" u="1"/>
        <n v="4511571620" u="1"/>
        <n v="4511572217" u="1"/>
        <n v="5500024681" u="1"/>
        <n v="5500024683" u="1"/>
        <n v="5500024682" u="1"/>
        <n v="4511571474" u="1"/>
        <n v="4511572170" u="1"/>
        <n v="4511572137" u="1"/>
        <n v="4511565709" u="1"/>
        <n v="4511572141" u="1"/>
        <n v="4511568660" u="1"/>
        <n v="5500024901" u="1"/>
        <n v="4520094595" u="1"/>
        <n v="5500023479" u="1"/>
        <n v="4511572303" u="1"/>
        <n v="4511572173" u="1"/>
        <n v="4511571436" u="1"/>
        <n v="4511569717" u="1"/>
        <n v="4511572294" u="1"/>
        <n v="4511572288" u="1"/>
        <n v="4511571439" u="1"/>
        <n v="4511569749" u="1"/>
        <n v="4511572290" u="1"/>
        <n v="4511570485" u="1"/>
        <n v="4511572174" u="1"/>
        <n v="4511571810" u="1"/>
        <n v="4511570641" u="1"/>
        <n v="4511567775" u="1"/>
        <n v="4511572286" u="1"/>
        <n v="4511571743" u="1"/>
        <n v="4511566142" u="1"/>
        <n v="4511567986" u="1"/>
        <n v="4511571105" u="1"/>
        <n v="4511566565" u="1"/>
        <n v="4511565250" u="1"/>
        <n v="4511572394" u="1"/>
        <n v="4511570287" u="1"/>
        <n v="4511571772" u="1"/>
        <n v="4511566870" u="1"/>
        <n v="4511570106" u="1"/>
        <n v="4511572224" u="1"/>
        <n v="4511568663" u="1"/>
        <n v="4511570687" u="1"/>
        <n v="4511571992" u="1"/>
        <n v="4511571512" u="1"/>
        <n v="4520095016" u="1"/>
        <n v="4511572332" u="1"/>
        <n v="4511572287" u="1"/>
        <n v="4511571774" u="1"/>
        <n v="4511571057" u="1"/>
        <n v="4511572568" u="1"/>
        <n v="4511569751" u="1"/>
        <n v="4511571617" u="1"/>
        <n v="4511571486" u="1"/>
        <n v="4511570238" u="1"/>
        <n v="4511567781" u="1"/>
        <n v="4511567782" u="1"/>
        <n v="4511571638" u="1"/>
        <n v="4511565353" u="1"/>
        <n v="4511571476" u="1"/>
        <n v="4511570808" u="1"/>
        <n v="4511570961" u="1"/>
        <n v="4511571981" u="1"/>
        <n v="4511571982" u="1"/>
        <n v="4511569700" u="1"/>
        <n v="4511570411" u="1"/>
        <n v="4511571264" u="1"/>
        <n v="4511569653" u="1"/>
        <n v="4511568646" u="1"/>
        <n v="4511567725" u="1"/>
        <n v="4511569758" u="1"/>
        <n v="4511572216" u="1"/>
        <n v="4511567811" u="1"/>
        <n v="4511570484" u="1"/>
        <n v="4511570719" u="1"/>
        <n v="4511571794" u="1"/>
        <n v="4511568017" u="1"/>
        <n v="4511571696" u="1"/>
        <n v="4511566934" u="1"/>
        <n v="4511571126" u="1"/>
        <n v="4511566949" u="1"/>
        <n v="4511567873" u="1"/>
        <n v="4511571762" u="1"/>
        <n v="4511570727" u="1"/>
        <n v="4511571088" u="1"/>
        <n v="4511570981" u="1"/>
        <n v="4511571490" u="1"/>
        <n v="4511572268" u="1"/>
        <n v="4511567683" u="1"/>
        <n v="4511570041" u="1"/>
        <n v="4511566991" u="1"/>
        <n v="4511568387" u="1"/>
        <n v="4511567699" u="1"/>
        <n v="4511565420" u="1"/>
        <n v="4511572044" u="1"/>
        <n v="4511571802" u="1"/>
        <n v="4511559255" u="1"/>
        <n v="4511570486" u="1"/>
        <n v="4511570684" u="1"/>
        <n v="4520094942" u="1"/>
        <n v="4511571740" u="1"/>
        <n v="4511565361" u="1"/>
        <n v="4511571048" u="1"/>
        <n v="4511572214" u="1"/>
        <n v="4511571644" u="1"/>
        <n v="4511571442" u="1"/>
        <n v="4511565188" u="1"/>
        <n v="4511571735" u="1"/>
        <n v="4511572090" u="1"/>
        <n v="4511571902" u="1"/>
        <n v="4511569089" u="1"/>
        <n v="4511572091" u="1"/>
        <n v="4511569929" u="1"/>
        <n v="4511571457" u="1"/>
        <n v="4511571681" u="1"/>
        <n v="4511571455" u="1"/>
        <n v="4511560805" u="1"/>
        <n v="4520094948" u="1"/>
        <n v="4520094960" u="1"/>
        <n v="4511569811" u="1"/>
        <n v="4520095044" u="1"/>
        <n v="4520095132" u="1"/>
        <n v="4511571573" u="1"/>
        <n v="4511569036" u="1"/>
        <n v="4511570985" u="1"/>
        <n v="4511570986" u="1"/>
        <n v="4511564341" u="1"/>
        <n v="4511571576" u="1"/>
        <n v="4511569366" u="1"/>
        <n v="4511571591" u="1"/>
        <n v="4511571646" u="1"/>
        <n v="4511571911" u="1"/>
        <n v="4511571113" u="1"/>
        <n v="4511564581" u="1"/>
        <n v="4511566521" u="1"/>
        <n v="4511571816" u="1"/>
        <n v="4511571742" u="1"/>
        <n v="4511566234" u="1"/>
        <n v="4511571745" u="1"/>
        <n v="4511569990" u="1"/>
        <n v="4511570956" u="1"/>
        <n v="4511563737" u="1"/>
        <n v="4511570425" u="1"/>
        <n v="4511571640" u="1"/>
        <n v="4511571912" u="1"/>
        <n v="4511571783" u="1"/>
        <n v="4511566208" u="1"/>
        <n v="4511569750" u="1"/>
        <n v="4511572036" u="1"/>
        <n v="4511568003" u="1"/>
        <n v="4511568981" u="1"/>
        <n v="4511568097" u="1"/>
        <n v="4511569867" u="1"/>
        <n v="4511570984" u="1"/>
        <n v="4511570983" u="1"/>
        <n v="4511570239" u="1"/>
        <n v="4511571329" u="1"/>
        <n v="4511570676" u="1"/>
        <n v="4511565001" u="1"/>
        <n v="4511566751" u="1"/>
        <n v="4511568717" u="1"/>
        <n v="4511570454" u="1"/>
        <n v="4511571114" u="1"/>
        <n v="4511566638" u="1"/>
        <n v="4511571750" u="1"/>
        <n v="4511571386" u="1"/>
        <n v="4511568028" u="1"/>
        <n v="4511571385" u="1"/>
        <n v="4511569813" u="1"/>
        <n v="4511571988" u="1"/>
        <n v="4511571754" u="1"/>
        <n v="4511571622" u="1"/>
        <n v="4511571627" u="1"/>
        <n v="4511570940" u="1"/>
        <n v="4511569663" u="1"/>
        <n v="5500024770" u="1"/>
        <n v="4511571837" u="1"/>
        <n v="4511571325" u="1"/>
        <n v="4511570975" u="1"/>
        <n v="4511569866" u="1"/>
        <n v="4511571324" u="1"/>
        <n v="4520095017" u="1"/>
        <n v="4511565367" u="1"/>
        <n v="4511570217" u="1"/>
        <n v="4511570218" u="1"/>
        <n v="4511565941" u="1"/>
        <n v="4511565937" u="1"/>
        <n v="4511565482" u="1"/>
        <n v="4511565483" u="1"/>
        <n v="4511571782" u="1"/>
        <n v="4511569996" u="1"/>
        <n v="4511568394" u="1"/>
        <n v="4511571100" u="1"/>
        <n v="4511564284" u="1"/>
        <n v="4511564285" u="1"/>
        <n v="4511564286" u="1"/>
        <n v="4511571753" u="1"/>
        <n v="4511570682" u="1"/>
        <n v="4511570006" u="1"/>
        <n v="4511568166" u="1"/>
        <n v="4511571574" u="1"/>
        <n v="4511568977" u="1"/>
        <n v="4511569995" u="1"/>
        <n v="4511570724" u="1"/>
        <n v="4511569997" u="1"/>
        <n v="4511565672" u="1"/>
        <n v="4511570289" u="1"/>
        <n v="4511571225" u="1"/>
        <n v="4511571086" u="1"/>
        <n v="4511570453" u="1"/>
        <n v="4511571551" u="1"/>
        <n v="4511570943" u="1"/>
        <n v="4511570988" u="1"/>
        <n v="4511564643" u="1"/>
        <n v="4511570099" u="1"/>
        <n v="4511571161" u="1"/>
        <n v="4511567390" u="1"/>
        <n v="4511568802" u="1"/>
        <n v="4511567388" u="1"/>
        <n v="4511570105" u="1"/>
        <n v="4511567543" u="1"/>
        <n v="4511569017" u="1"/>
        <n v="4511570643" u="1"/>
        <n v="4511571563" u="1"/>
        <n v="4511571122" u="1"/>
        <n v="4511570723" u="1"/>
        <n v="4511570722" u="1"/>
        <n v="4511571459" u="1"/>
        <n v="4511570933" u="1"/>
        <n v="4511570435" u="1"/>
        <n v="4511570960" u="1"/>
        <n v="4511569861" u="1"/>
        <n v="4511570349" u="1"/>
        <n v="4511571055" u="1"/>
        <n v="4511569736" u="1"/>
        <n v="4511565919" u="1"/>
        <n v="4511570317" u="1"/>
        <n v="4511570667" u="1"/>
        <n v="4511569610" u="1"/>
        <n v="4511570108" u="1"/>
        <n v="4511567766" u="1"/>
        <n v="4511566848" u="1"/>
        <n v="4511570262" u="1"/>
        <n v="4511569417" u="1"/>
        <n v="4511570110" u="1"/>
        <n v="4511571467" u="1"/>
        <n v="4511571468" u="1"/>
        <n v="4511554831" u="1"/>
        <n v="4511570103" u="1"/>
        <n v="4511571258" u="1"/>
        <n v="4511571470" u="1"/>
        <n v="4511560357" u="1"/>
        <n v="4511566136" u="1"/>
        <n v="4511569149" u="1"/>
        <n v="4511567431" u="1"/>
        <n v="4511570953" u="1"/>
        <n v="4511564517" u="1"/>
        <n v="4511565883" u="1"/>
        <n v="4511566637" u="1"/>
        <n v="4511563182" u="1"/>
        <n v="4511564903" u="1"/>
        <n v="4511568164" u="1"/>
        <n v="4511566321" u="1"/>
        <n v="5500024777" u="1"/>
        <n v="4511568746" u="1"/>
        <n v="4511569967" u="1"/>
        <n v="4511568322" u="1"/>
        <n v="4511569761" u="1"/>
        <n v="4511567030" u="1"/>
        <n v="4511568652" u="1"/>
        <n v="4511569753" u="1"/>
        <n v="4511566636" u="1"/>
        <n v="4511569974" u="1"/>
        <n v="4511569026" u="1"/>
        <n v="4511569264" u="1"/>
        <n v="4511568665" u="1"/>
        <n v="4511568548" u="1"/>
        <n v="4511569299" u="1"/>
        <n v="4511569923" u="1"/>
        <n v="4511569679" u="1"/>
        <n v="4511568650" u="1"/>
        <n v="4511568167" u="1"/>
        <n v="4511568100" u="1"/>
        <n v="4511569028" u="1"/>
        <n v="4511569077" u="1"/>
        <n v="4511569090" u="1"/>
        <n v="4511568235" u="1"/>
        <n v="4511568339" u="1"/>
        <n v="4511568729" u="1"/>
        <n v="4511568390" u="1"/>
        <n v="4511568230" u="1"/>
        <n v="4511568233" u="1"/>
        <n v="4511568800" u="1"/>
        <n v="4511568020" u="1"/>
        <n v="5500024781" u="1"/>
        <n v="4511558258" u="1"/>
        <n v="4511569003" u="1"/>
      </sharedItems>
    </cacheField>
    <cacheField name="Fe.contable" numFmtId="14">
      <sharedItems containsSemiMixedTypes="0" containsNonDate="0" containsDate="1" containsString="0" minDate="2024-12-02T00:00:00" maxDate="2025-01-15T00:00:00"/>
    </cacheField>
    <cacheField name="Referencia" numFmtId="0">
      <sharedItems count="1047">
        <s v="TI80-00005273   "/>
        <s v="EG07-00001147   "/>
        <s v="EG07-00002917   "/>
        <s v="T001-00010153   "/>
        <s v="T005-3605       "/>
        <s v="T007-1318       "/>
        <s v="T014-0005182    "/>
        <s v="T005-3583       "/>
        <s v="EG07-00001069   "/>
        <s v="T005-3565       "/>
        <s v="EG07-00000207   "/>
        <s v="T001-00001346   "/>
        <s v="T001-00001339   "/>
        <s v="T005-3627       "/>
        <s v="T021-0001192    "/>
        <s v="T002-00001812   "/>
        <s v="T014-0005322    "/>
        <s v="EG07-00000194   "/>
        <s v="EG07-00000195   "/>
        <s v="EG07-00000295   "/>
        <s v="EG07-00000289   "/>
        <s v="TT01-00000405   "/>
        <s v="TT01-00000404   "/>
        <s v="EG07-00001139   "/>
        <s v="0001-004991     "/>
        <s v="T001-7534       "/>
        <s v="T102-5833       "/>
        <s v="T001-0000969    "/>
        <s v="T102-5840       "/>
        <s v="T001-2127       "/>
        <s v="EG07-00002361   "/>
        <s v="T002-00001780   "/>
        <s v="T002-00001779   "/>
        <s v="EG07-00001122   "/>
        <s v="T001-2131       "/>
        <s v="EG07-00001092   "/>
        <s v="EG07-00000570   "/>
        <s v="T001-10967      "/>
        <s v="EG07-00000865   "/>
        <s v="EG07-00000872   "/>
        <s v="T001-00001326   "/>
        <s v="T001-00001324   "/>
        <s v="T002-00001710   "/>
        <s v="T002-00001711   "/>
        <s v="T007-3102       "/>
        <s v="TT01-00000343   "/>
        <s v="TT01-00000344   "/>
        <s v="TT01-00000338   "/>
        <s v="T007-3093       "/>
        <s v="TT01-00000332   "/>
        <s v="T014-0005035    "/>
        <s v="EG07-00001115   "/>
        <s v="T014-0005212    "/>
        <s v="EG07-00002354   "/>
        <s v="T102-5742       "/>
        <s v="T001-00010033   "/>
        <s v="TT01-00000349   "/>
        <s v="T001-7351       "/>
        <s v="T102-5477       "/>
        <s v="EG07-00001340   "/>
        <s v="T015-3326       "/>
        <s v="T001-00009690   "/>
        <s v="T001-00009687   "/>
        <s v="T001-00009686   "/>
        <s v="T001-00001317   "/>
        <s v="T006-210        " u="1"/>
        <s v="T240-0006149    " u="1"/>
        <s v="EG07-00001148   " u="1"/>
        <s v="G010-00026638   " u="1"/>
        <s v="T021-0001191    " u="1"/>
        <s v="G010- 00026621  " u="1"/>
        <s v="G010-00026621   " u="1"/>
        <s v="EG07-00002918   " u="1"/>
        <s v="T005-3628       " u="1"/>
        <s v="T005-3629       " u="1"/>
        <s v="T240-0006119    " u="1"/>
        <s v="T002-00010755   " u="1"/>
        <s v="T240-0006100    " u="1"/>
        <s v="TI80-00005202   " u="1"/>
        <s v="T001-00010161   " u="1"/>
        <s v="T240-0006073    " u="1"/>
        <s v="T241-0004679    " u="1"/>
        <s v="G010-00026404   " u="1"/>
        <s v="T240-0006030    " u="1"/>
        <s v="T241-0004607    " u="1"/>
        <s v="EG07-00001109   " u="1"/>
        <s v="T240-0005999    " u="1"/>
        <s v="T005-3603       " u="1"/>
        <s v="T240-0005972    " u="1"/>
        <s v="T240-0005971    " u="1"/>
        <s v="662-0005350     " u="1"/>
        <s v="662-000346      " u="1"/>
        <s v="T240-0005945    " u="1"/>
        <s v="T035-2252       " u="1"/>
        <s v="T011-11174      " u="1"/>
        <s v="T240-0005929    " u="1"/>
        <s v="T007-432        " u="1"/>
        <s v="T002-00010159   " u="1"/>
        <s v="EG07-2619       " u="1"/>
        <s v="EG07-00002318   " u="1"/>
        <s v="EG07-00002343   " u="1"/>
        <s v="EG07-00002753   " u="1"/>
        <s v="EG07-00002774   " u="1"/>
        <s v="T240-0005909    " u="1"/>
        <s v="T002-00010073   " u="1"/>
        <s v="T002-00010081   " u="1"/>
        <s v="EG07-00001313   " u="1"/>
        <s v="EG07-00001312   " u="1"/>
        <s v="T240-0005883    " u="1"/>
        <s v="T005-3575       " u="1"/>
        <s v="T004-00009338   " u="1"/>
        <s v="EG07-00001070   " u="1"/>
        <s v="T240-0005864    " u="1"/>
        <s v="T001-00001311   " u="1"/>
        <s v="T002-00009913   " u="1"/>
        <s v="T005-3562       " u="1"/>
        <s v="EG07-00002577   " u="1"/>
        <s v="T047-1232       " u="1"/>
        <s v="T002-00001828   " u="1"/>
        <s v="EG07-00002398   " u="1"/>
        <s v="EG07-00002397   " u="1"/>
        <s v="EG07-00004055   " u="1"/>
        <s v="EG07-00004054   " u="1"/>
        <s v="EG07-00002396   " u="1"/>
        <s v="T002-00001813   " u="1"/>
        <s v="T233-2492       " u="1"/>
        <s v="T233-2496       " u="1"/>
        <s v="T001-00000241   " u="1"/>
        <s v="EG07-00000288   " u="1"/>
        <s v="TP33-00001248   " u="1"/>
        <s v="TP33-00001238   " u="1"/>
        <s v="TP33-00001235   " u="1"/>
        <s v="EG07-00000297   " u="1"/>
        <s v="T001-11040      " u="1"/>
        <s v="T002-1203       " u="1"/>
        <s v="T002-1206       " u="1"/>
        <s v="EG07-00001140   " u="1"/>
        <s v="T010-00004954   " u="1"/>
        <s v="EG07-00002357   " u="1"/>
        <s v="EG07-00002360   " u="1"/>
        <s v="EG07-00002356   " u="1"/>
        <s v="T002-00001778   " u="1"/>
        <s v="T001-00010119   " u="1"/>
        <s v="EG07-00002678   " u="1"/>
        <s v="EG07-00001123   " u="1"/>
        <s v="EG07-00000874   " u="1"/>
        <s v="T009-05290      " u="1"/>
        <s v="T002-1177       " u="1"/>
        <s v="T233-2465       " u="1"/>
        <s v="T233-2470       " u="1"/>
        <s v="EG07-00000895   " u="1"/>
        <s v="EG07-00001093   " u="1"/>
        <s v="T001-00001328   " u="1"/>
        <s v="T001-10968      " u="1"/>
        <s v="EG07-00025921   " u="1"/>
        <s v="EG07-00000862   " u="1"/>
        <s v="EG07-00000863   " u="1"/>
        <s v="T001-00005927   " u="1"/>
        <s v="EG07-00024903   " u="1"/>
        <s v="T003-00009618   " u="1"/>
        <s v="T006-0012036    " u="1"/>
        <s v="T009-16940      " u="1"/>
        <s v="T004-00009693   " u="1"/>
        <s v="T009-16938      " u="1"/>
        <s v="T009-16926      " u="1"/>
        <s v="T009-16939      " u="1"/>
        <s v="EG07-00001050   " u="1"/>
        <s v="EG07-00046459   " u="1"/>
        <s v="T014-0005033    " u="1"/>
        <s v="T001-00001230   " u="1"/>
        <s v="T004-00009996   " u="1"/>
        <s v="T002-00001814   " u="1"/>
        <s v="T001-00000316   " u="1"/>
        <s v="T001-00000319   " u="1"/>
        <s v="EG07-00002365   " u="1"/>
        <s v="T102-5834       " u="1"/>
        <s v="T001-00001101   " u="1"/>
        <s v="T001-22317      " u="1"/>
        <s v="T001-00010160   " u="1"/>
        <s v="T001-00010155   " u="1"/>
        <s v="T003-00004243   " u="1"/>
        <s v="EG07-00000024   " u="1"/>
        <s v="T013-5383       " u="1"/>
        <s v="TT01-00000382   " u="1"/>
        <s v="662-0005346     " u="1"/>
        <s v="EG07-00002335   " u="1"/>
        <s v="EG07-00002325   " u="1"/>
        <s v="EG07-00002329   " u="1"/>
        <s v="EG07-00002619   " u="1"/>
        <s v="EG07-00002267   " u="1"/>
        <s v="T002-00001712   " u="1"/>
        <s v="T002-00001714   " u="1"/>
        <s v="T002-00001713   " u="1"/>
        <s v="T002-00001709   " u="1"/>
        <s v="T002-1145       " u="1"/>
        <s v="EG07-00000192   " u="1"/>
        <s v="T001-00001005   " u="1"/>
        <s v="EG07-00000841   " u="1"/>
        <s v="T001-0007613    " u="1"/>
        <s v="EG07-00001338   " u="1"/>
        <s v="T015-3338       " u="1"/>
        <s v="T001-00009661   " u="1"/>
        <s v="T001-00006835   " u="1"/>
        <s v="T001-00009660   " u="1"/>
        <s v="T001-00009691   " u="1"/>
        <s v="T001-00001313   " u="1"/>
        <s v="T001-00001315   " u="1"/>
        <s v="G010-00026637   " u="1"/>
        <s v="TI80-00005249   " u="1"/>
        <s v="TI80-00005252   " u="1"/>
        <s v="G010-00026503   " u="1"/>
        <s v="T005-3604       " u="1"/>
        <s v="T005-3590       " u="1"/>
        <s v="T005-3582       " u="1"/>
        <s v="T005-3574       " u="1"/>
        <s v="T005-3564       " u="1"/>
        <s v="T007-3048       " u="1"/>
        <s v="TI80-00005284   " u="1"/>
        <s v="G010-00026635   " u="1"/>
        <s v="G010-00026439   " u="1"/>
        <s v="T005-3561       " u="1"/>
        <s v="T004-00010040   " u="1"/>
        <s v="EG07-00000876   " u="1"/>
        <s v="TPA1-1615       " u="1"/>
        <s v="TPA-1617        " u="1"/>
        <s v="T001-00009832   " u="1"/>
        <s v="ESPARRAGO M12X10" u="1"/>
        <s v="T004-00009993   " u="1"/>
        <s v="T001-00001340   " u="1"/>
        <s v="T001-00001348   " u="1"/>
        <s v="T001-00001343   " u="1"/>
        <s v="T004-00009986   " u="1"/>
        <s v="T001-000241     " u="1"/>
        <s v="T001-000244     " u="1"/>
        <s v="EG07-00001007   " u="1"/>
        <s v="T004-0003259    " u="1"/>
        <s v="EG07-00001149   " u="1"/>
        <s v="T004-00010016   " u="1"/>
        <s v="EG07-00002384   " u="1"/>
        <s v="EG07-00002919   " u="1"/>
        <s v="EG07-00001468   " u="1"/>
        <s v="EG07-00001146   " u="1"/>
        <s v="T002-00001815   " u="1"/>
        <s v="T001-00009831   " u="1"/>
        <s v="EG07-00000864   " u="1"/>
        <s v="T001-00009839   " u="1"/>
        <s v="T002-00001810   " u="1"/>
        <s v="T014-0005328    " u="1"/>
        <s v="T032-3617       " u="1"/>
        <s v="T001-00009834   " u="1"/>
        <s v="T001-00000317   " u="1"/>
        <s v="T001-00009837   " u="1"/>
        <s v="EG07-00000867   " u="1"/>
        <s v="T001-00009848   " u="1"/>
        <s v="T004-819        " u="1"/>
        <s v="T001-00010211   " u="1"/>
        <s v="T001-00010212   " u="1"/>
        <s v="T002-00001816   " u="1"/>
        <s v="T001-00009842   " u="1"/>
        <s v="T009-17556      " u="1"/>
        <s v="T001-00009854   " u="1"/>
        <s v="T001-00009849   " u="1"/>
        <s v="T001-00009847   " u="1"/>
        <s v="T009-17614      " u="1"/>
        <s v="T009-17615      " u="1"/>
        <s v="EG07-00000055   " u="1"/>
        <s v="T001-00000320   " u="1"/>
        <s v="T009-17554      " u="1"/>
        <s v="T009-17559      " u="1"/>
        <s v="T009-17558      " u="1"/>
        <s v="T009-17555      " u="1"/>
        <s v="T001-00009838   " u="1"/>
        <s v="T001-00010210   " u="1"/>
        <s v="T009-17622      " u="1"/>
        <s v="T009-17540      " u="1"/>
        <s v="T011-01813      " u="1"/>
        <s v="T011-01795      " u="1"/>
        <s v="T009-17545      " u="1"/>
        <s v="T009-17623      " u="1"/>
        <s v="T009-17552      " u="1"/>
        <s v="T009-17553      " u="1"/>
        <s v="T009-17621      " u="1"/>
        <s v="T009-17557      " u="1"/>
        <s v="T009-17560      " u="1"/>
        <s v="T001-00000311   " u="1"/>
        <s v="T001-00000313   " u="1"/>
        <s v="T001-00009840   " u="1"/>
        <s v="EG07-00002668   " u="1"/>
        <s v="EG07-00002385   " u="1"/>
        <s v="T001-00000318   " u="1"/>
        <s v="T001-00000314   " u="1"/>
        <s v="T009-17544      " u="1"/>
        <s v="EG07-00000994   " u="1"/>
        <s v="T009-17547      " u="1"/>
        <s v="T001-00009841   " u="1"/>
        <s v="T002-00001809   " u="1"/>
        <s v="EG07-00002387   " u="1"/>
        <s v="T009-17543      " u="1"/>
        <s v="T009-17613      " u="1"/>
        <s v="EG07-00002359   " u="1"/>
        <s v="T001-00000315   " u="1"/>
        <s v="EG07-00000866   " u="1"/>
        <s v="T009-17638      " u="1"/>
        <s v="T001-00009843   " u="1"/>
        <s v="EG07-00000869   " u="1"/>
        <s v="T014-0005326    " u="1"/>
        <s v="EG07-00000860   " u="1"/>
        <s v="EG07-00000715   " u="1"/>
        <s v="T001-00009833   " u="1"/>
        <s v="T009-17640      " u="1"/>
        <s v="T009-17541      " u="1"/>
        <s v="EG07-00000861   " u="1"/>
        <s v="EG07-00002379   " u="1"/>
        <s v="T001-00000312   " u="1"/>
        <s v="TE02-18047      " u="1"/>
        <s v="TE02-18048      " u="1"/>
        <s v="EG07-00000859   " u="1"/>
        <s v="EG07-00002381   " u="1"/>
        <s v="T009-17637      " u="1"/>
        <s v="T001-00009846   " u="1"/>
        <s v="T009-17551      " u="1"/>
        <s v="T014-0005327    " u="1"/>
        <s v="EG07-00002375   " u="1"/>
        <s v="T001-00009844   " u="1"/>
        <s v="T001-00001300   " u="1"/>
        <s v="EG07-00002377   " u="1"/>
        <s v="T019-00000052   " u="1"/>
        <s v="F003-00000975   " u="1"/>
        <s v="F003-00000976   " u="1"/>
        <s v="T002-0002886    " u="1"/>
        <s v="T001-00001303   " u="1"/>
        <s v="T001-00001304   " u="1"/>
        <s v="EG07-00000184   " u="1"/>
        <s v="EG07-00027102   " u="1"/>
        <s v="T002-00010757   " u="1"/>
        <s v="T002-00010756   " u="1"/>
        <s v="EG07-00001141   " u="1"/>
        <s v="EG07-00001142   " u="1"/>
        <s v="T002-00010758   " u="1"/>
        <s v="T233-2505       " u="1"/>
        <s v="EG07-00000336   " u="1"/>
        <s v="T001-13242      " u="1"/>
        <s v="TP33-00001234   " u="1"/>
        <s v="TP33-00001241   " u="1"/>
        <s v="TP33-00001243   " u="1"/>
        <s v="TP33-00001236   " u="1"/>
        <s v="T233-2514       " u="1"/>
        <s v="TP33-00001245   " u="1"/>
        <s v="T001-00010159   " u="1"/>
        <s v="EG07-00002373   " u="1"/>
        <s v="EG07-00002372   " u="1"/>
        <s v="EG07-00002364   " u="1"/>
        <s v="EG07-00002366   " u="1"/>
        <s v="T003-0020982    " u="1"/>
        <s v="EG07-00000341   " u="1"/>
        <s v="T002-00003239   " u="1"/>
        <s v="T001-00010158   " u="1"/>
        <s v="EG07-00000292   " u="1"/>
        <s v="EG07-00000294   " u="1"/>
        <s v="TP33-00001237   " u="1"/>
        <s v="TP33-00001246   " u="1"/>
        <s v="TP33-00001240   " u="1"/>
        <s v="T233-2512       " u="1"/>
        <s v="001-002952      " u="1"/>
        <s v="T001-7535       " u="1"/>
        <s v="EG07-00000205   " u="1"/>
        <s v="EG07-00000335   " u="1"/>
        <s v="EG07-00000300   " u="1"/>
        <s v="TE01-00000176   " u="1"/>
        <s v="EG07-00002362   " u="1"/>
        <s v="EG07-00002363   " u="1"/>
        <s v="0001-0004618    " u="1"/>
        <s v="T233-2503       " u="1"/>
        <s v="T001-00000864   " u="1"/>
        <s v="EG07-00000291   " u="1"/>
        <s v="EG07-00000298   " u="1"/>
        <s v="EG07-00001065   " u="1"/>
        <s v="T233-2513       " u="1"/>
        <s v="EG07-00000296   " u="1"/>
        <s v="EG07-00002369   " u="1"/>
        <s v="EG07-00001454   " u="1"/>
        <s v="EG07-00000290   " u="1"/>
        <s v="TP33-00001239   " u="1"/>
        <s v="EG07-00002367   " u="1"/>
        <s v="T003-000208     " u="1"/>
        <s v="TP33-00001244   " u="1"/>
        <s v="TT01-00000381   " u="1"/>
        <s v="EG07-00000293   " u="1"/>
        <s v="T001-0008086    " u="1"/>
        <s v="EG07-00002370   " u="1"/>
        <s v="TT01-00000403   " u="1"/>
        <s v="T002-00001800   " u="1"/>
        <s v="EG07-00006884   " u="1"/>
        <s v="EG07-00006897   " u="1"/>
        <s v="EG07-00000047   " u="1"/>
        <s v="T001-13250      " u="1"/>
        <s v="T001-000239     " u="1"/>
        <s v="T0014-0011687   " u="1"/>
        <s v="T001-13251      " u="1"/>
        <s v="T001-0003921    " u="1"/>
        <s v="T001-0003968    " u="1"/>
        <s v="EG07-00000183   " u="1"/>
        <s v="T003-000210     " u="1"/>
        <s v="T003-000211     " u="1"/>
        <s v="T001-0005958    " u="1"/>
        <s v="EG07-00002374   " u="1"/>
        <s v="EG07-00002368   " u="1"/>
        <s v="T001-0005385    " u="1"/>
        <s v="T001-0005232    " u="1"/>
        <s v="T001-0005352    " u="1"/>
        <s v="T001-00016711   " u="1"/>
        <s v="T001-00010154   " u="1"/>
        <s v="T015-3533       " u="1"/>
        <s v="T015-3530       " u="1"/>
        <s v="TI80-00005203   " u="1"/>
        <s v="T180-00005204   " u="1"/>
        <s v="T002-00001795   " u="1"/>
        <s v="T015-3536       " u="1"/>
        <s v="T001-00010157   " u="1"/>
        <s v="T010-00004953   " u="1"/>
        <s v="T001-00010152   " u="1"/>
        <s v="EG07-00000409   " u="1"/>
        <s v="T001-0004418    " u="1"/>
        <s v="T001-00012745   " u="1"/>
        <s v="EG07-00000206   " u="1"/>
        <s v="T001-00016754   " u="1"/>
        <s v="T001-13252      " u="1"/>
        <s v="T011-00005235   " u="1"/>
        <s v="T001-0004437    " u="1"/>
        <s v="T001-0004436    " u="1"/>
        <s v="T011-1103       " u="1"/>
        <s v="T001-00001102   " u="1"/>
        <s v="T001-00001086   " u="1"/>
        <s v="T001-00001107   " u="1"/>
        <s v="T002-0002937    " u="1"/>
        <s v="EG07-00000408   " u="1"/>
        <s v="T002-00001728   " u="1"/>
        <s v="EG07-00027222   " u="1"/>
        <s v="T002-00001759   " u="1"/>
        <s v="0001-018119     " u="1"/>
        <s v="T001-0005893    " u="1"/>
        <s v="T015-3532       " u="1"/>
        <s v="T009-05991      " u="1"/>
        <s v="T102-5953       " u="1"/>
        <s v="T102-5946       " u="1"/>
        <s v="T001-00010156   " u="1"/>
        <s v="T002-00003429   " u="1"/>
        <s v="T001-0008074    " u="1"/>
        <s v="T001-7537       " u="1"/>
        <s v="EG07-00000982   " u="1"/>
        <s v="T001-00010888   " u="1"/>
        <s v="T001-005956     " u="1"/>
        <s v="T001-000190     " u="1"/>
        <s v="T005-0001897    " u="1"/>
        <s v="EG07-00000135   " u="1"/>
        <s v="EG07-00000036   " u="1"/>
        <s v="EG07-00001137   " u="1"/>
        <s v="EG07-00001134   " u="1"/>
        <s v="EG07-00001135   " u="1"/>
        <s v="EG07-00000035   " u="1"/>
        <s v="EG07-00000498   " u="1"/>
        <s v="EG07-00000974   " u="1"/>
        <s v="EG07-00000499   " u="1"/>
        <s v="T001-0008073    " u="1"/>
        <s v="T001-23724      " u="1"/>
        <s v="0001-000675     " u="1"/>
        <s v="T001-0004409    " u="1"/>
        <s v="T015-3537       " u="1"/>
        <s v="T015-3538       " u="1"/>
        <s v="G010-00031170   " u="1"/>
        <s v="T010-00012821   " u="1"/>
        <s v="G010-00026441   " u="1"/>
        <s v="T002-00001770   " u="1"/>
        <s v="T002-00001776   " u="1"/>
        <s v="T002-00001767   " u="1"/>
        <s v="T002-00001781   " u="1"/>
        <s v="T002-00001769   " u="1"/>
        <s v="T001-00001333   " u="1"/>
        <s v="T002-00001768   " u="1"/>
        <s v="0001-000504     " u="1"/>
        <s v="T001-00001332   " u="1"/>
        <s v="T002-00001646   " u="1"/>
        <s v="T002-00001777   " u="1"/>
        <s v="T002-00001774   " u="1"/>
        <s v="0001-000506     " u="1"/>
        <s v="T001-00001330   " u="1"/>
        <s v="T001-00001331   " u="1"/>
        <s v="T002-00001785   " u="1"/>
        <s v="T002-00001775   " u="1"/>
        <s v="EG07-00000486   " u="1"/>
        <s v="EG07-00000003   " u="1"/>
        <s v="EG07-00000487   " u="1"/>
        <s v="T002-00001784   " u="1"/>
        <s v="EG07-00000976   " u="1"/>
        <s v="EG07-00001062   " u="1"/>
        <s v="EG07-00001061   " u="1"/>
        <s v="EG07-00001063   " u="1"/>
        <s v="T005-00002269   " u="1"/>
        <s v="T005-00002271   " u="1"/>
        <s v="EG07-00000700   " u="1"/>
        <s v="EG07-00000969   " u="1"/>
        <s v="T001-000240     " u="1"/>
        <s v="T002-00001782   " u="1"/>
        <s v="EG07-00000337   " u="1"/>
        <s v="T002-00001766   " u="1"/>
        <s v="0001-000505     " u="1"/>
        <s v="EG07-00000967   " u="1"/>
        <s v="EG07-00000977   " u="1"/>
        <s v="EG07-00000698   " u="1"/>
        <s v="T0A1-00000099   " u="1"/>
        <s v="T002-00001771   " u="1"/>
        <s v="PAÑO ABSORBENTE " u="1"/>
        <s v="T001-00010028   " u="1"/>
        <s v="T001-00000305   " u="1"/>
        <s v="EG07-00001130   " u="1"/>
        <s v="EG07-00001091   " u="1"/>
        <s v="EG07-00001111   " u="1"/>
        <s v="T039-5360       " u="1"/>
        <s v="T001-00009718   " u="1"/>
        <s v="F001-00001978   " u="1"/>
        <s v="T240-0006043    " u="1"/>
        <s v="F003-00000965   " u="1"/>
        <s v="EG07-00006797   " u="1"/>
        <s v="TTT9-00002923   " u="1"/>
        <s v="TTT9-00002921   " u="1"/>
        <s v="FR76-00000150   " u="1"/>
        <s v="EG07-00000891   " u="1"/>
        <s v="EG07-00001121   " u="1"/>
        <s v="EG07-00001120   " u="1"/>
        <s v="EG07-00002859   " u="1"/>
        <s v="G010-00000668   " u="1"/>
        <s v="EG07-00001117   " u="1"/>
        <s v="T001-00004277   " u="1"/>
        <s v="662-0005301     " u="1"/>
        <s v="F003-00000964   " u="1"/>
        <s v="T240-0006023    " u="1"/>
        <s v="EG07-00000305   " u="1"/>
        <s v="EG07-00001423   " u="1"/>
        <s v="EG07 - 00002677 " u="1"/>
        <s v="TV18-903        " u="1"/>
        <s v="E001-250        " u="1"/>
        <s v="EG07-00001116   " u="1"/>
        <s v="EG07-00006611   " u="1"/>
        <s v="T001-7268       " u="1"/>
        <s v="G010-00001171   " u="1"/>
        <s v="EG07-00002837   " u="1"/>
        <s v="T001-00003386   " u="1"/>
        <s v="F001-00003589   " u="1"/>
        <s v="EG07-00001106   " u="1"/>
        <s v="EG07-00001107   " u="1"/>
        <s v="EG07-00001105   " u="1"/>
        <s v="EG07-00000281   " u="1"/>
        <s v="FR76-00000143   " u="1"/>
        <s v="EG07-00000001   " u="1"/>
        <s v="T001-00010090   " u="1"/>
        <s v="EG07-00000233   " u="1"/>
        <s v="EG07-00000234   " u="1"/>
        <s v="T001-00000240   " u="1"/>
        <s v="0001-0004616    " u="1"/>
        <s v="T001-00010091   " u="1"/>
        <s v="T003-00009620   " u="1"/>
        <s v="EG07-00000250   " u="1"/>
        <s v="F003-00000963   " u="1"/>
        <s v="T002-00001724   " u="1"/>
        <s v="T001-00000253   " u="1"/>
        <s v="EG07-00000845   " u="1"/>
        <s v="TTT1-000021     " u="1"/>
        <s v="T011-1059       " u="1"/>
        <s v="T009-16598      " u="1"/>
        <s v="EG007-00000849  " u="1"/>
        <s v="T001-010336     " u="1"/>
        <s v="EG07-00002617   " u="1"/>
        <s v="EG07-00002618   " u="1"/>
        <s v="EG07-00001097   " u="1"/>
        <s v="EG07-00001096   " u="1"/>
        <s v="EG07-00000951   " u="1"/>
        <s v="F087-00033857   " u="1"/>
        <s v="EG07-00000005   " u="1"/>
        <s v="T001-13165      " u="1"/>
        <s v="EG07-00002290   " u="1"/>
        <s v="T001-00009717   " u="1"/>
        <s v="T001-13164      " u="1"/>
        <s v="T233-2439       " u="1"/>
        <s v="T001-00009716   " u="1"/>
        <s v="T001-0000906    " u="1"/>
        <s v="662-0005211     " u="1"/>
        <s v="0501-004475     " u="1"/>
        <s v="F001-00003582   " u="1"/>
        <s v="T001-00001610   " u="1"/>
        <s v="T001-00000658   " u="1"/>
        <s v="EG07-00000948   " u="1"/>
        <s v="T009-16925      " u="1"/>
        <s v="T001-0000907    " u="1"/>
        <s v="T001-00000651   " u="1"/>
        <s v="EG07-00000257   " u="1"/>
        <s v="T001-00005657   " u="1"/>
        <s v="EG07-00003828   " u="1"/>
        <s v="EG07-00003865   " u="1"/>
        <s v="EG07-00000949   " u="1"/>
        <s v="TG01-940        " u="1"/>
        <s v="EG07-00000892   " u="1"/>
        <s v="EG07-00000894   " u="1"/>
        <s v="EG07-00000893   " u="1"/>
        <s v="T007-3119       " u="1"/>
        <s v="TP33-00001155   " u="1"/>
        <s v="EG07-00000132   " u="1"/>
        <s v="EG07-00025907   " u="1"/>
        <s v="EG07-00001094   " u="1"/>
        <s v="EG07-00001067   " u="1"/>
        <s v="EG07-00001080   " u="1"/>
        <s v="EG07-00000304   " u="1"/>
        <s v="F081-00033831   " u="1"/>
        <s v="EG07-00000157   " u="1"/>
        <s v="EG07-000000755  " u="1"/>
        <s v="T008-0000860    " u="1"/>
        <s v="G010-00000664   " u="1"/>
        <s v="EG07-00001951   " u="1"/>
        <s v="T015-3419       " u="1"/>
        <s v="T015-3420       " u="1"/>
        <s v="T001-00001327   " u="1"/>
        <s v="EG07-00002341   " u="1"/>
        <s v="T001-11011      " u="1"/>
        <s v="T001-11015      " u="1"/>
        <s v="T001-10954      " u="1"/>
        <s v="EG07-00002351   " u="1"/>
        <s v="EG07-00002347   " u="1"/>
        <s v="T011-11175      " u="1"/>
        <s v="T004-00009766   " u="1"/>
        <s v="T001-11012      " u="1"/>
        <s v="T001-10976      " u="1"/>
        <s v="T035-2254       " u="1"/>
        <s v="T001-00001329   " u="1"/>
        <s v="T001-11009      " u="1"/>
        <s v="T015-3430       " u="1"/>
        <s v="T015-3424       " u="1"/>
        <s v="T004-00009831   " u="1"/>
        <s v="T035-2251       " u="1"/>
        <s v="T001-11013      " u="1"/>
        <s v="T001-10981      " u="1"/>
        <s v="T001-10991      " u="1"/>
        <s v="T001-10850      " u="1"/>
        <s v="T014-0005199    " u="1"/>
        <s v="EG07-00000476   " u="1"/>
        <s v="EG07-00002353   " u="1"/>
        <s v="T001-11014      " u="1"/>
        <s v="EG07-00002345   " u="1"/>
        <s v="T004-00009789   " u="1"/>
        <s v="T004-00009790   " u="1"/>
        <s v="TR18-2169       " u="1"/>
        <s v="ACIDO ASCORBICO " u="1"/>
        <s v="EG07-00000569   " u="1"/>
        <s v="EG07-00002338   " u="1"/>
        <s v="T002-00010161   " u="1"/>
        <s v="T015-3418       " u="1"/>
        <s v="T015-3422       " u="1"/>
        <s v="T015-3421       " u="1"/>
        <s v="T001-10985      " u="1"/>
        <s v="T015-3425       " u="1"/>
        <s v="T015-3428       " u="1"/>
        <s v="EG07-00004665   " u="1"/>
        <s v="T010-00012439   " u="1"/>
        <s v="T004-00009737   " u="1"/>
        <s v="T015-3426       " u="1"/>
        <s v="T015-3427       " u="1"/>
        <s v="EG07-00006597   " u="1"/>
        <s v="EG07-00025807   " u="1"/>
        <s v="T001-1287       " u="1"/>
        <s v="G010-00030593   " u="1"/>
        <s v="EG07-00001402   " u="1"/>
        <s v="EG07-00001088   " u="1"/>
        <s v="EG07-00001089   " u="1"/>
        <s v="T001-00010029   " u="1"/>
        <s v="EG07-00000868   " u="1"/>
        <s v="EG07-00002292   " u="1"/>
        <s v="EG07-00000870   " u="1"/>
        <s v="T001-00001325   " u="1"/>
        <s v="TTT1-005400     " u="1"/>
        <s v="EG07-00000871   " u="1"/>
        <s v="EG07-00002336   " u="1"/>
        <s v="T009-16967      " u="1"/>
        <s v="T001-00010027   " u="1"/>
        <s v="T009-17083      " u="1"/>
        <s v="T233-2467       " u="1"/>
        <s v="T001-00010034   " u="1"/>
        <s v="T001-00000304   " u="1"/>
        <s v="T009-17082      " u="1"/>
        <s v="T233-2466       " u="1"/>
        <s v="001-002721      " u="1"/>
        <s v="EG07-00000154   " u="1"/>
        <s v="T007-3125       " u="1"/>
        <s v="TTT1-005401     " u="1"/>
        <s v="T009-17046      " u="1"/>
        <s v="EG07-00000934   " u="1"/>
        <s v="EG07-00000936   " u="1"/>
        <s v="EG07-0000942    " u="1"/>
        <s v="T001-00009738   " u="1"/>
        <s v="T009-17040      " u="1"/>
        <s v="T059-00002362   " u="1"/>
        <s v="T009-17047      " u="1"/>
        <s v="T233-2473       " u="1"/>
        <s v="TE01-00000172   " u="1"/>
        <s v="EG07-00000844   " u="1"/>
        <s v="T007-3127       " u="1"/>
        <s v="EG07-0000943    " u="1"/>
        <s v="EG07-00000945   " u="1"/>
        <s v="EG07-00002348   " u="1"/>
        <s v="T009-17041      " u="1"/>
        <s v="T009-17048      " u="1"/>
        <s v="T001-000235     " u="1"/>
        <s v="001-002719      " u="1"/>
        <s v="001-002718      " u="1"/>
        <s v="EG0-00025800    " u="1"/>
        <s v="EG07-00025800   " u="1"/>
        <s v="EG07-00000944   " u="1"/>
        <s v="T001-000236     " u="1"/>
        <s v="T002-00010162   " u="1"/>
        <s v="EG07-00000155   " u="1"/>
        <s v="EG07-00002620   " u="1"/>
        <s v="EG07-00000197   " u="1"/>
        <s v="T001-00010032   " u="1"/>
        <s v="T009-17045      " u="1"/>
        <s v="T009-17042      " u="1"/>
        <s v="EG07-00000857   " u="1"/>
        <s v="TTT1-005398     " u="1"/>
        <s v="T002-00010158   " u="1"/>
        <s v="EG07-00002342   " u="1"/>
        <s v="EG07-00002344   " u="1"/>
        <s v="FA04-01906206   " u="1"/>
        <s v="FA04-01906207   " u="1"/>
        <s v="T103-0012000    " u="1"/>
        <s v="EG07-00046262   " u="1"/>
        <s v="EG07-00002573   " u="1"/>
        <s v="EG07-00002576   " u="1"/>
        <s v="EG07-00000004   " u="1"/>
        <s v="T001-1031       " u="1"/>
        <s v="EG07-00001085   " u="1"/>
        <s v="EG07-00001086   " u="1"/>
        <s v="T001-00001210   " u="1"/>
        <s v="006-001451      " u="1"/>
        <s v="006-001452      " u="1"/>
        <s v="EG07-00001315   " u="1"/>
        <s v="F087-00033797   " u="1"/>
        <s v="F087-00033788   " u="1"/>
        <s v="EG07-00001339   " u="1"/>
        <s v="EG07-00002291   " u="1"/>
        <s v="EG07-00002299   " u="1"/>
        <s v="EG07-00002328   " u="1"/>
        <s v="EG07-00002300   " u="1"/>
        <s v="EG07-00002288   " u="1"/>
        <s v="T002-1147       " u="1"/>
        <s v="T002-1146       " u="1"/>
        <s v="T002-1152       " u="1"/>
        <s v="EG07-00002339   " u="1"/>
        <s v="662-0005348     " u="1"/>
        <s v="T233-2442       " u="1"/>
        <s v="T002-1149       " u="1"/>
        <s v="T002-1144       " u="1"/>
        <s v="T233-2445       " u="1"/>
        <s v="T002-1148       " u="1"/>
        <s v="EG07-0002323    " u="1"/>
        <s v="T233-2441       " u="1"/>
        <s v="T002-1151       " u="1"/>
        <s v="662-0005352     " u="1"/>
        <s v="662-0005342     " u="1"/>
        <s v="EG07-00002776   " u="1"/>
        <s v="662-0005347     " u="1"/>
        <s v="EG07-00002777   " u="1"/>
        <s v="EG07-00002312   " u="1"/>
        <s v="662-0005341     " u="1"/>
        <s v="EG07-00002340   " u="1"/>
        <s v="EG07-0002311    " u="1"/>
        <s v="T002-1150       " u="1"/>
        <s v="T002-1166       " u="1"/>
        <s v="EG07-00002773   " u="1"/>
        <s v="T002-1160       " u="1"/>
        <s v="662-0005351     " u="1"/>
        <s v="662-0005345     " u="1"/>
        <s v="662-0005349     " u="1"/>
        <s v="T102-5612       " u="1"/>
        <s v="T240-0005910    " u="1"/>
        <s v="662-0005344     " u="1"/>
        <s v="T002-1167       " u="1"/>
        <s v="T039-5209       " u="1"/>
        <s v="EG07-00002337   " u="1"/>
        <s v="EG07-00000470   " u="1"/>
        <s v="TG1-0017264     " u="1"/>
        <s v="EG07-00002302   " u="1"/>
        <s v="T014-0005119    " u="1"/>
        <s v="EG07-0002313    " u="1"/>
        <s v="T001-22023      " u="1"/>
        <s v="EG07-00001390   " u="1"/>
        <s v="EG07-00001361   " u="1"/>
        <s v="T002-00010074   " u="1"/>
        <s v="EG07-00002324   " u="1"/>
        <s v="T001-1025       " u="1"/>
        <s v="EG07-00000196   " u="1"/>
        <s v="TT01-000006942  " u="1"/>
        <s v="EG07-00000472   " u="1"/>
        <s v="EG07-00002315   " u="1"/>
        <s v="662-0005343     " u="1"/>
        <s v="T001-3402       " u="1"/>
        <s v="EG07-00000471   " u="1"/>
        <s v="T009-16923      " u="1"/>
        <s v="EG07-00002248   " u="1"/>
        <s v="EG07-00002775   " u="1"/>
        <s v="EG07-00002283   " u="1"/>
        <s v="EG07-00006508   " u="1"/>
        <s v="T001-00002490   " u="1"/>
        <s v="T001-13001      " u="1"/>
        <s v="T001-12917      " u="1"/>
        <s v="T001-0003851    " u="1"/>
        <s v="EG07-00025801   " u="1"/>
        <s v="T007-3094       " u="1"/>
        <s v="001-001037      " u="1"/>
        <s v="EG07-00025799   " u="1"/>
        <s v="T001-00016268   " u="1"/>
        <s v="T001-00005167   " u="1"/>
        <s v="T001-00000923   " u="1"/>
        <s v="T001-00000922   " u="1"/>
        <s v="TG01-0017228    " u="1"/>
        <s v="EG07-00000002   " u="1"/>
        <s v="T001-00010647   " u="1"/>
        <s v="T001-0000885    " u="1"/>
        <s v="T021-2702       " u="1"/>
        <s v="F003-00000962   " u="1"/>
        <s v="EG07-00001079   " u="1"/>
        <s v="T001-00016215   " u="1"/>
        <s v="T001-23540      " u="1"/>
        <s v="EG07-00000933   " u="1"/>
        <s v="T001-13045      " u="1"/>
        <s v="T009-16966      " u="1"/>
        <s v="FR76-00000131   " u="1"/>
        <s v="FR76-00000132   " u="1"/>
        <s v="EG07-00000165   " u="1"/>
        <s v="006-001400      " u="1"/>
        <s v="T001-00009956   " u="1"/>
        <s v="FR76-00000130   " u="1"/>
        <s v="T001-21966      " u="1"/>
        <s v="EG07-00001077   " u="1"/>
        <s v="EG07-00001078   " u="1"/>
        <s v="T001-23287      " u="1"/>
        <s v="G010-00000349   " u="1"/>
        <s v="T002-00001690   " u="1"/>
        <s v="TTT1-005390     " u="1"/>
        <s v="T001-00009953   " u="1"/>
        <s v="T002-00001689   " u="1"/>
        <s v="T009-16936      " u="1"/>
        <s v="T004-00009695   " u="1"/>
        <s v="TTT1-005387     " u="1"/>
        <s v="G010-00001158   " u="1"/>
        <s v="EG07-00002751   " u="1"/>
        <s v="T009-16935      " u="1"/>
        <s v="T009-16932      " u="1"/>
        <s v="T240-0005885    " u="1"/>
        <s v="T009-16930      " u="1"/>
        <s v="TTT1-005388     " u="1"/>
        <s v="T011-01734      " u="1"/>
        <s v="T240-0005884    " u="1"/>
        <s v="EG07-0000350    " u="1"/>
        <s v="T009-16962      " u="1"/>
        <s v="EG07-00000322   " u="1"/>
        <s v="EG07-00000323   " u="1"/>
        <s v="EG07-00000351   " u="1"/>
        <s v="T009-16937      " u="1"/>
        <s v="EG07-00000352   " u="1"/>
        <s v="T009-16927      " u="1"/>
        <s v="T009-16928      " u="1"/>
        <s v="T009-16933      " u="1"/>
        <s v="EG07-00000842   " u="1"/>
        <s v="EG07-00000843   " u="1"/>
        <s v="TR18-3951       " u="1"/>
        <s v="TTT1-005389     " u="1"/>
        <s v="T009-16958      " u="1"/>
        <s v="T001-00042137   " u="1"/>
        <s v="T009-16929      " u="1"/>
        <s v="T001-000042138  " u="1"/>
        <s v="EG07-00000679   " u="1"/>
        <s v="0001-0004613    " u="1"/>
        <s v="TE01-00000171   " u="1"/>
        <s v="TE01-00000174   " u="1"/>
        <s v="T009-16934      " u="1"/>
        <s v="EG07-00000039   " u="1"/>
        <s v="EG07-00000840   " u="1"/>
        <s v="G010-00001157   " u="1"/>
        <s v="EG07-00000185   " u="1"/>
        <s v="G010-00000347   " u="1"/>
        <s v="EG07-00002326   " u="1"/>
        <s v="EG07-00002322   " u="1"/>
        <s v="EG07-00000303   " u="1"/>
        <s v="EG07-00002327   " u="1"/>
        <s v="T006-0012035    " u="1"/>
        <s v="T001-999        " u="1"/>
        <s v="T001-1000       " u="1"/>
        <s v="EG07-00025130   " u="1"/>
        <s v="T001-967        " u="1"/>
        <s v="T001-984        " u="1"/>
        <s v="T001-971        " u="1"/>
        <s v="FA09-01723835   " u="1"/>
        <s v="FA09-01723836   " u="1"/>
        <s v="T001-1004       " u="1"/>
        <s v="T001-1003       " u="1"/>
        <s v="T001-1002       " u="1"/>
        <s v="T001-1023       " u="1"/>
        <s v="T001-1024       " u="1"/>
        <s v="T001-968        " u="1"/>
        <s v="T001-970        " u="1"/>
        <s v="T001-1027       " u="1"/>
        <s v="T001-1022       " u="1"/>
        <s v="T001-998        " u="1"/>
        <s v="EG07-00000033   " u="1"/>
        <s v="EG07-00001076   " u="1"/>
        <s v="T001-1001       " u="1"/>
        <s v="EG07-00001337   " u="1"/>
        <s v="T003-00009619   " u="1"/>
        <s v="T015-3348       " u="1"/>
        <s v="T015-3349       " u="1"/>
        <s v="T015-3345       " u="1"/>
        <s v="T003-0020019    " u="1"/>
        <s v="TG01-902        " u="1"/>
        <s v="T001-0011558    " u="1"/>
        <s v="T003-0020017    " u="1"/>
        <s v="T015-3347       " u="1"/>
        <s v="F504-00006377   " u="1"/>
        <s v="F504-00006384   " u="1"/>
        <s v="F504-00006386   " u="1"/>
        <s v="T015-3357       " u="1"/>
        <s v="T009-05538      " u="1"/>
        <s v="T001-12843      " u="1"/>
        <s v="TG01-900        " u="1"/>
        <s v="T015-3352       " u="1"/>
        <s v="TG01-909        " u="1"/>
        <s v="T001-00039395   " u="1"/>
        <s v="T001-00040627   " u="1"/>
        <s v="T001-00039382   " u="1"/>
        <s v="T001-00035514   " u="1"/>
        <s v="EG07-00002275   " u="1"/>
        <s v="T001-0003115    " u="1"/>
        <s v="T015-3351       " u="1"/>
        <s v="T015-3350       " u="1"/>
        <s v="EG07-00000193   " u="1"/>
        <s v="EG07-00001072   " u="1"/>
        <s v="EG07-00000190   " u="1"/>
        <s v="EG07-00000468   " u="1"/>
        <s v="EG07-00000117   " u="1"/>
        <s v="T103-0011735    " u="1"/>
        <s v="T001-12793      " u="1"/>
        <s v="T007-3051       " u="1"/>
        <s v="T007-3050       " u="1"/>
        <s v="T001-00001006   " u="1"/>
        <s v="T00100001004    " u="1"/>
        <s v="T001-00000637   " u="1"/>
        <s v="EG07-00000923   " u="1"/>
        <s v="EG07-0000924    " u="1"/>
        <s v="EG07-00000925   " u="1"/>
        <s v="EG07-00000050   " u="1"/>
        <s v="EG07-00002244   " u="1"/>
        <s v="EG07-00002314   " u="1"/>
        <s v="EG07-00002319   " u="1"/>
        <s v="EG07-00000737   " u="1"/>
        <s v="T002-00001678   " u="1"/>
        <s v="T001-12713      " u="1"/>
        <s v="T001-12712      " u="1"/>
        <s v="T001-00001320   " u="1"/>
        <s v="T001-00009685   " u="1"/>
        <s v="T001-00009688   " u="1"/>
        <s v="T001-00001318   " u="1"/>
        <s v="T001-00009689   " u="1"/>
        <s v="T001-00009659   " u="1"/>
        <s v="T001-00001314   " u="1"/>
        <s v="T001-00009694   " u="1"/>
        <s v="T009-05536      " u="1"/>
        <s v="T006-0012024    " u="1"/>
        <s v="T001-00009693   " u="1"/>
        <s v="T001-00001312   " u="1"/>
        <s v="T001-00001321   " u="1"/>
        <s v="EG07-00003756   " u="1"/>
        <s v="T006-0012025    " u="1"/>
        <s v="T001-00001316   " u="1"/>
        <s v="T001-0011535    " u="1"/>
        <s v="T001-00001310   " u="1"/>
        <s v="T011-1060       " u="1"/>
        <s v="T011-1056       " u="1"/>
        <s v="T001-00009683   " u="1"/>
        <s v="T004-00009629   " u="1"/>
        <s v="T004-00009630   " u="1"/>
        <s v="T001-00009692   " u="1"/>
        <s v="T001-00009684   " u="1"/>
        <s v="T001-23163      " u="1"/>
        <s v="T009-05535      " u="1"/>
        <s v="T002-00009912   " u="1"/>
        <s v="EG07-00000814   " u="1"/>
        <s v="T011-1055       " u="1"/>
        <s v="EG07-00000520   " u="1"/>
        <s v="T001-00001187   " u="1"/>
        <s v="T001-00009667   " u="1"/>
        <s v="T001-12778      " u="1"/>
        <s v="TP33-00000978   " u="1"/>
        <s v="TPP1-011701     " u="1"/>
        <s v="TPP1-011987     " u="1"/>
        <s v="PAPEL TOALLA 24." u="1"/>
        <s v="EG07-00000778   " u="1"/>
        <s v="662-0005039     " u="1"/>
        <s v="EG07-00000013   " u="1"/>
        <s v="EG07-00000858   " u="1"/>
        <s v="0001-000673     " u="1"/>
        <s v="G010-00000342   " u="1"/>
        <s v="0001-000665     " u="1"/>
        <s v="EG07-0000782    " u="1"/>
        <s v="T2A1-00025248" u="1"/>
        <s v="EG07-00000819" u="1"/>
        <s v="EG07-00000832" u="1"/>
        <s v="T002-00001567" u="1"/>
        <s v="T002-1056    " u="1"/>
        <s v="T002-00001561" u="1"/>
        <s v="T002-00001560" u="1"/>
        <s v="T002-00001583" u="1"/>
        <s v="EG07-00000796" u="1"/>
        <s v="T002-00001590" u="1"/>
        <s v="T002-1042    " u="1"/>
        <s v="T001-00001288" u="1"/>
        <s v="EG07-00000829" u="1"/>
        <s v="EG07-00000788" u="1"/>
        <s v="T002-00001589" u="1"/>
        <s v="T002-1055    " u="1"/>
        <s v="EG07-00000824" u="1"/>
        <s v="EG07-00000792" u="1"/>
        <s v="T002-1040    " u="1"/>
        <s v="T002-1036    " u="1"/>
        <s v="T002-00001564" u="1"/>
        <s v="T021-2633    " u="1"/>
        <s v="EG07-00000112" u="1"/>
        <s v="T233-2389    " u="1"/>
        <s v="T021-2619    " u="1"/>
        <s v="T001-00000953" u="1"/>
        <s v="0001-005390  " u="1"/>
        <s v="EG07-00000205" u="1"/>
        <s v="EG07-00001043" u="1"/>
        <s v="T2A1-00025238" u="1"/>
        <s v="T240-0005732 " u="1"/>
        <s v="T240-0005731 " u="1"/>
        <s v="EG07-00002243" u="1"/>
        <s v="T001-00001276" u="1"/>
        <s v="T006-0000241 " u="1"/>
        <s v="EG07-00002458" u="1"/>
        <s v="T002-00009403" u="1"/>
        <s v="EG07-00001306" u="1"/>
        <s v="TT01-00000250" u="1"/>
      </sharedItems>
    </cacheField>
    <cacheField name="Doc.mat." numFmtId="0">
      <sharedItems containsSemiMixedTypes="0" containsString="0" containsNumber="1" containsInteger="1" minValue="5053357513" maxValue="5053391237"/>
    </cacheField>
    <cacheField name="Usuario Almacen" numFmtId="0">
      <sharedItems/>
    </cacheField>
    <cacheField name="Comprador" numFmtId="0">
      <sharedItems count="8">
        <s v=""/>
        <s v="ACABANILLASO"/>
        <s v="JCHAPARROB"/>
        <s v="AAGUILARMO"/>
        <s v="GBAYONAC" u="1"/>
        <s v="ABURNEOL" u="1"/>
        <s v="LTIMANAT" u="1"/>
        <s v="JCHEROPA" u="1"/>
      </sharedItems>
    </cacheField>
    <cacheField name="Solicitante" numFmtId="0">
      <sharedItems count="69">
        <s v="            "/>
        <s v="LALAYOA     "/>
        <s v=""/>
        <s v="JMIOA       "/>
        <s v="Plan. Mant. "/>
        <s v="VSANCHEZA   "/>
        <s v="Planific Com"/>
        <s v="FVALLADARESC"/>
        <s v="JURBINAP    "/>
        <s v="Insumos Agr."/>
        <s v="CNEYRAM     "/>
        <s v="ALACHIRAP   " u="1"/>
        <s v="Plan. Mant.C" u="1"/>
        <s v="Implement ag" u="1"/>
        <s v="GCUBASA     " u="1"/>
        <s v="ECORTEZS    " u="1"/>
        <s v="Pl Agri. del" u="1"/>
        <s v="PHERNANDEZ  " u="1"/>
        <s v="EHEREDIAR   " u="1"/>
        <s v="AGULDENG    " u="1"/>
        <s v="GPENAP      " u="1"/>
        <s v="JNEGRONC    " u="1"/>
        <s v="snizamam    " u="1"/>
        <s v="LVILLARF    " u="1"/>
        <s v="Mtto Mecanic" u="1"/>
        <s v="Mtto Eléctri" u="1"/>
        <s v="JROJASB     " u="1"/>
        <s v="Mtto Mecánic" u="1"/>
        <s v="creyesy     " u="1"/>
        <s v="RTORRESS    " u="1"/>
        <s v="JCHUMACEROC " u="1"/>
        <s v="CCARRILLOR  " u="1"/>
        <s v="Mtto Electri" u="1"/>
        <s v="EMIJAHUANCAG" u="1"/>
        <s v="Plan.mtto tr" u="1"/>
        <s v="RCRESPOV    " u="1"/>
        <s v="VLOPEZS     " u="1"/>
        <s v="Mtto Automat" u="1"/>
        <s v="VHILARESZ   " u="1"/>
        <s v="MCULQUEC    " u="1"/>
        <s v="NHANSENG    " u="1"/>
        <s v="JOTEROJ     " u="1"/>
        <s v="ALMACÉN GENE" u="1"/>
        <s v="RLUPUCHEQ   " u="1"/>
        <s v="CMENDOZAM   " u="1"/>
        <s v="JREYESC     " u="1"/>
        <s v="EMEJIAM     " u="1"/>
        <s v="Mtto Autom  " u="1"/>
        <s v="AVASQUEZM   " u="1"/>
        <s v="JALBUJARC   " u="1"/>
        <s v="BCORONADOA  " u="1"/>
        <s v="RROMEROC    " u="1"/>
        <s v="HCRUZA      " u="1"/>
        <s v="VANTEZANAM  " u="1"/>
        <s v="RMARCELOY   " u="1"/>
        <s v="JingaF      " u="1"/>
        <s v="VVERAN      " u="1"/>
        <s v="ASEMINARIOV " u="1"/>
        <s v="EALMESTARG  " u="1"/>
        <s v="DCHERON     " u="1"/>
        <s v="JAQUIJED    " u="1"/>
        <s v="EAMESM      " u="1"/>
        <s v="Pl Sucroalco" u="1"/>
        <s v="PVITEC      " u="1"/>
        <s v="Mat Cosecha " u="1"/>
        <s v="VVERA       " u="1"/>
        <s v="JQUEVEDOA   " u="1"/>
        <s v="WCHAVEZS    " u="1"/>
        <s v="VHILARES    " u="1"/>
      </sharedItems>
    </cacheField>
    <cacheField name="Proveedor" numFmtId="0">
      <sharedItems count="147">
        <s v="EQUILIBRA PERU SA                  "/>
        <s v="JEAN ANDREE LIZAMA ARICA           "/>
        <s v="QUIMICOS Y EQUIPOS DEL NORTE SRL   "/>
        <s v="OLYMPUS INDUSTRIAS SRL             "/>
        <s v=""/>
        <s v="AGRO GESTION SAC                   "/>
        <s v="TECNIFAJAS SA                      "/>
        <s v="ANA KARINA OBALLE ELESPURU         "/>
        <s v="ACRIMSA SULLANA SRL                "/>
        <s v="PHARTEC SAC                        "/>
        <s v="NATURAGRO S.A                      "/>
        <s v="M&amp;W REPRESENTACIONES SCRL          "/>
        <s v="NUTRISUELO S.A.C.                  "/>
        <s v="PRODUCTOS CAUCHO S.R.L.            "/>
        <s v="VENTAS Y SERVICIOS ESPECIALES      "/>
        <s v="TECNIEMPAQUETADURAS SR LTDA        "/>
        <s v="HIDROSTAL SA                       "/>
        <s v="FEQUSA INGS SAC                    "/>
        <s v="XYLEM WATER SOLUTIONS PERU SA      "/>
        <s v="LIVIA TORRES CRISTIAN              "/>
        <s v="BAYOMED HEALTH PERU S.A.C.         "/>
        <s v="DYSMAR EIRL                        "/>
        <s v="COMERCIAL CHUMI SRL                "/>
        <s v="RHGO24 S.A.C.                      "/>
        <s v="SEDISA SAC                         "/>
        <s v="RENSA VENTAS Y SERVICIOS SRL       "/>
        <s v="NEOAGRUM SAC                       " u="1"/>
        <s v="CORPORACION PRIMAX SA              " u="1"/>
        <s v="QUIMEX SA                          " u="1"/>
        <s v="SERVICIOS Y COMERCIALIZACION       " u="1"/>
        <s v="MASA EQUIPOS INDUSTRIALES SA       " u="1"/>
        <s v="ALFREDO PIMENTEL SEVILLA SA        " u="1"/>
        <s v="SONEPAR PERU SAC                   " u="1"/>
        <s v="RELIX PERU SAC                     " u="1"/>
        <s v="CISAR SAC                          " u="1"/>
        <s v="SOLTRAK SA                         " u="1"/>
        <s v="RUBBER NORTH S.A.C.                " u="1"/>
        <s v="SEGURINDUSTRIA SA                  " u="1"/>
        <s v="WATER TRADE SAC                    " u="1"/>
        <s v="TECNOLOGIA QUIMICA Y COMERCIO SA   " u="1"/>
        <s v="CONTIX SA                          " u="1"/>
        <s v="PROTEX CORPORATION SAC             " u="1"/>
        <s v="UNIONES ARPOL SA                   " u="1"/>
        <s v="VENUS PERUANA SAC                  " u="1"/>
        <s v="BR EXPORT TRADE INDUSTRIA E COMERCI" u="1"/>
        <s v="MEQUIM SA                          " u="1"/>
        <s v="SUDAMERIS PERU SAC                 " u="1"/>
        <s v="IPESA SAC                          " u="1"/>
        <s v="GESTORES EN MAQUINARIA INDUSTRIAL S" u="1"/>
        <s v="ALMA EIRL                          " u="1"/>
        <s v="WELLCO PERUANA SA                  " u="1"/>
        <s v="MARCO PERUANA SA                   " u="1"/>
        <s v="OMEGA PERU S A                     " u="1"/>
        <s v="INGENIERIA PROVEEDURIA Y CONSTRUCCI" u="1"/>
        <s v="BAUMETALL EIRL                     " u="1"/>
        <s v="FORMULARIOS PIURA S.A.C            " u="1"/>
        <s v="KA LINSON PERU SAC                 " u="1"/>
        <s v="FULL MAQUINARIAS SA                " u="1"/>
        <s v="MACROSOURCE PERÚ S.R.L.            " u="1"/>
        <s v="CARMEN ROSA JUAREZ EYZAGUIRRE      " u="1"/>
        <s v="FACTORIA LIBERTAD SCRL             " u="1"/>
        <s v="RUEDAMAX E.I.R.L                   " u="1"/>
        <s v="ELECTROPRO E.I.R.L.                " u="1"/>
        <s v="SOLUCIONES EN TRANSMISIONES Y AFINE" u="1"/>
        <s v="NPJ SERVICIOS Y PROYECTOS E.I.R.L  " u="1"/>
        <s v="DROKASA PERU S.A.                  " u="1"/>
        <s v="INDUSTRIAS ELECTROMECANICAS        " u="1"/>
        <s v="SUCROALCOLERA DEL CHIRA SA         " u="1"/>
        <s v="GRUPO FUMINSUMOS SAC               " u="1"/>
        <s v="TGI INGENIERIA EIRL                " u="1"/>
        <s v="PSP PUMPS PVT LTD.                 " u="1"/>
        <s v="VALVULAS &amp; AFINES SAC              " u="1"/>
        <s v="PROMOTORES ELECTRICOS SA           " u="1"/>
        <s v="DEYSI MEDALIT MALDONADO CLAVIJO    " u="1"/>
        <s v="TECFRESH SAC                       " u="1"/>
        <s v="MS INGENIERIA &amp; PROYECTOS EIRL     " u="1"/>
        <s v="PROCESS AUTOMATION SAC             " u="1"/>
        <s v="MANSERVED DEALER SAC               " u="1"/>
        <s v="GLOBAL JF SERVICE SAC              " u="1"/>
        <s v="ANTECO REPRESENTACIONES E          " u="1"/>
        <s v="METAL MECANICA NPJ EIRL            " u="1"/>
        <s v="SUMINCO SA                         " u="1"/>
        <s v="WELDING &amp; SAFETY FOR LIFE E.I.R.L  " u="1"/>
        <s v="ACEROS IMPORTADORA INDUSTRIAL EIRL " u="1"/>
        <s v="CIMATEC SAC                        " u="1"/>
        <s v="PROCABLES SA                       " u="1"/>
        <s v="AQA QUIMICA S.A                    " u="1"/>
        <s v="DICOMET PERU SAC                   " u="1"/>
        <s v="FESTO SRL                          " u="1"/>
        <s v="ORGANIZACIONES BALENO SRLTDA       " u="1"/>
        <s v="3R INGENIERIA SAC                  " u="1"/>
        <s v="JOHN CRANE PERU SAC                " u="1"/>
        <s v="DMB MAQUINAS E IMPLEMENTOS         " u="1"/>
        <s v="SERVICIOS GONZALEZ INDUSTRIAL SA   " u="1"/>
        <s v="CODIZA S A                         " u="1"/>
        <s v="UNIVERSAL SUPPLIERS INGENIERIA     " u="1"/>
        <s v="INSTRUMENTATION VALVE &amp; FITTING SA " u="1"/>
        <s v="PERFECT FILTRATION SOUTH AMERICA EI" u="1"/>
        <s v="JULIO FRANCISCO VEGAS CORONADO     " u="1"/>
        <s v="NAV LOGISTICA Y SERVICIOS EIRL     " u="1"/>
        <s v="M. VELARDE REPRESENTACIONES COM.   " u="1"/>
        <s v="OPTIMIZACION CONFIABILIDAD Y       " u="1"/>
        <s v="SEGEMIND SAC                       " u="1"/>
        <s v="IMPLEMENTOS PERU SAC               " u="1"/>
        <s v="BIOENERGIA DEL CHIRA SA            " u="1"/>
        <s v="SEW EURODRIVE DEL PERU SAC         " u="1"/>
        <s v="AGRICOLA DEL CHIRA SA              " u="1"/>
        <s v="SOLGAS S.A.                        " u="1"/>
        <s v="INGENIERIA Y SOLUCIONES MECANICAS  " u="1"/>
        <s v="REPRESENTACIONES Y FABRICACIONES   " u="1"/>
        <s v="MARKET AGRICOLA PERU SAC           " u="1"/>
        <s v="REPRESENTACIONES PERUVIAN TRADING  " u="1"/>
        <s v="SAGER SA SUCURSAL PERU             " u="1"/>
        <s v="INDUSTRIAS PALA SAC                " u="1"/>
        <s v="SUMINISTROS Y DISTRIBUIDORA ANDINA " u="1"/>
        <s v="NETZSCH PERU SAC                   " u="1"/>
        <s v="T J A INDUSTRIA E COMERCIO SA      " u="1"/>
        <s v="GPS GRV EIRL                       " u="1"/>
        <s v="ROSA JUSTO VILLASANTE              " u="1"/>
        <s v="UNIMAQ SA                          " u="1"/>
        <s v="TRACTOR IMPORT SAC                 " u="1"/>
        <s v="CONECTA RETAIL SA                  " u="1"/>
        <s v="ANDROS ENGINEERING                 " u="1"/>
        <s v="FERNANDO ANTONIO CALLE CHIRA       " u="1"/>
        <s v="MARKETING TEXTIL CORPORACION SAC   " u="1"/>
        <s v="CONTROL Y TECNOLOGIA SAC           " u="1"/>
        <s v="CARP &amp; ASOCIADOS SCRL              " u="1"/>
        <s v="SOLUCIONES QUIMICAS DEL PERU SA    " u="1"/>
        <s v="IRBI MAQUINAS E EQUIPAMENTOS LTD   " u="1"/>
        <s v="INGENIERIA DE SEPARACION SAC       " u="1"/>
        <s v="BRN INTERNACIONAL INDUSTRIA E      " u="1"/>
        <s v="ESQUIVEL CONSULTORES SA            " u="1"/>
        <s v="MEDICAMENTOS PERU EIRL             " u="1"/>
        <s v="IPESA HYDRO SA                     " u="1"/>
        <s v="WEG PERU S.A.C.                    " u="1"/>
        <s v="FERREYROS SA                       " u="1"/>
        <s v="COMPRESORES DEL PERU SAC           " u="1"/>
        <s v="TEC AGRO PERU SAC                  " u="1"/>
        <s v="QUIMTIA SA                         " u="1"/>
        <s v="GRUPO TECNOLOGICO INTERNACIONAL    " u="1"/>
        <s v="EUROCONSUMIBLES &amp; SERVICIOS EIRL   " u="1"/>
        <s v="FERRETERIA BRILLANTE EIRL          " u="1"/>
        <s v="CONSYCON PIURA S.A.C.              " u="1"/>
        <s v="RASTRAS ARADOS NACIONALES          " u="1"/>
        <s v="ARIS INDUSTRIAL S.A.               " u="1"/>
        <s v="ADAMA AGRICULTURE PERU SA          " u="1"/>
        <s v="TRANSPORTES DE CARGA INTER         " u="1"/>
      </sharedItems>
    </cacheField>
    <cacheField name="Fec. Entrega" numFmtId="14">
      <sharedItems containsNonDate="0" containsDate="1" containsMixedTypes="1" minDate="2024-01-17T00:00:00" maxDate="2025-01-28T00:00:00"/>
    </cacheField>
    <cacheField name="Imputación" numFmtId="0">
      <sharedItems count="4">
        <s v="STOCK DE ALMACEN"/>
        <s v=""/>
        <s v="API" u="1"/>
        <s v="CENTRO DE COSTO" u="1"/>
      </sharedItems>
    </cacheField>
    <cacheField name="Evaluación proveedor" numFmtId="0">
      <sharedItems count="2">
        <s v=""/>
        <s v="Entrega Tard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">
  <r>
    <s v="Agricola del Chira PlantaLa Huaca721426550002493910"/>
    <x v="0"/>
    <s v="La Huaca"/>
    <x v="0"/>
    <x v="0"/>
    <x v="0"/>
    <x v="0"/>
    <n v="101"/>
    <n v="10"/>
    <x v="0"/>
    <d v="2025-01-13T00:00:00"/>
    <x v="0"/>
    <n v="5053390554"/>
    <s v="ECORTEZS   "/>
    <x v="0"/>
    <x v="0"/>
    <x v="0"/>
    <d v="2025-01-13T00:00:00"/>
    <x v="0"/>
    <x v="0"/>
  </r>
  <r>
    <s v="Agricola del Chira PlantaLa Huaca70100392550002475120"/>
    <x v="0"/>
    <s v="La Huaca"/>
    <x v="1"/>
    <x v="1"/>
    <x v="1"/>
    <x v="1"/>
    <n v="101"/>
    <n v="20"/>
    <x v="1"/>
    <d v="2025-01-13T00:00:00"/>
    <x v="1"/>
    <n v="5053390545"/>
    <s v="ECORTEZS   "/>
    <x v="0"/>
    <x v="0"/>
    <x v="1"/>
    <d v="2025-01-13T00:00:00"/>
    <x v="0"/>
    <x v="0"/>
  </r>
  <r>
    <s v="Agricola del Chira PlantaLa Huaca814781451157391410"/>
    <x v="0"/>
    <s v="La Huaca"/>
    <x v="2"/>
    <x v="2"/>
    <x v="2"/>
    <x v="0"/>
    <n v="101"/>
    <n v="10"/>
    <x v="2"/>
    <d v="2025-01-11T00:00:00"/>
    <x v="2"/>
    <n v="5053389928"/>
    <s v="ECORTEZS   "/>
    <x v="1"/>
    <x v="1"/>
    <x v="2"/>
    <d v="2025-01-13T00:00:00"/>
    <x v="0"/>
    <x v="0"/>
  </r>
  <r>
    <s v="Agricola del Chira PlantaLa Huaca700691795500024855160"/>
    <x v="0"/>
    <s v="La Huaca"/>
    <x v="3"/>
    <x v="3"/>
    <x v="3"/>
    <x v="1"/>
    <n v="101"/>
    <n v="160"/>
    <x v="3"/>
    <d v="2025-01-06T00:00:00"/>
    <x v="3"/>
    <n v="5053386743"/>
    <s v="ECORTEZS   "/>
    <x v="0"/>
    <x v="0"/>
    <x v="3"/>
    <d v="2025-01-06T00:00:00"/>
    <x v="0"/>
    <x v="0"/>
  </r>
  <r>
    <s v="Agricola del Chira PlantaLa Huaca700691835500024855310"/>
    <x v="0"/>
    <s v="La Huaca"/>
    <x v="4"/>
    <x v="4"/>
    <x v="4"/>
    <x v="1"/>
    <n v="101"/>
    <n v="310"/>
    <x v="3"/>
    <d v="2025-01-06T00:00:00"/>
    <x v="3"/>
    <n v="5053386743"/>
    <s v="ECORTEZS   "/>
    <x v="0"/>
    <x v="0"/>
    <x v="3"/>
    <d v="2025-01-06T00:00:00"/>
    <x v="0"/>
    <x v="0"/>
  </r>
  <r>
    <s v="Agricola del Chira PlantaLa Huaca70128403550002488850"/>
    <x v="0"/>
    <s v="La Huaca"/>
    <x v="5"/>
    <x v="5"/>
    <x v="5"/>
    <x v="0"/>
    <n v="101"/>
    <n v="50"/>
    <x v="4"/>
    <d v="2024-12-20T00:00:00"/>
    <x v="4"/>
    <n v="5053374801"/>
    <s v="ECORTEZS   "/>
    <x v="0"/>
    <x v="2"/>
    <x v="4"/>
    <s v=""/>
    <x v="1"/>
    <x v="0"/>
  </r>
  <r>
    <s v="Agricola del Chira PlantaLa Huaca70077698451153855210"/>
    <x v="0"/>
    <s v="La Huaca"/>
    <x v="6"/>
    <x v="6"/>
    <x v="6"/>
    <x v="1"/>
    <n v="101"/>
    <n v="10"/>
    <x v="5"/>
    <d v="2024-12-18T00:00:00"/>
    <x v="5"/>
    <n v="5053372810"/>
    <s v="ECORTEZS   "/>
    <x v="2"/>
    <x v="3"/>
    <x v="5"/>
    <d v="2024-08-19T00:00:00"/>
    <x v="0"/>
    <x v="1"/>
  </r>
  <r>
    <s v="Agricola del Chira PlantaLa Huaca868331451157217130"/>
    <x v="0"/>
    <s v="La Huaca"/>
    <x v="7"/>
    <x v="7"/>
    <x v="7"/>
    <x v="2"/>
    <n v="101"/>
    <n v="30"/>
    <x v="6"/>
    <d v="2024-12-16T00:00:00"/>
    <x v="6"/>
    <n v="5053371154"/>
    <s v="ECORTEZS   "/>
    <x v="1"/>
    <x v="4"/>
    <x v="6"/>
    <d v="2024-12-20T00:00:00"/>
    <x v="0"/>
    <x v="0"/>
  </r>
  <r>
    <s v="Agricola del Chira PlantaLa Huaca70128403550002488850"/>
    <x v="0"/>
    <s v="La Huaca"/>
    <x v="5"/>
    <x v="5"/>
    <x v="8"/>
    <x v="0"/>
    <n v="101"/>
    <n v="50"/>
    <x v="4"/>
    <d v="2024-12-11T00:00:00"/>
    <x v="7"/>
    <n v="5053365430"/>
    <s v="ECORTEZS   "/>
    <x v="0"/>
    <x v="2"/>
    <x v="4"/>
    <s v=""/>
    <x v="1"/>
    <x v="0"/>
  </r>
  <r>
    <s v="Agricola del Chira PlantaLa Huaca70100392550002475120"/>
    <x v="0"/>
    <s v="La Huaca"/>
    <x v="1"/>
    <x v="1"/>
    <x v="9"/>
    <x v="1"/>
    <n v="101"/>
    <n v="20"/>
    <x v="1"/>
    <d v="2024-12-04T00:00:00"/>
    <x v="8"/>
    <n v="5053359340"/>
    <s v="ECORTEZS   "/>
    <x v="0"/>
    <x v="0"/>
    <x v="1"/>
    <d v="2025-01-13T00:00:00"/>
    <x v="0"/>
    <x v="0"/>
  </r>
  <r>
    <s v="Agricola del Chira PlantaLa Huaca70128403550002488850"/>
    <x v="0"/>
    <s v="La Huaca"/>
    <x v="5"/>
    <x v="5"/>
    <x v="10"/>
    <x v="0"/>
    <n v="101"/>
    <n v="50"/>
    <x v="4"/>
    <d v="2024-12-02T00:00:00"/>
    <x v="9"/>
    <n v="5053357514"/>
    <s v="ECORTEZS   "/>
    <x v="0"/>
    <x v="2"/>
    <x v="4"/>
    <s v=""/>
    <x v="1"/>
    <x v="0"/>
  </r>
  <r>
    <s v="Agricola del Chira PlantaLa Huaca70118374451157359210"/>
    <x v="0"/>
    <s v="La Huaca"/>
    <x v="8"/>
    <x v="8"/>
    <x v="11"/>
    <x v="1"/>
    <n v="101"/>
    <n v="10"/>
    <x v="7"/>
    <d v="2025-01-14T00:00:00"/>
    <x v="10"/>
    <n v="5053391237"/>
    <s v="LHERRERAM  "/>
    <x v="2"/>
    <x v="4"/>
    <x v="7"/>
    <d v="2024-01-17T00:00:00"/>
    <x v="0"/>
    <x v="1"/>
  </r>
  <r>
    <s v="Agricola del Chira PlantaLa Huaca804894451157378520"/>
    <x v="0"/>
    <s v="La Huaca"/>
    <x v="9"/>
    <x v="9"/>
    <x v="12"/>
    <x v="1"/>
    <n v="101"/>
    <n v="20"/>
    <x v="8"/>
    <d v="2025-01-13T00:00:00"/>
    <x v="11"/>
    <n v="5053391176"/>
    <s v="LHERRERAM  "/>
    <x v="1"/>
    <x v="4"/>
    <x v="8"/>
    <d v="2025-01-20T00:00:00"/>
    <x v="0"/>
    <x v="0"/>
  </r>
  <r>
    <s v="Agricola del Chira PlantaLa Huaca8840904511573761100"/>
    <x v="0"/>
    <s v="La Huaca"/>
    <x v="10"/>
    <x v="10"/>
    <x v="13"/>
    <x v="1"/>
    <n v="101"/>
    <n v="100"/>
    <x v="9"/>
    <d v="2025-01-13T00:00:00"/>
    <x v="12"/>
    <n v="5053391166"/>
    <s v="LHERRERAM  "/>
    <x v="1"/>
    <x v="4"/>
    <x v="8"/>
    <d v="2025-01-20T00:00:00"/>
    <x v="0"/>
    <x v="0"/>
  </r>
  <r>
    <s v="Agricola del Chira PlantaLa Huaca8840984511573761110"/>
    <x v="0"/>
    <s v="La Huaca"/>
    <x v="11"/>
    <x v="11"/>
    <x v="14"/>
    <x v="1"/>
    <n v="101"/>
    <n v="110"/>
    <x v="9"/>
    <d v="2025-01-13T00:00:00"/>
    <x v="12"/>
    <n v="5053391166"/>
    <s v="LHERRERAM  "/>
    <x v="1"/>
    <x v="4"/>
    <x v="8"/>
    <d v="2025-01-20T00:00:00"/>
    <x v="0"/>
    <x v="0"/>
  </r>
  <r>
    <s v="Agricola del Chira PlantaLa Huaca8875954511573761120"/>
    <x v="0"/>
    <s v="La Huaca"/>
    <x v="12"/>
    <x v="12"/>
    <x v="6"/>
    <x v="1"/>
    <n v="101"/>
    <n v="120"/>
    <x v="9"/>
    <d v="2025-01-13T00:00:00"/>
    <x v="12"/>
    <n v="5053391166"/>
    <s v="LHERRERAM  "/>
    <x v="1"/>
    <x v="4"/>
    <x v="8"/>
    <d v="2025-01-20T00:00:00"/>
    <x v="0"/>
    <x v="0"/>
  </r>
  <r>
    <s v="Agricola del Chira PlantaLa Huaca8938514511573761130"/>
    <x v="0"/>
    <s v="La Huaca"/>
    <x v="13"/>
    <x v="13"/>
    <x v="14"/>
    <x v="1"/>
    <n v="101"/>
    <n v="130"/>
    <x v="9"/>
    <d v="2025-01-13T00:00:00"/>
    <x v="12"/>
    <n v="5053391166"/>
    <s v="LHERRERAM  "/>
    <x v="1"/>
    <x v="4"/>
    <x v="8"/>
    <d v="2025-01-20T00:00:00"/>
    <x v="0"/>
    <x v="0"/>
  </r>
  <r>
    <s v="Agricola del Chira PlantaLa Huaca8938544511573761140"/>
    <x v="0"/>
    <s v="La Huaca"/>
    <x v="14"/>
    <x v="14"/>
    <x v="15"/>
    <x v="1"/>
    <n v="101"/>
    <n v="140"/>
    <x v="9"/>
    <d v="2025-01-13T00:00:00"/>
    <x v="12"/>
    <n v="5053391166"/>
    <s v="LHERRERAM  "/>
    <x v="1"/>
    <x v="4"/>
    <x v="8"/>
    <d v="2025-01-20T00:00:00"/>
    <x v="0"/>
    <x v="0"/>
  </r>
  <r>
    <s v="Agricola del Chira PlantaLa Huaca700171324511573761150"/>
    <x v="0"/>
    <s v="La Huaca"/>
    <x v="15"/>
    <x v="15"/>
    <x v="14"/>
    <x v="1"/>
    <n v="101"/>
    <n v="150"/>
    <x v="9"/>
    <d v="2025-01-13T00:00:00"/>
    <x v="12"/>
    <n v="5053391166"/>
    <s v="LHERRERAM  "/>
    <x v="1"/>
    <x v="4"/>
    <x v="8"/>
    <d v="2025-01-20T00:00:00"/>
    <x v="0"/>
    <x v="0"/>
  </r>
  <r>
    <s v="Agricola del Chira PlantaLa Huaca700613504511573761160"/>
    <x v="0"/>
    <s v="La Huaca"/>
    <x v="16"/>
    <x v="16"/>
    <x v="16"/>
    <x v="1"/>
    <n v="101"/>
    <n v="160"/>
    <x v="9"/>
    <d v="2025-01-13T00:00:00"/>
    <x v="12"/>
    <n v="5053391166"/>
    <s v="LHERRERAM  "/>
    <x v="1"/>
    <x v="4"/>
    <x v="8"/>
    <d v="2025-01-20T00:00:00"/>
    <x v="0"/>
    <x v="0"/>
  </r>
  <r>
    <s v="Agricola del Chira PlantaLa HuacaMWAGR000072       451157416030"/>
    <x v="0"/>
    <s v="La Huaca"/>
    <x v="17"/>
    <x v="17"/>
    <x v="17"/>
    <x v="0"/>
    <n v="101"/>
    <n v="30"/>
    <x v="10"/>
    <d v="2025-01-13T00:00:00"/>
    <x v="13"/>
    <n v="5053390360"/>
    <s v="LHERRERAM  "/>
    <x v="1"/>
    <x v="5"/>
    <x v="9"/>
    <d v="2025-01-13T00:00:00"/>
    <x v="0"/>
    <x v="0"/>
  </r>
  <r>
    <s v="Agricola del Chira PlantaLa HuacaMWAGR00042        451157424820"/>
    <x v="0"/>
    <s v="La Huaca"/>
    <x v="18"/>
    <x v="18"/>
    <x v="18"/>
    <x v="3"/>
    <n v="101"/>
    <n v="20"/>
    <x v="11"/>
    <d v="2025-01-13T00:00:00"/>
    <x v="14"/>
    <n v="5053390558"/>
    <s v="LHERRERAM  "/>
    <x v="1"/>
    <x v="5"/>
    <x v="10"/>
    <d v="2025-01-15T00:00:00"/>
    <x v="0"/>
    <x v="0"/>
  </r>
  <r>
    <s v="Agricola del Chira PlantaLa Huaca802317451157390120"/>
    <x v="0"/>
    <s v="La Huaca"/>
    <x v="19"/>
    <x v="19"/>
    <x v="3"/>
    <x v="1"/>
    <n v="101"/>
    <n v="20"/>
    <x v="12"/>
    <d v="2025-01-10T00:00:00"/>
    <x v="15"/>
    <n v="5053389585"/>
    <s v="LHERRERAM  "/>
    <x v="1"/>
    <x v="6"/>
    <x v="11"/>
    <d v="2025-01-20T00:00:00"/>
    <x v="0"/>
    <x v="0"/>
  </r>
  <r>
    <s v="Agricola del Chira PlantaLa Huaca868096451157270210"/>
    <x v="0"/>
    <s v="La Huaca"/>
    <x v="20"/>
    <x v="20"/>
    <x v="15"/>
    <x v="1"/>
    <n v="101"/>
    <n v="10"/>
    <x v="13"/>
    <d v="2025-01-10T00:00:00"/>
    <x v="16"/>
    <n v="5053389571"/>
    <s v="LHERRERAM  "/>
    <x v="1"/>
    <x v="4"/>
    <x v="6"/>
    <d v="2024-12-31T00:00:00"/>
    <x v="0"/>
    <x v="1"/>
  </r>
  <r>
    <s v="Agricola del Chira PlantaLa Huaca872860451157390130"/>
    <x v="0"/>
    <s v="La Huaca"/>
    <x v="21"/>
    <x v="21"/>
    <x v="11"/>
    <x v="1"/>
    <n v="101"/>
    <n v="30"/>
    <x v="12"/>
    <d v="2025-01-10T00:00:00"/>
    <x v="15"/>
    <n v="5053389585"/>
    <s v="LHERRERAM  "/>
    <x v="1"/>
    <x v="4"/>
    <x v="11"/>
    <d v="2025-01-20T00:00:00"/>
    <x v="0"/>
    <x v="0"/>
  </r>
  <r>
    <s v="Agricola del Chira PlantaLa HuacaCC11011935        451157390140"/>
    <x v="0"/>
    <s v="La Huaca"/>
    <x v="22"/>
    <x v="22"/>
    <x v="6"/>
    <x v="0"/>
    <n v="101"/>
    <n v="40"/>
    <x v="12"/>
    <d v="2025-01-10T00:00:00"/>
    <x v="15"/>
    <n v="5053389585"/>
    <s v="LHERRERAM  "/>
    <x v="1"/>
    <x v="7"/>
    <x v="11"/>
    <d v="2025-01-20T00:00:00"/>
    <x v="0"/>
    <x v="0"/>
  </r>
  <r>
    <s v="Agricola del Chira PlantaLa HuacaCS34015030        4511573901240"/>
    <x v="0"/>
    <s v="La Huaca"/>
    <x v="23"/>
    <x v="23"/>
    <x v="3"/>
    <x v="4"/>
    <n v="101"/>
    <n v="240"/>
    <x v="12"/>
    <d v="2025-01-10T00:00:00"/>
    <x v="15"/>
    <n v="5053389585"/>
    <s v="LHERRERAM  "/>
    <x v="1"/>
    <x v="6"/>
    <x v="11"/>
    <d v="2025-01-20T00:00:00"/>
    <x v="0"/>
    <x v="0"/>
  </r>
  <r>
    <s v="Agricola del Chira PlantaLa HuacaMWAGR00013        451157374910"/>
    <x v="0"/>
    <s v="La Huaca"/>
    <x v="24"/>
    <x v="24"/>
    <x v="19"/>
    <x v="3"/>
    <n v="101"/>
    <n v="10"/>
    <x v="14"/>
    <d v="2025-01-10T00:00:00"/>
    <x v="17"/>
    <n v="5053389617"/>
    <s v="LHERRERAM  "/>
    <x v="1"/>
    <x v="8"/>
    <x v="12"/>
    <d v="2025-01-13T00:00:00"/>
    <x v="0"/>
    <x v="0"/>
  </r>
  <r>
    <s v="Agricola del Chira PlantaLa HuacaMWAGR00013        451157374910"/>
    <x v="0"/>
    <s v="La Huaca"/>
    <x v="24"/>
    <x v="24"/>
    <x v="19"/>
    <x v="3"/>
    <n v="101"/>
    <n v="10"/>
    <x v="14"/>
    <d v="2025-01-10T00:00:00"/>
    <x v="18"/>
    <n v="5053389616"/>
    <s v="LHERRERAM  "/>
    <x v="1"/>
    <x v="8"/>
    <x v="12"/>
    <d v="2025-01-13T00:00:00"/>
    <x v="0"/>
    <x v="0"/>
  </r>
  <r>
    <s v="Agricola del Chira PlantaLa Huaca70003825451157265210"/>
    <x v="0"/>
    <s v="La Huaca"/>
    <x v="25"/>
    <x v="25"/>
    <x v="15"/>
    <x v="1"/>
    <n v="101"/>
    <n v="10"/>
    <x v="15"/>
    <d v="2025-01-09T00:00:00"/>
    <x v="19"/>
    <n v="5053388482"/>
    <s v="LHERRERAM  "/>
    <x v="1"/>
    <x v="4"/>
    <x v="13"/>
    <d v="2024-12-31T00:00:00"/>
    <x v="0"/>
    <x v="1"/>
  </r>
  <r>
    <s v="Agricola del Chira PlantaLa Huaca70004950451157195010"/>
    <x v="0"/>
    <s v="La Huaca"/>
    <x v="26"/>
    <x v="26"/>
    <x v="6"/>
    <x v="1"/>
    <n v="101"/>
    <n v="10"/>
    <x v="16"/>
    <d v="2025-01-09T00:00:00"/>
    <x v="20"/>
    <n v="5053388481"/>
    <s v="LHERRERAM  "/>
    <x v="1"/>
    <x v="4"/>
    <x v="13"/>
    <d v="2024-12-13T00:00:00"/>
    <x v="0"/>
    <x v="1"/>
  </r>
  <r>
    <s v="Agricola del Chira PlantaLa Huaca867439451157378210"/>
    <x v="0"/>
    <s v="La Huaca"/>
    <x v="27"/>
    <x v="27"/>
    <x v="3"/>
    <x v="4"/>
    <n v="101"/>
    <n v="10"/>
    <x v="17"/>
    <d v="2025-01-08T00:00:00"/>
    <x v="21"/>
    <n v="5053388265"/>
    <s v="LHERRERAM  "/>
    <x v="1"/>
    <x v="4"/>
    <x v="14"/>
    <d v="2025-01-13T00:00:00"/>
    <x v="0"/>
    <x v="0"/>
  </r>
  <r>
    <s v="Agricola del Chira PlantaLa Huaca70004310451157356610"/>
    <x v="0"/>
    <s v="La Huaca"/>
    <x v="28"/>
    <x v="28"/>
    <x v="6"/>
    <x v="1"/>
    <n v="101"/>
    <n v="10"/>
    <x v="18"/>
    <d v="2025-01-08T00:00:00"/>
    <x v="22"/>
    <n v="5053388263"/>
    <s v="LHERRERAM  "/>
    <x v="2"/>
    <x v="4"/>
    <x v="14"/>
    <d v="2025-01-17T00:00:00"/>
    <x v="0"/>
    <x v="0"/>
  </r>
  <r>
    <s v="Agricola del Chira PlantaLa Huaca70100392550002475120"/>
    <x v="0"/>
    <s v="La Huaca"/>
    <x v="1"/>
    <x v="1"/>
    <x v="20"/>
    <x v="1"/>
    <n v="101"/>
    <n v="20"/>
    <x v="1"/>
    <d v="2025-01-08T00:00:00"/>
    <x v="23"/>
    <n v="5053387842"/>
    <s v="LHERRERAM  "/>
    <x v="0"/>
    <x v="0"/>
    <x v="1"/>
    <d v="2025-01-13T00:00:00"/>
    <x v="0"/>
    <x v="0"/>
  </r>
  <r>
    <s v="Agricola del Chira PlantaLa Huaca70135249451157283710"/>
    <x v="0"/>
    <s v="La Huaca"/>
    <x v="29"/>
    <x v="29"/>
    <x v="6"/>
    <x v="1"/>
    <n v="101"/>
    <n v="10"/>
    <x v="19"/>
    <d v="2025-01-07T00:00:00"/>
    <x v="24"/>
    <n v="5053387209"/>
    <s v="LHERRERAM  "/>
    <x v="1"/>
    <x v="2"/>
    <x v="4"/>
    <s v=""/>
    <x v="1"/>
    <x v="0"/>
  </r>
  <r>
    <s v="Agricola del Chira PlantaLa Huaca748268451157289910"/>
    <x v="0"/>
    <s v="La Huaca"/>
    <x v="30"/>
    <x v="30"/>
    <x v="21"/>
    <x v="0"/>
    <n v="101"/>
    <n v="10"/>
    <x v="20"/>
    <d v="2025-01-06T00:00:00"/>
    <x v="25"/>
    <n v="5053386747"/>
    <s v="LHERRERAM  "/>
    <x v="2"/>
    <x v="4"/>
    <x v="15"/>
    <d v="2025-01-13T00:00:00"/>
    <x v="0"/>
    <x v="0"/>
  </r>
  <r>
    <s v="Agricola del Chira PlantaLa Huaca755674451157214830"/>
    <x v="0"/>
    <s v="La Huaca"/>
    <x v="31"/>
    <x v="31"/>
    <x v="22"/>
    <x v="1"/>
    <n v="101"/>
    <n v="30"/>
    <x v="21"/>
    <d v="2025-01-06T00:00:00"/>
    <x v="26"/>
    <n v="5053386750"/>
    <s v="LHERRERAM  "/>
    <x v="2"/>
    <x v="4"/>
    <x v="16"/>
    <d v="2025-01-13T00:00:00"/>
    <x v="0"/>
    <x v="0"/>
  </r>
  <r>
    <s v="Agricola del Chira PlantaLa Huaca850829451157363810"/>
    <x v="0"/>
    <s v="La Huaca"/>
    <x v="32"/>
    <x v="32"/>
    <x v="6"/>
    <x v="1"/>
    <n v="101"/>
    <n v="10"/>
    <x v="22"/>
    <d v="2025-01-06T00:00:00"/>
    <x v="27"/>
    <n v="5053386731"/>
    <s v="LHERRERAM  "/>
    <x v="2"/>
    <x v="4"/>
    <x v="17"/>
    <d v="2025-01-15T00:00:00"/>
    <x v="0"/>
    <x v="0"/>
  </r>
  <r>
    <s v="Agricola del Chira PlantaLa Huaca70004596451157246610"/>
    <x v="0"/>
    <s v="La Huaca"/>
    <x v="33"/>
    <x v="33"/>
    <x v="15"/>
    <x v="1"/>
    <n v="101"/>
    <n v="10"/>
    <x v="23"/>
    <d v="2025-01-06T00:00:00"/>
    <x v="28"/>
    <n v="5053386749"/>
    <s v="LHERRERAM  "/>
    <x v="1"/>
    <x v="4"/>
    <x v="16"/>
    <d v="2024-12-20T00:00:00"/>
    <x v="0"/>
    <x v="1"/>
  </r>
  <r>
    <s v="Agricola del Chira PlantaLa Huaca70043537451156994410"/>
    <x v="0"/>
    <s v="La Huaca"/>
    <x v="34"/>
    <x v="34"/>
    <x v="6"/>
    <x v="1"/>
    <n v="101"/>
    <n v="10"/>
    <x v="24"/>
    <d v="2025-01-06T00:00:00"/>
    <x v="29"/>
    <n v="5053387210"/>
    <s v="LHERRERAM  "/>
    <x v="2"/>
    <x v="7"/>
    <x v="18"/>
    <d v="2025-01-27T00:00:00"/>
    <x v="0"/>
    <x v="0"/>
  </r>
  <r>
    <s v="Agricola del Chira PlantaLa Huaca70113596451157352810"/>
    <x v="0"/>
    <s v="La Huaca"/>
    <x v="35"/>
    <x v="35"/>
    <x v="12"/>
    <x v="5"/>
    <n v="101"/>
    <n v="10"/>
    <x v="25"/>
    <d v="2025-01-06T00:00:00"/>
    <x v="30"/>
    <n v="5053386753"/>
    <s v="LHERRERAM  "/>
    <x v="3"/>
    <x v="4"/>
    <x v="19"/>
    <d v="2025-01-10T00:00:00"/>
    <x v="0"/>
    <x v="0"/>
  </r>
  <r>
    <s v="Agricola del Chira PlantaLa Huaca745473451157108310"/>
    <x v="0"/>
    <s v="La Huaca"/>
    <x v="36"/>
    <x v="36"/>
    <x v="6"/>
    <x v="1"/>
    <n v="101"/>
    <n v="10"/>
    <x v="26"/>
    <d v="2025-01-03T00:00:00"/>
    <x v="31"/>
    <n v="5053385650"/>
    <s v="LHERRERAM  "/>
    <x v="1"/>
    <x v="7"/>
    <x v="11"/>
    <d v="2024-12-06T00:00:00"/>
    <x v="0"/>
    <x v="1"/>
  </r>
  <r>
    <s v="Agricola del Chira PlantaLa Huaca808835451157267960"/>
    <x v="0"/>
    <s v="La Huaca"/>
    <x v="37"/>
    <x v="37"/>
    <x v="7"/>
    <x v="6"/>
    <n v="101"/>
    <n v="60"/>
    <x v="27"/>
    <d v="2025-01-03T00:00:00"/>
    <x v="32"/>
    <n v="5053385651"/>
    <s v="LHERRERAM  "/>
    <x v="1"/>
    <x v="6"/>
    <x v="11"/>
    <d v="2024-12-30T00:00:00"/>
    <x v="0"/>
    <x v="1"/>
  </r>
  <r>
    <s v="Agricola del Chira PlantaLa Huaca70100392550002475120"/>
    <x v="0"/>
    <s v="La Huaca"/>
    <x v="1"/>
    <x v="1"/>
    <x v="23"/>
    <x v="1"/>
    <n v="101"/>
    <n v="20"/>
    <x v="1"/>
    <d v="2024-12-31T00:00:00"/>
    <x v="33"/>
    <n v="5053381888"/>
    <s v="LHERRERAM  "/>
    <x v="0"/>
    <x v="0"/>
    <x v="1"/>
    <d v="2025-01-13T00:00:00"/>
    <x v="0"/>
    <x v="0"/>
  </r>
  <r>
    <s v="Agricola del Chira PlantaLa Huaca70043958451156994420"/>
    <x v="0"/>
    <s v="La Huaca"/>
    <x v="38"/>
    <x v="38"/>
    <x v="6"/>
    <x v="1"/>
    <n v="101"/>
    <n v="20"/>
    <x v="24"/>
    <d v="2024-12-23T00:00:00"/>
    <x v="34"/>
    <n v="5053376643"/>
    <s v="LHERRERAM  "/>
    <x v="2"/>
    <x v="7"/>
    <x v="18"/>
    <d v="2024-12-16T00:00:00"/>
    <x v="0"/>
    <x v="1"/>
  </r>
  <r>
    <s v="Agricola del Chira PlantaLa Huaca70061692451156994430"/>
    <x v="0"/>
    <s v="La Huaca"/>
    <x v="39"/>
    <x v="39"/>
    <x v="6"/>
    <x v="1"/>
    <n v="101"/>
    <n v="30"/>
    <x v="24"/>
    <d v="2024-12-23T00:00:00"/>
    <x v="34"/>
    <n v="5053376643"/>
    <s v="LHERRERAM  "/>
    <x v="2"/>
    <x v="7"/>
    <x v="18"/>
    <d v="2024-12-16T00:00:00"/>
    <x v="0"/>
    <x v="1"/>
  </r>
  <r>
    <s v="Agricola del Chira PlantaLa Huaca70061693451156994440"/>
    <x v="0"/>
    <s v="La Huaca"/>
    <x v="40"/>
    <x v="40"/>
    <x v="6"/>
    <x v="1"/>
    <n v="101"/>
    <n v="40"/>
    <x v="24"/>
    <d v="2024-12-23T00:00:00"/>
    <x v="34"/>
    <n v="5053376643"/>
    <s v="LHERRERAM  "/>
    <x v="2"/>
    <x v="7"/>
    <x v="18"/>
    <d v="2024-12-16T00:00:00"/>
    <x v="0"/>
    <x v="1"/>
  </r>
  <r>
    <s v="Agricola del Chira PlantaLa Huaca70100392550002475120"/>
    <x v="0"/>
    <s v="La Huaca"/>
    <x v="1"/>
    <x v="1"/>
    <x v="23"/>
    <x v="1"/>
    <n v="101"/>
    <n v="20"/>
    <x v="1"/>
    <d v="2024-12-17T00:00:00"/>
    <x v="35"/>
    <n v="5053371121"/>
    <s v="LHERRERAM  "/>
    <x v="0"/>
    <x v="0"/>
    <x v="1"/>
    <d v="2025-01-13T00:00:00"/>
    <x v="0"/>
    <x v="0"/>
  </r>
  <r>
    <s v="Agricola del Chira PlantaLa Huaca894559451157167920"/>
    <x v="0"/>
    <s v="La Huaca"/>
    <x v="41"/>
    <x v="41"/>
    <x v="24"/>
    <x v="7"/>
    <n v="101"/>
    <n v="20"/>
    <x v="28"/>
    <d v="2024-12-16T00:00:00"/>
    <x v="36"/>
    <n v="5053370471"/>
    <s v="LHERRERAM  "/>
    <x v="2"/>
    <x v="9"/>
    <x v="20"/>
    <d v="2024-12-20T00:00:00"/>
    <x v="0"/>
    <x v="0"/>
  </r>
  <r>
    <s v="Agricola del Chira PlantaLa Huaca894561451157167950"/>
    <x v="0"/>
    <s v="La Huaca"/>
    <x v="42"/>
    <x v="42"/>
    <x v="8"/>
    <x v="7"/>
    <n v="101"/>
    <n v="50"/>
    <x v="28"/>
    <d v="2024-12-16T00:00:00"/>
    <x v="36"/>
    <n v="5053370471"/>
    <s v="LHERRERAM  "/>
    <x v="2"/>
    <x v="9"/>
    <x v="20"/>
    <d v="2024-12-20T00:00:00"/>
    <x v="0"/>
    <x v="0"/>
  </r>
  <r>
    <s v="Agricola del Chira PlantaLa Huaca894562451157167970"/>
    <x v="0"/>
    <s v="La Huaca"/>
    <x v="43"/>
    <x v="43"/>
    <x v="25"/>
    <x v="7"/>
    <n v="101"/>
    <n v="70"/>
    <x v="28"/>
    <d v="2024-12-16T00:00:00"/>
    <x v="36"/>
    <n v="5053370471"/>
    <s v="LHERRERAM  "/>
    <x v="2"/>
    <x v="9"/>
    <x v="20"/>
    <d v="2024-12-20T00:00:00"/>
    <x v="0"/>
    <x v="0"/>
  </r>
  <r>
    <s v="Agricola del Chira PlantaLa Huaca70052954451157042910"/>
    <x v="0"/>
    <s v="La Huaca"/>
    <x v="44"/>
    <x v="44"/>
    <x v="15"/>
    <x v="1"/>
    <n v="101"/>
    <n v="10"/>
    <x v="29"/>
    <d v="2024-12-16T00:00:00"/>
    <x v="37"/>
    <n v="5053370464"/>
    <s v="LHERRERAM  "/>
    <x v="1"/>
    <x v="4"/>
    <x v="21"/>
    <d v="2024-12-18T00:00:00"/>
    <x v="0"/>
    <x v="0"/>
  </r>
  <r>
    <s v="Agricola del Chira PlantaLa Huaca736856451157174810"/>
    <x v="0"/>
    <s v="La Huaca"/>
    <x v="45"/>
    <x v="45"/>
    <x v="7"/>
    <x v="1"/>
    <n v="101"/>
    <n v="10"/>
    <x v="30"/>
    <d v="2024-12-13T00:00:00"/>
    <x v="38"/>
    <n v="5053368264"/>
    <s v="LHERRERAM  "/>
    <x v="1"/>
    <x v="6"/>
    <x v="22"/>
    <d v="2024-12-16T00:00:00"/>
    <x v="0"/>
    <x v="0"/>
  </r>
  <r>
    <s v="Agricola del Chira PlantaLa Huaca808346451157229520"/>
    <x v="0"/>
    <s v="La Huaca"/>
    <x v="46"/>
    <x v="46"/>
    <x v="26"/>
    <x v="7"/>
    <n v="101"/>
    <n v="20"/>
    <x v="31"/>
    <d v="2024-12-13T00:00:00"/>
    <x v="39"/>
    <n v="5053368267"/>
    <s v="LHERRERAM  "/>
    <x v="3"/>
    <x v="9"/>
    <x v="22"/>
    <d v="2024-12-23T00:00:00"/>
    <x v="0"/>
    <x v="0"/>
  </r>
  <r>
    <s v="Agricola del Chira PlantaLa Huaca70003837451157195610"/>
    <x v="0"/>
    <s v="La Huaca"/>
    <x v="47"/>
    <x v="47"/>
    <x v="27"/>
    <x v="1"/>
    <n v="101"/>
    <n v="10"/>
    <x v="32"/>
    <d v="2024-12-13T00:00:00"/>
    <x v="40"/>
    <n v="5053368268"/>
    <s v="LHERRERAM  "/>
    <x v="1"/>
    <x v="4"/>
    <x v="8"/>
    <d v="2024-12-13T00:00:00"/>
    <x v="0"/>
    <x v="0"/>
  </r>
  <r>
    <s v="Agricola del Chira PlantaLa Huaca70003844451157175610"/>
    <x v="0"/>
    <s v="La Huaca"/>
    <x v="48"/>
    <x v="48"/>
    <x v="3"/>
    <x v="1"/>
    <n v="101"/>
    <n v="10"/>
    <x v="33"/>
    <d v="2024-12-13T00:00:00"/>
    <x v="41"/>
    <n v="5053368263"/>
    <s v="LHERRERAM  "/>
    <x v="1"/>
    <x v="4"/>
    <x v="8"/>
    <d v="2024-12-09T00:00:00"/>
    <x v="0"/>
    <x v="1"/>
  </r>
  <r>
    <s v="Agricola del Chira PlantaLa Huaca70019150451157163910"/>
    <x v="0"/>
    <s v="La Huaca"/>
    <x v="49"/>
    <x v="49"/>
    <x v="7"/>
    <x v="4"/>
    <n v="101"/>
    <n v="10"/>
    <x v="34"/>
    <d v="2024-12-13T00:00:00"/>
    <x v="42"/>
    <n v="5053368640"/>
    <s v="LHERRERAM  "/>
    <x v="1"/>
    <x v="4"/>
    <x v="11"/>
    <d v="2024-12-09T00:00:00"/>
    <x v="0"/>
    <x v="1"/>
  </r>
  <r>
    <s v="Agricola del Chira PlantaLa Huaca70047475451157146150"/>
    <x v="0"/>
    <s v="La Huaca"/>
    <x v="50"/>
    <x v="50"/>
    <x v="28"/>
    <x v="1"/>
    <n v="101"/>
    <n v="50"/>
    <x v="35"/>
    <d v="2024-12-13T00:00:00"/>
    <x v="43"/>
    <n v="5053368643"/>
    <s v="LHERRERAM  "/>
    <x v="1"/>
    <x v="4"/>
    <x v="11"/>
    <d v="2024-12-09T00:00:00"/>
    <x v="0"/>
    <x v="1"/>
  </r>
  <r>
    <s v="Agricola del Chira PlantaLa Huaca70048323451157163920"/>
    <x v="0"/>
    <s v="La Huaca"/>
    <x v="51"/>
    <x v="51"/>
    <x v="15"/>
    <x v="1"/>
    <n v="101"/>
    <n v="20"/>
    <x v="34"/>
    <d v="2024-12-13T00:00:00"/>
    <x v="42"/>
    <n v="5053368640"/>
    <s v="LHERRERAM  "/>
    <x v="1"/>
    <x v="4"/>
    <x v="11"/>
    <d v="2024-12-09T00:00:00"/>
    <x v="0"/>
    <x v="1"/>
  </r>
  <r>
    <s v="Agricola del Chira PlantaLa HuacaCS310420          451157146140"/>
    <x v="0"/>
    <s v="La Huaca"/>
    <x v="52"/>
    <x v="52"/>
    <x v="23"/>
    <x v="1"/>
    <n v="101"/>
    <n v="40"/>
    <x v="35"/>
    <d v="2024-12-13T00:00:00"/>
    <x v="43"/>
    <n v="5053368643"/>
    <s v="LHERRERAM  "/>
    <x v="1"/>
    <x v="6"/>
    <x v="11"/>
    <d v="2024-12-09T00:00:00"/>
    <x v="0"/>
    <x v="1"/>
  </r>
  <r>
    <s v="Agricola del Chira PlantaLa Huaca70097146451156115310"/>
    <x v="0"/>
    <s v="La Huaca"/>
    <x v="53"/>
    <x v="53"/>
    <x v="15"/>
    <x v="1"/>
    <n v="101"/>
    <n v="10"/>
    <x v="36"/>
    <d v="2024-12-11T00:00:00"/>
    <x v="44"/>
    <n v="5053366474"/>
    <s v="LHERRERAM  "/>
    <x v="1"/>
    <x v="3"/>
    <x v="5"/>
    <d v="2024-11-20T00:00:00"/>
    <x v="0"/>
    <x v="1"/>
  </r>
  <r>
    <s v="Agricola del Chira PlantaLa Huaca70004306451157199020"/>
    <x v="0"/>
    <s v="La Huaca"/>
    <x v="54"/>
    <x v="54"/>
    <x v="22"/>
    <x v="1"/>
    <n v="101"/>
    <n v="20"/>
    <x v="37"/>
    <d v="2024-12-10T00:00:00"/>
    <x v="45"/>
    <n v="5053364026"/>
    <s v="LHERRERAM  "/>
    <x v="2"/>
    <x v="4"/>
    <x v="14"/>
    <d v="2024-12-20T00:00:00"/>
    <x v="0"/>
    <x v="0"/>
  </r>
  <r>
    <s v="Agricola del Chira PlantaLa Huaca70004310451157199010"/>
    <x v="0"/>
    <s v="La Huaca"/>
    <x v="28"/>
    <x v="28"/>
    <x v="6"/>
    <x v="1"/>
    <n v="101"/>
    <n v="10"/>
    <x v="37"/>
    <d v="2024-12-10T00:00:00"/>
    <x v="45"/>
    <n v="5053364026"/>
    <s v="LHERRERAM  "/>
    <x v="2"/>
    <x v="4"/>
    <x v="14"/>
    <d v="2024-12-20T00:00:00"/>
    <x v="0"/>
    <x v="0"/>
  </r>
  <r>
    <s v="Agricola del Chira PlantaLa Huaca70099880451157203220"/>
    <x v="0"/>
    <s v="La Huaca"/>
    <x v="55"/>
    <x v="55"/>
    <x v="3"/>
    <x v="1"/>
    <n v="101"/>
    <n v="20"/>
    <x v="38"/>
    <d v="2024-12-10T00:00:00"/>
    <x v="46"/>
    <n v="5053364207"/>
    <s v="LHERRERAM  "/>
    <x v="1"/>
    <x v="4"/>
    <x v="14"/>
    <d v="2024-12-13T00:00:00"/>
    <x v="0"/>
    <x v="0"/>
  </r>
  <r>
    <s v="Agricola del Chira PlantaLa Huaca70112201451156700310"/>
    <x v="0"/>
    <s v="La Huaca"/>
    <x v="56"/>
    <x v="56"/>
    <x v="11"/>
    <x v="1"/>
    <n v="101"/>
    <n v="10"/>
    <x v="39"/>
    <d v="2024-12-10T00:00:00"/>
    <x v="47"/>
    <n v="5053364019"/>
    <s v="LHERRERAM  "/>
    <x v="1"/>
    <x v="7"/>
    <x v="14"/>
    <d v="2024-10-21T00:00:00"/>
    <x v="0"/>
    <x v="1"/>
  </r>
  <r>
    <s v="Agricola del Chira PlantaLa Huaca70061481451156614620"/>
    <x v="0"/>
    <s v="La Huaca"/>
    <x v="57"/>
    <x v="57"/>
    <x v="29"/>
    <x v="8"/>
    <n v="101"/>
    <n v="20"/>
    <x v="40"/>
    <d v="2024-12-06T00:00:00"/>
    <x v="48"/>
    <n v="5053362776"/>
    <s v="LHERRERAM  "/>
    <x v="2"/>
    <x v="2"/>
    <x v="4"/>
    <s v=""/>
    <x v="1"/>
    <x v="0"/>
  </r>
  <r>
    <s v="Agricola del Chira PlantaLa Huaca70061481451156614610"/>
    <x v="0"/>
    <s v="La Huaca"/>
    <x v="57"/>
    <x v="57"/>
    <x v="30"/>
    <x v="8"/>
    <n v="101"/>
    <n v="10"/>
    <x v="40"/>
    <d v="2024-12-06T00:00:00"/>
    <x v="48"/>
    <n v="5053362776"/>
    <s v="LHERRERAM  "/>
    <x v="2"/>
    <x v="2"/>
    <x v="4"/>
    <s v=""/>
    <x v="1"/>
    <x v="0"/>
  </r>
  <r>
    <s v="Agricola del Chira PlantaLa Huaca70108070451157165010"/>
    <x v="0"/>
    <s v="La Huaca"/>
    <x v="58"/>
    <x v="58"/>
    <x v="22"/>
    <x v="1"/>
    <n v="101"/>
    <n v="10"/>
    <x v="41"/>
    <d v="2024-12-04T00:00:00"/>
    <x v="49"/>
    <n v="5053360506"/>
    <s v="LHERRERAM  "/>
    <x v="2"/>
    <x v="4"/>
    <x v="14"/>
    <d v="2024-12-20T00:00:00"/>
    <x v="0"/>
    <x v="0"/>
  </r>
  <r>
    <s v="Agricola del Chira PlantaLa HuacaCB03285           451157092620"/>
    <x v="0"/>
    <s v="La Huaca"/>
    <x v="59"/>
    <x v="59"/>
    <x v="7"/>
    <x v="1"/>
    <n v="101"/>
    <n v="20"/>
    <x v="42"/>
    <d v="2024-12-02T00:00:00"/>
    <x v="50"/>
    <n v="5053357658"/>
    <s v="LHERRERAM  "/>
    <x v="1"/>
    <x v="4"/>
    <x v="6"/>
    <d v="2024-12-02T00:00:00"/>
    <x v="0"/>
    <x v="0"/>
  </r>
  <r>
    <s v="Agricola del Chira PlantaLa Huaca70100392550002475120"/>
    <x v="0"/>
    <s v="La Huaca"/>
    <x v="1"/>
    <x v="1"/>
    <x v="31"/>
    <x v="1"/>
    <n v="101"/>
    <n v="20"/>
    <x v="1"/>
    <d v="2024-12-24T00:00:00"/>
    <x v="51"/>
    <n v="5053377270"/>
    <s v="MNAVARROM  "/>
    <x v="0"/>
    <x v="0"/>
    <x v="1"/>
    <d v="2025-01-13T00:00:00"/>
    <x v="0"/>
    <x v="0"/>
  </r>
  <r>
    <s v="Agricola del Chira PlantaLa Huaca70047878451157271410"/>
    <x v="0"/>
    <s v="La Huaca"/>
    <x v="60"/>
    <x v="60"/>
    <x v="12"/>
    <x v="1"/>
    <n v="101"/>
    <n v="10"/>
    <x v="43"/>
    <d v="2024-12-19T00:00:00"/>
    <x v="52"/>
    <n v="5053373508"/>
    <s v="MNAVARROM  "/>
    <x v="2"/>
    <x v="7"/>
    <x v="6"/>
    <d v="2025-01-08T00:00:00"/>
    <x v="0"/>
    <x v="0"/>
  </r>
  <r>
    <s v="Agricola del Chira PlantaLa Huaca744716451157228440"/>
    <x v="0"/>
    <s v="La Huaca"/>
    <x v="61"/>
    <x v="61"/>
    <x v="32"/>
    <x v="0"/>
    <n v="101"/>
    <n v="40"/>
    <x v="44"/>
    <d v="2024-12-16T00:00:00"/>
    <x v="53"/>
    <n v="5053370572"/>
    <s v="MNAVARROM  "/>
    <x v="3"/>
    <x v="9"/>
    <x v="19"/>
    <d v="2025-01-10T00:00:00"/>
    <x v="0"/>
    <x v="0"/>
  </r>
  <r>
    <s v="Agricola del Chira PlantaLa Huaca70004704451157195110"/>
    <x v="0"/>
    <s v="La Huaca"/>
    <x v="62"/>
    <x v="62"/>
    <x v="14"/>
    <x v="1"/>
    <n v="101"/>
    <n v="10"/>
    <x v="45"/>
    <d v="2024-12-16T00:00:00"/>
    <x v="54"/>
    <n v="5053371387"/>
    <s v="MNAVARROM  "/>
    <x v="1"/>
    <x v="4"/>
    <x v="16"/>
    <d v="2024-12-30T00:00:00"/>
    <x v="0"/>
    <x v="0"/>
  </r>
  <r>
    <s v="Agricola del Chira PlantaLa Huaca895421451157252120"/>
    <x v="0"/>
    <s v="La Huaca"/>
    <x v="63"/>
    <x v="63"/>
    <x v="17"/>
    <x v="9"/>
    <n v="101"/>
    <n v="20"/>
    <x v="46"/>
    <d v="2024-12-13T00:00:00"/>
    <x v="55"/>
    <n v="5053368201"/>
    <s v="MNAVARROM  "/>
    <x v="3"/>
    <x v="9"/>
    <x v="3"/>
    <d v="2024-12-20T00:00:00"/>
    <x v="0"/>
    <x v="0"/>
  </r>
  <r>
    <s v="Agricola del Chira PlantaLa Huaca70003837451157246010"/>
    <x v="0"/>
    <s v="La Huaca"/>
    <x v="47"/>
    <x v="47"/>
    <x v="15"/>
    <x v="1"/>
    <n v="101"/>
    <n v="10"/>
    <x v="47"/>
    <d v="2024-12-13T00:00:00"/>
    <x v="56"/>
    <n v="5053368650"/>
    <s v="MNAVARROM  "/>
    <x v="1"/>
    <x v="7"/>
    <x v="14"/>
    <d v="2024-12-16T00:00:00"/>
    <x v="0"/>
    <x v="0"/>
  </r>
  <r>
    <s v="Agricola del Chira PlantaLa Huaca70061785451157246020"/>
    <x v="0"/>
    <s v="La Huaca"/>
    <x v="64"/>
    <x v="64"/>
    <x v="7"/>
    <x v="1"/>
    <n v="101"/>
    <n v="20"/>
    <x v="47"/>
    <d v="2024-12-13T00:00:00"/>
    <x v="56"/>
    <n v="5053368650"/>
    <s v="MNAVARROM  "/>
    <x v="1"/>
    <x v="7"/>
    <x v="14"/>
    <d v="2024-12-16T00:00:00"/>
    <x v="0"/>
    <x v="0"/>
  </r>
  <r>
    <s v="Agricola del Chira PlantaLa Huaca70061786451157246030"/>
    <x v="0"/>
    <s v="La Huaca"/>
    <x v="65"/>
    <x v="65"/>
    <x v="7"/>
    <x v="1"/>
    <n v="101"/>
    <n v="30"/>
    <x v="47"/>
    <d v="2024-12-13T00:00:00"/>
    <x v="56"/>
    <n v="5053368650"/>
    <s v="MNAVARROM  "/>
    <x v="1"/>
    <x v="7"/>
    <x v="14"/>
    <d v="2024-12-16T00:00:00"/>
    <x v="0"/>
    <x v="0"/>
  </r>
  <r>
    <s v="Agricola del Chira PlantaLa Huaca70082928451157246040"/>
    <x v="0"/>
    <s v="La Huaca"/>
    <x v="66"/>
    <x v="66"/>
    <x v="15"/>
    <x v="1"/>
    <n v="101"/>
    <n v="40"/>
    <x v="47"/>
    <d v="2024-12-13T00:00:00"/>
    <x v="56"/>
    <n v="5053368650"/>
    <s v="MNAVARROM  "/>
    <x v="1"/>
    <x v="7"/>
    <x v="14"/>
    <d v="2024-12-16T00:00:00"/>
    <x v="0"/>
    <x v="0"/>
  </r>
  <r>
    <s v="Agricola del Chira PlantaLa Huaca70098846451157246050"/>
    <x v="0"/>
    <s v="La Huaca"/>
    <x v="67"/>
    <x v="67"/>
    <x v="15"/>
    <x v="1"/>
    <n v="101"/>
    <n v="50"/>
    <x v="47"/>
    <d v="2024-12-13T00:00:00"/>
    <x v="56"/>
    <n v="5053368650"/>
    <s v="MNAVARROM  "/>
    <x v="1"/>
    <x v="7"/>
    <x v="14"/>
    <d v="2024-12-16T00:00:00"/>
    <x v="0"/>
    <x v="0"/>
  </r>
  <r>
    <s v="Agricola del Chira PlantaLa HuacaCA0770006625      451157246060"/>
    <x v="0"/>
    <s v="La Huaca"/>
    <x v="68"/>
    <x v="68"/>
    <x v="14"/>
    <x v="1"/>
    <n v="101"/>
    <n v="60"/>
    <x v="47"/>
    <d v="2024-12-13T00:00:00"/>
    <x v="56"/>
    <n v="5053368650"/>
    <s v="MNAVARROM  "/>
    <x v="1"/>
    <x v="7"/>
    <x v="14"/>
    <d v="2024-12-16T00:00:00"/>
    <x v="0"/>
    <x v="0"/>
  </r>
  <r>
    <s v="Agricola del Chira PlantaLa Huaca748341451157073410"/>
    <x v="0"/>
    <s v="La Huaca"/>
    <x v="69"/>
    <x v="69"/>
    <x v="33"/>
    <x v="0"/>
    <n v="101"/>
    <n v="10"/>
    <x v="48"/>
    <d v="2024-12-06T00:00:00"/>
    <x v="57"/>
    <n v="5053362636"/>
    <s v="MNAVARROM  "/>
    <x v="2"/>
    <x v="4"/>
    <x v="15"/>
    <d v="2024-12-09T00:00:00"/>
    <x v="0"/>
    <x v="0"/>
  </r>
  <r>
    <s v="Agricola del Chira PlantaLa Huaca760364451157025710"/>
    <x v="0"/>
    <s v="La Huaca"/>
    <x v="70"/>
    <x v="70"/>
    <x v="6"/>
    <x v="1"/>
    <n v="101"/>
    <n v="10"/>
    <x v="49"/>
    <d v="2024-12-06T00:00:00"/>
    <x v="58"/>
    <n v="5053362631"/>
    <s v="MNAVARROM  "/>
    <x v="2"/>
    <x v="4"/>
    <x v="16"/>
    <d v="2024-12-11T00:00:00"/>
    <x v="0"/>
    <x v="0"/>
  </r>
  <r>
    <s v="Agricola del Chira PlantaLa Huaca70135105451157035640"/>
    <x v="0"/>
    <s v="La Huaca"/>
    <x v="71"/>
    <x v="71"/>
    <x v="12"/>
    <x v="10"/>
    <n v="101"/>
    <n v="40"/>
    <x v="50"/>
    <d v="2024-12-06T00:00:00"/>
    <x v="59"/>
    <n v="5053362617"/>
    <s v="MNAVARROM  "/>
    <x v="1"/>
    <x v="10"/>
    <x v="23"/>
    <d v="2024-11-29T00:00:00"/>
    <x v="0"/>
    <x v="1"/>
  </r>
  <r>
    <s v="Agricola del Chira PlantaLa Huaca70135106451157035650"/>
    <x v="0"/>
    <s v="La Huaca"/>
    <x v="72"/>
    <x v="72"/>
    <x v="12"/>
    <x v="10"/>
    <n v="101"/>
    <n v="50"/>
    <x v="50"/>
    <d v="2024-12-06T00:00:00"/>
    <x v="59"/>
    <n v="5053362617"/>
    <s v="MNAVARROM  "/>
    <x v="1"/>
    <x v="10"/>
    <x v="23"/>
    <d v="2024-11-29T00:00:00"/>
    <x v="0"/>
    <x v="1"/>
  </r>
  <r>
    <s v="Agricola del Chira PlantaLa Huaca70135107451157035660"/>
    <x v="0"/>
    <s v="La Huaca"/>
    <x v="73"/>
    <x v="73"/>
    <x v="6"/>
    <x v="10"/>
    <n v="101"/>
    <n v="60"/>
    <x v="50"/>
    <d v="2024-12-06T00:00:00"/>
    <x v="59"/>
    <n v="5053362617"/>
    <s v="MNAVARROM  "/>
    <x v="1"/>
    <x v="10"/>
    <x v="23"/>
    <d v="2024-11-29T00:00:00"/>
    <x v="0"/>
    <x v="1"/>
  </r>
  <r>
    <s v="Agricola del Chira PlantaLa Huaca873339451157131910"/>
    <x v="0"/>
    <s v="La Huaca"/>
    <x v="74"/>
    <x v="74"/>
    <x v="7"/>
    <x v="1"/>
    <n v="101"/>
    <n v="10"/>
    <x v="51"/>
    <d v="2024-12-04T00:00:00"/>
    <x v="60"/>
    <n v="5053359403"/>
    <s v="MNAVARROM  "/>
    <x v="1"/>
    <x v="4"/>
    <x v="24"/>
    <d v="2024-12-06T00:00:00"/>
    <x v="0"/>
    <x v="0"/>
  </r>
  <r>
    <s v="Agricola del Chira PlantaLa Huaca70011440451157131920"/>
    <x v="0"/>
    <s v="La Huaca"/>
    <x v="75"/>
    <x v="75"/>
    <x v="12"/>
    <x v="1"/>
    <n v="101"/>
    <n v="20"/>
    <x v="51"/>
    <d v="2024-12-04T00:00:00"/>
    <x v="60"/>
    <n v="5053359403"/>
    <s v="MNAVARROM  "/>
    <x v="1"/>
    <x v="4"/>
    <x v="24"/>
    <d v="2024-12-06T00:00:00"/>
    <x v="0"/>
    <x v="0"/>
  </r>
  <r>
    <s v="Agricola del Chira PlantaLa Huaca724696451157146610"/>
    <x v="0"/>
    <s v="La Huaca"/>
    <x v="76"/>
    <x v="76"/>
    <x v="3"/>
    <x v="1"/>
    <n v="101"/>
    <n v="10"/>
    <x v="52"/>
    <d v="2024-12-02T00:00:00"/>
    <x v="61"/>
    <n v="5053357657"/>
    <s v="MNAVARROM  "/>
    <x v="1"/>
    <x v="4"/>
    <x v="25"/>
    <d v="2024-12-06T00:00:00"/>
    <x v="0"/>
    <x v="0"/>
  </r>
  <r>
    <s v="Agricola del Chira PlantaLa Huaca724696451157146530"/>
    <x v="0"/>
    <s v="La Huaca"/>
    <x v="76"/>
    <x v="76"/>
    <x v="3"/>
    <x v="1"/>
    <n v="101"/>
    <n v="30"/>
    <x v="53"/>
    <d v="2024-12-02T00:00:00"/>
    <x v="62"/>
    <n v="5053357659"/>
    <s v="MNAVARROM  "/>
    <x v="1"/>
    <x v="4"/>
    <x v="25"/>
    <d v="2024-12-04T00:00:00"/>
    <x v="0"/>
    <x v="0"/>
  </r>
  <r>
    <s v="Agricola del Chira PlantaLa Huaca724696451157146530"/>
    <x v="0"/>
    <s v="La Huaca"/>
    <x v="76"/>
    <x v="76"/>
    <x v="3"/>
    <x v="1"/>
    <n v="101"/>
    <n v="30"/>
    <x v="53"/>
    <d v="2024-12-02T00:00:00"/>
    <x v="63"/>
    <n v="5053369291"/>
    <s v="MNAVARROM  "/>
    <x v="1"/>
    <x v="4"/>
    <x v="25"/>
    <d v="2024-12-04T00:00:00"/>
    <x v="0"/>
    <x v="0"/>
  </r>
  <r>
    <s v="Agricola del Chira PlantaLa Huaca724696451157146530"/>
    <x v="0"/>
    <s v="La Huaca"/>
    <x v="76"/>
    <x v="76"/>
    <x v="34"/>
    <x v="1"/>
    <n v="102"/>
    <n v="30"/>
    <x v="53"/>
    <d v="2024-12-02T00:00:00"/>
    <x v="62"/>
    <n v="5053369289"/>
    <s v="MNAVARROM  "/>
    <x v="1"/>
    <x v="4"/>
    <x v="25"/>
    <d v="2024-12-04T00:00:00"/>
    <x v="0"/>
    <x v="0"/>
  </r>
  <r>
    <s v="Agricola del Chira PlantaLa Huaca724828451157146540"/>
    <x v="0"/>
    <s v="La Huaca"/>
    <x v="77"/>
    <x v="77"/>
    <x v="35"/>
    <x v="1"/>
    <n v="102"/>
    <n v="40"/>
    <x v="53"/>
    <d v="2024-12-02T00:00:00"/>
    <x v="62"/>
    <n v="5053369289"/>
    <s v="MNAVARROM  "/>
    <x v="1"/>
    <x v="4"/>
    <x v="25"/>
    <d v="2024-12-04T00:00:00"/>
    <x v="0"/>
    <x v="0"/>
  </r>
  <r>
    <s v="Agricola del Chira PlantaLa Huaca724828451157146540"/>
    <x v="0"/>
    <s v="La Huaca"/>
    <x v="77"/>
    <x v="77"/>
    <x v="36"/>
    <x v="1"/>
    <n v="101"/>
    <n v="40"/>
    <x v="53"/>
    <d v="2024-12-02T00:00:00"/>
    <x v="62"/>
    <n v="5053357659"/>
    <s v="MNAVARROM  "/>
    <x v="1"/>
    <x v="4"/>
    <x v="25"/>
    <d v="2024-12-04T00:00:00"/>
    <x v="0"/>
    <x v="0"/>
  </r>
  <r>
    <s v="Agricola del Chira PlantaLa Huaca724828451157146540"/>
    <x v="0"/>
    <s v="La Huaca"/>
    <x v="77"/>
    <x v="77"/>
    <x v="36"/>
    <x v="1"/>
    <n v="101"/>
    <n v="40"/>
    <x v="53"/>
    <d v="2024-12-02T00:00:00"/>
    <x v="63"/>
    <n v="5053369291"/>
    <s v="MNAVARROM  "/>
    <x v="1"/>
    <x v="4"/>
    <x v="25"/>
    <d v="2024-12-04T00:00:00"/>
    <x v="0"/>
    <x v="0"/>
  </r>
  <r>
    <s v="Agricola del Chira PlantaLa Huaca844106451157093230"/>
    <x v="0"/>
    <s v="La Huaca"/>
    <x v="78"/>
    <x v="78"/>
    <x v="13"/>
    <x v="1"/>
    <n v="101"/>
    <n v="30"/>
    <x v="54"/>
    <d v="2024-12-02T00:00:00"/>
    <x v="64"/>
    <n v="5053357513"/>
    <s v="MNAVARROM  "/>
    <x v="1"/>
    <x v="4"/>
    <x v="8"/>
    <d v="2024-12-02T00:00:0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_Dinamica_Resumen_Ingresos" cacheId="727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6" indent="0" compact="0" compactData="0" multipleFieldFilters="0">
  <location ref="A3:L95" firstHeaderRow="1" firstDataRow="1" firstDataCol="11"/>
  <pivotFields count="20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m="1"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353">
        <item m="1" x="1045"/>
        <item m="1" x="1046"/>
        <item m="1" x="527"/>
        <item m="1" x="81"/>
        <item m="1" x="175"/>
        <item m="1" x="501"/>
        <item m="1" x="148"/>
        <item m="1" x="428"/>
        <item m="1" x="599"/>
        <item m="1" x="1237"/>
        <item m="1" x="1277"/>
        <item m="1" x="234"/>
        <item m="1" x="1155"/>
        <item m="1" x="429"/>
        <item m="1" x="528"/>
        <item m="1" x="235"/>
        <item m="1" x="196"/>
        <item m="1" x="785"/>
        <item m="1" x="529"/>
        <item m="1" x="750"/>
        <item m="1" x="600"/>
        <item m="1" x="841"/>
        <item m="1" x="1047"/>
        <item m="1" x="601"/>
        <item m="1" x="842"/>
        <item m="1" x="430"/>
        <item m="1" x="1278"/>
        <item m="1" x="1326"/>
        <item m="1" x="1327"/>
        <item m="1" x="236"/>
        <item m="1" x="602"/>
        <item m="1" x="197"/>
        <item m="1" x="198"/>
        <item m="1" x="158"/>
        <item m="1" x="199"/>
        <item m="1" x="786"/>
        <item m="1" x="1279"/>
        <item m="1" x="1156"/>
        <item m="1" x="751"/>
        <item m="1" x="843"/>
        <item m="1" x="946"/>
        <item m="1" x="947"/>
        <item m="1" x="844"/>
        <item m="1" x="948"/>
        <item m="1" x="949"/>
        <item m="1" x="950"/>
        <item m="1" x="951"/>
        <item m="1" x="952"/>
        <item m="1" x="953"/>
        <item m="1" x="845"/>
        <item m="1" x="954"/>
        <item m="1" x="846"/>
        <item x="0"/>
        <item m="1" x="121"/>
        <item m="1" x="955"/>
        <item m="1" x="237"/>
        <item m="1" x="238"/>
        <item m="1" x="847"/>
        <item m="1" x="1328"/>
        <item m="1" x="115"/>
        <item m="1" x="431"/>
        <item m="1" x="83"/>
        <item m="1" x="149"/>
        <item m="1" x="132"/>
        <item m="1" x="848"/>
        <item m="1" x="239"/>
        <item m="1" x="240"/>
        <item m="1" x="432"/>
        <item m="1" x="433"/>
        <item m="1" x="849"/>
        <item m="1" x="179"/>
        <item m="1" x="530"/>
        <item m="1" x="787"/>
        <item m="1" x="731"/>
        <item m="1" x="707"/>
        <item m="1" x="116"/>
        <item m="1" x="434"/>
        <item m="1" x="241"/>
        <item m="1" x="1350"/>
        <item m="1" x="1320"/>
        <item m="1" x="435"/>
        <item m="1" x="1238"/>
        <item m="1" x="1048"/>
        <item m="1" x="1085"/>
        <item m="1" x="724"/>
        <item m="1" x="242"/>
        <item x="76"/>
        <item x="77"/>
        <item m="1" x="502"/>
        <item m="1" x="1239"/>
        <item m="1" x="788"/>
        <item m="1" x="789"/>
        <item m="1" x="531"/>
        <item m="1" x="850"/>
        <item m="1" x="1240"/>
        <item m="1" x="851"/>
        <item m="1" x="956"/>
        <item m="1" x="957"/>
        <item m="1" x="150"/>
        <item m="1" x="436"/>
        <item m="1" x="958"/>
        <item m="1" x="503"/>
        <item m="1" x="504"/>
        <item m="1" x="243"/>
        <item m="1" x="732"/>
        <item m="1" x="790"/>
        <item m="1" x="244"/>
        <item m="1" x="852"/>
        <item m="1" x="245"/>
        <item m="1" x="1329"/>
        <item m="1" x="603"/>
        <item m="1" x="1324"/>
        <item m="1" x="733"/>
        <item x="45"/>
        <item m="1" x="604"/>
        <item m="1" x="1330"/>
        <item m="1" x="1157"/>
        <item m="1" x="437"/>
        <item m="1" x="1331"/>
        <item m="1" x="505"/>
        <item m="1" x="133"/>
        <item m="1" x="1332"/>
        <item m="1" x="959"/>
        <item x="61"/>
        <item m="1" x="246"/>
        <item x="36"/>
        <item m="1" x="605"/>
        <item m="1" x="853"/>
        <item m="1" x="960"/>
        <item m="1" x="532"/>
        <item m="1" x="191"/>
        <item m="1" x="192"/>
        <item m="1" x="752"/>
        <item m="1" x="1263"/>
        <item m="1" x="961"/>
        <item x="30"/>
        <item x="69"/>
        <item m="1" x="854"/>
        <item m="1" x="247"/>
        <item m="1" x="1280"/>
        <item m="1" x="533"/>
        <item m="1" x="606"/>
        <item m="1" x="753"/>
        <item m="1" x="962"/>
        <item m="1" x="607"/>
        <item m="1" x="88"/>
        <item m="1" x="438"/>
        <item m="1" x="439"/>
        <item m="1" x="123"/>
        <item m="1" x="506"/>
        <item m="1" x="79"/>
        <item m="1" x="248"/>
        <item m="1" x="180"/>
        <item m="1" x="181"/>
        <item x="31"/>
        <item m="1" x="415"/>
        <item m="1" x="1086"/>
        <item m="1" x="608"/>
        <item m="1" x="1158"/>
        <item m="1" x="855"/>
        <item m="1" x="856"/>
        <item m="1" x="857"/>
        <item m="1" x="1087"/>
        <item m="1" x="507"/>
        <item m="1" x="508"/>
        <item m="1" x="209"/>
        <item m="1" x="110"/>
        <item m="1" x="1241"/>
        <item m="1" x="216"/>
        <item m="1" x="609"/>
        <item x="70"/>
        <item m="1" x="139"/>
        <item m="1" x="117"/>
        <item m="1" x="176"/>
        <item m="1" x="791"/>
        <item m="1" x="1281"/>
        <item m="1" x="858"/>
        <item m="1" x="1321"/>
        <item m="1" x="734"/>
        <item m="1" x="140"/>
        <item m="1" x="440"/>
        <item m="1" x="963"/>
        <item m="1" x="964"/>
        <item m="1" x="859"/>
        <item m="1" x="195"/>
        <item m="1" x="441"/>
        <item m="1" x="965"/>
        <item m="1" x="705"/>
        <item m="1" x="610"/>
        <item m="1" x="966"/>
        <item m="1" x="708"/>
        <item m="1" x="967"/>
        <item m="1" x="1088"/>
        <item m="1" x="860"/>
        <item m="1" x="217"/>
        <item m="1" x="1347"/>
        <item m="1" x="861"/>
        <item m="1" x="611"/>
        <item m="1" x="862"/>
        <item m="1" x="1242"/>
        <item m="1" x="863"/>
        <item m="1" x="1089"/>
        <item m="1" x="249"/>
        <item m="1" x="143"/>
        <item m="1" x="792"/>
        <item m="1" x="1090"/>
        <item m="1" x="968"/>
        <item m="1" x="250"/>
        <item m="1" x="251"/>
        <item m="1" x="612"/>
        <item m="1" x="613"/>
        <item m="1" x="969"/>
        <item m="1" x="442"/>
        <item m="1" x="614"/>
        <item m="1" x="1282"/>
        <item m="1" x="864"/>
        <item m="1" x="615"/>
        <item m="1" x="443"/>
        <item m="1" x="1333"/>
        <item m="1" x="616"/>
        <item m="1" x="252"/>
        <item m="1" x="725"/>
        <item m="1" x="617"/>
        <item m="1" x="793"/>
        <item m="1" x="1334"/>
        <item m="1" x="444"/>
        <item m="1" x="534"/>
        <item m="1" x="535"/>
        <item m="1" x="445"/>
        <item m="1" x="970"/>
        <item m="1" x="446"/>
        <item m="1" x="159"/>
        <item m="1" x="618"/>
        <item m="1" x="1283"/>
        <item m="1" x="1284"/>
        <item m="1" x="177"/>
        <item m="1" x="1285"/>
        <item m="1" x="735"/>
        <item m="1" x="253"/>
        <item m="1" x="794"/>
        <item m="1" x="254"/>
        <item m="1" x="509"/>
        <item m="1" x="255"/>
        <item m="1" x="619"/>
        <item m="1" x="971"/>
        <item m="1" x="218"/>
        <item m="1" x="1091"/>
        <item m="1" x="85"/>
        <item m="1" x="86"/>
        <item m="1" x="972"/>
        <item m="1" x="536"/>
        <item m="1" x="447"/>
        <item m="1" x="219"/>
        <item m="1" x="416"/>
        <item x="19"/>
        <item m="1" x="754"/>
        <item m="1" x="755"/>
        <item m="1" x="537"/>
        <item m="1" x="745"/>
        <item m="1" x="973"/>
        <item m="1" x="974"/>
        <item m="1" x="975"/>
        <item m="1" x="976"/>
        <item m="1" x="710"/>
        <item x="9"/>
        <item m="1" x="1092"/>
        <item m="1" x="510"/>
        <item m="1" x="538"/>
        <item m="1" x="795"/>
        <item m="1" x="539"/>
        <item m="1" x="256"/>
        <item m="1" x="257"/>
        <item m="1" x="715"/>
        <item m="1" x="977"/>
        <item m="1" x="716"/>
        <item m="1" x="540"/>
        <item m="1" x="111"/>
        <item m="1" x="152"/>
        <item m="1" x="448"/>
        <item m="1" x="417"/>
        <item m="1" x="541"/>
        <item m="1" x="722"/>
        <item m="1" x="449"/>
        <item m="1" x="511"/>
        <item m="1" x="796"/>
        <item m="1" x="450"/>
        <item m="1" x="797"/>
        <item m="1" x="620"/>
        <item x="46"/>
        <item x="37"/>
        <item m="1" x="756"/>
        <item m="1" x="757"/>
        <item m="1" x="621"/>
        <item m="1" x="258"/>
        <item m="1" x="259"/>
        <item m="1" x="1093"/>
        <item m="1" x="220"/>
        <item m="1" x="1286"/>
        <item m="1" x="865"/>
        <item m="1" x="260"/>
        <item m="1" x="1094"/>
        <item m="1" x="451"/>
        <item m="1" x="452"/>
        <item m="1" x="453"/>
        <item m="1" x="454"/>
        <item m="1" x="978"/>
        <item m="1" x="1049"/>
        <item m="1" x="261"/>
        <item m="1" x="455"/>
        <item m="1" x="717"/>
        <item m="1" x="418"/>
        <item m="1" x="262"/>
        <item m="1" x="979"/>
        <item m="1" x="263"/>
        <item m="1" x="264"/>
        <item m="1" x="265"/>
        <item m="1" x="266"/>
        <item m="1" x="542"/>
        <item m="1" x="206"/>
        <item m="1" x="798"/>
        <item m="1" x="980"/>
        <item m="1" x="1159"/>
        <item x="2"/>
        <item m="1" x="543"/>
        <item m="1" x="267"/>
        <item m="1" x="221"/>
        <item m="1" x="1287"/>
        <item m="1" x="799"/>
        <item m="1" x="1243"/>
        <item m="1" x="268"/>
        <item m="1" x="456"/>
        <item m="1" x="1288"/>
        <item m="1" x="124"/>
        <item m="1" x="981"/>
        <item m="1" x="982"/>
        <item m="1" x="983"/>
        <item m="1" x="207"/>
        <item m="1" x="984"/>
        <item m="1" x="985"/>
        <item m="1" x="1050"/>
        <item m="1" x="269"/>
        <item m="1" x="758"/>
        <item m="1" x="986"/>
        <item m="1" x="800"/>
        <item m="1" x="801"/>
        <item m="1" x="866"/>
        <item m="1" x="270"/>
        <item m="1" x="622"/>
        <item m="1" x="271"/>
        <item m="1" x="987"/>
        <item m="1" x="988"/>
        <item m="1" x="272"/>
        <item m="1" x="164"/>
        <item m="1" x="273"/>
        <item m="1" x="201"/>
        <item m="1" x="1244"/>
        <item m="1" x="134"/>
        <item m="1" x="1335"/>
        <item m="1" x="135"/>
        <item m="1" x="165"/>
        <item m="1" x="989"/>
        <item m="1" x="990"/>
        <item m="1" x="544"/>
        <item m="1" x="1051"/>
        <item m="1" x="512"/>
        <item m="1" x="222"/>
        <item m="1" x="867"/>
        <item m="1" x="274"/>
        <item m="1" x="623"/>
        <item m="1" x="802"/>
        <item m="1" x="275"/>
        <item m="1" x="1095"/>
        <item m="1" x="276"/>
        <item m="1" x="166"/>
        <item m="1" x="277"/>
        <item m="1" x="868"/>
        <item m="1" x="278"/>
        <item m="1" x="1096"/>
        <item m="1" x="279"/>
        <item m="1" x="112"/>
        <item m="1" x="210"/>
        <item m="1" x="513"/>
        <item m="1" x="803"/>
        <item m="1" x="109"/>
        <item m="1" x="869"/>
        <item m="1" x="146"/>
        <item m="1" x="223"/>
        <item m="1" x="107"/>
        <item m="1" x="84"/>
        <item m="1" x="280"/>
        <item m="1" x="214"/>
        <item m="1" x="991"/>
        <item m="1" x="281"/>
        <item m="1" x="457"/>
        <item m="1" x="282"/>
        <item m="1" x="283"/>
        <item m="1" x="284"/>
        <item m="1" x="1052"/>
        <item m="1" x="992"/>
        <item m="1" x="759"/>
        <item m="1" x="545"/>
        <item m="1" x="1053"/>
        <item m="1" x="285"/>
        <item m="1" x="546"/>
        <item m="1" x="286"/>
        <item m="1" x="870"/>
        <item m="1" x="1245"/>
        <item m="1" x="547"/>
        <item m="1" x="287"/>
        <item m="1" x="1097"/>
        <item m="1" x="167"/>
        <item m="1" x="288"/>
        <item m="1" x="289"/>
        <item m="1" x="290"/>
        <item m="1" x="291"/>
        <item m="1" x="292"/>
        <item m="1" x="933"/>
        <item m="1" x="993"/>
        <item m="1" x="994"/>
        <item m="1" x="1098"/>
        <item m="1" x="871"/>
        <item m="1" x="872"/>
        <item m="1" x="995"/>
        <item m="1" x="996"/>
        <item m="1" x="997"/>
        <item m="1" x="1099"/>
        <item m="1" x="998"/>
        <item m="1" x="999"/>
        <item m="1" x="1000"/>
        <item m="1" x="293"/>
        <item m="1" x="294"/>
        <item m="1" x="458"/>
        <item m="1" x="1100"/>
        <item m="1" x="624"/>
        <item m="1" x="625"/>
        <item m="1" x="224"/>
        <item m="1" x="1344"/>
        <item m="1" x="1289"/>
        <item m="1" x="873"/>
        <item x="78"/>
        <item m="1" x="1290"/>
        <item m="1" x="1291"/>
        <item m="1" x="1292"/>
        <item m="1" x="736"/>
        <item m="1" x="1246"/>
        <item m="1" x="295"/>
        <item m="1" x="1101"/>
        <item m="1" x="296"/>
        <item m="1" x="297"/>
        <item m="1" x="1102"/>
        <item m="1" x="298"/>
        <item m="1" x="299"/>
        <item m="1" x="300"/>
        <item m="1" x="1103"/>
        <item m="1" x="301"/>
        <item m="1" x="302"/>
        <item m="1" x="548"/>
        <item m="1" x="303"/>
        <item m="1" x="304"/>
        <item m="1" x="1001"/>
        <item m="1" x="1002"/>
        <item m="1" x="1003"/>
        <item m="1" x="1293"/>
        <item m="1" x="1004"/>
        <item m="1" x="1005"/>
        <item m="1" x="874"/>
        <item m="1" x="168"/>
        <item m="1" x="419"/>
        <item m="1" x="549"/>
        <item m="1" x="550"/>
        <item m="1" x="182"/>
        <item m="1" x="203"/>
        <item m="1" x="551"/>
        <item m="1" x="1264"/>
        <item m="1" x="552"/>
        <item m="1" x="459"/>
        <item m="1" x="305"/>
        <item m="1" x="1104"/>
        <item m="1" x="1105"/>
        <item m="1" x="306"/>
        <item m="1" x="80"/>
        <item m="1" x="804"/>
        <item m="1" x="307"/>
        <item m="1" x="805"/>
        <item m="1" x="726"/>
        <item m="1" x="460"/>
        <item m="1" x="1006"/>
        <item m="1" x="308"/>
        <item x="32"/>
        <item m="1" x="309"/>
        <item m="1" x="1054"/>
        <item m="1" x="1007"/>
        <item m="1" x="1008"/>
        <item m="1" x="553"/>
        <item m="1" x="711"/>
        <item m="1" x="1106"/>
        <item m="1" x="806"/>
        <item m="1" x="1107"/>
        <item m="1" x="1265"/>
        <item m="1" x="1009"/>
        <item m="1" x="554"/>
        <item m="1" x="514"/>
        <item m="1" x="515"/>
        <item m="1" x="516"/>
        <item m="1" x="1325"/>
        <item m="1" x="555"/>
        <item m="1" x="1294"/>
        <item m="1" x="310"/>
        <item m="1" x="556"/>
        <item m="1" x="746"/>
        <item m="1" x="557"/>
        <item m="1" x="1295"/>
        <item m="1" x="558"/>
        <item m="1" x="875"/>
        <item m="1" x="876"/>
        <item m="1" x="877"/>
        <item m="1" x="311"/>
        <item m="1" x="878"/>
        <item m="1" x="807"/>
        <item m="1" x="1108"/>
        <item m="1" x="760"/>
        <item m="1" x="761"/>
        <item m="1" x="762"/>
        <item m="1" x="808"/>
        <item m="1" x="1010"/>
        <item m="1" x="136"/>
        <item m="1" x="137"/>
        <item m="1" x="763"/>
        <item m="1" x="312"/>
        <item m="1" x="879"/>
        <item m="1" x="559"/>
        <item m="1" x="880"/>
        <item m="1" x="626"/>
        <item m="1" x="881"/>
        <item m="1" x="882"/>
        <item m="1" x="809"/>
        <item m="1" x="420"/>
        <item m="1" x="727"/>
        <item m="1" x="1109"/>
        <item m="1" x="1110"/>
        <item m="1" x="1011"/>
        <item m="1" x="883"/>
        <item m="1" x="627"/>
        <item m="1" x="313"/>
        <item m="1" x="628"/>
        <item m="1" x="560"/>
        <item m="1" x="629"/>
        <item m="1" x="630"/>
        <item m="1" x="517"/>
        <item m="1" x="810"/>
        <item m="1" x="461"/>
        <item x="27"/>
        <item m="1" x="631"/>
        <item m="1" x="1266"/>
        <item m="1" x="561"/>
        <item m="1" x="884"/>
        <item m="1" x="632"/>
        <item m="1" x="633"/>
        <item x="20"/>
        <item m="1" x="314"/>
        <item x="7"/>
        <item m="1" x="1111"/>
        <item m="1" x="1055"/>
        <item m="1" x="1056"/>
        <item m="1" x="1112"/>
        <item m="1" x="315"/>
        <item m="1" x="1057"/>
        <item m="1" x="885"/>
        <item m="1" x="1296"/>
        <item m="1" x="1113"/>
        <item m="1" x="886"/>
        <item m="1" x="1114"/>
        <item m="1" x="316"/>
        <item m="1" x="1115"/>
        <item m="1" x="1116"/>
        <item m="1" x="1012"/>
        <item m="1" x="811"/>
        <item x="21"/>
        <item m="1" x="138"/>
        <item m="1" x="317"/>
        <item m="1" x="318"/>
        <item m="1" x="319"/>
        <item m="1" x="812"/>
        <item x="74"/>
        <item m="1" x="1349"/>
        <item m="1" x="1160"/>
        <item m="1" x="764"/>
        <item m="1" x="1336"/>
        <item m="1" x="562"/>
        <item m="1" x="634"/>
        <item m="1" x="635"/>
        <item m="1" x="765"/>
        <item m="1" x="766"/>
        <item m="1" x="1058"/>
        <item m="1" x="563"/>
        <item m="1" x="147"/>
        <item m="1" x="1117"/>
        <item m="1" x="320"/>
        <item m="1" x="767"/>
        <item m="1" x="1297"/>
        <item m="1" x="1298"/>
        <item m="1" x="1013"/>
        <item m="1" x="462"/>
        <item m="1" x="463"/>
        <item m="1" x="1081"/>
        <item m="1" x="193"/>
        <item m="1" x="1118"/>
        <item m="1" x="887"/>
        <item m="1" x="888"/>
        <item m="1" x="813"/>
        <item m="1" x="768"/>
        <item m="1" x="518"/>
        <item m="1" x="889"/>
        <item m="1" x="464"/>
        <item m="1" x="564"/>
        <item m="1" x="769"/>
        <item x="10"/>
        <item x="11"/>
        <item m="1" x="890"/>
        <item m="1" x="565"/>
        <item m="1" x="1119"/>
        <item m="1" x="566"/>
        <item m="1" x="770"/>
        <item m="1" x="1299"/>
        <item m="1" x="891"/>
        <item m="1" x="892"/>
        <item m="1" x="1120"/>
        <item m="1" x="321"/>
        <item m="1" x="814"/>
        <item m="1" x="815"/>
        <item m="1" x="1014"/>
        <item m="1" x="816"/>
        <item m="1" x="322"/>
        <item m="1" x="421"/>
        <item m="1" x="465"/>
        <item m="1" x="1267"/>
        <item x="12"/>
        <item m="1" x="1015"/>
        <item m="1" x="466"/>
        <item m="1" x="1300"/>
        <item m="1" x="893"/>
        <item m="1" x="817"/>
        <item m="1" x="1247"/>
        <item m="1" x="636"/>
        <item m="1" x="1345"/>
        <item m="1" x="323"/>
        <item m="1" x="324"/>
        <item m="1" x="894"/>
        <item m="1" x="467"/>
        <item m="1" x="1121"/>
        <item m="1" x="567"/>
        <item m="1" x="519"/>
        <item m="1" x="520"/>
        <item m="1" x="1059"/>
        <item m="1" x="468"/>
        <item m="1" x="895"/>
        <item m="1" x="637"/>
        <item m="1" x="568"/>
        <item m="1" x="569"/>
        <item m="1" x="896"/>
        <item m="1" x="1301"/>
        <item m="1" x="521"/>
        <item m="1" x="1016"/>
        <item m="1" x="737"/>
        <item x="13"/>
        <item x="14"/>
        <item m="1" x="469"/>
        <item m="1" x="325"/>
        <item m="1" x="326"/>
        <item m="1" x="1017"/>
        <item m="1" x="1268"/>
        <item x="41"/>
        <item m="1" x="818"/>
        <item x="42"/>
        <item x="43"/>
        <item x="63"/>
        <item m="1" x="1269"/>
        <item m="1" x="327"/>
        <item m="1" x="771"/>
        <item m="1" x="897"/>
        <item m="1" x="898"/>
        <item m="1" x="89"/>
        <item m="1" x="125"/>
        <item m="1" x="213"/>
        <item m="1" x="470"/>
        <item m="1" x="723"/>
        <item m="1" x="1018"/>
        <item m="1" x="328"/>
        <item m="1" x="899"/>
        <item m="1" x="329"/>
        <item m="1" x="638"/>
        <item m="1" x="1060"/>
        <item m="1" x="194"/>
        <item m="1" x="1122"/>
        <item m="1" x="160"/>
        <item m="1" x="330"/>
        <item m="1" x="522"/>
        <item m="1" x="331"/>
        <item m="1" x="332"/>
        <item m="1" x="639"/>
        <item m="1" x="333"/>
        <item m="1" x="204"/>
        <item m="1" x="1123"/>
        <item m="1" x="819"/>
        <item m="1" x="820"/>
        <item m="1" x="1124"/>
        <item m="1" x="1125"/>
        <item m="1" x="738"/>
        <item m="1" x="900"/>
        <item x="25"/>
        <item x="47"/>
        <item x="48"/>
        <item x="54"/>
        <item x="28"/>
        <item m="1" x="1019"/>
        <item m="1" x="570"/>
        <item m="1" x="1020"/>
        <item x="33"/>
        <item x="62"/>
        <item m="1" x="1126"/>
        <item m="1" x="571"/>
        <item x="26"/>
        <item m="1" x="334"/>
        <item m="1" x="640"/>
        <item m="1" x="641"/>
        <item m="1" x="642"/>
        <item m="1" x="643"/>
        <item m="1" x="644"/>
        <item m="1" x="645"/>
        <item m="1" x="335"/>
        <item m="1" x="336"/>
        <item m="1" x="901"/>
        <item m="1" x="337"/>
        <item m="1" x="338"/>
        <item m="1" x="339"/>
        <item m="1" x="902"/>
        <item m="1" x="340"/>
        <item m="1" x="113"/>
        <item m="1" x="341"/>
        <item m="1" x="342"/>
        <item m="1" x="343"/>
        <item m="1" x="1337"/>
        <item m="1" x="1021"/>
        <item m="1" x="646"/>
        <item m="1" x="344"/>
        <item m="1" x="1022"/>
        <item m="1" x="1270"/>
        <item m="1" x="1348"/>
        <item m="1" x="345"/>
        <item m="1" x="1127"/>
        <item m="1" x="471"/>
        <item m="1" x="346"/>
        <item m="1" x="205"/>
        <item m="1" x="1128"/>
        <item m="1" x="347"/>
        <item x="75"/>
        <item m="1" x="348"/>
        <item m="1" x="1023"/>
        <item m="1" x="1024"/>
        <item m="1" x="1025"/>
        <item m="1" x="472"/>
        <item m="1" x="225"/>
        <item m="1" x="141"/>
        <item m="1" x="903"/>
        <item m="1" x="349"/>
        <item m="1" x="350"/>
        <item m="1" x="473"/>
        <item m="1" x="1026"/>
        <item m="1" x="351"/>
        <item m="1" x="821"/>
        <item m="1" x="1338"/>
        <item m="1" x="352"/>
        <item m="1" x="353"/>
        <item m="1" x="163"/>
        <item m="1" x="171"/>
        <item m="1" x="354"/>
        <item m="1" x="1339"/>
        <item m="1" x="706"/>
        <item m="1" x="572"/>
        <item m="1" x="934"/>
        <item m="1" x="1129"/>
        <item x="15"/>
        <item m="1" x="190"/>
        <item m="1" x="647"/>
        <item m="1" x="904"/>
        <item m="1" x="183"/>
        <item m="1" x="1027"/>
        <item m="1" x="905"/>
        <item x="49"/>
        <item m="1" x="648"/>
        <item m="1" x="355"/>
        <item m="1" x="573"/>
        <item m="1" x="1130"/>
        <item m="1" x="822"/>
        <item m="1" x="356"/>
        <item m="1" x="1083"/>
        <item m="1" x="474"/>
        <item m="1" x="475"/>
        <item m="1" x="357"/>
        <item m="1" x="358"/>
        <item m="1" x="906"/>
        <item m="1" x="359"/>
        <item m="1" x="772"/>
        <item m="1" x="360"/>
        <item m="1" x="361"/>
        <item m="1" x="362"/>
        <item m="1" x="233"/>
        <item m="1" x="363"/>
        <item m="1" x="1248"/>
        <item m="1" x="476"/>
        <item m="1" x="907"/>
        <item m="1" x="1131"/>
        <item m="1" x="574"/>
        <item m="1" x="1132"/>
        <item m="1" x="823"/>
        <item m="1" x="364"/>
        <item m="1" x="747"/>
        <item m="1" x="908"/>
        <item m="1" x="365"/>
        <item m="1" x="1061"/>
        <item m="1" x="366"/>
        <item m="1" x="649"/>
        <item m="1" x="118"/>
        <item m="1" x="422"/>
        <item m="1" x="423"/>
        <item m="1" x="424"/>
        <item m="1" x="909"/>
        <item m="1" x="910"/>
        <item m="1" x="114"/>
        <item m="1" x="1249"/>
        <item m="1" x="367"/>
        <item m="1" x="368"/>
        <item m="1" x="1250"/>
        <item m="1" x="773"/>
        <item m="1" x="477"/>
        <item m="1" x="478"/>
        <item m="1" x="479"/>
        <item m="1" x="480"/>
        <item m="1" x="481"/>
        <item m="1" x="1322"/>
        <item m="1" x="1161"/>
        <item m="1" x="523"/>
        <item m="1" x="739"/>
        <item m="1" x="369"/>
        <item m="1" x="911"/>
        <item m="1" x="1251"/>
        <item m="1" x="650"/>
        <item m="1" x="370"/>
        <item m="1" x="482"/>
        <item m="1" x="226"/>
        <item m="1" x="1082"/>
        <item m="1" x="483"/>
        <item m="1" x="912"/>
        <item m="1" x="153"/>
        <item m="1" x="1133"/>
        <item m="1" x="1134"/>
        <item m="1" x="1346"/>
        <item m="1" x="1135"/>
        <item m="1" x="1302"/>
        <item m="1" x="211"/>
        <item m="1" x="126"/>
        <item m="1" x="1271"/>
        <item m="1" x="484"/>
        <item m="1" x="740"/>
        <item m="1" x="371"/>
        <item m="1" x="774"/>
        <item m="1" x="824"/>
        <item m="1" x="1136"/>
        <item m="1" x="575"/>
        <item m="1" x="1303"/>
        <item m="1" x="1252"/>
        <item m="1" x="651"/>
        <item m="1" x="652"/>
        <item m="1" x="485"/>
        <item m="1" x="1304"/>
        <item m="1" x="174"/>
        <item m="1" x="372"/>
        <item m="1" x="1253"/>
        <item m="1" x="373"/>
        <item m="1" x="1137"/>
        <item m="1" x="775"/>
        <item m="1" x="1352"/>
        <item m="1" x="1305"/>
        <item m="1" x="1028"/>
        <item m="1" x="913"/>
        <item m="1" x="486"/>
        <item x="34"/>
        <item m="1" x="914"/>
        <item m="1" x="374"/>
        <item x="38"/>
        <item m="1" x="915"/>
        <item m="1" x="728"/>
        <item m="1" x="916"/>
        <item m="1" x="184"/>
        <item m="1" x="185"/>
        <item m="1" x="1162"/>
        <item m="1" x="1306"/>
        <item m="1" x="375"/>
        <item m="1" x="1307"/>
        <item m="1" x="653"/>
        <item m="1" x="776"/>
        <item m="1" x="1163"/>
        <item m="1" x="1340"/>
        <item m="1" x="1029"/>
        <item m="1" x="576"/>
        <item m="1" x="917"/>
        <item m="1" x="376"/>
        <item m="1" x="487"/>
        <item m="1" x="654"/>
        <item m="1" x="918"/>
        <item m="1" x="377"/>
        <item x="50"/>
        <item m="1" x="919"/>
        <item m="1" x="488"/>
        <item m="1" x="489"/>
        <item x="60"/>
        <item m="1" x="378"/>
        <item m="1" x="227"/>
        <item m="1" x="655"/>
        <item m="1" x="656"/>
        <item m="1" x="151"/>
        <item m="1" x="777"/>
        <item m="1" x="709"/>
        <item x="51"/>
        <item m="1" x="577"/>
        <item m="1" x="1272"/>
        <item m="1" x="82"/>
        <item m="1" x="379"/>
        <item m="1" x="380"/>
        <item x="44"/>
        <item m="1" x="119"/>
        <item m="1" x="1138"/>
        <item m="1" x="215"/>
        <item m="1" x="1254"/>
        <item m="1" x="381"/>
        <item m="1" x="825"/>
        <item m="1" x="578"/>
        <item m="1" x="382"/>
        <item m="1" x="1164"/>
        <item m="1" x="425"/>
        <item m="1" x="90"/>
        <item m="1" x="383"/>
        <item m="1" x="920"/>
        <item m="1" x="384"/>
        <item m="1" x="385"/>
        <item m="1" x="386"/>
        <item m="1" x="778"/>
        <item m="1" x="579"/>
        <item x="16"/>
        <item x="57"/>
        <item x="39"/>
        <item x="40"/>
        <item x="64"/>
        <item x="65"/>
        <item m="1" x="490"/>
        <item m="1" x="580"/>
        <item m="1" x="387"/>
        <item m="1" x="388"/>
        <item m="1" x="703"/>
        <item m="1" x="657"/>
        <item m="1" x="491"/>
        <item m="1" x="658"/>
        <item m="1" x="581"/>
        <item m="1" x="1139"/>
        <item m="1" x="826"/>
        <item m="1" x="161"/>
        <item m="1" x="127"/>
        <item m="1" x="582"/>
        <item m="1" x="921"/>
        <item m="1" x="1308"/>
        <item m="1" x="128"/>
        <item x="3"/>
        <item m="1" x="729"/>
        <item x="4"/>
        <item m="1" x="492"/>
        <item m="1" x="1140"/>
        <item m="1" x="827"/>
        <item m="1" x="1141"/>
        <item m="1" x="228"/>
        <item m="1" x="583"/>
        <item m="1" x="389"/>
        <item m="1" x="1142"/>
        <item m="1" x="1030"/>
        <item m="1" x="1309"/>
        <item m="1" x="493"/>
        <item m="1" x="91"/>
        <item m="1" x="92"/>
        <item m="1" x="144"/>
        <item m="1" x="93"/>
        <item m="1" x="94"/>
        <item m="1" x="95"/>
        <item m="1" x="1310"/>
        <item m="1" x="1341"/>
        <item m="1" x="96"/>
        <item m="1" x="97"/>
        <item m="1" x="98"/>
        <item m="1" x="584"/>
        <item m="1" x="390"/>
        <item m="1" x="1255"/>
        <item m="1" x="1031"/>
        <item m="1" x="122"/>
        <item m="1" x="129"/>
        <item m="1" x="1062"/>
        <item m="1" x="1342"/>
        <item x="6"/>
        <item m="1" x="229"/>
        <item m="1" x="1311"/>
        <item m="1" x="172"/>
        <item m="1" x="1273"/>
        <item m="1" x="659"/>
        <item m="1" x="186"/>
        <item m="1" x="1143"/>
        <item m="1" x="391"/>
        <item m="1" x="828"/>
        <item m="1" x="392"/>
        <item x="66"/>
        <item m="1" x="660"/>
        <item m="1" x="829"/>
        <item m="1" x="830"/>
        <item m="1" x="831"/>
        <item m="1" x="832"/>
        <item m="1" x="1256"/>
        <item m="1" x="1257"/>
        <item m="1" x="1343"/>
        <item m="1" x="1144"/>
        <item m="1" x="208"/>
        <item m="1" x="585"/>
        <item m="1" x="1063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192"/>
        <item m="1" x="1193"/>
        <item m="1" x="1194"/>
        <item m="1" x="1032"/>
        <item m="1" x="1195"/>
        <item m="1" x="1033"/>
        <item m="1" x="1034"/>
        <item m="1" x="1035"/>
        <item m="1" x="935"/>
        <item m="1" x="936"/>
        <item m="1" x="1036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202"/>
        <item m="1" x="922"/>
        <item m="1" x="1064"/>
        <item m="1" x="923"/>
        <item m="1" x="1145"/>
        <item m="1" x="169"/>
        <item m="1" x="393"/>
        <item m="1" x="394"/>
        <item m="1" x="200"/>
        <item m="1" x="99"/>
        <item m="1" x="779"/>
        <item m="1" x="494"/>
        <item m="1" x="924"/>
        <item m="1" x="524"/>
        <item m="1" x="525"/>
        <item m="1" x="925"/>
        <item m="1" x="100"/>
        <item m="1" x="833"/>
        <item m="1" x="586"/>
        <item m="1" x="1037"/>
        <item m="1" x="661"/>
        <item m="1" x="495"/>
        <item m="1" x="662"/>
        <item m="1" x="395"/>
        <item x="53"/>
        <item m="1" x="834"/>
        <item m="1" x="396"/>
        <item m="1" x="397"/>
        <item m="1" x="926"/>
        <item m="1" x="587"/>
        <item m="1" x="398"/>
        <item m="1" x="399"/>
        <item m="1" x="400"/>
        <item x="67"/>
        <item m="1" x="230"/>
        <item x="55"/>
        <item x="1"/>
        <item m="1" x="1219"/>
        <item m="1" x="1220"/>
        <item m="1" x="1221"/>
        <item m="1" x="1222"/>
        <item m="1" x="173"/>
        <item m="1" x="178"/>
        <item m="1" x="1312"/>
        <item m="1" x="1351"/>
        <item m="1" x="588"/>
        <item m="1" x="526"/>
        <item m="1" x="1146"/>
        <item m="1" x="663"/>
        <item m="1" x="927"/>
        <item m="1" x="188"/>
        <item m="1" x="937"/>
        <item m="1" x="401"/>
        <item m="1" x="780"/>
        <item m="1" x="189"/>
        <item x="58"/>
        <item m="1" x="938"/>
        <item m="1" x="212"/>
        <item m="1" x="928"/>
        <item m="1" x="101"/>
        <item m="1" x="102"/>
        <item m="1" x="1274"/>
        <item m="1" x="103"/>
        <item m="1" x="104"/>
        <item m="1" x="105"/>
        <item m="1" x="402"/>
        <item m="1" x="403"/>
        <item m="1" x="835"/>
        <item m="1" x="404"/>
        <item m="1" x="1147"/>
        <item m="1" x="1148"/>
        <item m="1" x="1223"/>
        <item m="1" x="1224"/>
        <item m="1" x="1225"/>
        <item m="1" x="1226"/>
        <item m="1" x="1227"/>
        <item m="1" x="1228"/>
        <item m="1" x="1229"/>
        <item m="1" x="1230"/>
        <item m="1" x="939"/>
        <item m="1" x="1231"/>
        <item x="56"/>
        <item m="1" x="1232"/>
        <item m="1" x="120"/>
        <item x="35"/>
        <item m="1" x="1258"/>
        <item m="1" x="1149"/>
        <item m="1" x="664"/>
        <item m="1" x="836"/>
        <item m="1" x="87"/>
        <item m="1" x="496"/>
        <item m="1" x="598"/>
        <item x="8"/>
        <item m="1" x="837"/>
        <item m="1" x="108"/>
        <item m="1" x="1150"/>
        <item m="1" x="589"/>
        <item m="1" x="405"/>
        <item m="1" x="590"/>
        <item m="1" x="1151"/>
        <item m="1" x="1233"/>
        <item m="1" x="1065"/>
        <item m="1" x="1066"/>
        <item m="1" x="406"/>
        <item m="1" x="1067"/>
        <item m="1" x="1068"/>
        <item m="1" x="1069"/>
        <item m="1" x="1070"/>
        <item m="1" x="1071"/>
        <item m="1" x="1072"/>
        <item m="1" x="407"/>
        <item m="1" x="748"/>
        <item m="1" x="187"/>
        <item m="1" x="1259"/>
        <item m="1" x="591"/>
        <item m="1" x="1038"/>
        <item m="1" x="741"/>
        <item x="5"/>
        <item m="1" x="838"/>
        <item m="1" x="497"/>
        <item m="1" x="940"/>
        <item m="1" x="408"/>
        <item m="1" x="154"/>
        <item m="1" x="1039"/>
        <item m="1" x="409"/>
        <item m="1" x="498"/>
        <item m="1" x="1260"/>
        <item m="1" x="941"/>
        <item m="1" x="942"/>
        <item m="1" x="929"/>
        <item m="1" x="665"/>
        <item m="1" x="155"/>
        <item m="1" x="156"/>
        <item m="1" x="499"/>
        <item m="1" x="426"/>
        <item m="1" x="1084"/>
        <item m="1" x="410"/>
        <item m="1" x="592"/>
        <item m="1" x="593"/>
        <item m="1" x="1275"/>
        <item m="1" x="1276"/>
        <item m="1" x="1313"/>
        <item m="1" x="1314"/>
        <item m="1" x="1315"/>
        <item m="1" x="427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1316"/>
        <item m="1" x="718"/>
        <item m="1" x="1323"/>
        <item m="1" x="690"/>
        <item m="1" x="1073"/>
        <item m="1" x="1040"/>
        <item m="1" x="1041"/>
        <item m="1" x="691"/>
        <item m="1" x="692"/>
        <item m="1" x="693"/>
        <item m="1" x="694"/>
        <item m="1" x="695"/>
        <item m="1" x="696"/>
        <item m="1" x="1317"/>
        <item m="1" x="1234"/>
        <item m="1" x="1235"/>
        <item m="1" x="1236"/>
        <item m="1" x="231"/>
        <item m="1" x="930"/>
        <item m="1" x="594"/>
        <item m="1" x="712"/>
        <item m="1" x="943"/>
        <item m="1" x="1074"/>
        <item m="1" x="1075"/>
        <item m="1" x="839"/>
        <item m="1" x="931"/>
        <item m="1" x="1042"/>
        <item m="1" x="1043"/>
        <item m="1" x="1261"/>
        <item m="1" x="1076"/>
        <item m="1" x="1318"/>
        <item m="1" x="1077"/>
        <item m="1" x="944"/>
        <item m="1" x="1078"/>
        <item m="1" x="749"/>
        <item m="1" x="1262"/>
        <item m="1" x="742"/>
        <item m="1" x="411"/>
        <item m="1" x="157"/>
        <item m="1" x="945"/>
        <item m="1" x="1152"/>
        <item m="1" x="412"/>
        <item m="1" x="697"/>
        <item m="1" x="698"/>
        <item m="1" x="699"/>
        <item m="1" x="700"/>
        <item m="1" x="932"/>
        <item x="71"/>
        <item x="72"/>
        <item x="73"/>
        <item m="1" x="701"/>
        <item m="1" x="1319"/>
        <item m="1" x="413"/>
        <item m="1" x="162"/>
        <item x="29"/>
        <item m="1" x="743"/>
        <item m="1" x="1153"/>
        <item m="1" x="595"/>
        <item m="1" x="730"/>
        <item m="1" x="414"/>
        <item m="1" x="781"/>
        <item m="1" x="782"/>
        <item m="1" x="1079"/>
        <item m="1" x="500"/>
        <item m="1" x="783"/>
        <item m="1" x="719"/>
        <item m="1" x="720"/>
        <item m="1" x="721"/>
        <item m="1" x="1154"/>
        <item m="1" x="704"/>
        <item m="1" x="1080"/>
        <item m="1" x="1044"/>
        <item m="1" x="106"/>
        <item m="1" x="744"/>
        <item m="1" x="840"/>
        <item m="1" x="702"/>
        <item m="1" x="130"/>
        <item m="1" x="131"/>
        <item m="1" x="596"/>
        <item m="1" x="142"/>
        <item m="1" x="145"/>
        <item m="1" x="597"/>
        <item m="1" x="713"/>
        <item m="1" x="714"/>
        <item m="1" x="232"/>
        <item m="1" x="784"/>
        <item m="1" x="170"/>
        <item x="68"/>
        <item x="59"/>
        <item x="22"/>
        <item x="52"/>
        <item x="23"/>
        <item x="17"/>
        <item x="24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17">
        <item x="1"/>
        <item m="1" x="122"/>
        <item m="1" x="1388"/>
        <item x="19"/>
        <item m="1" x="466"/>
        <item m="1" x="467"/>
        <item m="1" x="1397"/>
        <item m="1" x="1404"/>
        <item m="1" x="1385"/>
        <item m="1" x="546"/>
        <item m="1" x="882"/>
        <item m="1" x="1386"/>
        <item m="1" x="1387"/>
        <item m="1" x="1389"/>
        <item m="1" x="1390"/>
        <item m="1" x="1391"/>
        <item m="1" x="1392"/>
        <item m="1" x="1338"/>
        <item m="1" x="1393"/>
        <item m="1" x="1394"/>
        <item m="1" x="222"/>
        <item m="1" x="465"/>
        <item m="1" x="1395"/>
        <item m="1" x="1396"/>
        <item m="1" x="1060"/>
        <item m="1" x="1398"/>
        <item m="1" x="1399"/>
        <item m="1" x="187"/>
        <item m="1" x="1400"/>
        <item m="1" x="505"/>
        <item m="1" x="1401"/>
        <item m="1" x="123"/>
        <item m="1" x="1402"/>
        <item m="1" x="1403"/>
        <item m="1" x="964"/>
        <item m="1" x="1405"/>
        <item x="23"/>
        <item m="1" x="464"/>
        <item m="1" x="1406"/>
        <item m="1" x="185"/>
        <item m="1" x="1407"/>
        <item m="1" x="1408"/>
        <item m="1" x="1409"/>
        <item m="1" x="85"/>
        <item m="1" x="80"/>
        <item m="1" x="1410"/>
        <item m="1" x="1411"/>
        <item m="1" x="1412"/>
        <item m="1" x="1413"/>
        <item m="1" x="1414"/>
        <item m="1" x="91"/>
        <item m="1" x="856"/>
        <item m="1" x="1415"/>
        <item m="1" x="237"/>
        <item m="1" x="1416"/>
        <item m="1" x="218"/>
        <item m="1" x="219"/>
        <item x="8"/>
        <item x="0"/>
        <item m="1" x="116"/>
        <item m="1" x="117"/>
        <item x="76"/>
        <item m="1" x="79"/>
        <item m="1" x="220"/>
        <item m="1" x="118"/>
        <item m="1" x="221"/>
        <item m="1" x="223"/>
        <item x="9"/>
        <item m="1" x="224"/>
        <item m="1" x="225"/>
        <item m="1" x="226"/>
        <item m="1" x="227"/>
        <item m="1" x="228"/>
        <item x="10"/>
        <item x="11"/>
        <item x="12"/>
        <item x="13"/>
        <item x="14"/>
        <item m="1" x="229"/>
        <item x="15"/>
        <item m="1" x="119"/>
        <item m="1" x="230"/>
        <item m="1" x="177"/>
        <item m="1" x="231"/>
        <item m="1" x="120"/>
        <item x="16"/>
        <item m="1" x="232"/>
        <item m="1" x="233"/>
        <item m="1" x="234"/>
        <item m="1" x="121"/>
        <item m="1" x="235"/>
        <item m="1" x="236"/>
        <item m="1" x="81"/>
        <item x="17"/>
        <item x="18"/>
        <item m="1" x="82"/>
        <item x="2"/>
        <item m="1" x="178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179"/>
        <item m="1" x="253"/>
        <item m="1" x="146"/>
        <item m="1" x="254"/>
        <item m="1" x="255"/>
        <item m="1" x="256"/>
        <item m="1" x="180"/>
        <item m="1" x="257"/>
        <item m="1" x="258"/>
        <item m="1" x="259"/>
        <item m="1" x="260"/>
        <item m="1" x="261"/>
        <item x="37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11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149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x="20"/>
        <item m="1" x="318"/>
        <item m="1" x="319"/>
        <item m="1" x="320"/>
        <item x="21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181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x="22"/>
        <item m="1" x="423"/>
        <item m="1" x="424"/>
        <item m="1" x="425"/>
        <item m="1" x="426"/>
        <item m="1" x="124"/>
        <item m="1" x="427"/>
        <item x="24"/>
        <item m="1" x="125"/>
        <item m="1" x="428"/>
        <item m="1" x="143"/>
        <item m="1" x="429"/>
        <item m="1" x="430"/>
        <item m="1" x="431"/>
        <item m="1" x="126"/>
        <item m="1" x="432"/>
        <item m="1" x="433"/>
        <item m="1" x="434"/>
        <item m="1" x="127"/>
        <item x="25"/>
        <item x="26"/>
        <item m="1" x="435"/>
        <item m="1" x="436"/>
        <item m="1" x="437"/>
        <item m="1" x="128"/>
        <item m="1" x="83"/>
        <item m="1" x="438"/>
        <item m="1" x="129"/>
        <item m="1" x="130"/>
        <item m="1" x="131"/>
        <item m="1" x="439"/>
        <item m="1" x="440"/>
        <item m="1" x="132"/>
        <item m="1" x="133"/>
        <item m="1" x="134"/>
        <item m="1" x="151"/>
        <item m="1" x="441"/>
        <item m="1" x="442"/>
        <item m="1" x="443"/>
        <item m="1" x="444"/>
        <item m="1" x="152"/>
        <item m="1" x="135"/>
        <item m="1" x="445"/>
        <item m="1" x="446"/>
        <item m="1" x="447"/>
        <item m="1" x="448"/>
        <item m="1" x="153"/>
        <item m="1" x="449"/>
        <item m="1" x="450"/>
        <item m="1" x="136"/>
        <item m="1" x="89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8"/>
        <item m="1" x="469"/>
        <item m="1" x="137"/>
        <item m="1" x="138"/>
        <item m="1" x="470"/>
        <item m="1" x="471"/>
        <item m="1" x="472"/>
        <item m="1" x="473"/>
        <item m="1" x="139"/>
        <item m="1" x="140"/>
        <item m="1" x="474"/>
        <item x="27"/>
        <item m="1" x="141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x="28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x="29"/>
        <item m="1" x="545"/>
        <item m="1" x="547"/>
        <item m="1" x="548"/>
        <item m="1" x="84"/>
        <item m="1" x="182"/>
        <item m="1" x="549"/>
        <item m="1" x="550"/>
        <item m="1" x="551"/>
        <item x="30"/>
        <item m="1" x="552"/>
        <item m="1" x="183"/>
        <item m="1" x="184"/>
        <item x="31"/>
        <item m="1" x="14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x="32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x="33"/>
        <item m="1" x="590"/>
        <item m="1" x="209"/>
        <item m="1" x="144"/>
        <item m="1" x="591"/>
        <item m="1" x="186"/>
        <item m="1" x="592"/>
        <item m="1" x="593"/>
        <item m="1" x="594"/>
        <item x="34"/>
        <item m="1" x="188"/>
        <item m="1" x="595"/>
        <item m="1" x="596"/>
        <item m="1" x="597"/>
        <item m="1" x="598"/>
        <item m="1" x="599"/>
        <item m="1" x="600"/>
        <item m="1" x="601"/>
        <item x="3"/>
        <item x="4"/>
        <item m="1" x="602"/>
        <item m="1" x="603"/>
        <item m="1" x="189"/>
        <item m="1" x="604"/>
        <item m="1" x="605"/>
        <item m="1" x="606"/>
        <item m="1" x="607"/>
        <item x="35"/>
        <item m="1" x="608"/>
        <item m="1" x="609"/>
        <item m="1" x="610"/>
        <item m="1" x="611"/>
        <item m="1" x="612"/>
        <item m="1" x="613"/>
        <item m="1" x="614"/>
        <item m="1" x="615"/>
        <item m="1" x="145"/>
        <item m="1" x="616"/>
        <item m="1" x="617"/>
        <item m="1" x="618"/>
        <item m="1" x="619"/>
        <item m="1" x="620"/>
        <item m="1" x="621"/>
        <item m="1" x="200"/>
        <item m="1" x="622"/>
        <item m="1" x="623"/>
        <item m="1" x="624"/>
        <item m="1" x="625"/>
        <item m="1" x="626"/>
        <item x="3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112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156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176"/>
        <item m="1" x="685"/>
        <item m="1" x="686"/>
        <item m="1" x="190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147"/>
        <item m="1" x="733"/>
        <item m="1" x="734"/>
        <item m="1" x="735"/>
        <item m="1" x="191"/>
        <item m="1" x="192"/>
        <item m="1" x="148"/>
        <item m="1" x="736"/>
        <item m="1" x="737"/>
        <item m="1" x="738"/>
        <item m="1" x="739"/>
        <item m="1" x="193"/>
        <item m="1" x="740"/>
        <item m="1" x="741"/>
        <item m="1" x="742"/>
        <item m="1" x="194"/>
        <item m="1" x="743"/>
        <item m="1" x="744"/>
        <item m="1" x="745"/>
        <item x="38"/>
        <item x="39"/>
        <item x="40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x="5"/>
        <item m="1" x="165"/>
        <item m="1" x="759"/>
        <item m="1" x="760"/>
        <item m="1" x="761"/>
        <item m="1" x="762"/>
        <item m="1" x="763"/>
        <item m="1" x="764"/>
        <item m="1" x="765"/>
        <item m="1" x="150"/>
        <item m="1" x="766"/>
        <item m="1" x="767"/>
        <item m="1" x="768"/>
        <item m="1" x="769"/>
        <item x="60"/>
        <item m="1" x="770"/>
        <item m="1" x="771"/>
        <item m="1" x="772"/>
        <item m="1" x="773"/>
        <item m="1" x="774"/>
        <item m="1" x="775"/>
        <item m="1" x="776"/>
        <item m="1" x="92"/>
        <item m="1" x="93"/>
        <item m="1" x="94"/>
        <item m="1" x="95"/>
        <item m="1" x="96"/>
        <item m="1" x="97"/>
        <item m="1" x="98"/>
        <item m="1" x="99"/>
        <item x="6"/>
        <item m="1" x="100"/>
        <item m="1" x="101"/>
        <item m="1" x="102"/>
        <item m="1" x="103"/>
        <item m="1" x="104"/>
        <item m="1" x="105"/>
        <item m="1" x="106"/>
        <item m="1" x="777"/>
        <item m="1" x="157"/>
        <item m="1" x="778"/>
        <item m="1" x="779"/>
        <item m="1" x="780"/>
        <item x="77"/>
        <item m="1" x="781"/>
        <item m="1" x="782"/>
        <item m="1" x="199"/>
        <item m="1" x="86"/>
        <item m="1" x="87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154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x="61"/>
        <item m="1" x="195"/>
        <item m="1" x="196"/>
        <item m="1" x="821"/>
        <item m="1" x="822"/>
        <item m="1" x="823"/>
        <item m="1" x="824"/>
        <item m="1" x="825"/>
        <item m="1" x="15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x="7"/>
        <item m="1" x="841"/>
        <item m="1" x="842"/>
        <item m="1" x="197"/>
        <item m="1" x="843"/>
        <item m="1" x="844"/>
        <item m="1" x="845"/>
        <item m="1" x="846"/>
        <item m="1" x="847"/>
        <item x="41"/>
        <item m="1" x="848"/>
        <item x="42"/>
        <item x="43"/>
        <item m="1" x="198"/>
        <item m="1" x="849"/>
        <item m="1" x="850"/>
        <item x="62"/>
        <item m="1" x="114"/>
        <item m="1" x="851"/>
        <item m="1" x="852"/>
        <item m="1" x="853"/>
        <item m="1" x="854"/>
        <item x="44"/>
        <item m="1" x="855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8"/>
        <item m="1" x="867"/>
        <item m="1" x="868"/>
        <item m="1" x="158"/>
        <item m="1" x="159"/>
        <item m="1" x="869"/>
        <item m="1" x="160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201"/>
        <item m="1" x="202"/>
        <item m="1" x="161"/>
        <item m="1" x="203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x="45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162"/>
        <item x="46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934"/>
        <item m="1" x="935"/>
        <item m="1" x="936"/>
        <item x="63"/>
        <item m="1" x="937"/>
        <item m="1" x="938"/>
        <item m="1" x="90"/>
        <item m="1" x="939"/>
        <item m="1" x="940"/>
        <item x="47"/>
        <item x="48"/>
        <item m="1" x="941"/>
        <item m="1" x="942"/>
        <item m="1" x="943"/>
        <item m="1" x="944"/>
        <item m="1" x="945"/>
        <item x="49"/>
        <item m="1" x="946"/>
        <item m="1" x="947"/>
        <item m="1" x="948"/>
        <item m="1" x="949"/>
        <item m="1" x="950"/>
        <item m="1" x="951"/>
        <item m="1" x="952"/>
        <item m="1" x="953"/>
        <item m="1" x="954"/>
        <item m="1" x="955"/>
        <item m="1" x="956"/>
        <item m="1" x="957"/>
        <item m="1" x="958"/>
        <item x="50"/>
        <item m="1" x="959"/>
        <item x="51"/>
        <item m="1" x="960"/>
        <item x="64"/>
        <item x="65"/>
        <item m="1" x="961"/>
        <item x="66"/>
        <item m="1" x="962"/>
        <item m="1" x="963"/>
        <item m="1" x="204"/>
        <item m="1" x="965"/>
        <item m="1" x="966"/>
        <item x="67"/>
        <item m="1" x="967"/>
        <item m="1" x="968"/>
        <item m="1" x="969"/>
        <item m="1" x="970"/>
        <item m="1" x="971"/>
        <item m="1" x="972"/>
        <item m="1" x="107"/>
        <item m="1" x="173"/>
        <item x="68"/>
        <item m="1" x="973"/>
        <item m="1" x="974"/>
        <item x="52"/>
        <item m="1" x="975"/>
        <item m="1" x="976"/>
        <item m="1" x="977"/>
        <item m="1" x="978"/>
        <item m="1" x="979"/>
        <item m="1" x="980"/>
        <item m="1" x="981"/>
        <item m="1" x="982"/>
        <item m="1" x="109"/>
        <item m="1" x="983"/>
        <item m="1" x="984"/>
        <item m="1" x="985"/>
        <item m="1" x="986"/>
        <item m="1" x="987"/>
        <item m="1" x="988"/>
        <item x="71"/>
        <item x="72"/>
        <item x="73"/>
        <item m="1" x="989"/>
        <item m="1" x="990"/>
        <item m="1" x="991"/>
        <item m="1" x="992"/>
        <item m="1" x="993"/>
        <item m="1" x="994"/>
        <item m="1" x="995"/>
        <item m="1" x="996"/>
        <item m="1" x="997"/>
        <item m="1" x="998"/>
        <item m="1" x="999"/>
        <item m="1" x="1000"/>
        <item m="1" x="1001"/>
        <item m="1" x="1002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15"/>
        <item m="1" x="1016"/>
        <item m="1" x="1017"/>
        <item m="1" x="1018"/>
        <item m="1" x="1019"/>
        <item m="1" x="1020"/>
        <item m="1" x="1021"/>
        <item m="1" x="1022"/>
        <item m="1" x="1023"/>
        <item m="1" x="1024"/>
        <item m="1" x="1025"/>
        <item m="1" x="1026"/>
        <item m="1" x="1027"/>
        <item m="1" x="1028"/>
        <item m="1" x="1029"/>
        <item m="1" x="1030"/>
        <item m="1" x="1031"/>
        <item m="1" x="205"/>
        <item m="1" x="1032"/>
        <item m="1" x="1033"/>
        <item m="1" x="108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044"/>
        <item m="1" x="1045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1"/>
        <item m="1" x="163"/>
        <item m="1" x="1062"/>
        <item m="1" x="1063"/>
        <item m="1" x="1064"/>
        <item m="1" x="1065"/>
        <item m="1" x="1066"/>
        <item m="1" x="1067"/>
        <item m="1" x="1068"/>
        <item m="1" x="1069"/>
        <item m="1" x="174"/>
        <item m="1" x="1070"/>
        <item m="1" x="1071"/>
        <item m="1" x="1072"/>
        <item m="1" x="164"/>
        <item m="1" x="1073"/>
        <item m="1" x="1074"/>
        <item m="1" x="175"/>
        <item m="1" x="1075"/>
        <item m="1" x="1076"/>
        <item m="1" x="1077"/>
        <item m="1" x="1078"/>
        <item m="1" x="1079"/>
        <item m="1" x="206"/>
        <item m="1" x="1080"/>
        <item x="53"/>
        <item x="55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x="54"/>
        <item m="1" x="166"/>
        <item m="1" x="1114"/>
        <item m="1" x="1115"/>
        <item m="1" x="1116"/>
        <item m="1" x="1117"/>
        <item x="56"/>
        <item m="1" x="1118"/>
        <item m="1" x="1119"/>
        <item m="1" x="1120"/>
        <item m="1" x="1121"/>
        <item m="1" x="1122"/>
        <item m="1" x="1123"/>
        <item m="1" x="1124"/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x="69"/>
        <item m="1" x="1139"/>
        <item m="1" x="1140"/>
        <item x="70"/>
        <item m="1" x="1141"/>
        <item m="1" x="1142"/>
        <item m="1" x="1143"/>
        <item m="1" x="1144"/>
        <item m="1" x="1145"/>
        <item m="1" x="1146"/>
        <item m="1" x="1147"/>
        <item m="1" x="167"/>
        <item m="1" x="168"/>
        <item m="1" x="1148"/>
        <item m="1" x="169"/>
        <item m="1" x="1149"/>
        <item m="1" x="1150"/>
        <item m="1" x="170"/>
        <item m="1" x="1151"/>
        <item m="1" x="1152"/>
        <item m="1" x="1153"/>
        <item m="1" x="1154"/>
        <item m="1" x="1155"/>
        <item m="1" x="1156"/>
        <item m="1" x="171"/>
        <item m="1" x="207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208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x="57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0"/>
        <item m="1" x="1221"/>
        <item m="1" x="1222"/>
        <item m="1" x="1223"/>
        <item m="1" x="1224"/>
        <item m="1" x="1225"/>
        <item m="1" x="1226"/>
        <item m="1" x="1227"/>
        <item m="1" x="1228"/>
        <item m="1" x="1229"/>
        <item m="1" x="1230"/>
        <item m="1" x="1231"/>
        <item m="1" x="1232"/>
        <item m="1" x="1233"/>
        <item m="1" x="1234"/>
        <item m="1" x="1235"/>
        <item m="1" x="1236"/>
        <item m="1" x="1237"/>
        <item m="1" x="1238"/>
        <item m="1" x="1239"/>
        <item m="1" x="1240"/>
        <item m="1" x="1241"/>
        <item m="1" x="1242"/>
        <item m="1" x="1243"/>
        <item m="1" x="1244"/>
        <item m="1" x="1245"/>
        <item m="1" x="124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m="1" x="1267"/>
        <item m="1" x="1268"/>
        <item m="1" x="1269"/>
        <item m="1" x="1270"/>
        <item m="1" x="1271"/>
        <item m="1" x="1272"/>
        <item m="1" x="1273"/>
        <item m="1" x="1274"/>
        <item m="1" x="1275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290"/>
        <item m="1" x="1291"/>
        <item m="1" x="1292"/>
        <item m="1" x="1293"/>
        <item m="1" x="1294"/>
        <item m="1" x="1295"/>
        <item m="1" x="1296"/>
        <item m="1" x="1297"/>
        <item m="1" x="210"/>
        <item m="1" x="1298"/>
        <item m="1" x="1299"/>
        <item m="1" x="110"/>
        <item m="1" x="1300"/>
        <item m="1" x="1301"/>
        <item x="74"/>
        <item m="1" x="1302"/>
        <item x="75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72"/>
        <item x="58"/>
        <item m="1" x="1313"/>
        <item m="1" x="1314"/>
        <item m="1" x="1315"/>
        <item m="1" x="1316"/>
        <item m="1" x="1317"/>
        <item m="1" x="1318"/>
        <item m="1" x="1319"/>
        <item m="1" x="1320"/>
        <item m="1" x="1321"/>
        <item m="1" x="1322"/>
        <item m="1" x="1323"/>
        <item m="1" x="1324"/>
        <item m="1" x="1325"/>
        <item m="1" x="1326"/>
        <item m="1" x="1327"/>
        <item m="1" x="1328"/>
        <item m="1" x="1329"/>
        <item m="1" x="212"/>
        <item m="1" x="1330"/>
        <item m="1" x="1331"/>
        <item m="1" x="1332"/>
        <item m="1" x="1333"/>
        <item m="1" x="1334"/>
        <item m="1" x="1335"/>
        <item m="1" x="1336"/>
        <item m="1" x="213"/>
        <item m="1" x="111"/>
        <item m="1" x="1337"/>
        <item m="1" x="1339"/>
        <item m="1" x="1340"/>
        <item m="1" x="1341"/>
        <item m="1" x="1342"/>
        <item m="1" x="1343"/>
        <item m="1" x="1344"/>
        <item m="1" x="113"/>
        <item m="1" x="214"/>
        <item m="1" x="1345"/>
        <item x="78"/>
        <item m="1" x="1346"/>
        <item m="1" x="1347"/>
        <item m="1" x="1348"/>
        <item m="1" x="1349"/>
        <item m="1" x="1350"/>
        <item m="1" x="1351"/>
        <item m="1" x="1352"/>
        <item m="1" x="1353"/>
        <item m="1" x="1354"/>
        <item m="1" x="1355"/>
        <item m="1" x="1356"/>
        <item m="1" x="1357"/>
        <item m="1" x="217"/>
        <item m="1" x="115"/>
        <item m="1" x="1358"/>
        <item m="1" x="215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216"/>
        <item m="1" x="1369"/>
        <item m="1" x="1370"/>
        <item m="1" x="1371"/>
        <item m="1" x="1372"/>
        <item m="1" x="1373"/>
        <item m="1" x="1374"/>
        <item m="1" x="1375"/>
        <item x="59"/>
        <item m="1" x="1376"/>
        <item m="1" x="1377"/>
        <item m="1" x="1378"/>
        <item m="1" x="1379"/>
        <item m="1" x="1380"/>
        <item m="1" x="1381"/>
        <item m="1" x="1382"/>
        <item m="1" x="1383"/>
        <item m="1" x="138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245">
        <item x="12"/>
        <item m="1" x="70"/>
        <item x="15"/>
        <item m="1" x="56"/>
        <item x="7"/>
        <item x="22"/>
        <item x="6"/>
        <item x="4"/>
        <item m="1" x="101"/>
        <item x="24"/>
        <item m="1" x="114"/>
        <item x="14"/>
        <item m="1" x="150"/>
        <item m="1" x="85"/>
        <item m="1" x="217"/>
        <item m="1" x="131"/>
        <item m="1" x="48"/>
        <item x="11"/>
        <item m="1" x="73"/>
        <item m="1" x="37"/>
        <item m="1" x="244"/>
        <item x="8"/>
        <item x="17"/>
        <item m="1" x="161"/>
        <item m="1" x="47"/>
        <item x="10"/>
        <item x="13"/>
        <item x="27"/>
        <item m="1" x="60"/>
        <item m="1" x="54"/>
        <item m="1" x="121"/>
        <item x="0"/>
        <item x="26"/>
        <item m="1" x="100"/>
        <item m="1" x="41"/>
        <item m="1" x="102"/>
        <item m="1" x="68"/>
        <item m="1" x="103"/>
        <item m="1" x="104"/>
        <item x="1"/>
        <item m="1" x="105"/>
        <item m="1" x="106"/>
        <item m="1" x="38"/>
        <item m="1" x="45"/>
        <item m="1" x="69"/>
        <item x="16"/>
        <item m="1" x="107"/>
        <item m="1" x="108"/>
        <item m="1" x="39"/>
        <item m="1" x="94"/>
        <item m="1" x="99"/>
        <item m="1" x="40"/>
        <item x="18"/>
        <item x="25"/>
        <item x="2"/>
        <item m="1" x="42"/>
        <item x="3"/>
        <item m="1" x="95"/>
        <item x="19"/>
        <item m="1" x="71"/>
        <item m="1" x="109"/>
        <item m="1" x="110"/>
        <item m="1" x="111"/>
        <item m="1" x="112"/>
        <item m="1" x="113"/>
        <item x="31"/>
        <item m="1" x="80"/>
        <item m="1" x="115"/>
        <item m="1" x="116"/>
        <item x="36"/>
        <item m="1" x="117"/>
        <item m="1" x="118"/>
        <item m="1" x="72"/>
        <item m="1" x="119"/>
        <item m="1" x="43"/>
        <item m="1" x="44"/>
        <item m="1" x="86"/>
        <item m="1" x="120"/>
        <item m="1" x="74"/>
        <item m="1" x="75"/>
        <item x="23"/>
        <item m="1" x="122"/>
        <item m="1" x="123"/>
        <item m="1" x="124"/>
        <item m="1" x="125"/>
        <item x="20"/>
        <item m="1" x="76"/>
        <item m="1" x="126"/>
        <item m="1" x="127"/>
        <item m="1" x="128"/>
        <item m="1" x="88"/>
        <item m="1" x="129"/>
        <item m="1" x="130"/>
        <item m="1" x="132"/>
        <item m="1" x="77"/>
        <item m="1" x="133"/>
        <item m="1" x="134"/>
        <item x="21"/>
        <item m="1" x="135"/>
        <item m="1" x="136"/>
        <item m="1" x="137"/>
        <item m="1" x="138"/>
        <item m="1" x="139"/>
        <item m="1" x="59"/>
        <item m="1" x="93"/>
        <item m="1" x="140"/>
        <item m="1" x="141"/>
        <item m="1" x="142"/>
        <item m="1" x="143"/>
        <item m="1" x="144"/>
        <item m="1" x="145"/>
        <item x="32"/>
        <item m="1" x="64"/>
        <item m="1" x="146"/>
        <item m="1" x="147"/>
        <item m="1" x="148"/>
        <item m="1" x="149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x="34"/>
        <item m="1" x="78"/>
        <item m="1" x="79"/>
        <item m="1" x="160"/>
        <item m="1" x="162"/>
        <item m="1" x="87"/>
        <item m="1" x="163"/>
        <item m="1" x="164"/>
        <item x="33"/>
        <item m="1" x="165"/>
        <item m="1" x="46"/>
        <item x="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81"/>
        <item m="1" x="175"/>
        <item m="1" x="176"/>
        <item m="1" x="177"/>
        <item m="1" x="178"/>
        <item m="1" x="179"/>
        <item m="1" x="180"/>
        <item m="1" x="50"/>
        <item m="1" x="51"/>
        <item m="1" x="181"/>
        <item m="1" x="84"/>
        <item m="1" x="182"/>
        <item m="1" x="183"/>
        <item m="1" x="184"/>
        <item m="1" x="185"/>
        <item m="1" x="67"/>
        <item m="1" x="186"/>
        <item m="1" x="187"/>
        <item m="1" x="188"/>
        <item m="1" x="82"/>
        <item m="1" x="189"/>
        <item m="1" x="190"/>
        <item m="1" x="191"/>
        <item m="1" x="83"/>
        <item m="1" x="192"/>
        <item m="1" x="193"/>
        <item m="1" x="194"/>
        <item m="1" x="195"/>
        <item m="1" x="196"/>
        <item m="1" x="197"/>
        <item x="28"/>
        <item m="1" x="198"/>
        <item m="1" x="49"/>
        <item m="1" x="199"/>
        <item m="1" x="89"/>
        <item m="1" x="200"/>
        <item m="1" x="92"/>
        <item m="1" x="53"/>
        <item m="1" x="201"/>
        <item m="1" x="202"/>
        <item m="1" x="203"/>
        <item m="1" x="204"/>
        <item m="1" x="205"/>
        <item m="1" x="206"/>
        <item m="1" x="207"/>
        <item m="1" x="208"/>
        <item m="1" x="90"/>
        <item m="1" x="209"/>
        <item m="1" x="91"/>
        <item m="1" x="210"/>
        <item m="1" x="52"/>
        <item m="1" x="211"/>
        <item m="1" x="212"/>
        <item m="1" x="213"/>
        <item m="1" x="214"/>
        <item m="1" x="215"/>
        <item x="29"/>
        <item x="30"/>
        <item m="1" x="55"/>
        <item m="1" x="96"/>
        <item m="1" x="216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x="9"/>
        <item m="1" x="57"/>
        <item m="1" x="231"/>
        <item m="1" x="232"/>
        <item m="1" x="233"/>
        <item m="1" x="234"/>
        <item x="35"/>
        <item m="1" x="58"/>
        <item m="1" x="235"/>
        <item m="1" x="236"/>
        <item m="1" x="237"/>
        <item m="1" x="97"/>
        <item m="1" x="98"/>
        <item m="1" x="238"/>
        <item m="1" x="61"/>
        <item m="1" x="239"/>
        <item m="1" x="240"/>
        <item m="1" x="241"/>
        <item m="1" x="62"/>
        <item m="1" x="63"/>
        <item m="1" x="65"/>
        <item m="1" x="66"/>
        <item m="1" x="242"/>
        <item m="1" x="2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x="1"/>
        <item x="0"/>
        <item x="4"/>
        <item x="10"/>
        <item m="1" x="13"/>
        <item m="1" x="18"/>
        <item x="6"/>
        <item x="8"/>
        <item m="1" x="14"/>
        <item x="3"/>
        <item m="1" x="15"/>
        <item m="1" x="16"/>
        <item m="1" x="11"/>
        <item m="1" x="12"/>
        <item m="1" x="17"/>
        <item m="1" x="19"/>
        <item m="1" x="20"/>
        <item x="9"/>
        <item m="1" x="21"/>
        <item x="5"/>
        <item x="2"/>
        <item x="7"/>
        <item m="1" x="22"/>
        <item m="1" x="23"/>
        <item m="1"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82">
        <item x="1"/>
        <item m="1" x="755"/>
        <item m="1" x="749"/>
        <item m="1" x="757"/>
        <item m="1" x="760"/>
        <item m="1" x="756"/>
        <item m="1" x="748"/>
        <item m="1" x="750"/>
        <item m="1" x="751"/>
        <item m="1" x="752"/>
        <item m="1" x="753"/>
        <item m="1" x="754"/>
        <item m="1" x="758"/>
        <item m="1" x="759"/>
        <item m="1" x="761"/>
        <item m="1" x="762"/>
        <item m="1" x="763"/>
        <item m="1" x="764"/>
        <item m="1" x="765"/>
        <item m="1" x="766"/>
        <item m="1" x="767"/>
        <item m="1" x="364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332"/>
        <item m="1" x="59"/>
        <item m="1" x="780"/>
        <item m="1" x="781"/>
        <item m="1" x="148"/>
        <item m="1" x="149"/>
        <item x="7"/>
        <item x="0"/>
        <item m="1" x="150"/>
        <item m="1" x="74"/>
        <item m="1" x="75"/>
        <item m="1" x="151"/>
        <item m="1" x="55"/>
        <item m="1" x="152"/>
        <item m="1" x="76"/>
        <item m="1" x="153"/>
        <item x="9"/>
        <item x="8"/>
        <item m="1" x="154"/>
        <item m="1" x="155"/>
        <item m="1" x="156"/>
        <item m="1" x="56"/>
        <item m="1" x="77"/>
        <item m="1" x="157"/>
        <item m="1" x="117"/>
        <item m="1" x="158"/>
        <item m="1" x="78"/>
        <item m="1" x="159"/>
        <item m="1" x="160"/>
        <item m="1" x="79"/>
        <item m="1" x="161"/>
        <item m="1" x="162"/>
        <item m="1" x="57"/>
        <item x="10"/>
        <item x="11"/>
        <item m="1" x="58"/>
        <item x="2"/>
        <item m="1" x="163"/>
        <item m="1" x="164"/>
        <item m="1" x="118"/>
        <item x="12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19"/>
        <item m="1" x="176"/>
        <item m="1" x="177"/>
        <item m="1" x="178"/>
        <item m="1" x="120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12"/>
        <item m="1" x="198"/>
        <item m="1" x="199"/>
        <item m="1" x="200"/>
        <item m="1" x="201"/>
        <item m="1" x="202"/>
        <item x="13"/>
        <item m="1" x="203"/>
        <item m="1" x="204"/>
        <item m="1" x="205"/>
        <item m="1" x="206"/>
        <item m="1" x="207"/>
        <item m="1" x="108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x="14"/>
        <item m="1" x="80"/>
        <item m="1" x="233"/>
        <item m="1" x="234"/>
        <item m="1" x="235"/>
        <item m="1" x="236"/>
        <item m="1" x="81"/>
        <item m="1" x="237"/>
        <item m="1" x="238"/>
        <item m="1" x="239"/>
        <item m="1" x="240"/>
        <item m="1" x="82"/>
        <item x="15"/>
        <item x="16"/>
        <item m="1" x="241"/>
        <item m="1" x="83"/>
        <item m="1" x="84"/>
        <item m="1" x="85"/>
        <item m="1" x="86"/>
        <item m="1" x="242"/>
        <item m="1" x="87"/>
        <item m="1" x="243"/>
        <item m="1" x="244"/>
        <item m="1" x="245"/>
        <item m="1" x="246"/>
        <item m="1" x="247"/>
        <item m="1" x="248"/>
        <item m="1" x="249"/>
        <item m="1" x="88"/>
        <item m="1" x="124"/>
        <item x="4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x="20"/>
        <item m="1" x="263"/>
        <item m="1" x="264"/>
        <item m="1" x="265"/>
        <item m="1" x="266"/>
        <item x="17"/>
        <item m="1" x="267"/>
        <item m="1" x="268"/>
        <item m="1" x="269"/>
        <item m="1" x="270"/>
        <item m="1" x="271"/>
        <item m="1" x="272"/>
        <item m="1" x="273"/>
        <item m="1" x="274"/>
        <item x="18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x="19"/>
        <item m="1" x="125"/>
        <item m="1" x="305"/>
        <item m="1" x="306"/>
        <item x="3"/>
        <item m="1" x="121"/>
        <item m="1" x="307"/>
        <item m="1" x="308"/>
        <item m="1" x="309"/>
        <item x="21"/>
        <item m="1" x="89"/>
        <item m="1" x="90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122"/>
        <item m="1" x="322"/>
        <item x="22"/>
        <item m="1" x="323"/>
        <item m="1" x="324"/>
        <item x="27"/>
        <item m="1" x="325"/>
        <item m="1" x="326"/>
        <item m="1" x="327"/>
        <item m="1" x="328"/>
        <item m="1" x="329"/>
        <item m="1" x="330"/>
        <item m="1" x="331"/>
        <item m="1" x="333"/>
        <item m="1" x="334"/>
        <item x="23"/>
        <item m="1" x="335"/>
        <item m="1" x="91"/>
        <item m="1" x="123"/>
        <item m="1" x="336"/>
        <item m="1" x="337"/>
        <item x="24"/>
        <item m="1" x="338"/>
        <item m="1" x="339"/>
        <item m="1" x="340"/>
        <item m="1" x="341"/>
        <item m="1" x="126"/>
        <item m="1" x="342"/>
        <item m="1" x="343"/>
        <item m="1" x="344"/>
        <item x="25"/>
        <item m="1" x="345"/>
        <item m="1" x="346"/>
        <item m="1" x="347"/>
        <item m="1" x="348"/>
        <item m="1" x="349"/>
        <item m="1" x="350"/>
        <item m="1" x="351"/>
        <item m="1" x="352"/>
        <item m="1" x="92"/>
        <item m="1" x="353"/>
        <item m="1" x="354"/>
        <item m="1" x="355"/>
        <item m="1" x="356"/>
        <item m="1" x="357"/>
        <item m="1" x="134"/>
        <item m="1" x="358"/>
        <item m="1" x="359"/>
        <item m="1" x="360"/>
        <item m="1" x="361"/>
        <item x="26"/>
        <item m="1" x="362"/>
        <item m="1" x="363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116"/>
        <item m="1" x="380"/>
        <item m="1" x="127"/>
        <item m="1" x="381"/>
        <item m="1" x="382"/>
        <item m="1" x="383"/>
        <item m="1" x="384"/>
        <item m="1" x="385"/>
        <item m="1" x="386"/>
        <item m="1" x="387"/>
        <item m="1" x="388"/>
        <item m="1" x="93"/>
        <item m="1" x="389"/>
        <item m="1" x="60"/>
        <item m="1" x="390"/>
        <item m="1" x="67"/>
        <item m="1" x="391"/>
        <item m="1" x="392"/>
        <item m="1" x="393"/>
        <item m="1" x="98"/>
        <item m="1" x="128"/>
        <item m="1" x="394"/>
        <item m="1" x="94"/>
        <item m="1" x="395"/>
        <item m="1" x="396"/>
        <item m="1" x="397"/>
        <item m="1" x="398"/>
        <item m="1" x="399"/>
        <item m="1" x="12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x="4"/>
        <item m="1" x="106"/>
        <item m="1" x="416"/>
        <item m="1" x="417"/>
        <item m="1" x="418"/>
        <item m="1" x="419"/>
        <item m="1" x="420"/>
        <item m="1" x="421"/>
        <item m="1" x="95"/>
        <item m="1" x="61"/>
        <item m="1" x="422"/>
        <item m="1" x="96"/>
        <item m="1" x="423"/>
        <item x="43"/>
        <item m="1" x="424"/>
        <item m="1" x="425"/>
        <item m="1" x="426"/>
        <item x="5"/>
        <item m="1" x="427"/>
        <item m="1" x="100"/>
        <item m="1" x="97"/>
        <item m="1" x="428"/>
        <item m="1" x="429"/>
        <item m="1" x="430"/>
        <item m="1" x="431"/>
        <item m="1" x="432"/>
        <item m="1" x="62"/>
        <item m="1" x="63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99"/>
        <item m="1" x="462"/>
        <item m="1" x="463"/>
        <item m="1" x="464"/>
        <item m="1" x="465"/>
        <item m="1" x="466"/>
        <item m="1" x="130"/>
        <item m="1" x="65"/>
        <item m="1" x="467"/>
        <item m="1" x="468"/>
        <item m="1" x="469"/>
        <item x="6"/>
        <item m="1" x="470"/>
        <item m="1" x="471"/>
        <item m="1" x="472"/>
        <item m="1" x="473"/>
        <item m="1" x="474"/>
        <item m="1" x="64"/>
        <item m="1" x="475"/>
        <item m="1" x="476"/>
        <item m="1" x="477"/>
        <item m="1" x="478"/>
        <item m="1" x="479"/>
        <item m="1" x="480"/>
        <item m="1" x="481"/>
        <item m="1" x="482"/>
        <item m="1" x="131"/>
        <item m="1" x="483"/>
        <item m="1" x="484"/>
        <item m="1" x="485"/>
        <item x="28"/>
        <item m="1" x="132"/>
        <item x="45"/>
        <item m="1" x="486"/>
        <item x="29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101"/>
        <item m="1" x="496"/>
        <item m="1" x="497"/>
        <item m="1" x="498"/>
        <item m="1" x="133"/>
        <item m="1" x="499"/>
        <item m="1" x="500"/>
        <item m="1" x="501"/>
        <item m="1" x="135"/>
        <item m="1" x="102"/>
        <item m="1" x="502"/>
        <item m="1" x="503"/>
        <item m="1" x="504"/>
        <item m="1" x="505"/>
        <item x="33"/>
        <item m="1" x="506"/>
        <item x="30"/>
        <item x="31"/>
        <item m="1" x="507"/>
        <item m="1" x="508"/>
        <item m="1" x="509"/>
        <item x="46"/>
        <item m="1" x="103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x="53"/>
        <item m="1" x="519"/>
        <item m="1" x="520"/>
        <item m="1" x="521"/>
        <item m="1" x="522"/>
        <item m="1" x="66"/>
        <item m="1" x="523"/>
        <item m="1" x="524"/>
        <item x="47"/>
        <item x="32"/>
        <item m="1" x="525"/>
        <item m="1" x="526"/>
        <item x="34"/>
        <item m="1" x="527"/>
        <item m="1" x="528"/>
        <item m="1" x="529"/>
        <item m="1" x="530"/>
        <item x="35"/>
        <item m="1" x="531"/>
        <item m="1" x="532"/>
        <item m="1" x="533"/>
        <item m="1" x="136"/>
        <item m="1" x="534"/>
        <item m="1" x="535"/>
        <item m="1" x="536"/>
        <item m="1" x="537"/>
        <item m="1" x="68"/>
        <item m="1" x="114"/>
        <item m="1" x="538"/>
        <item m="1" x="137"/>
        <item m="1" x="539"/>
        <item m="1" x="540"/>
        <item m="1" x="541"/>
        <item m="1" x="542"/>
        <item m="1" x="543"/>
        <item m="1" x="544"/>
        <item m="1" x="545"/>
        <item m="1" x="546"/>
        <item m="1" x="71"/>
        <item m="1" x="547"/>
        <item m="1" x="548"/>
        <item x="50"/>
        <item m="1" x="549"/>
        <item m="1" x="550"/>
        <item m="1" x="551"/>
        <item m="1" x="552"/>
        <item m="1" x="553"/>
        <item m="1" x="138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69"/>
        <item m="1" x="70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104"/>
        <item m="1" x="582"/>
        <item m="1" x="583"/>
        <item m="1" x="584"/>
        <item m="1" x="105"/>
        <item m="1" x="585"/>
        <item m="1" x="586"/>
        <item m="1" x="587"/>
        <item m="1" x="139"/>
        <item x="36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x="37"/>
        <item m="1" x="107"/>
        <item m="1" x="613"/>
        <item m="1" x="614"/>
        <item m="1" x="615"/>
        <item m="1" x="616"/>
        <item x="38"/>
        <item x="39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x="48"/>
        <item m="1" x="629"/>
        <item m="1" x="630"/>
        <item x="49"/>
        <item m="1" x="631"/>
        <item m="1" x="632"/>
        <item m="1" x="109"/>
        <item m="1" x="110"/>
        <item m="1" x="633"/>
        <item m="1" x="634"/>
        <item m="1" x="111"/>
        <item m="1" x="635"/>
        <item m="1" x="140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141"/>
        <item m="1" x="142"/>
        <item m="1" x="645"/>
        <item m="1" x="646"/>
        <item m="1" x="647"/>
        <item m="1" x="648"/>
        <item x="40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143"/>
        <item m="1" x="675"/>
        <item m="1" x="676"/>
        <item m="1" x="677"/>
        <item m="1" x="678"/>
        <item m="1" x="679"/>
        <item m="1" x="680"/>
        <item m="1" x="72"/>
        <item m="1" x="681"/>
        <item m="1" x="682"/>
        <item x="51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113"/>
        <item x="41"/>
        <item m="1" x="693"/>
        <item m="1" x="694"/>
        <item m="1" x="695"/>
        <item m="1" x="696"/>
        <item m="1" x="697"/>
        <item m="1" x="144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145"/>
        <item m="1" x="146"/>
        <item m="1" x="708"/>
        <item m="1" x="709"/>
        <item m="1" x="710"/>
        <item m="1" x="711"/>
        <item m="1" x="712"/>
        <item x="52"/>
        <item m="1" x="713"/>
        <item m="1" x="147"/>
        <item m="1" x="73"/>
        <item m="1" x="714"/>
        <item m="1" x="715"/>
        <item m="1" x="716"/>
        <item m="1" x="717"/>
        <item m="1" x="718"/>
        <item m="1" x="719"/>
        <item m="1" x="720"/>
        <item m="1" x="721"/>
        <item x="54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115"/>
        <item m="1" x="733"/>
        <item m="1" x="734"/>
        <item m="1" x="735"/>
        <item m="1" x="736"/>
        <item m="1" x="737"/>
        <item m="1" x="738"/>
        <item m="1" x="739"/>
        <item x="42"/>
        <item m="1" x="740"/>
        <item m="1" x="741"/>
        <item m="1" x="742"/>
        <item m="1" x="743"/>
        <item m="1" x="744"/>
        <item m="1" x="745"/>
        <item m="1" x="746"/>
        <item m="1" x="74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47">
        <item m="1" x="1008"/>
        <item m="1" x="1009"/>
        <item m="1" x="1010"/>
        <item m="1" x="1011"/>
        <item m="1" x="1012"/>
        <item m="1" x="1013"/>
        <item m="1" x="1014"/>
        <item m="1" x="1015"/>
        <item m="1" x="1016"/>
        <item m="1" x="1017"/>
        <item m="1" x="1018"/>
        <item m="1" x="1019"/>
        <item m="1" x="1020"/>
        <item m="1" x="1021"/>
        <item m="1" x="1022"/>
        <item m="1" x="1023"/>
        <item m="1" x="1024"/>
        <item m="1" x="1025"/>
        <item m="1" x="1026"/>
        <item m="1" x="1027"/>
        <item m="1" x="1028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044"/>
        <item m="1" x="1045"/>
        <item m="1" x="1046"/>
        <item m="1" x="221"/>
        <item m="1" x="222"/>
        <item x="10"/>
        <item x="0"/>
        <item m="1" x="223"/>
        <item m="1" x="217"/>
        <item m="1" x="224"/>
        <item m="1" x="118"/>
        <item m="1" x="119"/>
        <item m="1" x="225"/>
        <item m="1" x="65"/>
        <item m="1" x="226"/>
        <item m="1" x="120"/>
        <item m="1" x="227"/>
        <item m="1" x="228"/>
        <item x="11"/>
        <item m="1" x="229"/>
        <item m="1" x="230"/>
        <item m="1" x="231"/>
        <item m="1" x="66"/>
        <item x="12"/>
        <item m="1" x="121"/>
        <item m="1" x="232"/>
        <item m="1" x="170"/>
        <item m="1" x="233"/>
        <item m="1" x="122"/>
        <item m="1" x="234"/>
        <item m="1" x="235"/>
        <item x="1"/>
        <item m="1" x="67"/>
        <item m="1" x="236"/>
        <item m="1" x="123"/>
        <item m="1" x="237"/>
        <item m="1" x="238"/>
        <item m="1" x="68"/>
        <item m="1" x="207"/>
        <item m="1" x="218"/>
        <item x="13"/>
        <item m="1" x="69"/>
        <item x="14"/>
        <item m="1" x="70"/>
        <item m="1" x="71"/>
        <item m="1" x="239"/>
        <item x="2"/>
        <item m="1" x="72"/>
        <item m="1" x="240"/>
        <item m="1" x="241"/>
        <item m="1" x="171"/>
        <item m="1" x="242"/>
        <item m="1" x="243"/>
        <item m="1" x="244"/>
        <item m="1" x="208"/>
        <item m="1" x="209"/>
        <item m="1" x="12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172"/>
        <item m="1" x="255"/>
        <item m="1" x="256"/>
        <item m="1" x="257"/>
        <item m="1" x="173"/>
        <item m="1" x="258"/>
        <item m="1" x="259"/>
        <item m="1" x="260"/>
        <item x="15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x="1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x="38"/>
        <item m="1" x="303"/>
        <item m="1" x="304"/>
        <item m="1" x="305"/>
        <item m="1" x="306"/>
        <item m="1" x="155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73"/>
        <item m="1" x="74"/>
        <item x="17"/>
        <item x="18"/>
        <item m="1" x="125"/>
        <item m="1" x="324"/>
        <item m="1" x="325"/>
        <item m="1" x="326"/>
        <item m="1" x="327"/>
        <item m="1" x="328"/>
        <item m="1" x="126"/>
        <item m="1" x="329"/>
        <item m="1" x="75"/>
        <item m="1" x="330"/>
        <item m="1" x="331"/>
        <item m="1" x="332"/>
        <item m="1" x="127"/>
        <item x="19"/>
        <item x="20"/>
        <item m="1" x="333"/>
        <item m="1" x="128"/>
        <item m="1" x="334"/>
        <item m="1" x="76"/>
        <item m="1" x="335"/>
        <item m="1" x="129"/>
        <item m="1" x="130"/>
        <item m="1" x="131"/>
        <item m="1" x="132"/>
        <item m="1" x="336"/>
        <item m="1" x="337"/>
        <item m="1" x="338"/>
        <item m="1" x="133"/>
        <item m="1" x="339"/>
        <item m="1" x="340"/>
        <item m="1" x="341"/>
        <item m="1" x="342"/>
        <item m="1" x="343"/>
        <item m="1" x="344"/>
        <item m="1" x="345"/>
        <item m="1" x="346"/>
        <item m="1" x="134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135"/>
        <item m="1" x="365"/>
        <item m="1" x="366"/>
        <item m="1" x="367"/>
        <item m="1" x="368"/>
        <item x="21"/>
        <item m="1" x="369"/>
        <item m="1" x="370"/>
        <item m="1" x="371"/>
        <item m="1" x="372"/>
        <item m="1" x="373"/>
        <item m="1" x="374"/>
        <item m="1" x="375"/>
        <item m="1" x="376"/>
        <item x="22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136"/>
        <item x="23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77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x="24"/>
        <item m="1" x="195"/>
        <item m="1" x="411"/>
        <item m="1" x="210"/>
        <item m="1" x="412"/>
        <item m="1" x="413"/>
        <item m="1" x="78"/>
        <item m="1" x="414"/>
        <item m="1" x="415"/>
        <item m="1" x="79"/>
        <item m="1" x="174"/>
        <item m="1" x="416"/>
        <item m="1" x="417"/>
        <item x="25"/>
        <item m="1" x="418"/>
        <item m="1" x="175"/>
        <item x="26"/>
        <item m="1" x="419"/>
        <item m="1" x="137"/>
        <item m="1" x="138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176"/>
        <item m="1" x="433"/>
        <item x="27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143"/>
        <item m="1" x="444"/>
        <item m="1" x="445"/>
        <item x="28"/>
        <item m="1" x="446"/>
        <item m="1" x="447"/>
        <item m="1" x="139"/>
        <item m="1" x="177"/>
        <item m="1" x="448"/>
        <item m="1" x="449"/>
        <item x="29"/>
        <item m="1" x="178"/>
        <item m="1" x="179"/>
        <item m="1" x="450"/>
        <item m="1" x="451"/>
        <item m="1" x="452"/>
        <item x="3"/>
        <item m="1" x="453"/>
        <item m="1" x="180"/>
        <item m="1" x="454"/>
        <item m="1" x="455"/>
        <item m="1" x="456"/>
        <item m="1" x="457"/>
        <item m="1" x="458"/>
        <item m="1" x="459"/>
        <item x="30"/>
        <item m="1" x="460"/>
        <item m="1" x="461"/>
        <item m="1" x="462"/>
        <item m="1" x="463"/>
        <item m="1" x="464"/>
        <item m="1" x="465"/>
        <item m="1" x="466"/>
        <item m="1" x="467"/>
        <item m="1" x="140"/>
        <item m="1" x="468"/>
        <item m="1" x="469"/>
        <item m="1" x="21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x="31"/>
        <item m="1" x="479"/>
        <item m="1" x="480"/>
        <item m="1" x="481"/>
        <item m="1" x="482"/>
        <item m="1" x="483"/>
        <item m="1" x="484"/>
        <item m="1" x="141"/>
        <item m="1" x="485"/>
        <item x="32"/>
        <item m="1" x="486"/>
        <item m="1" x="487"/>
        <item m="1" x="80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169"/>
        <item m="1" x="504"/>
        <item m="1" x="505"/>
        <item m="1" x="506"/>
        <item m="1" x="181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142"/>
        <item m="1" x="520"/>
        <item m="1" x="81"/>
        <item m="1" x="521"/>
        <item m="1" x="144"/>
        <item x="33"/>
        <item m="1" x="522"/>
        <item m="1" x="82"/>
        <item m="1" x="523"/>
        <item m="1" x="524"/>
        <item m="1" x="525"/>
        <item m="1" x="526"/>
        <item m="1" x="527"/>
        <item m="1" x="528"/>
        <item m="1" x="182"/>
        <item m="1" x="529"/>
        <item m="1" x="145"/>
        <item m="1" x="530"/>
        <item m="1" x="83"/>
        <item m="1" x="531"/>
        <item m="1" x="532"/>
        <item m="1" x="533"/>
        <item m="1" x="534"/>
        <item m="1" x="535"/>
        <item m="1" x="84"/>
        <item m="1" x="536"/>
        <item m="1" x="183"/>
        <item m="1" x="537"/>
        <item m="1" x="538"/>
        <item m="1" x="539"/>
        <item m="1" x="540"/>
        <item x="51"/>
        <item m="1" x="85"/>
        <item m="1" x="541"/>
        <item m="1" x="542"/>
        <item m="1" x="543"/>
        <item m="1" x="544"/>
        <item m="1" x="545"/>
        <item m="1" x="546"/>
        <item m="1" x="86"/>
        <item m="1" x="547"/>
        <item x="34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87"/>
        <item x="4"/>
        <item m="1" x="211"/>
        <item m="1" x="560"/>
        <item m="1" x="561"/>
        <item m="1" x="562"/>
        <item m="1" x="563"/>
        <item m="1" x="564"/>
        <item m="1" x="565"/>
        <item m="1" x="566"/>
        <item m="1" x="146"/>
        <item m="1" x="88"/>
        <item m="1" x="567"/>
        <item m="1" x="89"/>
        <item m="1" x="147"/>
        <item m="1" x="568"/>
        <item x="52"/>
        <item m="1" x="569"/>
        <item m="1" x="570"/>
        <item m="1" x="571"/>
        <item m="1" x="572"/>
        <item x="5"/>
        <item m="1" x="573"/>
        <item m="1" x="574"/>
        <item m="1" x="575"/>
        <item m="1" x="576"/>
        <item m="1" x="154"/>
        <item m="1" x="577"/>
        <item m="1" x="148"/>
        <item m="1" x="578"/>
        <item m="1" x="579"/>
        <item m="1" x="149"/>
        <item m="1" x="580"/>
        <item m="1" x="581"/>
        <item m="1" x="582"/>
        <item m="1" x="583"/>
        <item m="1" x="90"/>
        <item m="1" x="184"/>
        <item m="1" x="91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150"/>
        <item m="1" x="602"/>
        <item m="1" x="603"/>
        <item m="1" x="604"/>
        <item m="1" x="605"/>
        <item m="1" x="606"/>
        <item m="1" x="607"/>
        <item x="35"/>
        <item m="1" x="151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x="53"/>
        <item m="1" x="625"/>
        <item m="1" x="185"/>
        <item m="1" x="626"/>
        <item m="1" x="627"/>
        <item m="1" x="628"/>
        <item m="1" x="629"/>
        <item x="6"/>
        <item m="1" x="630"/>
        <item m="1" x="152"/>
        <item m="1" x="631"/>
        <item m="1" x="632"/>
        <item m="1" x="633"/>
        <item m="1" x="634"/>
        <item m="1" x="635"/>
        <item m="1" x="636"/>
        <item m="1" x="637"/>
        <item m="1" x="92"/>
        <item m="1" x="638"/>
        <item m="1" x="639"/>
        <item m="1" x="640"/>
        <item m="1" x="641"/>
        <item m="1" x="642"/>
        <item m="1" x="643"/>
        <item m="1" x="644"/>
        <item m="1" x="645"/>
        <item m="1" x="186"/>
        <item m="1" x="646"/>
        <item m="1" x="647"/>
        <item m="1" x="648"/>
        <item m="1" x="649"/>
        <item x="36"/>
        <item m="1" x="650"/>
        <item m="1" x="187"/>
        <item x="54"/>
        <item m="1" x="651"/>
        <item m="1" x="652"/>
        <item m="1" x="153"/>
        <item x="37"/>
        <item m="1" x="188"/>
        <item m="1" x="653"/>
        <item m="1" x="654"/>
        <item m="1" x="655"/>
        <item m="1" x="656"/>
        <item m="1" x="657"/>
        <item m="1" x="658"/>
        <item m="1" x="659"/>
        <item m="1" x="93"/>
        <item m="1" x="660"/>
        <item m="1" x="661"/>
        <item m="1" x="662"/>
        <item m="1" x="663"/>
        <item m="1" x="664"/>
        <item m="1" x="665"/>
        <item m="1" x="666"/>
        <item m="1" x="667"/>
        <item m="1" x="189"/>
        <item m="1" x="668"/>
        <item m="1" x="669"/>
        <item m="1" x="670"/>
        <item m="1" x="671"/>
        <item m="1" x="190"/>
        <item m="1" x="672"/>
        <item m="1" x="191"/>
        <item m="1" x="673"/>
        <item m="1" x="674"/>
        <item m="1" x="675"/>
        <item m="1" x="676"/>
        <item m="1" x="677"/>
        <item m="1" x="678"/>
        <item m="1" x="679"/>
        <item m="1" x="680"/>
        <item m="1" x="94"/>
        <item m="1" x="681"/>
        <item m="1" x="682"/>
        <item m="1" x="683"/>
        <item m="1" x="156"/>
        <item m="1" x="684"/>
        <item x="39"/>
        <item m="1" x="685"/>
        <item m="1" x="686"/>
        <item m="1" x="687"/>
        <item m="1" x="688"/>
        <item m="1" x="689"/>
        <item m="1" x="690"/>
        <item m="1" x="691"/>
        <item m="1" x="95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x="55"/>
        <item m="1" x="96"/>
        <item m="1" x="702"/>
        <item m="1" x="703"/>
        <item x="56"/>
        <item x="40"/>
        <item x="41"/>
        <item m="1" x="704"/>
        <item m="1" x="705"/>
        <item x="42"/>
        <item m="1" x="706"/>
        <item m="1" x="707"/>
        <item m="1" x="708"/>
        <item m="1" x="709"/>
        <item m="1" x="710"/>
        <item m="1" x="711"/>
        <item m="1" x="712"/>
        <item m="1" x="713"/>
        <item x="43"/>
        <item m="1" x="714"/>
        <item m="1" x="715"/>
        <item m="1" x="97"/>
        <item m="1" x="716"/>
        <item m="1" x="717"/>
        <item m="1" x="718"/>
        <item m="1" x="192"/>
        <item m="1" x="719"/>
        <item m="1" x="720"/>
        <item m="1" x="721"/>
        <item m="1" x="722"/>
        <item m="1" x="212"/>
        <item m="1" x="723"/>
        <item m="1" x="724"/>
        <item m="1" x="725"/>
        <item m="1" x="726"/>
        <item m="1" x="727"/>
        <item m="1" x="728"/>
        <item m="1" x="193"/>
        <item m="1" x="729"/>
        <item m="1" x="730"/>
        <item m="1" x="731"/>
        <item m="1" x="732"/>
        <item m="1" x="733"/>
        <item m="1" x="98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99"/>
        <item m="1" x="100"/>
        <item m="1" x="744"/>
        <item m="1" x="745"/>
        <item m="1" x="746"/>
        <item m="1" x="747"/>
        <item m="1" x="748"/>
        <item m="1" x="749"/>
        <item m="1" x="194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101"/>
        <item m="1" x="102"/>
        <item m="1" x="773"/>
        <item m="1" x="774"/>
        <item m="1" x="775"/>
        <item m="1" x="776"/>
        <item m="1" x="777"/>
        <item m="1" x="778"/>
        <item m="1" x="779"/>
        <item m="1" x="103"/>
        <item m="1" x="780"/>
        <item m="1" x="781"/>
        <item m="1" x="782"/>
        <item m="1" x="783"/>
        <item m="1" x="784"/>
        <item m="1" x="785"/>
        <item m="1" x="157"/>
        <item m="1" x="786"/>
        <item m="1" x="787"/>
        <item m="1" x="788"/>
        <item m="1" x="789"/>
        <item m="1" x="790"/>
        <item m="1" x="791"/>
        <item m="1" x="158"/>
        <item m="1" x="792"/>
        <item m="1" x="104"/>
        <item m="1" x="105"/>
        <item m="1" x="793"/>
        <item m="1" x="794"/>
        <item m="1" x="795"/>
        <item x="44"/>
        <item m="1" x="796"/>
        <item m="1" x="797"/>
        <item x="7"/>
        <item m="1" x="213"/>
        <item m="1" x="798"/>
        <item m="1" x="799"/>
        <item m="1" x="800"/>
        <item m="1" x="159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x="45"/>
        <item m="1" x="160"/>
        <item m="1" x="821"/>
        <item m="1" x="822"/>
        <item m="1" x="823"/>
        <item m="1" x="824"/>
        <item x="46"/>
        <item m="1" x="825"/>
        <item x="47"/>
        <item m="1" x="106"/>
        <item m="1" x="107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x="57"/>
        <item m="1" x="844"/>
        <item m="1" x="845"/>
        <item m="1" x="846"/>
        <item x="58"/>
        <item m="1" x="847"/>
        <item m="1" x="848"/>
        <item m="1" x="849"/>
        <item m="1" x="850"/>
        <item m="1" x="851"/>
        <item m="1" x="161"/>
        <item m="1" x="162"/>
        <item m="1" x="163"/>
        <item m="1" x="852"/>
        <item m="1" x="853"/>
        <item m="1" x="854"/>
        <item m="1" x="164"/>
        <item m="1" x="855"/>
        <item m="1" x="856"/>
        <item m="1" x="165"/>
        <item m="1" x="196"/>
        <item m="1" x="857"/>
        <item m="1" x="108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197"/>
        <item m="1" x="867"/>
        <item m="1" x="198"/>
        <item m="1" x="868"/>
        <item m="1" x="869"/>
        <item m="1" x="870"/>
        <item m="1" x="871"/>
        <item x="48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109"/>
        <item m="1" x="214"/>
        <item x="59"/>
        <item m="1" x="199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8"/>
        <item m="1" x="919"/>
        <item m="1" x="920"/>
        <item m="1" x="200"/>
        <item m="1" x="921"/>
        <item m="1" x="922"/>
        <item m="1" x="923"/>
        <item m="1" x="924"/>
        <item m="1" x="110"/>
        <item m="1" x="925"/>
        <item m="1" x="926"/>
        <item x="60"/>
        <item m="1" x="927"/>
        <item m="1" x="928"/>
        <item m="1" x="929"/>
        <item m="1" x="930"/>
        <item m="1" x="931"/>
        <item m="1" x="932"/>
        <item m="1" x="933"/>
        <item m="1" x="934"/>
        <item m="1" x="935"/>
        <item m="1" x="936"/>
        <item m="1" x="937"/>
        <item m="1" x="938"/>
        <item m="1" x="939"/>
        <item m="1" x="166"/>
        <item x="8"/>
        <item m="1" x="111"/>
        <item m="1" x="940"/>
        <item x="49"/>
        <item m="1" x="941"/>
        <item m="1" x="942"/>
        <item m="1" x="943"/>
        <item m="1" x="944"/>
        <item m="1" x="945"/>
        <item m="1" x="201"/>
        <item m="1" x="946"/>
        <item m="1" x="947"/>
        <item m="1" x="948"/>
        <item m="1" x="949"/>
        <item m="1" x="112"/>
        <item m="1" x="950"/>
        <item m="1" x="951"/>
        <item m="1" x="952"/>
        <item m="1" x="953"/>
        <item m="1" x="954"/>
        <item m="1" x="955"/>
        <item m="1" x="956"/>
        <item m="1" x="202"/>
        <item m="1" x="203"/>
        <item m="1" x="957"/>
        <item m="1" x="958"/>
        <item m="1" x="167"/>
        <item m="1" x="959"/>
        <item m="1" x="960"/>
        <item m="1" x="961"/>
        <item m="1" x="962"/>
        <item m="1" x="963"/>
        <item x="61"/>
        <item x="62"/>
        <item x="63"/>
        <item m="1" x="204"/>
        <item m="1" x="964"/>
        <item m="1" x="965"/>
        <item m="1" x="966"/>
        <item m="1" x="205"/>
        <item m="1" x="113"/>
        <item m="1" x="967"/>
        <item m="1" x="968"/>
        <item m="1" x="969"/>
        <item m="1" x="970"/>
        <item m="1" x="971"/>
        <item m="1" x="972"/>
        <item m="1" x="973"/>
        <item m="1" x="974"/>
        <item m="1" x="975"/>
        <item m="1" x="976"/>
        <item m="1" x="977"/>
        <item m="1" x="978"/>
        <item m="1" x="979"/>
        <item x="64"/>
        <item m="1" x="980"/>
        <item m="1" x="981"/>
        <item m="1" x="982"/>
        <item m="1" x="983"/>
        <item m="1" x="984"/>
        <item m="1" x="985"/>
        <item m="1" x="986"/>
        <item m="1" x="987"/>
        <item m="1" x="216"/>
        <item m="1" x="168"/>
        <item m="1" x="206"/>
        <item m="1" x="988"/>
        <item m="1" x="989"/>
        <item m="1" x="114"/>
        <item m="1" x="990"/>
        <item m="1" x="991"/>
        <item m="1" x="215"/>
        <item x="9"/>
        <item m="1" x="220"/>
        <item m="1" x="115"/>
        <item m="1" x="992"/>
        <item m="1" x="993"/>
        <item m="1" x="994"/>
        <item x="50"/>
        <item m="1" x="995"/>
        <item m="1" x="996"/>
        <item m="1" x="997"/>
        <item m="1" x="998"/>
        <item m="1" x="999"/>
        <item m="1" x="1000"/>
        <item m="1" x="1001"/>
        <item m="1" x="1002"/>
        <item m="1" x="1003"/>
        <item m="1" x="1004"/>
        <item m="1" x="116"/>
        <item m="1" x="1005"/>
        <item m="1" x="1006"/>
        <item m="1" x="1007"/>
        <item m="1" x="1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0"/>
        <item x="1"/>
        <item x="2"/>
        <item x="3"/>
        <item m="1" x="4"/>
        <item m="1" x="5"/>
        <item m="1" x="6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9">
        <item x="0"/>
        <item x="4"/>
        <item x="7"/>
        <item x="6"/>
        <item x="2"/>
        <item m="1" x="68"/>
        <item m="1" x="67"/>
        <item m="1" x="57"/>
        <item m="1" x="13"/>
        <item x="1"/>
        <item m="1" x="11"/>
        <item m="1" x="66"/>
        <item m="1" x="23"/>
        <item m="1" x="24"/>
        <item m="1" x="25"/>
        <item m="1" x="12"/>
        <item m="1" x="26"/>
        <item m="1" x="27"/>
        <item m="1" x="28"/>
        <item m="1" x="29"/>
        <item m="1" x="22"/>
        <item x="5"/>
        <item m="1" x="30"/>
        <item x="9"/>
        <item m="1" x="31"/>
        <item m="1" x="32"/>
        <item m="1" x="33"/>
        <item m="1" x="34"/>
        <item m="1" x="35"/>
        <item m="1" x="36"/>
        <item m="1" x="16"/>
        <item x="8"/>
        <item m="1" x="14"/>
        <item m="1" x="37"/>
        <item m="1" x="38"/>
        <item m="1" x="15"/>
        <item m="1" x="39"/>
        <item m="1" x="40"/>
        <item m="1" x="41"/>
        <item m="1" x="42"/>
        <item m="1" x="43"/>
        <item m="1" x="44"/>
        <item m="1" x="45"/>
        <item m="1" x="46"/>
        <item m="1" x="19"/>
        <item m="1" x="47"/>
        <item m="1" x="48"/>
        <item m="1" x="49"/>
        <item m="1" x="50"/>
        <item m="1" x="51"/>
        <item m="1" x="52"/>
        <item m="1" x="53"/>
        <item x="3"/>
        <item m="1" x="54"/>
        <item m="1" x="55"/>
        <item m="1" x="56"/>
        <item m="1" x="58"/>
        <item m="1" x="59"/>
        <item m="1" x="60"/>
        <item m="1" x="21"/>
        <item m="1" x="61"/>
        <item x="10"/>
        <item m="1" x="62"/>
        <item m="1" x="63"/>
        <item m="1" x="64"/>
        <item m="1" x="17"/>
        <item m="1" x="65"/>
        <item m="1" x="18"/>
        <item m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7">
        <item x="1"/>
        <item x="11"/>
        <item x="14"/>
        <item x="22"/>
        <item x="4"/>
        <item x="13"/>
        <item m="1" x="38"/>
        <item x="8"/>
        <item m="1" x="133"/>
        <item m="1" x="143"/>
        <item m="1" x="35"/>
        <item m="1" x="50"/>
        <item m="1" x="144"/>
        <item m="1" x="27"/>
        <item x="19"/>
        <item m="1" x="145"/>
        <item m="1" x="63"/>
        <item m="1" x="29"/>
        <item m="1" x="146"/>
        <item m="1" x="33"/>
        <item m="1" x="55"/>
        <item x="7"/>
        <item x="0"/>
        <item m="1" x="58"/>
        <item x="25"/>
        <item m="1" x="26"/>
        <item m="1" x="34"/>
        <item m="1" x="59"/>
        <item m="1" x="60"/>
        <item m="1" x="61"/>
        <item m="1" x="28"/>
        <item x="9"/>
        <item x="10"/>
        <item x="2"/>
        <item x="6"/>
        <item m="1" x="31"/>
        <item m="1" x="49"/>
        <item x="3"/>
        <item m="1" x="47"/>
        <item m="1" x="62"/>
        <item m="1" x="40"/>
        <item m="1" x="64"/>
        <item m="1" x="65"/>
        <item x="12"/>
        <item m="1" x="66"/>
        <item m="1" x="67"/>
        <item m="1" x="68"/>
        <item m="1" x="69"/>
        <item m="1" x="36"/>
        <item m="1" x="70"/>
        <item m="1" x="37"/>
        <item x="21"/>
        <item m="1" x="71"/>
        <item m="1" x="72"/>
        <item m="1" x="73"/>
        <item m="1" x="74"/>
        <item m="1" x="75"/>
        <item x="15"/>
        <item m="1" x="76"/>
        <item m="1" x="77"/>
        <item m="1" x="78"/>
        <item m="1" x="79"/>
        <item m="1" x="80"/>
        <item m="1" x="81"/>
        <item m="1" x="56"/>
        <item m="1" x="82"/>
        <item m="1" x="83"/>
        <item m="1" x="84"/>
        <item m="1" x="85"/>
        <item m="1" x="86"/>
        <item m="1" x="87"/>
        <item m="1" x="88"/>
        <item x="24"/>
        <item x="16"/>
        <item m="1" x="39"/>
        <item m="1" x="89"/>
        <item m="1" x="90"/>
        <item m="1" x="91"/>
        <item m="1" x="51"/>
        <item x="17"/>
        <item m="1" x="92"/>
        <item m="1" x="93"/>
        <item x="18"/>
        <item m="1" x="94"/>
        <item m="1" x="95"/>
        <item m="1" x="96"/>
        <item m="1" x="52"/>
        <item m="1" x="97"/>
        <item m="1" x="98"/>
        <item m="1" x="99"/>
        <item m="1" x="100"/>
        <item m="1" x="101"/>
        <item m="1" x="102"/>
        <item m="1" x="48"/>
        <item m="1" x="53"/>
        <item m="1" x="103"/>
        <item m="1" x="104"/>
        <item m="1" x="41"/>
        <item m="1" x="30"/>
        <item m="1" x="105"/>
        <item m="1" x="106"/>
        <item m="1" x="107"/>
        <item m="1" x="108"/>
        <item m="1" x="45"/>
        <item m="1" x="109"/>
        <item m="1" x="110"/>
        <item x="5"/>
        <item m="1" x="42"/>
        <item m="1" x="111"/>
        <item m="1" x="112"/>
        <item m="1" x="113"/>
        <item m="1" x="114"/>
        <item m="1" x="115"/>
        <item m="1" x="116"/>
        <item m="1" x="117"/>
        <item m="1" x="118"/>
        <item m="1" x="32"/>
        <item m="1" x="119"/>
        <item x="20"/>
        <item m="1" x="120"/>
        <item m="1" x="121"/>
        <item m="1" x="122"/>
        <item m="1" x="54"/>
        <item m="1" x="123"/>
        <item m="1" x="124"/>
        <item x="23"/>
        <item m="1" x="125"/>
        <item m="1" x="43"/>
        <item m="1" x="44"/>
        <item m="1" x="126"/>
        <item m="1" x="127"/>
        <item m="1" x="128"/>
        <item m="1" x="129"/>
        <item m="1" x="130"/>
        <item m="1" x="131"/>
        <item m="1" x="132"/>
        <item m="1" x="46"/>
        <item m="1" x="134"/>
        <item m="1" x="135"/>
        <item m="1" x="136"/>
        <item m="1" x="137"/>
        <item m="1" x="138"/>
        <item m="1" x="139"/>
        <item m="1" x="57"/>
        <item m="1" x="140"/>
        <item m="1" x="141"/>
        <item m="1" x="14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1"/>
        <item m="1" x="3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1">
    <field x="1"/>
    <field x="3"/>
    <field x="4"/>
    <field x="6"/>
    <field x="16"/>
    <field x="11"/>
    <field x="15"/>
    <field x="18"/>
    <field x="9"/>
    <field x="19"/>
    <field x="14"/>
  </rowFields>
  <rowItems count="92">
    <i>
      <x/>
      <x v="52"/>
      <x v="58"/>
      <x v="1"/>
      <x v="22"/>
      <x v="42"/>
      <x/>
      <x/>
      <x v="41"/>
      <x/>
      <x/>
    </i>
    <i r="1">
      <x v="86"/>
      <x v="61"/>
      <x/>
      <x v="24"/>
      <x v="985"/>
      <x v="1"/>
      <x/>
      <x v="741"/>
      <x/>
      <x v="1"/>
    </i>
    <i r="5">
      <x v="986"/>
      <x v="1"/>
      <x/>
      <x v="507"/>
      <x/>
      <x v="1"/>
    </i>
    <i r="5">
      <x v="987"/>
      <x v="1"/>
      <x/>
      <x v="507"/>
      <x/>
      <x v="1"/>
    </i>
    <i r="1">
      <x v="87"/>
      <x v="730"/>
      <x/>
      <x v="24"/>
      <x v="986"/>
      <x v="1"/>
      <x/>
      <x v="507"/>
      <x/>
      <x v="1"/>
    </i>
    <i r="5">
      <x v="987"/>
      <x v="1"/>
      <x/>
      <x v="507"/>
      <x/>
      <x v="1"/>
    </i>
    <i r="1">
      <x v="113"/>
      <x v="866"/>
      <x/>
      <x v="3"/>
      <x v="155"/>
      <x v="3"/>
      <x/>
      <x v="491"/>
      <x/>
      <x v="1"/>
    </i>
    <i r="1">
      <x v="123"/>
      <x v="775"/>
      <x v="1"/>
      <x v="14"/>
      <x v="566"/>
      <x v="23"/>
      <x/>
      <x v="178"/>
      <x/>
      <x v="3"/>
    </i>
    <i r="1">
      <x v="125"/>
      <x v="541"/>
      <x/>
      <x v="1"/>
      <x v="382"/>
      <x v="2"/>
      <x/>
      <x v="311"/>
      <x v="1"/>
      <x v="1"/>
    </i>
    <i r="1">
      <x v="135"/>
      <x v="448"/>
      <x v="1"/>
      <x v="57"/>
      <x v="302"/>
      <x v="1"/>
      <x/>
      <x v="192"/>
      <x/>
      <x v="2"/>
    </i>
    <i r="1">
      <x v="136"/>
      <x v="1145"/>
      <x v="1"/>
      <x v="57"/>
      <x v="837"/>
      <x v="1"/>
      <x/>
      <x v="640"/>
      <x/>
      <x v="2"/>
    </i>
    <i r="1">
      <x v="154"/>
      <x v="452"/>
      <x/>
      <x v="73"/>
      <x v="305"/>
      <x v="1"/>
      <x/>
      <x v="246"/>
      <x/>
      <x v="2"/>
    </i>
    <i r="1">
      <x v="170"/>
      <x v="1148"/>
      <x/>
      <x v="73"/>
      <x v="841"/>
      <x v="1"/>
      <x/>
      <x v="643"/>
      <x/>
      <x v="2"/>
    </i>
    <i r="1">
      <x v="254"/>
      <x v="3"/>
      <x/>
      <x v="1"/>
      <x v="111"/>
      <x v="3"/>
      <x/>
      <x v="74"/>
      <x/>
      <x v="1"/>
    </i>
    <i r="1">
      <x v="264"/>
      <x v="67"/>
      <x/>
      <x v="7"/>
      <x v="54"/>
      <x v="1"/>
      <x/>
      <x v="51"/>
      <x/>
      <x v="1"/>
    </i>
    <i r="1">
      <x v="288"/>
      <x v="880"/>
      <x v="21"/>
      <x v="3"/>
      <x v="644"/>
      <x v="23"/>
      <x/>
      <x v="492"/>
      <x/>
      <x v="3"/>
    </i>
    <i r="1">
      <x v="289"/>
      <x v="125"/>
      <x v="6"/>
      <x v="1"/>
      <x v="391"/>
      <x v="3"/>
      <x/>
      <x v="266"/>
      <x v="1"/>
      <x v="1"/>
    </i>
    <i r="1">
      <x v="322"/>
      <x v="96"/>
      <x v="1"/>
      <x v="33"/>
      <x v="82"/>
      <x v="9"/>
      <x/>
      <x v="70"/>
      <x/>
      <x v="1"/>
    </i>
    <i r="1">
      <x v="439"/>
      <x v="1372"/>
      <x/>
      <x v="7"/>
      <x v="1007"/>
      <x v="1"/>
      <x/>
      <x v="753"/>
      <x/>
      <x v="1"/>
    </i>
    <i r="1">
      <x v="488"/>
      <x v="473"/>
      <x/>
      <x v="79"/>
      <x v="324"/>
      <x v="1"/>
      <x/>
      <x v="263"/>
      <x/>
      <x v="2"/>
    </i>
    <i r="1">
      <x v="551"/>
      <x v="367"/>
      <x v="2"/>
      <x v="2"/>
      <x v="242"/>
      <x v="1"/>
      <x/>
      <x v="197"/>
      <x/>
      <x v="1"/>
    </i>
    <i r="1">
      <x v="558"/>
      <x v="184"/>
      <x/>
      <x v="34"/>
      <x v="138"/>
      <x v="1"/>
      <x/>
      <x v="116"/>
      <x v="1"/>
      <x v="1"/>
    </i>
    <i r="1">
      <x v="560"/>
      <x v="799"/>
      <x v="20"/>
      <x v="34"/>
      <x v="573"/>
      <x v="1"/>
      <x/>
      <x v="442"/>
      <x/>
      <x v="1"/>
    </i>
    <i r="1">
      <x v="577"/>
      <x v="188"/>
      <x/>
      <x v="1"/>
      <x v="111"/>
      <x v="1"/>
      <x/>
      <x v="74"/>
      <x/>
      <x v="1"/>
    </i>
    <i r="1">
      <x v="583"/>
      <x v="1320"/>
      <x/>
      <x v="72"/>
      <x v="938"/>
      <x v="1"/>
      <x/>
      <x v="705"/>
      <x/>
      <x v="1"/>
    </i>
    <i r="1">
      <x v="616"/>
      <x v="73"/>
      <x/>
      <x v="7"/>
      <x v="59"/>
      <x v="1"/>
      <x/>
      <x v="50"/>
      <x/>
      <x v="1"/>
    </i>
    <i r="1">
      <x v="617"/>
      <x v="74"/>
      <x/>
      <x v="7"/>
      <x v="59"/>
      <x v="1"/>
      <x/>
      <x v="50"/>
      <x/>
      <x v="1"/>
    </i>
    <i r="1">
      <x v="636"/>
      <x v="75"/>
      <x/>
      <x v="7"/>
      <x v="59"/>
      <x v="1"/>
      <x/>
      <x v="50"/>
      <x/>
      <x v="1"/>
    </i>
    <i r="1">
      <x v="664"/>
      <x v="76"/>
      <x/>
      <x v="7"/>
      <x v="59"/>
      <x v="1"/>
      <x/>
      <x v="50"/>
      <x/>
      <x v="1"/>
    </i>
    <i r="1">
      <x v="665"/>
      <x v="77"/>
      <x/>
      <x v="7"/>
      <x v="59"/>
      <x v="1"/>
      <x/>
      <x v="50"/>
      <x/>
      <x v="1"/>
    </i>
    <i r="1">
      <x v="671"/>
      <x v="808"/>
      <x v="21"/>
      <x v="118"/>
      <x v="597"/>
      <x v="23"/>
      <x/>
      <x v="461"/>
      <x/>
      <x v="2"/>
    </i>
    <i r="1">
      <x v="673"/>
      <x v="810"/>
      <x v="21"/>
      <x v="118"/>
      <x v="597"/>
      <x v="23"/>
      <x/>
      <x v="461"/>
      <x/>
      <x v="2"/>
    </i>
    <i r="1">
      <x v="674"/>
      <x v="811"/>
      <x v="21"/>
      <x v="118"/>
      <x v="597"/>
      <x v="23"/>
      <x/>
      <x v="461"/>
      <x/>
      <x v="2"/>
    </i>
    <i r="1">
      <x v="675"/>
      <x v="913"/>
      <x v="17"/>
      <x v="37"/>
      <x v="663"/>
      <x v="23"/>
      <x/>
      <x v="496"/>
      <x/>
      <x v="3"/>
    </i>
    <i r="1">
      <x v="709"/>
      <x v="311"/>
      <x/>
      <x v="5"/>
      <x v="195"/>
      <x v="1"/>
      <x/>
      <x v="160"/>
      <x v="1"/>
      <x v="1"/>
    </i>
    <i r="1">
      <x v="710"/>
      <x v="919"/>
      <x/>
      <x v="2"/>
      <x v="667"/>
      <x v="2"/>
      <x/>
      <x v="515"/>
      <x/>
      <x v="1"/>
    </i>
    <i r="4">
      <x v="7"/>
      <x v="668"/>
      <x v="1"/>
      <x/>
      <x v="516"/>
      <x/>
      <x v="1"/>
    </i>
    <i r="1">
      <x v="711"/>
      <x v="920"/>
      <x/>
      <x v="7"/>
      <x v="669"/>
      <x v="1"/>
      <x/>
      <x v="489"/>
      <x v="1"/>
      <x v="1"/>
    </i>
    <i r="1">
      <x v="712"/>
      <x v="1117"/>
      <x/>
      <x v="2"/>
      <x v="808"/>
      <x v="1"/>
      <x/>
      <x v="620"/>
      <x/>
      <x v="2"/>
    </i>
    <i r="1">
      <x v="713"/>
      <x v="378"/>
      <x/>
      <x v="2"/>
      <x v="251"/>
      <x v="1"/>
      <x/>
      <x v="206"/>
      <x/>
      <x v="2"/>
    </i>
    <i r="5">
      <x v="808"/>
      <x v="1"/>
      <x/>
      <x v="620"/>
      <x/>
      <x v="2"/>
    </i>
    <i r="1">
      <x v="717"/>
      <x v="492"/>
      <x/>
      <x v="73"/>
      <x v="338"/>
      <x v="1"/>
      <x/>
      <x v="276"/>
      <x v="1"/>
      <x v="1"/>
    </i>
    <i r="1">
      <x v="718"/>
      <x v="815"/>
      <x/>
      <x v="73"/>
      <x v="600"/>
      <x v="1"/>
      <x/>
      <x v="463"/>
      <x/>
      <x v="1"/>
    </i>
    <i r="1">
      <x v="721"/>
      <x v="312"/>
      <x/>
      <x v="5"/>
      <x v="196"/>
      <x v="1"/>
      <x/>
      <x v="161"/>
      <x v="1"/>
      <x v="1"/>
    </i>
    <i r="1">
      <x v="755"/>
      <x v="1322"/>
      <x/>
      <x v="72"/>
      <x v="938"/>
      <x v="1"/>
      <x/>
      <x v="705"/>
      <x/>
      <x v="1"/>
    </i>
    <i r="1">
      <x v="781"/>
      <x v="79"/>
      <x/>
      <x v="7"/>
      <x v="59"/>
      <x v="1"/>
      <x/>
      <x v="50"/>
      <x/>
      <x v="1"/>
    </i>
    <i r="1">
      <x v="788"/>
      <x v="926"/>
      <x v="2"/>
      <x v="1"/>
      <x v="672"/>
      <x v="1"/>
      <x/>
      <x v="519"/>
      <x v="1"/>
      <x v="1"/>
    </i>
    <i r="1">
      <x v="886"/>
      <x v="501"/>
      <x/>
      <x v="82"/>
      <x v="345"/>
      <x v="2"/>
      <x/>
      <x v="282"/>
      <x/>
      <x v="2"/>
    </i>
    <i r="1">
      <x v="889"/>
      <x v="671"/>
      <x/>
      <x v="82"/>
      <x v="470"/>
      <x v="2"/>
      <x/>
      <x v="282"/>
      <x v="1"/>
      <x v="2"/>
    </i>
    <i r="1">
      <x v="911"/>
      <x v="940"/>
      <x/>
      <x v="1"/>
      <x v="681"/>
      <x v="1"/>
      <x/>
      <x v="524"/>
      <x v="1"/>
      <x v="1"/>
    </i>
    <i r="1">
      <x v="915"/>
      <x v="701"/>
      <x/>
      <x v="34"/>
      <x v="499"/>
      <x v="2"/>
      <x/>
      <x v="387"/>
      <x/>
      <x v="2"/>
    </i>
    <i r="1">
      <x v="923"/>
      <x v="942"/>
      <x/>
      <x v="1"/>
      <x v="672"/>
      <x v="1"/>
      <x/>
      <x v="519"/>
      <x v="1"/>
      <x v="1"/>
    </i>
    <i r="1">
      <x v="929"/>
      <x v="821"/>
      <x/>
      <x v="51"/>
      <x v="604"/>
      <x v="1"/>
      <x/>
      <x v="465"/>
      <x/>
      <x v="1"/>
    </i>
    <i r="1">
      <x v="948"/>
      <x v="85"/>
      <x/>
      <x v="7"/>
      <x v="59"/>
      <x v="1"/>
      <x/>
      <x v="50"/>
      <x/>
      <x v="1"/>
    </i>
    <i r="1">
      <x v="949"/>
      <x v="1207"/>
      <x v="7"/>
      <x v="4"/>
      <x v="876"/>
      <x v="4"/>
      <x v="1"/>
      <x v="668"/>
      <x/>
      <x v="2"/>
    </i>
    <i r="1">
      <x v="950"/>
      <x v="672"/>
      <x/>
      <x v="82"/>
      <x v="470"/>
      <x v="2"/>
      <x/>
      <x v="282"/>
      <x v="1"/>
      <x v="2"/>
    </i>
    <i r="1">
      <x v="951"/>
      <x v="673"/>
      <x/>
      <x v="82"/>
      <x v="470"/>
      <x v="2"/>
      <x/>
      <x v="282"/>
      <x v="1"/>
      <x v="2"/>
    </i>
    <i r="1">
      <x v="952"/>
      <x v="944"/>
      <x/>
      <x v="2"/>
      <x v="667"/>
      <x v="2"/>
      <x/>
      <x v="515"/>
      <x/>
      <x v="1"/>
    </i>
    <i r="1">
      <x v="953"/>
      <x v="945"/>
      <x/>
      <x v="2"/>
      <x v="667"/>
      <x v="2"/>
      <x/>
      <x v="515"/>
      <x/>
      <x v="1"/>
    </i>
    <i r="1">
      <x v="971"/>
      <x v="510"/>
      <x/>
      <x v="37"/>
      <x v="351"/>
      <x/>
      <x/>
      <x v="241"/>
      <x/>
      <x/>
    </i>
    <i r="1">
      <x v="973"/>
      <x v="511"/>
      <x/>
      <x v="37"/>
      <x v="351"/>
      <x/>
      <x/>
      <x v="241"/>
      <x/>
      <x/>
    </i>
    <i r="1">
      <x v="1004"/>
      <x v="717"/>
      <x/>
      <x v="106"/>
      <x v="504"/>
      <x v="52"/>
      <x/>
      <x v="391"/>
      <x v="1"/>
      <x v="2"/>
    </i>
    <i r="1">
      <x v="1015"/>
      <x v="947"/>
      <x/>
      <x v="2"/>
      <x v="667"/>
      <x v="2"/>
      <x/>
      <x v="515"/>
      <x/>
      <x v="1"/>
    </i>
    <i r="1">
      <x v="1113"/>
      <x v="1082"/>
      <x/>
      <x v="106"/>
      <x v="779"/>
      <x v="52"/>
      <x/>
      <x v="594"/>
      <x v="1"/>
      <x v="1"/>
    </i>
    <i r="1">
      <x v="1122"/>
      <x v="953"/>
      <x/>
      <x v="2"/>
      <x v="667"/>
      <x v="2"/>
      <x/>
      <x v="515"/>
      <x/>
      <x v="1"/>
    </i>
    <i r="1">
      <x v="1124"/>
      <x v="1083"/>
      <x/>
      <x v="2"/>
      <x v="814"/>
      <x v="1"/>
      <x/>
      <x v="626"/>
      <x/>
      <x v="1"/>
    </i>
    <i r="1">
      <x v="1125"/>
      <x/>
      <x/>
      <x/>
      <x v="67"/>
      <x/>
      <x/>
      <x/>
      <x/>
      <x/>
    </i>
    <i r="5">
      <x v="264"/>
      <x/>
      <x/>
      <x/>
      <x/>
      <x/>
    </i>
    <i r="5">
      <x v="434"/>
      <x/>
      <x/>
      <x/>
      <x/>
      <x/>
    </i>
    <i r="5">
      <x v="460"/>
      <x/>
      <x/>
      <x/>
      <x/>
      <x/>
    </i>
    <i r="5">
      <x v="547"/>
      <x/>
      <x/>
      <x/>
      <x/>
      <x/>
    </i>
    <i r="5">
      <x v="953"/>
      <x/>
      <x/>
      <x/>
      <x/>
      <x/>
    </i>
    <i r="1">
      <x v="1144"/>
      <x v="1334"/>
      <x/>
      <x v="2"/>
      <x v="956"/>
      <x v="1"/>
      <x/>
      <x v="717"/>
      <x/>
      <x v="2"/>
    </i>
    <i r="1">
      <x v="1170"/>
      <x v="1123"/>
      <x/>
      <x v="2"/>
      <x v="816"/>
      <x v="2"/>
      <x/>
      <x v="627"/>
      <x v="1"/>
      <x v="1"/>
    </i>
    <i r="1">
      <x v="1173"/>
      <x v="519"/>
      <x v="19"/>
      <x v="14"/>
      <x v="360"/>
      <x v="1"/>
      <x/>
      <x v="291"/>
      <x/>
      <x v="3"/>
    </i>
    <i r="1">
      <x v="1181"/>
      <x v="57"/>
      <x/>
      <x v="21"/>
      <x v="41"/>
      <x v="1"/>
      <x/>
      <x v="40"/>
      <x v="1"/>
      <x v="2"/>
    </i>
    <i r="1">
      <x v="1206"/>
      <x v="687"/>
      <x v="1"/>
      <x v="4"/>
      <x v="484"/>
      <x v="4"/>
      <x v="1"/>
      <x v="374"/>
      <x/>
      <x/>
    </i>
    <i r="5">
      <x v="782"/>
      <x v="4"/>
      <x v="1"/>
      <x v="374"/>
      <x/>
      <x/>
    </i>
    <i r="5">
      <x v="1025"/>
      <x v="4"/>
      <x v="1"/>
      <x v="374"/>
      <x/>
      <x/>
    </i>
    <i r="1">
      <x v="1305"/>
      <x v="981"/>
      <x v="3"/>
      <x v="125"/>
      <x v="889"/>
      <x v="61"/>
      <x/>
      <x v="548"/>
      <x v="1"/>
      <x v="1"/>
    </i>
    <i r="1">
      <x v="1306"/>
      <x v="982"/>
      <x v="3"/>
      <x v="125"/>
      <x v="889"/>
      <x v="61"/>
      <x/>
      <x v="548"/>
      <x v="1"/>
      <x v="1"/>
    </i>
    <i r="1">
      <x v="1307"/>
      <x v="983"/>
      <x v="3"/>
      <x v="125"/>
      <x v="889"/>
      <x v="61"/>
      <x/>
      <x v="548"/>
      <x v="1"/>
      <x v="1"/>
    </i>
    <i r="1">
      <x v="1312"/>
      <x v="439"/>
      <x/>
      <x v="4"/>
      <x v="289"/>
      <x v="4"/>
      <x v="1"/>
      <x v="237"/>
      <x/>
      <x v="1"/>
    </i>
    <i r="1">
      <x v="1345"/>
      <x v="962"/>
      <x/>
      <x v="2"/>
      <x v="667"/>
      <x v="2"/>
      <x/>
      <x v="515"/>
      <x/>
      <x v="1"/>
    </i>
    <i r="1">
      <x v="1346"/>
      <x v="1407"/>
      <x/>
      <x v="34"/>
      <x v="1031"/>
      <x v="1"/>
      <x/>
      <x v="773"/>
      <x/>
      <x v="1"/>
    </i>
    <i r="1">
      <x v="1347"/>
      <x v="292"/>
      <x v="1"/>
      <x v="1"/>
      <x v="111"/>
      <x v="2"/>
      <x/>
      <x v="74"/>
      <x/>
      <x v="1"/>
    </i>
    <i r="1">
      <x v="1348"/>
      <x v="965"/>
      <x/>
      <x v="1"/>
      <x v="681"/>
      <x v="3"/>
      <x/>
      <x v="524"/>
      <x v="1"/>
      <x v="1"/>
    </i>
    <i r="1">
      <x v="1349"/>
      <x v="36"/>
      <x v="2"/>
      <x v="1"/>
      <x v="111"/>
      <x v="3"/>
      <x/>
      <x v="74"/>
      <x/>
      <x v="1"/>
    </i>
    <i r="1">
      <x v="1350"/>
      <x v="93"/>
      <x v="1"/>
      <x v="31"/>
      <x v="76"/>
      <x v="21"/>
      <x/>
      <x v="67"/>
      <x/>
      <x v="1"/>
    </i>
    <i r="1">
      <x v="1351"/>
      <x v="299"/>
      <x v="9"/>
      <x v="43"/>
      <x v="180"/>
      <x v="31"/>
      <x/>
      <x v="148"/>
      <x/>
      <x v="1"/>
    </i>
    <i r="5">
      <x v="181"/>
      <x v="31"/>
      <x/>
      <x v="148"/>
      <x/>
      <x v="1"/>
    </i>
    <i r="1">
      <x v="1352"/>
      <x v="94"/>
      <x v="9"/>
      <x v="32"/>
      <x v="78"/>
      <x v="21"/>
      <x/>
      <x v="68"/>
      <x/>
      <x v="1"/>
    </i>
  </rowItems>
  <colItems count="1">
    <i/>
  </colItems>
  <dataFields count="1">
    <dataField name=" Cantidad" fld="5" baseField="0" baseItem="0"/>
  </dataFields>
  <formats count="18">
    <format dxfId="46">
      <pivotArea field="1" type="button" dataOnly="0" labelOnly="1" outline="0" axis="axisRow" fieldPosition="0"/>
    </format>
    <format dxfId="45">
      <pivotArea field="4" type="button" dataOnly="0" labelOnly="1" outline="0" axis="axisRow" fieldPosition="2"/>
    </format>
    <format dxfId="44">
      <pivotArea field="3" type="button" dataOnly="0" labelOnly="1" outline="0" axis="axisRow" fieldPosition="1"/>
    </format>
    <format dxfId="43">
      <pivotArea field="5" type="button" dataOnly="0" labelOnly="1" outline="0"/>
    </format>
    <format dxfId="42">
      <pivotArea field="6" type="button" dataOnly="0" labelOnly="1" outline="0" axis="axisRow" fieldPosition="3"/>
    </format>
    <format dxfId="41">
      <pivotArea field="16" type="button" dataOnly="0" labelOnly="1" outline="0" axis="axisRow" fieldPosition="4"/>
    </format>
    <format dxfId="40">
      <pivotArea field="11" type="button" dataOnly="0" labelOnly="1" outline="0" axis="axisRow" fieldPosition="5"/>
    </format>
    <format dxfId="39">
      <pivotArea field="15" type="button" dataOnly="0" labelOnly="1" outline="0" axis="axisRow" fieldPosition="6"/>
    </format>
    <format dxfId="38">
      <pivotArea field="18" type="button" dataOnly="0" labelOnly="1" outline="0" axis="axisRow" fieldPosition="7"/>
    </format>
    <format dxfId="37">
      <pivotArea field="9" type="button" dataOnly="0" labelOnly="1" outline="0" axis="axisRow" fieldPosition="8"/>
    </format>
    <format dxfId="36">
      <pivotArea field="19" type="button" dataOnly="0" labelOnly="1" outline="0" axis="axisRow" fieldPosition="9"/>
    </format>
    <format dxfId="35">
      <pivotArea field="9" type="button" dataOnly="0" labelOnly="1" outline="0" axis="axisRow" fieldPosition="8"/>
    </format>
    <format dxfId="34">
      <pivotArea field="9" type="button" dataOnly="0" labelOnly="1" outline="0" axis="axisRow" fieldPosition="8"/>
    </format>
    <format dxfId="33">
      <pivotArea field="9" type="button" dataOnly="0" labelOnly="1" outline="0" axis="axisRow" fieldPosition="8"/>
    </format>
    <format dxfId="32">
      <pivotArea field="9" type="button" dataOnly="0" labelOnly="1" outline="0" axis="axisRow" fieldPosition="8"/>
    </format>
    <format dxfId="31">
      <pivotArea field="9" type="button" dataOnly="0" labelOnly="1" outline="0" axis="axisRow" fieldPosition="8"/>
    </format>
    <format dxfId="30">
      <pivotArea field="14" type="button" dataOnly="0" labelOnly="1" outline="0" axis="axisRow" fieldPosition="10"/>
    </format>
    <format dxfId="29">
      <pivotArea dataOnly="0" labelOnly="1" outline="0" axis="axisValues" fieldPosition="0"/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gresos" displayName="Ingresos" ref="A6:T101" totalsRowShown="0">
  <autoFilter ref="A6:T101" xr:uid="{00000000-000C-0000-FFFF-FFFF00000000}"/>
  <sortState xmlns:xlrd2="http://schemas.microsoft.com/office/spreadsheetml/2017/richdata2" ref="A7:T7">
    <sortCondition ref="C6:C7"/>
  </sortState>
  <tableColumns count="20">
    <tableColumn id="10" xr3:uid="{00000000-0010-0000-0000-00000A000000}" name="Concatenar" dataDxfId="28">
      <calculatedColumnFormula>Ingresos[[#This Row],[Centro]]&amp;Ingresos[[#This Row],[Almacén]]&amp;Ingresos[[#This Row],[Codigo]]&amp;Ingresos[[#This Row],[Pedido]]&amp;Ingresos[[#This Row],[Posición]]</calculatedColumnFormula>
    </tableColumn>
    <tableColumn id="1" xr3:uid="{00000000-0010-0000-0000-000001000000}" name="Centro" dataDxfId="18"/>
    <tableColumn id="2" xr3:uid="{00000000-0010-0000-0000-000002000000}" name="Almacén" dataDxfId="17"/>
    <tableColumn id="20" xr3:uid="{00000000-0010-0000-0000-000014000000}" name="Codigo" dataDxfId="16"/>
    <tableColumn id="3" xr3:uid="{00000000-0010-0000-0000-000003000000}" name="Denomin." dataDxfId="15"/>
    <tableColumn id="4" xr3:uid="{00000000-0010-0000-0000-000004000000}" name="Cantidad" dataDxfId="14"/>
    <tableColumn id="5" xr3:uid="{00000000-0010-0000-0000-000005000000}" name="UM" dataDxfId="13"/>
    <tableColumn id="6" xr3:uid="{00000000-0010-0000-0000-000006000000}" name="Cl.mov." dataDxfId="12"/>
    <tableColumn id="14" xr3:uid="{00000000-0010-0000-0000-00000E000000}" name="Posición" dataDxfId="11"/>
    <tableColumn id="7" xr3:uid="{00000000-0010-0000-0000-000007000000}" name="Pedido" dataDxfId="10"/>
    <tableColumn id="8" xr3:uid="{00000000-0010-0000-0000-000008000000}" name="Fe.contable" dataDxfId="9"/>
    <tableColumn id="11" xr3:uid="{00000000-0010-0000-0000-00000B000000}" name="Referencia" dataDxfId="8"/>
    <tableColumn id="12" xr3:uid="{00000000-0010-0000-0000-00000C000000}" name="Doc.mat." dataDxfId="7"/>
    <tableColumn id="13" xr3:uid="{00000000-0010-0000-0000-00000D000000}" name="Usuario Almacen" dataDxfId="6"/>
    <tableColumn id="16" xr3:uid="{00000000-0010-0000-0000-000010000000}" name="Comprador" dataDxfId="5"/>
    <tableColumn id="15" xr3:uid="{00000000-0010-0000-0000-00000F000000}" name="Solicitante" dataDxfId="4"/>
    <tableColumn id="17" xr3:uid="{00000000-0010-0000-0000-000011000000}" name="Proveedor" dataDxfId="3"/>
    <tableColumn id="18" xr3:uid="{00000000-0010-0000-0000-000012000000}" name="Fec. Entrega" dataDxfId="2"/>
    <tableColumn id="9" xr3:uid="{00000000-0010-0000-0000-000009000000}" name="Imputación" dataDxfId="1"/>
    <tableColumn id="19" xr3:uid="{00000000-0010-0000-0000-000013000000}" name="Evaluación proveedor" dataDxfId="0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B95C43C4-FC11-40F6-8637-263FF18651BF}" name="Detalle_OC" displayName="Detalle_OC" ref="A2:L5123" totalsRowShown="0">
  <autoFilter ref="A2:L5123" xr:uid="{00000000-0009-0000-0100-000007000000}"/>
  <tableColumns count="12">
    <tableColumn id="1" xr3:uid="{B95E5AE9-5534-435F-A2FA-0EEDEFC027CF}" name="Concatena" dataDxfId="27">
      <calculatedColumnFormula>Detalle_OC[[#This Row],[Centro]]&amp;Detalle_OC[[#This Row],[Nom Almacen]]&amp;Detalle_OC[[#This Row],[Material]]&amp;Detalle_OC[[#This Row],[Pedido]]&amp;Detalle_OC[[#This Row],[Posicion]]</calculatedColumnFormula>
    </tableColumn>
    <tableColumn id="2" xr3:uid="{AE24A89F-7B47-4057-8A51-3869EAE6876E}" name="Solicit.    "/>
    <tableColumn id="3" xr3:uid="{75705BD8-13C8-45AC-B706-84C6D3FD6C66}" name="Proveedor          "/>
    <tableColumn id="4" xr3:uid="{E7731353-EB4B-429A-A952-CA84729267EA}" name="Fe.entrega" dataDxfId="26"/>
    <tableColumn id="5" xr3:uid="{43F945B3-7247-470A-9484-0AB7849EF44C}" name="Imputación"/>
    <tableColumn id="6" xr3:uid="{F65BCD24-C7A6-4437-99F9-E2D8BB854970}" name="Centro"/>
    <tableColumn id="8" xr3:uid="{57797FD1-D633-4240-877D-2F47A77378DE}" name="Material"/>
    <tableColumn id="9" xr3:uid="{A695AB2F-4D04-46C5-8757-20E6A418FC43}" name="Pedido"/>
    <tableColumn id="10" xr3:uid="{AA4CD74D-1D4B-462F-8193-F4150C7C4D52}" name="Posicion"/>
    <tableColumn id="7" xr3:uid="{CDFF2A91-EC9B-4D79-8C81-CDF5697229D7}" name="Nro Almacen" dataDxfId="25"/>
    <tableColumn id="11" xr3:uid="{82AA2B29-650C-48B4-AA9D-E801B95DEFE5}" name="Fe.Doc" dataDxfId="24"/>
    <tableColumn id="12" xr3:uid="{6B5C9E28-C3D7-4D31-A623-5033497231BF}" name="Nom Almacen">
      <calculatedColumnFormula>IFERROR(VLOOKUP(Detalle_OC[[#This Row],[Centro]]&amp;Detalle_OC[[#This Row],[Nro Almacen]],Almacen!A:D,4,FALSE),"")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Compradores" displayName="Compradores" ref="B4:C2984" totalsRowShown="0">
  <autoFilter ref="B4:C2984" xr:uid="{00000000-0009-0000-0100-000002000000}"/>
  <tableColumns count="2">
    <tableColumn id="1" xr3:uid="{00000000-0010-0000-0200-000001000000}" name="Doc.compr."/>
    <tableColumn id="2" xr3:uid="{00000000-0010-0000-0200-000002000000}" name="Usuario Comprador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3:L764"/>
  <sheetViews>
    <sheetView showGridLines="0" topLeftCell="B1" zoomScale="90" zoomScaleNormal="95" workbookViewId="0">
      <selection activeCell="G9" sqref="G9"/>
    </sheetView>
  </sheetViews>
  <sheetFormatPr baseColWidth="10" defaultColWidth="11.5546875" defaultRowHeight="14.4" x14ac:dyDescent="0.3"/>
  <cols>
    <col min="1" max="1" width="27" style="17" bestFit="1" customWidth="1"/>
    <col min="2" max="2" width="13.109375" style="13" bestFit="1" customWidth="1"/>
    <col min="3" max="3" width="45.5546875" style="13" bestFit="1" customWidth="1"/>
    <col min="4" max="4" width="9.33203125" style="13" bestFit="1" customWidth="1"/>
    <col min="5" max="5" width="36.5546875" style="13" bestFit="1" customWidth="1"/>
    <col min="6" max="6" width="17.109375" style="13" bestFit="1" customWidth="1"/>
    <col min="7" max="7" width="15.33203125" style="13" bestFit="1" customWidth="1"/>
    <col min="8" max="8" width="18.6640625" style="13" bestFit="1" customWidth="1"/>
    <col min="9" max="9" width="12.33203125" style="13" bestFit="1" customWidth="1"/>
    <col min="10" max="10" width="22.33203125" style="13" bestFit="1" customWidth="1"/>
    <col min="11" max="12" width="14.33203125" style="13" bestFit="1" customWidth="1"/>
    <col min="13" max="16384" width="11.5546875" style="13"/>
  </cols>
  <sheetData>
    <row r="3" spans="1:12" x14ac:dyDescent="0.3">
      <c r="A3" s="14" t="s">
        <v>0</v>
      </c>
      <c r="B3" s="14" t="s">
        <v>1</v>
      </c>
      <c r="C3" s="14" t="s">
        <v>2</v>
      </c>
      <c r="D3" s="14" t="s">
        <v>3</v>
      </c>
      <c r="E3" s="14" t="s">
        <v>4</v>
      </c>
      <c r="F3" s="14" t="s">
        <v>5</v>
      </c>
      <c r="G3" s="14" t="s">
        <v>6</v>
      </c>
      <c r="H3" s="14" t="s">
        <v>7</v>
      </c>
      <c r="I3" s="14" t="s">
        <v>8</v>
      </c>
      <c r="J3" s="14" t="s">
        <v>9</v>
      </c>
      <c r="K3" s="18" t="s">
        <v>10</v>
      </c>
      <c r="L3" s="14" t="s">
        <v>11</v>
      </c>
    </row>
    <row r="4" spans="1:12" x14ac:dyDescent="0.3">
      <c r="A4" s="19" t="s">
        <v>12</v>
      </c>
      <c r="B4" s="15">
        <v>721426</v>
      </c>
      <c r="C4" s="15" t="s">
        <v>934</v>
      </c>
      <c r="D4" s="15" t="s">
        <v>21</v>
      </c>
      <c r="E4" s="15" t="s">
        <v>1108</v>
      </c>
      <c r="F4" s="15" t="s">
        <v>936</v>
      </c>
      <c r="G4" s="15" t="s">
        <v>28</v>
      </c>
      <c r="H4" s="15" t="s">
        <v>16</v>
      </c>
      <c r="I4" s="15">
        <v>5500024939</v>
      </c>
      <c r="J4" s="15" t="s">
        <v>17</v>
      </c>
      <c r="L4" s="15">
        <v>30000</v>
      </c>
    </row>
    <row r="5" spans="1:12" x14ac:dyDescent="0.3">
      <c r="A5" s="19" t="s">
        <v>12</v>
      </c>
      <c r="B5" s="15">
        <v>724696</v>
      </c>
      <c r="C5" s="15" t="s">
        <v>862</v>
      </c>
      <c r="D5" s="15" t="s">
        <v>13</v>
      </c>
      <c r="E5" s="15" t="s">
        <v>272</v>
      </c>
      <c r="F5" s="15" t="s">
        <v>1098</v>
      </c>
      <c r="G5" s="15" t="s">
        <v>26</v>
      </c>
      <c r="H5" s="15" t="s">
        <v>16</v>
      </c>
      <c r="I5" s="15">
        <v>4511571466</v>
      </c>
      <c r="J5" s="15" t="s">
        <v>17</v>
      </c>
      <c r="K5" s="13" t="s">
        <v>20</v>
      </c>
      <c r="L5" s="15">
        <v>10</v>
      </c>
    </row>
    <row r="6" spans="1:12" x14ac:dyDescent="0.3">
      <c r="A6" s="19" t="s">
        <v>12</v>
      </c>
      <c r="B6" s="15">
        <v>724696</v>
      </c>
      <c r="C6" s="15" t="s">
        <v>862</v>
      </c>
      <c r="D6" s="15" t="s">
        <v>13</v>
      </c>
      <c r="E6" s="15" t="s">
        <v>272</v>
      </c>
      <c r="F6" s="15" t="s">
        <v>1099</v>
      </c>
      <c r="G6" s="15" t="s">
        <v>26</v>
      </c>
      <c r="H6" s="15" t="s">
        <v>16</v>
      </c>
      <c r="I6" s="15">
        <v>4511571465</v>
      </c>
      <c r="J6" s="15" t="s">
        <v>17</v>
      </c>
      <c r="K6" s="13" t="s">
        <v>20</v>
      </c>
      <c r="L6" s="15">
        <v>0</v>
      </c>
    </row>
    <row r="7" spans="1:12" x14ac:dyDescent="0.3">
      <c r="A7" s="19" t="s">
        <v>12</v>
      </c>
      <c r="B7" s="15">
        <v>724696</v>
      </c>
      <c r="C7" s="15" t="s">
        <v>862</v>
      </c>
      <c r="D7" s="15" t="s">
        <v>13</v>
      </c>
      <c r="E7" s="15" t="s">
        <v>272</v>
      </c>
      <c r="F7" s="15" t="s">
        <v>1100</v>
      </c>
      <c r="G7" s="15" t="s">
        <v>26</v>
      </c>
      <c r="H7" s="15" t="s">
        <v>16</v>
      </c>
      <c r="I7" s="15">
        <v>4511571465</v>
      </c>
      <c r="J7" s="15" t="s">
        <v>17</v>
      </c>
      <c r="K7" s="13" t="s">
        <v>20</v>
      </c>
      <c r="L7" s="15">
        <v>10</v>
      </c>
    </row>
    <row r="8" spans="1:12" x14ac:dyDescent="0.3">
      <c r="A8" s="19" t="s">
        <v>12</v>
      </c>
      <c r="B8" s="15">
        <v>724828</v>
      </c>
      <c r="C8" s="15" t="s">
        <v>869</v>
      </c>
      <c r="D8" s="15" t="s">
        <v>13</v>
      </c>
      <c r="E8" s="15" t="s">
        <v>272</v>
      </c>
      <c r="F8" s="15" t="s">
        <v>1099</v>
      </c>
      <c r="G8" s="15" t="s">
        <v>26</v>
      </c>
      <c r="H8" s="15" t="s">
        <v>16</v>
      </c>
      <c r="I8" s="15">
        <v>4511571465</v>
      </c>
      <c r="J8" s="15" t="s">
        <v>17</v>
      </c>
      <c r="K8" s="13" t="s">
        <v>20</v>
      </c>
      <c r="L8" s="15">
        <v>0</v>
      </c>
    </row>
    <row r="9" spans="1:12" x14ac:dyDescent="0.3">
      <c r="A9" s="19" t="s">
        <v>12</v>
      </c>
      <c r="B9" s="15">
        <v>724828</v>
      </c>
      <c r="C9" s="15" t="s">
        <v>869</v>
      </c>
      <c r="D9" s="15" t="s">
        <v>13</v>
      </c>
      <c r="E9" s="15" t="s">
        <v>272</v>
      </c>
      <c r="F9" s="15" t="s">
        <v>1100</v>
      </c>
      <c r="G9" s="15" t="s">
        <v>26</v>
      </c>
      <c r="H9" s="15" t="s">
        <v>16</v>
      </c>
      <c r="I9" s="15">
        <v>4511571465</v>
      </c>
      <c r="J9" s="15" t="s">
        <v>17</v>
      </c>
      <c r="K9" s="13" t="s">
        <v>20</v>
      </c>
      <c r="L9" s="15">
        <v>11</v>
      </c>
    </row>
    <row r="10" spans="1:12" x14ac:dyDescent="0.3">
      <c r="A10" s="19" t="s">
        <v>12</v>
      </c>
      <c r="B10" s="15">
        <v>736856</v>
      </c>
      <c r="C10" s="15" t="s">
        <v>916</v>
      </c>
      <c r="D10" s="15" t="s">
        <v>13</v>
      </c>
      <c r="E10" s="15" t="s">
        <v>14</v>
      </c>
      <c r="F10" s="15" t="s">
        <v>965</v>
      </c>
      <c r="G10" s="15" t="s">
        <v>15</v>
      </c>
      <c r="H10" s="15" t="s">
        <v>16</v>
      </c>
      <c r="I10" s="15">
        <v>4511571748</v>
      </c>
      <c r="J10" s="15" t="s">
        <v>17</v>
      </c>
      <c r="K10" s="13" t="s">
        <v>20</v>
      </c>
      <c r="L10" s="15">
        <v>4</v>
      </c>
    </row>
    <row r="11" spans="1:12" x14ac:dyDescent="0.3">
      <c r="A11" s="19" t="s">
        <v>12</v>
      </c>
      <c r="B11" s="15">
        <v>744716</v>
      </c>
      <c r="C11" s="15" t="s">
        <v>1048</v>
      </c>
      <c r="D11" s="15" t="s">
        <v>21</v>
      </c>
      <c r="E11" s="15" t="s">
        <v>44</v>
      </c>
      <c r="F11" s="15" t="s">
        <v>1049</v>
      </c>
      <c r="G11" s="15" t="s">
        <v>148</v>
      </c>
      <c r="H11" s="15" t="s">
        <v>16</v>
      </c>
      <c r="I11" s="15">
        <v>4511572284</v>
      </c>
      <c r="J11" s="15" t="s">
        <v>17</v>
      </c>
      <c r="K11" s="13" t="s">
        <v>18</v>
      </c>
      <c r="L11" s="15">
        <v>65</v>
      </c>
    </row>
    <row r="12" spans="1:12" x14ac:dyDescent="0.3">
      <c r="A12" s="19" t="s">
        <v>12</v>
      </c>
      <c r="B12" s="15">
        <v>745473</v>
      </c>
      <c r="C12" s="15" t="s">
        <v>1014</v>
      </c>
      <c r="D12" s="15" t="s">
        <v>13</v>
      </c>
      <c r="E12" s="15" t="s">
        <v>22</v>
      </c>
      <c r="F12" s="15" t="s">
        <v>1015</v>
      </c>
      <c r="G12" s="15" t="s">
        <v>50</v>
      </c>
      <c r="H12" s="15" t="s">
        <v>16</v>
      </c>
      <c r="I12" s="15">
        <v>4511571083</v>
      </c>
      <c r="J12" s="15" t="s">
        <v>23</v>
      </c>
      <c r="K12" s="13" t="s">
        <v>20</v>
      </c>
      <c r="L12" s="15">
        <v>1</v>
      </c>
    </row>
    <row r="13" spans="1:12" x14ac:dyDescent="0.3">
      <c r="A13" s="19" t="s">
        <v>12</v>
      </c>
      <c r="B13" s="15">
        <v>748268</v>
      </c>
      <c r="C13" s="15" t="s">
        <v>994</v>
      </c>
      <c r="D13" s="15" t="s">
        <v>21</v>
      </c>
      <c r="E13" s="15" t="s">
        <v>173</v>
      </c>
      <c r="F13" s="15" t="s">
        <v>995</v>
      </c>
      <c r="G13" s="15" t="s">
        <v>26</v>
      </c>
      <c r="H13" s="15" t="s">
        <v>16</v>
      </c>
      <c r="I13" s="15">
        <v>4511572899</v>
      </c>
      <c r="J13" s="15" t="s">
        <v>17</v>
      </c>
      <c r="K13" s="13" t="s">
        <v>30</v>
      </c>
      <c r="L13" s="15">
        <v>5.6</v>
      </c>
    </row>
    <row r="14" spans="1:12" x14ac:dyDescent="0.3">
      <c r="A14" s="19" t="s">
        <v>12</v>
      </c>
      <c r="B14" s="15">
        <v>748341</v>
      </c>
      <c r="C14" s="15" t="s">
        <v>882</v>
      </c>
      <c r="D14" s="15" t="s">
        <v>21</v>
      </c>
      <c r="E14" s="15" t="s">
        <v>173</v>
      </c>
      <c r="F14" s="15" t="s">
        <v>1087</v>
      </c>
      <c r="G14" s="15" t="s">
        <v>26</v>
      </c>
      <c r="H14" s="15" t="s">
        <v>16</v>
      </c>
      <c r="I14" s="15">
        <v>4511570734</v>
      </c>
      <c r="J14" s="15" t="s">
        <v>17</v>
      </c>
      <c r="K14" s="13" t="s">
        <v>30</v>
      </c>
      <c r="L14" s="15">
        <v>5.2</v>
      </c>
    </row>
    <row r="15" spans="1:12" x14ac:dyDescent="0.3">
      <c r="A15" s="19" t="s">
        <v>12</v>
      </c>
      <c r="B15" s="15">
        <v>755674</v>
      </c>
      <c r="C15" s="15" t="s">
        <v>996</v>
      </c>
      <c r="D15" s="15" t="s">
        <v>13</v>
      </c>
      <c r="E15" s="15" t="s">
        <v>240</v>
      </c>
      <c r="F15" s="15" t="s">
        <v>997</v>
      </c>
      <c r="G15" s="15" t="s">
        <v>26</v>
      </c>
      <c r="H15" s="15" t="s">
        <v>16</v>
      </c>
      <c r="I15" s="15">
        <v>4511572148</v>
      </c>
      <c r="J15" s="15" t="s">
        <v>17</v>
      </c>
      <c r="K15" s="13" t="s">
        <v>30</v>
      </c>
      <c r="L15" s="15">
        <v>3</v>
      </c>
    </row>
    <row r="16" spans="1:12" x14ac:dyDescent="0.3">
      <c r="A16" s="19" t="s">
        <v>12</v>
      </c>
      <c r="B16" s="15">
        <v>760364</v>
      </c>
      <c r="C16" s="15" t="s">
        <v>883</v>
      </c>
      <c r="D16" s="15" t="s">
        <v>13</v>
      </c>
      <c r="E16" s="15" t="s">
        <v>240</v>
      </c>
      <c r="F16" s="15" t="s">
        <v>1088</v>
      </c>
      <c r="G16" s="15" t="s">
        <v>26</v>
      </c>
      <c r="H16" s="15" t="s">
        <v>16</v>
      </c>
      <c r="I16" s="15">
        <v>4511570257</v>
      </c>
      <c r="J16" s="15" t="s">
        <v>17</v>
      </c>
      <c r="K16" s="13" t="s">
        <v>30</v>
      </c>
      <c r="L16" s="15">
        <v>1</v>
      </c>
    </row>
    <row r="17" spans="1:12" x14ac:dyDescent="0.3">
      <c r="A17" s="19" t="s">
        <v>12</v>
      </c>
      <c r="B17" s="15">
        <v>802317</v>
      </c>
      <c r="C17" s="15" t="s">
        <v>35</v>
      </c>
      <c r="D17" s="15" t="s">
        <v>13</v>
      </c>
      <c r="E17" s="15" t="s">
        <v>22</v>
      </c>
      <c r="F17" s="15" t="s">
        <v>960</v>
      </c>
      <c r="G17" s="15" t="s">
        <v>15</v>
      </c>
      <c r="H17" s="15" t="s">
        <v>16</v>
      </c>
      <c r="I17" s="15">
        <v>4511573901</v>
      </c>
      <c r="J17" s="15" t="s">
        <v>17</v>
      </c>
      <c r="K17" s="13" t="s">
        <v>20</v>
      </c>
      <c r="L17" s="15">
        <v>10</v>
      </c>
    </row>
    <row r="18" spans="1:12" x14ac:dyDescent="0.3">
      <c r="A18" s="19" t="s">
        <v>12</v>
      </c>
      <c r="B18" s="15">
        <v>804894</v>
      </c>
      <c r="C18" s="15" t="s">
        <v>937</v>
      </c>
      <c r="D18" s="15" t="s">
        <v>13</v>
      </c>
      <c r="E18" s="15" t="s">
        <v>32</v>
      </c>
      <c r="F18" s="15" t="s">
        <v>938</v>
      </c>
      <c r="G18" s="15" t="s">
        <v>26</v>
      </c>
      <c r="H18" s="15" t="s">
        <v>16</v>
      </c>
      <c r="I18" s="15">
        <v>4511573785</v>
      </c>
      <c r="J18" s="15" t="s">
        <v>17</v>
      </c>
      <c r="K18" s="13" t="s">
        <v>20</v>
      </c>
      <c r="L18" s="15">
        <v>2</v>
      </c>
    </row>
    <row r="19" spans="1:12" x14ac:dyDescent="0.3">
      <c r="A19" s="19" t="s">
        <v>12</v>
      </c>
      <c r="B19" s="15">
        <v>808346</v>
      </c>
      <c r="C19" s="15" t="s">
        <v>917</v>
      </c>
      <c r="D19" s="15" t="s">
        <v>918</v>
      </c>
      <c r="E19" s="15" t="s">
        <v>14</v>
      </c>
      <c r="F19" s="15" t="s">
        <v>1066</v>
      </c>
      <c r="G19" s="15" t="s">
        <v>148</v>
      </c>
      <c r="H19" s="15" t="s">
        <v>16</v>
      </c>
      <c r="I19" s="15">
        <v>4511572295</v>
      </c>
      <c r="J19" s="15" t="s">
        <v>17</v>
      </c>
      <c r="K19" s="13" t="s">
        <v>18</v>
      </c>
      <c r="L19" s="15">
        <v>5000</v>
      </c>
    </row>
    <row r="20" spans="1:12" x14ac:dyDescent="0.3">
      <c r="A20" s="19" t="s">
        <v>12</v>
      </c>
      <c r="B20" s="15">
        <v>808835</v>
      </c>
      <c r="C20" s="15" t="s">
        <v>961</v>
      </c>
      <c r="D20" s="15" t="s">
        <v>45</v>
      </c>
      <c r="E20" s="15" t="s">
        <v>22</v>
      </c>
      <c r="F20" s="15" t="s">
        <v>1016</v>
      </c>
      <c r="G20" s="15" t="s">
        <v>15</v>
      </c>
      <c r="H20" s="15" t="s">
        <v>16</v>
      </c>
      <c r="I20" s="15">
        <v>4511572679</v>
      </c>
      <c r="J20" s="15" t="s">
        <v>23</v>
      </c>
      <c r="K20" s="13" t="s">
        <v>20</v>
      </c>
      <c r="L20" s="15">
        <v>4</v>
      </c>
    </row>
    <row r="21" spans="1:12" x14ac:dyDescent="0.3">
      <c r="A21" s="19" t="s">
        <v>12</v>
      </c>
      <c r="B21" s="15">
        <v>814781</v>
      </c>
      <c r="C21" s="15" t="s">
        <v>955</v>
      </c>
      <c r="D21" s="15" t="s">
        <v>21</v>
      </c>
      <c r="E21" s="15" t="s">
        <v>103</v>
      </c>
      <c r="F21" s="15" t="s">
        <v>956</v>
      </c>
      <c r="G21" s="15" t="s">
        <v>34</v>
      </c>
      <c r="H21" s="15" t="s">
        <v>16</v>
      </c>
      <c r="I21" s="15">
        <v>4511573914</v>
      </c>
      <c r="J21" s="15" t="s">
        <v>17</v>
      </c>
      <c r="K21" s="13" t="s">
        <v>20</v>
      </c>
      <c r="L21" s="15">
        <v>250</v>
      </c>
    </row>
    <row r="22" spans="1:12" x14ac:dyDescent="0.3">
      <c r="A22" s="19" t="s">
        <v>12</v>
      </c>
      <c r="B22" s="15">
        <v>844106</v>
      </c>
      <c r="C22" s="15" t="s">
        <v>865</v>
      </c>
      <c r="D22" s="15" t="s">
        <v>13</v>
      </c>
      <c r="E22" s="15" t="s">
        <v>32</v>
      </c>
      <c r="F22" s="15" t="s">
        <v>1101</v>
      </c>
      <c r="G22" s="15" t="s">
        <v>26</v>
      </c>
      <c r="H22" s="15" t="s">
        <v>16</v>
      </c>
      <c r="I22" s="15">
        <v>4511570932</v>
      </c>
      <c r="J22" s="15" t="s">
        <v>17</v>
      </c>
      <c r="K22" s="13" t="s">
        <v>20</v>
      </c>
      <c r="L22" s="15">
        <v>16</v>
      </c>
    </row>
    <row r="23" spans="1:12" x14ac:dyDescent="0.3">
      <c r="A23" s="19" t="s">
        <v>12</v>
      </c>
      <c r="B23" s="15">
        <v>850829</v>
      </c>
      <c r="C23" s="15" t="s">
        <v>998</v>
      </c>
      <c r="D23" s="15" t="s">
        <v>13</v>
      </c>
      <c r="E23" s="15" t="s">
        <v>310</v>
      </c>
      <c r="F23" s="15" t="s">
        <v>999</v>
      </c>
      <c r="G23" s="15" t="s">
        <v>26</v>
      </c>
      <c r="H23" s="15" t="s">
        <v>16</v>
      </c>
      <c r="I23" s="15">
        <v>4511573638</v>
      </c>
      <c r="J23" s="15" t="s">
        <v>17</v>
      </c>
      <c r="K23" s="13" t="s">
        <v>30</v>
      </c>
      <c r="L23" s="15">
        <v>1</v>
      </c>
    </row>
    <row r="24" spans="1:12" x14ac:dyDescent="0.3">
      <c r="A24" s="19" t="s">
        <v>12</v>
      </c>
      <c r="B24" s="15">
        <v>867439</v>
      </c>
      <c r="C24" s="15" t="s">
        <v>983</v>
      </c>
      <c r="D24" s="15" t="s">
        <v>19</v>
      </c>
      <c r="E24" s="15" t="s">
        <v>42</v>
      </c>
      <c r="F24" s="15" t="s">
        <v>984</v>
      </c>
      <c r="G24" s="15" t="s">
        <v>26</v>
      </c>
      <c r="H24" s="15" t="s">
        <v>16</v>
      </c>
      <c r="I24" s="15">
        <v>4511573782</v>
      </c>
      <c r="J24" s="15" t="s">
        <v>17</v>
      </c>
      <c r="K24" s="13" t="s">
        <v>20</v>
      </c>
      <c r="L24" s="15">
        <v>10</v>
      </c>
    </row>
    <row r="25" spans="1:12" x14ac:dyDescent="0.3">
      <c r="A25" s="19" t="s">
        <v>12</v>
      </c>
      <c r="B25" s="15">
        <v>868096</v>
      </c>
      <c r="C25" s="15" t="s">
        <v>962</v>
      </c>
      <c r="D25" s="15" t="s">
        <v>13</v>
      </c>
      <c r="E25" s="15" t="s">
        <v>161</v>
      </c>
      <c r="F25" s="15" t="s">
        <v>963</v>
      </c>
      <c r="G25" s="15" t="s">
        <v>26</v>
      </c>
      <c r="H25" s="15" t="s">
        <v>16</v>
      </c>
      <c r="I25" s="15">
        <v>4511572702</v>
      </c>
      <c r="J25" s="15" t="s">
        <v>23</v>
      </c>
      <c r="K25" s="13" t="s">
        <v>20</v>
      </c>
      <c r="L25" s="15">
        <v>6</v>
      </c>
    </row>
    <row r="26" spans="1:12" x14ac:dyDescent="0.3">
      <c r="A26" s="19" t="s">
        <v>12</v>
      </c>
      <c r="B26" s="15">
        <v>868331</v>
      </c>
      <c r="C26" s="15" t="s">
        <v>1051</v>
      </c>
      <c r="D26" s="15" t="s">
        <v>1052</v>
      </c>
      <c r="E26" s="15" t="s">
        <v>161</v>
      </c>
      <c r="F26" s="15" t="s">
        <v>1050</v>
      </c>
      <c r="G26" s="15" t="s">
        <v>26</v>
      </c>
      <c r="H26" s="15" t="s">
        <v>16</v>
      </c>
      <c r="I26" s="15">
        <v>4511572171</v>
      </c>
      <c r="J26" s="15" t="s">
        <v>17</v>
      </c>
      <c r="K26" s="13" t="s">
        <v>20</v>
      </c>
      <c r="L26" s="15">
        <v>4</v>
      </c>
    </row>
    <row r="27" spans="1:12" x14ac:dyDescent="0.3">
      <c r="A27" s="19" t="s">
        <v>12</v>
      </c>
      <c r="B27" s="15">
        <v>872860</v>
      </c>
      <c r="C27" s="15" t="s">
        <v>964</v>
      </c>
      <c r="D27" s="15" t="s">
        <v>13</v>
      </c>
      <c r="E27" s="15" t="s">
        <v>22</v>
      </c>
      <c r="F27" s="15" t="s">
        <v>960</v>
      </c>
      <c r="G27" s="15" t="s">
        <v>26</v>
      </c>
      <c r="H27" s="15" t="s">
        <v>16</v>
      </c>
      <c r="I27" s="15">
        <v>4511573901</v>
      </c>
      <c r="J27" s="15" t="s">
        <v>17</v>
      </c>
      <c r="K27" s="13" t="s">
        <v>20</v>
      </c>
      <c r="L27" s="15">
        <v>8</v>
      </c>
    </row>
    <row r="28" spans="1:12" x14ac:dyDescent="0.3">
      <c r="A28" s="19" t="s">
        <v>12</v>
      </c>
      <c r="B28" s="15">
        <v>873339</v>
      </c>
      <c r="C28" s="15" t="s">
        <v>874</v>
      </c>
      <c r="D28" s="15" t="s">
        <v>13</v>
      </c>
      <c r="E28" s="15" t="s">
        <v>84</v>
      </c>
      <c r="F28" s="15" t="s">
        <v>1093</v>
      </c>
      <c r="G28" s="15" t="s">
        <v>26</v>
      </c>
      <c r="H28" s="15" t="s">
        <v>16</v>
      </c>
      <c r="I28" s="15">
        <v>4511571319</v>
      </c>
      <c r="J28" s="15" t="s">
        <v>17</v>
      </c>
      <c r="K28" s="13" t="s">
        <v>20</v>
      </c>
      <c r="L28" s="15">
        <v>4</v>
      </c>
    </row>
    <row r="29" spans="1:12" x14ac:dyDescent="0.3">
      <c r="A29" s="19" t="s">
        <v>12</v>
      </c>
      <c r="B29" s="15">
        <v>884090</v>
      </c>
      <c r="C29" s="15" t="s">
        <v>939</v>
      </c>
      <c r="D29" s="15" t="s">
        <v>13</v>
      </c>
      <c r="E29" s="15" t="s">
        <v>32</v>
      </c>
      <c r="F29" s="15" t="s">
        <v>940</v>
      </c>
      <c r="G29" s="15" t="s">
        <v>26</v>
      </c>
      <c r="H29" s="15" t="s">
        <v>16</v>
      </c>
      <c r="I29" s="15">
        <v>4511573761</v>
      </c>
      <c r="J29" s="15" t="s">
        <v>17</v>
      </c>
      <c r="K29" s="13" t="s">
        <v>20</v>
      </c>
      <c r="L29" s="15">
        <v>16</v>
      </c>
    </row>
    <row r="30" spans="1:12" x14ac:dyDescent="0.3">
      <c r="A30" s="19" t="s">
        <v>12</v>
      </c>
      <c r="B30" s="15">
        <v>884098</v>
      </c>
      <c r="C30" s="15" t="s">
        <v>941</v>
      </c>
      <c r="D30" s="15" t="s">
        <v>13</v>
      </c>
      <c r="E30" s="15" t="s">
        <v>32</v>
      </c>
      <c r="F30" s="15" t="s">
        <v>940</v>
      </c>
      <c r="G30" s="15" t="s">
        <v>26</v>
      </c>
      <c r="H30" s="15" t="s">
        <v>16</v>
      </c>
      <c r="I30" s="15">
        <v>4511573761</v>
      </c>
      <c r="J30" s="15" t="s">
        <v>17</v>
      </c>
      <c r="K30" s="13" t="s">
        <v>20</v>
      </c>
      <c r="L30" s="15">
        <v>12</v>
      </c>
    </row>
    <row r="31" spans="1:12" x14ac:dyDescent="0.3">
      <c r="A31" s="19" t="s">
        <v>12</v>
      </c>
      <c r="B31" s="15">
        <v>887595</v>
      </c>
      <c r="C31" s="15" t="s">
        <v>942</v>
      </c>
      <c r="D31" s="15" t="s">
        <v>13</v>
      </c>
      <c r="E31" s="15" t="s">
        <v>32</v>
      </c>
      <c r="F31" s="15" t="s">
        <v>940</v>
      </c>
      <c r="G31" s="15" t="s">
        <v>26</v>
      </c>
      <c r="H31" s="15" t="s">
        <v>16</v>
      </c>
      <c r="I31" s="15">
        <v>4511573761</v>
      </c>
      <c r="J31" s="15" t="s">
        <v>17</v>
      </c>
      <c r="K31" s="13" t="s">
        <v>20</v>
      </c>
      <c r="L31" s="15">
        <v>1</v>
      </c>
    </row>
    <row r="32" spans="1:12" x14ac:dyDescent="0.3">
      <c r="A32" s="19" t="s">
        <v>12</v>
      </c>
      <c r="B32" s="15">
        <v>893851</v>
      </c>
      <c r="C32" s="15" t="s">
        <v>943</v>
      </c>
      <c r="D32" s="15" t="s">
        <v>13</v>
      </c>
      <c r="E32" s="15" t="s">
        <v>32</v>
      </c>
      <c r="F32" s="15" t="s">
        <v>940</v>
      </c>
      <c r="G32" s="15" t="s">
        <v>26</v>
      </c>
      <c r="H32" s="15" t="s">
        <v>16</v>
      </c>
      <c r="I32" s="15">
        <v>4511573761</v>
      </c>
      <c r="J32" s="15" t="s">
        <v>17</v>
      </c>
      <c r="K32" s="13" t="s">
        <v>20</v>
      </c>
      <c r="L32" s="15">
        <v>12</v>
      </c>
    </row>
    <row r="33" spans="1:12" x14ac:dyDescent="0.3">
      <c r="A33" s="19" t="s">
        <v>12</v>
      </c>
      <c r="B33" s="15">
        <v>893854</v>
      </c>
      <c r="C33" s="15" t="s">
        <v>944</v>
      </c>
      <c r="D33" s="15" t="s">
        <v>13</v>
      </c>
      <c r="E33" s="15" t="s">
        <v>32</v>
      </c>
      <c r="F33" s="15" t="s">
        <v>940</v>
      </c>
      <c r="G33" s="15" t="s">
        <v>26</v>
      </c>
      <c r="H33" s="15" t="s">
        <v>16</v>
      </c>
      <c r="I33" s="15">
        <v>4511573761</v>
      </c>
      <c r="J33" s="15" t="s">
        <v>17</v>
      </c>
      <c r="K33" s="13" t="s">
        <v>20</v>
      </c>
      <c r="L33" s="15">
        <v>6</v>
      </c>
    </row>
    <row r="34" spans="1:12" x14ac:dyDescent="0.3">
      <c r="A34" s="19" t="s">
        <v>12</v>
      </c>
      <c r="B34" s="15">
        <v>894559</v>
      </c>
      <c r="C34" s="15" t="s">
        <v>1053</v>
      </c>
      <c r="D34" s="15" t="s">
        <v>918</v>
      </c>
      <c r="E34" s="15" t="s">
        <v>237</v>
      </c>
      <c r="F34" s="15" t="s">
        <v>1054</v>
      </c>
      <c r="G34" s="15" t="s">
        <v>148</v>
      </c>
      <c r="H34" s="15" t="s">
        <v>16</v>
      </c>
      <c r="I34" s="15">
        <v>4511571679</v>
      </c>
      <c r="J34" s="15" t="s">
        <v>17</v>
      </c>
      <c r="K34" s="13" t="s">
        <v>30</v>
      </c>
      <c r="L34" s="15">
        <v>2500</v>
      </c>
    </row>
    <row r="35" spans="1:12" x14ac:dyDescent="0.3">
      <c r="A35" s="19" t="s">
        <v>12</v>
      </c>
      <c r="B35" s="15">
        <v>894561</v>
      </c>
      <c r="C35" s="15" t="s">
        <v>1055</v>
      </c>
      <c r="D35" s="15" t="s">
        <v>918</v>
      </c>
      <c r="E35" s="15" t="s">
        <v>237</v>
      </c>
      <c r="F35" s="15" t="s">
        <v>1054</v>
      </c>
      <c r="G35" s="15" t="s">
        <v>148</v>
      </c>
      <c r="H35" s="15" t="s">
        <v>16</v>
      </c>
      <c r="I35" s="15">
        <v>4511571679</v>
      </c>
      <c r="J35" s="15" t="s">
        <v>17</v>
      </c>
      <c r="K35" s="13" t="s">
        <v>30</v>
      </c>
      <c r="L35" s="15">
        <v>1000</v>
      </c>
    </row>
    <row r="36" spans="1:12" x14ac:dyDescent="0.3">
      <c r="A36" s="19" t="s">
        <v>12</v>
      </c>
      <c r="B36" s="15">
        <v>894562</v>
      </c>
      <c r="C36" s="15" t="s">
        <v>1056</v>
      </c>
      <c r="D36" s="15" t="s">
        <v>918</v>
      </c>
      <c r="E36" s="15" t="s">
        <v>237</v>
      </c>
      <c r="F36" s="15" t="s">
        <v>1054</v>
      </c>
      <c r="G36" s="15" t="s">
        <v>148</v>
      </c>
      <c r="H36" s="15" t="s">
        <v>16</v>
      </c>
      <c r="I36" s="15">
        <v>4511571679</v>
      </c>
      <c r="J36" s="15" t="s">
        <v>17</v>
      </c>
      <c r="K36" s="13" t="s">
        <v>30</v>
      </c>
      <c r="L36" s="15">
        <v>300</v>
      </c>
    </row>
    <row r="37" spans="1:12" x14ac:dyDescent="0.3">
      <c r="A37" s="19" t="s">
        <v>12</v>
      </c>
      <c r="B37" s="15">
        <v>895421</v>
      </c>
      <c r="C37" s="15" t="s">
        <v>919</v>
      </c>
      <c r="D37" s="15" t="s">
        <v>896</v>
      </c>
      <c r="E37" s="15" t="s">
        <v>96</v>
      </c>
      <c r="F37" s="15" t="s">
        <v>1067</v>
      </c>
      <c r="G37" s="15" t="s">
        <v>148</v>
      </c>
      <c r="H37" s="15" t="s">
        <v>16</v>
      </c>
      <c r="I37" s="15">
        <v>4511572521</v>
      </c>
      <c r="J37" s="15" t="s">
        <v>17</v>
      </c>
      <c r="K37" s="13" t="s">
        <v>18</v>
      </c>
      <c r="L37" s="15">
        <v>100</v>
      </c>
    </row>
    <row r="38" spans="1:12" x14ac:dyDescent="0.3">
      <c r="A38" s="19" t="s">
        <v>12</v>
      </c>
      <c r="B38" s="15">
        <v>70003825</v>
      </c>
      <c r="C38" s="15" t="s">
        <v>978</v>
      </c>
      <c r="D38" s="15" t="s">
        <v>13</v>
      </c>
      <c r="E38" s="15" t="s">
        <v>49</v>
      </c>
      <c r="F38" s="15" t="s">
        <v>979</v>
      </c>
      <c r="G38" s="15" t="s">
        <v>26</v>
      </c>
      <c r="H38" s="15" t="s">
        <v>16</v>
      </c>
      <c r="I38" s="15">
        <v>4511572652</v>
      </c>
      <c r="J38" s="15" t="s">
        <v>23</v>
      </c>
      <c r="K38" s="13" t="s">
        <v>20</v>
      </c>
      <c r="L38" s="15">
        <v>6</v>
      </c>
    </row>
    <row r="39" spans="1:12" x14ac:dyDescent="0.3">
      <c r="A39" s="19" t="s">
        <v>12</v>
      </c>
      <c r="B39" s="15">
        <v>70003837</v>
      </c>
      <c r="C39" s="15" t="s">
        <v>920</v>
      </c>
      <c r="D39" s="15" t="s">
        <v>13</v>
      </c>
      <c r="E39" s="15" t="s">
        <v>42</v>
      </c>
      <c r="F39" s="15" t="s">
        <v>1068</v>
      </c>
      <c r="G39" s="15" t="s">
        <v>50</v>
      </c>
      <c r="H39" s="15" t="s">
        <v>16</v>
      </c>
      <c r="I39" s="15">
        <v>4511572460</v>
      </c>
      <c r="J39" s="15" t="s">
        <v>17</v>
      </c>
      <c r="K39" s="13" t="s">
        <v>20</v>
      </c>
      <c r="L39" s="15">
        <v>6</v>
      </c>
    </row>
    <row r="40" spans="1:12" x14ac:dyDescent="0.3">
      <c r="A40" s="19" t="s">
        <v>12</v>
      </c>
      <c r="B40" s="15">
        <v>70003837</v>
      </c>
      <c r="C40" s="15" t="s">
        <v>920</v>
      </c>
      <c r="D40" s="15" t="s">
        <v>13</v>
      </c>
      <c r="E40" s="15" t="s">
        <v>32</v>
      </c>
      <c r="F40" s="15" t="s">
        <v>1069</v>
      </c>
      <c r="G40" s="15" t="s">
        <v>26</v>
      </c>
      <c r="H40" s="15" t="s">
        <v>16</v>
      </c>
      <c r="I40" s="15">
        <v>4511571956</v>
      </c>
      <c r="J40" s="15" t="s">
        <v>17</v>
      </c>
      <c r="K40" s="13" t="s">
        <v>20</v>
      </c>
      <c r="L40" s="15">
        <v>18</v>
      </c>
    </row>
    <row r="41" spans="1:12" x14ac:dyDescent="0.3">
      <c r="A41" s="19" t="s">
        <v>12</v>
      </c>
      <c r="B41" s="15">
        <v>70003844</v>
      </c>
      <c r="C41" s="15" t="s">
        <v>921</v>
      </c>
      <c r="D41" s="15" t="s">
        <v>13</v>
      </c>
      <c r="E41" s="15" t="s">
        <v>32</v>
      </c>
      <c r="F41" s="15" t="s">
        <v>1070</v>
      </c>
      <c r="G41" s="15" t="s">
        <v>26</v>
      </c>
      <c r="H41" s="15" t="s">
        <v>16</v>
      </c>
      <c r="I41" s="15">
        <v>4511571756</v>
      </c>
      <c r="J41" s="15" t="s">
        <v>23</v>
      </c>
      <c r="K41" s="13" t="s">
        <v>20</v>
      </c>
      <c r="L41" s="15">
        <v>10</v>
      </c>
    </row>
    <row r="42" spans="1:12" x14ac:dyDescent="0.3">
      <c r="A42" s="19" t="s">
        <v>12</v>
      </c>
      <c r="B42" s="15">
        <v>70004306</v>
      </c>
      <c r="C42" s="15" t="s">
        <v>893</v>
      </c>
      <c r="D42" s="15" t="s">
        <v>13</v>
      </c>
      <c r="E42" s="15" t="s">
        <v>42</v>
      </c>
      <c r="F42" s="15" t="s">
        <v>1082</v>
      </c>
      <c r="G42" s="15" t="s">
        <v>26</v>
      </c>
      <c r="H42" s="15" t="s">
        <v>16</v>
      </c>
      <c r="I42" s="15">
        <v>4511571990</v>
      </c>
      <c r="J42" s="15" t="s">
        <v>17</v>
      </c>
      <c r="K42" s="13" t="s">
        <v>30</v>
      </c>
      <c r="L42" s="15">
        <v>3</v>
      </c>
    </row>
    <row r="43" spans="1:12" x14ac:dyDescent="0.3">
      <c r="A43" s="19" t="s">
        <v>12</v>
      </c>
      <c r="B43" s="15">
        <v>70004310</v>
      </c>
      <c r="C43" s="15" t="s">
        <v>889</v>
      </c>
      <c r="D43" s="15" t="s">
        <v>13</v>
      </c>
      <c r="E43" s="15" t="s">
        <v>42</v>
      </c>
      <c r="F43" s="15" t="s">
        <v>985</v>
      </c>
      <c r="G43" s="15" t="s">
        <v>26</v>
      </c>
      <c r="H43" s="15" t="s">
        <v>16</v>
      </c>
      <c r="I43" s="15">
        <v>4511573566</v>
      </c>
      <c r="J43" s="15" t="s">
        <v>17</v>
      </c>
      <c r="K43" s="13" t="s">
        <v>30</v>
      </c>
      <c r="L43" s="15">
        <v>1</v>
      </c>
    </row>
    <row r="44" spans="1:12" x14ac:dyDescent="0.3">
      <c r="A44" s="19" t="s">
        <v>12</v>
      </c>
      <c r="B44" s="15">
        <v>70004310</v>
      </c>
      <c r="C44" s="15" t="s">
        <v>889</v>
      </c>
      <c r="D44" s="15" t="s">
        <v>13</v>
      </c>
      <c r="E44" s="15" t="s">
        <v>42</v>
      </c>
      <c r="F44" s="15" t="s">
        <v>1082</v>
      </c>
      <c r="G44" s="15" t="s">
        <v>26</v>
      </c>
      <c r="H44" s="15" t="s">
        <v>16</v>
      </c>
      <c r="I44" s="15">
        <v>4511571990</v>
      </c>
      <c r="J44" s="15" t="s">
        <v>17</v>
      </c>
      <c r="K44" s="13" t="s">
        <v>30</v>
      </c>
      <c r="L44" s="15">
        <v>1</v>
      </c>
    </row>
    <row r="45" spans="1:12" x14ac:dyDescent="0.3">
      <c r="A45" s="19" t="s">
        <v>12</v>
      </c>
      <c r="B45" s="15">
        <v>70004596</v>
      </c>
      <c r="C45" s="15" t="s">
        <v>1001</v>
      </c>
      <c r="D45" s="15" t="s">
        <v>13</v>
      </c>
      <c r="E45" s="15" t="s">
        <v>240</v>
      </c>
      <c r="F45" s="15" t="s">
        <v>1002</v>
      </c>
      <c r="G45" s="15" t="s">
        <v>26</v>
      </c>
      <c r="H45" s="15" t="s">
        <v>16</v>
      </c>
      <c r="I45" s="15">
        <v>4511572466</v>
      </c>
      <c r="J45" s="15" t="s">
        <v>23</v>
      </c>
      <c r="K45" s="13" t="s">
        <v>20</v>
      </c>
      <c r="L45" s="15">
        <v>6</v>
      </c>
    </row>
    <row r="46" spans="1:12" x14ac:dyDescent="0.3">
      <c r="A46" s="19" t="s">
        <v>12</v>
      </c>
      <c r="B46" s="15">
        <v>70004704</v>
      </c>
      <c r="C46" s="15" t="s">
        <v>1057</v>
      </c>
      <c r="D46" s="15" t="s">
        <v>13</v>
      </c>
      <c r="E46" s="15" t="s">
        <v>240</v>
      </c>
      <c r="F46" s="15" t="s">
        <v>1058</v>
      </c>
      <c r="G46" s="15" t="s">
        <v>26</v>
      </c>
      <c r="H46" s="15" t="s">
        <v>16</v>
      </c>
      <c r="I46" s="15">
        <v>4511571951</v>
      </c>
      <c r="J46" s="15" t="s">
        <v>17</v>
      </c>
      <c r="K46" s="13" t="s">
        <v>20</v>
      </c>
      <c r="L46" s="15">
        <v>12</v>
      </c>
    </row>
    <row r="47" spans="1:12" x14ac:dyDescent="0.3">
      <c r="A47" s="19" t="s">
        <v>12</v>
      </c>
      <c r="B47" s="15">
        <v>70004950</v>
      </c>
      <c r="C47" s="15" t="s">
        <v>980</v>
      </c>
      <c r="D47" s="15" t="s">
        <v>13</v>
      </c>
      <c r="E47" s="15" t="s">
        <v>49</v>
      </c>
      <c r="F47" s="15" t="s">
        <v>981</v>
      </c>
      <c r="G47" s="15" t="s">
        <v>26</v>
      </c>
      <c r="H47" s="15" t="s">
        <v>16</v>
      </c>
      <c r="I47" s="15">
        <v>4511571950</v>
      </c>
      <c r="J47" s="15" t="s">
        <v>23</v>
      </c>
      <c r="K47" s="13" t="s">
        <v>20</v>
      </c>
      <c r="L47" s="15">
        <v>1</v>
      </c>
    </row>
    <row r="48" spans="1:12" x14ac:dyDescent="0.3">
      <c r="A48" s="19" t="s">
        <v>12</v>
      </c>
      <c r="B48" s="15">
        <v>70011440</v>
      </c>
      <c r="C48" s="15" t="s">
        <v>876</v>
      </c>
      <c r="D48" s="15" t="s">
        <v>13</v>
      </c>
      <c r="E48" s="15" t="s">
        <v>84</v>
      </c>
      <c r="F48" s="15" t="s">
        <v>1093</v>
      </c>
      <c r="G48" s="15" t="s">
        <v>26</v>
      </c>
      <c r="H48" s="15" t="s">
        <v>16</v>
      </c>
      <c r="I48" s="15">
        <v>4511571319</v>
      </c>
      <c r="J48" s="15" t="s">
        <v>17</v>
      </c>
      <c r="K48" s="13" t="s">
        <v>20</v>
      </c>
      <c r="L48" s="15">
        <v>2</v>
      </c>
    </row>
    <row r="49" spans="1:12" x14ac:dyDescent="0.3">
      <c r="A49" s="19" t="s">
        <v>12</v>
      </c>
      <c r="B49" s="15">
        <v>70017132</v>
      </c>
      <c r="C49" s="15" t="s">
        <v>945</v>
      </c>
      <c r="D49" s="15" t="s">
        <v>13</v>
      </c>
      <c r="E49" s="15" t="s">
        <v>32</v>
      </c>
      <c r="F49" s="15" t="s">
        <v>940</v>
      </c>
      <c r="G49" s="15" t="s">
        <v>26</v>
      </c>
      <c r="H49" s="15" t="s">
        <v>16</v>
      </c>
      <c r="I49" s="15">
        <v>4511573761</v>
      </c>
      <c r="J49" s="15" t="s">
        <v>17</v>
      </c>
      <c r="K49" s="13" t="s">
        <v>20</v>
      </c>
      <c r="L49" s="15">
        <v>12</v>
      </c>
    </row>
    <row r="50" spans="1:12" x14ac:dyDescent="0.3">
      <c r="A50" s="19" t="s">
        <v>12</v>
      </c>
      <c r="B50" s="15">
        <v>70019150</v>
      </c>
      <c r="C50" s="15" t="s">
        <v>922</v>
      </c>
      <c r="D50" s="15" t="s">
        <v>19</v>
      </c>
      <c r="E50" s="15" t="s">
        <v>22</v>
      </c>
      <c r="F50" s="15" t="s">
        <v>1071</v>
      </c>
      <c r="G50" s="15" t="s">
        <v>26</v>
      </c>
      <c r="H50" s="15" t="s">
        <v>16</v>
      </c>
      <c r="I50" s="15">
        <v>4511571639</v>
      </c>
      <c r="J50" s="15" t="s">
        <v>23</v>
      </c>
      <c r="K50" s="13" t="s">
        <v>20</v>
      </c>
      <c r="L50" s="15">
        <v>4</v>
      </c>
    </row>
    <row r="51" spans="1:12" x14ac:dyDescent="0.3">
      <c r="A51" s="19" t="s">
        <v>12</v>
      </c>
      <c r="B51" s="15">
        <v>70043537</v>
      </c>
      <c r="C51" s="15" t="s">
        <v>1003</v>
      </c>
      <c r="D51" s="15" t="s">
        <v>13</v>
      </c>
      <c r="E51" s="15" t="s">
        <v>1184</v>
      </c>
      <c r="F51" s="15" t="s">
        <v>1004</v>
      </c>
      <c r="G51" s="15" t="s">
        <v>50</v>
      </c>
      <c r="H51" s="15" t="s">
        <v>16</v>
      </c>
      <c r="I51" s="15">
        <v>4511569944</v>
      </c>
      <c r="J51" s="15" t="s">
        <v>17</v>
      </c>
      <c r="K51" s="13" t="s">
        <v>30</v>
      </c>
      <c r="L51" s="15">
        <v>1</v>
      </c>
    </row>
    <row r="52" spans="1:12" x14ac:dyDescent="0.3">
      <c r="A52" s="19" t="s">
        <v>12</v>
      </c>
      <c r="B52" s="15">
        <v>70043958</v>
      </c>
      <c r="C52" s="15" t="s">
        <v>1032</v>
      </c>
      <c r="D52" s="15" t="s">
        <v>13</v>
      </c>
      <c r="E52" s="15" t="s">
        <v>1184</v>
      </c>
      <c r="F52" s="15" t="s">
        <v>1033</v>
      </c>
      <c r="G52" s="15" t="s">
        <v>50</v>
      </c>
      <c r="H52" s="15" t="s">
        <v>16</v>
      </c>
      <c r="I52" s="15">
        <v>4511569944</v>
      </c>
      <c r="J52" s="15" t="s">
        <v>23</v>
      </c>
      <c r="K52" s="13" t="s">
        <v>30</v>
      </c>
      <c r="L52" s="15">
        <v>1</v>
      </c>
    </row>
    <row r="53" spans="1:12" x14ac:dyDescent="0.3">
      <c r="A53" s="19" t="s">
        <v>12</v>
      </c>
      <c r="B53" s="15">
        <v>70047475</v>
      </c>
      <c r="C53" s="15" t="s">
        <v>924</v>
      </c>
      <c r="D53" s="15" t="s">
        <v>13</v>
      </c>
      <c r="E53" s="15" t="s">
        <v>22</v>
      </c>
      <c r="F53" s="15" t="s">
        <v>1072</v>
      </c>
      <c r="G53" s="15" t="s">
        <v>26</v>
      </c>
      <c r="H53" s="15" t="s">
        <v>16</v>
      </c>
      <c r="I53" s="15">
        <v>4511571461</v>
      </c>
      <c r="J53" s="15" t="s">
        <v>23</v>
      </c>
      <c r="K53" s="13" t="s">
        <v>20</v>
      </c>
      <c r="L53" s="15">
        <v>29</v>
      </c>
    </row>
    <row r="54" spans="1:12" x14ac:dyDescent="0.3">
      <c r="A54" s="19" t="s">
        <v>12</v>
      </c>
      <c r="B54" s="15">
        <v>70047878</v>
      </c>
      <c r="C54" s="15" t="s">
        <v>1040</v>
      </c>
      <c r="D54" s="15" t="s">
        <v>13</v>
      </c>
      <c r="E54" s="15" t="s">
        <v>161</v>
      </c>
      <c r="F54" s="15" t="s">
        <v>1041</v>
      </c>
      <c r="G54" s="15" t="s">
        <v>50</v>
      </c>
      <c r="H54" s="15" t="s">
        <v>16</v>
      </c>
      <c r="I54" s="15">
        <v>4511572714</v>
      </c>
      <c r="J54" s="15" t="s">
        <v>17</v>
      </c>
      <c r="K54" s="13" t="s">
        <v>30</v>
      </c>
      <c r="L54" s="15">
        <v>2</v>
      </c>
    </row>
    <row r="55" spans="1:12" x14ac:dyDescent="0.3">
      <c r="A55" s="19" t="s">
        <v>12</v>
      </c>
      <c r="B55" s="15">
        <v>70048323</v>
      </c>
      <c r="C55" s="15" t="s">
        <v>925</v>
      </c>
      <c r="D55" s="15" t="s">
        <v>13</v>
      </c>
      <c r="E55" s="15" t="s">
        <v>22</v>
      </c>
      <c r="F55" s="15" t="s">
        <v>1071</v>
      </c>
      <c r="G55" s="15" t="s">
        <v>26</v>
      </c>
      <c r="H55" s="15" t="s">
        <v>16</v>
      </c>
      <c r="I55" s="15">
        <v>4511571639</v>
      </c>
      <c r="J55" s="15" t="s">
        <v>23</v>
      </c>
      <c r="K55" s="13" t="s">
        <v>20</v>
      </c>
      <c r="L55" s="15">
        <v>6</v>
      </c>
    </row>
    <row r="56" spans="1:12" x14ac:dyDescent="0.3">
      <c r="A56" s="19" t="s">
        <v>12</v>
      </c>
      <c r="B56" s="15">
        <v>70052954</v>
      </c>
      <c r="C56" s="15" t="s">
        <v>1059</v>
      </c>
      <c r="D56" s="15" t="s">
        <v>13</v>
      </c>
      <c r="E56" s="15" t="s">
        <v>168</v>
      </c>
      <c r="F56" s="15" t="s">
        <v>1060</v>
      </c>
      <c r="G56" s="15" t="s">
        <v>26</v>
      </c>
      <c r="H56" s="15" t="s">
        <v>16</v>
      </c>
      <c r="I56" s="15">
        <v>4511570429</v>
      </c>
      <c r="J56" s="15" t="s">
        <v>17</v>
      </c>
      <c r="K56" s="13" t="s">
        <v>20</v>
      </c>
      <c r="L56" s="15">
        <v>6</v>
      </c>
    </row>
    <row r="57" spans="1:12" x14ac:dyDescent="0.3">
      <c r="A57" s="19" t="s">
        <v>12</v>
      </c>
      <c r="B57" s="15">
        <v>70061350</v>
      </c>
      <c r="C57" s="15" t="s">
        <v>946</v>
      </c>
      <c r="D57" s="15" t="s">
        <v>13</v>
      </c>
      <c r="E57" s="15" t="s">
        <v>32</v>
      </c>
      <c r="F57" s="15" t="s">
        <v>940</v>
      </c>
      <c r="G57" s="15" t="s">
        <v>26</v>
      </c>
      <c r="H57" s="15" t="s">
        <v>16</v>
      </c>
      <c r="I57" s="15">
        <v>4511573761</v>
      </c>
      <c r="J57" s="15" t="s">
        <v>17</v>
      </c>
      <c r="K57" s="13" t="s">
        <v>20</v>
      </c>
      <c r="L57" s="15">
        <v>24</v>
      </c>
    </row>
    <row r="58" spans="1:12" x14ac:dyDescent="0.3">
      <c r="A58" s="19" t="s">
        <v>12</v>
      </c>
      <c r="B58" s="15">
        <v>70061481</v>
      </c>
      <c r="C58" s="15" t="s">
        <v>884</v>
      </c>
      <c r="D58" s="15" t="s">
        <v>56</v>
      </c>
      <c r="E58" s="15" t="s">
        <v>17</v>
      </c>
      <c r="F58" s="15" t="s">
        <v>1089</v>
      </c>
      <c r="G58" s="15" t="s">
        <v>17</v>
      </c>
      <c r="H58" s="15" t="s">
        <v>17</v>
      </c>
      <c r="I58" s="15">
        <v>4511566146</v>
      </c>
      <c r="J58" s="15" t="s">
        <v>17</v>
      </c>
      <c r="K58" s="13" t="s">
        <v>30</v>
      </c>
      <c r="L58" s="15">
        <v>762000</v>
      </c>
    </row>
    <row r="59" spans="1:12" x14ac:dyDescent="0.3">
      <c r="A59" s="19" t="s">
        <v>12</v>
      </c>
      <c r="B59" s="15">
        <v>70061692</v>
      </c>
      <c r="C59" s="15" t="s">
        <v>1034</v>
      </c>
      <c r="D59" s="15" t="s">
        <v>13</v>
      </c>
      <c r="E59" s="15" t="s">
        <v>1184</v>
      </c>
      <c r="F59" s="15" t="s">
        <v>1033</v>
      </c>
      <c r="G59" s="15" t="s">
        <v>50</v>
      </c>
      <c r="H59" s="15" t="s">
        <v>16</v>
      </c>
      <c r="I59" s="15">
        <v>4511569944</v>
      </c>
      <c r="J59" s="15" t="s">
        <v>23</v>
      </c>
      <c r="K59" s="13" t="s">
        <v>30</v>
      </c>
      <c r="L59" s="15">
        <v>1</v>
      </c>
    </row>
    <row r="60" spans="1:12" x14ac:dyDescent="0.3">
      <c r="A60" s="19" t="s">
        <v>12</v>
      </c>
      <c r="B60" s="15">
        <v>70061693</v>
      </c>
      <c r="C60" s="15" t="s">
        <v>1035</v>
      </c>
      <c r="D60" s="15" t="s">
        <v>13</v>
      </c>
      <c r="E60" s="15" t="s">
        <v>1184</v>
      </c>
      <c r="F60" s="15" t="s">
        <v>1033</v>
      </c>
      <c r="G60" s="15" t="s">
        <v>50</v>
      </c>
      <c r="H60" s="15" t="s">
        <v>16</v>
      </c>
      <c r="I60" s="15">
        <v>4511569944</v>
      </c>
      <c r="J60" s="15" t="s">
        <v>23</v>
      </c>
      <c r="K60" s="13" t="s">
        <v>30</v>
      </c>
      <c r="L60" s="15">
        <v>1</v>
      </c>
    </row>
    <row r="61" spans="1:12" x14ac:dyDescent="0.3">
      <c r="A61" s="19" t="s">
        <v>12</v>
      </c>
      <c r="B61" s="15">
        <v>70061785</v>
      </c>
      <c r="C61" s="15" t="s">
        <v>926</v>
      </c>
      <c r="D61" s="15" t="s">
        <v>13</v>
      </c>
      <c r="E61" s="15" t="s">
        <v>42</v>
      </c>
      <c r="F61" s="15" t="s">
        <v>1068</v>
      </c>
      <c r="G61" s="15" t="s">
        <v>50</v>
      </c>
      <c r="H61" s="15" t="s">
        <v>16</v>
      </c>
      <c r="I61" s="15">
        <v>4511572460</v>
      </c>
      <c r="J61" s="15" t="s">
        <v>17</v>
      </c>
      <c r="K61" s="13" t="s">
        <v>20</v>
      </c>
      <c r="L61" s="15">
        <v>4</v>
      </c>
    </row>
    <row r="62" spans="1:12" x14ac:dyDescent="0.3">
      <c r="A62" s="19" t="s">
        <v>12</v>
      </c>
      <c r="B62" s="15">
        <v>70061786</v>
      </c>
      <c r="C62" s="15" t="s">
        <v>927</v>
      </c>
      <c r="D62" s="15" t="s">
        <v>13</v>
      </c>
      <c r="E62" s="15" t="s">
        <v>42</v>
      </c>
      <c r="F62" s="15" t="s">
        <v>1068</v>
      </c>
      <c r="G62" s="15" t="s">
        <v>50</v>
      </c>
      <c r="H62" s="15" t="s">
        <v>16</v>
      </c>
      <c r="I62" s="15">
        <v>4511572460</v>
      </c>
      <c r="J62" s="15" t="s">
        <v>17</v>
      </c>
      <c r="K62" s="13" t="s">
        <v>20</v>
      </c>
      <c r="L62" s="15">
        <v>4</v>
      </c>
    </row>
    <row r="63" spans="1:12" x14ac:dyDescent="0.3">
      <c r="A63" s="19" t="s">
        <v>12</v>
      </c>
      <c r="B63" s="15">
        <v>70069179</v>
      </c>
      <c r="C63" s="15" t="s">
        <v>1005</v>
      </c>
      <c r="D63" s="15" t="s">
        <v>13</v>
      </c>
      <c r="E63" s="15" t="s">
        <v>96</v>
      </c>
      <c r="F63" s="15" t="s">
        <v>1006</v>
      </c>
      <c r="G63" s="15" t="s">
        <v>28</v>
      </c>
      <c r="H63" s="15" t="s">
        <v>16</v>
      </c>
      <c r="I63" s="15">
        <v>5500024855</v>
      </c>
      <c r="J63" s="15" t="s">
        <v>17</v>
      </c>
      <c r="L63" s="15">
        <v>10</v>
      </c>
    </row>
    <row r="64" spans="1:12" x14ac:dyDescent="0.3">
      <c r="A64" s="19" t="s">
        <v>12</v>
      </c>
      <c r="B64" s="15">
        <v>70069183</v>
      </c>
      <c r="C64" s="15" t="s">
        <v>1007</v>
      </c>
      <c r="D64" s="15" t="s">
        <v>13</v>
      </c>
      <c r="E64" s="15" t="s">
        <v>96</v>
      </c>
      <c r="F64" s="15" t="s">
        <v>1006</v>
      </c>
      <c r="G64" s="15" t="s">
        <v>28</v>
      </c>
      <c r="H64" s="15" t="s">
        <v>16</v>
      </c>
      <c r="I64" s="15">
        <v>5500024855</v>
      </c>
      <c r="J64" s="15" t="s">
        <v>17</v>
      </c>
      <c r="L64" s="15">
        <v>30</v>
      </c>
    </row>
    <row r="65" spans="1:12" x14ac:dyDescent="0.3">
      <c r="A65" s="19" t="s">
        <v>12</v>
      </c>
      <c r="B65" s="15">
        <v>70077698</v>
      </c>
      <c r="C65" s="15" t="s">
        <v>1043</v>
      </c>
      <c r="D65" s="15" t="s">
        <v>13</v>
      </c>
      <c r="E65" s="15" t="s">
        <v>312</v>
      </c>
      <c r="F65" s="15" t="s">
        <v>1044</v>
      </c>
      <c r="G65" s="15" t="s">
        <v>181</v>
      </c>
      <c r="H65" s="15" t="s">
        <v>16</v>
      </c>
      <c r="I65" s="15">
        <v>4511538552</v>
      </c>
      <c r="J65" s="15" t="s">
        <v>23</v>
      </c>
      <c r="K65" s="13" t="s">
        <v>30</v>
      </c>
      <c r="L65" s="15">
        <v>1</v>
      </c>
    </row>
    <row r="66" spans="1:12" x14ac:dyDescent="0.3">
      <c r="A66" s="19" t="s">
        <v>12</v>
      </c>
      <c r="B66" s="15">
        <v>70082928</v>
      </c>
      <c r="C66" s="15" t="s">
        <v>928</v>
      </c>
      <c r="D66" s="15" t="s">
        <v>13</v>
      </c>
      <c r="E66" s="15" t="s">
        <v>42</v>
      </c>
      <c r="F66" s="15" t="s">
        <v>1068</v>
      </c>
      <c r="G66" s="15" t="s">
        <v>50</v>
      </c>
      <c r="H66" s="15" t="s">
        <v>16</v>
      </c>
      <c r="I66" s="15">
        <v>4511572460</v>
      </c>
      <c r="J66" s="15" t="s">
        <v>17</v>
      </c>
      <c r="K66" s="13" t="s">
        <v>20</v>
      </c>
      <c r="L66" s="15">
        <v>6</v>
      </c>
    </row>
    <row r="67" spans="1:12" x14ac:dyDescent="0.3">
      <c r="A67" s="19" t="s">
        <v>12</v>
      </c>
      <c r="B67" s="15">
        <v>70097146</v>
      </c>
      <c r="C67" s="15" t="s">
        <v>895</v>
      </c>
      <c r="D67" s="15" t="s">
        <v>13</v>
      </c>
      <c r="E67" s="15" t="s">
        <v>312</v>
      </c>
      <c r="F67" s="15" t="s">
        <v>1078</v>
      </c>
      <c r="G67" s="15" t="s">
        <v>181</v>
      </c>
      <c r="H67" s="15" t="s">
        <v>16</v>
      </c>
      <c r="I67" s="15">
        <v>4511561153</v>
      </c>
      <c r="J67" s="15" t="s">
        <v>23</v>
      </c>
      <c r="K67" s="13" t="s">
        <v>20</v>
      </c>
      <c r="L67" s="15">
        <v>6</v>
      </c>
    </row>
    <row r="68" spans="1:12" x14ac:dyDescent="0.3">
      <c r="A68" s="19" t="s">
        <v>12</v>
      </c>
      <c r="B68" s="15">
        <v>70098846</v>
      </c>
      <c r="C68" s="15" t="s">
        <v>929</v>
      </c>
      <c r="D68" s="15" t="s">
        <v>13</v>
      </c>
      <c r="E68" s="15" t="s">
        <v>42</v>
      </c>
      <c r="F68" s="15" t="s">
        <v>1068</v>
      </c>
      <c r="G68" s="15" t="s">
        <v>50</v>
      </c>
      <c r="H68" s="15" t="s">
        <v>16</v>
      </c>
      <c r="I68" s="15">
        <v>4511572460</v>
      </c>
      <c r="J68" s="15" t="s">
        <v>17</v>
      </c>
      <c r="K68" s="13" t="s">
        <v>20</v>
      </c>
      <c r="L68" s="15">
        <v>6</v>
      </c>
    </row>
    <row r="69" spans="1:12" x14ac:dyDescent="0.3">
      <c r="A69" s="19" t="s">
        <v>12</v>
      </c>
      <c r="B69" s="15">
        <v>70099880</v>
      </c>
      <c r="C69" s="15" t="s">
        <v>890</v>
      </c>
      <c r="D69" s="15" t="s">
        <v>13</v>
      </c>
      <c r="E69" s="15" t="s">
        <v>42</v>
      </c>
      <c r="F69" s="15" t="s">
        <v>1083</v>
      </c>
      <c r="G69" s="15" t="s">
        <v>26</v>
      </c>
      <c r="H69" s="15" t="s">
        <v>16</v>
      </c>
      <c r="I69" s="15">
        <v>4511572032</v>
      </c>
      <c r="J69" s="15" t="s">
        <v>17</v>
      </c>
      <c r="K69" s="13" t="s">
        <v>20</v>
      </c>
      <c r="L69" s="15">
        <v>10</v>
      </c>
    </row>
    <row r="70" spans="1:12" x14ac:dyDescent="0.3">
      <c r="A70" s="19" t="s">
        <v>12</v>
      </c>
      <c r="B70" s="15">
        <v>70100392</v>
      </c>
      <c r="C70" s="15" t="s">
        <v>53</v>
      </c>
      <c r="D70" s="15" t="s">
        <v>13</v>
      </c>
      <c r="E70" s="15" t="s">
        <v>54</v>
      </c>
      <c r="F70" s="15" t="s">
        <v>947</v>
      </c>
      <c r="G70" s="15" t="s">
        <v>28</v>
      </c>
      <c r="H70" s="15" t="s">
        <v>16</v>
      </c>
      <c r="I70" s="15">
        <v>5500024751</v>
      </c>
      <c r="J70" s="15" t="s">
        <v>17</v>
      </c>
      <c r="L70" s="15">
        <v>26</v>
      </c>
    </row>
    <row r="71" spans="1:12" x14ac:dyDescent="0.3">
      <c r="A71" s="19" t="s">
        <v>12</v>
      </c>
      <c r="B71" s="15">
        <v>70100392</v>
      </c>
      <c r="C71" s="15" t="s">
        <v>53</v>
      </c>
      <c r="D71" s="15" t="s">
        <v>13</v>
      </c>
      <c r="E71" s="15" t="s">
        <v>54</v>
      </c>
      <c r="F71" s="15" t="s">
        <v>986</v>
      </c>
      <c r="G71" s="15" t="s">
        <v>28</v>
      </c>
      <c r="H71" s="15" t="s">
        <v>16</v>
      </c>
      <c r="I71" s="15">
        <v>5500024751</v>
      </c>
      <c r="J71" s="15" t="s">
        <v>17</v>
      </c>
      <c r="L71" s="15">
        <v>31</v>
      </c>
    </row>
    <row r="72" spans="1:12" x14ac:dyDescent="0.3">
      <c r="A72" s="19" t="s">
        <v>12</v>
      </c>
      <c r="B72" s="15">
        <v>70100392</v>
      </c>
      <c r="C72" s="15" t="s">
        <v>53</v>
      </c>
      <c r="D72" s="15" t="s">
        <v>13</v>
      </c>
      <c r="E72" s="15" t="s">
        <v>54</v>
      </c>
      <c r="F72" s="15" t="s">
        <v>1021</v>
      </c>
      <c r="G72" s="15" t="s">
        <v>28</v>
      </c>
      <c r="H72" s="15" t="s">
        <v>16</v>
      </c>
      <c r="I72" s="15">
        <v>5500024751</v>
      </c>
      <c r="J72" s="15" t="s">
        <v>17</v>
      </c>
      <c r="L72" s="15">
        <v>35</v>
      </c>
    </row>
    <row r="73" spans="1:12" x14ac:dyDescent="0.3">
      <c r="A73" s="19" t="s">
        <v>12</v>
      </c>
      <c r="B73" s="15">
        <v>70100392</v>
      </c>
      <c r="C73" s="15" t="s">
        <v>53</v>
      </c>
      <c r="D73" s="15" t="s">
        <v>13</v>
      </c>
      <c r="E73" s="15" t="s">
        <v>54</v>
      </c>
      <c r="F73" s="15" t="s">
        <v>1030</v>
      </c>
      <c r="G73" s="15" t="s">
        <v>28</v>
      </c>
      <c r="H73" s="15" t="s">
        <v>16</v>
      </c>
      <c r="I73" s="15">
        <v>5500024751</v>
      </c>
      <c r="J73" s="15" t="s">
        <v>17</v>
      </c>
      <c r="L73" s="15">
        <v>19</v>
      </c>
    </row>
    <row r="74" spans="1:12" x14ac:dyDescent="0.3">
      <c r="A74" s="19" t="s">
        <v>12</v>
      </c>
      <c r="B74" s="15">
        <v>70100392</v>
      </c>
      <c r="C74" s="15" t="s">
        <v>53</v>
      </c>
      <c r="D74" s="15" t="s">
        <v>13</v>
      </c>
      <c r="E74" s="15" t="s">
        <v>54</v>
      </c>
      <c r="F74" s="15" t="s">
        <v>1046</v>
      </c>
      <c r="G74" s="15" t="s">
        <v>28</v>
      </c>
      <c r="H74" s="15" t="s">
        <v>16</v>
      </c>
      <c r="I74" s="15">
        <v>5500024751</v>
      </c>
      <c r="J74" s="15" t="s">
        <v>17</v>
      </c>
      <c r="L74" s="15">
        <v>35</v>
      </c>
    </row>
    <row r="75" spans="1:12" x14ac:dyDescent="0.3">
      <c r="A75" s="19" t="s">
        <v>12</v>
      </c>
      <c r="B75" s="15">
        <v>70100392</v>
      </c>
      <c r="C75" s="15" t="s">
        <v>53</v>
      </c>
      <c r="D75" s="15" t="s">
        <v>13</v>
      </c>
      <c r="E75" s="15" t="s">
        <v>54</v>
      </c>
      <c r="F75" s="15" t="s">
        <v>1094</v>
      </c>
      <c r="G75" s="15" t="s">
        <v>28</v>
      </c>
      <c r="H75" s="15" t="s">
        <v>16</v>
      </c>
      <c r="I75" s="15">
        <v>5500024751</v>
      </c>
      <c r="J75" s="15" t="s">
        <v>17</v>
      </c>
      <c r="L75" s="15">
        <v>41</v>
      </c>
    </row>
    <row r="76" spans="1:12" x14ac:dyDescent="0.3">
      <c r="A76" s="19" t="s">
        <v>12</v>
      </c>
      <c r="B76" s="15">
        <v>70108070</v>
      </c>
      <c r="C76" s="15" t="s">
        <v>875</v>
      </c>
      <c r="D76" s="15" t="s">
        <v>13</v>
      </c>
      <c r="E76" s="15" t="s">
        <v>42</v>
      </c>
      <c r="F76" s="15" t="s">
        <v>1095</v>
      </c>
      <c r="G76" s="15" t="s">
        <v>26</v>
      </c>
      <c r="H76" s="15" t="s">
        <v>16</v>
      </c>
      <c r="I76" s="15">
        <v>4511571650</v>
      </c>
      <c r="J76" s="15" t="s">
        <v>17</v>
      </c>
      <c r="K76" s="13" t="s">
        <v>30</v>
      </c>
      <c r="L76" s="15">
        <v>3</v>
      </c>
    </row>
    <row r="77" spans="1:12" x14ac:dyDescent="0.3">
      <c r="A77" s="19" t="s">
        <v>12</v>
      </c>
      <c r="B77" s="15">
        <v>70112201</v>
      </c>
      <c r="C77" s="15" t="s">
        <v>891</v>
      </c>
      <c r="D77" s="15" t="s">
        <v>13</v>
      </c>
      <c r="E77" s="15" t="s">
        <v>42</v>
      </c>
      <c r="F77" s="15" t="s">
        <v>1084</v>
      </c>
      <c r="G77" s="15" t="s">
        <v>50</v>
      </c>
      <c r="H77" s="15" t="s">
        <v>16</v>
      </c>
      <c r="I77" s="15">
        <v>4511567003</v>
      </c>
      <c r="J77" s="15" t="s">
        <v>23</v>
      </c>
      <c r="K77" s="13" t="s">
        <v>20</v>
      </c>
      <c r="L77" s="15">
        <v>8</v>
      </c>
    </row>
    <row r="78" spans="1:12" x14ac:dyDescent="0.3">
      <c r="A78" s="19" t="s">
        <v>12</v>
      </c>
      <c r="B78" s="15">
        <v>70113596</v>
      </c>
      <c r="C78" s="15" t="s">
        <v>1008</v>
      </c>
      <c r="D78" s="15" t="s">
        <v>888</v>
      </c>
      <c r="E78" s="15" t="s">
        <v>44</v>
      </c>
      <c r="F78" s="15" t="s">
        <v>1009</v>
      </c>
      <c r="G78" s="15" t="s">
        <v>26</v>
      </c>
      <c r="H78" s="15" t="s">
        <v>16</v>
      </c>
      <c r="I78" s="15">
        <v>4511573528</v>
      </c>
      <c r="J78" s="15" t="s">
        <v>17</v>
      </c>
      <c r="K78" s="13" t="s">
        <v>18</v>
      </c>
      <c r="L78" s="15">
        <v>2</v>
      </c>
    </row>
    <row r="79" spans="1:12" x14ac:dyDescent="0.3">
      <c r="A79" s="19" t="s">
        <v>12</v>
      </c>
      <c r="B79" s="15">
        <v>70118374</v>
      </c>
      <c r="C79" s="15" t="s">
        <v>932</v>
      </c>
      <c r="D79" s="15" t="s">
        <v>13</v>
      </c>
      <c r="E79" s="15" t="s">
        <v>316</v>
      </c>
      <c r="F79" s="15" t="s">
        <v>933</v>
      </c>
      <c r="G79" s="15" t="s">
        <v>26</v>
      </c>
      <c r="H79" s="15" t="s">
        <v>16</v>
      </c>
      <c r="I79" s="15">
        <v>4511573592</v>
      </c>
      <c r="J79" s="15" t="s">
        <v>23</v>
      </c>
      <c r="K79" s="13" t="s">
        <v>30</v>
      </c>
      <c r="L79" s="15">
        <v>8</v>
      </c>
    </row>
    <row r="80" spans="1:12" x14ac:dyDescent="0.3">
      <c r="A80" s="19" t="s">
        <v>12</v>
      </c>
      <c r="B80" s="15">
        <v>70128403</v>
      </c>
      <c r="C80" s="15" t="s">
        <v>867</v>
      </c>
      <c r="D80" s="15" t="s">
        <v>21</v>
      </c>
      <c r="E80" s="15" t="s">
        <v>17</v>
      </c>
      <c r="F80" s="15" t="s">
        <v>1038</v>
      </c>
      <c r="G80" s="15" t="s">
        <v>17</v>
      </c>
      <c r="H80" s="15" t="s">
        <v>17</v>
      </c>
      <c r="I80" s="15">
        <v>5500024888</v>
      </c>
      <c r="J80" s="15" t="s">
        <v>17</v>
      </c>
      <c r="L80" s="15">
        <v>1600</v>
      </c>
    </row>
    <row r="81" spans="1:12" x14ac:dyDescent="0.3">
      <c r="A81" s="19" t="s">
        <v>12</v>
      </c>
      <c r="B81" s="15">
        <v>70128403</v>
      </c>
      <c r="C81" s="15" t="s">
        <v>867</v>
      </c>
      <c r="D81" s="15" t="s">
        <v>21</v>
      </c>
      <c r="E81" s="15"/>
      <c r="F81" s="15" t="s">
        <v>1079</v>
      </c>
      <c r="G81" s="15" t="s">
        <v>17</v>
      </c>
      <c r="H81" s="15" t="s">
        <v>17</v>
      </c>
      <c r="I81" s="15">
        <v>5500024888</v>
      </c>
      <c r="J81" s="15" t="s">
        <v>17</v>
      </c>
      <c r="L81" s="15">
        <v>1000</v>
      </c>
    </row>
    <row r="82" spans="1:12" x14ac:dyDescent="0.3">
      <c r="A82" s="19" t="s">
        <v>12</v>
      </c>
      <c r="B82" s="15">
        <v>70128403</v>
      </c>
      <c r="C82" s="15" t="s">
        <v>867</v>
      </c>
      <c r="D82" s="15" t="s">
        <v>21</v>
      </c>
      <c r="E82" s="15"/>
      <c r="F82" s="15" t="s">
        <v>1102</v>
      </c>
      <c r="G82" s="15" t="s">
        <v>17</v>
      </c>
      <c r="H82" s="15" t="s">
        <v>17</v>
      </c>
      <c r="I82" s="15">
        <v>5500024888</v>
      </c>
      <c r="J82" s="15" t="s">
        <v>17</v>
      </c>
      <c r="L82" s="15">
        <v>2000</v>
      </c>
    </row>
    <row r="83" spans="1:12" x14ac:dyDescent="0.3">
      <c r="A83" s="19" t="s">
        <v>12</v>
      </c>
      <c r="B83" s="15">
        <v>70135105</v>
      </c>
      <c r="C83" s="15" t="s">
        <v>878</v>
      </c>
      <c r="D83" s="15" t="s">
        <v>43</v>
      </c>
      <c r="E83" s="15" t="s">
        <v>1180</v>
      </c>
      <c r="F83" s="15" t="s">
        <v>1090</v>
      </c>
      <c r="G83" s="15" t="s">
        <v>306</v>
      </c>
      <c r="H83" s="15" t="s">
        <v>16</v>
      </c>
      <c r="I83" s="15">
        <v>4511570356</v>
      </c>
      <c r="J83" s="15" t="s">
        <v>23</v>
      </c>
      <c r="K83" s="13" t="s">
        <v>20</v>
      </c>
      <c r="L83" s="15">
        <v>2</v>
      </c>
    </row>
    <row r="84" spans="1:12" x14ac:dyDescent="0.3">
      <c r="A84" s="19" t="s">
        <v>12</v>
      </c>
      <c r="B84" s="15">
        <v>70135106</v>
      </c>
      <c r="C84" s="15" t="s">
        <v>879</v>
      </c>
      <c r="D84" s="15" t="s">
        <v>43</v>
      </c>
      <c r="E84" s="15" t="s">
        <v>1180</v>
      </c>
      <c r="F84" s="15" t="s">
        <v>1090</v>
      </c>
      <c r="G84" s="15" t="s">
        <v>306</v>
      </c>
      <c r="H84" s="15" t="s">
        <v>16</v>
      </c>
      <c r="I84" s="15">
        <v>4511570356</v>
      </c>
      <c r="J84" s="15" t="s">
        <v>23</v>
      </c>
      <c r="K84" s="13" t="s">
        <v>20</v>
      </c>
      <c r="L84" s="15">
        <v>2</v>
      </c>
    </row>
    <row r="85" spans="1:12" x14ac:dyDescent="0.3">
      <c r="A85" s="19" t="s">
        <v>12</v>
      </c>
      <c r="B85" s="15">
        <v>70135107</v>
      </c>
      <c r="C85" s="15" t="s">
        <v>880</v>
      </c>
      <c r="D85" s="15" t="s">
        <v>43</v>
      </c>
      <c r="E85" s="15" t="s">
        <v>1180</v>
      </c>
      <c r="F85" s="15" t="s">
        <v>1090</v>
      </c>
      <c r="G85" s="15" t="s">
        <v>306</v>
      </c>
      <c r="H85" s="15" t="s">
        <v>16</v>
      </c>
      <c r="I85" s="15">
        <v>4511570356</v>
      </c>
      <c r="J85" s="15" t="s">
        <v>23</v>
      </c>
      <c r="K85" s="13" t="s">
        <v>20</v>
      </c>
      <c r="L85" s="15">
        <v>1</v>
      </c>
    </row>
    <row r="86" spans="1:12" x14ac:dyDescent="0.3">
      <c r="A86" s="19" t="s">
        <v>12</v>
      </c>
      <c r="B86" s="15">
        <v>70135249</v>
      </c>
      <c r="C86" s="15" t="s">
        <v>990</v>
      </c>
      <c r="D86" s="15" t="s">
        <v>13</v>
      </c>
      <c r="E86" s="15" t="s">
        <v>17</v>
      </c>
      <c r="F86" s="15" t="s">
        <v>991</v>
      </c>
      <c r="G86" s="15" t="s">
        <v>17</v>
      </c>
      <c r="H86" s="15" t="s">
        <v>17</v>
      </c>
      <c r="I86" s="15">
        <v>4511572837</v>
      </c>
      <c r="J86" s="15" t="s">
        <v>17</v>
      </c>
      <c r="K86" s="13" t="s">
        <v>20</v>
      </c>
      <c r="L86" s="15">
        <v>1</v>
      </c>
    </row>
    <row r="87" spans="1:12" x14ac:dyDescent="0.3">
      <c r="A87" s="19" t="s">
        <v>12</v>
      </c>
      <c r="B87" s="15" t="s">
        <v>1073</v>
      </c>
      <c r="C87" s="15" t="s">
        <v>930</v>
      </c>
      <c r="D87" s="15" t="s">
        <v>13</v>
      </c>
      <c r="E87" s="15" t="s">
        <v>42</v>
      </c>
      <c r="F87" s="15" t="s">
        <v>1068</v>
      </c>
      <c r="G87" s="15" t="s">
        <v>50</v>
      </c>
      <c r="H87" s="15" t="s">
        <v>16</v>
      </c>
      <c r="I87" s="15">
        <v>4511572460</v>
      </c>
      <c r="J87" s="15" t="s">
        <v>17</v>
      </c>
      <c r="K87" s="13" t="s">
        <v>20</v>
      </c>
      <c r="L87" s="15">
        <v>12</v>
      </c>
    </row>
    <row r="88" spans="1:12" x14ac:dyDescent="0.3">
      <c r="A88" s="19" t="s">
        <v>12</v>
      </c>
      <c r="B88" s="15" t="s">
        <v>1103</v>
      </c>
      <c r="C88" s="15" t="s">
        <v>868</v>
      </c>
      <c r="D88" s="15" t="s">
        <v>13</v>
      </c>
      <c r="E88" s="15" t="s">
        <v>161</v>
      </c>
      <c r="F88" s="15" t="s">
        <v>1104</v>
      </c>
      <c r="G88" s="15" t="s">
        <v>26</v>
      </c>
      <c r="H88" s="15" t="s">
        <v>16</v>
      </c>
      <c r="I88" s="15">
        <v>4511570926</v>
      </c>
      <c r="J88" s="15" t="s">
        <v>17</v>
      </c>
      <c r="K88" s="13" t="s">
        <v>20</v>
      </c>
      <c r="L88" s="15">
        <v>4</v>
      </c>
    </row>
    <row r="89" spans="1:12" x14ac:dyDescent="0.3">
      <c r="A89" s="19" t="s">
        <v>12</v>
      </c>
      <c r="B89" s="15" t="s">
        <v>970</v>
      </c>
      <c r="C89" s="15" t="s">
        <v>971</v>
      </c>
      <c r="D89" s="15" t="s">
        <v>21</v>
      </c>
      <c r="E89" s="15" t="s">
        <v>22</v>
      </c>
      <c r="F89" s="15" t="s">
        <v>960</v>
      </c>
      <c r="G89" s="15" t="s">
        <v>50</v>
      </c>
      <c r="H89" s="15" t="s">
        <v>16</v>
      </c>
      <c r="I89" s="15">
        <v>4511573901</v>
      </c>
      <c r="J89" s="15" t="s">
        <v>17</v>
      </c>
      <c r="K89" s="13" t="s">
        <v>20</v>
      </c>
      <c r="L89" s="15">
        <v>1</v>
      </c>
    </row>
    <row r="90" spans="1:12" x14ac:dyDescent="0.3">
      <c r="A90" s="19" t="s">
        <v>12</v>
      </c>
      <c r="B90" s="15" t="s">
        <v>203</v>
      </c>
      <c r="C90" s="15" t="s">
        <v>923</v>
      </c>
      <c r="D90" s="15" t="s">
        <v>13</v>
      </c>
      <c r="E90" s="15" t="s">
        <v>22</v>
      </c>
      <c r="F90" s="15" t="s">
        <v>1072</v>
      </c>
      <c r="G90" s="15" t="s">
        <v>15</v>
      </c>
      <c r="H90" s="15" t="s">
        <v>16</v>
      </c>
      <c r="I90" s="15">
        <v>4511571461</v>
      </c>
      <c r="J90" s="15" t="s">
        <v>23</v>
      </c>
      <c r="K90" s="13" t="s">
        <v>20</v>
      </c>
      <c r="L90" s="15">
        <v>35</v>
      </c>
    </row>
    <row r="91" spans="1:12" x14ac:dyDescent="0.3">
      <c r="A91" s="19" t="s">
        <v>12</v>
      </c>
      <c r="B91" s="15" t="s">
        <v>57</v>
      </c>
      <c r="C91" s="15" t="s">
        <v>58</v>
      </c>
      <c r="D91" s="15" t="s">
        <v>19</v>
      </c>
      <c r="E91" s="15" t="s">
        <v>22</v>
      </c>
      <c r="F91" s="15" t="s">
        <v>960</v>
      </c>
      <c r="G91" s="15" t="s">
        <v>15</v>
      </c>
      <c r="H91" s="15" t="s">
        <v>16</v>
      </c>
      <c r="I91" s="15">
        <v>4511573901</v>
      </c>
      <c r="J91" s="15" t="s">
        <v>17</v>
      </c>
      <c r="K91" s="13" t="s">
        <v>20</v>
      </c>
      <c r="L91" s="15">
        <v>10</v>
      </c>
    </row>
    <row r="92" spans="1:12" x14ac:dyDescent="0.3">
      <c r="A92" s="19" t="s">
        <v>12</v>
      </c>
      <c r="B92" s="15" t="s">
        <v>948</v>
      </c>
      <c r="C92" s="15" t="s">
        <v>949</v>
      </c>
      <c r="D92" s="15" t="s">
        <v>21</v>
      </c>
      <c r="E92" s="15" t="s">
        <v>89</v>
      </c>
      <c r="F92" s="15" t="s">
        <v>950</v>
      </c>
      <c r="G92" s="15" t="s">
        <v>326</v>
      </c>
      <c r="H92" s="15" t="s">
        <v>16</v>
      </c>
      <c r="I92" s="15">
        <v>4511574160</v>
      </c>
      <c r="J92" s="15" t="s">
        <v>17</v>
      </c>
      <c r="K92" s="13" t="s">
        <v>20</v>
      </c>
      <c r="L92" s="15">
        <v>100</v>
      </c>
    </row>
    <row r="93" spans="1:12" x14ac:dyDescent="0.3">
      <c r="A93" s="19" t="s">
        <v>12</v>
      </c>
      <c r="B93" s="15" t="s">
        <v>92</v>
      </c>
      <c r="C93" s="15" t="s">
        <v>885</v>
      </c>
      <c r="D93" s="15" t="s">
        <v>31</v>
      </c>
      <c r="E93" s="15" t="s">
        <v>91</v>
      </c>
      <c r="F93" s="15" t="s">
        <v>975</v>
      </c>
      <c r="G93" s="15" t="s">
        <v>1114</v>
      </c>
      <c r="H93" s="15" t="s">
        <v>16</v>
      </c>
      <c r="I93" s="15">
        <v>4511573749</v>
      </c>
      <c r="J93" s="15" t="s">
        <v>17</v>
      </c>
      <c r="K93" s="13" t="s">
        <v>20</v>
      </c>
      <c r="L93" s="15">
        <v>10000</v>
      </c>
    </row>
    <row r="94" spans="1:12" x14ac:dyDescent="0.3">
      <c r="A94" s="19" t="s">
        <v>12</v>
      </c>
      <c r="B94" s="15" t="s">
        <v>92</v>
      </c>
      <c r="C94" s="15" t="s">
        <v>885</v>
      </c>
      <c r="D94" s="15" t="s">
        <v>31</v>
      </c>
      <c r="E94" s="15" t="s">
        <v>91</v>
      </c>
      <c r="F94" s="15" t="s">
        <v>976</v>
      </c>
      <c r="G94" s="15" t="s">
        <v>1114</v>
      </c>
      <c r="H94" s="15" t="s">
        <v>16</v>
      </c>
      <c r="I94" s="15">
        <v>4511573749</v>
      </c>
      <c r="J94" s="15" t="s">
        <v>17</v>
      </c>
      <c r="K94" s="13" t="s">
        <v>20</v>
      </c>
      <c r="L94" s="15">
        <v>10000</v>
      </c>
    </row>
    <row r="95" spans="1:12" x14ac:dyDescent="0.3">
      <c r="A95" s="19" t="s">
        <v>12</v>
      </c>
      <c r="B95" s="15" t="s">
        <v>951</v>
      </c>
      <c r="C95" s="15" t="s">
        <v>952</v>
      </c>
      <c r="D95" s="15" t="s">
        <v>31</v>
      </c>
      <c r="E95" s="15" t="s">
        <v>1110</v>
      </c>
      <c r="F95" s="15" t="s">
        <v>953</v>
      </c>
      <c r="G95" s="15" t="s">
        <v>326</v>
      </c>
      <c r="H95" s="15" t="s">
        <v>16</v>
      </c>
      <c r="I95" s="15">
        <v>4511574248</v>
      </c>
      <c r="J95" s="15" t="s">
        <v>17</v>
      </c>
      <c r="K95" s="13" t="s">
        <v>20</v>
      </c>
      <c r="L95" s="15">
        <v>680</v>
      </c>
    </row>
    <row r="96" spans="1:12" x14ac:dyDescent="0.3">
      <c r="A96" s="19"/>
      <c r="B96" s="15"/>
      <c r="C96" s="15"/>
      <c r="D96" s="15"/>
      <c r="E96" s="15"/>
      <c r="F96" s="15"/>
      <c r="G96" s="15"/>
      <c r="H96" s="15"/>
      <c r="I96" s="15"/>
      <c r="J96" s="15"/>
      <c r="L96" s="15"/>
    </row>
    <row r="97" spans="1:12" x14ac:dyDescent="0.3">
      <c r="A97" s="19"/>
      <c r="B97" s="15"/>
      <c r="C97" s="15"/>
      <c r="D97" s="15"/>
      <c r="E97" s="15"/>
      <c r="F97" s="15"/>
      <c r="G97" s="15"/>
      <c r="H97" s="15"/>
      <c r="I97" s="15"/>
      <c r="J97" s="15"/>
      <c r="L97" s="15"/>
    </row>
    <row r="98" spans="1:12" x14ac:dyDescent="0.3">
      <c r="A98" s="19"/>
      <c r="B98" s="15"/>
      <c r="C98" s="15"/>
      <c r="D98" s="15"/>
      <c r="E98" s="15"/>
      <c r="F98" s="15"/>
      <c r="G98" s="15"/>
      <c r="H98" s="15"/>
      <c r="I98" s="15"/>
      <c r="J98" s="15"/>
      <c r="L98" s="15"/>
    </row>
    <row r="99" spans="1:12" x14ac:dyDescent="0.3">
      <c r="A99" s="19"/>
      <c r="B99" s="15"/>
      <c r="C99" s="15"/>
      <c r="D99" s="15"/>
      <c r="E99" s="15"/>
      <c r="F99" s="15"/>
      <c r="G99" s="15"/>
      <c r="H99" s="15"/>
      <c r="I99" s="15"/>
      <c r="J99" s="15"/>
      <c r="L99" s="15"/>
    </row>
    <row r="100" spans="1:12" x14ac:dyDescent="0.3">
      <c r="A100" s="19"/>
      <c r="B100" s="15"/>
      <c r="C100" s="15"/>
      <c r="D100" s="15"/>
      <c r="E100" s="15"/>
      <c r="F100" s="15"/>
      <c r="G100" s="15"/>
      <c r="H100" s="15"/>
      <c r="I100" s="15"/>
      <c r="J100" s="15"/>
      <c r="L100" s="15"/>
    </row>
    <row r="101" spans="1:12" x14ac:dyDescent="0.3">
      <c r="A101" s="19"/>
      <c r="B101" s="15"/>
      <c r="C101" s="15"/>
      <c r="D101" s="15"/>
      <c r="E101" s="15"/>
      <c r="F101" s="15"/>
      <c r="G101" s="15"/>
      <c r="H101" s="15"/>
      <c r="I101" s="15"/>
      <c r="J101" s="15"/>
      <c r="L101" s="15"/>
    </row>
    <row r="102" spans="1:12" x14ac:dyDescent="0.3">
      <c r="A102" s="19"/>
      <c r="B102" s="15"/>
      <c r="C102" s="15"/>
      <c r="D102" s="15"/>
      <c r="E102" s="15"/>
      <c r="F102" s="15"/>
      <c r="G102" s="15"/>
      <c r="H102" s="15"/>
      <c r="I102" s="15"/>
      <c r="J102" s="15"/>
      <c r="L102" s="15"/>
    </row>
    <row r="103" spans="1:12" x14ac:dyDescent="0.3">
      <c r="A103" s="19"/>
      <c r="B103" s="15"/>
      <c r="C103" s="15"/>
      <c r="D103" s="15"/>
      <c r="E103" s="15"/>
      <c r="F103" s="15"/>
      <c r="G103" s="15"/>
      <c r="H103" s="15"/>
      <c r="I103" s="15"/>
      <c r="J103" s="15"/>
      <c r="L103" s="15"/>
    </row>
    <row r="104" spans="1:12" x14ac:dyDescent="0.3">
      <c r="A104" s="19"/>
      <c r="B104" s="15"/>
      <c r="C104" s="15"/>
      <c r="D104" s="15"/>
      <c r="E104" s="15"/>
      <c r="F104" s="15"/>
      <c r="G104" s="15"/>
      <c r="H104" s="15"/>
      <c r="I104" s="15"/>
      <c r="J104" s="15"/>
      <c r="L104" s="15"/>
    </row>
    <row r="105" spans="1:12" x14ac:dyDescent="0.3">
      <c r="A105" s="19"/>
      <c r="B105" s="15"/>
      <c r="C105" s="15"/>
      <c r="D105" s="15"/>
      <c r="E105" s="15"/>
      <c r="F105" s="15"/>
      <c r="G105" s="15"/>
      <c r="H105" s="15"/>
      <c r="I105" s="15"/>
      <c r="J105" s="15"/>
      <c r="L105" s="15"/>
    </row>
    <row r="106" spans="1:12" x14ac:dyDescent="0.3">
      <c r="A106" s="19"/>
      <c r="B106" s="15"/>
      <c r="C106" s="15"/>
      <c r="D106" s="15"/>
      <c r="E106" s="15"/>
      <c r="F106" s="15"/>
      <c r="G106" s="15"/>
      <c r="H106" s="15"/>
      <c r="I106" s="15"/>
      <c r="J106" s="15"/>
      <c r="L106" s="15"/>
    </row>
    <row r="107" spans="1:12" x14ac:dyDescent="0.3">
      <c r="A107" s="19"/>
      <c r="B107" s="15"/>
      <c r="C107" s="15"/>
      <c r="D107" s="15"/>
      <c r="E107" s="15"/>
      <c r="F107" s="15"/>
      <c r="G107" s="15"/>
      <c r="H107" s="15"/>
      <c r="I107" s="15"/>
      <c r="J107" s="15"/>
      <c r="L107" s="15"/>
    </row>
    <row r="108" spans="1:12" x14ac:dyDescent="0.3">
      <c r="A108" s="19"/>
      <c r="B108" s="15"/>
      <c r="C108" s="15"/>
      <c r="D108" s="15"/>
      <c r="E108" s="15"/>
      <c r="F108" s="15"/>
      <c r="G108" s="15"/>
      <c r="H108" s="15"/>
      <c r="I108" s="15"/>
      <c r="J108" s="15"/>
      <c r="L108" s="15"/>
    </row>
    <row r="109" spans="1:12" x14ac:dyDescent="0.3">
      <c r="A109" s="19"/>
      <c r="B109" s="15"/>
      <c r="C109" s="15"/>
      <c r="D109" s="15"/>
      <c r="E109" s="15"/>
      <c r="F109" s="15"/>
      <c r="G109" s="15"/>
      <c r="H109" s="15"/>
      <c r="I109" s="15"/>
      <c r="J109" s="15"/>
      <c r="L109" s="15"/>
    </row>
    <row r="110" spans="1:12" x14ac:dyDescent="0.3">
      <c r="A110" s="19"/>
      <c r="B110" s="15"/>
      <c r="C110" s="15"/>
      <c r="D110" s="15"/>
      <c r="E110" s="15"/>
      <c r="F110" s="15"/>
      <c r="G110" s="15"/>
      <c r="H110" s="15"/>
      <c r="I110" s="15"/>
      <c r="J110" s="15"/>
      <c r="L110" s="15"/>
    </row>
    <row r="111" spans="1:12" x14ac:dyDescent="0.3">
      <c r="A111" s="19"/>
      <c r="B111" s="15"/>
      <c r="C111" s="15"/>
      <c r="D111" s="15"/>
      <c r="E111" s="15"/>
      <c r="F111" s="15"/>
      <c r="G111" s="15"/>
      <c r="H111" s="15"/>
      <c r="I111" s="15"/>
      <c r="J111" s="15"/>
      <c r="L111" s="15"/>
    </row>
    <row r="112" spans="1:12" x14ac:dyDescent="0.3">
      <c r="A112" s="19"/>
      <c r="B112" s="15"/>
      <c r="C112" s="15"/>
      <c r="D112" s="15"/>
      <c r="E112" s="15"/>
      <c r="F112" s="15"/>
      <c r="G112" s="15"/>
      <c r="H112" s="15"/>
      <c r="I112" s="15"/>
      <c r="J112" s="15"/>
      <c r="L112" s="15"/>
    </row>
    <row r="113" spans="1:12" x14ac:dyDescent="0.3">
      <c r="A113" s="19"/>
      <c r="B113" s="15"/>
      <c r="C113" s="15"/>
      <c r="D113" s="15"/>
      <c r="E113" s="15"/>
      <c r="F113" s="15"/>
      <c r="G113" s="15"/>
      <c r="H113" s="15"/>
      <c r="I113" s="15"/>
      <c r="J113" s="15"/>
      <c r="L113" s="15"/>
    </row>
    <row r="114" spans="1:12" x14ac:dyDescent="0.3">
      <c r="A114" s="19"/>
      <c r="B114" s="15"/>
      <c r="C114" s="15"/>
      <c r="D114" s="15"/>
      <c r="E114" s="15"/>
      <c r="F114" s="15"/>
      <c r="G114" s="15"/>
      <c r="H114" s="15"/>
      <c r="I114" s="15"/>
      <c r="J114" s="15"/>
      <c r="L114" s="15"/>
    </row>
    <row r="115" spans="1:12" x14ac:dyDescent="0.3">
      <c r="A115" s="19"/>
      <c r="B115" s="15"/>
      <c r="C115" s="15"/>
      <c r="D115" s="15"/>
      <c r="E115" s="15"/>
      <c r="F115" s="15"/>
      <c r="G115" s="15"/>
      <c r="H115" s="15"/>
      <c r="I115" s="15"/>
      <c r="J115" s="15"/>
      <c r="L115" s="15"/>
    </row>
    <row r="116" spans="1:12" x14ac:dyDescent="0.3">
      <c r="A116" s="19"/>
      <c r="B116" s="15"/>
      <c r="C116" s="15"/>
      <c r="D116" s="15"/>
      <c r="E116" s="15"/>
      <c r="F116" s="15"/>
      <c r="G116" s="15"/>
      <c r="H116" s="15"/>
      <c r="I116" s="15"/>
      <c r="J116" s="15"/>
      <c r="L116" s="15"/>
    </row>
    <row r="117" spans="1:12" x14ac:dyDescent="0.3">
      <c r="A117" s="19"/>
      <c r="B117" s="15"/>
      <c r="C117" s="15"/>
      <c r="D117" s="15"/>
      <c r="E117" s="15"/>
      <c r="F117" s="15"/>
      <c r="G117" s="15"/>
      <c r="H117" s="15"/>
      <c r="I117" s="15"/>
      <c r="J117" s="15"/>
      <c r="L117" s="15"/>
    </row>
    <row r="118" spans="1:12" x14ac:dyDescent="0.3">
      <c r="A118" s="19"/>
      <c r="B118" s="15"/>
      <c r="C118" s="15"/>
      <c r="D118" s="15"/>
      <c r="E118" s="15"/>
      <c r="F118" s="15"/>
      <c r="G118" s="15"/>
      <c r="H118" s="15"/>
      <c r="I118" s="15"/>
      <c r="J118" s="15"/>
      <c r="L118" s="15"/>
    </row>
    <row r="119" spans="1:12" x14ac:dyDescent="0.3">
      <c r="A119" s="19"/>
      <c r="B119" s="15"/>
      <c r="C119" s="15"/>
      <c r="D119" s="15"/>
      <c r="E119" s="15"/>
      <c r="F119" s="15"/>
      <c r="G119" s="15"/>
      <c r="H119" s="15"/>
      <c r="I119" s="15"/>
      <c r="J119" s="15"/>
      <c r="L119" s="15"/>
    </row>
    <row r="120" spans="1:12" x14ac:dyDescent="0.3">
      <c r="A120" s="19"/>
      <c r="B120" s="15"/>
      <c r="C120" s="15"/>
      <c r="D120" s="15"/>
      <c r="E120" s="15"/>
      <c r="F120" s="15"/>
      <c r="G120" s="15"/>
      <c r="H120" s="15"/>
      <c r="I120" s="15"/>
      <c r="J120" s="15"/>
      <c r="L120" s="15"/>
    </row>
    <row r="121" spans="1:12" x14ac:dyDescent="0.3">
      <c r="A121" s="19"/>
      <c r="B121" s="15"/>
      <c r="C121" s="15"/>
      <c r="D121" s="15"/>
      <c r="E121" s="15"/>
      <c r="F121" s="15"/>
      <c r="G121" s="15"/>
      <c r="H121" s="15"/>
      <c r="I121" s="15"/>
      <c r="J121" s="15"/>
      <c r="L121" s="15"/>
    </row>
    <row r="122" spans="1:12" x14ac:dyDescent="0.3">
      <c r="A122" s="19"/>
      <c r="B122" s="15"/>
      <c r="C122" s="15"/>
      <c r="D122" s="15"/>
      <c r="E122" s="15"/>
      <c r="F122" s="15"/>
      <c r="G122" s="15"/>
      <c r="H122" s="15"/>
      <c r="I122" s="15"/>
      <c r="J122" s="15"/>
      <c r="L122" s="15"/>
    </row>
    <row r="123" spans="1:12" x14ac:dyDescent="0.3">
      <c r="A123" s="19"/>
      <c r="B123" s="15"/>
      <c r="C123" s="15"/>
      <c r="D123" s="15"/>
      <c r="E123" s="15"/>
      <c r="F123" s="15"/>
      <c r="G123" s="15"/>
      <c r="H123" s="15"/>
      <c r="I123" s="15"/>
      <c r="J123" s="15"/>
      <c r="L123" s="15"/>
    </row>
    <row r="124" spans="1:12" x14ac:dyDescent="0.3">
      <c r="A124" s="19"/>
      <c r="B124" s="15"/>
      <c r="C124" s="15"/>
      <c r="D124" s="15"/>
      <c r="E124" s="15"/>
      <c r="F124" s="15"/>
      <c r="G124" s="15"/>
      <c r="H124" s="15"/>
      <c r="I124" s="15"/>
      <c r="J124" s="15"/>
      <c r="L124" s="15"/>
    </row>
    <row r="125" spans="1:12" x14ac:dyDescent="0.3">
      <c r="A125" s="19"/>
      <c r="B125" s="15"/>
      <c r="C125" s="15"/>
      <c r="D125" s="15"/>
      <c r="E125" s="15"/>
      <c r="F125" s="15"/>
      <c r="G125" s="15"/>
      <c r="H125" s="15"/>
      <c r="I125" s="15"/>
      <c r="J125" s="15"/>
      <c r="L125" s="15"/>
    </row>
    <row r="126" spans="1:12" x14ac:dyDescent="0.3">
      <c r="A126" s="19"/>
      <c r="B126" s="15"/>
      <c r="C126" s="15"/>
      <c r="D126" s="15"/>
      <c r="E126" s="15"/>
      <c r="F126" s="15"/>
      <c r="G126" s="15"/>
      <c r="H126" s="15"/>
      <c r="I126" s="15"/>
      <c r="J126" s="15"/>
      <c r="L126" s="15"/>
    </row>
    <row r="127" spans="1:12" x14ac:dyDescent="0.3">
      <c r="A127" s="19"/>
      <c r="B127" s="15"/>
      <c r="C127" s="15"/>
      <c r="D127" s="15"/>
      <c r="E127" s="15"/>
      <c r="F127" s="15"/>
      <c r="G127" s="15"/>
      <c r="H127" s="15"/>
      <c r="I127" s="15"/>
      <c r="J127" s="15"/>
      <c r="L127" s="15"/>
    </row>
    <row r="128" spans="1:12" x14ac:dyDescent="0.3">
      <c r="A128" s="19"/>
      <c r="B128" s="15"/>
      <c r="C128" s="15"/>
      <c r="D128" s="15"/>
      <c r="E128" s="15"/>
      <c r="F128" s="15"/>
      <c r="G128" s="15"/>
      <c r="H128" s="15"/>
      <c r="I128" s="15"/>
      <c r="J128" s="15"/>
      <c r="L128" s="15"/>
    </row>
    <row r="129" spans="1:12" x14ac:dyDescent="0.3">
      <c r="A129" s="19"/>
      <c r="B129" s="15"/>
      <c r="C129" s="15"/>
      <c r="D129" s="15"/>
      <c r="E129" s="15"/>
      <c r="F129" s="15"/>
      <c r="G129" s="15"/>
      <c r="H129" s="15"/>
      <c r="I129" s="15"/>
      <c r="J129" s="15"/>
      <c r="L129" s="15"/>
    </row>
    <row r="130" spans="1:12" x14ac:dyDescent="0.3">
      <c r="A130" s="19"/>
      <c r="B130" s="15"/>
      <c r="C130" s="15"/>
      <c r="D130" s="15"/>
      <c r="E130" s="15"/>
      <c r="F130" s="15"/>
      <c r="G130" s="15"/>
      <c r="H130" s="15"/>
      <c r="I130" s="15"/>
      <c r="J130" s="15"/>
      <c r="L130" s="15"/>
    </row>
    <row r="131" spans="1:12" x14ac:dyDescent="0.3">
      <c r="A131" s="19"/>
      <c r="B131" s="15"/>
      <c r="C131" s="15"/>
      <c r="D131" s="15"/>
      <c r="E131" s="15"/>
      <c r="F131" s="15"/>
      <c r="G131" s="15"/>
      <c r="H131" s="15"/>
      <c r="I131" s="15"/>
      <c r="J131" s="15"/>
      <c r="L131" s="15"/>
    </row>
    <row r="132" spans="1:12" x14ac:dyDescent="0.3">
      <c r="A132" s="19"/>
      <c r="B132" s="15"/>
      <c r="C132" s="15"/>
      <c r="D132" s="15"/>
      <c r="E132" s="15"/>
      <c r="F132" s="15"/>
      <c r="G132" s="15"/>
      <c r="H132" s="15"/>
      <c r="I132" s="15"/>
      <c r="J132" s="15"/>
      <c r="L132" s="15"/>
    </row>
    <row r="133" spans="1:12" x14ac:dyDescent="0.3">
      <c r="A133" s="19"/>
      <c r="B133" s="15"/>
      <c r="C133" s="15"/>
      <c r="D133" s="15"/>
      <c r="E133" s="15"/>
      <c r="F133" s="15"/>
      <c r="G133" s="15"/>
      <c r="H133" s="15"/>
      <c r="I133" s="15"/>
      <c r="J133" s="15"/>
      <c r="L133" s="15"/>
    </row>
    <row r="134" spans="1:12" x14ac:dyDescent="0.3">
      <c r="A134" s="19"/>
      <c r="B134" s="15"/>
      <c r="C134" s="15"/>
      <c r="D134" s="15"/>
      <c r="E134" s="15"/>
      <c r="F134" s="15"/>
      <c r="G134" s="15"/>
      <c r="H134" s="15"/>
      <c r="I134" s="15"/>
      <c r="J134" s="15"/>
      <c r="L134" s="15"/>
    </row>
    <row r="135" spans="1:12" x14ac:dyDescent="0.3">
      <c r="A135" s="19"/>
      <c r="B135" s="15"/>
      <c r="C135" s="15"/>
      <c r="D135" s="15"/>
      <c r="E135" s="15"/>
      <c r="F135" s="15"/>
      <c r="G135" s="15"/>
      <c r="H135" s="15"/>
      <c r="I135" s="15"/>
      <c r="J135" s="15"/>
      <c r="L135" s="15"/>
    </row>
    <row r="136" spans="1:12" x14ac:dyDescent="0.3">
      <c r="A136" s="19"/>
      <c r="B136" s="15"/>
      <c r="C136" s="15"/>
      <c r="D136" s="15"/>
      <c r="E136" s="15"/>
      <c r="F136" s="15"/>
      <c r="G136" s="15"/>
      <c r="H136" s="15"/>
      <c r="I136" s="15"/>
      <c r="J136" s="15"/>
      <c r="L136" s="15"/>
    </row>
    <row r="137" spans="1:12" x14ac:dyDescent="0.3">
      <c r="A137" s="19"/>
      <c r="B137" s="15"/>
      <c r="C137" s="15"/>
      <c r="D137" s="15"/>
      <c r="E137" s="15"/>
      <c r="F137" s="15"/>
      <c r="G137" s="15"/>
      <c r="H137" s="15"/>
      <c r="I137" s="15"/>
      <c r="J137" s="15"/>
      <c r="L137" s="15"/>
    </row>
    <row r="138" spans="1:12" x14ac:dyDescent="0.3">
      <c r="A138" s="19"/>
      <c r="B138" s="15"/>
      <c r="C138" s="15"/>
      <c r="D138" s="15"/>
      <c r="E138" s="15"/>
      <c r="F138" s="15"/>
      <c r="G138" s="15"/>
      <c r="H138" s="15"/>
      <c r="I138" s="15"/>
      <c r="J138" s="15"/>
      <c r="L138" s="15"/>
    </row>
    <row r="139" spans="1:12" x14ac:dyDescent="0.3">
      <c r="A139" s="19"/>
      <c r="B139" s="15"/>
      <c r="C139" s="15"/>
      <c r="D139" s="15"/>
      <c r="E139" s="15"/>
      <c r="F139" s="15"/>
      <c r="G139" s="15"/>
      <c r="H139" s="15"/>
      <c r="I139" s="15"/>
      <c r="J139" s="15"/>
      <c r="L139" s="15"/>
    </row>
    <row r="140" spans="1:12" x14ac:dyDescent="0.3">
      <c r="A140" s="19"/>
      <c r="B140" s="15"/>
      <c r="C140" s="15"/>
      <c r="D140" s="15"/>
      <c r="E140" s="15"/>
      <c r="F140" s="15"/>
      <c r="G140" s="15"/>
      <c r="H140" s="15"/>
      <c r="I140" s="15"/>
      <c r="J140" s="15"/>
      <c r="L140" s="15"/>
    </row>
    <row r="141" spans="1:12" x14ac:dyDescent="0.3">
      <c r="A141" s="19"/>
      <c r="B141" s="15"/>
      <c r="C141" s="15"/>
      <c r="D141" s="15"/>
      <c r="E141" s="15"/>
      <c r="F141" s="15"/>
      <c r="G141" s="15"/>
      <c r="H141" s="15"/>
      <c r="I141" s="15"/>
      <c r="J141" s="15"/>
      <c r="L141" s="15"/>
    </row>
    <row r="142" spans="1:12" x14ac:dyDescent="0.3">
      <c r="A142" s="19"/>
      <c r="B142" s="15"/>
      <c r="C142" s="15"/>
      <c r="D142" s="15"/>
      <c r="E142" s="15"/>
      <c r="F142" s="15"/>
      <c r="G142" s="15"/>
      <c r="H142" s="15"/>
      <c r="I142" s="15"/>
      <c r="J142" s="15"/>
      <c r="L142" s="15"/>
    </row>
    <row r="143" spans="1:12" x14ac:dyDescent="0.3">
      <c r="A143" s="19"/>
      <c r="B143" s="15"/>
      <c r="C143" s="15"/>
      <c r="D143" s="15"/>
      <c r="E143" s="15"/>
      <c r="F143" s="15"/>
      <c r="G143" s="15"/>
      <c r="H143" s="15"/>
      <c r="I143" s="15"/>
      <c r="J143" s="15"/>
      <c r="L143" s="15"/>
    </row>
    <row r="144" spans="1:12" x14ac:dyDescent="0.3">
      <c r="A144" s="19"/>
      <c r="B144" s="15"/>
      <c r="C144" s="15"/>
      <c r="D144" s="15"/>
      <c r="E144" s="15"/>
      <c r="F144" s="15"/>
      <c r="G144" s="15"/>
      <c r="H144" s="15"/>
      <c r="I144" s="15"/>
      <c r="J144" s="15"/>
      <c r="L144" s="15"/>
    </row>
    <row r="145" spans="1:12" x14ac:dyDescent="0.3">
      <c r="A145" s="19"/>
      <c r="B145" s="15"/>
      <c r="C145" s="15"/>
      <c r="D145" s="15"/>
      <c r="E145" s="15"/>
      <c r="F145" s="15"/>
      <c r="G145" s="15"/>
      <c r="H145" s="15"/>
      <c r="I145" s="15"/>
      <c r="J145" s="15"/>
      <c r="L145" s="15"/>
    </row>
    <row r="146" spans="1:12" x14ac:dyDescent="0.3">
      <c r="A146" s="19"/>
      <c r="B146" s="15"/>
      <c r="C146" s="15"/>
      <c r="D146" s="15"/>
      <c r="E146" s="15"/>
      <c r="F146" s="15"/>
      <c r="G146" s="15"/>
      <c r="H146" s="15"/>
      <c r="I146" s="15"/>
      <c r="J146" s="15"/>
      <c r="L146" s="15"/>
    </row>
    <row r="147" spans="1:12" x14ac:dyDescent="0.3">
      <c r="A147" s="19"/>
      <c r="B147" s="15"/>
      <c r="C147" s="15"/>
      <c r="D147" s="15"/>
      <c r="E147" s="15"/>
      <c r="F147" s="15"/>
      <c r="G147" s="15"/>
      <c r="H147" s="15"/>
      <c r="I147" s="15"/>
      <c r="J147" s="15"/>
      <c r="L147" s="15"/>
    </row>
    <row r="148" spans="1:12" x14ac:dyDescent="0.3">
      <c r="A148" s="19"/>
      <c r="B148" s="15"/>
      <c r="C148" s="15"/>
      <c r="D148" s="15"/>
      <c r="E148" s="15"/>
      <c r="F148" s="15"/>
      <c r="G148" s="15"/>
      <c r="H148" s="15"/>
      <c r="I148" s="15"/>
      <c r="J148" s="15"/>
      <c r="L148" s="15"/>
    </row>
    <row r="149" spans="1:12" x14ac:dyDescent="0.3">
      <c r="A149" s="19"/>
      <c r="B149" s="15"/>
      <c r="C149" s="15"/>
      <c r="D149" s="15"/>
      <c r="E149" s="15"/>
      <c r="F149" s="15"/>
      <c r="G149" s="15"/>
      <c r="H149" s="15"/>
      <c r="I149" s="15"/>
      <c r="J149" s="15"/>
      <c r="L149" s="15"/>
    </row>
    <row r="150" spans="1:12" x14ac:dyDescent="0.3">
      <c r="A150" s="19"/>
      <c r="B150" s="15"/>
      <c r="C150" s="15"/>
      <c r="D150" s="15"/>
      <c r="E150" s="15"/>
      <c r="F150" s="15"/>
      <c r="G150" s="15"/>
      <c r="H150" s="15"/>
      <c r="I150" s="15"/>
      <c r="J150" s="15"/>
      <c r="L150" s="15"/>
    </row>
    <row r="151" spans="1:12" x14ac:dyDescent="0.3">
      <c r="A151" s="19"/>
      <c r="B151" s="15"/>
      <c r="C151" s="15"/>
      <c r="D151" s="15"/>
      <c r="E151" s="15"/>
      <c r="F151" s="15"/>
      <c r="G151" s="15"/>
      <c r="H151" s="15"/>
      <c r="I151" s="15"/>
      <c r="J151" s="15"/>
      <c r="L151" s="15"/>
    </row>
    <row r="152" spans="1:12" x14ac:dyDescent="0.3">
      <c r="A152" s="19"/>
      <c r="B152" s="15"/>
      <c r="C152" s="15"/>
      <c r="D152" s="15"/>
      <c r="E152" s="15"/>
      <c r="F152" s="15"/>
      <c r="G152" s="15"/>
      <c r="H152" s="15"/>
      <c r="I152" s="15"/>
      <c r="J152" s="15"/>
      <c r="L152" s="15"/>
    </row>
    <row r="153" spans="1:12" x14ac:dyDescent="0.3">
      <c r="A153" s="19"/>
      <c r="B153" s="15"/>
      <c r="C153" s="15"/>
      <c r="D153" s="15"/>
      <c r="E153" s="15"/>
      <c r="F153" s="15"/>
      <c r="G153" s="15"/>
      <c r="H153" s="15"/>
      <c r="I153" s="15"/>
      <c r="J153" s="15"/>
      <c r="L153" s="15"/>
    </row>
    <row r="154" spans="1:12" x14ac:dyDescent="0.3">
      <c r="A154" s="19"/>
      <c r="B154" s="15"/>
      <c r="C154" s="15"/>
      <c r="D154" s="15"/>
      <c r="E154" s="15"/>
      <c r="F154" s="15"/>
      <c r="G154" s="15"/>
      <c r="H154" s="15"/>
      <c r="I154" s="15"/>
      <c r="J154" s="15"/>
      <c r="L154" s="15"/>
    </row>
    <row r="155" spans="1:12" x14ac:dyDescent="0.3">
      <c r="A155" s="19"/>
      <c r="B155" s="15"/>
      <c r="C155" s="15"/>
      <c r="D155" s="15"/>
      <c r="E155" s="15"/>
      <c r="F155" s="15"/>
      <c r="G155" s="15"/>
      <c r="H155" s="15"/>
      <c r="I155" s="15"/>
      <c r="J155" s="15"/>
      <c r="L155" s="15"/>
    </row>
    <row r="156" spans="1:12" x14ac:dyDescent="0.3">
      <c r="A156" s="19"/>
      <c r="B156" s="15"/>
      <c r="C156" s="15"/>
      <c r="D156" s="15"/>
      <c r="E156" s="15"/>
      <c r="F156" s="15"/>
      <c r="G156" s="15"/>
      <c r="H156" s="15"/>
      <c r="I156" s="15"/>
      <c r="J156" s="15"/>
      <c r="L156" s="15"/>
    </row>
    <row r="157" spans="1:12" x14ac:dyDescent="0.3">
      <c r="A157" s="19"/>
      <c r="B157" s="15"/>
      <c r="C157" s="15"/>
      <c r="D157" s="15"/>
      <c r="E157" s="15"/>
      <c r="F157" s="15"/>
      <c r="G157" s="15"/>
      <c r="H157" s="15"/>
      <c r="I157" s="15"/>
      <c r="J157" s="15"/>
      <c r="L157" s="15"/>
    </row>
    <row r="158" spans="1:12" x14ac:dyDescent="0.3">
      <c r="A158" s="19"/>
      <c r="B158" s="15"/>
      <c r="C158" s="15"/>
      <c r="D158" s="15"/>
      <c r="E158" s="15"/>
      <c r="F158" s="15"/>
      <c r="G158" s="15"/>
      <c r="H158" s="15"/>
      <c r="I158" s="15"/>
      <c r="J158" s="15"/>
      <c r="L158" s="15"/>
    </row>
    <row r="159" spans="1:12" x14ac:dyDescent="0.3">
      <c r="A159" s="19"/>
      <c r="B159" s="15"/>
      <c r="C159" s="15"/>
      <c r="D159" s="15"/>
      <c r="E159" s="15"/>
      <c r="F159" s="15"/>
      <c r="G159" s="15"/>
      <c r="H159" s="15"/>
      <c r="I159" s="15"/>
      <c r="J159" s="15"/>
      <c r="L159" s="15"/>
    </row>
    <row r="160" spans="1:12" x14ac:dyDescent="0.3">
      <c r="A160" s="19"/>
      <c r="B160" s="15"/>
      <c r="C160" s="15"/>
      <c r="D160" s="15"/>
      <c r="E160" s="15"/>
      <c r="F160" s="15"/>
      <c r="G160" s="15"/>
      <c r="H160" s="15"/>
      <c r="I160" s="15"/>
      <c r="J160" s="15"/>
      <c r="L160" s="15"/>
    </row>
    <row r="161" spans="1:12" x14ac:dyDescent="0.3">
      <c r="A161" s="19"/>
      <c r="B161" s="15"/>
      <c r="C161" s="15"/>
      <c r="D161" s="15"/>
      <c r="E161" s="15"/>
      <c r="F161" s="15"/>
      <c r="G161" s="15"/>
      <c r="H161" s="15"/>
      <c r="I161" s="15"/>
      <c r="J161" s="15"/>
      <c r="L161" s="15"/>
    </row>
    <row r="162" spans="1:12" x14ac:dyDescent="0.3">
      <c r="A162" s="19"/>
      <c r="B162" s="15"/>
      <c r="C162" s="15"/>
      <c r="D162" s="15"/>
      <c r="E162" s="15"/>
      <c r="F162" s="15"/>
      <c r="G162" s="15"/>
      <c r="H162" s="15"/>
      <c r="I162" s="15"/>
      <c r="J162" s="15"/>
      <c r="L162" s="15"/>
    </row>
    <row r="163" spans="1:12" x14ac:dyDescent="0.3">
      <c r="A163" s="19"/>
      <c r="B163" s="15"/>
      <c r="C163" s="15"/>
      <c r="D163" s="15"/>
      <c r="E163" s="15"/>
      <c r="F163" s="15"/>
      <c r="G163" s="15"/>
      <c r="H163" s="15"/>
      <c r="I163" s="15"/>
      <c r="J163" s="15"/>
      <c r="L163" s="15"/>
    </row>
    <row r="164" spans="1:12" x14ac:dyDescent="0.3">
      <c r="A164" s="19"/>
      <c r="B164" s="15"/>
      <c r="C164" s="15"/>
      <c r="D164" s="15"/>
      <c r="E164" s="15"/>
      <c r="F164" s="15"/>
      <c r="G164" s="15"/>
      <c r="H164" s="15"/>
      <c r="I164" s="15"/>
      <c r="J164" s="15"/>
      <c r="L164" s="15"/>
    </row>
    <row r="165" spans="1:12" x14ac:dyDescent="0.3">
      <c r="A165" s="19"/>
      <c r="B165" s="15"/>
      <c r="C165" s="15"/>
      <c r="D165" s="15"/>
      <c r="E165" s="15"/>
      <c r="F165" s="15"/>
      <c r="G165" s="15"/>
      <c r="H165" s="15"/>
      <c r="I165" s="15"/>
      <c r="J165" s="15"/>
      <c r="L165" s="15"/>
    </row>
    <row r="166" spans="1:12" x14ac:dyDescent="0.3">
      <c r="A166" s="19"/>
      <c r="B166" s="15"/>
      <c r="C166" s="15"/>
      <c r="D166" s="15"/>
      <c r="E166" s="15"/>
      <c r="F166" s="15"/>
      <c r="G166" s="15"/>
      <c r="H166" s="15"/>
      <c r="I166" s="15"/>
      <c r="J166" s="15"/>
      <c r="L166" s="15"/>
    </row>
    <row r="167" spans="1:12" x14ac:dyDescent="0.3">
      <c r="A167" s="19"/>
      <c r="B167" s="15"/>
      <c r="C167" s="15"/>
      <c r="D167" s="15"/>
      <c r="E167" s="15"/>
      <c r="F167" s="15"/>
      <c r="G167" s="15"/>
      <c r="H167" s="15"/>
      <c r="I167" s="15"/>
      <c r="J167" s="15"/>
      <c r="L167" s="15"/>
    </row>
    <row r="168" spans="1:12" x14ac:dyDescent="0.3">
      <c r="A168" s="19"/>
      <c r="B168" s="15"/>
      <c r="C168" s="15"/>
      <c r="D168" s="15"/>
      <c r="E168" s="15"/>
      <c r="F168" s="15"/>
      <c r="G168" s="15"/>
      <c r="H168" s="15"/>
      <c r="I168" s="15"/>
      <c r="J168" s="15"/>
      <c r="L168" s="15"/>
    </row>
    <row r="169" spans="1:12" x14ac:dyDescent="0.3">
      <c r="A169" s="19"/>
      <c r="B169" s="15"/>
      <c r="C169" s="15"/>
      <c r="D169" s="15"/>
      <c r="E169" s="15"/>
      <c r="F169" s="15"/>
      <c r="G169" s="15"/>
      <c r="H169" s="15"/>
      <c r="I169" s="15"/>
      <c r="J169" s="15"/>
      <c r="L169" s="15"/>
    </row>
    <row r="170" spans="1:12" x14ac:dyDescent="0.3">
      <c r="A170" s="19"/>
      <c r="B170" s="15"/>
      <c r="C170" s="15"/>
      <c r="D170" s="15"/>
      <c r="E170" s="15"/>
      <c r="F170" s="15"/>
      <c r="G170" s="15"/>
      <c r="H170" s="15"/>
      <c r="I170" s="15"/>
      <c r="J170" s="15"/>
      <c r="L170" s="15"/>
    </row>
    <row r="171" spans="1:12" x14ac:dyDescent="0.3">
      <c r="A171" s="19"/>
      <c r="B171" s="15"/>
      <c r="C171" s="15"/>
      <c r="D171" s="15"/>
      <c r="E171" s="15"/>
      <c r="F171" s="15"/>
      <c r="G171" s="15"/>
      <c r="H171" s="15"/>
      <c r="I171" s="15"/>
      <c r="J171" s="15"/>
      <c r="L171" s="15"/>
    </row>
    <row r="172" spans="1:12" x14ac:dyDescent="0.3">
      <c r="A172" s="19"/>
      <c r="B172" s="15"/>
      <c r="C172" s="15"/>
      <c r="D172" s="15"/>
      <c r="E172" s="15"/>
      <c r="F172" s="15"/>
      <c r="G172" s="15"/>
      <c r="H172" s="15"/>
      <c r="I172" s="15"/>
      <c r="J172" s="15"/>
      <c r="L172" s="15"/>
    </row>
    <row r="173" spans="1:12" x14ac:dyDescent="0.3">
      <c r="A173" s="19"/>
      <c r="B173" s="15"/>
      <c r="C173" s="15"/>
      <c r="D173" s="15"/>
      <c r="E173" s="15"/>
      <c r="F173" s="15"/>
      <c r="G173" s="15"/>
      <c r="H173" s="15"/>
      <c r="I173" s="15"/>
      <c r="J173" s="15"/>
      <c r="L173" s="15"/>
    </row>
    <row r="174" spans="1:12" x14ac:dyDescent="0.3">
      <c r="A174" s="19"/>
      <c r="B174" s="15"/>
      <c r="C174" s="15"/>
      <c r="D174" s="15"/>
      <c r="E174" s="15"/>
      <c r="F174" s="15"/>
      <c r="G174" s="15"/>
      <c r="H174" s="15"/>
      <c r="I174" s="15"/>
      <c r="J174" s="15"/>
      <c r="L174" s="15"/>
    </row>
    <row r="175" spans="1:12" x14ac:dyDescent="0.3">
      <c r="A175" s="19"/>
      <c r="B175" s="15"/>
      <c r="C175" s="15"/>
      <c r="D175" s="15"/>
      <c r="E175" s="15"/>
      <c r="F175" s="15"/>
      <c r="G175" s="15"/>
      <c r="H175" s="15"/>
      <c r="I175" s="15"/>
      <c r="J175" s="15"/>
      <c r="L175" s="15"/>
    </row>
    <row r="176" spans="1:12" x14ac:dyDescent="0.3">
      <c r="A176" s="19"/>
      <c r="B176" s="15"/>
      <c r="C176" s="15"/>
      <c r="D176" s="15"/>
      <c r="E176" s="15"/>
      <c r="F176" s="15"/>
      <c r="G176" s="15"/>
      <c r="H176" s="15"/>
      <c r="I176" s="15"/>
      <c r="J176" s="15"/>
      <c r="L176" s="15"/>
    </row>
    <row r="177" spans="1:12" x14ac:dyDescent="0.3">
      <c r="A177" s="19"/>
      <c r="B177" s="15"/>
      <c r="C177" s="15"/>
      <c r="D177" s="15"/>
      <c r="E177" s="15"/>
      <c r="F177" s="15"/>
      <c r="G177" s="15"/>
      <c r="H177" s="15"/>
      <c r="I177" s="15"/>
      <c r="J177" s="15"/>
      <c r="L177" s="15"/>
    </row>
    <row r="178" spans="1:12" x14ac:dyDescent="0.3">
      <c r="A178" s="19"/>
      <c r="B178" s="15"/>
      <c r="C178" s="15"/>
      <c r="D178" s="15"/>
      <c r="E178" s="15"/>
      <c r="F178" s="15"/>
      <c r="G178" s="15"/>
      <c r="H178" s="15"/>
      <c r="I178" s="15"/>
      <c r="J178" s="15"/>
      <c r="L178" s="15"/>
    </row>
    <row r="179" spans="1:12" x14ac:dyDescent="0.3">
      <c r="A179" s="19"/>
      <c r="B179" s="15"/>
      <c r="C179" s="15"/>
      <c r="D179" s="15"/>
      <c r="E179" s="15"/>
      <c r="F179" s="15"/>
      <c r="G179" s="15"/>
      <c r="H179" s="15"/>
      <c r="I179" s="15"/>
      <c r="J179" s="15"/>
      <c r="L179" s="15"/>
    </row>
    <row r="180" spans="1:12" x14ac:dyDescent="0.3">
      <c r="A180" s="19"/>
      <c r="B180" s="15"/>
      <c r="C180" s="15"/>
      <c r="D180" s="15"/>
      <c r="E180" s="15"/>
      <c r="F180" s="15"/>
      <c r="G180" s="15"/>
      <c r="H180" s="15"/>
      <c r="I180" s="15"/>
      <c r="J180" s="15"/>
      <c r="L180" s="15"/>
    </row>
    <row r="181" spans="1:12" x14ac:dyDescent="0.3">
      <c r="A181" s="19"/>
      <c r="B181" s="15"/>
      <c r="C181" s="15"/>
      <c r="D181" s="15"/>
      <c r="E181" s="15"/>
      <c r="F181" s="15"/>
      <c r="G181" s="15"/>
      <c r="H181" s="15"/>
      <c r="I181" s="15"/>
      <c r="J181" s="15"/>
      <c r="L181" s="15"/>
    </row>
    <row r="182" spans="1:12" x14ac:dyDescent="0.3">
      <c r="A182" s="19"/>
      <c r="B182" s="15"/>
      <c r="C182" s="15"/>
      <c r="D182" s="15"/>
      <c r="E182" s="15"/>
      <c r="F182" s="15"/>
      <c r="G182" s="15"/>
      <c r="H182" s="15"/>
      <c r="I182" s="15"/>
      <c r="J182" s="15"/>
      <c r="L182" s="15"/>
    </row>
    <row r="183" spans="1:12" x14ac:dyDescent="0.3">
      <c r="A183" s="19"/>
      <c r="B183" s="15"/>
      <c r="C183" s="15"/>
      <c r="D183" s="15"/>
      <c r="E183" s="15"/>
      <c r="F183" s="15"/>
      <c r="G183" s="15"/>
      <c r="H183" s="15"/>
      <c r="I183" s="15"/>
      <c r="J183" s="15"/>
      <c r="L183" s="15"/>
    </row>
    <row r="184" spans="1:12" x14ac:dyDescent="0.3">
      <c r="A184" s="19"/>
      <c r="B184" s="15"/>
      <c r="C184" s="15"/>
      <c r="D184" s="15"/>
      <c r="E184" s="15"/>
      <c r="F184" s="15"/>
      <c r="G184" s="15"/>
      <c r="H184" s="15"/>
      <c r="I184" s="15"/>
      <c r="J184" s="15"/>
      <c r="L184" s="15"/>
    </row>
    <row r="185" spans="1:12" x14ac:dyDescent="0.3">
      <c r="A185" s="19"/>
      <c r="B185" s="15"/>
      <c r="C185" s="15"/>
      <c r="D185" s="15"/>
      <c r="E185" s="15"/>
      <c r="F185" s="15"/>
      <c r="G185" s="15"/>
      <c r="H185" s="15"/>
      <c r="I185" s="15"/>
      <c r="J185" s="15"/>
      <c r="L185" s="15"/>
    </row>
    <row r="186" spans="1:12" x14ac:dyDescent="0.3">
      <c r="A186" s="19"/>
      <c r="B186" s="15"/>
      <c r="C186" s="15"/>
      <c r="D186" s="15"/>
      <c r="E186" s="15"/>
      <c r="F186" s="15"/>
      <c r="G186" s="15"/>
      <c r="H186" s="15"/>
      <c r="I186" s="15"/>
      <c r="J186" s="15"/>
      <c r="L186" s="15"/>
    </row>
    <row r="187" spans="1:12" x14ac:dyDescent="0.3">
      <c r="A187" s="19"/>
      <c r="B187" s="15"/>
      <c r="C187" s="15"/>
      <c r="D187" s="15"/>
      <c r="E187" s="15"/>
      <c r="F187" s="15"/>
      <c r="G187" s="15"/>
      <c r="H187" s="15"/>
      <c r="I187" s="15"/>
      <c r="J187" s="15"/>
      <c r="L187" s="15"/>
    </row>
    <row r="188" spans="1:12" x14ac:dyDescent="0.3">
      <c r="A188" s="19"/>
      <c r="B188" s="15"/>
      <c r="C188" s="15"/>
      <c r="D188" s="15"/>
      <c r="E188" s="15"/>
      <c r="F188" s="15"/>
      <c r="G188" s="15"/>
      <c r="H188" s="15"/>
      <c r="I188" s="15"/>
      <c r="J188" s="15"/>
      <c r="L188" s="15"/>
    </row>
    <row r="189" spans="1:12" x14ac:dyDescent="0.3">
      <c r="A189" s="19"/>
      <c r="B189" s="15"/>
      <c r="C189" s="15"/>
      <c r="D189" s="15"/>
      <c r="E189" s="15"/>
      <c r="F189" s="15"/>
      <c r="G189" s="15"/>
      <c r="H189" s="15"/>
      <c r="I189" s="15"/>
      <c r="J189" s="15"/>
      <c r="L189" s="15"/>
    </row>
    <row r="190" spans="1:12" x14ac:dyDescent="0.3">
      <c r="A190" s="19"/>
      <c r="B190" s="15"/>
      <c r="C190" s="15"/>
      <c r="D190" s="15"/>
      <c r="E190" s="15"/>
      <c r="F190" s="15"/>
      <c r="G190" s="15"/>
      <c r="H190" s="15"/>
      <c r="I190" s="15"/>
      <c r="J190" s="15"/>
      <c r="L190" s="15"/>
    </row>
    <row r="191" spans="1:12" x14ac:dyDescent="0.3">
      <c r="A191" s="19"/>
      <c r="B191" s="15"/>
      <c r="C191" s="15"/>
      <c r="D191" s="15"/>
      <c r="E191" s="15"/>
      <c r="F191" s="15"/>
      <c r="G191" s="15"/>
      <c r="H191" s="15"/>
      <c r="I191" s="15"/>
      <c r="J191" s="15"/>
      <c r="L191" s="15"/>
    </row>
    <row r="192" spans="1:12" x14ac:dyDescent="0.3">
      <c r="A192" s="19"/>
      <c r="B192" s="15"/>
      <c r="C192" s="15"/>
      <c r="D192" s="15"/>
      <c r="E192" s="15"/>
      <c r="F192" s="15"/>
      <c r="G192" s="15"/>
      <c r="H192" s="15"/>
      <c r="I192" s="15"/>
      <c r="J192" s="15"/>
      <c r="L192" s="15"/>
    </row>
    <row r="193" spans="1:12" x14ac:dyDescent="0.3">
      <c r="A193" s="19"/>
      <c r="B193" s="15"/>
      <c r="C193" s="15"/>
      <c r="D193" s="15"/>
      <c r="E193" s="15"/>
      <c r="F193" s="15"/>
      <c r="G193" s="15"/>
      <c r="H193" s="15"/>
      <c r="I193" s="15"/>
      <c r="J193" s="15"/>
      <c r="L193" s="15"/>
    </row>
    <row r="194" spans="1:12" x14ac:dyDescent="0.3">
      <c r="A194" s="19"/>
      <c r="B194" s="15"/>
      <c r="C194" s="15"/>
      <c r="D194" s="15"/>
      <c r="E194" s="15"/>
      <c r="F194" s="15"/>
      <c r="G194" s="15"/>
      <c r="H194" s="15"/>
      <c r="I194" s="15"/>
      <c r="J194" s="15"/>
      <c r="L194" s="15"/>
    </row>
    <row r="195" spans="1:12" x14ac:dyDescent="0.3">
      <c r="A195" s="19"/>
      <c r="B195" s="15"/>
      <c r="C195" s="15"/>
      <c r="D195" s="15"/>
      <c r="E195" s="15"/>
      <c r="F195" s="15"/>
      <c r="G195" s="15"/>
      <c r="H195" s="15"/>
      <c r="I195" s="15"/>
      <c r="J195" s="15"/>
      <c r="L195" s="15"/>
    </row>
    <row r="196" spans="1:12" x14ac:dyDescent="0.3">
      <c r="A196" s="19"/>
      <c r="B196" s="15"/>
      <c r="C196" s="15"/>
      <c r="D196" s="15"/>
      <c r="E196" s="15"/>
      <c r="F196" s="15"/>
      <c r="G196" s="15"/>
      <c r="H196" s="15"/>
      <c r="I196" s="15"/>
      <c r="J196" s="15"/>
      <c r="L196" s="15"/>
    </row>
    <row r="197" spans="1:12" x14ac:dyDescent="0.3">
      <c r="A197" s="19"/>
      <c r="B197" s="15"/>
      <c r="C197" s="15"/>
      <c r="D197" s="15"/>
      <c r="E197" s="15"/>
      <c r="F197" s="15"/>
      <c r="G197" s="15"/>
      <c r="H197" s="15"/>
      <c r="I197" s="15"/>
      <c r="J197" s="15"/>
      <c r="L197" s="15"/>
    </row>
    <row r="198" spans="1:12" x14ac:dyDescent="0.3">
      <c r="A198" s="19"/>
      <c r="B198" s="15"/>
      <c r="C198" s="15"/>
      <c r="D198" s="15"/>
      <c r="E198" s="15"/>
      <c r="F198" s="15"/>
      <c r="G198" s="15"/>
      <c r="H198" s="15"/>
      <c r="I198" s="15"/>
      <c r="J198" s="15"/>
      <c r="L198" s="15"/>
    </row>
    <row r="199" spans="1:12" x14ac:dyDescent="0.3">
      <c r="A199" s="19"/>
      <c r="B199" s="15"/>
      <c r="C199" s="15"/>
      <c r="D199" s="15"/>
      <c r="E199" s="15"/>
      <c r="F199" s="15"/>
      <c r="G199" s="15"/>
      <c r="H199" s="15"/>
      <c r="I199" s="15"/>
      <c r="J199" s="15"/>
      <c r="L199" s="15"/>
    </row>
    <row r="200" spans="1:12" x14ac:dyDescent="0.3">
      <c r="A200" s="19"/>
      <c r="B200" s="15"/>
      <c r="C200" s="15"/>
      <c r="D200" s="15"/>
      <c r="E200" s="15"/>
      <c r="F200" s="15"/>
      <c r="G200" s="15"/>
      <c r="H200" s="15"/>
      <c r="I200" s="15"/>
      <c r="J200" s="15"/>
      <c r="L200" s="15"/>
    </row>
    <row r="201" spans="1:12" x14ac:dyDescent="0.3">
      <c r="A201" s="19"/>
      <c r="B201" s="15"/>
      <c r="C201" s="15"/>
      <c r="D201" s="15"/>
      <c r="E201" s="15"/>
      <c r="F201" s="15"/>
      <c r="G201" s="15"/>
      <c r="H201" s="15"/>
      <c r="I201" s="15"/>
      <c r="J201" s="15"/>
      <c r="L201" s="15"/>
    </row>
    <row r="202" spans="1:12" x14ac:dyDescent="0.3">
      <c r="A202" s="19"/>
      <c r="B202" s="15"/>
      <c r="C202" s="15"/>
      <c r="D202" s="15"/>
      <c r="E202" s="15"/>
      <c r="F202" s="15"/>
      <c r="G202" s="15"/>
      <c r="H202" s="15"/>
      <c r="I202" s="15"/>
      <c r="J202" s="15"/>
      <c r="L202" s="15"/>
    </row>
    <row r="203" spans="1:12" x14ac:dyDescent="0.3">
      <c r="A203" s="19"/>
      <c r="B203" s="15"/>
      <c r="C203" s="15"/>
      <c r="D203" s="15"/>
      <c r="E203" s="15"/>
      <c r="F203" s="15"/>
      <c r="G203" s="15"/>
      <c r="H203" s="15"/>
      <c r="I203" s="15"/>
      <c r="J203" s="15"/>
      <c r="L203" s="15"/>
    </row>
    <row r="204" spans="1:12" x14ac:dyDescent="0.3">
      <c r="A204" s="19"/>
      <c r="B204" s="15"/>
      <c r="C204" s="15"/>
      <c r="D204" s="15"/>
      <c r="E204" s="15"/>
      <c r="F204" s="15"/>
      <c r="G204" s="15"/>
      <c r="H204" s="15"/>
      <c r="I204" s="15"/>
      <c r="J204" s="15"/>
      <c r="L204" s="15"/>
    </row>
    <row r="205" spans="1:12" x14ac:dyDescent="0.3">
      <c r="A205" s="19"/>
      <c r="B205" s="15"/>
      <c r="C205" s="15"/>
      <c r="D205" s="15"/>
      <c r="E205" s="15"/>
      <c r="F205" s="15"/>
      <c r="G205" s="15"/>
      <c r="H205" s="15"/>
      <c r="I205" s="15"/>
      <c r="J205" s="15"/>
      <c r="L205" s="15"/>
    </row>
    <row r="206" spans="1:12" x14ac:dyDescent="0.3">
      <c r="A206" s="19"/>
      <c r="B206" s="15"/>
      <c r="C206" s="15"/>
      <c r="D206" s="15"/>
      <c r="E206" s="15"/>
      <c r="F206" s="15"/>
      <c r="G206" s="15"/>
      <c r="H206" s="15"/>
      <c r="I206" s="15"/>
      <c r="J206" s="15"/>
      <c r="L206" s="15"/>
    </row>
    <row r="207" spans="1:12" x14ac:dyDescent="0.3">
      <c r="A207" s="19"/>
      <c r="B207" s="15"/>
      <c r="C207" s="15"/>
      <c r="D207" s="15"/>
      <c r="E207" s="15"/>
      <c r="F207" s="15"/>
      <c r="G207" s="15"/>
      <c r="H207" s="15"/>
      <c r="I207" s="15"/>
      <c r="J207" s="15"/>
      <c r="L207" s="15"/>
    </row>
    <row r="208" spans="1:12" x14ac:dyDescent="0.3">
      <c r="A208" s="19"/>
      <c r="B208" s="15"/>
      <c r="C208" s="15"/>
      <c r="D208" s="15"/>
      <c r="E208" s="15"/>
      <c r="F208" s="15"/>
      <c r="G208" s="15"/>
      <c r="H208" s="15"/>
      <c r="I208" s="15"/>
      <c r="J208" s="15"/>
      <c r="L208" s="15"/>
    </row>
    <row r="209" spans="1:12" x14ac:dyDescent="0.3">
      <c r="A209" s="19"/>
      <c r="B209" s="15"/>
      <c r="C209" s="15"/>
      <c r="D209" s="15"/>
      <c r="E209" s="15"/>
      <c r="F209" s="15"/>
      <c r="G209" s="15"/>
      <c r="H209" s="15"/>
      <c r="I209" s="15"/>
      <c r="J209" s="15"/>
      <c r="L209" s="15"/>
    </row>
    <row r="210" spans="1:12" x14ac:dyDescent="0.3">
      <c r="A210" s="19"/>
      <c r="B210" s="15"/>
      <c r="C210" s="15"/>
      <c r="D210" s="15"/>
      <c r="E210" s="15"/>
      <c r="F210" s="15"/>
      <c r="G210" s="15"/>
      <c r="H210" s="15"/>
      <c r="I210" s="15"/>
      <c r="J210" s="15"/>
      <c r="L210" s="15"/>
    </row>
    <row r="211" spans="1:12" x14ac:dyDescent="0.3">
      <c r="A211" s="19"/>
      <c r="B211" s="15"/>
      <c r="C211" s="15"/>
      <c r="D211" s="15"/>
      <c r="E211" s="15"/>
      <c r="F211" s="15"/>
      <c r="G211" s="15"/>
      <c r="H211" s="15"/>
      <c r="I211" s="15"/>
      <c r="J211" s="15"/>
      <c r="L211" s="15"/>
    </row>
    <row r="212" spans="1:12" x14ac:dyDescent="0.3">
      <c r="A212" s="19"/>
      <c r="B212" s="15"/>
      <c r="C212" s="15"/>
      <c r="D212" s="15"/>
      <c r="E212" s="15"/>
      <c r="F212" s="15"/>
      <c r="G212" s="15"/>
      <c r="H212" s="15"/>
      <c r="I212" s="15"/>
      <c r="J212" s="15"/>
      <c r="L212" s="15"/>
    </row>
    <row r="213" spans="1:12" x14ac:dyDescent="0.3">
      <c r="A213" s="19"/>
      <c r="B213" s="15"/>
      <c r="C213" s="15"/>
      <c r="D213" s="15"/>
      <c r="E213" s="15"/>
      <c r="F213" s="15"/>
      <c r="G213" s="15"/>
      <c r="H213" s="15"/>
      <c r="I213" s="15"/>
      <c r="J213" s="15"/>
      <c r="L213" s="15"/>
    </row>
    <row r="214" spans="1:12" x14ac:dyDescent="0.3">
      <c r="A214" s="19"/>
      <c r="B214" s="15"/>
      <c r="C214" s="15"/>
      <c r="D214" s="15"/>
      <c r="E214" s="15"/>
      <c r="F214" s="15"/>
      <c r="G214" s="15"/>
      <c r="H214" s="15"/>
      <c r="I214" s="15"/>
      <c r="J214" s="15"/>
      <c r="L214" s="15"/>
    </row>
    <row r="215" spans="1:12" x14ac:dyDescent="0.3">
      <c r="A215" s="19"/>
      <c r="B215" s="15"/>
      <c r="C215" s="15"/>
      <c r="D215" s="15"/>
      <c r="E215" s="15"/>
      <c r="F215" s="15"/>
      <c r="G215" s="15"/>
      <c r="H215" s="15"/>
      <c r="I215" s="15"/>
      <c r="J215" s="15"/>
      <c r="L215" s="15"/>
    </row>
    <row r="216" spans="1:12" x14ac:dyDescent="0.3">
      <c r="A216" s="19"/>
      <c r="B216" s="15"/>
      <c r="C216" s="15"/>
      <c r="D216" s="15"/>
      <c r="E216" s="15"/>
      <c r="F216" s="15"/>
      <c r="G216" s="15"/>
      <c r="H216" s="15"/>
      <c r="I216" s="15"/>
      <c r="J216" s="15"/>
      <c r="L216" s="15"/>
    </row>
    <row r="217" spans="1:12" x14ac:dyDescent="0.3">
      <c r="A217" s="19"/>
      <c r="B217" s="15"/>
      <c r="C217" s="15"/>
      <c r="D217" s="15"/>
      <c r="E217" s="15"/>
      <c r="F217" s="15"/>
      <c r="G217" s="15"/>
      <c r="H217" s="15"/>
      <c r="I217" s="15"/>
      <c r="J217" s="15"/>
      <c r="L217" s="15"/>
    </row>
    <row r="218" spans="1:12" x14ac:dyDescent="0.3">
      <c r="A218" s="19"/>
      <c r="B218" s="15"/>
      <c r="C218" s="15"/>
      <c r="D218" s="15"/>
      <c r="E218" s="15"/>
      <c r="F218" s="15"/>
      <c r="G218" s="15"/>
      <c r="H218" s="15"/>
      <c r="I218" s="15"/>
      <c r="J218" s="15"/>
      <c r="L218" s="15"/>
    </row>
    <row r="219" spans="1:12" x14ac:dyDescent="0.3">
      <c r="A219" s="19"/>
      <c r="B219" s="15"/>
      <c r="C219" s="15"/>
      <c r="D219" s="15"/>
      <c r="E219" s="15"/>
      <c r="F219" s="15"/>
      <c r="G219" s="15"/>
      <c r="H219" s="15"/>
      <c r="I219" s="15"/>
      <c r="J219" s="15"/>
      <c r="L219" s="15"/>
    </row>
    <row r="220" spans="1:12" x14ac:dyDescent="0.3">
      <c r="A220" s="19"/>
      <c r="B220" s="15"/>
      <c r="C220" s="15"/>
      <c r="D220" s="15"/>
      <c r="E220" s="15"/>
      <c r="F220" s="15"/>
      <c r="G220" s="15"/>
      <c r="H220" s="15"/>
      <c r="I220" s="15"/>
      <c r="J220" s="15"/>
      <c r="L220" s="15"/>
    </row>
    <row r="221" spans="1:12" x14ac:dyDescent="0.3">
      <c r="A221" s="19"/>
      <c r="B221" s="15"/>
      <c r="C221" s="15"/>
      <c r="D221" s="15"/>
      <c r="E221" s="15"/>
      <c r="F221" s="15"/>
      <c r="G221" s="15"/>
      <c r="H221" s="15"/>
      <c r="I221" s="15"/>
      <c r="J221" s="15"/>
      <c r="L221" s="15"/>
    </row>
    <row r="222" spans="1:12" x14ac:dyDescent="0.3">
      <c r="A222" s="19"/>
      <c r="B222" s="15"/>
      <c r="C222" s="15"/>
      <c r="D222" s="15"/>
      <c r="E222" s="15"/>
      <c r="F222" s="15"/>
      <c r="G222" s="15"/>
      <c r="H222" s="15"/>
      <c r="I222" s="15"/>
      <c r="J222" s="15"/>
      <c r="L222" s="15"/>
    </row>
    <row r="223" spans="1:12" x14ac:dyDescent="0.3">
      <c r="A223" s="19"/>
      <c r="B223" s="15"/>
      <c r="C223" s="15"/>
      <c r="D223" s="15"/>
      <c r="E223" s="15"/>
      <c r="F223" s="15"/>
      <c r="G223" s="15"/>
      <c r="H223" s="15"/>
      <c r="I223" s="15"/>
      <c r="J223" s="15"/>
      <c r="L223" s="15"/>
    </row>
    <row r="224" spans="1:12" x14ac:dyDescent="0.3">
      <c r="A224" s="19"/>
      <c r="B224" s="15"/>
      <c r="C224" s="15"/>
      <c r="D224" s="15"/>
      <c r="E224" s="15"/>
      <c r="F224" s="15"/>
      <c r="G224" s="15"/>
      <c r="H224" s="15"/>
      <c r="I224" s="15"/>
      <c r="J224" s="15"/>
      <c r="L224" s="15"/>
    </row>
    <row r="225" spans="1:12" x14ac:dyDescent="0.3">
      <c r="A225" s="19"/>
      <c r="B225" s="15"/>
      <c r="C225" s="15"/>
      <c r="D225" s="15"/>
      <c r="E225" s="15"/>
      <c r="F225" s="15"/>
      <c r="G225" s="15"/>
      <c r="H225" s="15"/>
      <c r="I225" s="15"/>
      <c r="J225" s="15"/>
      <c r="L225" s="15"/>
    </row>
    <row r="226" spans="1:12" x14ac:dyDescent="0.3">
      <c r="A226" s="19"/>
      <c r="B226" s="15"/>
      <c r="C226" s="15"/>
      <c r="D226" s="15"/>
      <c r="E226" s="15"/>
      <c r="F226" s="15"/>
      <c r="G226" s="15"/>
      <c r="H226" s="15"/>
      <c r="I226" s="15"/>
      <c r="J226" s="15"/>
      <c r="L226" s="15"/>
    </row>
    <row r="227" spans="1:12" x14ac:dyDescent="0.3">
      <c r="A227" s="19"/>
      <c r="B227" s="15"/>
      <c r="C227" s="15"/>
      <c r="D227" s="15"/>
      <c r="E227" s="15"/>
      <c r="F227" s="15"/>
      <c r="G227" s="15"/>
      <c r="H227" s="15"/>
      <c r="I227" s="15"/>
      <c r="J227" s="15"/>
      <c r="L227" s="15"/>
    </row>
    <row r="228" spans="1:12" x14ac:dyDescent="0.3">
      <c r="A228" s="19"/>
      <c r="B228" s="15"/>
      <c r="C228" s="15"/>
      <c r="D228" s="15"/>
      <c r="E228" s="15"/>
      <c r="F228" s="15"/>
      <c r="G228" s="15"/>
      <c r="H228" s="15"/>
      <c r="I228" s="15"/>
      <c r="J228" s="15"/>
      <c r="L228" s="15"/>
    </row>
    <row r="229" spans="1:12" x14ac:dyDescent="0.3">
      <c r="A229" s="19"/>
      <c r="B229" s="15"/>
      <c r="C229" s="15"/>
      <c r="D229" s="15"/>
      <c r="E229" s="15"/>
      <c r="F229" s="15"/>
      <c r="G229" s="15"/>
      <c r="H229" s="15"/>
      <c r="I229" s="15"/>
      <c r="J229" s="15"/>
      <c r="L229" s="15"/>
    </row>
    <row r="230" spans="1:12" x14ac:dyDescent="0.3">
      <c r="A230" s="19"/>
      <c r="B230" s="15"/>
      <c r="C230" s="15"/>
      <c r="D230" s="15"/>
      <c r="E230" s="15"/>
      <c r="F230" s="15"/>
      <c r="G230" s="15"/>
      <c r="H230" s="15"/>
      <c r="I230" s="15"/>
      <c r="J230" s="15"/>
      <c r="L230" s="15"/>
    </row>
    <row r="231" spans="1:12" x14ac:dyDescent="0.3">
      <c r="A231" s="19"/>
      <c r="B231" s="15"/>
      <c r="C231" s="15"/>
      <c r="D231" s="15"/>
      <c r="E231" s="15"/>
      <c r="F231" s="15"/>
      <c r="G231" s="15"/>
      <c r="H231" s="15"/>
      <c r="I231" s="15"/>
      <c r="J231" s="15"/>
      <c r="L231" s="15"/>
    </row>
    <row r="232" spans="1:12" x14ac:dyDescent="0.3">
      <c r="A232" s="19"/>
      <c r="B232" s="15"/>
      <c r="C232" s="15"/>
      <c r="D232" s="15"/>
      <c r="E232" s="15"/>
      <c r="F232" s="15"/>
      <c r="G232" s="15"/>
      <c r="H232" s="15"/>
      <c r="I232" s="15"/>
      <c r="J232" s="15"/>
      <c r="L232" s="15"/>
    </row>
    <row r="233" spans="1:12" x14ac:dyDescent="0.3">
      <c r="A233" s="19"/>
      <c r="B233" s="15"/>
      <c r="C233" s="15"/>
      <c r="D233" s="15"/>
      <c r="E233" s="15"/>
      <c r="F233" s="15"/>
      <c r="G233" s="15"/>
      <c r="H233" s="15"/>
      <c r="I233" s="15"/>
      <c r="J233" s="15"/>
      <c r="L233" s="15"/>
    </row>
    <row r="234" spans="1:12" x14ac:dyDescent="0.3">
      <c r="A234" s="19"/>
      <c r="B234" s="15"/>
      <c r="C234" s="15"/>
      <c r="D234" s="15"/>
      <c r="E234" s="15"/>
      <c r="F234" s="15"/>
      <c r="G234" s="15"/>
      <c r="H234" s="15"/>
      <c r="I234" s="15"/>
      <c r="J234" s="15"/>
      <c r="L234" s="15"/>
    </row>
    <row r="235" spans="1:12" x14ac:dyDescent="0.3">
      <c r="A235" s="19"/>
      <c r="B235" s="15"/>
      <c r="C235" s="15"/>
      <c r="D235" s="15"/>
      <c r="E235" s="15"/>
      <c r="F235" s="15"/>
      <c r="G235" s="15"/>
      <c r="H235" s="15"/>
      <c r="I235" s="15"/>
      <c r="J235" s="15"/>
      <c r="L235" s="15"/>
    </row>
    <row r="236" spans="1:12" x14ac:dyDescent="0.3">
      <c r="A236" s="19"/>
      <c r="B236" s="15"/>
      <c r="C236" s="15"/>
      <c r="D236" s="15"/>
      <c r="E236" s="15"/>
      <c r="F236" s="15"/>
      <c r="G236" s="15"/>
      <c r="H236" s="15"/>
      <c r="I236" s="15"/>
      <c r="J236" s="15"/>
      <c r="L236" s="15"/>
    </row>
    <row r="237" spans="1:12" x14ac:dyDescent="0.3">
      <c r="A237" s="19"/>
      <c r="B237" s="15"/>
      <c r="C237" s="15"/>
      <c r="D237" s="15"/>
      <c r="E237" s="15"/>
      <c r="F237" s="15"/>
      <c r="G237" s="15"/>
      <c r="H237" s="15"/>
      <c r="I237" s="15"/>
      <c r="J237" s="15"/>
      <c r="L237" s="15"/>
    </row>
    <row r="238" spans="1:12" x14ac:dyDescent="0.3">
      <c r="A238" s="19"/>
      <c r="B238" s="15"/>
      <c r="C238" s="15"/>
      <c r="D238" s="15"/>
      <c r="E238" s="15"/>
      <c r="F238" s="15"/>
      <c r="G238" s="15"/>
      <c r="H238" s="15"/>
      <c r="I238" s="15"/>
      <c r="J238" s="15"/>
      <c r="L238" s="15"/>
    </row>
    <row r="239" spans="1:12" x14ac:dyDescent="0.3">
      <c r="A239" s="19"/>
      <c r="B239" s="15"/>
      <c r="C239" s="15"/>
      <c r="D239" s="15"/>
      <c r="E239" s="15"/>
      <c r="F239" s="15"/>
      <c r="G239" s="15"/>
      <c r="H239" s="15"/>
      <c r="I239" s="15"/>
      <c r="J239" s="15"/>
      <c r="L239" s="15"/>
    </row>
    <row r="240" spans="1:12" x14ac:dyDescent="0.3">
      <c r="A240" s="19"/>
      <c r="B240" s="15"/>
      <c r="C240" s="15"/>
      <c r="D240" s="15"/>
      <c r="E240" s="15"/>
      <c r="F240" s="15"/>
      <c r="G240" s="15"/>
      <c r="H240" s="15"/>
      <c r="I240" s="15"/>
      <c r="J240" s="15"/>
      <c r="L240" s="15"/>
    </row>
    <row r="241" spans="1:12" x14ac:dyDescent="0.3">
      <c r="A241" s="19"/>
      <c r="B241" s="15"/>
      <c r="C241" s="15"/>
      <c r="D241" s="15"/>
      <c r="E241" s="15"/>
      <c r="F241" s="15"/>
      <c r="G241" s="15"/>
      <c r="H241" s="15"/>
      <c r="I241" s="15"/>
      <c r="J241" s="15"/>
      <c r="L241" s="15"/>
    </row>
    <row r="242" spans="1:12" x14ac:dyDescent="0.3">
      <c r="A242" s="19"/>
      <c r="B242" s="15"/>
      <c r="C242" s="15"/>
      <c r="D242" s="15"/>
      <c r="E242" s="15"/>
      <c r="F242" s="15"/>
      <c r="G242" s="15"/>
      <c r="H242" s="15"/>
      <c r="I242" s="15"/>
      <c r="J242" s="15"/>
      <c r="L242" s="15"/>
    </row>
    <row r="243" spans="1:12" x14ac:dyDescent="0.3">
      <c r="A243" s="19"/>
      <c r="B243" s="15"/>
      <c r="C243" s="15"/>
      <c r="D243" s="15"/>
      <c r="E243" s="15"/>
      <c r="F243" s="15"/>
      <c r="G243" s="15"/>
      <c r="H243" s="15"/>
      <c r="I243" s="15"/>
      <c r="J243" s="15"/>
      <c r="L243" s="15"/>
    </row>
    <row r="244" spans="1:12" x14ac:dyDescent="0.3">
      <c r="A244" s="19"/>
      <c r="B244" s="15"/>
      <c r="C244" s="15"/>
      <c r="D244" s="15"/>
      <c r="E244" s="15"/>
      <c r="F244" s="15"/>
      <c r="G244" s="15"/>
      <c r="H244" s="15"/>
      <c r="I244" s="15"/>
      <c r="J244" s="15"/>
      <c r="L244" s="15"/>
    </row>
    <row r="245" spans="1:12" x14ac:dyDescent="0.3">
      <c r="A245" s="19"/>
      <c r="B245" s="15"/>
      <c r="C245" s="15"/>
      <c r="D245" s="15"/>
      <c r="E245" s="15"/>
      <c r="F245" s="15"/>
      <c r="G245" s="15"/>
      <c r="H245" s="15"/>
      <c r="I245" s="15"/>
      <c r="J245" s="15"/>
      <c r="L245" s="15"/>
    </row>
    <row r="246" spans="1:12" x14ac:dyDescent="0.3">
      <c r="A246" s="19"/>
      <c r="B246" s="15"/>
      <c r="C246" s="15"/>
      <c r="D246" s="15"/>
      <c r="E246" s="15"/>
      <c r="F246" s="15"/>
      <c r="G246" s="15"/>
      <c r="H246" s="15"/>
      <c r="I246" s="15"/>
      <c r="J246" s="15"/>
      <c r="L246" s="15"/>
    </row>
    <row r="247" spans="1:12" x14ac:dyDescent="0.3">
      <c r="A247" s="19"/>
      <c r="B247" s="15"/>
      <c r="C247" s="15"/>
      <c r="D247" s="15"/>
      <c r="E247" s="15"/>
      <c r="F247" s="15"/>
      <c r="G247" s="15"/>
      <c r="H247" s="15"/>
      <c r="I247" s="15"/>
      <c r="J247" s="15"/>
      <c r="L247" s="15"/>
    </row>
    <row r="248" spans="1:12" x14ac:dyDescent="0.3">
      <c r="A248" s="19"/>
      <c r="B248" s="15"/>
      <c r="C248" s="15"/>
      <c r="D248" s="15"/>
      <c r="E248" s="15"/>
      <c r="F248" s="15"/>
      <c r="G248" s="15"/>
      <c r="H248" s="15"/>
      <c r="I248" s="15"/>
      <c r="J248" s="15"/>
      <c r="L248" s="15"/>
    </row>
    <row r="249" spans="1:12" x14ac:dyDescent="0.3">
      <c r="A249" s="19"/>
      <c r="B249" s="15"/>
      <c r="C249" s="15"/>
      <c r="D249" s="15"/>
      <c r="E249" s="15"/>
      <c r="F249" s="15"/>
      <c r="G249" s="15"/>
      <c r="H249" s="15"/>
      <c r="I249" s="15"/>
      <c r="J249" s="15"/>
      <c r="L249" s="15"/>
    </row>
    <row r="250" spans="1:12" x14ac:dyDescent="0.3">
      <c r="A250" s="19"/>
      <c r="B250" s="15"/>
      <c r="C250" s="15"/>
      <c r="D250" s="15"/>
      <c r="E250" s="15"/>
      <c r="F250" s="15"/>
      <c r="G250" s="15"/>
      <c r="H250" s="15"/>
      <c r="I250" s="15"/>
      <c r="J250" s="15"/>
      <c r="L250" s="15"/>
    </row>
    <row r="251" spans="1:12" x14ac:dyDescent="0.3">
      <c r="A251" s="19"/>
      <c r="B251" s="15"/>
      <c r="C251" s="15"/>
      <c r="D251" s="15"/>
      <c r="E251" s="15"/>
      <c r="F251" s="15"/>
      <c r="G251" s="15"/>
      <c r="H251" s="15"/>
      <c r="I251" s="15"/>
      <c r="J251" s="15"/>
      <c r="L251" s="15"/>
    </row>
    <row r="252" spans="1:12" x14ac:dyDescent="0.3">
      <c r="A252" s="19"/>
      <c r="B252" s="15"/>
      <c r="C252" s="15"/>
      <c r="D252" s="15"/>
      <c r="E252" s="15"/>
      <c r="F252" s="15"/>
      <c r="G252" s="15"/>
      <c r="H252" s="15"/>
      <c r="I252" s="15"/>
      <c r="J252" s="15"/>
      <c r="L252" s="15"/>
    </row>
    <row r="253" spans="1:12" x14ac:dyDescent="0.3">
      <c r="A253" s="19"/>
      <c r="B253" s="15"/>
      <c r="C253" s="15"/>
      <c r="D253" s="15"/>
      <c r="E253" s="15"/>
      <c r="F253" s="15"/>
      <c r="G253" s="15"/>
      <c r="H253" s="15"/>
      <c r="I253" s="15"/>
      <c r="J253" s="15"/>
      <c r="L253" s="15"/>
    </row>
    <row r="254" spans="1:12" x14ac:dyDescent="0.3">
      <c r="A254" s="19"/>
      <c r="B254" s="15"/>
      <c r="C254" s="15"/>
      <c r="D254" s="15"/>
      <c r="E254" s="15"/>
      <c r="F254" s="15"/>
      <c r="G254" s="15"/>
      <c r="H254" s="15"/>
      <c r="I254" s="15"/>
      <c r="J254" s="15"/>
      <c r="L254" s="15"/>
    </row>
    <row r="255" spans="1:12" x14ac:dyDescent="0.3">
      <c r="A255" s="19"/>
      <c r="B255" s="15"/>
      <c r="C255" s="15"/>
      <c r="D255" s="15"/>
      <c r="E255" s="15"/>
      <c r="F255" s="15"/>
      <c r="G255" s="15"/>
      <c r="H255" s="15"/>
      <c r="I255" s="15"/>
      <c r="J255" s="15"/>
      <c r="L255" s="15"/>
    </row>
    <row r="256" spans="1:12" x14ac:dyDescent="0.3">
      <c r="A256" s="19"/>
      <c r="B256" s="15"/>
      <c r="C256" s="15"/>
      <c r="D256" s="15"/>
      <c r="E256" s="15"/>
      <c r="F256" s="15"/>
      <c r="G256" s="15"/>
      <c r="H256" s="15"/>
      <c r="I256" s="15"/>
      <c r="J256" s="15"/>
      <c r="L256" s="15"/>
    </row>
    <row r="257" spans="1:12" x14ac:dyDescent="0.3">
      <c r="A257" s="19"/>
      <c r="B257" s="15"/>
      <c r="C257" s="15"/>
      <c r="D257" s="15"/>
      <c r="E257" s="15"/>
      <c r="F257" s="15"/>
      <c r="G257" s="15"/>
      <c r="H257" s="15"/>
      <c r="I257" s="15"/>
      <c r="J257" s="15"/>
      <c r="L257" s="15"/>
    </row>
    <row r="258" spans="1:12" x14ac:dyDescent="0.3">
      <c r="A258" s="19"/>
      <c r="B258" s="15"/>
      <c r="C258" s="15"/>
      <c r="D258" s="15"/>
      <c r="E258" s="15"/>
      <c r="F258" s="15"/>
      <c r="G258" s="15"/>
      <c r="H258" s="15"/>
      <c r="I258" s="15"/>
      <c r="J258" s="15"/>
      <c r="L258" s="15"/>
    </row>
    <row r="259" spans="1:12" x14ac:dyDescent="0.3">
      <c r="A259" s="19"/>
      <c r="B259" s="15"/>
      <c r="C259" s="15"/>
      <c r="D259" s="15"/>
      <c r="E259" s="15"/>
      <c r="F259" s="15"/>
      <c r="G259" s="15"/>
      <c r="H259" s="15"/>
      <c r="I259" s="15"/>
      <c r="J259" s="15"/>
      <c r="L259" s="15"/>
    </row>
    <row r="260" spans="1:12" x14ac:dyDescent="0.3">
      <c r="A260" s="19"/>
      <c r="B260" s="15"/>
      <c r="C260" s="15"/>
      <c r="D260" s="15"/>
      <c r="E260" s="15"/>
      <c r="F260" s="15"/>
      <c r="G260" s="15"/>
      <c r="H260" s="15"/>
      <c r="I260" s="15"/>
      <c r="J260" s="15"/>
      <c r="L260" s="15"/>
    </row>
    <row r="261" spans="1:12" x14ac:dyDescent="0.3">
      <c r="A261" s="19"/>
      <c r="B261" s="15"/>
      <c r="C261" s="15"/>
      <c r="D261" s="15"/>
      <c r="E261" s="15"/>
      <c r="F261" s="15"/>
      <c r="G261" s="15"/>
      <c r="H261" s="15"/>
      <c r="I261" s="15"/>
      <c r="J261" s="15"/>
      <c r="L261" s="15"/>
    </row>
    <row r="262" spans="1:12" x14ac:dyDescent="0.3">
      <c r="A262" s="19"/>
      <c r="B262" s="15"/>
      <c r="C262" s="15"/>
      <c r="D262" s="15"/>
      <c r="E262" s="15"/>
      <c r="F262" s="15"/>
      <c r="G262" s="15"/>
      <c r="H262" s="15"/>
      <c r="I262" s="15"/>
      <c r="J262" s="15"/>
      <c r="L262" s="15"/>
    </row>
    <row r="263" spans="1:12" x14ac:dyDescent="0.3">
      <c r="A263" s="19"/>
      <c r="B263" s="15"/>
      <c r="C263" s="15"/>
      <c r="D263" s="15"/>
      <c r="E263" s="15"/>
      <c r="F263" s="15"/>
      <c r="G263" s="15"/>
      <c r="H263" s="15"/>
      <c r="I263" s="15"/>
      <c r="J263" s="15"/>
      <c r="L263" s="15"/>
    </row>
    <row r="264" spans="1:12" x14ac:dyDescent="0.3">
      <c r="A264" s="19"/>
      <c r="B264" s="15"/>
      <c r="C264" s="15"/>
      <c r="D264" s="15"/>
      <c r="E264" s="15"/>
      <c r="F264" s="15"/>
      <c r="G264" s="15"/>
      <c r="H264" s="15"/>
      <c r="I264" s="15"/>
      <c r="J264" s="15"/>
      <c r="L264" s="15"/>
    </row>
    <row r="265" spans="1:12" x14ac:dyDescent="0.3">
      <c r="A265" s="19"/>
      <c r="B265" s="15"/>
      <c r="C265" s="15"/>
      <c r="D265" s="15"/>
      <c r="E265" s="15"/>
      <c r="F265" s="15"/>
      <c r="G265" s="15"/>
      <c r="H265" s="15"/>
      <c r="I265" s="15"/>
      <c r="J265" s="15"/>
      <c r="L265" s="15"/>
    </row>
    <row r="266" spans="1:12" x14ac:dyDescent="0.3">
      <c r="A266" s="19"/>
      <c r="B266" s="15"/>
      <c r="C266" s="15"/>
      <c r="D266" s="15"/>
      <c r="E266" s="15"/>
      <c r="F266" s="15"/>
      <c r="G266" s="15"/>
      <c r="H266" s="15"/>
      <c r="I266" s="15"/>
      <c r="J266" s="15"/>
      <c r="L266" s="15"/>
    </row>
    <row r="267" spans="1:12" x14ac:dyDescent="0.3">
      <c r="A267" s="19"/>
      <c r="B267" s="15"/>
      <c r="C267" s="15"/>
      <c r="D267" s="15"/>
      <c r="E267" s="15"/>
      <c r="F267" s="15"/>
      <c r="G267" s="15"/>
      <c r="H267" s="15"/>
      <c r="I267" s="15"/>
      <c r="J267" s="15"/>
      <c r="L267" s="15"/>
    </row>
    <row r="268" spans="1:12" x14ac:dyDescent="0.3">
      <c r="A268" s="19"/>
      <c r="B268" s="15"/>
      <c r="C268" s="15"/>
      <c r="D268" s="15"/>
      <c r="E268" s="15"/>
      <c r="F268" s="15"/>
      <c r="G268" s="15"/>
      <c r="H268" s="15"/>
      <c r="I268" s="15"/>
      <c r="J268" s="15"/>
      <c r="L268" s="15"/>
    </row>
    <row r="269" spans="1:12" x14ac:dyDescent="0.3">
      <c r="A269" s="19"/>
      <c r="B269" s="15"/>
      <c r="C269" s="15"/>
      <c r="D269" s="15"/>
      <c r="E269" s="15"/>
      <c r="F269" s="15"/>
      <c r="G269" s="15"/>
      <c r="H269" s="15"/>
      <c r="I269" s="15"/>
      <c r="J269" s="15"/>
      <c r="L269" s="15"/>
    </row>
    <row r="270" spans="1:12" x14ac:dyDescent="0.3">
      <c r="A270" s="19"/>
      <c r="B270" s="15"/>
      <c r="C270" s="15"/>
      <c r="D270" s="15"/>
      <c r="E270" s="15"/>
      <c r="F270" s="15"/>
      <c r="G270" s="15"/>
      <c r="H270" s="15"/>
      <c r="I270" s="15"/>
      <c r="J270" s="15"/>
      <c r="L270" s="15"/>
    </row>
    <row r="271" spans="1:12" x14ac:dyDescent="0.3">
      <c r="A271" s="19"/>
      <c r="B271" s="15"/>
      <c r="C271" s="15"/>
      <c r="D271" s="15"/>
      <c r="E271" s="15"/>
      <c r="F271" s="15"/>
      <c r="G271" s="15"/>
      <c r="H271" s="15"/>
      <c r="I271" s="15"/>
      <c r="J271" s="15"/>
      <c r="L271" s="15"/>
    </row>
    <row r="272" spans="1:12" x14ac:dyDescent="0.3">
      <c r="A272" s="19"/>
      <c r="B272" s="15"/>
      <c r="C272" s="15"/>
      <c r="D272" s="15"/>
      <c r="E272" s="15"/>
      <c r="F272" s="15"/>
      <c r="G272" s="15"/>
      <c r="H272" s="15"/>
      <c r="I272" s="15"/>
      <c r="J272" s="15"/>
      <c r="L272" s="15"/>
    </row>
    <row r="273" spans="1:12" x14ac:dyDescent="0.3">
      <c r="A273" s="19"/>
      <c r="B273" s="15"/>
      <c r="C273" s="15"/>
      <c r="D273" s="15"/>
      <c r="E273" s="15"/>
      <c r="F273" s="15"/>
      <c r="G273" s="15"/>
      <c r="H273" s="15"/>
      <c r="I273" s="15"/>
      <c r="J273" s="15"/>
      <c r="L273" s="15"/>
    </row>
    <row r="274" spans="1:12" x14ac:dyDescent="0.3">
      <c r="A274" s="19"/>
      <c r="B274" s="15"/>
      <c r="C274" s="15"/>
      <c r="D274" s="15"/>
      <c r="E274" s="15"/>
      <c r="F274" s="15"/>
      <c r="G274" s="15"/>
      <c r="H274" s="15"/>
      <c r="I274" s="15"/>
      <c r="J274" s="15"/>
      <c r="L274" s="15"/>
    </row>
    <row r="275" spans="1:12" x14ac:dyDescent="0.3">
      <c r="A275" s="19"/>
      <c r="B275" s="15"/>
      <c r="C275" s="15"/>
      <c r="D275" s="15"/>
      <c r="E275" s="15"/>
      <c r="F275" s="15"/>
      <c r="G275" s="15"/>
      <c r="H275" s="15"/>
      <c r="I275" s="15"/>
      <c r="J275" s="15"/>
      <c r="L275" s="15"/>
    </row>
    <row r="276" spans="1:12" x14ac:dyDescent="0.3">
      <c r="A276" s="19"/>
      <c r="B276" s="15"/>
      <c r="C276" s="15"/>
      <c r="D276" s="15"/>
      <c r="E276" s="15"/>
      <c r="F276" s="15"/>
      <c r="G276" s="15"/>
      <c r="H276" s="15"/>
      <c r="I276" s="15"/>
      <c r="J276" s="15"/>
      <c r="L276" s="15"/>
    </row>
    <row r="277" spans="1:12" x14ac:dyDescent="0.3">
      <c r="A277" s="19"/>
      <c r="B277" s="15"/>
      <c r="C277" s="15"/>
      <c r="D277" s="15"/>
      <c r="E277" s="15"/>
      <c r="F277" s="15"/>
      <c r="G277" s="15"/>
      <c r="H277" s="15"/>
      <c r="I277" s="15"/>
      <c r="J277" s="15"/>
      <c r="L277" s="15"/>
    </row>
    <row r="278" spans="1:12" x14ac:dyDescent="0.3">
      <c r="A278" s="19"/>
      <c r="B278" s="15"/>
      <c r="C278" s="15"/>
      <c r="D278" s="15"/>
      <c r="E278" s="15"/>
      <c r="F278" s="15"/>
      <c r="G278" s="15"/>
      <c r="H278" s="15"/>
      <c r="I278" s="15"/>
      <c r="J278" s="15"/>
      <c r="L278" s="15"/>
    </row>
    <row r="279" spans="1:12" x14ac:dyDescent="0.3">
      <c r="A279" s="19"/>
      <c r="B279" s="15"/>
      <c r="C279" s="15"/>
      <c r="D279" s="15"/>
      <c r="E279" s="15"/>
      <c r="F279" s="15"/>
      <c r="G279" s="15"/>
      <c r="H279" s="15"/>
      <c r="I279" s="15"/>
      <c r="J279" s="15"/>
      <c r="L279" s="15"/>
    </row>
    <row r="280" spans="1:12" x14ac:dyDescent="0.3">
      <c r="A280" s="19"/>
      <c r="B280" s="15"/>
      <c r="C280" s="15"/>
      <c r="D280" s="15"/>
      <c r="E280" s="15"/>
      <c r="F280" s="15"/>
      <c r="G280" s="15"/>
      <c r="H280" s="15"/>
      <c r="I280" s="15"/>
      <c r="J280" s="15"/>
      <c r="L280" s="15"/>
    </row>
    <row r="281" spans="1:12" x14ac:dyDescent="0.3">
      <c r="A281" s="19"/>
      <c r="B281" s="15"/>
      <c r="C281" s="15"/>
      <c r="D281" s="15"/>
      <c r="E281" s="15"/>
      <c r="F281" s="15"/>
      <c r="G281" s="15"/>
      <c r="H281" s="15"/>
      <c r="I281" s="15"/>
      <c r="J281" s="15"/>
      <c r="L281" s="15"/>
    </row>
    <row r="282" spans="1:12" x14ac:dyDescent="0.3">
      <c r="A282" s="19"/>
      <c r="B282" s="15"/>
      <c r="C282" s="15"/>
      <c r="D282" s="15"/>
      <c r="E282" s="15"/>
      <c r="F282" s="15"/>
      <c r="G282" s="15"/>
      <c r="H282" s="15"/>
      <c r="I282" s="15"/>
      <c r="J282" s="15"/>
      <c r="L282" s="15"/>
    </row>
    <row r="283" spans="1:12" x14ac:dyDescent="0.3">
      <c r="A283" s="19"/>
      <c r="B283" s="15"/>
      <c r="C283" s="15"/>
      <c r="D283" s="15"/>
      <c r="E283" s="15"/>
      <c r="F283" s="15"/>
      <c r="G283" s="15"/>
      <c r="H283" s="15"/>
      <c r="I283" s="15"/>
      <c r="J283" s="15"/>
      <c r="L283" s="15"/>
    </row>
    <row r="284" spans="1:12" x14ac:dyDescent="0.3">
      <c r="A284" s="19"/>
      <c r="B284" s="15"/>
      <c r="C284" s="15"/>
      <c r="D284" s="15"/>
      <c r="E284" s="15"/>
      <c r="F284" s="15"/>
      <c r="G284" s="15"/>
      <c r="H284" s="15"/>
      <c r="I284" s="15"/>
      <c r="J284" s="15"/>
      <c r="L284" s="15"/>
    </row>
    <row r="285" spans="1:12" x14ac:dyDescent="0.3">
      <c r="A285" s="19"/>
      <c r="B285" s="15"/>
      <c r="C285" s="15"/>
      <c r="D285" s="15"/>
      <c r="E285" s="15"/>
      <c r="F285" s="15"/>
      <c r="G285" s="15"/>
      <c r="H285" s="15"/>
      <c r="I285" s="15"/>
      <c r="J285" s="15"/>
      <c r="L285" s="15"/>
    </row>
    <row r="286" spans="1:12" x14ac:dyDescent="0.3">
      <c r="A286" s="19"/>
      <c r="B286" s="15"/>
      <c r="C286" s="15"/>
      <c r="D286" s="15"/>
      <c r="E286" s="15"/>
      <c r="F286" s="15"/>
      <c r="G286" s="15"/>
      <c r="H286" s="15"/>
      <c r="I286" s="15"/>
      <c r="J286" s="15"/>
      <c r="L286" s="15"/>
    </row>
    <row r="287" spans="1:12" x14ac:dyDescent="0.3">
      <c r="A287" s="19"/>
      <c r="B287" s="15"/>
      <c r="C287" s="15"/>
      <c r="D287" s="15"/>
      <c r="E287" s="15"/>
      <c r="F287" s="15"/>
      <c r="G287" s="15"/>
      <c r="H287" s="15"/>
      <c r="I287" s="15"/>
      <c r="J287" s="15"/>
      <c r="L287" s="15"/>
    </row>
    <row r="288" spans="1:12" x14ac:dyDescent="0.3">
      <c r="A288" s="19"/>
      <c r="B288" s="15"/>
      <c r="C288" s="15"/>
      <c r="D288" s="15"/>
      <c r="E288" s="15"/>
      <c r="F288" s="15"/>
      <c r="G288" s="15"/>
      <c r="H288" s="15"/>
      <c r="I288" s="15"/>
      <c r="J288" s="15"/>
      <c r="L288" s="15"/>
    </row>
    <row r="289" spans="1:12" x14ac:dyDescent="0.3">
      <c r="A289" s="19"/>
      <c r="B289" s="15"/>
      <c r="C289" s="15"/>
      <c r="D289" s="15"/>
      <c r="E289" s="15"/>
      <c r="F289" s="15"/>
      <c r="G289" s="15"/>
      <c r="H289" s="15"/>
      <c r="I289" s="15"/>
      <c r="J289" s="15"/>
      <c r="L289" s="15"/>
    </row>
    <row r="290" spans="1:12" x14ac:dyDescent="0.3">
      <c r="A290" s="19"/>
      <c r="B290" s="15"/>
      <c r="C290" s="15"/>
      <c r="D290" s="15"/>
      <c r="E290" s="15"/>
      <c r="F290" s="15"/>
      <c r="G290" s="15"/>
      <c r="H290" s="15"/>
      <c r="I290" s="15"/>
      <c r="J290" s="15"/>
      <c r="L290" s="15"/>
    </row>
    <row r="291" spans="1:12" x14ac:dyDescent="0.3">
      <c r="A291" s="19"/>
      <c r="B291" s="15"/>
      <c r="C291" s="15"/>
      <c r="D291" s="15"/>
      <c r="E291" s="15"/>
      <c r="F291" s="15"/>
      <c r="G291" s="15"/>
      <c r="H291" s="15"/>
      <c r="I291" s="15"/>
      <c r="J291" s="15"/>
      <c r="L291" s="15"/>
    </row>
    <row r="292" spans="1:12" x14ac:dyDescent="0.3">
      <c r="A292" s="19"/>
      <c r="B292" s="15"/>
      <c r="C292" s="15"/>
      <c r="D292" s="15"/>
      <c r="E292" s="15"/>
      <c r="F292" s="15"/>
      <c r="G292" s="15"/>
      <c r="H292" s="15"/>
      <c r="I292" s="15"/>
      <c r="J292" s="15"/>
      <c r="L292" s="15"/>
    </row>
    <row r="293" spans="1:12" x14ac:dyDescent="0.3">
      <c r="A293" s="19"/>
      <c r="B293" s="15"/>
      <c r="C293" s="15"/>
      <c r="D293" s="15"/>
      <c r="E293" s="15"/>
      <c r="F293" s="15"/>
      <c r="G293" s="15"/>
      <c r="H293" s="15"/>
      <c r="I293" s="15"/>
      <c r="J293" s="15"/>
      <c r="L293" s="15"/>
    </row>
    <row r="294" spans="1:12" x14ac:dyDescent="0.3">
      <c r="A294" s="19"/>
      <c r="B294" s="15"/>
      <c r="C294" s="15"/>
      <c r="D294" s="15"/>
      <c r="E294" s="15"/>
      <c r="F294" s="15"/>
      <c r="G294" s="15"/>
      <c r="H294" s="15"/>
      <c r="I294" s="15"/>
      <c r="J294" s="15"/>
      <c r="L294" s="15"/>
    </row>
    <row r="295" spans="1:12" x14ac:dyDescent="0.3">
      <c r="A295" s="19"/>
      <c r="B295" s="15"/>
      <c r="C295" s="15"/>
      <c r="D295" s="15"/>
      <c r="E295" s="15"/>
      <c r="F295" s="15"/>
      <c r="G295" s="15"/>
      <c r="H295" s="15"/>
      <c r="I295" s="15"/>
      <c r="J295" s="15"/>
      <c r="L295" s="15"/>
    </row>
    <row r="296" spans="1:12" x14ac:dyDescent="0.3">
      <c r="A296" s="19"/>
      <c r="B296" s="15"/>
      <c r="C296" s="15"/>
      <c r="D296" s="15"/>
      <c r="E296" s="15"/>
      <c r="F296" s="15"/>
      <c r="G296" s="15"/>
      <c r="H296" s="15"/>
      <c r="I296" s="15"/>
      <c r="J296" s="15"/>
      <c r="L296" s="15"/>
    </row>
    <row r="297" spans="1:12" x14ac:dyDescent="0.3">
      <c r="A297" s="19"/>
      <c r="B297" s="15"/>
      <c r="C297" s="15"/>
      <c r="D297" s="15"/>
      <c r="E297" s="15"/>
      <c r="F297" s="15"/>
      <c r="G297" s="15"/>
      <c r="H297" s="15"/>
      <c r="I297" s="15"/>
      <c r="J297" s="15"/>
      <c r="L297" s="15"/>
    </row>
    <row r="298" spans="1:12" x14ac:dyDescent="0.3">
      <c r="A298" s="19"/>
      <c r="B298" s="15"/>
      <c r="C298" s="15"/>
      <c r="D298" s="15"/>
      <c r="E298" s="15"/>
      <c r="F298" s="15"/>
      <c r="G298" s="15"/>
      <c r="H298" s="15"/>
      <c r="I298" s="15"/>
      <c r="J298" s="15"/>
      <c r="K298" s="20"/>
      <c r="L298" s="15"/>
    </row>
    <row r="299" spans="1:12" x14ac:dyDescent="0.3">
      <c r="A299" s="19"/>
      <c r="B299" s="15"/>
      <c r="C299" s="15"/>
      <c r="D299" s="15"/>
      <c r="E299" s="15"/>
      <c r="F299" s="15"/>
      <c r="G299" s="15"/>
      <c r="H299" s="15"/>
      <c r="I299" s="15"/>
      <c r="J299" s="15"/>
      <c r="K299" s="21"/>
      <c r="L299" s="15"/>
    </row>
    <row r="300" spans="1:12" x14ac:dyDescent="0.3">
      <c r="A300" s="19"/>
      <c r="B300" s="15"/>
      <c r="C300" s="15"/>
      <c r="D300" s="15"/>
      <c r="E300" s="15"/>
      <c r="F300" s="15"/>
      <c r="G300" s="15"/>
      <c r="H300" s="15"/>
      <c r="I300" s="15"/>
      <c r="J300" s="15"/>
      <c r="K300" s="21"/>
      <c r="L300" s="15"/>
    </row>
    <row r="301" spans="1:12" x14ac:dyDescent="0.3">
      <c r="A301" s="19"/>
      <c r="B301" s="15"/>
      <c r="C301" s="15"/>
      <c r="D301" s="15"/>
      <c r="E301" s="15"/>
      <c r="F301" s="15"/>
      <c r="G301" s="15"/>
      <c r="H301" s="15"/>
      <c r="I301" s="15"/>
      <c r="J301" s="15"/>
      <c r="K301" s="21"/>
      <c r="L301" s="15"/>
    </row>
    <row r="302" spans="1:12" x14ac:dyDescent="0.3">
      <c r="A302" s="19"/>
      <c r="B302" s="15"/>
      <c r="C302" s="15"/>
      <c r="D302" s="15"/>
      <c r="E302" s="15"/>
      <c r="F302" s="15"/>
      <c r="G302" s="15"/>
      <c r="H302" s="15"/>
      <c r="I302" s="15"/>
      <c r="J302" s="15"/>
      <c r="K302" s="21"/>
      <c r="L302" s="15"/>
    </row>
    <row r="303" spans="1:12" x14ac:dyDescent="0.3">
      <c r="A303" s="19"/>
      <c r="B303" s="15"/>
      <c r="C303" s="15"/>
      <c r="D303" s="15"/>
      <c r="E303" s="15"/>
      <c r="F303" s="15"/>
      <c r="G303" s="15"/>
      <c r="H303" s="15"/>
      <c r="I303" s="15"/>
      <c r="J303" s="15"/>
      <c r="K303" s="21"/>
      <c r="L303" s="15"/>
    </row>
    <row r="304" spans="1:12" x14ac:dyDescent="0.3">
      <c r="A304" s="19"/>
      <c r="B304" s="15"/>
      <c r="C304" s="15"/>
      <c r="D304" s="15"/>
      <c r="E304" s="15"/>
      <c r="F304" s="15"/>
      <c r="G304" s="15"/>
      <c r="H304" s="15"/>
      <c r="I304" s="15"/>
      <c r="J304" s="15"/>
      <c r="K304" s="21"/>
      <c r="L304" s="15"/>
    </row>
    <row r="305" spans="1:12" x14ac:dyDescent="0.3">
      <c r="A305" s="19"/>
      <c r="B305" s="15"/>
      <c r="C305" s="15"/>
      <c r="D305" s="15"/>
      <c r="E305" s="15"/>
      <c r="F305" s="15"/>
      <c r="G305" s="15"/>
      <c r="H305" s="15"/>
      <c r="I305" s="15"/>
      <c r="J305" s="15"/>
      <c r="K305" s="21"/>
      <c r="L305" s="15"/>
    </row>
    <row r="306" spans="1:12" x14ac:dyDescent="0.3">
      <c r="A306" s="19"/>
      <c r="B306" s="15"/>
      <c r="C306" s="15"/>
      <c r="D306" s="15"/>
      <c r="E306" s="15"/>
      <c r="F306" s="15"/>
      <c r="G306" s="15"/>
      <c r="H306" s="15"/>
      <c r="I306" s="15"/>
      <c r="J306" s="15"/>
      <c r="K306" s="21"/>
      <c r="L306" s="15"/>
    </row>
    <row r="307" spans="1:12" x14ac:dyDescent="0.3">
      <c r="A307" s="19"/>
      <c r="B307" s="15"/>
      <c r="C307" s="15"/>
      <c r="D307" s="15"/>
      <c r="E307" s="15"/>
      <c r="F307" s="15"/>
      <c r="G307" s="15"/>
      <c r="H307" s="15"/>
      <c r="I307" s="15"/>
      <c r="J307" s="15"/>
      <c r="K307" s="21"/>
      <c r="L307" s="15"/>
    </row>
    <row r="308" spans="1:12" x14ac:dyDescent="0.3">
      <c r="A308" s="19"/>
      <c r="B308" s="15"/>
      <c r="C308" s="15"/>
      <c r="D308" s="15"/>
      <c r="E308" s="15"/>
      <c r="F308" s="15"/>
      <c r="G308" s="15"/>
      <c r="H308" s="15"/>
      <c r="I308" s="15"/>
      <c r="J308" s="15"/>
      <c r="K308" s="21"/>
      <c r="L308" s="15"/>
    </row>
    <row r="309" spans="1:12" x14ac:dyDescent="0.3">
      <c r="A309" s="19"/>
      <c r="B309" s="15"/>
      <c r="C309" s="15"/>
      <c r="D309" s="15"/>
      <c r="E309" s="15"/>
      <c r="F309" s="15"/>
      <c r="G309" s="15"/>
      <c r="H309" s="15"/>
      <c r="I309" s="15"/>
      <c r="J309" s="15"/>
      <c r="K309" s="21"/>
      <c r="L309" s="15"/>
    </row>
    <row r="310" spans="1:12" x14ac:dyDescent="0.3">
      <c r="A310" s="19"/>
      <c r="B310" s="15"/>
      <c r="C310" s="15"/>
      <c r="D310" s="15"/>
      <c r="E310" s="15"/>
      <c r="F310" s="15"/>
      <c r="G310" s="15"/>
      <c r="H310" s="15"/>
      <c r="I310" s="15"/>
      <c r="J310" s="15"/>
      <c r="K310" s="21"/>
      <c r="L310" s="15"/>
    </row>
    <row r="311" spans="1:12" x14ac:dyDescent="0.3">
      <c r="A311" s="19"/>
      <c r="B311" s="15"/>
      <c r="C311" s="15"/>
      <c r="D311" s="15"/>
      <c r="E311" s="15"/>
      <c r="F311" s="15"/>
      <c r="G311" s="15"/>
      <c r="H311" s="15"/>
      <c r="I311" s="15"/>
      <c r="J311" s="15"/>
      <c r="K311" s="21"/>
      <c r="L311" s="15"/>
    </row>
    <row r="312" spans="1:12" x14ac:dyDescent="0.3">
      <c r="A312" s="19"/>
      <c r="B312" s="15"/>
      <c r="C312" s="15"/>
      <c r="D312" s="15"/>
      <c r="E312" s="15"/>
      <c r="F312" s="15"/>
      <c r="G312" s="15"/>
      <c r="H312" s="15"/>
      <c r="I312" s="15"/>
      <c r="J312" s="15"/>
      <c r="K312" s="21"/>
      <c r="L312" s="15"/>
    </row>
    <row r="313" spans="1:12" x14ac:dyDescent="0.3">
      <c r="A313" s="19"/>
      <c r="B313" s="15"/>
      <c r="C313" s="15"/>
      <c r="D313" s="15"/>
      <c r="E313" s="15"/>
      <c r="F313" s="15"/>
      <c r="G313" s="15"/>
      <c r="H313" s="15"/>
      <c r="I313" s="15"/>
      <c r="J313" s="15"/>
      <c r="K313" s="21"/>
      <c r="L313" s="15"/>
    </row>
    <row r="314" spans="1:12" x14ac:dyDescent="0.3">
      <c r="A314" s="19"/>
      <c r="B314" s="15"/>
      <c r="C314" s="15"/>
      <c r="D314" s="15"/>
      <c r="E314" s="15"/>
      <c r="F314" s="15"/>
      <c r="G314" s="15"/>
      <c r="H314" s="15"/>
      <c r="I314" s="15"/>
      <c r="J314" s="15"/>
      <c r="K314" s="21"/>
      <c r="L314" s="15"/>
    </row>
    <row r="315" spans="1:12" x14ac:dyDescent="0.3">
      <c r="A315" s="19"/>
      <c r="B315" s="15"/>
      <c r="C315" s="15"/>
      <c r="D315" s="15"/>
      <c r="E315" s="15"/>
      <c r="F315" s="15"/>
      <c r="G315" s="15"/>
      <c r="H315" s="15"/>
      <c r="I315" s="15"/>
      <c r="J315" s="15"/>
      <c r="K315" s="21"/>
      <c r="L315" s="15"/>
    </row>
    <row r="316" spans="1:12" x14ac:dyDescent="0.3">
      <c r="A316" s="19"/>
      <c r="B316" s="15"/>
      <c r="C316" s="15"/>
      <c r="D316" s="15"/>
      <c r="E316" s="15"/>
      <c r="F316" s="15"/>
      <c r="G316" s="15"/>
      <c r="H316" s="15"/>
      <c r="I316" s="15"/>
      <c r="J316" s="15"/>
      <c r="K316" s="21"/>
      <c r="L316" s="15"/>
    </row>
    <row r="317" spans="1:12" x14ac:dyDescent="0.3">
      <c r="A317" s="19"/>
      <c r="B317" s="15"/>
      <c r="C317" s="15"/>
      <c r="D317" s="15"/>
      <c r="E317" s="15"/>
      <c r="F317" s="15"/>
      <c r="G317" s="15"/>
      <c r="H317" s="15"/>
      <c r="I317" s="15"/>
      <c r="J317" s="15"/>
      <c r="K317" s="21"/>
      <c r="L317" s="15"/>
    </row>
    <row r="318" spans="1:12" x14ac:dyDescent="0.3">
      <c r="A318" s="19"/>
      <c r="B318" s="15"/>
      <c r="C318" s="15"/>
      <c r="D318" s="15"/>
      <c r="E318" s="15"/>
      <c r="F318" s="15"/>
      <c r="G318" s="15"/>
      <c r="H318" s="15"/>
      <c r="I318" s="15"/>
      <c r="J318" s="15"/>
      <c r="K318" s="21"/>
      <c r="L318" s="15"/>
    </row>
    <row r="319" spans="1:12" x14ac:dyDescent="0.3">
      <c r="A319" s="19"/>
      <c r="B319" s="15"/>
      <c r="C319" s="15"/>
      <c r="D319" s="15"/>
      <c r="E319" s="15"/>
      <c r="F319" s="15"/>
      <c r="G319" s="15"/>
      <c r="H319" s="15"/>
      <c r="I319" s="15"/>
      <c r="J319" s="15"/>
      <c r="K319" s="21"/>
      <c r="L319" s="15"/>
    </row>
    <row r="320" spans="1:12" x14ac:dyDescent="0.3">
      <c r="A320" s="19"/>
      <c r="B320" s="15"/>
      <c r="C320" s="15"/>
      <c r="D320" s="15"/>
      <c r="E320" s="15"/>
      <c r="F320" s="15"/>
      <c r="G320" s="15"/>
      <c r="H320" s="15"/>
      <c r="I320" s="15"/>
      <c r="J320" s="15"/>
      <c r="K320" s="21"/>
      <c r="L320" s="15"/>
    </row>
    <row r="321" spans="1:12" x14ac:dyDescent="0.3">
      <c r="A321" s="19"/>
      <c r="B321" s="15"/>
      <c r="C321" s="15"/>
      <c r="D321" s="15"/>
      <c r="E321" s="15"/>
      <c r="F321" s="15"/>
      <c r="G321" s="15"/>
      <c r="H321" s="15"/>
      <c r="I321" s="15"/>
      <c r="J321" s="15"/>
      <c r="K321" s="21"/>
      <c r="L321" s="15"/>
    </row>
    <row r="322" spans="1:12" x14ac:dyDescent="0.3">
      <c r="A322" s="19"/>
      <c r="B322" s="15"/>
      <c r="C322" s="15"/>
      <c r="D322" s="15"/>
      <c r="E322" s="15"/>
      <c r="F322" s="15"/>
      <c r="G322" s="15"/>
      <c r="H322" s="15"/>
      <c r="I322" s="15"/>
      <c r="J322" s="15"/>
      <c r="K322" s="21"/>
      <c r="L322" s="15"/>
    </row>
    <row r="323" spans="1:12" x14ac:dyDescent="0.3">
      <c r="A323" s="19"/>
      <c r="B323" s="15"/>
      <c r="C323" s="15"/>
      <c r="D323" s="15"/>
      <c r="E323" s="15"/>
      <c r="F323" s="15"/>
      <c r="G323" s="15"/>
      <c r="H323" s="15"/>
      <c r="I323" s="15"/>
      <c r="J323" s="15"/>
      <c r="K323" s="21"/>
      <c r="L323" s="15"/>
    </row>
    <row r="324" spans="1:12" x14ac:dyDescent="0.3">
      <c r="A324" s="19"/>
      <c r="B324" s="15"/>
      <c r="C324" s="15"/>
      <c r="D324" s="15"/>
      <c r="E324" s="15"/>
      <c r="F324" s="15"/>
      <c r="G324" s="15"/>
      <c r="H324" s="15"/>
      <c r="I324" s="15"/>
      <c r="J324" s="15"/>
      <c r="K324" s="21"/>
      <c r="L324" s="15"/>
    </row>
    <row r="325" spans="1:12" x14ac:dyDescent="0.3">
      <c r="A325" s="19"/>
      <c r="B325" s="15"/>
      <c r="C325" s="15"/>
      <c r="D325" s="15"/>
      <c r="E325" s="15"/>
      <c r="F325" s="15"/>
      <c r="G325" s="15"/>
      <c r="H325" s="15"/>
      <c r="I325" s="15"/>
      <c r="J325" s="15"/>
      <c r="K325" s="21"/>
      <c r="L325" s="15"/>
    </row>
    <row r="326" spans="1:12" x14ac:dyDescent="0.3">
      <c r="A326" s="19"/>
      <c r="B326" s="15"/>
      <c r="C326" s="15"/>
      <c r="D326" s="15"/>
      <c r="E326" s="15"/>
      <c r="F326" s="15"/>
      <c r="G326" s="15"/>
      <c r="H326" s="15"/>
      <c r="I326" s="15"/>
      <c r="J326" s="15"/>
      <c r="K326" s="21"/>
      <c r="L326" s="15"/>
    </row>
    <row r="327" spans="1:12" x14ac:dyDescent="0.3">
      <c r="A327" s="19"/>
      <c r="B327" s="15"/>
      <c r="C327" s="15"/>
      <c r="D327" s="15"/>
      <c r="E327" s="15"/>
      <c r="F327" s="15"/>
      <c r="G327" s="15"/>
      <c r="H327" s="15"/>
      <c r="I327" s="15"/>
      <c r="J327" s="15"/>
      <c r="K327" s="21"/>
      <c r="L327" s="15"/>
    </row>
    <row r="328" spans="1:12" x14ac:dyDescent="0.3">
      <c r="A328" s="19"/>
      <c r="B328" s="15"/>
      <c r="C328" s="15"/>
      <c r="D328" s="15"/>
      <c r="E328" s="15"/>
      <c r="F328" s="15"/>
      <c r="G328" s="15"/>
      <c r="H328" s="15"/>
      <c r="I328" s="15"/>
      <c r="J328" s="15"/>
      <c r="K328" s="21"/>
      <c r="L328" s="15"/>
    </row>
    <row r="329" spans="1:12" x14ac:dyDescent="0.3">
      <c r="A329" s="19"/>
      <c r="B329" s="15"/>
      <c r="C329" s="15"/>
      <c r="D329" s="15"/>
      <c r="E329" s="15"/>
      <c r="F329" s="15"/>
      <c r="G329" s="15"/>
      <c r="H329" s="15"/>
      <c r="I329" s="15"/>
      <c r="J329" s="15"/>
      <c r="K329" s="21"/>
      <c r="L329" s="15"/>
    </row>
    <row r="330" spans="1:12" x14ac:dyDescent="0.3">
      <c r="A330" s="19"/>
      <c r="B330" s="15"/>
      <c r="C330" s="15"/>
      <c r="D330" s="15"/>
      <c r="E330" s="15"/>
      <c r="F330" s="15"/>
      <c r="G330" s="15"/>
      <c r="H330" s="15"/>
      <c r="I330" s="15"/>
      <c r="J330" s="15"/>
      <c r="K330" s="21"/>
      <c r="L330" s="15"/>
    </row>
    <row r="331" spans="1:12" x14ac:dyDescent="0.3">
      <c r="A331" s="19"/>
      <c r="B331" s="15"/>
      <c r="C331" s="15"/>
      <c r="D331" s="15"/>
      <c r="E331" s="15"/>
      <c r="F331" s="15"/>
      <c r="G331" s="15"/>
      <c r="H331" s="15"/>
      <c r="I331" s="15"/>
      <c r="J331" s="15"/>
      <c r="K331" s="21"/>
      <c r="L331" s="15"/>
    </row>
    <row r="332" spans="1:12" x14ac:dyDescent="0.3">
      <c r="A332" s="19"/>
      <c r="B332" s="15"/>
      <c r="C332" s="15"/>
      <c r="D332" s="15"/>
      <c r="E332" s="15"/>
      <c r="F332" s="15"/>
      <c r="G332" s="15"/>
      <c r="H332" s="15"/>
      <c r="I332" s="15"/>
      <c r="J332" s="15"/>
      <c r="K332" s="21"/>
      <c r="L332" s="15"/>
    </row>
    <row r="333" spans="1:12" x14ac:dyDescent="0.3">
      <c r="A333" s="19"/>
      <c r="B333" s="15"/>
      <c r="C333" s="15"/>
      <c r="D333" s="15"/>
      <c r="E333" s="15"/>
      <c r="F333" s="15"/>
      <c r="G333" s="15"/>
      <c r="H333" s="15"/>
      <c r="I333" s="15"/>
      <c r="J333" s="15"/>
      <c r="K333" s="21"/>
      <c r="L333" s="15"/>
    </row>
    <row r="334" spans="1:12" x14ac:dyDescent="0.3">
      <c r="A334" s="19"/>
      <c r="B334" s="15"/>
      <c r="C334" s="15"/>
      <c r="D334" s="15"/>
      <c r="E334" s="15"/>
      <c r="F334" s="15"/>
      <c r="G334" s="15"/>
      <c r="H334" s="15"/>
      <c r="I334" s="15"/>
      <c r="J334" s="15"/>
      <c r="K334" s="21"/>
      <c r="L334" s="15"/>
    </row>
    <row r="335" spans="1:12" x14ac:dyDescent="0.3">
      <c r="A335" s="19"/>
      <c r="B335" s="15"/>
      <c r="C335" s="15"/>
      <c r="D335" s="15"/>
      <c r="E335" s="15"/>
      <c r="F335" s="15"/>
      <c r="G335" s="15"/>
      <c r="H335" s="15"/>
      <c r="I335" s="15"/>
      <c r="J335" s="15"/>
      <c r="K335" s="21"/>
      <c r="L335" s="15"/>
    </row>
    <row r="336" spans="1:12" x14ac:dyDescent="0.3">
      <c r="A336" s="19"/>
      <c r="B336" s="15"/>
      <c r="C336" s="15"/>
      <c r="D336" s="15"/>
      <c r="E336" s="15"/>
      <c r="F336" s="15"/>
      <c r="G336" s="15"/>
      <c r="H336" s="15"/>
      <c r="I336" s="15"/>
      <c r="J336" s="15"/>
      <c r="K336" s="21"/>
      <c r="L336" s="15"/>
    </row>
    <row r="337" spans="1:12" x14ac:dyDescent="0.3">
      <c r="A337" s="19"/>
      <c r="B337" s="15"/>
      <c r="C337" s="15"/>
      <c r="D337" s="15"/>
      <c r="E337" s="15"/>
      <c r="F337" s="15"/>
      <c r="G337" s="15"/>
      <c r="H337" s="15"/>
      <c r="I337" s="15"/>
      <c r="J337" s="15"/>
      <c r="K337" s="21"/>
      <c r="L337" s="15"/>
    </row>
    <row r="338" spans="1:12" x14ac:dyDescent="0.3">
      <c r="A338" s="19"/>
      <c r="B338" s="15"/>
      <c r="C338" s="15"/>
      <c r="D338" s="15"/>
      <c r="E338" s="15"/>
      <c r="F338" s="15"/>
      <c r="G338" s="15"/>
      <c r="H338" s="15"/>
      <c r="I338" s="15"/>
      <c r="J338" s="15"/>
      <c r="K338" s="21"/>
      <c r="L338" s="15"/>
    </row>
    <row r="339" spans="1:12" x14ac:dyDescent="0.3">
      <c r="A339" s="19"/>
      <c r="B339" s="15"/>
      <c r="C339" s="15"/>
      <c r="D339" s="15"/>
      <c r="E339" s="15"/>
      <c r="F339" s="15"/>
      <c r="G339" s="15"/>
      <c r="H339" s="15"/>
      <c r="I339" s="15"/>
      <c r="J339" s="15"/>
      <c r="K339" s="21"/>
      <c r="L339" s="15"/>
    </row>
    <row r="340" spans="1:12" x14ac:dyDescent="0.3">
      <c r="A340" s="19"/>
      <c r="B340" s="15"/>
      <c r="C340" s="15"/>
      <c r="D340" s="15"/>
      <c r="E340" s="15"/>
      <c r="F340" s="15"/>
      <c r="G340" s="15"/>
      <c r="H340" s="15"/>
      <c r="I340" s="15"/>
      <c r="J340" s="15"/>
      <c r="K340" s="21"/>
      <c r="L340" s="15"/>
    </row>
    <row r="341" spans="1:12" x14ac:dyDescent="0.3">
      <c r="A341" s="19"/>
      <c r="B341" s="15"/>
      <c r="C341" s="15"/>
      <c r="D341" s="15"/>
      <c r="E341" s="15"/>
      <c r="F341" s="15"/>
      <c r="G341" s="15"/>
      <c r="H341" s="15"/>
      <c r="I341" s="15"/>
      <c r="J341" s="15"/>
      <c r="K341" s="21"/>
      <c r="L341" s="15"/>
    </row>
    <row r="342" spans="1:12" x14ac:dyDescent="0.3">
      <c r="A342" s="19"/>
      <c r="B342" s="15"/>
      <c r="C342" s="15"/>
      <c r="D342" s="15"/>
      <c r="E342" s="15"/>
      <c r="F342" s="15"/>
      <c r="G342" s="15"/>
      <c r="H342" s="15"/>
      <c r="I342" s="15"/>
      <c r="J342" s="15"/>
      <c r="K342" s="21"/>
      <c r="L342" s="15"/>
    </row>
    <row r="343" spans="1:12" x14ac:dyDescent="0.3">
      <c r="A343" s="19"/>
      <c r="B343" s="15"/>
      <c r="C343" s="15"/>
      <c r="D343" s="15"/>
      <c r="E343" s="15"/>
      <c r="F343" s="15"/>
      <c r="G343" s="15"/>
      <c r="H343" s="15"/>
      <c r="I343" s="15"/>
      <c r="J343" s="15"/>
      <c r="K343" s="21"/>
      <c r="L343" s="15"/>
    </row>
    <row r="344" spans="1:12" x14ac:dyDescent="0.3">
      <c r="A344" s="19"/>
      <c r="B344" s="15"/>
      <c r="C344" s="15"/>
      <c r="D344" s="15"/>
      <c r="E344" s="15"/>
      <c r="F344" s="15"/>
      <c r="G344" s="15"/>
      <c r="H344" s="15"/>
      <c r="I344" s="15"/>
      <c r="J344" s="15"/>
      <c r="K344" s="21"/>
      <c r="L344" s="15"/>
    </row>
    <row r="345" spans="1:12" x14ac:dyDescent="0.3">
      <c r="A345" s="19"/>
      <c r="B345" s="15"/>
      <c r="C345" s="15"/>
      <c r="D345" s="15"/>
      <c r="E345" s="15"/>
      <c r="F345" s="15"/>
      <c r="G345" s="15"/>
      <c r="H345" s="15"/>
      <c r="I345" s="15"/>
      <c r="J345" s="15"/>
      <c r="K345" s="21"/>
      <c r="L345" s="15"/>
    </row>
    <row r="346" spans="1:12" x14ac:dyDescent="0.3">
      <c r="A346" s="19"/>
      <c r="B346" s="15"/>
      <c r="C346" s="15"/>
      <c r="D346" s="15"/>
      <c r="E346" s="15"/>
      <c r="F346" s="15"/>
      <c r="G346" s="15"/>
      <c r="H346" s="15"/>
      <c r="I346" s="15"/>
      <c r="J346" s="15"/>
      <c r="K346" s="21"/>
      <c r="L346" s="15"/>
    </row>
    <row r="347" spans="1:12" x14ac:dyDescent="0.3">
      <c r="A347" s="19"/>
      <c r="B347" s="15"/>
      <c r="C347" s="15"/>
      <c r="D347" s="15"/>
      <c r="E347" s="15"/>
      <c r="F347" s="15"/>
      <c r="G347" s="15"/>
      <c r="H347" s="15"/>
      <c r="I347" s="15"/>
      <c r="J347" s="15"/>
      <c r="K347" s="21"/>
      <c r="L347" s="15"/>
    </row>
    <row r="348" spans="1:12" x14ac:dyDescent="0.3">
      <c r="A348" s="19"/>
      <c r="B348" s="15"/>
      <c r="C348" s="15"/>
      <c r="D348" s="15"/>
      <c r="E348" s="15"/>
      <c r="F348" s="15"/>
      <c r="G348" s="15"/>
      <c r="H348" s="15"/>
      <c r="I348" s="15"/>
      <c r="J348" s="15"/>
      <c r="K348" s="21"/>
      <c r="L348" s="15"/>
    </row>
    <row r="349" spans="1:12" x14ac:dyDescent="0.3">
      <c r="A349" s="19"/>
      <c r="B349" s="15"/>
      <c r="C349" s="15"/>
      <c r="D349" s="15"/>
      <c r="E349" s="15"/>
      <c r="F349" s="15"/>
      <c r="G349" s="15"/>
      <c r="H349" s="15"/>
      <c r="I349" s="15"/>
      <c r="J349" s="15"/>
      <c r="K349" s="21"/>
      <c r="L349" s="15"/>
    </row>
    <row r="350" spans="1:12" x14ac:dyDescent="0.3">
      <c r="A350" s="19"/>
      <c r="B350" s="15"/>
      <c r="C350" s="15"/>
      <c r="D350" s="15"/>
      <c r="E350" s="15"/>
      <c r="F350" s="15"/>
      <c r="G350" s="15"/>
      <c r="H350" s="15"/>
      <c r="I350" s="15"/>
      <c r="J350" s="15"/>
      <c r="K350" s="21"/>
      <c r="L350" s="15"/>
    </row>
    <row r="351" spans="1:12" x14ac:dyDescent="0.3">
      <c r="A351" s="19"/>
      <c r="B351" s="15"/>
      <c r="C351" s="15"/>
      <c r="D351" s="15"/>
      <c r="E351" s="15"/>
      <c r="F351" s="15"/>
      <c r="G351" s="15"/>
      <c r="H351" s="15"/>
      <c r="I351" s="15"/>
      <c r="J351" s="15"/>
      <c r="K351" s="21"/>
      <c r="L351" s="15"/>
    </row>
    <row r="352" spans="1:12" x14ac:dyDescent="0.3">
      <c r="A352" s="19"/>
      <c r="B352" s="15"/>
      <c r="C352" s="15"/>
      <c r="D352" s="15"/>
      <c r="E352" s="15"/>
      <c r="F352" s="15"/>
      <c r="G352" s="15"/>
      <c r="H352" s="15"/>
      <c r="I352" s="15"/>
      <c r="J352" s="15"/>
      <c r="K352" s="21"/>
      <c r="L352" s="15"/>
    </row>
    <row r="353" spans="1:12" x14ac:dyDescent="0.3">
      <c r="A353" s="19"/>
      <c r="B353" s="15"/>
      <c r="C353" s="15"/>
      <c r="D353" s="15"/>
      <c r="E353" s="15"/>
      <c r="F353" s="15"/>
      <c r="G353" s="15"/>
      <c r="H353" s="15"/>
      <c r="I353" s="15"/>
      <c r="J353" s="15"/>
      <c r="K353" s="21"/>
      <c r="L353" s="15"/>
    </row>
    <row r="354" spans="1:12" x14ac:dyDescent="0.3">
      <c r="A354" s="19"/>
      <c r="B354" s="15"/>
      <c r="C354" s="15"/>
      <c r="D354" s="15"/>
      <c r="E354" s="15"/>
      <c r="F354" s="15"/>
      <c r="G354" s="15"/>
      <c r="H354" s="15"/>
      <c r="I354" s="15"/>
      <c r="J354" s="15"/>
      <c r="K354" s="21"/>
      <c r="L354" s="15"/>
    </row>
    <row r="355" spans="1:12" x14ac:dyDescent="0.3">
      <c r="A355" s="19"/>
      <c r="B355" s="15"/>
      <c r="C355" s="15"/>
      <c r="D355" s="15"/>
      <c r="E355" s="15"/>
      <c r="F355" s="15"/>
      <c r="G355" s="15"/>
      <c r="H355" s="15"/>
      <c r="I355" s="15"/>
      <c r="J355" s="15"/>
      <c r="K355" s="21"/>
      <c r="L355" s="15"/>
    </row>
    <row r="356" spans="1:12" x14ac:dyDescent="0.3">
      <c r="A356" s="19"/>
      <c r="B356" s="15"/>
      <c r="C356" s="15"/>
      <c r="D356" s="15"/>
      <c r="E356" s="15"/>
      <c r="F356" s="15"/>
      <c r="G356" s="15"/>
      <c r="H356" s="15"/>
      <c r="I356" s="15"/>
      <c r="J356" s="15"/>
      <c r="K356" s="21"/>
      <c r="L356" s="15"/>
    </row>
    <row r="357" spans="1:12" x14ac:dyDescent="0.3">
      <c r="A357" s="19"/>
      <c r="B357" s="15"/>
      <c r="C357" s="15"/>
      <c r="D357" s="15"/>
      <c r="E357" s="15"/>
      <c r="F357" s="15"/>
      <c r="G357" s="15"/>
      <c r="H357" s="15"/>
      <c r="I357" s="15"/>
      <c r="J357" s="15"/>
      <c r="K357" s="21"/>
      <c r="L357" s="15"/>
    </row>
    <row r="358" spans="1:12" x14ac:dyDescent="0.3">
      <c r="A358" s="19"/>
      <c r="B358" s="15"/>
      <c r="C358" s="15"/>
      <c r="D358" s="15"/>
      <c r="E358" s="15"/>
      <c r="F358" s="15"/>
      <c r="G358" s="15"/>
      <c r="H358" s="15"/>
      <c r="I358" s="15"/>
      <c r="J358" s="15"/>
      <c r="K358" s="21"/>
      <c r="L358" s="15"/>
    </row>
    <row r="359" spans="1:12" x14ac:dyDescent="0.3">
      <c r="A359" s="19"/>
      <c r="B359" s="15"/>
      <c r="C359" s="15"/>
      <c r="D359" s="15"/>
      <c r="E359" s="15"/>
      <c r="F359" s="15"/>
      <c r="G359" s="15"/>
      <c r="H359" s="15"/>
      <c r="I359" s="15"/>
      <c r="J359" s="15"/>
      <c r="K359" s="21"/>
      <c r="L359" s="15"/>
    </row>
    <row r="360" spans="1:12" x14ac:dyDescent="0.3">
      <c r="A360" s="19"/>
      <c r="B360" s="15"/>
      <c r="C360" s="15"/>
      <c r="D360" s="15"/>
      <c r="E360" s="15"/>
      <c r="F360" s="15"/>
      <c r="G360" s="15"/>
      <c r="H360" s="15"/>
      <c r="I360" s="15"/>
      <c r="J360" s="15"/>
      <c r="K360" s="21"/>
      <c r="L360" s="15"/>
    </row>
    <row r="361" spans="1:12" x14ac:dyDescent="0.3">
      <c r="A361" s="19"/>
      <c r="B361" s="15"/>
      <c r="C361" s="15"/>
      <c r="D361" s="15"/>
      <c r="E361" s="15"/>
      <c r="F361" s="15"/>
      <c r="G361" s="15"/>
      <c r="H361" s="15"/>
      <c r="I361" s="15"/>
      <c r="J361" s="15"/>
      <c r="K361" s="21"/>
      <c r="L361" s="15"/>
    </row>
    <row r="362" spans="1:12" x14ac:dyDescent="0.3">
      <c r="A362" s="19"/>
      <c r="B362" s="15"/>
      <c r="C362" s="15"/>
      <c r="D362" s="15"/>
      <c r="E362" s="15"/>
      <c r="F362" s="15"/>
      <c r="G362" s="15"/>
      <c r="H362" s="15"/>
      <c r="I362" s="15"/>
      <c r="J362" s="15"/>
      <c r="K362" s="21"/>
      <c r="L362" s="15"/>
    </row>
    <row r="363" spans="1:12" x14ac:dyDescent="0.3">
      <c r="A363" s="19"/>
      <c r="B363" s="15"/>
      <c r="C363" s="15"/>
      <c r="D363" s="15"/>
      <c r="E363" s="15"/>
      <c r="F363" s="15"/>
      <c r="G363" s="15"/>
      <c r="H363" s="15"/>
      <c r="I363" s="15"/>
      <c r="J363" s="15"/>
      <c r="K363" s="21"/>
      <c r="L363" s="15"/>
    </row>
    <row r="364" spans="1:12" x14ac:dyDescent="0.3">
      <c r="A364" s="19"/>
      <c r="B364" s="15"/>
      <c r="C364" s="15"/>
      <c r="D364" s="15"/>
      <c r="E364" s="15"/>
      <c r="F364" s="15"/>
      <c r="G364" s="15"/>
      <c r="H364" s="15"/>
      <c r="I364" s="15"/>
      <c r="J364" s="15"/>
      <c r="K364" s="21"/>
      <c r="L364" s="15"/>
    </row>
    <row r="365" spans="1:12" x14ac:dyDescent="0.3">
      <c r="A365" s="19"/>
      <c r="B365" s="15"/>
      <c r="C365" s="15"/>
      <c r="D365" s="15"/>
      <c r="E365" s="15"/>
      <c r="F365" s="15"/>
      <c r="G365" s="15"/>
      <c r="H365" s="15"/>
      <c r="I365" s="15"/>
      <c r="J365" s="15"/>
      <c r="K365" s="21"/>
      <c r="L365" s="15"/>
    </row>
    <row r="366" spans="1:12" x14ac:dyDescent="0.3">
      <c r="A366" s="19"/>
      <c r="B366" s="15"/>
      <c r="C366" s="15"/>
      <c r="D366" s="15"/>
      <c r="E366" s="15"/>
      <c r="F366" s="15"/>
      <c r="G366" s="15"/>
      <c r="H366" s="15"/>
      <c r="I366" s="15"/>
      <c r="J366" s="15"/>
      <c r="K366" s="21"/>
      <c r="L366" s="15"/>
    </row>
    <row r="367" spans="1:12" x14ac:dyDescent="0.3">
      <c r="A367" s="19"/>
      <c r="B367" s="15"/>
      <c r="C367" s="15"/>
      <c r="D367" s="15"/>
      <c r="E367" s="15"/>
      <c r="F367" s="15"/>
      <c r="G367" s="15"/>
      <c r="H367" s="15"/>
      <c r="I367" s="15"/>
      <c r="J367" s="15"/>
      <c r="K367" s="21"/>
      <c r="L367" s="15"/>
    </row>
    <row r="368" spans="1:12" x14ac:dyDescent="0.3">
      <c r="A368" s="19"/>
      <c r="B368" s="15"/>
      <c r="C368" s="15"/>
      <c r="D368" s="15"/>
      <c r="E368" s="15"/>
      <c r="F368" s="15"/>
      <c r="G368" s="15"/>
      <c r="H368" s="15"/>
      <c r="I368" s="15"/>
      <c r="J368" s="15"/>
      <c r="K368" s="21"/>
      <c r="L368" s="15"/>
    </row>
    <row r="369" spans="1:12" x14ac:dyDescent="0.3">
      <c r="A369" s="19"/>
      <c r="B369" s="15"/>
      <c r="C369" s="15"/>
      <c r="D369" s="15"/>
      <c r="E369" s="15"/>
      <c r="F369" s="15"/>
      <c r="G369" s="15"/>
      <c r="H369" s="15"/>
      <c r="I369" s="15"/>
      <c r="J369" s="15"/>
      <c r="K369" s="21"/>
      <c r="L369" s="15"/>
    </row>
    <row r="370" spans="1:12" x14ac:dyDescent="0.3">
      <c r="A370" s="19"/>
      <c r="B370" s="15"/>
      <c r="C370" s="15"/>
      <c r="D370" s="15"/>
      <c r="E370" s="15"/>
      <c r="F370" s="15"/>
      <c r="G370" s="15"/>
      <c r="H370" s="15"/>
      <c r="I370" s="15"/>
      <c r="J370" s="15"/>
      <c r="K370" s="21"/>
      <c r="L370" s="15"/>
    </row>
    <row r="371" spans="1:12" x14ac:dyDescent="0.3">
      <c r="A371" s="19"/>
      <c r="B371" s="15"/>
      <c r="C371" s="15"/>
      <c r="D371" s="15"/>
      <c r="E371" s="15"/>
      <c r="F371" s="15"/>
      <c r="G371" s="15"/>
      <c r="H371" s="15"/>
      <c r="I371" s="15"/>
      <c r="J371" s="15"/>
      <c r="K371" s="21"/>
      <c r="L371" s="15"/>
    </row>
    <row r="372" spans="1:12" x14ac:dyDescent="0.3">
      <c r="A372" s="19"/>
      <c r="B372" s="15"/>
      <c r="C372" s="15"/>
      <c r="D372" s="15"/>
      <c r="E372" s="15"/>
      <c r="F372" s="15"/>
      <c r="G372" s="15"/>
      <c r="H372" s="15"/>
      <c r="I372" s="15"/>
      <c r="J372" s="15"/>
      <c r="K372" s="21"/>
      <c r="L372" s="15"/>
    </row>
    <row r="373" spans="1:12" x14ac:dyDescent="0.3">
      <c r="A373" s="19"/>
      <c r="B373" s="15"/>
      <c r="C373" s="15"/>
      <c r="D373" s="15"/>
      <c r="E373" s="15"/>
      <c r="F373" s="15"/>
      <c r="G373" s="15"/>
      <c r="H373" s="15"/>
      <c r="I373" s="15"/>
      <c r="J373" s="15"/>
      <c r="K373" s="21"/>
      <c r="L373" s="15"/>
    </row>
    <row r="374" spans="1:12" x14ac:dyDescent="0.3">
      <c r="A374" s="19"/>
      <c r="B374" s="15"/>
      <c r="C374" s="15"/>
      <c r="D374" s="15"/>
      <c r="E374" s="15"/>
      <c r="F374" s="15"/>
      <c r="G374" s="15"/>
      <c r="H374" s="15"/>
      <c r="I374" s="15"/>
      <c r="J374" s="15"/>
      <c r="K374" s="21"/>
      <c r="L374" s="15"/>
    </row>
    <row r="375" spans="1:12" x14ac:dyDescent="0.3">
      <c r="A375" s="19"/>
      <c r="B375" s="15"/>
      <c r="C375" s="15"/>
      <c r="D375" s="15"/>
      <c r="E375" s="15"/>
      <c r="F375" s="15"/>
      <c r="G375" s="15"/>
      <c r="H375" s="15"/>
      <c r="I375" s="15"/>
      <c r="J375" s="15"/>
      <c r="K375" s="21"/>
      <c r="L375" s="15"/>
    </row>
    <row r="376" spans="1:12" x14ac:dyDescent="0.3">
      <c r="A376" s="19"/>
      <c r="B376" s="15"/>
      <c r="C376" s="15"/>
      <c r="D376" s="15"/>
      <c r="E376" s="15"/>
      <c r="F376" s="15"/>
      <c r="G376" s="15"/>
      <c r="H376" s="15"/>
      <c r="I376" s="15"/>
      <c r="J376" s="15"/>
      <c r="K376" s="21"/>
      <c r="L376" s="15"/>
    </row>
    <row r="377" spans="1:12" x14ac:dyDescent="0.3">
      <c r="A377" s="19"/>
      <c r="B377" s="15"/>
      <c r="C377" s="15"/>
      <c r="D377" s="15"/>
      <c r="E377" s="15"/>
      <c r="F377" s="15"/>
      <c r="G377" s="15"/>
      <c r="H377" s="15"/>
      <c r="I377" s="15"/>
      <c r="J377" s="15"/>
      <c r="K377" s="21"/>
      <c r="L377" s="15"/>
    </row>
    <row r="378" spans="1:12" x14ac:dyDescent="0.3">
      <c r="A378" s="19"/>
      <c r="B378" s="15"/>
      <c r="C378" s="15"/>
      <c r="D378" s="15"/>
      <c r="E378" s="15"/>
      <c r="F378" s="15"/>
      <c r="G378" s="15"/>
      <c r="H378" s="15"/>
      <c r="I378" s="15"/>
      <c r="J378" s="15"/>
      <c r="K378" s="21"/>
      <c r="L378" s="15"/>
    </row>
    <row r="379" spans="1:12" x14ac:dyDescent="0.3">
      <c r="A379" s="19"/>
      <c r="B379" s="15"/>
      <c r="C379" s="15"/>
      <c r="D379" s="15"/>
      <c r="E379" s="15"/>
      <c r="F379" s="15"/>
      <c r="G379" s="15"/>
      <c r="H379" s="15"/>
      <c r="I379" s="15"/>
      <c r="J379" s="15"/>
      <c r="K379" s="21"/>
      <c r="L379" s="15"/>
    </row>
    <row r="380" spans="1:12" x14ac:dyDescent="0.3">
      <c r="A380" s="19"/>
      <c r="B380" s="15"/>
      <c r="C380" s="15"/>
      <c r="D380" s="15"/>
      <c r="E380" s="15"/>
      <c r="F380" s="15"/>
      <c r="G380" s="15"/>
      <c r="H380" s="15"/>
      <c r="I380" s="15"/>
      <c r="J380" s="15"/>
      <c r="K380" s="21"/>
      <c r="L380" s="15"/>
    </row>
    <row r="381" spans="1:12" x14ac:dyDescent="0.3">
      <c r="A381" s="19"/>
      <c r="B381" s="15"/>
      <c r="C381" s="15"/>
      <c r="D381" s="15"/>
      <c r="E381" s="15"/>
      <c r="F381" s="15"/>
      <c r="G381" s="15"/>
      <c r="H381" s="15"/>
      <c r="I381" s="15"/>
      <c r="J381" s="15"/>
      <c r="K381" s="21"/>
      <c r="L381" s="15"/>
    </row>
    <row r="382" spans="1:12" x14ac:dyDescent="0.3">
      <c r="A382" s="19"/>
      <c r="B382" s="15"/>
      <c r="C382" s="15"/>
      <c r="D382" s="15"/>
      <c r="E382" s="15"/>
      <c r="F382" s="15"/>
      <c r="G382" s="15"/>
      <c r="H382" s="15"/>
      <c r="I382" s="15"/>
      <c r="J382" s="15"/>
      <c r="K382" s="21"/>
      <c r="L382" s="15"/>
    </row>
    <row r="383" spans="1:12" x14ac:dyDescent="0.3">
      <c r="A383" s="19"/>
      <c r="B383" s="15"/>
      <c r="C383" s="15"/>
      <c r="D383" s="15"/>
      <c r="E383" s="15"/>
      <c r="F383" s="15"/>
      <c r="G383" s="15"/>
      <c r="H383" s="15"/>
      <c r="I383" s="15"/>
      <c r="J383" s="15"/>
      <c r="K383" s="21"/>
      <c r="L383" s="15"/>
    </row>
    <row r="384" spans="1:12" x14ac:dyDescent="0.3">
      <c r="A384" s="19"/>
      <c r="B384" s="15"/>
      <c r="C384" s="15"/>
      <c r="D384" s="15"/>
      <c r="E384" s="15"/>
      <c r="F384" s="15"/>
      <c r="G384" s="15"/>
      <c r="H384" s="15"/>
      <c r="I384" s="15"/>
      <c r="J384" s="15"/>
      <c r="K384" s="21"/>
      <c r="L384" s="15"/>
    </row>
    <row r="385" spans="1:12" x14ac:dyDescent="0.3">
      <c r="A385" s="19"/>
      <c r="B385" s="15"/>
      <c r="C385" s="15"/>
      <c r="D385" s="15"/>
      <c r="E385" s="15"/>
      <c r="F385" s="15"/>
      <c r="G385" s="15"/>
      <c r="H385" s="15"/>
      <c r="I385" s="15"/>
      <c r="J385" s="15"/>
      <c r="K385" s="21"/>
      <c r="L385" s="15"/>
    </row>
    <row r="386" spans="1:12" x14ac:dyDescent="0.3">
      <c r="A386" s="19"/>
      <c r="B386" s="15"/>
      <c r="C386" s="15"/>
      <c r="D386" s="15"/>
      <c r="E386" s="15"/>
      <c r="F386" s="15"/>
      <c r="G386" s="15"/>
      <c r="H386" s="15"/>
      <c r="I386" s="15"/>
      <c r="J386" s="15"/>
      <c r="K386" s="21"/>
      <c r="L386" s="15"/>
    </row>
    <row r="387" spans="1:12" x14ac:dyDescent="0.3">
      <c r="A387" s="19"/>
      <c r="B387" s="15"/>
      <c r="C387" s="15"/>
      <c r="D387" s="15"/>
      <c r="E387" s="15"/>
      <c r="F387" s="15"/>
      <c r="G387" s="15"/>
      <c r="H387" s="15"/>
      <c r="I387" s="15"/>
      <c r="J387" s="15"/>
      <c r="K387" s="21"/>
      <c r="L387" s="15"/>
    </row>
    <row r="388" spans="1:12" x14ac:dyDescent="0.3">
      <c r="A388" s="19"/>
      <c r="B388" s="15"/>
      <c r="C388" s="15"/>
      <c r="D388" s="15"/>
      <c r="E388" s="15"/>
      <c r="F388" s="15"/>
      <c r="G388" s="15"/>
      <c r="H388" s="15"/>
      <c r="I388" s="15"/>
      <c r="J388" s="15"/>
      <c r="K388" s="21"/>
      <c r="L388" s="15"/>
    </row>
    <row r="389" spans="1:12" x14ac:dyDescent="0.3">
      <c r="A389" s="19"/>
      <c r="B389" s="15"/>
      <c r="C389" s="15"/>
      <c r="D389" s="15"/>
      <c r="E389" s="15"/>
      <c r="F389" s="15"/>
      <c r="G389" s="15"/>
      <c r="H389" s="15"/>
      <c r="I389" s="15"/>
      <c r="J389" s="15"/>
      <c r="K389" s="21"/>
      <c r="L389" s="15"/>
    </row>
    <row r="390" spans="1:12" x14ac:dyDescent="0.3">
      <c r="A390" s="19"/>
      <c r="B390" s="15"/>
      <c r="C390" s="15"/>
      <c r="D390" s="15"/>
      <c r="E390" s="15"/>
      <c r="F390" s="15"/>
      <c r="G390" s="15"/>
      <c r="H390" s="15"/>
      <c r="I390" s="15"/>
      <c r="J390" s="15"/>
      <c r="K390" s="21"/>
      <c r="L390" s="15"/>
    </row>
    <row r="391" spans="1:12" x14ac:dyDescent="0.3">
      <c r="A391" s="19"/>
      <c r="B391" s="15"/>
      <c r="C391" s="15"/>
      <c r="D391" s="15"/>
      <c r="E391" s="15"/>
      <c r="F391" s="15"/>
      <c r="G391" s="15"/>
      <c r="H391" s="15"/>
      <c r="I391" s="15"/>
      <c r="J391" s="15"/>
      <c r="K391" s="21"/>
      <c r="L391" s="15"/>
    </row>
    <row r="392" spans="1:12" x14ac:dyDescent="0.3">
      <c r="A392" s="19"/>
      <c r="B392" s="15"/>
      <c r="C392" s="15"/>
      <c r="D392" s="15"/>
      <c r="E392" s="15"/>
      <c r="F392" s="15"/>
      <c r="G392" s="15"/>
      <c r="H392" s="15"/>
      <c r="I392" s="15"/>
      <c r="J392" s="15"/>
      <c r="K392" s="21"/>
      <c r="L392" s="15"/>
    </row>
    <row r="393" spans="1:12" x14ac:dyDescent="0.3">
      <c r="A393" s="19"/>
      <c r="B393" s="15"/>
      <c r="C393" s="15"/>
      <c r="D393" s="15"/>
      <c r="E393" s="15"/>
      <c r="F393" s="15"/>
      <c r="G393" s="15"/>
      <c r="H393" s="15"/>
      <c r="I393" s="15"/>
      <c r="J393" s="15"/>
      <c r="K393" s="21"/>
      <c r="L393" s="15"/>
    </row>
    <row r="394" spans="1:12" x14ac:dyDescent="0.3">
      <c r="A394" s="19"/>
      <c r="B394" s="15"/>
      <c r="C394" s="15"/>
      <c r="D394" s="15"/>
      <c r="E394" s="15"/>
      <c r="F394" s="15"/>
      <c r="G394" s="15"/>
      <c r="H394" s="15"/>
      <c r="I394" s="15"/>
      <c r="J394" s="15"/>
      <c r="K394" s="21"/>
      <c r="L394" s="15"/>
    </row>
    <row r="395" spans="1:12" x14ac:dyDescent="0.3">
      <c r="A395" s="19"/>
      <c r="B395" s="15"/>
      <c r="C395" s="15"/>
      <c r="D395" s="15"/>
      <c r="E395" s="15"/>
      <c r="F395" s="15"/>
      <c r="G395" s="15"/>
      <c r="H395" s="15"/>
      <c r="I395" s="15"/>
      <c r="J395" s="15"/>
      <c r="K395" s="21"/>
      <c r="L395" s="15"/>
    </row>
    <row r="396" spans="1:12" x14ac:dyDescent="0.3">
      <c r="A396" s="19"/>
      <c r="B396" s="15"/>
      <c r="C396" s="15"/>
      <c r="D396" s="15"/>
      <c r="E396" s="15"/>
      <c r="F396" s="15"/>
      <c r="G396" s="15"/>
      <c r="H396" s="15"/>
      <c r="I396" s="15"/>
      <c r="J396" s="15"/>
      <c r="K396" s="21"/>
      <c r="L396" s="15"/>
    </row>
    <row r="397" spans="1:12" x14ac:dyDescent="0.3">
      <c r="A397" s="19"/>
      <c r="B397" s="15"/>
      <c r="C397" s="15"/>
      <c r="D397" s="15"/>
      <c r="E397" s="15"/>
      <c r="F397" s="15"/>
      <c r="G397" s="15"/>
      <c r="H397" s="15"/>
      <c r="I397" s="15"/>
      <c r="J397" s="15"/>
      <c r="K397" s="21"/>
      <c r="L397" s="15"/>
    </row>
    <row r="398" spans="1:12" x14ac:dyDescent="0.3">
      <c r="A398" s="19"/>
      <c r="B398" s="15"/>
      <c r="C398" s="15"/>
      <c r="D398" s="15"/>
      <c r="E398" s="15"/>
      <c r="F398" s="15"/>
      <c r="G398" s="15"/>
      <c r="H398" s="15"/>
      <c r="I398" s="15"/>
      <c r="J398" s="15"/>
      <c r="K398" s="21"/>
      <c r="L398" s="15"/>
    </row>
    <row r="399" spans="1:12" x14ac:dyDescent="0.3">
      <c r="A399" s="19"/>
      <c r="B399" s="15"/>
      <c r="C399" s="15"/>
      <c r="D399" s="15"/>
      <c r="E399" s="15"/>
      <c r="F399" s="15"/>
      <c r="G399" s="15"/>
      <c r="H399" s="15"/>
      <c r="I399" s="15"/>
      <c r="J399" s="15"/>
      <c r="K399" s="21"/>
      <c r="L399" s="15"/>
    </row>
    <row r="400" spans="1:12" x14ac:dyDescent="0.3">
      <c r="A400" s="19"/>
      <c r="B400" s="15"/>
      <c r="C400" s="15"/>
      <c r="D400" s="15"/>
      <c r="E400" s="15"/>
      <c r="F400" s="15"/>
      <c r="G400" s="15"/>
      <c r="H400" s="15"/>
      <c r="I400" s="15"/>
      <c r="J400" s="15"/>
      <c r="K400" s="21"/>
      <c r="L400" s="15"/>
    </row>
    <row r="401" spans="1:12" x14ac:dyDescent="0.3">
      <c r="A401" s="19"/>
      <c r="B401" s="15"/>
      <c r="C401" s="15"/>
      <c r="D401" s="15"/>
      <c r="E401" s="15"/>
      <c r="F401" s="15"/>
      <c r="G401" s="15"/>
      <c r="H401" s="15"/>
      <c r="I401" s="15"/>
      <c r="J401" s="15"/>
      <c r="K401" s="21"/>
      <c r="L401" s="15"/>
    </row>
    <row r="402" spans="1:12" x14ac:dyDescent="0.3">
      <c r="A402" s="19"/>
      <c r="B402" s="15"/>
      <c r="C402" s="15"/>
      <c r="D402" s="15"/>
      <c r="E402" s="15"/>
      <c r="F402" s="15"/>
      <c r="G402" s="15"/>
      <c r="H402" s="15"/>
      <c r="I402" s="15"/>
      <c r="J402" s="15"/>
      <c r="K402" s="21"/>
      <c r="L402" s="15"/>
    </row>
    <row r="403" spans="1:12" x14ac:dyDescent="0.3">
      <c r="A403" s="19"/>
      <c r="B403" s="15"/>
      <c r="C403" s="15"/>
      <c r="D403" s="15"/>
      <c r="E403" s="15"/>
      <c r="F403" s="15"/>
      <c r="G403" s="15"/>
      <c r="H403" s="15"/>
      <c r="I403" s="15"/>
      <c r="J403" s="15"/>
      <c r="K403" s="21"/>
      <c r="L403" s="15"/>
    </row>
    <row r="404" spans="1:12" x14ac:dyDescent="0.3">
      <c r="A404" s="19"/>
      <c r="B404" s="15"/>
      <c r="C404" s="15"/>
      <c r="D404" s="15"/>
      <c r="E404" s="15"/>
      <c r="F404" s="15"/>
      <c r="G404" s="15"/>
      <c r="H404" s="15"/>
      <c r="I404" s="15"/>
      <c r="J404" s="15"/>
      <c r="K404" s="21"/>
      <c r="L404" s="15"/>
    </row>
    <row r="405" spans="1:12" x14ac:dyDescent="0.3">
      <c r="A405" s="19"/>
      <c r="B405" s="15"/>
      <c r="C405" s="15"/>
      <c r="D405" s="15"/>
      <c r="E405" s="15"/>
      <c r="F405" s="15"/>
      <c r="G405" s="15"/>
      <c r="H405" s="15"/>
      <c r="I405" s="15"/>
      <c r="J405" s="15"/>
      <c r="K405" s="21"/>
      <c r="L405" s="15"/>
    </row>
    <row r="406" spans="1:12" x14ac:dyDescent="0.3">
      <c r="A406" s="19"/>
      <c r="B406" s="15"/>
      <c r="C406" s="15"/>
      <c r="D406" s="15"/>
      <c r="E406" s="15"/>
      <c r="F406" s="15"/>
      <c r="G406" s="15"/>
      <c r="H406" s="15"/>
      <c r="I406" s="15"/>
      <c r="J406" s="15"/>
      <c r="K406" s="21"/>
      <c r="L406" s="15"/>
    </row>
    <row r="407" spans="1:12" x14ac:dyDescent="0.3">
      <c r="A407" s="19"/>
      <c r="B407" s="15"/>
      <c r="C407" s="15"/>
      <c r="D407" s="15"/>
      <c r="E407" s="15"/>
      <c r="F407" s="15"/>
      <c r="G407" s="15"/>
      <c r="H407" s="15"/>
      <c r="I407" s="15"/>
      <c r="J407" s="15"/>
      <c r="K407" s="21"/>
      <c r="L407" s="15"/>
    </row>
    <row r="408" spans="1:12" x14ac:dyDescent="0.3">
      <c r="A408" s="19"/>
      <c r="B408" s="15"/>
      <c r="C408" s="15"/>
      <c r="D408" s="15"/>
      <c r="E408" s="15"/>
      <c r="F408" s="15"/>
      <c r="G408" s="15"/>
      <c r="H408" s="15"/>
      <c r="I408" s="15"/>
      <c r="J408" s="15"/>
      <c r="K408" s="21"/>
      <c r="L408" s="15"/>
    </row>
    <row r="409" spans="1:12" x14ac:dyDescent="0.3">
      <c r="A409" s="19"/>
      <c r="B409" s="15"/>
      <c r="C409" s="15"/>
      <c r="D409" s="15"/>
      <c r="E409" s="15"/>
      <c r="F409" s="15"/>
      <c r="G409" s="15"/>
      <c r="H409" s="15"/>
      <c r="I409" s="15"/>
      <c r="J409" s="15"/>
      <c r="K409" s="21"/>
      <c r="L409" s="15"/>
    </row>
    <row r="410" spans="1:12" x14ac:dyDescent="0.3">
      <c r="A410" s="19"/>
      <c r="B410" s="15"/>
      <c r="C410" s="15"/>
      <c r="D410" s="15"/>
      <c r="E410" s="15"/>
      <c r="F410" s="15"/>
      <c r="G410" s="15"/>
      <c r="H410" s="15"/>
      <c r="I410" s="15"/>
      <c r="J410" s="15"/>
      <c r="K410" s="21"/>
      <c r="L410" s="15"/>
    </row>
    <row r="411" spans="1:12" x14ac:dyDescent="0.3">
      <c r="A411" s="19"/>
      <c r="B411" s="15"/>
      <c r="C411" s="15"/>
      <c r="D411" s="15"/>
      <c r="E411" s="15"/>
      <c r="F411" s="15"/>
      <c r="G411" s="15"/>
      <c r="H411" s="15"/>
      <c r="I411" s="15"/>
      <c r="J411" s="15"/>
      <c r="K411" s="21"/>
      <c r="L411" s="15"/>
    </row>
    <row r="412" spans="1:12" x14ac:dyDescent="0.3">
      <c r="A412" s="19"/>
      <c r="B412" s="15"/>
      <c r="C412" s="15"/>
      <c r="D412" s="15"/>
      <c r="E412" s="15"/>
      <c r="F412" s="15"/>
      <c r="G412" s="15"/>
      <c r="H412" s="15"/>
      <c r="I412" s="15"/>
      <c r="J412" s="15"/>
      <c r="K412" s="21"/>
      <c r="L412" s="15"/>
    </row>
    <row r="413" spans="1:12" x14ac:dyDescent="0.3">
      <c r="A413" s="19"/>
      <c r="B413" s="15"/>
      <c r="C413" s="15"/>
      <c r="D413" s="15"/>
      <c r="E413" s="15"/>
      <c r="F413" s="15"/>
      <c r="G413" s="15"/>
      <c r="H413" s="15"/>
      <c r="I413" s="15"/>
      <c r="J413" s="15"/>
      <c r="K413" s="21"/>
      <c r="L413" s="15"/>
    </row>
    <row r="414" spans="1:12" x14ac:dyDescent="0.3">
      <c r="A414" s="19"/>
      <c r="B414" s="15"/>
      <c r="C414" s="15"/>
      <c r="D414" s="15"/>
      <c r="E414" s="15"/>
      <c r="F414" s="15"/>
      <c r="G414" s="15"/>
      <c r="H414" s="15"/>
      <c r="I414" s="15"/>
      <c r="J414" s="15"/>
      <c r="K414" s="21"/>
      <c r="L414" s="15"/>
    </row>
    <row r="415" spans="1:12" x14ac:dyDescent="0.3">
      <c r="A415" s="19"/>
      <c r="B415" s="15"/>
      <c r="C415" s="15"/>
      <c r="D415" s="15"/>
      <c r="E415" s="15"/>
      <c r="F415" s="15"/>
      <c r="G415" s="15"/>
      <c r="H415" s="15"/>
      <c r="I415" s="15"/>
      <c r="J415" s="15"/>
      <c r="K415" s="21"/>
      <c r="L415" s="15"/>
    </row>
    <row r="416" spans="1:12" x14ac:dyDescent="0.3">
      <c r="A416" s="19"/>
      <c r="B416" s="15"/>
      <c r="C416" s="15"/>
      <c r="D416" s="15"/>
      <c r="E416" s="15"/>
      <c r="F416" s="15"/>
      <c r="G416" s="15"/>
      <c r="H416" s="15"/>
      <c r="I416" s="15"/>
      <c r="J416" s="15"/>
      <c r="K416" s="21"/>
      <c r="L416" s="15"/>
    </row>
    <row r="417" spans="1:12" x14ac:dyDescent="0.3">
      <c r="A417" s="19"/>
      <c r="B417" s="15"/>
      <c r="C417" s="15"/>
      <c r="D417" s="15"/>
      <c r="E417" s="15"/>
      <c r="F417" s="15"/>
      <c r="G417" s="15"/>
      <c r="H417" s="15"/>
      <c r="I417" s="15"/>
      <c r="J417" s="15"/>
      <c r="K417" s="21"/>
      <c r="L417" s="15"/>
    </row>
    <row r="418" spans="1:12" x14ac:dyDescent="0.3">
      <c r="A418" s="19"/>
      <c r="B418" s="15"/>
      <c r="C418" s="15"/>
      <c r="D418" s="15"/>
      <c r="E418" s="15"/>
      <c r="F418" s="15"/>
      <c r="G418" s="15"/>
      <c r="H418" s="15"/>
      <c r="I418" s="15"/>
      <c r="J418" s="15"/>
      <c r="K418" s="21"/>
      <c r="L418" s="15"/>
    </row>
    <row r="419" spans="1:12" x14ac:dyDescent="0.3">
      <c r="A419" s="19"/>
      <c r="B419" s="15"/>
      <c r="C419" s="15"/>
      <c r="D419" s="15"/>
      <c r="E419" s="15"/>
      <c r="F419" s="15"/>
      <c r="G419" s="15"/>
      <c r="H419" s="15"/>
      <c r="I419" s="15"/>
      <c r="J419" s="15"/>
      <c r="K419" s="21"/>
      <c r="L419" s="15"/>
    </row>
    <row r="420" spans="1:12" x14ac:dyDescent="0.3">
      <c r="A420" s="19"/>
      <c r="B420" s="15"/>
      <c r="C420" s="15"/>
      <c r="D420" s="15"/>
      <c r="E420" s="15"/>
      <c r="F420" s="15"/>
      <c r="G420" s="15"/>
      <c r="H420" s="15"/>
      <c r="I420" s="15"/>
      <c r="J420" s="15"/>
      <c r="K420" s="21"/>
      <c r="L420" s="15"/>
    </row>
    <row r="421" spans="1:12" x14ac:dyDescent="0.3">
      <c r="A421" s="19"/>
      <c r="B421" s="15"/>
      <c r="C421" s="15"/>
      <c r="D421" s="15"/>
      <c r="E421" s="15"/>
      <c r="F421" s="15"/>
      <c r="G421" s="15"/>
      <c r="H421" s="15"/>
      <c r="I421" s="15"/>
      <c r="J421" s="15"/>
      <c r="K421" s="21"/>
      <c r="L421" s="15"/>
    </row>
    <row r="422" spans="1:12" x14ac:dyDescent="0.3">
      <c r="A422" s="19"/>
      <c r="B422" s="15"/>
      <c r="C422" s="15"/>
      <c r="D422" s="15"/>
      <c r="E422" s="15"/>
      <c r="F422" s="15"/>
      <c r="G422" s="15"/>
      <c r="H422" s="15"/>
      <c r="I422" s="15"/>
      <c r="J422" s="15"/>
      <c r="K422" s="21"/>
      <c r="L422" s="15"/>
    </row>
    <row r="423" spans="1:12" x14ac:dyDescent="0.3">
      <c r="A423" s="19"/>
      <c r="B423" s="15"/>
      <c r="C423" s="15"/>
      <c r="D423" s="15"/>
      <c r="E423" s="15"/>
      <c r="F423" s="15"/>
      <c r="G423" s="15"/>
      <c r="H423" s="15"/>
      <c r="I423" s="15"/>
      <c r="J423" s="15"/>
      <c r="K423" s="21"/>
      <c r="L423" s="15"/>
    </row>
    <row r="424" spans="1:12" x14ac:dyDescent="0.3">
      <c r="A424" s="19"/>
      <c r="B424" s="15"/>
      <c r="C424" s="15"/>
      <c r="D424" s="15"/>
      <c r="E424" s="15"/>
      <c r="F424" s="15"/>
      <c r="G424" s="15"/>
      <c r="H424" s="15"/>
      <c r="I424" s="15"/>
      <c r="J424" s="15"/>
      <c r="K424" s="21"/>
      <c r="L424" s="15"/>
    </row>
    <row r="425" spans="1:12" x14ac:dyDescent="0.3">
      <c r="A425" s="19"/>
      <c r="B425" s="15"/>
      <c r="C425" s="15"/>
      <c r="D425" s="15"/>
      <c r="E425" s="15"/>
      <c r="F425" s="15"/>
      <c r="G425" s="15"/>
      <c r="H425" s="15"/>
      <c r="I425" s="15"/>
      <c r="J425" s="15"/>
      <c r="K425" s="21"/>
      <c r="L425" s="15"/>
    </row>
    <row r="426" spans="1:12" x14ac:dyDescent="0.3">
      <c r="A426" s="19"/>
      <c r="B426" s="15"/>
      <c r="C426" s="15"/>
      <c r="D426" s="15"/>
      <c r="E426" s="15"/>
      <c r="F426" s="15"/>
      <c r="G426" s="15"/>
      <c r="H426" s="15"/>
      <c r="I426" s="15"/>
      <c r="J426" s="15"/>
      <c r="K426" s="21"/>
      <c r="L426" s="15"/>
    </row>
    <row r="427" spans="1:12" x14ac:dyDescent="0.3">
      <c r="A427" s="19"/>
      <c r="B427" s="15"/>
      <c r="C427" s="15"/>
      <c r="D427" s="15"/>
      <c r="E427" s="15"/>
      <c r="F427" s="15"/>
      <c r="G427" s="15"/>
      <c r="H427" s="15"/>
      <c r="I427" s="15"/>
      <c r="J427" s="15"/>
      <c r="K427" s="21"/>
      <c r="L427" s="15"/>
    </row>
    <row r="428" spans="1:12" x14ac:dyDescent="0.3">
      <c r="A428" s="19"/>
      <c r="B428" s="15"/>
      <c r="C428" s="15"/>
      <c r="D428" s="15"/>
      <c r="E428" s="15"/>
      <c r="F428" s="15"/>
      <c r="G428" s="15"/>
      <c r="H428" s="15"/>
      <c r="I428" s="15"/>
      <c r="J428" s="15"/>
      <c r="K428" s="21"/>
      <c r="L428" s="15"/>
    </row>
    <row r="429" spans="1:12" x14ac:dyDescent="0.3">
      <c r="A429" s="19"/>
      <c r="B429" s="15"/>
      <c r="C429" s="15"/>
      <c r="D429" s="15"/>
      <c r="E429" s="15"/>
      <c r="F429" s="15"/>
      <c r="G429" s="15"/>
      <c r="H429" s="15"/>
      <c r="I429" s="15"/>
      <c r="J429" s="15"/>
      <c r="K429" s="21"/>
      <c r="L429" s="15"/>
    </row>
    <row r="430" spans="1:12" x14ac:dyDescent="0.3">
      <c r="A430" s="19"/>
      <c r="B430" s="15"/>
      <c r="C430" s="15"/>
      <c r="D430" s="15"/>
      <c r="E430" s="15"/>
      <c r="F430" s="15"/>
      <c r="G430" s="15"/>
      <c r="H430" s="15"/>
      <c r="I430" s="15"/>
      <c r="J430" s="15"/>
      <c r="K430" s="21"/>
      <c r="L430" s="15"/>
    </row>
    <row r="431" spans="1:12" x14ac:dyDescent="0.3">
      <c r="A431" s="19"/>
      <c r="B431" s="15"/>
      <c r="C431" s="15"/>
      <c r="D431" s="15"/>
      <c r="E431" s="15"/>
      <c r="F431" s="15"/>
      <c r="G431" s="15"/>
      <c r="H431" s="15"/>
      <c r="I431" s="15"/>
      <c r="J431" s="15"/>
      <c r="K431" s="21"/>
      <c r="L431" s="15"/>
    </row>
    <row r="432" spans="1:12" x14ac:dyDescent="0.3">
      <c r="A432" s="19"/>
      <c r="B432" s="15"/>
      <c r="C432" s="15"/>
      <c r="D432" s="15"/>
      <c r="E432" s="15"/>
      <c r="F432" s="15"/>
      <c r="G432" s="15"/>
      <c r="H432" s="15"/>
      <c r="I432" s="15"/>
      <c r="J432" s="15"/>
      <c r="K432" s="21"/>
      <c r="L432" s="15"/>
    </row>
    <row r="433" spans="1:12" x14ac:dyDescent="0.3">
      <c r="A433" s="19"/>
      <c r="B433" s="15"/>
      <c r="C433" s="15"/>
      <c r="D433" s="15"/>
      <c r="E433" s="15"/>
      <c r="F433" s="15"/>
      <c r="G433" s="15"/>
      <c r="H433" s="15"/>
      <c r="I433" s="15"/>
      <c r="J433" s="15"/>
      <c r="K433" s="21"/>
      <c r="L433" s="15"/>
    </row>
    <row r="434" spans="1:12" x14ac:dyDescent="0.3">
      <c r="A434" s="19"/>
      <c r="B434" s="15"/>
      <c r="C434" s="15"/>
      <c r="D434" s="15"/>
      <c r="E434" s="15"/>
      <c r="F434" s="15"/>
      <c r="G434" s="15"/>
      <c r="H434" s="15"/>
      <c r="I434" s="15"/>
      <c r="J434" s="15"/>
      <c r="K434" s="21"/>
      <c r="L434" s="15"/>
    </row>
    <row r="435" spans="1:12" x14ac:dyDescent="0.3">
      <c r="A435" s="19"/>
      <c r="B435" s="15"/>
      <c r="C435" s="15"/>
      <c r="D435" s="15"/>
      <c r="E435" s="15"/>
      <c r="F435" s="15"/>
      <c r="G435" s="15"/>
      <c r="H435" s="15"/>
      <c r="I435" s="15"/>
      <c r="J435" s="15"/>
      <c r="K435" s="21"/>
      <c r="L435" s="15"/>
    </row>
    <row r="436" spans="1:12" x14ac:dyDescent="0.3">
      <c r="A436" s="19"/>
      <c r="B436" s="15"/>
      <c r="C436" s="15"/>
      <c r="D436" s="15"/>
      <c r="E436" s="15"/>
      <c r="F436" s="15"/>
      <c r="G436" s="15"/>
      <c r="H436" s="15"/>
      <c r="I436" s="15"/>
      <c r="J436" s="15"/>
      <c r="K436" s="21"/>
      <c r="L436" s="15"/>
    </row>
    <row r="437" spans="1:12" x14ac:dyDescent="0.3">
      <c r="A437" s="19"/>
      <c r="B437" s="15"/>
      <c r="C437" s="15"/>
      <c r="D437" s="15"/>
      <c r="E437" s="15"/>
      <c r="F437" s="15"/>
      <c r="G437" s="15"/>
      <c r="H437" s="15"/>
      <c r="I437" s="15"/>
      <c r="J437" s="15"/>
      <c r="K437" s="21"/>
      <c r="L437" s="15"/>
    </row>
    <row r="438" spans="1:12" x14ac:dyDescent="0.3">
      <c r="A438" s="19"/>
      <c r="B438" s="15"/>
      <c r="C438" s="15"/>
      <c r="D438" s="15"/>
      <c r="E438" s="15"/>
      <c r="F438" s="15"/>
      <c r="G438" s="15"/>
      <c r="H438" s="15"/>
      <c r="I438" s="15"/>
      <c r="J438" s="15"/>
      <c r="K438" s="21"/>
      <c r="L438" s="15"/>
    </row>
    <row r="439" spans="1:12" x14ac:dyDescent="0.3">
      <c r="A439" s="19"/>
      <c r="B439" s="15"/>
      <c r="C439" s="15"/>
      <c r="D439" s="15"/>
      <c r="E439" s="15"/>
      <c r="F439" s="15"/>
      <c r="G439" s="15"/>
      <c r="H439" s="15"/>
      <c r="I439" s="15"/>
      <c r="J439" s="15"/>
      <c r="K439" s="21"/>
      <c r="L439" s="15"/>
    </row>
    <row r="440" spans="1:12" x14ac:dyDescent="0.3">
      <c r="A440" s="19"/>
      <c r="B440" s="15"/>
      <c r="C440" s="15"/>
      <c r="D440" s="15"/>
      <c r="E440" s="15"/>
      <c r="F440" s="15"/>
      <c r="G440" s="15"/>
      <c r="H440" s="15"/>
      <c r="I440" s="15"/>
      <c r="J440" s="15"/>
      <c r="K440" s="21"/>
      <c r="L440" s="15"/>
    </row>
    <row r="441" spans="1:12" x14ac:dyDescent="0.3">
      <c r="A441" s="19"/>
      <c r="B441" s="15"/>
      <c r="C441" s="15"/>
      <c r="D441" s="15"/>
      <c r="E441" s="15"/>
      <c r="F441" s="15"/>
      <c r="G441" s="15"/>
      <c r="H441" s="15"/>
      <c r="I441" s="15"/>
      <c r="J441" s="15"/>
      <c r="K441" s="21"/>
      <c r="L441" s="15"/>
    </row>
    <row r="442" spans="1:12" x14ac:dyDescent="0.3">
      <c r="A442" s="19"/>
      <c r="B442" s="15"/>
      <c r="C442" s="15"/>
      <c r="D442" s="15"/>
      <c r="E442" s="15"/>
      <c r="F442" s="15"/>
      <c r="G442" s="15"/>
      <c r="H442" s="15"/>
      <c r="I442" s="15"/>
      <c r="J442" s="15"/>
      <c r="K442" s="21"/>
      <c r="L442" s="15"/>
    </row>
    <row r="443" spans="1:12" x14ac:dyDescent="0.3">
      <c r="A443" s="19"/>
      <c r="B443" s="15"/>
      <c r="C443" s="15"/>
      <c r="D443" s="15"/>
      <c r="E443" s="15"/>
      <c r="F443" s="15"/>
      <c r="G443" s="15"/>
      <c r="H443" s="15"/>
      <c r="I443" s="15"/>
      <c r="J443" s="15"/>
      <c r="K443" s="21"/>
      <c r="L443" s="15"/>
    </row>
    <row r="444" spans="1:12" x14ac:dyDescent="0.3">
      <c r="A444" s="19"/>
      <c r="B444" s="15"/>
      <c r="C444" s="15"/>
      <c r="D444" s="15"/>
      <c r="E444" s="15"/>
      <c r="F444" s="15"/>
      <c r="G444" s="15"/>
      <c r="H444" s="15"/>
      <c r="I444" s="15"/>
      <c r="J444" s="15"/>
      <c r="K444" s="21"/>
      <c r="L444" s="15"/>
    </row>
    <row r="445" spans="1:12" x14ac:dyDescent="0.3">
      <c r="A445" s="19"/>
      <c r="B445" s="15"/>
      <c r="C445" s="15"/>
      <c r="D445" s="15"/>
      <c r="E445" s="15"/>
      <c r="F445" s="15"/>
      <c r="G445" s="15"/>
      <c r="H445" s="15"/>
      <c r="I445" s="15"/>
      <c r="J445" s="15"/>
      <c r="K445" s="21"/>
      <c r="L445" s="15"/>
    </row>
    <row r="446" spans="1:12" x14ac:dyDescent="0.3">
      <c r="A446" s="19"/>
      <c r="B446" s="15"/>
      <c r="C446" s="15"/>
      <c r="D446" s="15"/>
      <c r="E446" s="15"/>
      <c r="F446" s="15"/>
      <c r="G446" s="15"/>
      <c r="H446" s="15"/>
      <c r="I446" s="15"/>
      <c r="J446" s="15"/>
      <c r="K446" s="21"/>
      <c r="L446" s="15"/>
    </row>
    <row r="447" spans="1:12" x14ac:dyDescent="0.3">
      <c r="A447" s="19"/>
      <c r="B447" s="15"/>
      <c r="C447" s="15"/>
      <c r="D447" s="15"/>
      <c r="E447" s="15"/>
      <c r="F447" s="15"/>
      <c r="G447" s="15"/>
      <c r="H447" s="15"/>
      <c r="I447" s="15"/>
      <c r="J447" s="15"/>
      <c r="K447" s="21"/>
      <c r="L447" s="15"/>
    </row>
    <row r="448" spans="1:12" x14ac:dyDescent="0.3">
      <c r="A448" s="19"/>
      <c r="B448" s="15"/>
      <c r="C448" s="15"/>
      <c r="D448" s="15"/>
      <c r="E448" s="15"/>
      <c r="F448" s="15"/>
      <c r="G448" s="15"/>
      <c r="H448" s="15"/>
      <c r="I448" s="15"/>
      <c r="J448" s="15"/>
      <c r="K448" s="21"/>
      <c r="L448" s="15"/>
    </row>
    <row r="449" spans="1:12" x14ac:dyDescent="0.3">
      <c r="A449" s="19"/>
      <c r="B449" s="15"/>
      <c r="C449" s="15"/>
      <c r="D449" s="15"/>
      <c r="E449" s="15"/>
      <c r="F449" s="15"/>
      <c r="G449" s="15"/>
      <c r="H449" s="15"/>
      <c r="I449" s="15"/>
      <c r="J449" s="15"/>
      <c r="K449" s="21"/>
      <c r="L449" s="15"/>
    </row>
    <row r="450" spans="1:12" x14ac:dyDescent="0.3">
      <c r="A450" s="19"/>
      <c r="B450" s="15"/>
      <c r="C450" s="15"/>
      <c r="D450" s="15"/>
      <c r="E450" s="15"/>
      <c r="F450" s="15"/>
      <c r="G450" s="15"/>
      <c r="H450" s="15"/>
      <c r="I450" s="15"/>
      <c r="J450" s="15"/>
      <c r="K450" s="21"/>
      <c r="L450" s="15"/>
    </row>
    <row r="451" spans="1:12" x14ac:dyDescent="0.3">
      <c r="A451" s="19"/>
      <c r="B451" s="15"/>
      <c r="C451" s="15"/>
      <c r="D451" s="15"/>
      <c r="E451" s="15"/>
      <c r="F451" s="15"/>
      <c r="G451" s="15"/>
      <c r="H451" s="15"/>
      <c r="I451" s="15"/>
      <c r="J451" s="15"/>
      <c r="K451" s="21"/>
      <c r="L451" s="15"/>
    </row>
    <row r="452" spans="1:12" x14ac:dyDescent="0.3">
      <c r="A452" s="19"/>
      <c r="B452" s="15"/>
      <c r="C452" s="15"/>
      <c r="D452" s="15"/>
      <c r="E452" s="15"/>
      <c r="F452" s="15"/>
      <c r="G452" s="15"/>
      <c r="H452" s="15"/>
      <c r="I452" s="15"/>
      <c r="J452" s="15"/>
      <c r="K452" s="21"/>
      <c r="L452" s="15"/>
    </row>
    <row r="453" spans="1:12" x14ac:dyDescent="0.3">
      <c r="A453" s="19"/>
      <c r="B453" s="15"/>
      <c r="C453" s="15"/>
      <c r="D453" s="15"/>
      <c r="E453" s="15"/>
      <c r="F453" s="15"/>
      <c r="G453" s="15"/>
      <c r="H453" s="15"/>
      <c r="I453" s="15"/>
      <c r="J453" s="15"/>
      <c r="K453" s="21"/>
      <c r="L453" s="15"/>
    </row>
    <row r="454" spans="1:12" x14ac:dyDescent="0.3">
      <c r="A454" s="19"/>
      <c r="B454" s="15"/>
      <c r="C454" s="15"/>
      <c r="D454" s="15"/>
      <c r="E454" s="15"/>
      <c r="F454" s="15"/>
      <c r="G454" s="15"/>
      <c r="H454" s="15"/>
      <c r="I454" s="15"/>
      <c r="J454" s="15"/>
      <c r="K454" s="21"/>
      <c r="L454" s="15"/>
    </row>
    <row r="455" spans="1:12" x14ac:dyDescent="0.3">
      <c r="A455" s="19"/>
      <c r="B455" s="15"/>
      <c r="C455" s="15"/>
      <c r="D455" s="15"/>
      <c r="E455" s="15"/>
      <c r="F455" s="15"/>
      <c r="G455" s="15"/>
      <c r="H455" s="15"/>
      <c r="I455" s="15"/>
      <c r="J455" s="15"/>
      <c r="K455" s="21"/>
      <c r="L455" s="15"/>
    </row>
    <row r="456" spans="1:12" x14ac:dyDescent="0.3">
      <c r="A456" s="19"/>
      <c r="B456" s="15"/>
      <c r="C456" s="15"/>
      <c r="D456" s="15"/>
      <c r="E456" s="15"/>
      <c r="F456" s="15"/>
      <c r="G456" s="15"/>
      <c r="H456" s="15"/>
      <c r="I456" s="15"/>
      <c r="J456" s="15"/>
      <c r="K456" s="21"/>
      <c r="L456" s="15"/>
    </row>
    <row r="457" spans="1:12" x14ac:dyDescent="0.3">
      <c r="A457" s="19"/>
      <c r="B457" s="15"/>
      <c r="C457" s="15"/>
      <c r="D457" s="15"/>
      <c r="E457" s="15"/>
      <c r="F457" s="15"/>
      <c r="G457" s="15"/>
      <c r="H457" s="15"/>
      <c r="I457" s="15"/>
      <c r="J457" s="15"/>
      <c r="K457" s="21"/>
      <c r="L457" s="15"/>
    </row>
    <row r="458" spans="1:12" x14ac:dyDescent="0.3">
      <c r="A458" s="19"/>
      <c r="B458" s="15"/>
      <c r="C458" s="15"/>
      <c r="D458" s="15"/>
      <c r="E458" s="15"/>
      <c r="F458" s="15"/>
      <c r="G458" s="15"/>
      <c r="H458" s="15"/>
      <c r="I458" s="15"/>
      <c r="J458" s="15"/>
      <c r="K458" s="21"/>
      <c r="L458" s="15"/>
    </row>
    <row r="459" spans="1:12" x14ac:dyDescent="0.3">
      <c r="A459" s="19"/>
      <c r="B459" s="15"/>
      <c r="C459" s="15"/>
      <c r="D459" s="15"/>
      <c r="E459" s="15"/>
      <c r="F459" s="15"/>
      <c r="G459" s="15"/>
      <c r="H459" s="15"/>
      <c r="I459" s="15"/>
      <c r="J459" s="15"/>
      <c r="K459" s="21"/>
      <c r="L459" s="15"/>
    </row>
    <row r="460" spans="1:12" x14ac:dyDescent="0.3">
      <c r="A460" s="19"/>
      <c r="B460" s="15"/>
      <c r="C460" s="15"/>
      <c r="D460" s="15"/>
      <c r="E460" s="15"/>
      <c r="F460" s="15"/>
      <c r="G460" s="15"/>
      <c r="H460" s="15"/>
      <c r="I460" s="15"/>
      <c r="J460" s="15"/>
      <c r="K460" s="21"/>
      <c r="L460" s="15"/>
    </row>
    <row r="461" spans="1:12" x14ac:dyDescent="0.3">
      <c r="A461" s="19"/>
      <c r="B461" s="15"/>
      <c r="C461" s="15"/>
      <c r="D461" s="15"/>
      <c r="E461" s="15"/>
      <c r="F461" s="15"/>
      <c r="G461" s="15"/>
      <c r="H461" s="15"/>
      <c r="I461" s="15"/>
      <c r="J461" s="15"/>
      <c r="K461" s="21"/>
      <c r="L461" s="15"/>
    </row>
    <row r="462" spans="1:12" x14ac:dyDescent="0.3">
      <c r="A462" s="19"/>
      <c r="B462" s="15"/>
      <c r="C462" s="15"/>
      <c r="D462" s="15"/>
      <c r="E462" s="15"/>
      <c r="F462" s="15"/>
      <c r="G462" s="15"/>
      <c r="H462" s="15"/>
      <c r="I462" s="15"/>
      <c r="J462" s="15"/>
      <c r="K462" s="21"/>
      <c r="L462" s="15"/>
    </row>
    <row r="463" spans="1:12" x14ac:dyDescent="0.3">
      <c r="A463" s="19"/>
      <c r="B463" s="15"/>
      <c r="C463" s="15"/>
      <c r="D463" s="15"/>
      <c r="E463" s="15"/>
      <c r="F463" s="15"/>
      <c r="G463" s="15"/>
      <c r="H463" s="15"/>
      <c r="I463" s="15"/>
      <c r="J463" s="15"/>
      <c r="K463" s="21"/>
      <c r="L463" s="15"/>
    </row>
    <row r="464" spans="1:12" x14ac:dyDescent="0.3">
      <c r="A464" s="19"/>
      <c r="B464" s="15"/>
      <c r="C464" s="15"/>
      <c r="D464" s="15"/>
      <c r="E464" s="15"/>
      <c r="F464" s="15"/>
      <c r="G464" s="15"/>
      <c r="H464" s="15"/>
      <c r="I464" s="15"/>
      <c r="J464" s="15"/>
      <c r="K464" s="21"/>
      <c r="L464" s="15"/>
    </row>
    <row r="465" spans="1:12" x14ac:dyDescent="0.3">
      <c r="A465" s="19"/>
      <c r="B465" s="15"/>
      <c r="C465" s="15"/>
      <c r="D465" s="15"/>
      <c r="E465" s="15"/>
      <c r="F465" s="15"/>
      <c r="G465" s="15"/>
      <c r="H465" s="15"/>
      <c r="I465" s="15"/>
      <c r="J465" s="15"/>
      <c r="K465" s="21"/>
      <c r="L465" s="15"/>
    </row>
    <row r="466" spans="1:12" x14ac:dyDescent="0.3">
      <c r="A466" s="19"/>
      <c r="B466" s="15"/>
      <c r="C466" s="15"/>
      <c r="D466" s="15"/>
      <c r="E466" s="15"/>
      <c r="F466" s="15"/>
      <c r="G466" s="15"/>
      <c r="H466" s="15"/>
      <c r="I466" s="15"/>
      <c r="J466" s="15"/>
      <c r="K466" s="21"/>
      <c r="L466" s="15"/>
    </row>
    <row r="467" spans="1:12" x14ac:dyDescent="0.3">
      <c r="A467" s="19"/>
      <c r="B467" s="15"/>
      <c r="C467" s="15"/>
      <c r="D467" s="15"/>
      <c r="E467" s="15"/>
      <c r="F467" s="15"/>
      <c r="G467" s="15"/>
      <c r="H467" s="15"/>
      <c r="I467" s="15"/>
      <c r="J467" s="15"/>
      <c r="K467" s="21"/>
      <c r="L467" s="15"/>
    </row>
    <row r="468" spans="1:12" x14ac:dyDescent="0.3">
      <c r="A468" s="19"/>
      <c r="B468" s="15"/>
      <c r="C468" s="15"/>
      <c r="D468" s="15"/>
      <c r="E468" s="15"/>
      <c r="F468" s="15"/>
      <c r="G468" s="15"/>
      <c r="H468" s="15"/>
      <c r="I468" s="15"/>
      <c r="J468" s="15"/>
      <c r="K468" s="21"/>
      <c r="L468" s="15"/>
    </row>
    <row r="469" spans="1:12" x14ac:dyDescent="0.3">
      <c r="A469" s="19"/>
      <c r="B469" s="15"/>
      <c r="C469" s="15"/>
      <c r="D469" s="15"/>
      <c r="E469" s="15"/>
      <c r="F469" s="15"/>
      <c r="G469" s="15"/>
      <c r="H469" s="15"/>
      <c r="I469" s="15"/>
      <c r="J469" s="15"/>
      <c r="K469" s="21"/>
      <c r="L469" s="15"/>
    </row>
    <row r="470" spans="1:12" x14ac:dyDescent="0.3">
      <c r="A470" s="19"/>
      <c r="B470" s="15"/>
      <c r="C470" s="15"/>
      <c r="D470" s="15"/>
      <c r="E470" s="15"/>
      <c r="F470" s="15"/>
      <c r="G470" s="15"/>
      <c r="H470" s="15"/>
      <c r="I470" s="15"/>
      <c r="J470" s="15"/>
      <c r="K470" s="21"/>
      <c r="L470" s="15"/>
    </row>
    <row r="471" spans="1:12" x14ac:dyDescent="0.3">
      <c r="A471" s="19"/>
      <c r="B471" s="15"/>
      <c r="C471" s="15"/>
      <c r="D471" s="15"/>
      <c r="E471" s="15"/>
      <c r="F471" s="15"/>
      <c r="G471" s="15"/>
      <c r="H471" s="15"/>
      <c r="I471" s="15"/>
      <c r="J471" s="15"/>
      <c r="K471" s="21"/>
      <c r="L471" s="15"/>
    </row>
    <row r="472" spans="1:12" x14ac:dyDescent="0.3">
      <c r="A472" s="19"/>
      <c r="B472" s="15"/>
      <c r="C472" s="15"/>
      <c r="D472" s="15"/>
      <c r="E472" s="15"/>
      <c r="F472" s="15"/>
      <c r="G472" s="15"/>
      <c r="H472" s="15"/>
      <c r="I472" s="15"/>
      <c r="J472" s="15"/>
      <c r="K472" s="21"/>
      <c r="L472" s="15"/>
    </row>
    <row r="473" spans="1:12" x14ac:dyDescent="0.3">
      <c r="A473" s="19"/>
      <c r="B473" s="15"/>
      <c r="C473" s="15"/>
      <c r="D473" s="15"/>
      <c r="E473" s="15"/>
      <c r="F473" s="15"/>
      <c r="G473" s="15"/>
      <c r="H473" s="15"/>
      <c r="I473" s="15"/>
      <c r="J473" s="15"/>
      <c r="K473" s="21"/>
      <c r="L473" s="15"/>
    </row>
    <row r="474" spans="1:12" x14ac:dyDescent="0.3">
      <c r="A474" s="19"/>
      <c r="B474" s="15"/>
      <c r="C474" s="15"/>
      <c r="D474" s="15"/>
      <c r="E474" s="15"/>
      <c r="F474" s="15"/>
      <c r="G474" s="15"/>
      <c r="H474" s="15"/>
      <c r="I474" s="15"/>
      <c r="J474" s="15"/>
      <c r="K474" s="21"/>
      <c r="L474" s="15"/>
    </row>
    <row r="475" spans="1:12" x14ac:dyDescent="0.3">
      <c r="A475" s="19"/>
      <c r="B475" s="15"/>
      <c r="C475" s="15"/>
      <c r="D475" s="15"/>
      <c r="E475" s="15"/>
      <c r="F475" s="15"/>
      <c r="G475" s="15"/>
      <c r="H475" s="15"/>
      <c r="I475" s="15"/>
      <c r="J475" s="15"/>
      <c r="K475" s="21"/>
      <c r="L475" s="15"/>
    </row>
    <row r="476" spans="1:12" x14ac:dyDescent="0.3">
      <c r="A476" s="19"/>
      <c r="B476" s="15"/>
      <c r="C476" s="15"/>
      <c r="D476" s="15"/>
      <c r="E476" s="15"/>
      <c r="F476" s="15"/>
      <c r="G476" s="15"/>
      <c r="H476" s="15"/>
      <c r="I476" s="15"/>
      <c r="J476" s="15"/>
      <c r="K476" s="21"/>
      <c r="L476" s="15"/>
    </row>
    <row r="477" spans="1:12" x14ac:dyDescent="0.3">
      <c r="A477" s="19"/>
      <c r="B477" s="15"/>
      <c r="C477" s="15"/>
      <c r="D477" s="15"/>
      <c r="E477" s="15"/>
      <c r="F477" s="15"/>
      <c r="G477" s="15"/>
      <c r="H477" s="15"/>
      <c r="I477" s="15"/>
      <c r="J477" s="15"/>
      <c r="K477" s="21"/>
      <c r="L477" s="15"/>
    </row>
    <row r="478" spans="1:12" x14ac:dyDescent="0.3">
      <c r="A478" s="19"/>
      <c r="B478" s="15"/>
      <c r="C478" s="15"/>
      <c r="D478" s="15"/>
      <c r="E478" s="15"/>
      <c r="F478" s="15"/>
      <c r="G478" s="15"/>
      <c r="H478" s="15"/>
      <c r="I478" s="15"/>
      <c r="J478" s="15"/>
      <c r="K478" s="21"/>
      <c r="L478" s="15"/>
    </row>
    <row r="479" spans="1:12" x14ac:dyDescent="0.3">
      <c r="A479" s="19"/>
      <c r="B479" s="15"/>
      <c r="C479" s="15"/>
      <c r="D479" s="15"/>
      <c r="E479" s="15"/>
      <c r="F479" s="15"/>
      <c r="G479" s="15"/>
      <c r="H479" s="15"/>
      <c r="I479" s="15"/>
      <c r="J479" s="15"/>
      <c r="K479" s="21"/>
      <c r="L479" s="15"/>
    </row>
    <row r="480" spans="1:12" x14ac:dyDescent="0.3">
      <c r="A480" s="19"/>
      <c r="B480" s="15"/>
      <c r="C480" s="15"/>
      <c r="D480" s="15"/>
      <c r="E480" s="15"/>
      <c r="F480" s="15"/>
      <c r="G480" s="15"/>
      <c r="H480" s="15"/>
      <c r="I480" s="15"/>
      <c r="J480" s="15"/>
      <c r="K480" s="21"/>
      <c r="L480" s="15"/>
    </row>
    <row r="481" spans="1:12" x14ac:dyDescent="0.3">
      <c r="A481" s="19"/>
      <c r="B481" s="15"/>
      <c r="C481" s="15"/>
      <c r="D481" s="15"/>
      <c r="E481" s="15"/>
      <c r="F481" s="15"/>
      <c r="G481" s="15"/>
      <c r="H481" s="15"/>
      <c r="I481" s="15"/>
      <c r="J481" s="15"/>
      <c r="K481" s="21"/>
      <c r="L481" s="15"/>
    </row>
    <row r="482" spans="1:12" x14ac:dyDescent="0.3">
      <c r="A482" s="19"/>
      <c r="B482" s="15"/>
      <c r="C482" s="15"/>
      <c r="D482" s="15"/>
      <c r="E482" s="15"/>
      <c r="F482" s="15"/>
      <c r="G482" s="15"/>
      <c r="H482" s="15"/>
      <c r="I482" s="15"/>
      <c r="J482" s="15"/>
      <c r="K482" s="21"/>
      <c r="L482" s="15"/>
    </row>
    <row r="483" spans="1:12" x14ac:dyDescent="0.3">
      <c r="A483" s="19"/>
      <c r="B483" s="15"/>
      <c r="C483" s="15"/>
      <c r="D483" s="15"/>
      <c r="E483" s="15"/>
      <c r="F483" s="15"/>
      <c r="G483" s="15"/>
      <c r="H483" s="15"/>
      <c r="I483" s="15"/>
      <c r="J483" s="15"/>
      <c r="K483" s="21"/>
      <c r="L483" s="15"/>
    </row>
    <row r="484" spans="1:12" x14ac:dyDescent="0.3">
      <c r="A484" s="19"/>
      <c r="B484" s="15"/>
      <c r="C484" s="15"/>
      <c r="D484" s="15"/>
      <c r="E484" s="15"/>
      <c r="F484" s="15"/>
      <c r="G484" s="15"/>
      <c r="H484" s="15"/>
      <c r="I484" s="15"/>
      <c r="J484" s="15"/>
      <c r="K484" s="21"/>
      <c r="L484" s="15"/>
    </row>
    <row r="485" spans="1:12" x14ac:dyDescent="0.3">
      <c r="A485" s="19"/>
      <c r="B485" s="15"/>
      <c r="C485" s="15"/>
      <c r="D485" s="15"/>
      <c r="E485" s="15"/>
      <c r="F485" s="15"/>
      <c r="G485" s="15"/>
      <c r="H485" s="15"/>
      <c r="I485" s="15"/>
      <c r="J485" s="15"/>
      <c r="K485" s="21"/>
      <c r="L485" s="15"/>
    </row>
    <row r="486" spans="1:12" x14ac:dyDescent="0.3">
      <c r="A486" s="19"/>
      <c r="B486" s="15"/>
      <c r="C486" s="15"/>
      <c r="D486" s="15"/>
      <c r="E486" s="15"/>
      <c r="F486" s="15"/>
      <c r="G486" s="15"/>
      <c r="H486" s="15"/>
      <c r="I486" s="15"/>
      <c r="J486" s="15"/>
      <c r="K486" s="21"/>
      <c r="L486" s="15"/>
    </row>
    <row r="487" spans="1:12" x14ac:dyDescent="0.3">
      <c r="A487" s="19"/>
      <c r="B487" s="15"/>
      <c r="C487" s="15"/>
      <c r="D487" s="15"/>
      <c r="E487" s="15"/>
      <c r="F487" s="15"/>
      <c r="G487" s="15"/>
      <c r="H487" s="15"/>
      <c r="I487" s="15"/>
      <c r="J487" s="15"/>
      <c r="K487" s="21"/>
      <c r="L487" s="15"/>
    </row>
    <row r="488" spans="1:12" x14ac:dyDescent="0.3">
      <c r="A488" s="19"/>
      <c r="B488" s="15"/>
      <c r="C488" s="15"/>
      <c r="D488" s="15"/>
      <c r="E488" s="15"/>
      <c r="F488" s="15"/>
      <c r="G488" s="15"/>
      <c r="H488" s="15"/>
      <c r="I488" s="15"/>
      <c r="J488" s="15"/>
      <c r="K488" s="21"/>
      <c r="L488" s="15"/>
    </row>
    <row r="489" spans="1:12" x14ac:dyDescent="0.3">
      <c r="A489" s="19"/>
      <c r="B489" s="15"/>
      <c r="C489" s="15"/>
      <c r="D489" s="15"/>
      <c r="E489" s="15"/>
      <c r="F489" s="15"/>
      <c r="G489" s="15"/>
      <c r="H489" s="15"/>
      <c r="I489" s="15"/>
      <c r="J489" s="15"/>
      <c r="K489" s="21"/>
      <c r="L489" s="15"/>
    </row>
    <row r="490" spans="1:12" x14ac:dyDescent="0.3">
      <c r="A490" s="19"/>
      <c r="B490" s="15"/>
      <c r="C490" s="15"/>
      <c r="D490" s="15"/>
      <c r="E490" s="15"/>
      <c r="F490" s="15"/>
      <c r="G490" s="15"/>
      <c r="H490" s="15"/>
      <c r="I490" s="15"/>
      <c r="J490" s="15"/>
      <c r="K490" s="21"/>
      <c r="L490" s="15"/>
    </row>
    <row r="491" spans="1:12" x14ac:dyDescent="0.3">
      <c r="A491" s="19"/>
      <c r="B491" s="15"/>
      <c r="C491" s="15"/>
      <c r="D491" s="15"/>
      <c r="E491" s="15"/>
      <c r="F491" s="15"/>
      <c r="G491" s="15"/>
      <c r="H491" s="15"/>
      <c r="I491" s="15"/>
      <c r="J491" s="15"/>
      <c r="K491" s="21"/>
      <c r="L491" s="15"/>
    </row>
    <row r="492" spans="1:12" x14ac:dyDescent="0.3">
      <c r="A492" s="19"/>
      <c r="B492" s="15"/>
      <c r="C492" s="15"/>
      <c r="D492" s="15"/>
      <c r="E492" s="15"/>
      <c r="F492" s="15"/>
      <c r="G492" s="15"/>
      <c r="H492" s="15"/>
      <c r="I492" s="15"/>
      <c r="J492" s="15"/>
      <c r="K492" s="21"/>
      <c r="L492" s="15"/>
    </row>
    <row r="493" spans="1:12" x14ac:dyDescent="0.3">
      <c r="A493" s="19"/>
      <c r="B493" s="15"/>
      <c r="C493" s="15"/>
      <c r="D493" s="15"/>
      <c r="E493" s="15"/>
      <c r="F493" s="15"/>
      <c r="G493" s="15"/>
      <c r="H493" s="15"/>
      <c r="I493" s="15"/>
      <c r="J493" s="15"/>
      <c r="K493" s="21"/>
      <c r="L493" s="15"/>
    </row>
    <row r="494" spans="1:12" x14ac:dyDescent="0.3">
      <c r="A494" s="19"/>
      <c r="B494" s="15"/>
      <c r="C494" s="15"/>
      <c r="D494" s="15"/>
      <c r="E494" s="15"/>
      <c r="F494" s="15"/>
      <c r="G494" s="15"/>
      <c r="H494" s="15"/>
      <c r="I494" s="15"/>
      <c r="J494" s="15"/>
      <c r="K494" s="21"/>
      <c r="L494" s="15"/>
    </row>
    <row r="495" spans="1:12" x14ac:dyDescent="0.3">
      <c r="A495" s="19"/>
      <c r="B495" s="15"/>
      <c r="C495" s="15"/>
      <c r="D495" s="15"/>
      <c r="E495" s="15"/>
      <c r="F495" s="15"/>
      <c r="G495" s="15"/>
      <c r="H495" s="15"/>
      <c r="I495" s="15"/>
      <c r="J495" s="15"/>
      <c r="K495" s="21"/>
      <c r="L495" s="15"/>
    </row>
    <row r="496" spans="1:12" x14ac:dyDescent="0.3">
      <c r="A496" s="19"/>
      <c r="B496" s="15"/>
      <c r="C496" s="15"/>
      <c r="D496" s="15"/>
      <c r="E496" s="15"/>
      <c r="F496" s="15"/>
      <c r="G496" s="15"/>
      <c r="H496" s="15"/>
      <c r="I496" s="15"/>
      <c r="J496" s="15"/>
      <c r="K496" s="21"/>
      <c r="L496" s="15"/>
    </row>
    <row r="497" spans="1:12" x14ac:dyDescent="0.3">
      <c r="A497" s="19"/>
      <c r="B497" s="15"/>
      <c r="C497" s="15"/>
      <c r="D497" s="15"/>
      <c r="E497" s="15"/>
      <c r="F497" s="15"/>
      <c r="G497" s="15"/>
      <c r="H497" s="15"/>
      <c r="I497" s="15"/>
      <c r="J497" s="15"/>
      <c r="K497" s="21"/>
      <c r="L497" s="15"/>
    </row>
    <row r="498" spans="1:12" x14ac:dyDescent="0.3">
      <c r="A498" s="19"/>
      <c r="B498" s="15"/>
      <c r="C498" s="15"/>
      <c r="D498" s="15"/>
      <c r="E498" s="15"/>
      <c r="F498" s="15"/>
      <c r="G498" s="15"/>
      <c r="H498" s="15"/>
      <c r="I498" s="15"/>
      <c r="J498" s="15"/>
      <c r="K498" s="21"/>
      <c r="L498" s="15"/>
    </row>
    <row r="499" spans="1:12" x14ac:dyDescent="0.3">
      <c r="A499" s="19"/>
      <c r="B499" s="15"/>
      <c r="C499" s="15"/>
      <c r="D499" s="15"/>
      <c r="E499" s="15"/>
      <c r="F499" s="15"/>
      <c r="G499" s="15"/>
      <c r="H499" s="15"/>
      <c r="I499" s="15"/>
      <c r="J499" s="15"/>
      <c r="K499" s="21"/>
      <c r="L499" s="15"/>
    </row>
    <row r="500" spans="1:12" x14ac:dyDescent="0.3">
      <c r="A500" s="19"/>
      <c r="B500" s="15"/>
      <c r="C500" s="15"/>
      <c r="D500" s="15"/>
      <c r="E500" s="15"/>
      <c r="F500" s="15"/>
      <c r="G500" s="15"/>
      <c r="H500" s="15"/>
      <c r="I500" s="15"/>
      <c r="J500" s="15"/>
      <c r="K500" s="21"/>
      <c r="L500" s="15"/>
    </row>
    <row r="501" spans="1:12" x14ac:dyDescent="0.3">
      <c r="A501" s="19"/>
      <c r="B501" s="15"/>
      <c r="C501" s="15"/>
      <c r="D501" s="15"/>
      <c r="E501" s="15"/>
      <c r="F501" s="15"/>
      <c r="G501" s="15"/>
      <c r="H501" s="15"/>
      <c r="I501" s="15"/>
      <c r="J501" s="15"/>
      <c r="K501" s="21"/>
      <c r="L501" s="15"/>
    </row>
    <row r="502" spans="1:12" x14ac:dyDescent="0.3">
      <c r="A502" s="19"/>
      <c r="B502" s="15"/>
      <c r="C502" s="15"/>
      <c r="D502" s="15"/>
      <c r="E502" s="15"/>
      <c r="F502" s="15"/>
      <c r="G502" s="15"/>
      <c r="H502" s="15"/>
      <c r="I502" s="15"/>
      <c r="J502" s="15"/>
      <c r="K502" s="21"/>
      <c r="L502" s="15"/>
    </row>
    <row r="503" spans="1:12" x14ac:dyDescent="0.3">
      <c r="A503" s="19"/>
      <c r="B503" s="15"/>
      <c r="C503" s="15"/>
      <c r="D503" s="15"/>
      <c r="E503" s="15"/>
      <c r="F503" s="15"/>
      <c r="G503" s="15"/>
      <c r="H503" s="15"/>
      <c r="I503" s="15"/>
      <c r="J503" s="15"/>
      <c r="K503" s="21"/>
      <c r="L503" s="15"/>
    </row>
    <row r="504" spans="1:12" x14ac:dyDescent="0.3">
      <c r="A504" s="19"/>
      <c r="B504" s="15"/>
      <c r="C504" s="15"/>
      <c r="D504" s="15"/>
      <c r="E504" s="15"/>
      <c r="F504" s="15"/>
      <c r="G504" s="15"/>
      <c r="H504" s="15"/>
      <c r="I504" s="15"/>
      <c r="J504" s="15"/>
      <c r="K504" s="21"/>
      <c r="L504" s="15"/>
    </row>
    <row r="505" spans="1:12" x14ac:dyDescent="0.3">
      <c r="A505" s="19"/>
      <c r="B505" s="15"/>
      <c r="C505" s="15"/>
      <c r="D505" s="15"/>
      <c r="E505" s="15"/>
      <c r="F505" s="15"/>
      <c r="G505" s="15"/>
      <c r="H505" s="15"/>
      <c r="I505" s="15"/>
      <c r="J505" s="15"/>
      <c r="K505" s="21"/>
      <c r="L505" s="15"/>
    </row>
    <row r="506" spans="1:12" x14ac:dyDescent="0.3">
      <c r="A506" s="19"/>
      <c r="B506" s="15"/>
      <c r="C506" s="15"/>
      <c r="D506" s="15"/>
      <c r="E506" s="15"/>
      <c r="F506" s="15"/>
      <c r="G506" s="15"/>
      <c r="H506" s="15"/>
      <c r="I506" s="15"/>
      <c r="J506" s="15"/>
      <c r="K506" s="21"/>
      <c r="L506" s="15"/>
    </row>
    <row r="507" spans="1:12" x14ac:dyDescent="0.3">
      <c r="A507" s="19"/>
      <c r="B507" s="15"/>
      <c r="C507" s="15"/>
      <c r="D507" s="15"/>
      <c r="E507" s="15"/>
      <c r="F507" s="15"/>
      <c r="G507" s="15"/>
      <c r="H507" s="15"/>
      <c r="I507" s="15"/>
      <c r="J507" s="15"/>
      <c r="K507" s="21"/>
      <c r="L507" s="15"/>
    </row>
    <row r="508" spans="1:12" x14ac:dyDescent="0.3">
      <c r="A508" s="19"/>
      <c r="B508" s="15"/>
      <c r="C508" s="15"/>
      <c r="D508" s="15"/>
      <c r="E508" s="15"/>
      <c r="F508" s="15"/>
      <c r="G508" s="15"/>
      <c r="H508" s="15"/>
      <c r="I508" s="15"/>
      <c r="J508" s="15"/>
      <c r="K508" s="21"/>
      <c r="L508" s="15"/>
    </row>
    <row r="509" spans="1:12" x14ac:dyDescent="0.3">
      <c r="A509" s="19"/>
      <c r="B509" s="15"/>
      <c r="C509" s="15"/>
      <c r="D509" s="15"/>
      <c r="E509" s="15"/>
      <c r="F509" s="15"/>
      <c r="G509" s="15"/>
      <c r="H509" s="15"/>
      <c r="I509" s="15"/>
      <c r="J509" s="15"/>
      <c r="K509" s="21"/>
      <c r="L509" s="15"/>
    </row>
    <row r="510" spans="1:12" x14ac:dyDescent="0.3">
      <c r="A510" s="19"/>
      <c r="B510" s="15"/>
      <c r="C510" s="15"/>
      <c r="D510" s="15"/>
      <c r="E510" s="15"/>
      <c r="F510" s="15"/>
      <c r="G510" s="15"/>
      <c r="H510" s="15"/>
      <c r="I510" s="15"/>
      <c r="J510" s="15"/>
      <c r="K510" s="21"/>
      <c r="L510" s="15"/>
    </row>
    <row r="511" spans="1:12" x14ac:dyDescent="0.3">
      <c r="A511" s="19"/>
      <c r="B511" s="15"/>
      <c r="C511" s="15"/>
      <c r="D511" s="15"/>
      <c r="E511" s="15"/>
      <c r="F511" s="15"/>
      <c r="G511" s="15"/>
      <c r="H511" s="15"/>
      <c r="I511" s="15"/>
      <c r="J511" s="15"/>
      <c r="K511" s="21"/>
      <c r="L511" s="15"/>
    </row>
    <row r="512" spans="1:12" x14ac:dyDescent="0.3">
      <c r="A512" s="19"/>
      <c r="B512" s="15"/>
      <c r="C512" s="15"/>
      <c r="D512" s="15"/>
      <c r="E512" s="15"/>
      <c r="F512" s="15"/>
      <c r="G512" s="15"/>
      <c r="H512" s="15"/>
      <c r="I512" s="15"/>
      <c r="J512" s="15"/>
      <c r="K512" s="21"/>
      <c r="L512" s="15"/>
    </row>
    <row r="513" spans="1:12" x14ac:dyDescent="0.3">
      <c r="A513" s="19"/>
      <c r="B513" s="15"/>
      <c r="C513" s="15"/>
      <c r="D513" s="15"/>
      <c r="E513" s="15"/>
      <c r="F513" s="15"/>
      <c r="G513" s="15"/>
      <c r="H513" s="15"/>
      <c r="I513" s="15"/>
      <c r="J513" s="15"/>
      <c r="K513" s="21"/>
      <c r="L513" s="15"/>
    </row>
    <row r="514" spans="1:12" x14ac:dyDescent="0.3">
      <c r="A514" s="19"/>
      <c r="B514" s="15"/>
      <c r="C514" s="15"/>
      <c r="D514" s="15"/>
      <c r="E514" s="15"/>
      <c r="F514" s="15"/>
      <c r="G514" s="15"/>
      <c r="H514" s="15"/>
      <c r="I514" s="15"/>
      <c r="J514" s="15"/>
      <c r="K514" s="21"/>
      <c r="L514" s="15"/>
    </row>
    <row r="515" spans="1:12" x14ac:dyDescent="0.3">
      <c r="A515" s="19"/>
      <c r="B515" s="15"/>
      <c r="C515" s="15"/>
      <c r="D515" s="15"/>
      <c r="E515" s="15"/>
      <c r="F515" s="15"/>
      <c r="G515" s="15"/>
      <c r="H515" s="15"/>
      <c r="I515" s="15"/>
      <c r="J515" s="15"/>
      <c r="K515" s="21"/>
      <c r="L515" s="15"/>
    </row>
    <row r="516" spans="1:12" x14ac:dyDescent="0.3">
      <c r="A516" s="19"/>
      <c r="B516" s="15"/>
      <c r="C516" s="15"/>
      <c r="D516" s="15"/>
      <c r="E516" s="15"/>
      <c r="F516" s="15"/>
      <c r="G516" s="15"/>
      <c r="H516" s="15"/>
      <c r="I516" s="15"/>
      <c r="J516" s="15"/>
      <c r="K516" s="21"/>
      <c r="L516" s="15"/>
    </row>
    <row r="517" spans="1:12" x14ac:dyDescent="0.3">
      <c r="A517" s="19"/>
      <c r="B517" s="15"/>
      <c r="C517" s="15"/>
      <c r="D517" s="15"/>
      <c r="E517" s="15"/>
      <c r="F517" s="15"/>
      <c r="G517" s="15"/>
      <c r="H517" s="15"/>
      <c r="I517" s="15"/>
      <c r="J517" s="15"/>
      <c r="K517" s="21"/>
      <c r="L517" s="15"/>
    </row>
    <row r="518" spans="1:12" x14ac:dyDescent="0.3">
      <c r="A518" s="19"/>
      <c r="B518" s="15"/>
      <c r="C518" s="15"/>
      <c r="D518" s="15"/>
      <c r="E518" s="15"/>
      <c r="F518" s="15"/>
      <c r="G518" s="15"/>
      <c r="H518" s="15"/>
      <c r="I518" s="15"/>
      <c r="J518" s="15"/>
      <c r="K518" s="21"/>
      <c r="L518" s="15"/>
    </row>
    <row r="519" spans="1:12" x14ac:dyDescent="0.3">
      <c r="A519" s="19"/>
      <c r="B519" s="15"/>
      <c r="C519" s="15"/>
      <c r="D519" s="15"/>
      <c r="E519" s="15"/>
      <c r="F519" s="15"/>
      <c r="G519" s="15"/>
      <c r="H519" s="15"/>
      <c r="I519" s="15"/>
      <c r="J519" s="15"/>
      <c r="K519" s="21"/>
      <c r="L519" s="15"/>
    </row>
    <row r="520" spans="1:12" x14ac:dyDescent="0.3">
      <c r="A520" s="19"/>
      <c r="B520" s="15"/>
      <c r="C520" s="15"/>
      <c r="D520" s="15"/>
      <c r="E520" s="15"/>
      <c r="F520" s="15"/>
      <c r="G520" s="15"/>
      <c r="H520" s="15"/>
      <c r="I520" s="15"/>
      <c r="J520" s="15"/>
      <c r="K520" s="21"/>
      <c r="L520" s="15"/>
    </row>
    <row r="521" spans="1:12" x14ac:dyDescent="0.3">
      <c r="A521" s="19"/>
      <c r="B521" s="15"/>
      <c r="C521" s="15"/>
      <c r="D521" s="15"/>
      <c r="E521" s="15"/>
      <c r="F521" s="15"/>
      <c r="G521" s="15"/>
      <c r="H521" s="15"/>
      <c r="I521" s="15"/>
      <c r="J521" s="15"/>
      <c r="K521" s="21"/>
      <c r="L521" s="15"/>
    </row>
    <row r="522" spans="1:12" x14ac:dyDescent="0.3">
      <c r="A522" s="19"/>
      <c r="B522" s="15"/>
      <c r="C522" s="15"/>
      <c r="D522" s="15"/>
      <c r="E522" s="15"/>
      <c r="F522" s="15"/>
      <c r="G522" s="15"/>
      <c r="H522" s="15"/>
      <c r="I522" s="15"/>
      <c r="J522" s="15"/>
      <c r="K522" s="21"/>
      <c r="L522" s="15"/>
    </row>
    <row r="523" spans="1:12" x14ac:dyDescent="0.3">
      <c r="A523" s="19"/>
      <c r="B523" s="15"/>
      <c r="C523" s="15"/>
      <c r="D523" s="15"/>
      <c r="E523" s="15"/>
      <c r="F523" s="15"/>
      <c r="G523" s="15"/>
      <c r="H523" s="15"/>
      <c r="I523" s="15"/>
      <c r="J523" s="15"/>
      <c r="K523" s="21"/>
      <c r="L523" s="15"/>
    </row>
    <row r="524" spans="1:12" x14ac:dyDescent="0.3">
      <c r="A524" s="19"/>
      <c r="B524" s="15"/>
      <c r="C524" s="15"/>
      <c r="D524" s="15"/>
      <c r="E524" s="15"/>
      <c r="F524" s="15"/>
      <c r="G524" s="15"/>
      <c r="H524" s="15"/>
      <c r="I524" s="15"/>
      <c r="J524" s="15"/>
      <c r="K524" s="21"/>
      <c r="L524" s="15"/>
    </row>
    <row r="525" spans="1:12" x14ac:dyDescent="0.3">
      <c r="A525" s="19"/>
      <c r="B525" s="15"/>
      <c r="C525" s="15"/>
      <c r="D525" s="15"/>
      <c r="E525" s="15"/>
      <c r="F525" s="15"/>
      <c r="G525" s="15"/>
      <c r="H525" s="15"/>
      <c r="I525" s="15"/>
      <c r="J525" s="15"/>
      <c r="K525" s="21"/>
      <c r="L525" s="15"/>
    </row>
    <row r="526" spans="1:12" x14ac:dyDescent="0.3">
      <c r="A526" s="19"/>
      <c r="B526" s="15"/>
      <c r="C526" s="15"/>
      <c r="D526" s="15"/>
      <c r="E526" s="15"/>
      <c r="F526" s="15"/>
      <c r="G526" s="15"/>
      <c r="H526" s="15"/>
      <c r="I526" s="15"/>
      <c r="J526" s="15"/>
      <c r="K526" s="21"/>
      <c r="L526" s="15"/>
    </row>
    <row r="527" spans="1:12" x14ac:dyDescent="0.3">
      <c r="A527" s="19"/>
      <c r="B527" s="15"/>
      <c r="C527" s="15"/>
      <c r="D527" s="15"/>
      <c r="E527" s="15"/>
      <c r="F527" s="15"/>
      <c r="G527" s="15"/>
      <c r="H527" s="15"/>
      <c r="I527" s="15"/>
      <c r="J527" s="15"/>
      <c r="K527" s="21"/>
      <c r="L527" s="15"/>
    </row>
    <row r="528" spans="1:12" x14ac:dyDescent="0.3">
      <c r="A528" s="19"/>
      <c r="B528" s="15"/>
      <c r="C528" s="15"/>
      <c r="D528" s="15"/>
      <c r="E528" s="15"/>
      <c r="F528" s="15"/>
      <c r="G528" s="15"/>
      <c r="H528" s="15"/>
      <c r="I528" s="15"/>
      <c r="J528" s="15"/>
      <c r="K528" s="21"/>
      <c r="L528" s="15"/>
    </row>
    <row r="529" spans="1:12" x14ac:dyDescent="0.3">
      <c r="A529" s="19"/>
      <c r="B529" s="15"/>
      <c r="C529" s="15"/>
      <c r="D529" s="15"/>
      <c r="E529" s="15"/>
      <c r="F529" s="15"/>
      <c r="G529" s="15"/>
      <c r="H529" s="15"/>
      <c r="I529" s="15"/>
      <c r="J529" s="15"/>
      <c r="K529" s="21"/>
      <c r="L529" s="15"/>
    </row>
    <row r="530" spans="1:12" x14ac:dyDescent="0.3">
      <c r="A530" s="19"/>
      <c r="B530" s="15"/>
      <c r="C530" s="15"/>
      <c r="D530" s="15"/>
      <c r="E530" s="15"/>
      <c r="F530" s="15"/>
      <c r="G530" s="15"/>
      <c r="H530" s="15"/>
      <c r="I530" s="15"/>
      <c r="J530" s="15"/>
      <c r="K530" s="21"/>
      <c r="L530" s="15"/>
    </row>
    <row r="531" spans="1:12" x14ac:dyDescent="0.3">
      <c r="A531" s="19"/>
      <c r="B531" s="15"/>
      <c r="C531" s="15"/>
      <c r="D531" s="15"/>
      <c r="E531" s="15"/>
      <c r="F531" s="15"/>
      <c r="G531" s="15"/>
      <c r="H531" s="15"/>
      <c r="I531" s="15"/>
      <c r="J531" s="15"/>
      <c r="K531" s="21"/>
      <c r="L531" s="15"/>
    </row>
    <row r="532" spans="1:12" x14ac:dyDescent="0.3">
      <c r="A532" s="19"/>
      <c r="B532" s="15"/>
      <c r="C532" s="15"/>
      <c r="D532" s="15"/>
      <c r="E532" s="15"/>
      <c r="F532" s="15"/>
      <c r="G532" s="15"/>
      <c r="H532" s="15"/>
      <c r="I532" s="15"/>
      <c r="J532" s="15"/>
      <c r="K532" s="21"/>
      <c r="L532" s="15"/>
    </row>
    <row r="533" spans="1:12" x14ac:dyDescent="0.3">
      <c r="A533" s="19"/>
      <c r="B533" s="15"/>
      <c r="C533" s="15"/>
      <c r="D533" s="15"/>
      <c r="E533" s="15"/>
      <c r="F533" s="15"/>
      <c r="G533" s="15"/>
      <c r="H533" s="15"/>
      <c r="I533" s="15"/>
      <c r="J533" s="15"/>
      <c r="K533" s="21"/>
      <c r="L533" s="15"/>
    </row>
    <row r="534" spans="1:12" x14ac:dyDescent="0.3">
      <c r="A534" s="19"/>
      <c r="B534" s="15"/>
      <c r="C534" s="15"/>
      <c r="D534" s="15"/>
      <c r="E534" s="15"/>
      <c r="F534" s="15"/>
      <c r="G534" s="15"/>
      <c r="H534" s="15"/>
      <c r="I534" s="15"/>
      <c r="J534" s="15"/>
      <c r="K534" s="21"/>
      <c r="L534" s="15"/>
    </row>
    <row r="535" spans="1:12" x14ac:dyDescent="0.3">
      <c r="A535" s="19"/>
      <c r="B535" s="15"/>
      <c r="C535" s="15"/>
      <c r="D535" s="15"/>
      <c r="E535" s="15"/>
      <c r="F535" s="15"/>
      <c r="G535" s="15"/>
      <c r="H535" s="15"/>
      <c r="I535" s="15"/>
      <c r="J535" s="15"/>
      <c r="K535" s="21"/>
      <c r="L535" s="15"/>
    </row>
    <row r="536" spans="1:12" x14ac:dyDescent="0.3">
      <c r="A536" s="19"/>
      <c r="B536" s="15"/>
      <c r="C536" s="15"/>
      <c r="D536" s="15"/>
      <c r="E536" s="15"/>
      <c r="F536" s="15"/>
      <c r="G536" s="15"/>
      <c r="H536" s="15"/>
      <c r="I536" s="15"/>
      <c r="J536" s="15"/>
      <c r="K536" s="21"/>
      <c r="L536" s="15"/>
    </row>
    <row r="537" spans="1:12" x14ac:dyDescent="0.3">
      <c r="A537" s="19"/>
      <c r="B537" s="15"/>
      <c r="C537" s="15"/>
      <c r="D537" s="15"/>
      <c r="E537" s="15"/>
      <c r="F537" s="15"/>
      <c r="G537" s="15"/>
      <c r="H537" s="15"/>
      <c r="I537" s="15"/>
      <c r="J537" s="15"/>
      <c r="K537" s="21"/>
      <c r="L537" s="15"/>
    </row>
    <row r="538" spans="1:12" x14ac:dyDescent="0.3">
      <c r="A538" s="19"/>
      <c r="B538" s="15"/>
      <c r="C538" s="15"/>
      <c r="D538" s="15"/>
      <c r="E538" s="15"/>
      <c r="F538" s="15"/>
      <c r="G538" s="15"/>
      <c r="H538" s="15"/>
      <c r="I538" s="15"/>
      <c r="J538" s="15"/>
      <c r="K538" s="21"/>
      <c r="L538" s="15"/>
    </row>
    <row r="539" spans="1:12" x14ac:dyDescent="0.3">
      <c r="A539" s="19"/>
      <c r="B539" s="15"/>
      <c r="C539" s="15"/>
      <c r="D539" s="15"/>
      <c r="E539" s="15"/>
      <c r="F539" s="15"/>
      <c r="G539" s="15"/>
      <c r="H539" s="15"/>
      <c r="I539" s="15"/>
      <c r="J539" s="15"/>
      <c r="K539" s="21"/>
      <c r="L539" s="15"/>
    </row>
    <row r="540" spans="1:12" x14ac:dyDescent="0.3">
      <c r="A540" s="19"/>
      <c r="B540" s="15"/>
      <c r="C540" s="15"/>
      <c r="D540" s="15"/>
      <c r="E540" s="15"/>
      <c r="F540" s="15"/>
      <c r="G540" s="15"/>
      <c r="H540" s="15"/>
      <c r="I540" s="15"/>
      <c r="J540" s="15"/>
      <c r="K540" s="21"/>
      <c r="L540" s="15"/>
    </row>
    <row r="541" spans="1:12" x14ac:dyDescent="0.3">
      <c r="A541" s="19"/>
      <c r="B541" s="15"/>
      <c r="C541" s="15"/>
      <c r="D541" s="15"/>
      <c r="E541" s="15"/>
      <c r="F541" s="15"/>
      <c r="G541" s="15"/>
      <c r="H541" s="15"/>
      <c r="I541" s="15"/>
      <c r="J541" s="15"/>
      <c r="K541" s="21"/>
      <c r="L541" s="15"/>
    </row>
    <row r="542" spans="1:12" x14ac:dyDescent="0.3">
      <c r="A542" s="19"/>
      <c r="B542" s="15"/>
      <c r="C542" s="15"/>
      <c r="D542" s="15"/>
      <c r="E542" s="15"/>
      <c r="F542" s="15"/>
      <c r="G542" s="15"/>
      <c r="H542" s="15"/>
      <c r="I542" s="15"/>
      <c r="J542" s="15"/>
      <c r="K542" s="21"/>
      <c r="L542" s="15"/>
    </row>
    <row r="543" spans="1:12" x14ac:dyDescent="0.3">
      <c r="A543" s="19"/>
      <c r="B543" s="15"/>
      <c r="C543" s="15"/>
      <c r="D543" s="15"/>
      <c r="E543" s="15"/>
      <c r="F543" s="15"/>
      <c r="G543" s="15"/>
      <c r="H543" s="15"/>
      <c r="I543" s="15"/>
      <c r="J543" s="15"/>
      <c r="K543" s="21"/>
      <c r="L543" s="15"/>
    </row>
    <row r="544" spans="1:12" x14ac:dyDescent="0.3">
      <c r="A544" s="19"/>
      <c r="B544" s="15"/>
      <c r="C544" s="15"/>
      <c r="D544" s="15"/>
      <c r="E544" s="15"/>
      <c r="F544" s="15"/>
      <c r="G544" s="15"/>
      <c r="H544" s="15"/>
      <c r="I544" s="15"/>
      <c r="J544" s="15"/>
      <c r="K544" s="21"/>
      <c r="L544" s="15"/>
    </row>
    <row r="545" spans="1:12" x14ac:dyDescent="0.3">
      <c r="A545" s="19"/>
      <c r="B545" s="15"/>
      <c r="C545" s="15"/>
      <c r="D545" s="15"/>
      <c r="E545" s="15"/>
      <c r="F545" s="15"/>
      <c r="G545" s="15"/>
      <c r="H545" s="15"/>
      <c r="I545" s="15"/>
      <c r="J545" s="15"/>
      <c r="K545" s="21"/>
      <c r="L545" s="15"/>
    </row>
    <row r="546" spans="1:12" x14ac:dyDescent="0.3">
      <c r="A546" s="19"/>
      <c r="B546" s="15"/>
      <c r="C546" s="15"/>
      <c r="D546" s="15"/>
      <c r="E546" s="15"/>
      <c r="F546" s="15"/>
      <c r="G546" s="15"/>
      <c r="H546" s="15"/>
      <c r="I546" s="15"/>
      <c r="J546" s="15"/>
      <c r="K546" s="21"/>
      <c r="L546" s="15"/>
    </row>
    <row r="547" spans="1:12" x14ac:dyDescent="0.3">
      <c r="A547" s="19"/>
      <c r="B547" s="15"/>
      <c r="C547" s="15"/>
      <c r="D547" s="15"/>
      <c r="E547" s="15"/>
      <c r="F547" s="15"/>
      <c r="G547" s="15"/>
      <c r="H547" s="15"/>
      <c r="I547" s="15"/>
      <c r="J547" s="15"/>
      <c r="K547" s="21"/>
      <c r="L547" s="15"/>
    </row>
    <row r="548" spans="1:12" x14ac:dyDescent="0.3">
      <c r="A548" s="19"/>
      <c r="B548" s="15"/>
      <c r="C548" s="15"/>
      <c r="D548" s="15"/>
      <c r="E548" s="15"/>
      <c r="F548" s="15"/>
      <c r="G548" s="15"/>
      <c r="H548" s="15"/>
      <c r="I548" s="15"/>
      <c r="J548" s="15"/>
      <c r="K548" s="21"/>
      <c r="L548" s="15"/>
    </row>
    <row r="549" spans="1:12" x14ac:dyDescent="0.3">
      <c r="A549" s="19"/>
      <c r="B549" s="15"/>
      <c r="C549" s="15"/>
      <c r="D549" s="15"/>
      <c r="E549" s="15"/>
      <c r="F549" s="15"/>
      <c r="G549" s="15"/>
      <c r="H549" s="15"/>
      <c r="I549" s="15"/>
      <c r="J549" s="15"/>
      <c r="K549" s="21"/>
      <c r="L549" s="15"/>
    </row>
    <row r="550" spans="1:12" x14ac:dyDescent="0.3">
      <c r="A550" s="19"/>
      <c r="B550" s="15"/>
      <c r="C550" s="15"/>
      <c r="D550" s="15"/>
      <c r="E550" s="15"/>
      <c r="F550" s="15"/>
      <c r="G550" s="15"/>
      <c r="H550" s="15"/>
      <c r="I550" s="15"/>
      <c r="J550" s="15"/>
      <c r="K550" s="21"/>
      <c r="L550" s="15"/>
    </row>
    <row r="551" spans="1:12" x14ac:dyDescent="0.3">
      <c r="A551" s="19"/>
      <c r="B551" s="15"/>
      <c r="C551" s="15"/>
      <c r="D551" s="15"/>
      <c r="E551" s="15"/>
      <c r="F551" s="15"/>
      <c r="G551" s="15"/>
      <c r="H551" s="15"/>
      <c r="I551" s="15"/>
      <c r="J551" s="15"/>
      <c r="K551" s="21"/>
      <c r="L551" s="15"/>
    </row>
    <row r="552" spans="1:12" x14ac:dyDescent="0.3">
      <c r="A552" s="19"/>
      <c r="B552" s="15"/>
      <c r="C552" s="15"/>
      <c r="D552" s="15"/>
      <c r="E552" s="15"/>
      <c r="F552" s="15"/>
      <c r="G552" s="15"/>
      <c r="H552" s="15"/>
      <c r="I552" s="15"/>
      <c r="J552" s="15"/>
      <c r="K552" s="21"/>
      <c r="L552" s="15"/>
    </row>
    <row r="553" spans="1:12" x14ac:dyDescent="0.3">
      <c r="A553" s="19"/>
      <c r="B553" s="15"/>
      <c r="C553" s="15"/>
      <c r="D553" s="15"/>
      <c r="E553" s="15"/>
      <c r="F553" s="15"/>
      <c r="G553" s="15"/>
      <c r="H553" s="15"/>
      <c r="I553" s="15"/>
      <c r="J553" s="15"/>
      <c r="K553" s="21"/>
      <c r="L553" s="15"/>
    </row>
    <row r="554" spans="1:12" x14ac:dyDescent="0.3">
      <c r="A554" s="19"/>
      <c r="B554" s="15"/>
      <c r="C554" s="15"/>
      <c r="D554" s="15"/>
      <c r="E554" s="15"/>
      <c r="F554" s="15"/>
      <c r="G554" s="15"/>
      <c r="H554" s="15"/>
      <c r="I554" s="15"/>
      <c r="J554" s="15"/>
      <c r="K554" s="21"/>
      <c r="L554" s="15"/>
    </row>
    <row r="555" spans="1:12" x14ac:dyDescent="0.3">
      <c r="A555" s="19"/>
      <c r="B555" s="15"/>
      <c r="C555" s="15"/>
      <c r="D555" s="15"/>
      <c r="E555" s="15"/>
      <c r="F555" s="15"/>
      <c r="G555" s="15"/>
      <c r="H555" s="15"/>
      <c r="I555" s="15"/>
      <c r="J555" s="15"/>
      <c r="K555" s="21"/>
      <c r="L555" s="15"/>
    </row>
    <row r="556" spans="1:12" x14ac:dyDescent="0.3">
      <c r="A556" s="19"/>
      <c r="B556" s="15"/>
      <c r="C556" s="15"/>
      <c r="D556" s="15"/>
      <c r="E556" s="15"/>
      <c r="F556" s="15"/>
      <c r="G556" s="15"/>
      <c r="H556" s="15"/>
      <c r="I556" s="15"/>
      <c r="J556" s="15"/>
      <c r="K556" s="21"/>
      <c r="L556" s="15"/>
    </row>
    <row r="557" spans="1:12" x14ac:dyDescent="0.3">
      <c r="A557" s="19"/>
      <c r="B557" s="15"/>
      <c r="C557" s="15"/>
      <c r="D557" s="15"/>
      <c r="E557" s="15"/>
      <c r="F557" s="15"/>
      <c r="G557" s="15"/>
      <c r="H557" s="15"/>
      <c r="I557" s="15"/>
      <c r="J557" s="15"/>
      <c r="K557" s="21"/>
      <c r="L557" s="15"/>
    </row>
    <row r="558" spans="1:12" x14ac:dyDescent="0.3">
      <c r="A558" s="19"/>
      <c r="B558" s="15"/>
      <c r="C558" s="15"/>
      <c r="D558" s="15"/>
      <c r="E558" s="15"/>
      <c r="F558" s="15"/>
      <c r="G558" s="15"/>
      <c r="H558" s="15"/>
      <c r="I558" s="15"/>
      <c r="J558" s="15"/>
      <c r="K558" s="21"/>
      <c r="L558" s="15"/>
    </row>
    <row r="559" spans="1:12" x14ac:dyDescent="0.3">
      <c r="A559" s="19"/>
      <c r="B559" s="15"/>
      <c r="C559" s="15"/>
      <c r="D559" s="15"/>
      <c r="E559" s="15"/>
      <c r="F559" s="15"/>
      <c r="G559" s="15"/>
      <c r="H559" s="15"/>
      <c r="I559" s="15"/>
      <c r="J559" s="15"/>
      <c r="K559" s="21"/>
      <c r="L559" s="15"/>
    </row>
    <row r="560" spans="1:12" x14ac:dyDescent="0.3">
      <c r="A560" s="19"/>
      <c r="B560" s="15"/>
      <c r="C560" s="15"/>
      <c r="D560" s="15"/>
      <c r="E560" s="15"/>
      <c r="F560" s="15"/>
      <c r="G560" s="15"/>
      <c r="H560" s="15"/>
      <c r="I560" s="15"/>
      <c r="J560" s="15"/>
      <c r="K560" s="21"/>
      <c r="L560" s="15"/>
    </row>
    <row r="561" spans="1:12" x14ac:dyDescent="0.3">
      <c r="A561" s="19"/>
      <c r="B561" s="15"/>
      <c r="C561" s="15"/>
      <c r="D561" s="15"/>
      <c r="E561" s="15"/>
      <c r="F561" s="15"/>
      <c r="G561" s="15"/>
      <c r="H561" s="15"/>
      <c r="I561" s="15"/>
      <c r="J561" s="15"/>
      <c r="K561" s="21"/>
      <c r="L561" s="15"/>
    </row>
    <row r="562" spans="1:12" x14ac:dyDescent="0.3">
      <c r="A562" s="19"/>
      <c r="B562" s="15"/>
      <c r="C562" s="15"/>
      <c r="D562" s="15"/>
      <c r="E562" s="15"/>
      <c r="F562" s="15"/>
      <c r="G562" s="15"/>
      <c r="H562" s="15"/>
      <c r="I562" s="15"/>
      <c r="J562" s="15"/>
      <c r="K562" s="21"/>
      <c r="L562" s="15"/>
    </row>
    <row r="563" spans="1:12" x14ac:dyDescent="0.3">
      <c r="A563" s="19"/>
      <c r="B563" s="15"/>
      <c r="C563" s="15"/>
      <c r="D563" s="15"/>
      <c r="E563" s="15"/>
      <c r="F563" s="15"/>
      <c r="G563" s="15"/>
      <c r="H563" s="15"/>
      <c r="I563" s="15"/>
      <c r="J563" s="15"/>
      <c r="K563" s="21"/>
      <c r="L563" s="15"/>
    </row>
    <row r="564" spans="1:12" x14ac:dyDescent="0.3">
      <c r="A564" s="19"/>
      <c r="B564" s="15"/>
      <c r="C564" s="15"/>
      <c r="D564" s="15"/>
      <c r="E564" s="15"/>
      <c r="F564" s="15"/>
      <c r="G564" s="15"/>
      <c r="H564" s="15"/>
      <c r="I564" s="15"/>
      <c r="J564" s="15"/>
      <c r="K564" s="21"/>
      <c r="L564" s="15"/>
    </row>
    <row r="565" spans="1:12" x14ac:dyDescent="0.3">
      <c r="A565" s="19"/>
      <c r="B565" s="15"/>
      <c r="C565" s="15"/>
      <c r="D565" s="15"/>
      <c r="E565" s="15"/>
      <c r="F565" s="15"/>
      <c r="G565" s="15"/>
      <c r="H565" s="15"/>
      <c r="I565" s="15"/>
      <c r="J565" s="15"/>
      <c r="K565" s="21"/>
      <c r="L565" s="15"/>
    </row>
    <row r="566" spans="1:12" x14ac:dyDescent="0.3">
      <c r="A566" s="19"/>
      <c r="B566" s="15"/>
      <c r="C566" s="15"/>
      <c r="D566" s="15"/>
      <c r="E566" s="15"/>
      <c r="F566" s="15"/>
      <c r="G566" s="15"/>
      <c r="H566" s="15"/>
      <c r="I566" s="15"/>
      <c r="J566" s="15"/>
      <c r="K566" s="21"/>
      <c r="L566" s="15"/>
    </row>
    <row r="567" spans="1:12" x14ac:dyDescent="0.3">
      <c r="A567" s="19"/>
      <c r="B567" s="15"/>
      <c r="C567" s="15"/>
      <c r="D567" s="15"/>
      <c r="E567" s="15"/>
      <c r="F567" s="15"/>
      <c r="G567" s="15"/>
      <c r="H567" s="15"/>
      <c r="I567" s="15"/>
      <c r="J567" s="15"/>
      <c r="K567" s="21"/>
      <c r="L567" s="15"/>
    </row>
    <row r="568" spans="1:12" x14ac:dyDescent="0.3">
      <c r="A568" s="19"/>
      <c r="B568" s="15"/>
      <c r="C568" s="15"/>
      <c r="D568" s="15"/>
      <c r="E568" s="15"/>
      <c r="F568" s="15"/>
      <c r="G568" s="15"/>
      <c r="H568" s="15"/>
      <c r="I568" s="15"/>
      <c r="J568" s="15"/>
      <c r="K568" s="21"/>
      <c r="L568" s="15"/>
    </row>
    <row r="569" spans="1:12" x14ac:dyDescent="0.3">
      <c r="A569" s="19"/>
      <c r="B569" s="15"/>
      <c r="C569" s="15"/>
      <c r="D569" s="15"/>
      <c r="E569" s="15"/>
      <c r="F569" s="15"/>
      <c r="G569" s="15"/>
      <c r="H569" s="15"/>
      <c r="I569" s="15"/>
      <c r="J569" s="15"/>
      <c r="K569" s="21"/>
      <c r="L569" s="15"/>
    </row>
    <row r="570" spans="1:12" x14ac:dyDescent="0.3">
      <c r="A570" s="19"/>
      <c r="B570" s="15"/>
      <c r="C570" s="15"/>
      <c r="D570" s="15"/>
      <c r="E570" s="15"/>
      <c r="F570" s="15"/>
      <c r="G570" s="15"/>
      <c r="H570" s="15"/>
      <c r="I570" s="15"/>
      <c r="J570" s="15"/>
      <c r="K570" s="21"/>
      <c r="L570" s="15"/>
    </row>
    <row r="571" spans="1:12" x14ac:dyDescent="0.3">
      <c r="A571" s="19"/>
      <c r="B571" s="15"/>
      <c r="C571" s="15"/>
      <c r="D571" s="15"/>
      <c r="E571" s="15"/>
      <c r="F571" s="15"/>
      <c r="G571" s="15"/>
      <c r="H571" s="15"/>
      <c r="I571" s="15"/>
      <c r="J571" s="15"/>
      <c r="K571" s="21"/>
      <c r="L571" s="15"/>
    </row>
    <row r="572" spans="1:12" x14ac:dyDescent="0.3">
      <c r="A572" s="19"/>
      <c r="B572" s="15"/>
      <c r="C572" s="15"/>
      <c r="D572" s="15"/>
      <c r="E572" s="15"/>
      <c r="F572" s="15"/>
      <c r="G572" s="15"/>
      <c r="H572" s="15"/>
      <c r="I572" s="15"/>
      <c r="J572" s="15"/>
      <c r="K572" s="21"/>
      <c r="L572" s="15"/>
    </row>
    <row r="573" spans="1:12" x14ac:dyDescent="0.3">
      <c r="A573" s="19"/>
      <c r="B573" s="15"/>
      <c r="C573" s="15"/>
      <c r="D573" s="15"/>
      <c r="E573" s="15"/>
      <c r="F573" s="15"/>
      <c r="G573" s="15"/>
      <c r="H573" s="15"/>
      <c r="I573" s="15"/>
      <c r="J573" s="15"/>
      <c r="K573" s="21"/>
      <c r="L573" s="15"/>
    </row>
    <row r="574" spans="1:12" x14ac:dyDescent="0.3">
      <c r="A574" s="19"/>
      <c r="B574" s="15"/>
      <c r="C574" s="15"/>
      <c r="D574" s="15"/>
      <c r="E574" s="15"/>
      <c r="F574" s="15"/>
      <c r="G574" s="15"/>
      <c r="H574" s="15"/>
      <c r="I574" s="15"/>
      <c r="J574" s="15"/>
      <c r="K574" s="21"/>
      <c r="L574" s="15"/>
    </row>
    <row r="575" spans="1:12" x14ac:dyDescent="0.3">
      <c r="A575" s="19"/>
      <c r="B575" s="15"/>
      <c r="C575" s="15"/>
      <c r="D575" s="15"/>
      <c r="E575" s="15"/>
      <c r="F575" s="15"/>
      <c r="G575" s="15"/>
      <c r="H575" s="15"/>
      <c r="I575" s="15"/>
      <c r="J575" s="15"/>
      <c r="K575" s="21"/>
      <c r="L575" s="15"/>
    </row>
    <row r="576" spans="1:12" x14ac:dyDescent="0.3">
      <c r="A576" s="19"/>
      <c r="B576" s="15"/>
      <c r="C576" s="15"/>
      <c r="D576" s="15"/>
      <c r="E576" s="15"/>
      <c r="F576" s="15"/>
      <c r="G576" s="15"/>
      <c r="H576" s="15"/>
      <c r="I576" s="15"/>
      <c r="J576" s="15"/>
      <c r="K576" s="21"/>
      <c r="L576" s="15"/>
    </row>
    <row r="577" spans="1:12" x14ac:dyDescent="0.3">
      <c r="A577" s="19"/>
      <c r="B577" s="15"/>
      <c r="C577" s="15"/>
      <c r="D577" s="15"/>
      <c r="E577" s="15"/>
      <c r="F577" s="15"/>
      <c r="G577" s="15"/>
      <c r="H577" s="15"/>
      <c r="I577" s="15"/>
      <c r="J577" s="15"/>
      <c r="K577" s="21"/>
      <c r="L577" s="15"/>
    </row>
    <row r="578" spans="1:12" x14ac:dyDescent="0.3">
      <c r="A578" s="19"/>
      <c r="B578" s="15"/>
      <c r="C578" s="15"/>
      <c r="D578" s="15"/>
      <c r="E578" s="15"/>
      <c r="F578" s="15"/>
      <c r="G578" s="15"/>
      <c r="H578" s="15"/>
      <c r="I578" s="15"/>
      <c r="J578" s="15"/>
      <c r="K578" s="21"/>
      <c r="L578" s="15"/>
    </row>
    <row r="579" spans="1:12" x14ac:dyDescent="0.3">
      <c r="A579" s="19"/>
      <c r="B579" s="15"/>
      <c r="C579" s="15"/>
      <c r="D579" s="15"/>
      <c r="E579" s="15"/>
      <c r="F579" s="15"/>
      <c r="G579" s="15"/>
      <c r="H579" s="15"/>
      <c r="I579" s="15"/>
      <c r="J579" s="15"/>
      <c r="K579" s="21"/>
      <c r="L579" s="15"/>
    </row>
    <row r="580" spans="1:12" x14ac:dyDescent="0.3">
      <c r="A580" s="19"/>
      <c r="B580" s="15"/>
      <c r="C580" s="15"/>
      <c r="D580" s="15"/>
      <c r="E580" s="15"/>
      <c r="F580" s="15"/>
      <c r="G580" s="15"/>
      <c r="H580" s="15"/>
      <c r="I580" s="15"/>
      <c r="J580" s="15"/>
      <c r="K580" s="21"/>
      <c r="L580" s="15"/>
    </row>
    <row r="581" spans="1:12" x14ac:dyDescent="0.3">
      <c r="A581" s="19"/>
      <c r="B581" s="15"/>
      <c r="C581" s="15"/>
      <c r="D581" s="15"/>
      <c r="E581" s="15"/>
      <c r="F581" s="15"/>
      <c r="G581" s="15"/>
      <c r="H581" s="15"/>
      <c r="I581" s="15"/>
      <c r="J581" s="15"/>
      <c r="K581" s="21"/>
      <c r="L581" s="15"/>
    </row>
    <row r="582" spans="1:12" x14ac:dyDescent="0.3">
      <c r="A582" s="19"/>
      <c r="B582" s="15"/>
      <c r="C582" s="15"/>
      <c r="D582" s="15"/>
      <c r="E582" s="15"/>
      <c r="F582" s="15"/>
      <c r="G582" s="15"/>
      <c r="H582" s="15"/>
      <c r="I582" s="15"/>
      <c r="J582" s="15"/>
      <c r="K582" s="21"/>
      <c r="L582" s="15"/>
    </row>
    <row r="583" spans="1:12" x14ac:dyDescent="0.3">
      <c r="A583" s="19"/>
      <c r="B583" s="15"/>
      <c r="C583" s="15"/>
      <c r="D583" s="15"/>
      <c r="E583" s="15"/>
      <c r="F583" s="15"/>
      <c r="G583" s="15"/>
      <c r="H583" s="15"/>
      <c r="I583" s="15"/>
      <c r="J583" s="15"/>
      <c r="K583" s="21"/>
      <c r="L583" s="15"/>
    </row>
    <row r="584" spans="1:12" x14ac:dyDescent="0.3">
      <c r="A584" s="19"/>
      <c r="B584" s="15"/>
      <c r="C584" s="15"/>
      <c r="D584" s="15"/>
      <c r="E584" s="15"/>
      <c r="F584" s="15"/>
      <c r="G584" s="15"/>
      <c r="H584" s="15"/>
      <c r="I584" s="15"/>
      <c r="J584" s="15"/>
      <c r="K584" s="21"/>
      <c r="L584" s="15"/>
    </row>
    <row r="585" spans="1:12" x14ac:dyDescent="0.3">
      <c r="A585" s="19"/>
      <c r="B585" s="15"/>
      <c r="C585" s="15"/>
      <c r="D585" s="15"/>
      <c r="E585" s="15"/>
      <c r="F585" s="15"/>
      <c r="G585" s="15"/>
      <c r="H585" s="15"/>
      <c r="I585" s="15"/>
      <c r="J585" s="15"/>
      <c r="K585" s="21"/>
      <c r="L585" s="15"/>
    </row>
    <row r="586" spans="1:12" x14ac:dyDescent="0.3">
      <c r="A586" s="19"/>
      <c r="B586" s="15"/>
      <c r="C586" s="15"/>
      <c r="D586" s="15"/>
      <c r="E586" s="15"/>
      <c r="F586" s="15"/>
      <c r="G586" s="15"/>
      <c r="H586" s="15"/>
      <c r="I586" s="15"/>
      <c r="J586" s="15"/>
      <c r="K586" s="21"/>
      <c r="L586" s="15"/>
    </row>
    <row r="587" spans="1:12" x14ac:dyDescent="0.3">
      <c r="A587" s="19"/>
      <c r="B587" s="15"/>
      <c r="C587" s="15"/>
      <c r="D587" s="15"/>
      <c r="E587" s="15"/>
      <c r="F587" s="15"/>
      <c r="G587" s="15"/>
      <c r="H587" s="15"/>
      <c r="I587" s="15"/>
      <c r="J587" s="15"/>
      <c r="K587" s="21"/>
      <c r="L587" s="15"/>
    </row>
    <row r="588" spans="1:12" x14ac:dyDescent="0.3">
      <c r="A588" s="19"/>
      <c r="B588" s="15"/>
      <c r="C588" s="15"/>
      <c r="D588" s="15"/>
      <c r="E588" s="15"/>
      <c r="F588" s="15"/>
      <c r="G588" s="15"/>
      <c r="H588" s="15"/>
      <c r="I588" s="15"/>
      <c r="J588" s="15"/>
      <c r="K588" s="21"/>
      <c r="L588" s="15"/>
    </row>
    <row r="589" spans="1:12" x14ac:dyDescent="0.3">
      <c r="A589" s="19"/>
      <c r="B589" s="15"/>
      <c r="C589" s="15"/>
      <c r="D589" s="15"/>
      <c r="E589" s="15"/>
      <c r="F589" s="15"/>
      <c r="G589" s="15"/>
      <c r="H589" s="15"/>
      <c r="I589" s="15"/>
      <c r="J589" s="15"/>
      <c r="K589" s="21"/>
      <c r="L589" s="15"/>
    </row>
    <row r="590" spans="1:12" x14ac:dyDescent="0.3">
      <c r="A590" s="19"/>
      <c r="B590" s="15"/>
      <c r="C590" s="15"/>
      <c r="D590" s="15"/>
      <c r="E590" s="15"/>
      <c r="F590" s="15"/>
      <c r="G590" s="15"/>
      <c r="H590" s="15"/>
      <c r="I590" s="15"/>
      <c r="J590" s="15"/>
      <c r="K590" s="21"/>
      <c r="L590" s="15"/>
    </row>
    <row r="591" spans="1:12" x14ac:dyDescent="0.3">
      <c r="A591" s="19"/>
      <c r="B591" s="15"/>
      <c r="C591" s="15"/>
      <c r="D591" s="15"/>
      <c r="E591" s="15"/>
      <c r="F591" s="15"/>
      <c r="G591" s="15"/>
      <c r="H591" s="15"/>
      <c r="I591" s="15"/>
      <c r="J591" s="15"/>
      <c r="K591" s="21"/>
      <c r="L591" s="15"/>
    </row>
    <row r="592" spans="1:12" x14ac:dyDescent="0.3">
      <c r="A592" s="19"/>
      <c r="B592" s="15"/>
      <c r="C592" s="15"/>
      <c r="D592" s="15"/>
      <c r="E592" s="15"/>
      <c r="F592" s="15"/>
      <c r="G592" s="15"/>
      <c r="H592" s="15"/>
      <c r="I592" s="15"/>
      <c r="J592" s="15"/>
      <c r="K592" s="21"/>
      <c r="L592" s="15"/>
    </row>
    <row r="593" spans="1:12" x14ac:dyDescent="0.3">
      <c r="A593" s="19"/>
      <c r="B593" s="15"/>
      <c r="C593" s="15"/>
      <c r="D593" s="15"/>
      <c r="E593" s="15"/>
      <c r="F593" s="15"/>
      <c r="G593" s="15"/>
      <c r="H593" s="15"/>
      <c r="I593" s="15"/>
      <c r="J593" s="15"/>
      <c r="K593" s="21"/>
      <c r="L593" s="15"/>
    </row>
    <row r="594" spans="1:12" x14ac:dyDescent="0.3">
      <c r="A594" s="19"/>
      <c r="B594" s="15"/>
      <c r="C594" s="15"/>
      <c r="D594" s="15"/>
      <c r="E594" s="15"/>
      <c r="F594" s="15"/>
      <c r="G594" s="15"/>
      <c r="H594" s="15"/>
      <c r="I594" s="15"/>
      <c r="J594" s="15"/>
      <c r="K594" s="21"/>
      <c r="L594" s="15"/>
    </row>
    <row r="595" spans="1:12" x14ac:dyDescent="0.3">
      <c r="A595" s="19"/>
      <c r="B595" s="15"/>
      <c r="C595" s="15"/>
      <c r="D595" s="15"/>
      <c r="E595" s="15"/>
      <c r="F595" s="15"/>
      <c r="G595" s="15"/>
      <c r="H595" s="15"/>
      <c r="I595" s="15"/>
      <c r="J595" s="15"/>
      <c r="K595" s="21"/>
      <c r="L595" s="15"/>
    </row>
    <row r="596" spans="1:12" x14ac:dyDescent="0.3">
      <c r="A596" s="19"/>
      <c r="B596" s="15"/>
      <c r="C596" s="15"/>
      <c r="D596" s="15"/>
      <c r="E596" s="15"/>
      <c r="F596" s="15"/>
      <c r="G596" s="15"/>
      <c r="H596" s="15"/>
      <c r="I596" s="15"/>
      <c r="J596" s="15"/>
      <c r="K596" s="21"/>
      <c r="L596" s="15"/>
    </row>
    <row r="597" spans="1:12" x14ac:dyDescent="0.3">
      <c r="A597" s="19"/>
      <c r="B597" s="15"/>
      <c r="C597" s="15"/>
      <c r="D597" s="15"/>
      <c r="E597" s="15"/>
      <c r="F597" s="15"/>
      <c r="G597" s="15"/>
      <c r="H597" s="15"/>
      <c r="I597" s="15"/>
      <c r="J597" s="15"/>
      <c r="K597" s="21"/>
      <c r="L597" s="15"/>
    </row>
    <row r="598" spans="1:12" x14ac:dyDescent="0.3">
      <c r="A598" s="19"/>
      <c r="B598" s="15"/>
      <c r="C598" s="15"/>
      <c r="D598" s="15"/>
      <c r="E598" s="15"/>
      <c r="F598" s="15"/>
      <c r="G598" s="15"/>
      <c r="H598" s="15"/>
      <c r="I598" s="15"/>
      <c r="J598" s="15"/>
      <c r="K598" s="21"/>
      <c r="L598" s="15"/>
    </row>
    <row r="599" spans="1:12" x14ac:dyDescent="0.3">
      <c r="A599" s="19"/>
      <c r="B599" s="15"/>
      <c r="C599" s="15"/>
      <c r="D599" s="15"/>
      <c r="E599" s="15"/>
      <c r="F599" s="15"/>
      <c r="G599" s="15"/>
      <c r="H599" s="15"/>
      <c r="I599" s="15"/>
      <c r="J599" s="15"/>
      <c r="K599" s="21"/>
      <c r="L599" s="15"/>
    </row>
    <row r="600" spans="1:12" x14ac:dyDescent="0.3">
      <c r="A600" s="19"/>
      <c r="B600" s="15"/>
      <c r="C600" s="15"/>
      <c r="D600" s="15"/>
      <c r="E600" s="15"/>
      <c r="F600" s="15"/>
      <c r="G600" s="15"/>
      <c r="H600" s="15"/>
      <c r="I600" s="15"/>
      <c r="J600" s="15"/>
      <c r="K600" s="21"/>
      <c r="L600" s="15"/>
    </row>
    <row r="601" spans="1:12" x14ac:dyDescent="0.3">
      <c r="A601" s="19"/>
      <c r="B601" s="15"/>
      <c r="C601" s="15"/>
      <c r="D601" s="15"/>
      <c r="E601" s="15"/>
      <c r="F601" s="15"/>
      <c r="G601" s="15"/>
      <c r="H601" s="15"/>
      <c r="I601" s="15"/>
      <c r="J601" s="15"/>
      <c r="K601" s="21"/>
      <c r="L601" s="15"/>
    </row>
    <row r="602" spans="1:12" x14ac:dyDescent="0.3">
      <c r="A602" s="19"/>
      <c r="B602" s="15"/>
      <c r="C602" s="15"/>
      <c r="D602" s="15"/>
      <c r="E602" s="15"/>
      <c r="F602" s="15"/>
      <c r="G602" s="15"/>
      <c r="H602" s="15"/>
      <c r="I602" s="15"/>
      <c r="J602" s="15"/>
      <c r="K602" s="21"/>
      <c r="L602" s="15"/>
    </row>
    <row r="603" spans="1:12" x14ac:dyDescent="0.3">
      <c r="A603" s="19"/>
      <c r="B603" s="15"/>
      <c r="C603" s="15"/>
      <c r="D603" s="15"/>
      <c r="E603" s="15"/>
      <c r="F603" s="15"/>
      <c r="G603" s="15"/>
      <c r="H603" s="15"/>
      <c r="I603" s="15"/>
      <c r="J603" s="15"/>
      <c r="K603" s="21"/>
      <c r="L603" s="15"/>
    </row>
    <row r="604" spans="1:12" x14ac:dyDescent="0.3">
      <c r="A604" s="19"/>
      <c r="B604" s="15"/>
      <c r="C604" s="15"/>
      <c r="D604" s="15"/>
      <c r="E604" s="15"/>
      <c r="F604" s="15"/>
      <c r="G604" s="15"/>
      <c r="H604" s="15"/>
      <c r="I604" s="15"/>
      <c r="J604" s="15"/>
      <c r="K604" s="21"/>
      <c r="L604" s="15"/>
    </row>
    <row r="605" spans="1:12" x14ac:dyDescent="0.3">
      <c r="A605" s="19"/>
      <c r="B605" s="15"/>
      <c r="C605" s="15"/>
      <c r="D605" s="15"/>
      <c r="E605" s="15"/>
      <c r="F605" s="15"/>
      <c r="G605" s="15"/>
      <c r="H605" s="15"/>
      <c r="I605" s="15"/>
      <c r="J605" s="15"/>
      <c r="K605" s="21"/>
      <c r="L605" s="15"/>
    </row>
    <row r="606" spans="1:12" x14ac:dyDescent="0.3">
      <c r="A606" s="19"/>
      <c r="B606" s="15"/>
      <c r="C606" s="15"/>
      <c r="D606" s="15"/>
      <c r="E606" s="15"/>
      <c r="F606" s="15"/>
      <c r="G606" s="15"/>
      <c r="H606" s="15"/>
      <c r="I606" s="15"/>
      <c r="J606" s="15"/>
      <c r="K606" s="21"/>
      <c r="L606" s="15"/>
    </row>
    <row r="607" spans="1:12" x14ac:dyDescent="0.3">
      <c r="A607" s="19"/>
      <c r="B607" s="15"/>
      <c r="C607" s="15"/>
      <c r="D607" s="15"/>
      <c r="E607" s="15"/>
      <c r="F607" s="15"/>
      <c r="G607" s="15"/>
      <c r="H607" s="15"/>
      <c r="I607" s="15"/>
      <c r="J607" s="15"/>
      <c r="K607" s="21"/>
      <c r="L607" s="15"/>
    </row>
    <row r="608" spans="1:12" x14ac:dyDescent="0.3">
      <c r="A608" s="19"/>
      <c r="B608" s="15"/>
      <c r="C608" s="15"/>
      <c r="D608" s="15"/>
      <c r="E608" s="15"/>
      <c r="F608" s="15"/>
      <c r="G608" s="15"/>
      <c r="H608" s="15"/>
      <c r="I608" s="15"/>
      <c r="J608" s="15"/>
      <c r="K608" s="21"/>
      <c r="L608" s="15"/>
    </row>
    <row r="609" spans="1:12" x14ac:dyDescent="0.3">
      <c r="A609" s="19"/>
      <c r="B609" s="15"/>
      <c r="C609" s="15"/>
      <c r="D609" s="15"/>
      <c r="E609" s="15"/>
      <c r="F609" s="15"/>
      <c r="G609" s="15"/>
      <c r="H609" s="15"/>
      <c r="I609" s="15"/>
      <c r="J609" s="15"/>
      <c r="K609" s="21"/>
      <c r="L609" s="15"/>
    </row>
    <row r="610" spans="1:12" x14ac:dyDescent="0.3">
      <c r="A610" s="19"/>
      <c r="B610" s="15"/>
      <c r="C610" s="15"/>
      <c r="D610" s="15"/>
      <c r="E610" s="15"/>
      <c r="F610" s="15"/>
      <c r="G610" s="15"/>
      <c r="H610" s="15"/>
      <c r="I610" s="15"/>
      <c r="J610" s="15"/>
      <c r="K610" s="21"/>
      <c r="L610" s="15"/>
    </row>
    <row r="611" spans="1:12" x14ac:dyDescent="0.3">
      <c r="A611" s="19"/>
      <c r="B611" s="15"/>
      <c r="C611" s="15"/>
      <c r="D611" s="15"/>
      <c r="E611" s="15"/>
      <c r="F611" s="15"/>
      <c r="G611" s="15"/>
      <c r="H611" s="15"/>
      <c r="I611" s="15"/>
      <c r="J611" s="15"/>
      <c r="K611" s="21"/>
      <c r="L611" s="15"/>
    </row>
    <row r="612" spans="1:12" x14ac:dyDescent="0.3">
      <c r="A612" s="19"/>
      <c r="B612" s="15"/>
      <c r="C612" s="15"/>
      <c r="D612" s="15"/>
      <c r="E612" s="15"/>
      <c r="F612" s="15"/>
      <c r="G612" s="15"/>
      <c r="H612" s="15"/>
      <c r="I612" s="15"/>
      <c r="J612" s="15"/>
      <c r="K612" s="21"/>
      <c r="L612" s="15"/>
    </row>
    <row r="613" spans="1:12" x14ac:dyDescent="0.3">
      <c r="A613" s="19"/>
      <c r="B613" s="15"/>
      <c r="C613" s="15"/>
      <c r="D613" s="15"/>
      <c r="E613" s="15"/>
      <c r="F613" s="15"/>
      <c r="G613" s="15"/>
      <c r="H613" s="15"/>
      <c r="I613" s="15"/>
      <c r="J613" s="15"/>
      <c r="K613" s="21"/>
      <c r="L613" s="15"/>
    </row>
    <row r="614" spans="1:12" x14ac:dyDescent="0.3">
      <c r="A614" s="19"/>
      <c r="B614" s="15"/>
      <c r="C614" s="15"/>
      <c r="D614" s="15"/>
      <c r="E614" s="15"/>
      <c r="F614" s="15"/>
      <c r="G614" s="15"/>
      <c r="H614" s="15"/>
      <c r="I614" s="15"/>
      <c r="J614" s="15"/>
      <c r="K614" s="21"/>
      <c r="L614" s="15"/>
    </row>
    <row r="615" spans="1:12" x14ac:dyDescent="0.3">
      <c r="A615" s="19"/>
      <c r="B615" s="15"/>
      <c r="C615" s="15"/>
      <c r="D615" s="15"/>
      <c r="E615" s="15"/>
      <c r="F615" s="15"/>
      <c r="G615" s="15"/>
      <c r="H615" s="15"/>
      <c r="I615" s="15"/>
      <c r="J615" s="15"/>
      <c r="K615" s="21"/>
      <c r="L615" s="15"/>
    </row>
    <row r="616" spans="1:12" x14ac:dyDescent="0.3">
      <c r="A616" s="19"/>
      <c r="B616" s="15"/>
      <c r="C616" s="15"/>
      <c r="D616" s="15"/>
      <c r="E616" s="15"/>
      <c r="F616" s="15"/>
      <c r="G616" s="15"/>
      <c r="H616" s="15"/>
      <c r="I616" s="15"/>
      <c r="J616" s="15"/>
      <c r="K616" s="21"/>
      <c r="L616" s="15"/>
    </row>
    <row r="617" spans="1:12" x14ac:dyDescent="0.3">
      <c r="A617" s="19"/>
      <c r="B617" s="15"/>
      <c r="C617" s="15"/>
      <c r="D617" s="15"/>
      <c r="E617" s="15"/>
      <c r="F617" s="15"/>
      <c r="G617" s="15"/>
      <c r="H617" s="15"/>
      <c r="I617" s="15"/>
      <c r="J617" s="15"/>
      <c r="K617" s="21"/>
      <c r="L617" s="15"/>
    </row>
    <row r="618" spans="1:12" x14ac:dyDescent="0.3">
      <c r="A618" s="19"/>
      <c r="B618" s="15"/>
      <c r="C618" s="15"/>
      <c r="D618" s="15"/>
      <c r="E618" s="15"/>
      <c r="F618" s="15"/>
      <c r="G618" s="15"/>
      <c r="H618" s="15"/>
      <c r="I618" s="15"/>
      <c r="J618" s="15"/>
      <c r="K618" s="21"/>
      <c r="L618" s="15"/>
    </row>
    <row r="619" spans="1:12" x14ac:dyDescent="0.3">
      <c r="A619" s="19"/>
      <c r="B619" s="15"/>
      <c r="C619" s="15"/>
      <c r="D619" s="15"/>
      <c r="E619" s="15"/>
      <c r="F619" s="15"/>
      <c r="G619" s="15"/>
      <c r="H619" s="15"/>
      <c r="I619" s="15"/>
      <c r="J619" s="15"/>
      <c r="K619" s="21"/>
      <c r="L619" s="15"/>
    </row>
    <row r="620" spans="1:12" x14ac:dyDescent="0.3">
      <c r="A620" s="19"/>
      <c r="B620" s="15"/>
      <c r="C620" s="15"/>
      <c r="D620" s="15"/>
      <c r="E620" s="15"/>
      <c r="F620" s="15"/>
      <c r="G620" s="15"/>
      <c r="H620" s="15"/>
      <c r="I620" s="15"/>
      <c r="J620" s="15"/>
      <c r="K620" s="21"/>
      <c r="L620" s="15"/>
    </row>
    <row r="621" spans="1:12" x14ac:dyDescent="0.3">
      <c r="A621" s="19"/>
      <c r="B621" s="15"/>
      <c r="C621" s="15"/>
      <c r="D621" s="15"/>
      <c r="E621" s="15"/>
      <c r="F621" s="15"/>
      <c r="G621" s="15"/>
      <c r="H621" s="15"/>
      <c r="I621" s="15"/>
      <c r="J621" s="15"/>
      <c r="K621" s="21"/>
      <c r="L621" s="15"/>
    </row>
    <row r="622" spans="1:12" x14ac:dyDescent="0.3">
      <c r="A622" s="19"/>
      <c r="B622" s="15"/>
      <c r="C622" s="15"/>
      <c r="D622" s="15"/>
      <c r="E622" s="15"/>
      <c r="F622" s="15"/>
      <c r="G622" s="15"/>
      <c r="H622" s="15"/>
      <c r="I622" s="15"/>
      <c r="J622" s="15"/>
      <c r="K622" s="21"/>
      <c r="L622" s="15"/>
    </row>
    <row r="623" spans="1:12" x14ac:dyDescent="0.3">
      <c r="A623" s="19"/>
      <c r="B623" s="15"/>
      <c r="C623" s="15"/>
      <c r="D623" s="15"/>
      <c r="E623" s="15"/>
      <c r="F623" s="15"/>
      <c r="G623" s="15"/>
      <c r="H623" s="15"/>
      <c r="I623" s="15"/>
      <c r="J623" s="15"/>
      <c r="K623" s="21"/>
      <c r="L623" s="15"/>
    </row>
    <row r="624" spans="1:12" x14ac:dyDescent="0.3">
      <c r="A624" s="19"/>
      <c r="B624" s="15"/>
      <c r="C624" s="15"/>
      <c r="D624" s="15"/>
      <c r="E624" s="15"/>
      <c r="F624" s="15"/>
      <c r="G624" s="15"/>
      <c r="H624" s="15"/>
      <c r="I624" s="15"/>
      <c r="J624" s="15"/>
      <c r="K624" s="21"/>
      <c r="L624" s="15"/>
    </row>
    <row r="625" spans="1:12" x14ac:dyDescent="0.3">
      <c r="A625" s="19"/>
      <c r="B625" s="15"/>
      <c r="C625" s="15"/>
      <c r="D625" s="15"/>
      <c r="E625" s="15"/>
      <c r="F625" s="15"/>
      <c r="G625" s="15"/>
      <c r="H625" s="15"/>
      <c r="I625" s="15"/>
      <c r="J625" s="15"/>
      <c r="K625" s="21"/>
      <c r="L625" s="15"/>
    </row>
    <row r="626" spans="1:12" x14ac:dyDescent="0.3">
      <c r="A626" s="19"/>
      <c r="B626" s="15"/>
      <c r="C626" s="15"/>
      <c r="D626" s="15"/>
      <c r="E626" s="15"/>
      <c r="F626" s="15"/>
      <c r="G626" s="15"/>
      <c r="H626" s="15"/>
      <c r="I626" s="15"/>
      <c r="J626" s="15"/>
      <c r="K626" s="21"/>
      <c r="L626" s="15"/>
    </row>
    <row r="627" spans="1:12" x14ac:dyDescent="0.3">
      <c r="A627" s="19"/>
      <c r="B627" s="15"/>
      <c r="C627" s="15"/>
      <c r="D627" s="15"/>
      <c r="E627" s="15"/>
      <c r="F627" s="15"/>
      <c r="G627" s="15"/>
      <c r="H627" s="15"/>
      <c r="I627" s="15"/>
      <c r="J627" s="15"/>
      <c r="K627" s="21"/>
      <c r="L627" s="15"/>
    </row>
    <row r="628" spans="1:12" x14ac:dyDescent="0.3">
      <c r="A628" s="19"/>
      <c r="B628" s="15"/>
      <c r="C628" s="15"/>
      <c r="D628" s="15"/>
      <c r="E628" s="15"/>
      <c r="F628" s="15"/>
      <c r="G628" s="15"/>
      <c r="H628" s="15"/>
      <c r="I628" s="15"/>
      <c r="J628" s="15"/>
      <c r="K628" s="21"/>
      <c r="L628" s="15"/>
    </row>
    <row r="629" spans="1:12" x14ac:dyDescent="0.3">
      <c r="A629" s="19"/>
      <c r="B629" s="15"/>
      <c r="C629" s="15"/>
      <c r="D629" s="15"/>
      <c r="E629" s="15"/>
      <c r="F629" s="15"/>
      <c r="G629" s="15"/>
      <c r="H629" s="15"/>
      <c r="I629" s="15"/>
      <c r="J629" s="15"/>
      <c r="K629" s="21"/>
      <c r="L629" s="15"/>
    </row>
    <row r="630" spans="1:12" x14ac:dyDescent="0.3">
      <c r="A630" s="19"/>
      <c r="B630" s="15"/>
      <c r="C630" s="15"/>
      <c r="D630" s="15"/>
      <c r="E630" s="15"/>
      <c r="F630" s="15"/>
      <c r="G630" s="15"/>
      <c r="H630" s="15"/>
      <c r="I630" s="15"/>
      <c r="J630" s="15"/>
      <c r="K630" s="21"/>
      <c r="L630" s="15"/>
    </row>
    <row r="631" spans="1:12" x14ac:dyDescent="0.3">
      <c r="A631" s="19"/>
      <c r="B631" s="15"/>
      <c r="C631" s="15"/>
      <c r="D631" s="15"/>
      <c r="E631" s="15"/>
      <c r="F631" s="15"/>
      <c r="G631" s="15"/>
      <c r="H631" s="15"/>
      <c r="I631" s="15"/>
      <c r="J631" s="15"/>
      <c r="K631" s="21"/>
      <c r="L631" s="15"/>
    </row>
    <row r="632" spans="1:12" x14ac:dyDescent="0.3">
      <c r="A632" s="19"/>
      <c r="B632" s="15"/>
      <c r="C632" s="15"/>
      <c r="D632" s="15"/>
      <c r="E632" s="15"/>
      <c r="F632" s="15"/>
      <c r="G632" s="15"/>
      <c r="H632" s="15"/>
      <c r="I632" s="15"/>
      <c r="J632" s="15"/>
      <c r="K632" s="21"/>
      <c r="L632" s="15"/>
    </row>
    <row r="633" spans="1:12" x14ac:dyDescent="0.3">
      <c r="A633" s="19"/>
      <c r="B633" s="15"/>
      <c r="C633" s="15"/>
      <c r="D633" s="15"/>
      <c r="E633" s="15"/>
      <c r="F633" s="15"/>
      <c r="G633" s="15"/>
      <c r="H633" s="15"/>
      <c r="I633" s="15"/>
      <c r="J633" s="15"/>
      <c r="K633" s="21"/>
      <c r="L633" s="15"/>
    </row>
    <row r="634" spans="1:12" x14ac:dyDescent="0.3">
      <c r="A634" s="19"/>
      <c r="B634" s="15"/>
      <c r="C634" s="15"/>
      <c r="D634" s="15"/>
      <c r="E634" s="15"/>
      <c r="F634" s="15"/>
      <c r="G634" s="15"/>
      <c r="H634" s="15"/>
      <c r="I634" s="15"/>
      <c r="J634" s="15"/>
      <c r="K634" s="21"/>
      <c r="L634" s="15"/>
    </row>
    <row r="635" spans="1:12" x14ac:dyDescent="0.3">
      <c r="A635" s="19"/>
      <c r="B635" s="15"/>
      <c r="C635" s="15"/>
      <c r="D635" s="15"/>
      <c r="E635" s="15"/>
      <c r="F635" s="15"/>
      <c r="G635" s="15"/>
      <c r="H635" s="15"/>
      <c r="I635" s="15"/>
      <c r="J635" s="15"/>
      <c r="K635" s="21"/>
      <c r="L635" s="15"/>
    </row>
    <row r="636" spans="1:12" x14ac:dyDescent="0.3">
      <c r="A636" s="19"/>
      <c r="B636" s="15"/>
      <c r="C636" s="15"/>
      <c r="D636" s="15"/>
      <c r="E636" s="15"/>
      <c r="F636" s="15"/>
      <c r="G636" s="15"/>
      <c r="H636" s="15"/>
      <c r="I636" s="15"/>
      <c r="J636" s="15"/>
      <c r="K636" s="21"/>
      <c r="L636" s="15"/>
    </row>
    <row r="637" spans="1:12" x14ac:dyDescent="0.3">
      <c r="A637" s="19"/>
      <c r="B637" s="15"/>
      <c r="C637" s="15"/>
      <c r="D637" s="15"/>
      <c r="E637" s="15"/>
      <c r="F637" s="15"/>
      <c r="G637" s="15"/>
      <c r="H637" s="15"/>
      <c r="I637" s="15"/>
      <c r="J637" s="15"/>
      <c r="K637" s="21"/>
      <c r="L637" s="15"/>
    </row>
    <row r="638" spans="1:12" x14ac:dyDescent="0.3">
      <c r="A638" s="19"/>
      <c r="B638" s="15"/>
      <c r="C638" s="15"/>
      <c r="D638" s="15"/>
      <c r="E638" s="15"/>
      <c r="F638" s="15"/>
      <c r="G638" s="15"/>
      <c r="H638" s="15"/>
      <c r="I638" s="15"/>
      <c r="J638" s="15"/>
      <c r="K638" s="21"/>
      <c r="L638" s="15"/>
    </row>
    <row r="639" spans="1:12" x14ac:dyDescent="0.3">
      <c r="A639" s="19"/>
      <c r="B639" s="15"/>
      <c r="C639" s="15"/>
      <c r="D639" s="15"/>
      <c r="E639" s="15"/>
      <c r="F639" s="15"/>
      <c r="G639" s="15"/>
      <c r="H639" s="15"/>
      <c r="I639" s="15"/>
      <c r="J639" s="15"/>
      <c r="K639" s="21"/>
      <c r="L639" s="15"/>
    </row>
    <row r="640" spans="1:12" x14ac:dyDescent="0.3">
      <c r="A640" s="19"/>
      <c r="B640" s="15"/>
      <c r="C640" s="15"/>
      <c r="D640" s="15"/>
      <c r="E640" s="15"/>
      <c r="F640" s="15"/>
      <c r="G640" s="15"/>
      <c r="H640" s="15"/>
      <c r="I640" s="15"/>
      <c r="J640" s="15"/>
      <c r="K640" s="21"/>
      <c r="L640" s="15"/>
    </row>
    <row r="641" spans="1:12" x14ac:dyDescent="0.3">
      <c r="A641" s="19"/>
      <c r="B641" s="15"/>
      <c r="C641" s="15"/>
      <c r="D641" s="15"/>
      <c r="E641" s="15"/>
      <c r="F641" s="15"/>
      <c r="G641" s="15"/>
      <c r="H641" s="15"/>
      <c r="I641" s="15"/>
      <c r="J641" s="15"/>
      <c r="K641" s="21"/>
      <c r="L641" s="15"/>
    </row>
    <row r="642" spans="1:12" x14ac:dyDescent="0.3">
      <c r="A642" s="19"/>
      <c r="B642" s="15"/>
      <c r="C642" s="15"/>
      <c r="D642" s="15"/>
      <c r="E642" s="15"/>
      <c r="F642" s="15"/>
      <c r="G642" s="15"/>
      <c r="H642" s="15"/>
      <c r="I642" s="15"/>
      <c r="J642" s="15"/>
      <c r="K642" s="21"/>
      <c r="L642" s="15"/>
    </row>
    <row r="643" spans="1:12" x14ac:dyDescent="0.3">
      <c r="A643" s="19"/>
      <c r="B643" s="15"/>
      <c r="C643" s="15"/>
      <c r="D643" s="15"/>
      <c r="E643" s="15"/>
      <c r="F643" s="15"/>
      <c r="G643" s="15"/>
      <c r="H643" s="15"/>
      <c r="I643" s="15"/>
      <c r="J643" s="15"/>
      <c r="K643" s="21"/>
      <c r="L643" s="15"/>
    </row>
    <row r="644" spans="1:12" x14ac:dyDescent="0.3">
      <c r="A644" s="19"/>
      <c r="B644" s="15"/>
      <c r="C644" s="15"/>
      <c r="D644" s="15"/>
      <c r="E644" s="15"/>
      <c r="F644" s="15"/>
      <c r="G644" s="15"/>
      <c r="H644" s="15"/>
      <c r="I644" s="15"/>
      <c r="J644" s="15"/>
      <c r="K644" s="21"/>
      <c r="L644" s="15"/>
    </row>
    <row r="645" spans="1:12" x14ac:dyDescent="0.3">
      <c r="A645" s="19"/>
      <c r="B645" s="15"/>
      <c r="C645" s="15"/>
      <c r="D645" s="15"/>
      <c r="E645" s="15"/>
      <c r="F645" s="15"/>
      <c r="G645" s="15"/>
      <c r="H645" s="15"/>
      <c r="I645" s="15"/>
      <c r="J645" s="15"/>
      <c r="K645" s="21"/>
      <c r="L645" s="15"/>
    </row>
    <row r="646" spans="1:12" x14ac:dyDescent="0.3">
      <c r="A646" s="19"/>
      <c r="B646" s="15"/>
      <c r="C646" s="15"/>
      <c r="D646" s="15"/>
      <c r="E646" s="15"/>
      <c r="F646" s="15"/>
      <c r="G646" s="15"/>
      <c r="H646" s="15"/>
      <c r="I646" s="15"/>
      <c r="J646" s="15"/>
      <c r="K646" s="21"/>
      <c r="L646" s="15"/>
    </row>
    <row r="647" spans="1:12" x14ac:dyDescent="0.3">
      <c r="A647" s="19"/>
      <c r="B647" s="15"/>
      <c r="C647" s="15"/>
      <c r="D647" s="15"/>
      <c r="E647" s="15"/>
      <c r="F647" s="15"/>
      <c r="G647" s="15"/>
      <c r="H647" s="15"/>
      <c r="I647" s="15"/>
      <c r="J647" s="15"/>
      <c r="K647" s="21"/>
      <c r="L647" s="15"/>
    </row>
    <row r="648" spans="1:12" x14ac:dyDescent="0.3">
      <c r="A648" s="19"/>
      <c r="B648" s="15"/>
      <c r="C648" s="15"/>
      <c r="D648" s="15"/>
      <c r="E648" s="15"/>
      <c r="F648" s="15"/>
      <c r="G648" s="15"/>
      <c r="H648" s="15"/>
      <c r="I648" s="15"/>
      <c r="J648" s="15"/>
      <c r="K648" s="21"/>
      <c r="L648" s="15"/>
    </row>
    <row r="649" spans="1:12" x14ac:dyDescent="0.3">
      <c r="A649" s="19"/>
      <c r="B649" s="15"/>
      <c r="C649" s="15"/>
      <c r="D649" s="15"/>
      <c r="E649" s="15"/>
      <c r="F649" s="15"/>
      <c r="G649" s="15"/>
      <c r="H649" s="15"/>
      <c r="I649" s="15"/>
      <c r="J649" s="15"/>
      <c r="K649" s="21"/>
      <c r="L649" s="15"/>
    </row>
    <row r="650" spans="1:12" x14ac:dyDescent="0.3">
      <c r="A650" s="19"/>
      <c r="B650" s="15"/>
      <c r="C650" s="15"/>
      <c r="D650" s="15"/>
      <c r="E650" s="15"/>
      <c r="F650" s="15"/>
      <c r="G650" s="15"/>
      <c r="H650" s="15"/>
      <c r="I650" s="15"/>
      <c r="J650" s="15"/>
      <c r="K650" s="21"/>
      <c r="L650" s="15"/>
    </row>
    <row r="651" spans="1:12" x14ac:dyDescent="0.3">
      <c r="A651" s="19"/>
      <c r="B651" s="15"/>
      <c r="C651" s="15"/>
      <c r="D651" s="15"/>
      <c r="E651" s="15"/>
      <c r="F651" s="15"/>
      <c r="G651" s="15"/>
      <c r="H651" s="15"/>
      <c r="I651" s="15"/>
      <c r="J651" s="15"/>
      <c r="K651" s="21"/>
      <c r="L651" s="15"/>
    </row>
    <row r="652" spans="1:12" x14ac:dyDescent="0.3">
      <c r="A652" s="19"/>
      <c r="B652" s="15"/>
      <c r="C652" s="15"/>
      <c r="D652" s="15"/>
      <c r="E652" s="15"/>
      <c r="F652" s="15"/>
      <c r="G652" s="15"/>
      <c r="H652" s="15"/>
      <c r="I652" s="15"/>
      <c r="J652" s="15"/>
      <c r="K652" s="21"/>
      <c r="L652" s="15"/>
    </row>
    <row r="653" spans="1:12" x14ac:dyDescent="0.3">
      <c r="A653" s="19"/>
      <c r="B653" s="15"/>
      <c r="C653" s="15"/>
      <c r="D653" s="15"/>
      <c r="E653" s="15"/>
      <c r="F653" s="15"/>
      <c r="G653" s="15"/>
      <c r="H653" s="15"/>
      <c r="I653" s="15"/>
      <c r="J653" s="15"/>
      <c r="K653" s="21"/>
      <c r="L653" s="15"/>
    </row>
    <row r="654" spans="1:12" x14ac:dyDescent="0.3">
      <c r="A654" s="19"/>
      <c r="B654" s="15"/>
      <c r="C654" s="15"/>
      <c r="D654" s="15"/>
      <c r="E654" s="15"/>
      <c r="F654" s="15"/>
      <c r="G654" s="15"/>
      <c r="H654" s="15"/>
      <c r="I654" s="15"/>
      <c r="J654" s="15"/>
      <c r="K654" s="21"/>
      <c r="L654" s="15"/>
    </row>
    <row r="655" spans="1:12" x14ac:dyDescent="0.3">
      <c r="A655" s="19"/>
      <c r="B655" s="15"/>
      <c r="C655" s="15"/>
      <c r="D655" s="15"/>
      <c r="E655" s="15"/>
      <c r="F655" s="15"/>
      <c r="G655" s="15"/>
      <c r="H655" s="15"/>
      <c r="I655" s="15"/>
      <c r="J655" s="15"/>
      <c r="K655" s="21"/>
      <c r="L655" s="15"/>
    </row>
    <row r="656" spans="1:12" x14ac:dyDescent="0.3">
      <c r="A656" s="19"/>
      <c r="B656" s="15"/>
      <c r="C656" s="15"/>
      <c r="D656" s="15"/>
      <c r="E656" s="15"/>
      <c r="F656" s="15"/>
      <c r="G656" s="15"/>
      <c r="H656" s="15"/>
      <c r="I656" s="15"/>
      <c r="J656" s="15"/>
      <c r="K656" s="21"/>
      <c r="L656" s="15"/>
    </row>
    <row r="657" spans="1:12" x14ac:dyDescent="0.3">
      <c r="A657" s="19"/>
      <c r="B657" s="15"/>
      <c r="C657" s="15"/>
      <c r="D657" s="15"/>
      <c r="E657" s="15"/>
      <c r="F657" s="15"/>
      <c r="G657" s="15"/>
      <c r="H657" s="15"/>
      <c r="I657" s="15"/>
      <c r="J657" s="15"/>
      <c r="K657" s="21"/>
      <c r="L657" s="15"/>
    </row>
    <row r="658" spans="1:12" x14ac:dyDescent="0.3">
      <c r="A658" s="19"/>
      <c r="B658" s="15"/>
      <c r="C658" s="15"/>
      <c r="D658" s="15"/>
      <c r="E658" s="15"/>
      <c r="F658" s="15"/>
      <c r="G658" s="15"/>
      <c r="H658" s="15"/>
      <c r="I658" s="15"/>
      <c r="J658" s="15"/>
      <c r="K658" s="21"/>
      <c r="L658" s="15"/>
    </row>
    <row r="659" spans="1:12" x14ac:dyDescent="0.3">
      <c r="A659" s="19"/>
      <c r="B659" s="15"/>
      <c r="C659" s="15"/>
      <c r="D659" s="15"/>
      <c r="E659" s="15"/>
      <c r="F659" s="15"/>
      <c r="G659" s="15"/>
      <c r="H659" s="15"/>
      <c r="I659" s="15"/>
      <c r="J659" s="15"/>
      <c r="K659" s="21"/>
      <c r="L659" s="15"/>
    </row>
    <row r="660" spans="1:12" x14ac:dyDescent="0.3">
      <c r="A660" s="19"/>
      <c r="B660" s="15"/>
      <c r="C660" s="15"/>
      <c r="D660" s="15"/>
      <c r="E660" s="15"/>
      <c r="F660" s="15"/>
      <c r="G660" s="15"/>
      <c r="H660" s="15"/>
      <c r="I660" s="15"/>
      <c r="J660" s="15"/>
      <c r="K660" s="21"/>
      <c r="L660" s="15"/>
    </row>
    <row r="661" spans="1:12" x14ac:dyDescent="0.3">
      <c r="A661" s="19"/>
      <c r="B661" s="15"/>
      <c r="C661" s="15"/>
      <c r="D661" s="15"/>
      <c r="E661" s="15"/>
      <c r="F661" s="15"/>
      <c r="G661" s="15"/>
      <c r="H661" s="15"/>
      <c r="I661" s="15"/>
      <c r="J661" s="15"/>
      <c r="K661" s="21"/>
      <c r="L661" s="15"/>
    </row>
    <row r="662" spans="1:12" x14ac:dyDescent="0.3">
      <c r="A662" s="19"/>
      <c r="B662" s="15"/>
      <c r="C662" s="15"/>
      <c r="D662" s="15"/>
      <c r="E662" s="15"/>
      <c r="F662" s="15"/>
      <c r="G662" s="15"/>
      <c r="H662" s="15"/>
      <c r="I662" s="15"/>
      <c r="J662" s="15"/>
      <c r="K662" s="21"/>
      <c r="L662" s="15"/>
    </row>
    <row r="663" spans="1:12" x14ac:dyDescent="0.3">
      <c r="A663" s="19"/>
      <c r="B663" s="15"/>
      <c r="C663" s="15"/>
      <c r="D663" s="15"/>
      <c r="E663" s="15"/>
      <c r="F663" s="15"/>
      <c r="G663" s="15"/>
      <c r="H663" s="15"/>
      <c r="I663" s="15"/>
      <c r="J663" s="15"/>
      <c r="K663" s="21"/>
      <c r="L663" s="15"/>
    </row>
    <row r="664" spans="1:12" x14ac:dyDescent="0.3">
      <c r="A664" s="19"/>
      <c r="B664" s="15"/>
      <c r="C664" s="15"/>
      <c r="D664" s="15"/>
      <c r="E664" s="15"/>
      <c r="F664" s="15"/>
      <c r="G664" s="15"/>
      <c r="H664" s="15"/>
      <c r="I664" s="15"/>
      <c r="J664" s="15"/>
      <c r="K664" s="21"/>
      <c r="L664" s="15"/>
    </row>
    <row r="665" spans="1:12" x14ac:dyDescent="0.3">
      <c r="A665" s="19"/>
      <c r="B665" s="15"/>
      <c r="C665" s="15"/>
      <c r="D665" s="15"/>
      <c r="E665" s="15"/>
      <c r="F665" s="15"/>
      <c r="G665" s="15"/>
      <c r="H665" s="15"/>
      <c r="I665" s="15"/>
      <c r="J665" s="15"/>
      <c r="K665" s="21"/>
      <c r="L665" s="15"/>
    </row>
    <row r="666" spans="1:12" x14ac:dyDescent="0.3">
      <c r="A666" s="19"/>
      <c r="B666" s="15"/>
      <c r="C666" s="15"/>
      <c r="D666" s="15"/>
      <c r="E666" s="15"/>
      <c r="F666" s="15"/>
      <c r="G666" s="15"/>
      <c r="H666" s="15"/>
      <c r="I666" s="15"/>
      <c r="J666" s="15"/>
      <c r="K666" s="21"/>
      <c r="L666" s="15"/>
    </row>
    <row r="667" spans="1:12" x14ac:dyDescent="0.3">
      <c r="A667" s="19"/>
      <c r="B667" s="15"/>
      <c r="C667" s="15"/>
      <c r="D667" s="15"/>
      <c r="E667" s="15"/>
      <c r="F667" s="15"/>
      <c r="G667" s="15"/>
      <c r="H667" s="15"/>
      <c r="I667" s="15"/>
      <c r="J667" s="15"/>
      <c r="K667" s="21"/>
      <c r="L667" s="15"/>
    </row>
    <row r="668" spans="1:12" x14ac:dyDescent="0.3">
      <c r="A668" s="19"/>
      <c r="B668" s="15"/>
      <c r="C668" s="15"/>
      <c r="D668" s="15"/>
      <c r="E668" s="15"/>
      <c r="F668" s="15"/>
      <c r="G668" s="15"/>
      <c r="H668" s="15"/>
      <c r="I668" s="15"/>
      <c r="J668" s="15"/>
      <c r="K668" s="21"/>
      <c r="L668" s="15"/>
    </row>
    <row r="669" spans="1:12" x14ac:dyDescent="0.3">
      <c r="A669" s="19"/>
      <c r="B669" s="15"/>
      <c r="C669" s="15"/>
      <c r="D669" s="15"/>
      <c r="E669" s="15"/>
      <c r="F669" s="15"/>
      <c r="G669" s="15"/>
      <c r="H669" s="15"/>
      <c r="I669" s="15"/>
      <c r="J669" s="15"/>
      <c r="K669" s="21"/>
      <c r="L669" s="15"/>
    </row>
    <row r="670" spans="1:12" x14ac:dyDescent="0.3">
      <c r="A670" s="19"/>
      <c r="B670" s="15"/>
      <c r="C670" s="15"/>
      <c r="D670" s="15"/>
      <c r="E670" s="15"/>
      <c r="F670" s="15"/>
      <c r="G670" s="15"/>
      <c r="H670" s="15"/>
      <c r="I670" s="15"/>
      <c r="J670" s="15"/>
      <c r="K670" s="21"/>
      <c r="L670" s="15"/>
    </row>
    <row r="671" spans="1:12" x14ac:dyDescent="0.3">
      <c r="A671" s="19"/>
      <c r="B671" s="15"/>
      <c r="C671" s="15"/>
      <c r="D671" s="15"/>
      <c r="E671" s="15"/>
      <c r="F671" s="15"/>
      <c r="G671" s="15"/>
      <c r="H671" s="15"/>
      <c r="I671" s="15"/>
      <c r="J671" s="15"/>
      <c r="K671" s="21"/>
      <c r="L671" s="15"/>
    </row>
    <row r="672" spans="1:12" x14ac:dyDescent="0.3">
      <c r="A672" s="19"/>
      <c r="B672" s="15"/>
      <c r="C672" s="15"/>
      <c r="D672" s="15"/>
      <c r="E672" s="15"/>
      <c r="F672" s="15"/>
      <c r="G672" s="15"/>
      <c r="H672" s="15"/>
      <c r="I672" s="15"/>
      <c r="J672" s="15"/>
      <c r="K672" s="21"/>
      <c r="L672" s="15"/>
    </row>
    <row r="673" spans="1:12" x14ac:dyDescent="0.3">
      <c r="A673" s="19"/>
      <c r="B673" s="15"/>
      <c r="C673" s="15"/>
      <c r="D673" s="15"/>
      <c r="E673" s="15"/>
      <c r="F673" s="15"/>
      <c r="G673" s="15"/>
      <c r="H673" s="15"/>
      <c r="I673" s="15"/>
      <c r="J673" s="15"/>
      <c r="K673" s="21"/>
      <c r="L673" s="15"/>
    </row>
    <row r="674" spans="1:12" x14ac:dyDescent="0.3">
      <c r="A674" s="19"/>
      <c r="B674" s="15"/>
      <c r="C674" s="15"/>
      <c r="D674" s="15"/>
      <c r="E674" s="15"/>
      <c r="F674" s="15"/>
      <c r="G674" s="15"/>
      <c r="H674" s="15"/>
      <c r="I674" s="15"/>
      <c r="J674" s="15"/>
      <c r="K674" s="21"/>
      <c r="L674" s="15"/>
    </row>
    <row r="675" spans="1:12" x14ac:dyDescent="0.3">
      <c r="A675" s="19"/>
      <c r="B675" s="15"/>
      <c r="C675" s="15"/>
      <c r="D675" s="15"/>
      <c r="E675" s="15"/>
      <c r="F675" s="15"/>
      <c r="G675" s="15"/>
      <c r="H675" s="15"/>
      <c r="I675" s="15"/>
      <c r="J675" s="15"/>
      <c r="K675" s="21"/>
      <c r="L675" s="15"/>
    </row>
    <row r="676" spans="1:12" x14ac:dyDescent="0.3">
      <c r="A676" s="19"/>
      <c r="B676" s="15"/>
      <c r="C676" s="15"/>
      <c r="D676" s="15"/>
      <c r="E676" s="15"/>
      <c r="F676" s="15"/>
      <c r="G676" s="15"/>
      <c r="H676" s="15"/>
      <c r="I676" s="15"/>
      <c r="J676" s="15"/>
      <c r="K676" s="21"/>
      <c r="L676" s="15"/>
    </row>
    <row r="677" spans="1:12" x14ac:dyDescent="0.3">
      <c r="A677" s="19"/>
      <c r="B677" s="15"/>
      <c r="C677" s="15"/>
      <c r="D677" s="15"/>
      <c r="E677" s="15"/>
      <c r="F677" s="15"/>
      <c r="G677" s="15"/>
      <c r="H677" s="15"/>
      <c r="I677" s="15"/>
      <c r="J677" s="15"/>
      <c r="K677" s="21"/>
      <c r="L677" s="15"/>
    </row>
    <row r="678" spans="1:12" x14ac:dyDescent="0.3">
      <c r="A678" s="19"/>
      <c r="B678" s="15"/>
      <c r="C678" s="15"/>
      <c r="D678" s="15"/>
      <c r="E678" s="15"/>
      <c r="F678" s="15"/>
      <c r="G678" s="15"/>
      <c r="H678" s="15"/>
      <c r="I678" s="15"/>
      <c r="J678" s="15"/>
      <c r="K678" s="21"/>
      <c r="L678" s="15"/>
    </row>
    <row r="679" spans="1:12" x14ac:dyDescent="0.3">
      <c r="A679" s="19"/>
      <c r="B679" s="15"/>
      <c r="C679" s="15"/>
      <c r="D679" s="15"/>
      <c r="E679" s="15"/>
      <c r="F679" s="15"/>
      <c r="G679" s="15"/>
      <c r="H679" s="15"/>
      <c r="I679" s="15"/>
      <c r="J679" s="15"/>
      <c r="K679" s="21"/>
      <c r="L679" s="15"/>
    </row>
    <row r="680" spans="1:12" x14ac:dyDescent="0.3">
      <c r="A680" s="19"/>
      <c r="B680" s="15"/>
      <c r="C680" s="15"/>
      <c r="D680" s="15"/>
      <c r="E680" s="15"/>
      <c r="F680" s="15"/>
      <c r="G680" s="15"/>
      <c r="H680" s="15"/>
      <c r="I680" s="15"/>
      <c r="J680" s="15"/>
      <c r="K680" s="21"/>
      <c r="L680" s="15"/>
    </row>
    <row r="681" spans="1:12" x14ac:dyDescent="0.3">
      <c r="A681" s="19"/>
      <c r="B681" s="15"/>
      <c r="C681" s="15"/>
      <c r="D681" s="15"/>
      <c r="E681" s="15"/>
      <c r="F681" s="15"/>
      <c r="G681" s="15"/>
      <c r="H681" s="15"/>
      <c r="I681" s="15"/>
      <c r="J681" s="15"/>
      <c r="K681" s="21"/>
      <c r="L681" s="15"/>
    </row>
    <row r="682" spans="1:12" x14ac:dyDescent="0.3">
      <c r="A682" s="19"/>
      <c r="B682" s="15"/>
      <c r="C682" s="15"/>
      <c r="D682" s="15"/>
      <c r="E682" s="15"/>
      <c r="F682" s="15"/>
      <c r="G682" s="15"/>
      <c r="H682" s="15"/>
      <c r="I682" s="15"/>
      <c r="J682" s="15"/>
      <c r="K682" s="21"/>
      <c r="L682" s="15"/>
    </row>
    <row r="683" spans="1:12" x14ac:dyDescent="0.3">
      <c r="A683" s="19"/>
      <c r="B683" s="15"/>
      <c r="C683" s="15"/>
      <c r="D683" s="15"/>
      <c r="E683" s="15"/>
      <c r="F683" s="15"/>
      <c r="G683" s="15"/>
      <c r="H683" s="15"/>
      <c r="I683" s="15"/>
      <c r="J683" s="15"/>
      <c r="K683" s="21"/>
      <c r="L683" s="15"/>
    </row>
    <row r="684" spans="1:12" x14ac:dyDescent="0.3">
      <c r="A684" s="19"/>
      <c r="B684" s="15"/>
      <c r="C684" s="15"/>
      <c r="D684" s="15"/>
      <c r="E684" s="15"/>
      <c r="F684" s="15"/>
      <c r="G684" s="15"/>
      <c r="H684" s="15"/>
      <c r="I684" s="15"/>
      <c r="J684" s="15"/>
      <c r="K684" s="21"/>
      <c r="L684" s="15"/>
    </row>
    <row r="685" spans="1:12" x14ac:dyDescent="0.3">
      <c r="A685" s="19"/>
      <c r="B685" s="15"/>
      <c r="C685" s="15"/>
      <c r="D685" s="15"/>
      <c r="E685" s="15"/>
      <c r="F685" s="15"/>
      <c r="G685" s="15"/>
      <c r="H685" s="15"/>
      <c r="I685" s="15"/>
      <c r="J685" s="15"/>
      <c r="K685" s="21"/>
      <c r="L685" s="15"/>
    </row>
    <row r="686" spans="1:12" x14ac:dyDescent="0.3">
      <c r="A686" s="19"/>
      <c r="B686" s="15"/>
      <c r="C686" s="15"/>
      <c r="D686" s="15"/>
      <c r="E686" s="15"/>
      <c r="F686" s="15"/>
      <c r="G686" s="15"/>
      <c r="H686" s="15"/>
      <c r="I686" s="15"/>
      <c r="J686" s="15"/>
      <c r="K686" s="21"/>
      <c r="L686" s="15"/>
    </row>
    <row r="687" spans="1:12" x14ac:dyDescent="0.3">
      <c r="A687" s="19"/>
      <c r="B687" s="15"/>
      <c r="C687" s="15"/>
      <c r="D687" s="15"/>
      <c r="E687" s="15"/>
      <c r="F687" s="15"/>
      <c r="G687" s="15"/>
      <c r="H687" s="15"/>
      <c r="I687" s="15"/>
      <c r="J687" s="15"/>
      <c r="K687" s="21"/>
      <c r="L687" s="15"/>
    </row>
    <row r="688" spans="1:12" x14ac:dyDescent="0.3">
      <c r="A688" s="19"/>
      <c r="B688" s="15"/>
      <c r="C688" s="15"/>
      <c r="D688" s="15"/>
      <c r="E688" s="15"/>
      <c r="F688" s="15"/>
      <c r="G688" s="15"/>
      <c r="H688" s="15"/>
      <c r="I688" s="15"/>
      <c r="J688" s="15"/>
      <c r="K688" s="21"/>
      <c r="L688" s="15"/>
    </row>
    <row r="689" spans="1:12" x14ac:dyDescent="0.3">
      <c r="A689" s="19"/>
      <c r="B689" s="15"/>
      <c r="C689" s="15"/>
      <c r="D689" s="15"/>
      <c r="E689" s="15"/>
      <c r="F689" s="15"/>
      <c r="G689" s="15"/>
      <c r="H689" s="15"/>
      <c r="I689" s="15"/>
      <c r="J689" s="15"/>
      <c r="K689" s="21"/>
      <c r="L689" s="15"/>
    </row>
    <row r="690" spans="1:12" x14ac:dyDescent="0.3">
      <c r="A690" s="19"/>
      <c r="B690" s="15"/>
      <c r="C690" s="15"/>
      <c r="D690" s="15"/>
      <c r="E690" s="15"/>
      <c r="F690" s="15"/>
      <c r="G690" s="15"/>
      <c r="H690" s="15"/>
      <c r="I690" s="15"/>
      <c r="J690" s="15"/>
      <c r="K690" s="21"/>
      <c r="L690" s="15"/>
    </row>
    <row r="691" spans="1:12" x14ac:dyDescent="0.3">
      <c r="A691" s="19"/>
      <c r="B691" s="15"/>
      <c r="C691" s="15"/>
      <c r="D691" s="15"/>
      <c r="E691" s="15"/>
      <c r="F691" s="15"/>
      <c r="G691" s="15"/>
      <c r="H691" s="15"/>
      <c r="I691" s="15"/>
      <c r="J691" s="15"/>
      <c r="K691" s="21"/>
      <c r="L691" s="15"/>
    </row>
    <row r="692" spans="1:12" x14ac:dyDescent="0.3">
      <c r="A692" s="19"/>
      <c r="B692" s="15"/>
      <c r="C692" s="15"/>
      <c r="D692" s="15"/>
      <c r="E692" s="15"/>
      <c r="F692" s="15"/>
      <c r="G692" s="15"/>
      <c r="H692" s="15"/>
      <c r="I692" s="15"/>
      <c r="J692" s="15"/>
      <c r="K692" s="21"/>
      <c r="L692" s="15"/>
    </row>
    <row r="693" spans="1:12" x14ac:dyDescent="0.3">
      <c r="A693" s="19"/>
      <c r="B693" s="15"/>
      <c r="C693" s="15"/>
      <c r="D693" s="15"/>
      <c r="E693" s="15"/>
      <c r="F693" s="15"/>
      <c r="G693" s="15"/>
      <c r="H693" s="15"/>
      <c r="I693" s="15"/>
      <c r="J693" s="15"/>
      <c r="K693" s="21"/>
      <c r="L693" s="15"/>
    </row>
    <row r="694" spans="1:12" x14ac:dyDescent="0.3">
      <c r="A694" s="19"/>
      <c r="B694" s="15"/>
      <c r="C694" s="15"/>
      <c r="D694" s="15"/>
      <c r="E694" s="15"/>
      <c r="F694" s="15"/>
      <c r="G694" s="15"/>
      <c r="H694" s="15"/>
      <c r="I694" s="15"/>
      <c r="J694" s="15"/>
      <c r="K694" s="21"/>
      <c r="L694" s="15"/>
    </row>
    <row r="695" spans="1:12" x14ac:dyDescent="0.3">
      <c r="A695" s="19"/>
      <c r="B695" s="15"/>
      <c r="C695" s="15"/>
      <c r="D695" s="15"/>
      <c r="E695" s="15"/>
      <c r="F695" s="15"/>
      <c r="G695" s="15"/>
      <c r="H695" s="15"/>
      <c r="I695" s="15"/>
      <c r="J695" s="15"/>
      <c r="K695" s="21"/>
      <c r="L695" s="15"/>
    </row>
    <row r="696" spans="1:12" x14ac:dyDescent="0.3">
      <c r="A696" s="19"/>
      <c r="B696" s="15"/>
      <c r="C696" s="15"/>
      <c r="D696" s="15"/>
      <c r="E696" s="15"/>
      <c r="F696" s="15"/>
      <c r="G696" s="15"/>
      <c r="H696" s="15"/>
      <c r="I696" s="15"/>
      <c r="J696" s="15"/>
      <c r="K696" s="21"/>
      <c r="L696" s="15"/>
    </row>
    <row r="697" spans="1:12" x14ac:dyDescent="0.3">
      <c r="A697" s="19"/>
      <c r="B697" s="15"/>
      <c r="C697" s="15"/>
      <c r="D697" s="15"/>
      <c r="E697" s="15"/>
      <c r="F697" s="15"/>
      <c r="G697" s="15"/>
      <c r="H697" s="15"/>
      <c r="I697" s="15"/>
      <c r="J697" s="15"/>
      <c r="K697" s="21"/>
      <c r="L697" s="15"/>
    </row>
    <row r="698" spans="1:12" x14ac:dyDescent="0.3">
      <c r="A698" s="19"/>
      <c r="B698" s="15"/>
      <c r="C698" s="15"/>
      <c r="D698" s="15"/>
      <c r="E698" s="15"/>
      <c r="F698" s="15"/>
      <c r="G698" s="15"/>
      <c r="H698" s="15"/>
      <c r="I698" s="15"/>
      <c r="J698" s="15"/>
      <c r="K698" s="21"/>
      <c r="L698" s="15"/>
    </row>
    <row r="699" spans="1:12" x14ac:dyDescent="0.3">
      <c r="A699" s="19"/>
      <c r="B699" s="15"/>
      <c r="C699" s="15"/>
      <c r="D699" s="15"/>
      <c r="E699" s="15"/>
      <c r="F699" s="15"/>
      <c r="G699" s="15"/>
      <c r="H699" s="15"/>
      <c r="I699" s="15"/>
      <c r="J699" s="15"/>
      <c r="K699" s="21"/>
      <c r="L699" s="15"/>
    </row>
    <row r="700" spans="1:12" x14ac:dyDescent="0.3">
      <c r="A700" s="19"/>
      <c r="B700" s="15"/>
      <c r="C700" s="15"/>
      <c r="D700" s="15"/>
      <c r="E700" s="15"/>
      <c r="F700" s="15"/>
      <c r="G700" s="15"/>
      <c r="H700" s="15"/>
      <c r="I700" s="15"/>
      <c r="J700" s="15"/>
      <c r="K700" s="21"/>
      <c r="L700" s="15"/>
    </row>
    <row r="701" spans="1:12" x14ac:dyDescent="0.3">
      <c r="A701" s="19"/>
      <c r="B701" s="15"/>
      <c r="C701" s="15"/>
      <c r="D701" s="15"/>
      <c r="E701" s="15"/>
      <c r="F701" s="15"/>
      <c r="G701" s="15"/>
      <c r="H701" s="15"/>
      <c r="I701" s="15"/>
      <c r="J701" s="15"/>
      <c r="K701" s="21"/>
      <c r="L701" s="15"/>
    </row>
    <row r="702" spans="1:12" x14ac:dyDescent="0.3">
      <c r="A702" s="19"/>
      <c r="B702" s="15"/>
      <c r="C702" s="15"/>
      <c r="D702" s="15"/>
      <c r="E702" s="15"/>
      <c r="F702" s="15"/>
      <c r="G702" s="15"/>
      <c r="H702" s="15"/>
      <c r="I702" s="15"/>
      <c r="J702" s="15"/>
      <c r="K702" s="21"/>
      <c r="L702" s="15"/>
    </row>
    <row r="703" spans="1:12" x14ac:dyDescent="0.3">
      <c r="A703" s="19"/>
      <c r="B703" s="15"/>
      <c r="C703" s="15"/>
      <c r="D703" s="15"/>
      <c r="E703" s="15"/>
      <c r="F703" s="15"/>
      <c r="G703" s="15"/>
      <c r="H703" s="15"/>
      <c r="I703" s="15"/>
      <c r="J703" s="15"/>
      <c r="K703" s="21"/>
      <c r="L703" s="15"/>
    </row>
    <row r="704" spans="1:12" x14ac:dyDescent="0.3">
      <c r="A704" s="19"/>
      <c r="B704" s="15"/>
      <c r="C704" s="15"/>
      <c r="D704" s="15"/>
      <c r="E704" s="15"/>
      <c r="F704" s="15"/>
      <c r="G704" s="15"/>
      <c r="H704" s="15"/>
      <c r="I704" s="15"/>
      <c r="J704" s="15"/>
      <c r="K704" s="21"/>
      <c r="L704" s="15"/>
    </row>
    <row r="705" spans="1:12" x14ac:dyDescent="0.3">
      <c r="A705" s="19"/>
      <c r="B705" s="15"/>
      <c r="C705" s="15"/>
      <c r="D705" s="15"/>
      <c r="E705" s="15"/>
      <c r="F705" s="15"/>
      <c r="G705" s="15"/>
      <c r="H705" s="15"/>
      <c r="I705" s="15"/>
      <c r="J705" s="15"/>
      <c r="K705" s="21"/>
      <c r="L705" s="15"/>
    </row>
    <row r="706" spans="1:12" x14ac:dyDescent="0.3">
      <c r="A706" s="19"/>
      <c r="B706" s="15"/>
      <c r="C706" s="15"/>
      <c r="D706" s="15"/>
      <c r="E706" s="15"/>
      <c r="F706" s="15"/>
      <c r="G706" s="15"/>
      <c r="H706" s="15"/>
      <c r="I706" s="15"/>
      <c r="J706" s="15"/>
      <c r="K706" s="21"/>
      <c r="L706" s="15"/>
    </row>
    <row r="707" spans="1:12" x14ac:dyDescent="0.3">
      <c r="A707" s="19"/>
      <c r="B707" s="15"/>
      <c r="C707" s="15"/>
      <c r="D707" s="15"/>
      <c r="E707" s="15"/>
      <c r="F707" s="15"/>
      <c r="G707" s="15"/>
      <c r="H707" s="15"/>
      <c r="I707" s="15"/>
      <c r="J707" s="15"/>
      <c r="K707" s="21"/>
      <c r="L707" s="15"/>
    </row>
    <row r="708" spans="1:12" x14ac:dyDescent="0.3">
      <c r="A708" s="19"/>
      <c r="B708" s="15"/>
      <c r="C708" s="15"/>
      <c r="D708" s="15"/>
      <c r="E708" s="15"/>
      <c r="F708" s="15"/>
      <c r="G708" s="15"/>
      <c r="H708" s="15"/>
      <c r="I708" s="15"/>
      <c r="J708" s="15"/>
      <c r="K708" s="21"/>
      <c r="L708" s="15"/>
    </row>
    <row r="709" spans="1:12" x14ac:dyDescent="0.3">
      <c r="A709" s="19"/>
      <c r="B709" s="15"/>
      <c r="C709" s="15"/>
      <c r="D709" s="15"/>
      <c r="E709" s="15"/>
      <c r="F709" s="15"/>
      <c r="G709" s="15"/>
      <c r="H709" s="15"/>
      <c r="I709" s="15"/>
      <c r="J709" s="15"/>
      <c r="K709" s="21"/>
      <c r="L709" s="15"/>
    </row>
    <row r="710" spans="1:12" x14ac:dyDescent="0.3">
      <c r="A710" s="19"/>
      <c r="B710" s="15"/>
      <c r="C710" s="15"/>
      <c r="D710" s="15"/>
      <c r="E710" s="15"/>
      <c r="F710" s="15"/>
      <c r="G710" s="15"/>
      <c r="H710" s="15"/>
      <c r="I710" s="15"/>
      <c r="J710" s="15"/>
      <c r="K710" s="21"/>
      <c r="L710" s="15"/>
    </row>
    <row r="711" spans="1:12" x14ac:dyDescent="0.3">
      <c r="A711" s="19"/>
      <c r="B711" s="15"/>
      <c r="C711" s="15"/>
      <c r="D711" s="15"/>
      <c r="E711" s="15"/>
      <c r="F711" s="15"/>
      <c r="G711" s="15"/>
      <c r="H711" s="15"/>
      <c r="I711" s="15"/>
      <c r="J711" s="15"/>
      <c r="K711" s="21"/>
      <c r="L711" s="15"/>
    </row>
    <row r="712" spans="1:12" x14ac:dyDescent="0.3">
      <c r="A712" s="19"/>
      <c r="B712" s="15"/>
      <c r="C712" s="15"/>
      <c r="D712" s="15"/>
      <c r="E712" s="15"/>
      <c r="F712" s="15"/>
      <c r="G712" s="15"/>
      <c r="H712" s="15"/>
      <c r="I712" s="15"/>
      <c r="J712" s="15"/>
      <c r="K712" s="21"/>
      <c r="L712" s="15"/>
    </row>
    <row r="713" spans="1:12" x14ac:dyDescent="0.3">
      <c r="A713" s="19"/>
      <c r="B713" s="15"/>
      <c r="C713" s="15"/>
      <c r="D713" s="15"/>
      <c r="E713" s="15"/>
      <c r="F713" s="15"/>
      <c r="G713" s="15"/>
      <c r="H713" s="15"/>
      <c r="I713" s="15"/>
      <c r="J713" s="15"/>
      <c r="K713" s="21"/>
      <c r="L713" s="15"/>
    </row>
    <row r="714" spans="1:12" x14ac:dyDescent="0.3">
      <c r="A714" s="19"/>
      <c r="B714" s="15"/>
      <c r="C714" s="15"/>
      <c r="D714" s="15"/>
      <c r="E714" s="15"/>
      <c r="F714" s="15"/>
      <c r="G714" s="15"/>
      <c r="H714" s="15"/>
      <c r="I714" s="15"/>
      <c r="J714" s="15"/>
      <c r="K714" s="21"/>
      <c r="L714" s="15"/>
    </row>
    <row r="715" spans="1:12" x14ac:dyDescent="0.3">
      <c r="A715" s="19"/>
      <c r="B715" s="15"/>
      <c r="C715" s="15"/>
      <c r="D715" s="15"/>
      <c r="E715" s="15"/>
      <c r="F715" s="15"/>
      <c r="G715" s="15"/>
      <c r="H715" s="15"/>
      <c r="I715" s="15"/>
      <c r="J715" s="15"/>
      <c r="K715" s="21"/>
      <c r="L715" s="15"/>
    </row>
    <row r="716" spans="1:12" x14ac:dyDescent="0.3">
      <c r="A716" s="19"/>
      <c r="B716" s="15"/>
      <c r="C716" s="15"/>
      <c r="D716" s="15"/>
      <c r="E716" s="15"/>
      <c r="F716" s="15"/>
      <c r="G716" s="15"/>
      <c r="H716" s="15"/>
      <c r="I716" s="15"/>
      <c r="J716" s="15"/>
      <c r="K716" s="21"/>
      <c r="L716" s="15"/>
    </row>
    <row r="717" spans="1:12" x14ac:dyDescent="0.3">
      <c r="A717" s="19"/>
      <c r="B717" s="15"/>
      <c r="C717" s="15"/>
      <c r="D717" s="15"/>
      <c r="E717" s="15"/>
      <c r="F717" s="15"/>
      <c r="G717" s="15"/>
      <c r="H717" s="15"/>
      <c r="I717" s="15"/>
      <c r="J717" s="15"/>
      <c r="K717" s="21"/>
      <c r="L717" s="15"/>
    </row>
    <row r="718" spans="1:12" x14ac:dyDescent="0.3">
      <c r="A718" s="19"/>
      <c r="B718" s="15"/>
      <c r="C718" s="15"/>
      <c r="D718" s="15"/>
      <c r="E718" s="15"/>
      <c r="F718" s="15"/>
      <c r="G718" s="15"/>
      <c r="H718" s="15"/>
      <c r="I718" s="15"/>
      <c r="J718" s="15"/>
      <c r="K718" s="21"/>
      <c r="L718" s="15"/>
    </row>
    <row r="719" spans="1:12" x14ac:dyDescent="0.3">
      <c r="A719" s="19"/>
      <c r="B719" s="15"/>
      <c r="C719" s="15"/>
      <c r="D719" s="15"/>
      <c r="E719" s="15"/>
      <c r="F719" s="15"/>
      <c r="G719" s="15"/>
      <c r="H719" s="15"/>
      <c r="I719" s="15"/>
      <c r="J719" s="15"/>
      <c r="K719" s="21"/>
      <c r="L719" s="15"/>
    </row>
    <row r="720" spans="1:12" x14ac:dyDescent="0.3">
      <c r="A720" s="19"/>
      <c r="B720" s="15"/>
      <c r="C720" s="15"/>
      <c r="D720" s="15"/>
      <c r="E720" s="15"/>
      <c r="F720" s="15"/>
      <c r="G720" s="15"/>
      <c r="H720" s="15"/>
      <c r="I720" s="15"/>
      <c r="J720" s="15"/>
      <c r="K720" s="21"/>
      <c r="L720" s="15"/>
    </row>
    <row r="721" spans="1:12" x14ac:dyDescent="0.3">
      <c r="A721" s="19"/>
      <c r="B721" s="15"/>
      <c r="C721" s="15"/>
      <c r="D721" s="15"/>
      <c r="E721" s="15"/>
      <c r="F721" s="15"/>
      <c r="G721" s="15"/>
      <c r="H721" s="15"/>
      <c r="I721" s="15"/>
      <c r="J721" s="15"/>
      <c r="K721" s="21"/>
      <c r="L721" s="15"/>
    </row>
    <row r="722" spans="1:12" x14ac:dyDescent="0.3">
      <c r="A722" s="19"/>
      <c r="B722" s="15"/>
      <c r="C722" s="15"/>
      <c r="D722" s="15"/>
      <c r="E722" s="15"/>
      <c r="F722" s="15"/>
      <c r="G722" s="15"/>
      <c r="H722" s="15"/>
      <c r="I722" s="15"/>
      <c r="J722" s="15"/>
      <c r="K722" s="21"/>
      <c r="L722" s="15"/>
    </row>
    <row r="723" spans="1:12" x14ac:dyDescent="0.3">
      <c r="A723" s="19"/>
      <c r="B723" s="15"/>
      <c r="C723" s="15"/>
      <c r="D723" s="15"/>
      <c r="E723" s="15"/>
      <c r="F723" s="15"/>
      <c r="G723" s="15"/>
      <c r="H723" s="15"/>
      <c r="I723" s="15"/>
      <c r="J723" s="15"/>
      <c r="K723" s="21"/>
      <c r="L723" s="15"/>
    </row>
    <row r="724" spans="1:12" x14ac:dyDescent="0.3">
      <c r="A724" s="19"/>
      <c r="B724" s="15"/>
      <c r="C724" s="15"/>
      <c r="D724" s="15"/>
      <c r="E724" s="15"/>
      <c r="F724" s="15"/>
      <c r="G724" s="15"/>
      <c r="H724" s="15"/>
      <c r="I724" s="15"/>
      <c r="J724" s="15"/>
      <c r="K724" s="21"/>
      <c r="L724" s="15"/>
    </row>
    <row r="725" spans="1:12" x14ac:dyDescent="0.3">
      <c r="A725" s="19"/>
      <c r="B725" s="15"/>
      <c r="C725" s="15"/>
      <c r="D725" s="15"/>
      <c r="E725" s="15"/>
      <c r="F725" s="15"/>
      <c r="G725" s="15"/>
      <c r="H725" s="15"/>
      <c r="I725" s="15"/>
      <c r="J725" s="15"/>
      <c r="K725" s="21"/>
      <c r="L725" s="15"/>
    </row>
    <row r="726" spans="1:12" x14ac:dyDescent="0.3">
      <c r="A726" s="19"/>
      <c r="B726" s="15"/>
      <c r="C726" s="15"/>
      <c r="D726" s="15"/>
      <c r="E726" s="15"/>
      <c r="F726" s="15"/>
      <c r="G726" s="15"/>
      <c r="H726" s="15"/>
      <c r="I726" s="15"/>
      <c r="J726" s="15"/>
      <c r="K726" s="21"/>
      <c r="L726" s="15"/>
    </row>
    <row r="727" spans="1:12" x14ac:dyDescent="0.3">
      <c r="A727" s="19"/>
      <c r="B727" s="15"/>
      <c r="C727" s="15"/>
      <c r="D727" s="15"/>
      <c r="E727" s="15"/>
      <c r="F727" s="15"/>
      <c r="G727" s="15"/>
      <c r="H727" s="15"/>
      <c r="I727" s="15"/>
      <c r="J727" s="15"/>
      <c r="K727" s="21"/>
      <c r="L727" s="15"/>
    </row>
    <row r="728" spans="1:12" x14ac:dyDescent="0.3">
      <c r="A728" s="19"/>
      <c r="B728" s="15"/>
      <c r="C728" s="15"/>
      <c r="D728" s="15"/>
      <c r="E728" s="15"/>
      <c r="F728" s="15"/>
      <c r="G728" s="15"/>
      <c r="H728" s="15"/>
      <c r="I728" s="15"/>
      <c r="J728" s="15"/>
      <c r="K728" s="21"/>
      <c r="L728" s="15"/>
    </row>
    <row r="729" spans="1:12" x14ac:dyDescent="0.3">
      <c r="A729" s="19"/>
      <c r="B729" s="15"/>
      <c r="C729" s="15"/>
      <c r="D729" s="15"/>
      <c r="E729" s="15"/>
      <c r="F729" s="15"/>
      <c r="G729" s="15"/>
      <c r="H729" s="15"/>
      <c r="I729" s="15"/>
      <c r="J729" s="15"/>
      <c r="K729" s="21"/>
      <c r="L729" s="15"/>
    </row>
    <row r="730" spans="1:12" x14ac:dyDescent="0.3">
      <c r="A730" s="19"/>
      <c r="B730" s="15"/>
      <c r="C730" s="15"/>
      <c r="D730" s="15"/>
      <c r="E730" s="15"/>
      <c r="F730" s="15"/>
      <c r="G730" s="15"/>
      <c r="H730" s="15"/>
      <c r="I730" s="15"/>
      <c r="J730" s="15"/>
      <c r="K730" s="21"/>
      <c r="L730" s="15"/>
    </row>
    <row r="731" spans="1:12" x14ac:dyDescent="0.3">
      <c r="A731" s="19"/>
      <c r="B731" s="15"/>
      <c r="C731" s="15"/>
      <c r="D731" s="15"/>
      <c r="E731" s="15"/>
      <c r="F731" s="15"/>
      <c r="G731" s="15"/>
      <c r="H731" s="15"/>
      <c r="I731" s="15"/>
      <c r="J731" s="15"/>
      <c r="K731" s="21"/>
      <c r="L731" s="15"/>
    </row>
    <row r="732" spans="1:12" x14ac:dyDescent="0.3">
      <c r="A732" s="19"/>
      <c r="B732" s="15"/>
      <c r="C732" s="15"/>
      <c r="D732" s="15"/>
      <c r="E732" s="15"/>
      <c r="F732" s="15"/>
      <c r="G732" s="15"/>
      <c r="H732" s="15"/>
      <c r="I732" s="15"/>
      <c r="J732" s="15"/>
      <c r="K732" s="21"/>
      <c r="L732" s="15"/>
    </row>
    <row r="733" spans="1:12" x14ac:dyDescent="0.3">
      <c r="A733" s="19"/>
      <c r="B733" s="15"/>
      <c r="C733" s="15"/>
      <c r="D733" s="15"/>
      <c r="E733" s="15"/>
      <c r="F733" s="15"/>
      <c r="G733" s="15"/>
      <c r="H733" s="15"/>
      <c r="I733" s="15"/>
      <c r="J733" s="15"/>
      <c r="K733" s="21"/>
      <c r="L733" s="15"/>
    </row>
    <row r="734" spans="1:12" x14ac:dyDescent="0.3">
      <c r="A734" s="19"/>
      <c r="B734" s="15"/>
      <c r="C734" s="15"/>
      <c r="D734" s="15"/>
      <c r="E734" s="15"/>
      <c r="F734" s="15"/>
      <c r="G734" s="15"/>
      <c r="H734" s="15"/>
      <c r="I734" s="15"/>
      <c r="J734" s="15"/>
      <c r="K734" s="21"/>
      <c r="L734" s="15"/>
    </row>
    <row r="735" spans="1:12" x14ac:dyDescent="0.3">
      <c r="A735" s="19"/>
      <c r="B735" s="15"/>
      <c r="C735" s="15"/>
      <c r="D735" s="15"/>
      <c r="E735" s="15"/>
      <c r="F735" s="15"/>
      <c r="G735" s="15"/>
      <c r="H735" s="15"/>
      <c r="I735" s="15"/>
      <c r="J735" s="15"/>
      <c r="K735" s="21"/>
      <c r="L735" s="15"/>
    </row>
    <row r="736" spans="1:12" x14ac:dyDescent="0.3">
      <c r="A736" s="19"/>
      <c r="B736" s="15"/>
      <c r="C736" s="15"/>
      <c r="D736" s="15"/>
      <c r="E736" s="15"/>
      <c r="F736" s="15"/>
      <c r="G736" s="15"/>
      <c r="H736" s="15"/>
      <c r="I736" s="15"/>
      <c r="J736" s="15"/>
      <c r="K736" s="21"/>
      <c r="L736" s="15"/>
    </row>
    <row r="737" spans="1:12" x14ac:dyDescent="0.3">
      <c r="A737" s="19"/>
      <c r="B737" s="15"/>
      <c r="C737" s="15"/>
      <c r="D737" s="15"/>
      <c r="E737" s="15"/>
      <c r="F737" s="15"/>
      <c r="G737" s="15"/>
      <c r="H737" s="15"/>
      <c r="I737" s="15"/>
      <c r="J737" s="15"/>
      <c r="K737" s="21"/>
      <c r="L737" s="15"/>
    </row>
    <row r="738" spans="1:12" x14ac:dyDescent="0.3">
      <c r="A738" s="19"/>
      <c r="B738" s="15"/>
      <c r="C738" s="15"/>
      <c r="D738" s="15"/>
      <c r="E738" s="15"/>
      <c r="F738" s="15"/>
      <c r="G738" s="15"/>
      <c r="H738" s="15"/>
      <c r="I738" s="15"/>
      <c r="J738" s="15"/>
      <c r="K738" s="21"/>
      <c r="L738" s="15"/>
    </row>
    <row r="739" spans="1:12" x14ac:dyDescent="0.3">
      <c r="A739" s="19"/>
      <c r="B739" s="15"/>
      <c r="C739" s="15"/>
      <c r="D739" s="15"/>
      <c r="E739" s="15"/>
      <c r="F739" s="15"/>
      <c r="G739" s="15"/>
      <c r="H739" s="15"/>
      <c r="I739" s="15"/>
      <c r="J739" s="15"/>
      <c r="K739" s="21"/>
      <c r="L739" s="15"/>
    </row>
    <row r="740" spans="1:12" x14ac:dyDescent="0.3">
      <c r="A740" s="19"/>
      <c r="B740" s="15"/>
      <c r="C740" s="15"/>
      <c r="D740" s="15"/>
      <c r="E740" s="15"/>
      <c r="F740" s="15"/>
      <c r="G740" s="15"/>
      <c r="H740" s="15"/>
      <c r="I740" s="15"/>
      <c r="J740" s="15"/>
      <c r="K740" s="21"/>
      <c r="L740" s="15"/>
    </row>
    <row r="741" spans="1:12" x14ac:dyDescent="0.3">
      <c r="A741" s="19"/>
      <c r="B741" s="15"/>
      <c r="C741" s="15"/>
      <c r="D741" s="15"/>
      <c r="E741" s="15"/>
      <c r="F741" s="15"/>
      <c r="G741" s="15"/>
      <c r="H741" s="15"/>
      <c r="I741" s="15"/>
      <c r="J741" s="15"/>
      <c r="K741" s="21"/>
      <c r="L741" s="15"/>
    </row>
    <row r="742" spans="1:12" x14ac:dyDescent="0.3">
      <c r="A742" s="19"/>
      <c r="B742" s="15"/>
      <c r="C742" s="15"/>
      <c r="D742" s="15"/>
      <c r="E742" s="15"/>
      <c r="F742" s="15"/>
      <c r="G742" s="15"/>
      <c r="H742" s="15"/>
      <c r="I742" s="15"/>
      <c r="J742" s="15"/>
      <c r="K742" s="21"/>
      <c r="L742" s="15"/>
    </row>
    <row r="743" spans="1:12" x14ac:dyDescent="0.3">
      <c r="A743" s="19"/>
      <c r="B743" s="15"/>
      <c r="C743" s="15"/>
      <c r="D743" s="15"/>
      <c r="E743" s="15"/>
      <c r="F743" s="15"/>
      <c r="G743" s="15"/>
      <c r="H743" s="15"/>
      <c r="I743" s="15"/>
      <c r="J743" s="15"/>
      <c r="K743" s="21"/>
      <c r="L743" s="15"/>
    </row>
    <row r="744" spans="1:12" x14ac:dyDescent="0.3">
      <c r="A744" s="19"/>
      <c r="B744" s="15"/>
      <c r="C744" s="15"/>
      <c r="D744" s="15"/>
      <c r="E744" s="15"/>
      <c r="F744" s="15"/>
      <c r="G744" s="15"/>
      <c r="H744" s="15"/>
      <c r="I744" s="15"/>
      <c r="J744" s="15"/>
      <c r="K744" s="21"/>
      <c r="L744" s="15"/>
    </row>
    <row r="745" spans="1:12" x14ac:dyDescent="0.3">
      <c r="A745" s="19"/>
      <c r="B745" s="15"/>
      <c r="C745" s="15"/>
      <c r="D745" s="15"/>
      <c r="E745" s="15"/>
      <c r="F745" s="15"/>
      <c r="G745" s="15"/>
      <c r="H745" s="15"/>
      <c r="I745" s="15"/>
      <c r="J745" s="15"/>
      <c r="K745" s="21"/>
      <c r="L745" s="15"/>
    </row>
    <row r="746" spans="1:12" x14ac:dyDescent="0.3">
      <c r="A746" s="19"/>
      <c r="B746" s="15"/>
      <c r="C746" s="15"/>
      <c r="D746" s="15"/>
      <c r="E746" s="15"/>
      <c r="F746" s="15"/>
      <c r="G746" s="15"/>
      <c r="H746" s="15"/>
      <c r="I746" s="15"/>
      <c r="J746" s="15"/>
      <c r="K746" s="21"/>
      <c r="L746" s="15"/>
    </row>
    <row r="747" spans="1:12" x14ac:dyDescent="0.3">
      <c r="A747" s="19"/>
      <c r="B747" s="15"/>
      <c r="C747" s="15"/>
      <c r="D747" s="15"/>
      <c r="E747" s="15"/>
      <c r="F747" s="15"/>
      <c r="G747" s="15"/>
      <c r="H747" s="15"/>
      <c r="I747" s="15"/>
      <c r="J747" s="15"/>
      <c r="K747" s="21"/>
      <c r="L747" s="15"/>
    </row>
    <row r="748" spans="1:12" x14ac:dyDescent="0.3">
      <c r="A748" s="19"/>
      <c r="B748" s="15"/>
      <c r="C748" s="15"/>
      <c r="D748" s="15"/>
      <c r="E748" s="15"/>
      <c r="F748" s="15"/>
      <c r="G748" s="15"/>
      <c r="H748" s="15"/>
      <c r="I748" s="15"/>
      <c r="J748" s="15"/>
      <c r="K748" s="21"/>
      <c r="L748" s="15"/>
    </row>
    <row r="749" spans="1:12" x14ac:dyDescent="0.3">
      <c r="A749" s="19"/>
      <c r="B749" s="15"/>
      <c r="C749" s="15"/>
      <c r="D749" s="15"/>
      <c r="E749" s="15"/>
      <c r="F749" s="15"/>
      <c r="G749" s="15"/>
      <c r="H749" s="15"/>
      <c r="I749" s="15"/>
      <c r="J749" s="15"/>
      <c r="K749" s="21"/>
      <c r="L749" s="15"/>
    </row>
    <row r="750" spans="1:12" x14ac:dyDescent="0.3">
      <c r="A750" s="19"/>
      <c r="B750" s="15"/>
      <c r="C750" s="15"/>
      <c r="D750" s="15"/>
      <c r="E750" s="15"/>
      <c r="F750" s="15"/>
      <c r="G750" s="15"/>
      <c r="H750" s="15"/>
      <c r="I750" s="15"/>
      <c r="J750" s="15"/>
      <c r="K750" s="21"/>
      <c r="L750" s="15"/>
    </row>
    <row r="751" spans="1:12" x14ac:dyDescent="0.3">
      <c r="A751" s="19"/>
      <c r="B751" s="15"/>
      <c r="C751" s="15"/>
      <c r="D751" s="15"/>
      <c r="E751" s="15"/>
      <c r="F751" s="15"/>
      <c r="G751" s="15"/>
      <c r="H751" s="15"/>
      <c r="I751" s="15"/>
      <c r="J751" s="15"/>
      <c r="K751" s="21"/>
      <c r="L751" s="15"/>
    </row>
    <row r="752" spans="1:12" x14ac:dyDescent="0.3">
      <c r="A752" s="19"/>
      <c r="B752" s="15"/>
      <c r="C752" s="15"/>
      <c r="D752" s="15"/>
      <c r="E752" s="15"/>
      <c r="F752" s="15"/>
      <c r="G752" s="15"/>
      <c r="H752" s="15"/>
      <c r="I752" s="15"/>
      <c r="J752" s="15"/>
      <c r="K752" s="21"/>
      <c r="L752" s="15"/>
    </row>
    <row r="753" spans="1:12" x14ac:dyDescent="0.3">
      <c r="A753" s="19"/>
      <c r="B753" s="15"/>
      <c r="C753" s="15"/>
      <c r="D753" s="15"/>
      <c r="E753" s="15"/>
      <c r="F753" s="15"/>
      <c r="G753" s="15"/>
      <c r="H753" s="15"/>
      <c r="I753" s="15"/>
      <c r="J753" s="15"/>
      <c r="K753" s="21"/>
      <c r="L753" s="15"/>
    </row>
    <row r="754" spans="1:12" x14ac:dyDescent="0.3">
      <c r="A754" s="19"/>
      <c r="B754" s="15"/>
      <c r="C754" s="15"/>
      <c r="D754" s="15"/>
      <c r="E754" s="15"/>
      <c r="F754" s="15"/>
      <c r="G754" s="15"/>
      <c r="H754" s="15"/>
      <c r="I754" s="15"/>
      <c r="J754" s="15"/>
      <c r="K754" s="21"/>
      <c r="L754" s="15"/>
    </row>
    <row r="755" spans="1:12" x14ac:dyDescent="0.3">
      <c r="A755" s="19"/>
      <c r="B755" s="15"/>
      <c r="C755" s="15"/>
      <c r="D755" s="15"/>
      <c r="E755" s="15"/>
      <c r="F755" s="15"/>
      <c r="G755" s="15"/>
      <c r="H755" s="15"/>
      <c r="I755" s="15"/>
      <c r="J755" s="15"/>
      <c r="K755" s="21"/>
      <c r="L755" s="15"/>
    </row>
    <row r="756" spans="1:12" x14ac:dyDescent="0.3">
      <c r="A756" s="19"/>
      <c r="B756" s="15"/>
      <c r="C756" s="15"/>
      <c r="D756" s="15"/>
      <c r="E756" s="15"/>
      <c r="F756" s="15"/>
      <c r="G756" s="15"/>
      <c r="H756" s="15"/>
      <c r="I756" s="15"/>
      <c r="J756" s="15"/>
      <c r="K756" s="21"/>
      <c r="L756" s="15"/>
    </row>
    <row r="757" spans="1:12" x14ac:dyDescent="0.3">
      <c r="A757" s="19"/>
      <c r="B757" s="15"/>
      <c r="C757" s="15"/>
      <c r="D757" s="15"/>
      <c r="E757" s="15"/>
      <c r="F757" s="15"/>
      <c r="G757" s="15"/>
      <c r="H757" s="15"/>
      <c r="I757" s="15"/>
      <c r="J757" s="15"/>
      <c r="K757" s="21"/>
      <c r="L757" s="15"/>
    </row>
    <row r="758" spans="1:12" x14ac:dyDescent="0.3">
      <c r="A758" s="19"/>
      <c r="B758" s="15"/>
      <c r="C758" s="15"/>
      <c r="D758" s="15"/>
      <c r="E758" s="15"/>
      <c r="F758" s="15"/>
      <c r="G758" s="15"/>
      <c r="H758" s="15"/>
      <c r="I758" s="15"/>
      <c r="J758" s="15"/>
      <c r="K758" s="21"/>
      <c r="L758" s="15"/>
    </row>
    <row r="759" spans="1:12" x14ac:dyDescent="0.3">
      <c r="A759" s="19"/>
      <c r="B759" s="15"/>
      <c r="C759" s="15"/>
      <c r="D759" s="15"/>
      <c r="E759" s="15"/>
      <c r="F759" s="15"/>
      <c r="G759" s="15"/>
      <c r="H759" s="15"/>
      <c r="I759" s="15"/>
      <c r="J759" s="15"/>
      <c r="K759" s="21"/>
      <c r="L759" s="15"/>
    </row>
    <row r="760" spans="1:12" x14ac:dyDescent="0.3">
      <c r="A760" s="19"/>
      <c r="B760" s="15"/>
      <c r="C760" s="15"/>
      <c r="D760" s="15"/>
      <c r="E760" s="15"/>
      <c r="F760" s="15"/>
      <c r="G760" s="15"/>
      <c r="H760" s="15"/>
      <c r="I760" s="15"/>
      <c r="J760" s="15"/>
      <c r="K760" s="21"/>
      <c r="L760" s="15"/>
    </row>
    <row r="761" spans="1:12" x14ac:dyDescent="0.3">
      <c r="A761" s="19"/>
      <c r="B761" s="15"/>
      <c r="C761" s="15"/>
      <c r="D761" s="15"/>
      <c r="E761" s="15"/>
      <c r="F761" s="15"/>
      <c r="G761" s="15"/>
      <c r="H761" s="15"/>
      <c r="I761" s="15"/>
      <c r="J761" s="15"/>
      <c r="K761" s="21"/>
      <c r="L761" s="15"/>
    </row>
    <row r="762" spans="1:12" x14ac:dyDescent="0.3">
      <c r="A762" s="19"/>
      <c r="B762" s="15"/>
      <c r="C762" s="15"/>
      <c r="D762" s="15"/>
      <c r="E762" s="15"/>
      <c r="F762" s="15"/>
      <c r="G762" s="15"/>
      <c r="H762" s="15"/>
      <c r="I762" s="15"/>
      <c r="J762" s="15"/>
      <c r="K762" s="21"/>
      <c r="L762" s="15"/>
    </row>
    <row r="763" spans="1:12" x14ac:dyDescent="0.3">
      <c r="A763" s="19"/>
      <c r="B763" s="15"/>
      <c r="C763" s="15"/>
      <c r="D763" s="15"/>
      <c r="E763" s="15"/>
      <c r="F763" s="15"/>
      <c r="G763" s="15"/>
      <c r="H763" s="15"/>
      <c r="I763" s="15"/>
      <c r="J763" s="15"/>
      <c r="K763" s="21"/>
      <c r="L763" s="15"/>
    </row>
    <row r="764" spans="1:12" x14ac:dyDescent="0.3">
      <c r="A764" s="22"/>
      <c r="B764" s="16"/>
      <c r="C764" s="16"/>
      <c r="D764" s="16"/>
      <c r="E764" s="16"/>
      <c r="F764" s="16"/>
      <c r="G764" s="16"/>
      <c r="H764" s="16"/>
      <c r="I764" s="16"/>
      <c r="J764" s="16"/>
      <c r="K764" s="23"/>
      <c r="L764" s="16"/>
    </row>
  </sheetData>
  <autoFilter ref="A3:L3" xr:uid="{00000000-0001-0000-0000-000000000000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3:L3714"/>
  <sheetViews>
    <sheetView showGridLines="0" workbookViewId="0">
      <selection sqref="A1:XFD1048576"/>
    </sheetView>
  </sheetViews>
  <sheetFormatPr baseColWidth="10" defaultColWidth="11.44140625" defaultRowHeight="14.4" x14ac:dyDescent="0.3"/>
  <cols>
    <col min="1" max="1" width="27" customWidth="1"/>
    <col min="2" max="2" width="11" customWidth="1"/>
    <col min="3" max="3" width="45" bestFit="1" customWidth="1"/>
    <col min="4" max="4" width="11.109375" bestFit="1" customWidth="1"/>
    <col min="6" max="6" width="31.109375" bestFit="1" customWidth="1"/>
    <col min="7" max="7" width="14.5546875" bestFit="1" customWidth="1"/>
    <col min="8" max="8" width="17" bestFit="1" customWidth="1"/>
    <col min="9" max="9" width="20.6640625" bestFit="1" customWidth="1"/>
    <col min="10" max="10" width="15.6640625" style="5" customWidth="1"/>
    <col min="11" max="11" width="22.5546875" bestFit="1" customWidth="1"/>
    <col min="12" max="12" width="9" bestFit="1" customWidth="1"/>
  </cols>
  <sheetData>
    <row r="3" spans="1:12" x14ac:dyDescent="0.3">
      <c r="A3" s="7" t="s">
        <v>0</v>
      </c>
      <c r="B3" s="7" t="s">
        <v>1</v>
      </c>
      <c r="C3" s="7" t="s">
        <v>2</v>
      </c>
      <c r="D3" s="7" t="s">
        <v>3</v>
      </c>
      <c r="E3" s="7" t="s">
        <v>4</v>
      </c>
      <c r="F3" s="7" t="s">
        <v>5</v>
      </c>
      <c r="G3" s="7" t="s">
        <v>6</v>
      </c>
      <c r="H3" s="7" t="s">
        <v>7</v>
      </c>
      <c r="I3" s="8" t="s">
        <v>8</v>
      </c>
      <c r="J3" s="7" t="s">
        <v>9</v>
      </c>
      <c r="K3" s="7" t="s">
        <v>10</v>
      </c>
      <c r="L3" s="7" t="s">
        <v>11</v>
      </c>
    </row>
    <row r="4" spans="1:12" x14ac:dyDescent="0.3">
      <c r="A4" t="s">
        <v>12</v>
      </c>
      <c r="B4">
        <v>721426</v>
      </c>
      <c r="C4" t="s">
        <v>934</v>
      </c>
      <c r="D4" t="s">
        <v>21</v>
      </c>
      <c r="E4" t="s">
        <v>1108</v>
      </c>
      <c r="F4" t="s">
        <v>936</v>
      </c>
      <c r="G4" t="s">
        <v>28</v>
      </c>
      <c r="H4" t="s">
        <v>16</v>
      </c>
      <c r="I4">
        <v>5500024939</v>
      </c>
      <c r="J4" t="s">
        <v>17</v>
      </c>
      <c r="L4" s="29">
        <v>30000</v>
      </c>
    </row>
    <row r="5" spans="1:12" x14ac:dyDescent="0.3">
      <c r="A5" t="s">
        <v>12</v>
      </c>
      <c r="B5">
        <v>724696</v>
      </c>
      <c r="C5" t="s">
        <v>862</v>
      </c>
      <c r="D5" t="s">
        <v>13</v>
      </c>
      <c r="E5" t="s">
        <v>272</v>
      </c>
      <c r="F5" t="s">
        <v>1098</v>
      </c>
      <c r="G5" t="s">
        <v>26</v>
      </c>
      <c r="H5" t="s">
        <v>16</v>
      </c>
      <c r="I5">
        <v>4511571466</v>
      </c>
      <c r="J5" t="s">
        <v>17</v>
      </c>
      <c r="K5" t="s">
        <v>20</v>
      </c>
      <c r="L5" s="29">
        <v>10</v>
      </c>
    </row>
    <row r="6" spans="1:12" x14ac:dyDescent="0.3">
      <c r="A6" t="s">
        <v>12</v>
      </c>
      <c r="B6">
        <v>724696</v>
      </c>
      <c r="C6" t="s">
        <v>862</v>
      </c>
      <c r="D6" t="s">
        <v>13</v>
      </c>
      <c r="E6" t="s">
        <v>272</v>
      </c>
      <c r="F6" t="s">
        <v>1099</v>
      </c>
      <c r="G6" t="s">
        <v>26</v>
      </c>
      <c r="H6" t="s">
        <v>16</v>
      </c>
      <c r="I6">
        <v>4511571465</v>
      </c>
      <c r="J6" t="s">
        <v>17</v>
      </c>
      <c r="K6" t="s">
        <v>20</v>
      </c>
      <c r="L6" s="29">
        <v>0</v>
      </c>
    </row>
    <row r="7" spans="1:12" x14ac:dyDescent="0.3">
      <c r="A7" t="s">
        <v>12</v>
      </c>
      <c r="B7">
        <v>724696</v>
      </c>
      <c r="C7" t="s">
        <v>862</v>
      </c>
      <c r="D7" t="s">
        <v>13</v>
      </c>
      <c r="E7" t="s">
        <v>272</v>
      </c>
      <c r="F7" t="s">
        <v>1100</v>
      </c>
      <c r="G7" t="s">
        <v>26</v>
      </c>
      <c r="H7" t="s">
        <v>16</v>
      </c>
      <c r="I7">
        <v>4511571465</v>
      </c>
      <c r="J7" t="s">
        <v>17</v>
      </c>
      <c r="K7" t="s">
        <v>20</v>
      </c>
      <c r="L7" s="29">
        <v>10</v>
      </c>
    </row>
    <row r="8" spans="1:12" x14ac:dyDescent="0.3">
      <c r="A8" t="s">
        <v>12</v>
      </c>
      <c r="B8">
        <v>724828</v>
      </c>
      <c r="C8" t="s">
        <v>869</v>
      </c>
      <c r="D8" t="s">
        <v>13</v>
      </c>
      <c r="E8" t="s">
        <v>272</v>
      </c>
      <c r="F8" t="s">
        <v>1099</v>
      </c>
      <c r="G8" t="s">
        <v>26</v>
      </c>
      <c r="H8" t="s">
        <v>16</v>
      </c>
      <c r="I8">
        <v>4511571465</v>
      </c>
      <c r="J8" t="s">
        <v>17</v>
      </c>
      <c r="K8" t="s">
        <v>20</v>
      </c>
      <c r="L8" s="29">
        <v>0</v>
      </c>
    </row>
    <row r="9" spans="1:12" x14ac:dyDescent="0.3">
      <c r="A9" t="s">
        <v>12</v>
      </c>
      <c r="B9">
        <v>724828</v>
      </c>
      <c r="C9" t="s">
        <v>869</v>
      </c>
      <c r="D9" t="s">
        <v>13</v>
      </c>
      <c r="E9" t="s">
        <v>272</v>
      </c>
      <c r="F9" t="s">
        <v>1100</v>
      </c>
      <c r="G9" t="s">
        <v>26</v>
      </c>
      <c r="H9" t="s">
        <v>16</v>
      </c>
      <c r="I9">
        <v>4511571465</v>
      </c>
      <c r="J9" t="s">
        <v>17</v>
      </c>
      <c r="K9" t="s">
        <v>20</v>
      </c>
      <c r="L9" s="29">
        <v>11</v>
      </c>
    </row>
    <row r="10" spans="1:12" x14ac:dyDescent="0.3">
      <c r="A10" t="s">
        <v>12</v>
      </c>
      <c r="B10">
        <v>736856</v>
      </c>
      <c r="C10" t="s">
        <v>916</v>
      </c>
      <c r="D10" t="s">
        <v>13</v>
      </c>
      <c r="E10" t="s">
        <v>14</v>
      </c>
      <c r="F10" t="s">
        <v>965</v>
      </c>
      <c r="G10" t="s">
        <v>15</v>
      </c>
      <c r="H10" t="s">
        <v>16</v>
      </c>
      <c r="I10">
        <v>4511571748</v>
      </c>
      <c r="J10" t="s">
        <v>17</v>
      </c>
      <c r="K10" t="s">
        <v>20</v>
      </c>
      <c r="L10" s="29">
        <v>4</v>
      </c>
    </row>
    <row r="11" spans="1:12" x14ac:dyDescent="0.3">
      <c r="A11" t="s">
        <v>12</v>
      </c>
      <c r="B11">
        <v>744716</v>
      </c>
      <c r="C11" t="s">
        <v>1048</v>
      </c>
      <c r="D11" t="s">
        <v>21</v>
      </c>
      <c r="E11" t="s">
        <v>44</v>
      </c>
      <c r="F11" t="s">
        <v>1049</v>
      </c>
      <c r="G11" t="s">
        <v>148</v>
      </c>
      <c r="H11" t="s">
        <v>16</v>
      </c>
      <c r="I11">
        <v>4511572284</v>
      </c>
      <c r="J11" t="s">
        <v>17</v>
      </c>
      <c r="K11" t="s">
        <v>18</v>
      </c>
      <c r="L11" s="29">
        <v>65</v>
      </c>
    </row>
    <row r="12" spans="1:12" x14ac:dyDescent="0.3">
      <c r="A12" t="s">
        <v>12</v>
      </c>
      <c r="B12">
        <v>745473</v>
      </c>
      <c r="C12" t="s">
        <v>1014</v>
      </c>
      <c r="D12" t="s">
        <v>13</v>
      </c>
      <c r="E12" t="s">
        <v>22</v>
      </c>
      <c r="F12" t="s">
        <v>1015</v>
      </c>
      <c r="G12" t="s">
        <v>50</v>
      </c>
      <c r="H12" t="s">
        <v>16</v>
      </c>
      <c r="I12">
        <v>4511571083</v>
      </c>
      <c r="J12" t="s">
        <v>23</v>
      </c>
      <c r="K12" t="s">
        <v>20</v>
      </c>
      <c r="L12" s="29">
        <v>1</v>
      </c>
    </row>
    <row r="13" spans="1:12" x14ac:dyDescent="0.3">
      <c r="A13" t="s">
        <v>12</v>
      </c>
      <c r="B13">
        <v>748268</v>
      </c>
      <c r="C13" t="s">
        <v>994</v>
      </c>
      <c r="D13" t="s">
        <v>21</v>
      </c>
      <c r="E13" t="s">
        <v>173</v>
      </c>
      <c r="F13" t="s">
        <v>995</v>
      </c>
      <c r="G13" t="s">
        <v>26</v>
      </c>
      <c r="H13" t="s">
        <v>16</v>
      </c>
      <c r="I13">
        <v>4511572899</v>
      </c>
      <c r="J13" t="s">
        <v>17</v>
      </c>
      <c r="K13" t="s">
        <v>30</v>
      </c>
      <c r="L13" s="29">
        <v>5.6</v>
      </c>
    </row>
    <row r="14" spans="1:12" x14ac:dyDescent="0.3">
      <c r="A14" t="s">
        <v>12</v>
      </c>
      <c r="B14">
        <v>748341</v>
      </c>
      <c r="C14" t="s">
        <v>882</v>
      </c>
      <c r="D14" t="s">
        <v>21</v>
      </c>
      <c r="E14" t="s">
        <v>173</v>
      </c>
      <c r="F14" t="s">
        <v>1087</v>
      </c>
      <c r="G14" t="s">
        <v>26</v>
      </c>
      <c r="H14" t="s">
        <v>16</v>
      </c>
      <c r="I14">
        <v>4511570734</v>
      </c>
      <c r="J14" t="s">
        <v>17</v>
      </c>
      <c r="K14" t="s">
        <v>30</v>
      </c>
      <c r="L14" s="29">
        <v>5.2</v>
      </c>
    </row>
    <row r="15" spans="1:12" x14ac:dyDescent="0.3">
      <c r="A15" t="s">
        <v>12</v>
      </c>
      <c r="B15">
        <v>755674</v>
      </c>
      <c r="C15" t="s">
        <v>996</v>
      </c>
      <c r="D15" t="s">
        <v>13</v>
      </c>
      <c r="E15" t="s">
        <v>240</v>
      </c>
      <c r="F15" t="s">
        <v>997</v>
      </c>
      <c r="G15" t="s">
        <v>26</v>
      </c>
      <c r="H15" t="s">
        <v>16</v>
      </c>
      <c r="I15">
        <v>4511572148</v>
      </c>
      <c r="J15" t="s">
        <v>17</v>
      </c>
      <c r="K15" t="s">
        <v>30</v>
      </c>
      <c r="L15" s="29">
        <v>3</v>
      </c>
    </row>
    <row r="16" spans="1:12" x14ac:dyDescent="0.3">
      <c r="A16" t="s">
        <v>12</v>
      </c>
      <c r="B16">
        <v>760364</v>
      </c>
      <c r="C16" t="s">
        <v>883</v>
      </c>
      <c r="D16" t="s">
        <v>13</v>
      </c>
      <c r="E16" t="s">
        <v>240</v>
      </c>
      <c r="F16" t="s">
        <v>1088</v>
      </c>
      <c r="G16" t="s">
        <v>26</v>
      </c>
      <c r="H16" t="s">
        <v>16</v>
      </c>
      <c r="I16">
        <v>4511570257</v>
      </c>
      <c r="J16" t="s">
        <v>17</v>
      </c>
      <c r="K16" t="s">
        <v>30</v>
      </c>
      <c r="L16" s="29">
        <v>1</v>
      </c>
    </row>
    <row r="17" spans="1:12" x14ac:dyDescent="0.3">
      <c r="A17" t="s">
        <v>12</v>
      </c>
      <c r="B17">
        <v>802317</v>
      </c>
      <c r="C17" t="s">
        <v>35</v>
      </c>
      <c r="D17" t="s">
        <v>13</v>
      </c>
      <c r="E17" t="s">
        <v>22</v>
      </c>
      <c r="F17" t="s">
        <v>960</v>
      </c>
      <c r="G17" t="s">
        <v>15</v>
      </c>
      <c r="H17" t="s">
        <v>16</v>
      </c>
      <c r="I17">
        <v>4511573901</v>
      </c>
      <c r="J17" t="s">
        <v>17</v>
      </c>
      <c r="K17" t="s">
        <v>20</v>
      </c>
      <c r="L17" s="29">
        <v>10</v>
      </c>
    </row>
    <row r="18" spans="1:12" x14ac:dyDescent="0.3">
      <c r="A18" t="s">
        <v>12</v>
      </c>
      <c r="B18">
        <v>804894</v>
      </c>
      <c r="C18" t="s">
        <v>937</v>
      </c>
      <c r="D18" t="s">
        <v>13</v>
      </c>
      <c r="E18" t="s">
        <v>32</v>
      </c>
      <c r="F18" t="s">
        <v>938</v>
      </c>
      <c r="G18" t="s">
        <v>26</v>
      </c>
      <c r="H18" t="s">
        <v>16</v>
      </c>
      <c r="I18">
        <v>4511573785</v>
      </c>
      <c r="J18" t="s">
        <v>17</v>
      </c>
      <c r="K18" t="s">
        <v>20</v>
      </c>
      <c r="L18" s="29">
        <v>2</v>
      </c>
    </row>
    <row r="19" spans="1:12" x14ac:dyDescent="0.3">
      <c r="A19" t="s">
        <v>12</v>
      </c>
      <c r="B19">
        <v>808346</v>
      </c>
      <c r="C19" t="s">
        <v>917</v>
      </c>
      <c r="D19" t="s">
        <v>918</v>
      </c>
      <c r="E19" t="s">
        <v>14</v>
      </c>
      <c r="F19" t="s">
        <v>1066</v>
      </c>
      <c r="G19" t="s">
        <v>148</v>
      </c>
      <c r="H19" t="s">
        <v>16</v>
      </c>
      <c r="I19">
        <v>4511572295</v>
      </c>
      <c r="J19" t="s">
        <v>17</v>
      </c>
      <c r="K19" t="s">
        <v>18</v>
      </c>
      <c r="L19" s="29">
        <v>5000</v>
      </c>
    </row>
    <row r="20" spans="1:12" x14ac:dyDescent="0.3">
      <c r="A20" t="s">
        <v>12</v>
      </c>
      <c r="B20">
        <v>808835</v>
      </c>
      <c r="C20" t="s">
        <v>961</v>
      </c>
      <c r="D20" t="s">
        <v>45</v>
      </c>
      <c r="E20" t="s">
        <v>22</v>
      </c>
      <c r="F20" t="s">
        <v>1016</v>
      </c>
      <c r="G20" t="s">
        <v>15</v>
      </c>
      <c r="H20" t="s">
        <v>16</v>
      </c>
      <c r="I20">
        <v>4511572679</v>
      </c>
      <c r="J20" t="s">
        <v>23</v>
      </c>
      <c r="K20" t="s">
        <v>20</v>
      </c>
      <c r="L20" s="29">
        <v>4</v>
      </c>
    </row>
    <row r="21" spans="1:12" x14ac:dyDescent="0.3">
      <c r="A21" t="s">
        <v>12</v>
      </c>
      <c r="B21">
        <v>814781</v>
      </c>
      <c r="C21" t="s">
        <v>955</v>
      </c>
      <c r="D21" t="s">
        <v>21</v>
      </c>
      <c r="E21" t="s">
        <v>103</v>
      </c>
      <c r="F21" t="s">
        <v>956</v>
      </c>
      <c r="G21" t="s">
        <v>34</v>
      </c>
      <c r="H21" t="s">
        <v>16</v>
      </c>
      <c r="I21">
        <v>4511573914</v>
      </c>
      <c r="J21" t="s">
        <v>17</v>
      </c>
      <c r="K21" t="s">
        <v>20</v>
      </c>
      <c r="L21" s="29">
        <v>250</v>
      </c>
    </row>
    <row r="22" spans="1:12" x14ac:dyDescent="0.3">
      <c r="A22" t="s">
        <v>12</v>
      </c>
      <c r="B22">
        <v>844106</v>
      </c>
      <c r="C22" t="s">
        <v>865</v>
      </c>
      <c r="D22" t="s">
        <v>13</v>
      </c>
      <c r="E22" t="s">
        <v>32</v>
      </c>
      <c r="F22" t="s">
        <v>1101</v>
      </c>
      <c r="G22" t="s">
        <v>26</v>
      </c>
      <c r="H22" t="s">
        <v>16</v>
      </c>
      <c r="I22">
        <v>4511570932</v>
      </c>
      <c r="J22" t="s">
        <v>17</v>
      </c>
      <c r="K22" t="s">
        <v>20</v>
      </c>
      <c r="L22" s="29">
        <v>16</v>
      </c>
    </row>
    <row r="23" spans="1:12" x14ac:dyDescent="0.3">
      <c r="A23" t="s">
        <v>12</v>
      </c>
      <c r="B23">
        <v>850829</v>
      </c>
      <c r="C23" t="s">
        <v>998</v>
      </c>
      <c r="D23" t="s">
        <v>13</v>
      </c>
      <c r="E23" t="s">
        <v>310</v>
      </c>
      <c r="F23" t="s">
        <v>999</v>
      </c>
      <c r="G23" t="s">
        <v>26</v>
      </c>
      <c r="H23" t="s">
        <v>16</v>
      </c>
      <c r="I23">
        <v>4511573638</v>
      </c>
      <c r="J23" t="s">
        <v>17</v>
      </c>
      <c r="K23" t="s">
        <v>30</v>
      </c>
      <c r="L23" s="29">
        <v>1</v>
      </c>
    </row>
    <row r="24" spans="1:12" x14ac:dyDescent="0.3">
      <c r="A24" t="s">
        <v>12</v>
      </c>
      <c r="B24">
        <v>867439</v>
      </c>
      <c r="C24" t="s">
        <v>983</v>
      </c>
      <c r="D24" t="s">
        <v>19</v>
      </c>
      <c r="E24" t="s">
        <v>42</v>
      </c>
      <c r="F24" t="s">
        <v>984</v>
      </c>
      <c r="G24" t="s">
        <v>26</v>
      </c>
      <c r="H24" t="s">
        <v>16</v>
      </c>
      <c r="I24">
        <v>4511573782</v>
      </c>
      <c r="J24" t="s">
        <v>17</v>
      </c>
      <c r="K24" t="s">
        <v>20</v>
      </c>
      <c r="L24" s="29">
        <v>10</v>
      </c>
    </row>
    <row r="25" spans="1:12" x14ac:dyDescent="0.3">
      <c r="A25" t="s">
        <v>12</v>
      </c>
      <c r="B25">
        <v>868096</v>
      </c>
      <c r="C25" t="s">
        <v>962</v>
      </c>
      <c r="D25" t="s">
        <v>13</v>
      </c>
      <c r="E25" t="s">
        <v>161</v>
      </c>
      <c r="F25" t="s">
        <v>963</v>
      </c>
      <c r="G25" t="s">
        <v>26</v>
      </c>
      <c r="H25" t="s">
        <v>16</v>
      </c>
      <c r="I25">
        <v>4511572702</v>
      </c>
      <c r="J25" t="s">
        <v>23</v>
      </c>
      <c r="K25" t="s">
        <v>20</v>
      </c>
      <c r="L25" s="29">
        <v>6</v>
      </c>
    </row>
    <row r="26" spans="1:12" x14ac:dyDescent="0.3">
      <c r="A26" t="s">
        <v>12</v>
      </c>
      <c r="B26">
        <v>868331</v>
      </c>
      <c r="C26" t="s">
        <v>1051</v>
      </c>
      <c r="D26" t="s">
        <v>1052</v>
      </c>
      <c r="E26" t="s">
        <v>161</v>
      </c>
      <c r="F26" t="s">
        <v>1050</v>
      </c>
      <c r="G26" t="s">
        <v>26</v>
      </c>
      <c r="H26" t="s">
        <v>16</v>
      </c>
      <c r="I26">
        <v>4511572171</v>
      </c>
      <c r="J26" t="s">
        <v>17</v>
      </c>
      <c r="K26" t="s">
        <v>20</v>
      </c>
      <c r="L26" s="29">
        <v>4</v>
      </c>
    </row>
    <row r="27" spans="1:12" x14ac:dyDescent="0.3">
      <c r="A27" t="s">
        <v>12</v>
      </c>
      <c r="B27">
        <v>872860</v>
      </c>
      <c r="C27" t="s">
        <v>964</v>
      </c>
      <c r="D27" t="s">
        <v>13</v>
      </c>
      <c r="E27" t="s">
        <v>22</v>
      </c>
      <c r="F27" t="s">
        <v>960</v>
      </c>
      <c r="G27" t="s">
        <v>26</v>
      </c>
      <c r="H27" t="s">
        <v>16</v>
      </c>
      <c r="I27">
        <v>4511573901</v>
      </c>
      <c r="J27" t="s">
        <v>17</v>
      </c>
      <c r="K27" t="s">
        <v>20</v>
      </c>
      <c r="L27" s="29">
        <v>8</v>
      </c>
    </row>
    <row r="28" spans="1:12" x14ac:dyDescent="0.3">
      <c r="A28" t="s">
        <v>12</v>
      </c>
      <c r="B28">
        <v>873339</v>
      </c>
      <c r="C28" t="s">
        <v>874</v>
      </c>
      <c r="D28" t="s">
        <v>13</v>
      </c>
      <c r="E28" t="s">
        <v>84</v>
      </c>
      <c r="F28" t="s">
        <v>1093</v>
      </c>
      <c r="G28" t="s">
        <v>26</v>
      </c>
      <c r="H28" t="s">
        <v>16</v>
      </c>
      <c r="I28">
        <v>4511571319</v>
      </c>
      <c r="J28" t="s">
        <v>17</v>
      </c>
      <c r="K28" t="s">
        <v>20</v>
      </c>
      <c r="L28" s="29">
        <v>4</v>
      </c>
    </row>
    <row r="29" spans="1:12" x14ac:dyDescent="0.3">
      <c r="A29" t="s">
        <v>12</v>
      </c>
      <c r="B29">
        <v>884090</v>
      </c>
      <c r="C29" t="s">
        <v>939</v>
      </c>
      <c r="D29" t="s">
        <v>13</v>
      </c>
      <c r="E29" t="s">
        <v>32</v>
      </c>
      <c r="F29" t="s">
        <v>940</v>
      </c>
      <c r="G29" t="s">
        <v>26</v>
      </c>
      <c r="H29" t="s">
        <v>16</v>
      </c>
      <c r="I29">
        <v>4511573761</v>
      </c>
      <c r="J29" t="s">
        <v>17</v>
      </c>
      <c r="K29" t="s">
        <v>20</v>
      </c>
      <c r="L29" s="29">
        <v>16</v>
      </c>
    </row>
    <row r="30" spans="1:12" x14ac:dyDescent="0.3">
      <c r="A30" t="s">
        <v>12</v>
      </c>
      <c r="B30">
        <v>884098</v>
      </c>
      <c r="C30" t="s">
        <v>941</v>
      </c>
      <c r="D30" t="s">
        <v>13</v>
      </c>
      <c r="E30" t="s">
        <v>32</v>
      </c>
      <c r="F30" t="s">
        <v>940</v>
      </c>
      <c r="G30" t="s">
        <v>26</v>
      </c>
      <c r="H30" t="s">
        <v>16</v>
      </c>
      <c r="I30">
        <v>4511573761</v>
      </c>
      <c r="J30" t="s">
        <v>17</v>
      </c>
      <c r="K30" t="s">
        <v>20</v>
      </c>
      <c r="L30" s="29">
        <v>12</v>
      </c>
    </row>
    <row r="31" spans="1:12" x14ac:dyDescent="0.3">
      <c r="A31" t="s">
        <v>12</v>
      </c>
      <c r="B31">
        <v>887595</v>
      </c>
      <c r="C31" t="s">
        <v>942</v>
      </c>
      <c r="D31" t="s">
        <v>13</v>
      </c>
      <c r="E31" t="s">
        <v>32</v>
      </c>
      <c r="F31" t="s">
        <v>940</v>
      </c>
      <c r="G31" t="s">
        <v>26</v>
      </c>
      <c r="H31" t="s">
        <v>16</v>
      </c>
      <c r="I31">
        <v>4511573761</v>
      </c>
      <c r="J31" t="s">
        <v>17</v>
      </c>
      <c r="K31" t="s">
        <v>20</v>
      </c>
      <c r="L31" s="29">
        <v>1</v>
      </c>
    </row>
    <row r="32" spans="1:12" x14ac:dyDescent="0.3">
      <c r="A32" t="s">
        <v>12</v>
      </c>
      <c r="B32">
        <v>893851</v>
      </c>
      <c r="C32" t="s">
        <v>943</v>
      </c>
      <c r="D32" t="s">
        <v>13</v>
      </c>
      <c r="E32" t="s">
        <v>32</v>
      </c>
      <c r="F32" t="s">
        <v>940</v>
      </c>
      <c r="G32" t="s">
        <v>26</v>
      </c>
      <c r="H32" t="s">
        <v>16</v>
      </c>
      <c r="I32">
        <v>4511573761</v>
      </c>
      <c r="J32" t="s">
        <v>17</v>
      </c>
      <c r="K32" t="s">
        <v>20</v>
      </c>
      <c r="L32" s="29">
        <v>12</v>
      </c>
    </row>
    <row r="33" spans="1:12" x14ac:dyDescent="0.3">
      <c r="A33" t="s">
        <v>12</v>
      </c>
      <c r="B33">
        <v>893854</v>
      </c>
      <c r="C33" t="s">
        <v>944</v>
      </c>
      <c r="D33" t="s">
        <v>13</v>
      </c>
      <c r="E33" t="s">
        <v>32</v>
      </c>
      <c r="F33" t="s">
        <v>940</v>
      </c>
      <c r="G33" t="s">
        <v>26</v>
      </c>
      <c r="H33" t="s">
        <v>16</v>
      </c>
      <c r="I33">
        <v>4511573761</v>
      </c>
      <c r="J33" t="s">
        <v>17</v>
      </c>
      <c r="K33" t="s">
        <v>20</v>
      </c>
      <c r="L33" s="29">
        <v>6</v>
      </c>
    </row>
    <row r="34" spans="1:12" x14ac:dyDescent="0.3">
      <c r="A34" t="s">
        <v>12</v>
      </c>
      <c r="B34">
        <v>894559</v>
      </c>
      <c r="C34" t="s">
        <v>1053</v>
      </c>
      <c r="D34" t="s">
        <v>918</v>
      </c>
      <c r="E34" t="s">
        <v>237</v>
      </c>
      <c r="F34" t="s">
        <v>1054</v>
      </c>
      <c r="G34" t="s">
        <v>148</v>
      </c>
      <c r="H34" t="s">
        <v>16</v>
      </c>
      <c r="I34">
        <v>4511571679</v>
      </c>
      <c r="J34" t="s">
        <v>17</v>
      </c>
      <c r="K34" t="s">
        <v>30</v>
      </c>
      <c r="L34" s="29">
        <v>2500</v>
      </c>
    </row>
    <row r="35" spans="1:12" x14ac:dyDescent="0.3">
      <c r="A35" t="s">
        <v>12</v>
      </c>
      <c r="B35">
        <v>894561</v>
      </c>
      <c r="C35" t="s">
        <v>1055</v>
      </c>
      <c r="D35" t="s">
        <v>918</v>
      </c>
      <c r="E35" t="s">
        <v>237</v>
      </c>
      <c r="F35" t="s">
        <v>1054</v>
      </c>
      <c r="G35" t="s">
        <v>148</v>
      </c>
      <c r="H35" t="s">
        <v>16</v>
      </c>
      <c r="I35">
        <v>4511571679</v>
      </c>
      <c r="J35" t="s">
        <v>17</v>
      </c>
      <c r="K35" t="s">
        <v>30</v>
      </c>
      <c r="L35" s="29">
        <v>1000</v>
      </c>
    </row>
    <row r="36" spans="1:12" x14ac:dyDescent="0.3">
      <c r="A36" t="s">
        <v>12</v>
      </c>
      <c r="B36">
        <v>894562</v>
      </c>
      <c r="C36" t="s">
        <v>1056</v>
      </c>
      <c r="D36" t="s">
        <v>918</v>
      </c>
      <c r="E36" t="s">
        <v>237</v>
      </c>
      <c r="F36" t="s">
        <v>1054</v>
      </c>
      <c r="G36" t="s">
        <v>148</v>
      </c>
      <c r="H36" t="s">
        <v>16</v>
      </c>
      <c r="I36">
        <v>4511571679</v>
      </c>
      <c r="J36" t="s">
        <v>17</v>
      </c>
      <c r="K36" t="s">
        <v>30</v>
      </c>
      <c r="L36" s="29">
        <v>300</v>
      </c>
    </row>
    <row r="37" spans="1:12" x14ac:dyDescent="0.3">
      <c r="A37" t="s">
        <v>12</v>
      </c>
      <c r="B37">
        <v>895421</v>
      </c>
      <c r="C37" t="s">
        <v>919</v>
      </c>
      <c r="D37" t="s">
        <v>896</v>
      </c>
      <c r="E37" t="s">
        <v>96</v>
      </c>
      <c r="F37" t="s">
        <v>1067</v>
      </c>
      <c r="G37" t="s">
        <v>148</v>
      </c>
      <c r="H37" t="s">
        <v>16</v>
      </c>
      <c r="I37">
        <v>4511572521</v>
      </c>
      <c r="J37" t="s">
        <v>17</v>
      </c>
      <c r="K37" t="s">
        <v>18</v>
      </c>
      <c r="L37" s="29">
        <v>100</v>
      </c>
    </row>
    <row r="38" spans="1:12" x14ac:dyDescent="0.3">
      <c r="A38" t="s">
        <v>12</v>
      </c>
      <c r="B38">
        <v>70003825</v>
      </c>
      <c r="C38" t="s">
        <v>978</v>
      </c>
      <c r="D38" t="s">
        <v>13</v>
      </c>
      <c r="E38" t="s">
        <v>49</v>
      </c>
      <c r="F38" t="s">
        <v>979</v>
      </c>
      <c r="G38" t="s">
        <v>26</v>
      </c>
      <c r="H38" t="s">
        <v>16</v>
      </c>
      <c r="I38">
        <v>4511572652</v>
      </c>
      <c r="J38" t="s">
        <v>23</v>
      </c>
      <c r="K38" t="s">
        <v>20</v>
      </c>
      <c r="L38" s="29">
        <v>6</v>
      </c>
    </row>
    <row r="39" spans="1:12" x14ac:dyDescent="0.3">
      <c r="A39" t="s">
        <v>12</v>
      </c>
      <c r="B39">
        <v>70003837</v>
      </c>
      <c r="C39" t="s">
        <v>920</v>
      </c>
      <c r="D39" t="s">
        <v>13</v>
      </c>
      <c r="E39" t="s">
        <v>42</v>
      </c>
      <c r="F39" t="s">
        <v>1068</v>
      </c>
      <c r="G39" t="s">
        <v>50</v>
      </c>
      <c r="H39" t="s">
        <v>16</v>
      </c>
      <c r="I39">
        <v>4511572460</v>
      </c>
      <c r="J39" t="s">
        <v>17</v>
      </c>
      <c r="K39" t="s">
        <v>20</v>
      </c>
      <c r="L39" s="29">
        <v>6</v>
      </c>
    </row>
    <row r="40" spans="1:12" x14ac:dyDescent="0.3">
      <c r="A40" t="s">
        <v>12</v>
      </c>
      <c r="B40">
        <v>70003837</v>
      </c>
      <c r="C40" t="s">
        <v>920</v>
      </c>
      <c r="D40" t="s">
        <v>13</v>
      </c>
      <c r="E40" t="s">
        <v>32</v>
      </c>
      <c r="F40" t="s">
        <v>1069</v>
      </c>
      <c r="G40" t="s">
        <v>26</v>
      </c>
      <c r="H40" t="s">
        <v>16</v>
      </c>
      <c r="I40">
        <v>4511571956</v>
      </c>
      <c r="J40" t="s">
        <v>17</v>
      </c>
      <c r="K40" t="s">
        <v>20</v>
      </c>
      <c r="L40" s="29">
        <v>18</v>
      </c>
    </row>
    <row r="41" spans="1:12" x14ac:dyDescent="0.3">
      <c r="A41" t="s">
        <v>12</v>
      </c>
      <c r="B41">
        <v>70003844</v>
      </c>
      <c r="C41" t="s">
        <v>921</v>
      </c>
      <c r="D41" t="s">
        <v>13</v>
      </c>
      <c r="E41" t="s">
        <v>32</v>
      </c>
      <c r="F41" t="s">
        <v>1070</v>
      </c>
      <c r="G41" t="s">
        <v>26</v>
      </c>
      <c r="H41" t="s">
        <v>16</v>
      </c>
      <c r="I41">
        <v>4511571756</v>
      </c>
      <c r="J41" t="s">
        <v>23</v>
      </c>
      <c r="K41" t="s">
        <v>20</v>
      </c>
      <c r="L41" s="29">
        <v>10</v>
      </c>
    </row>
    <row r="42" spans="1:12" x14ac:dyDescent="0.3">
      <c r="A42" t="s">
        <v>12</v>
      </c>
      <c r="B42">
        <v>70004306</v>
      </c>
      <c r="C42" t="s">
        <v>893</v>
      </c>
      <c r="D42" t="s">
        <v>13</v>
      </c>
      <c r="E42" t="s">
        <v>42</v>
      </c>
      <c r="F42" t="s">
        <v>1082</v>
      </c>
      <c r="G42" t="s">
        <v>26</v>
      </c>
      <c r="H42" t="s">
        <v>16</v>
      </c>
      <c r="I42">
        <v>4511571990</v>
      </c>
      <c r="J42" t="s">
        <v>17</v>
      </c>
      <c r="K42" t="s">
        <v>30</v>
      </c>
      <c r="L42" s="29">
        <v>3</v>
      </c>
    </row>
    <row r="43" spans="1:12" x14ac:dyDescent="0.3">
      <c r="A43" t="s">
        <v>12</v>
      </c>
      <c r="B43">
        <v>70004310</v>
      </c>
      <c r="C43" t="s">
        <v>889</v>
      </c>
      <c r="D43" t="s">
        <v>13</v>
      </c>
      <c r="E43" t="s">
        <v>42</v>
      </c>
      <c r="F43" t="s">
        <v>985</v>
      </c>
      <c r="G43" t="s">
        <v>26</v>
      </c>
      <c r="H43" t="s">
        <v>16</v>
      </c>
      <c r="I43">
        <v>4511573566</v>
      </c>
      <c r="J43" t="s">
        <v>17</v>
      </c>
      <c r="K43" t="s">
        <v>30</v>
      </c>
      <c r="L43" s="29">
        <v>1</v>
      </c>
    </row>
    <row r="44" spans="1:12" x14ac:dyDescent="0.3">
      <c r="A44" t="s">
        <v>12</v>
      </c>
      <c r="B44">
        <v>70004310</v>
      </c>
      <c r="C44" t="s">
        <v>889</v>
      </c>
      <c r="D44" t="s">
        <v>13</v>
      </c>
      <c r="E44" t="s">
        <v>42</v>
      </c>
      <c r="F44" t="s">
        <v>1082</v>
      </c>
      <c r="G44" t="s">
        <v>26</v>
      </c>
      <c r="H44" t="s">
        <v>16</v>
      </c>
      <c r="I44">
        <v>4511571990</v>
      </c>
      <c r="J44" t="s">
        <v>17</v>
      </c>
      <c r="K44" t="s">
        <v>30</v>
      </c>
      <c r="L44" s="29">
        <v>1</v>
      </c>
    </row>
    <row r="45" spans="1:12" x14ac:dyDescent="0.3">
      <c r="A45" t="s">
        <v>12</v>
      </c>
      <c r="B45">
        <v>70004596</v>
      </c>
      <c r="C45" t="s">
        <v>1001</v>
      </c>
      <c r="D45" t="s">
        <v>13</v>
      </c>
      <c r="E45" t="s">
        <v>240</v>
      </c>
      <c r="F45" t="s">
        <v>1002</v>
      </c>
      <c r="G45" t="s">
        <v>26</v>
      </c>
      <c r="H45" t="s">
        <v>16</v>
      </c>
      <c r="I45">
        <v>4511572466</v>
      </c>
      <c r="J45" t="s">
        <v>23</v>
      </c>
      <c r="K45" t="s">
        <v>20</v>
      </c>
      <c r="L45" s="29">
        <v>6</v>
      </c>
    </row>
    <row r="46" spans="1:12" x14ac:dyDescent="0.3">
      <c r="A46" t="s">
        <v>12</v>
      </c>
      <c r="B46">
        <v>70004704</v>
      </c>
      <c r="C46" t="s">
        <v>1057</v>
      </c>
      <c r="D46" t="s">
        <v>13</v>
      </c>
      <c r="E46" t="s">
        <v>240</v>
      </c>
      <c r="F46" t="s">
        <v>1058</v>
      </c>
      <c r="G46" t="s">
        <v>26</v>
      </c>
      <c r="H46" t="s">
        <v>16</v>
      </c>
      <c r="I46">
        <v>4511571951</v>
      </c>
      <c r="J46" t="s">
        <v>17</v>
      </c>
      <c r="K46" t="s">
        <v>20</v>
      </c>
      <c r="L46" s="29">
        <v>12</v>
      </c>
    </row>
    <row r="47" spans="1:12" x14ac:dyDescent="0.3">
      <c r="A47" t="s">
        <v>12</v>
      </c>
      <c r="B47">
        <v>70004950</v>
      </c>
      <c r="C47" t="s">
        <v>980</v>
      </c>
      <c r="D47" t="s">
        <v>13</v>
      </c>
      <c r="E47" t="s">
        <v>49</v>
      </c>
      <c r="F47" t="s">
        <v>981</v>
      </c>
      <c r="G47" t="s">
        <v>26</v>
      </c>
      <c r="H47" t="s">
        <v>16</v>
      </c>
      <c r="I47">
        <v>4511571950</v>
      </c>
      <c r="J47" t="s">
        <v>23</v>
      </c>
      <c r="K47" t="s">
        <v>20</v>
      </c>
      <c r="L47" s="29">
        <v>1</v>
      </c>
    </row>
    <row r="48" spans="1:12" x14ac:dyDescent="0.3">
      <c r="A48" t="s">
        <v>12</v>
      </c>
      <c r="B48">
        <v>70011440</v>
      </c>
      <c r="C48" t="s">
        <v>876</v>
      </c>
      <c r="D48" t="s">
        <v>13</v>
      </c>
      <c r="E48" t="s">
        <v>84</v>
      </c>
      <c r="F48" t="s">
        <v>1093</v>
      </c>
      <c r="G48" t="s">
        <v>26</v>
      </c>
      <c r="H48" t="s">
        <v>16</v>
      </c>
      <c r="I48">
        <v>4511571319</v>
      </c>
      <c r="J48" t="s">
        <v>17</v>
      </c>
      <c r="K48" t="s">
        <v>20</v>
      </c>
      <c r="L48" s="29">
        <v>2</v>
      </c>
    </row>
    <row r="49" spans="1:12" x14ac:dyDescent="0.3">
      <c r="A49" t="s">
        <v>12</v>
      </c>
      <c r="B49">
        <v>70017132</v>
      </c>
      <c r="C49" t="s">
        <v>945</v>
      </c>
      <c r="D49" t="s">
        <v>13</v>
      </c>
      <c r="E49" t="s">
        <v>32</v>
      </c>
      <c r="F49" t="s">
        <v>940</v>
      </c>
      <c r="G49" t="s">
        <v>26</v>
      </c>
      <c r="H49" t="s">
        <v>16</v>
      </c>
      <c r="I49">
        <v>4511573761</v>
      </c>
      <c r="J49" t="s">
        <v>17</v>
      </c>
      <c r="K49" t="s">
        <v>20</v>
      </c>
      <c r="L49" s="29">
        <v>12</v>
      </c>
    </row>
    <row r="50" spans="1:12" x14ac:dyDescent="0.3">
      <c r="A50" t="s">
        <v>12</v>
      </c>
      <c r="B50">
        <v>70019150</v>
      </c>
      <c r="C50" t="s">
        <v>922</v>
      </c>
      <c r="D50" t="s">
        <v>19</v>
      </c>
      <c r="E50" t="s">
        <v>22</v>
      </c>
      <c r="F50" t="s">
        <v>1071</v>
      </c>
      <c r="G50" t="s">
        <v>26</v>
      </c>
      <c r="H50" t="s">
        <v>16</v>
      </c>
      <c r="I50">
        <v>4511571639</v>
      </c>
      <c r="J50" t="s">
        <v>23</v>
      </c>
      <c r="K50" t="s">
        <v>20</v>
      </c>
      <c r="L50" s="29">
        <v>4</v>
      </c>
    </row>
    <row r="51" spans="1:12" x14ac:dyDescent="0.3">
      <c r="A51" t="s">
        <v>12</v>
      </c>
      <c r="B51">
        <v>70043537</v>
      </c>
      <c r="C51" t="s">
        <v>1003</v>
      </c>
      <c r="D51" t="s">
        <v>13</v>
      </c>
      <c r="E51" t="s">
        <v>1184</v>
      </c>
      <c r="F51" t="s">
        <v>1004</v>
      </c>
      <c r="G51" t="s">
        <v>50</v>
      </c>
      <c r="H51" t="s">
        <v>16</v>
      </c>
      <c r="I51">
        <v>4511569944</v>
      </c>
      <c r="J51" t="s">
        <v>17</v>
      </c>
      <c r="K51" t="s">
        <v>30</v>
      </c>
      <c r="L51" s="29">
        <v>1</v>
      </c>
    </row>
    <row r="52" spans="1:12" x14ac:dyDescent="0.3">
      <c r="A52" t="s">
        <v>12</v>
      </c>
      <c r="B52">
        <v>70043958</v>
      </c>
      <c r="C52" t="s">
        <v>1032</v>
      </c>
      <c r="D52" t="s">
        <v>13</v>
      </c>
      <c r="E52" t="s">
        <v>1184</v>
      </c>
      <c r="F52" t="s">
        <v>1033</v>
      </c>
      <c r="G52" t="s">
        <v>50</v>
      </c>
      <c r="H52" t="s">
        <v>16</v>
      </c>
      <c r="I52">
        <v>4511569944</v>
      </c>
      <c r="J52" t="s">
        <v>23</v>
      </c>
      <c r="K52" t="s">
        <v>30</v>
      </c>
      <c r="L52" s="29">
        <v>1</v>
      </c>
    </row>
    <row r="53" spans="1:12" x14ac:dyDescent="0.3">
      <c r="A53" t="s">
        <v>12</v>
      </c>
      <c r="B53">
        <v>70047475</v>
      </c>
      <c r="C53" t="s">
        <v>924</v>
      </c>
      <c r="D53" t="s">
        <v>13</v>
      </c>
      <c r="E53" t="s">
        <v>22</v>
      </c>
      <c r="F53" t="s">
        <v>1072</v>
      </c>
      <c r="G53" t="s">
        <v>26</v>
      </c>
      <c r="H53" t="s">
        <v>16</v>
      </c>
      <c r="I53">
        <v>4511571461</v>
      </c>
      <c r="J53" t="s">
        <v>23</v>
      </c>
      <c r="K53" t="s">
        <v>20</v>
      </c>
      <c r="L53" s="29">
        <v>29</v>
      </c>
    </row>
    <row r="54" spans="1:12" x14ac:dyDescent="0.3">
      <c r="A54" t="s">
        <v>12</v>
      </c>
      <c r="B54">
        <v>70047878</v>
      </c>
      <c r="C54" t="s">
        <v>1040</v>
      </c>
      <c r="D54" t="s">
        <v>13</v>
      </c>
      <c r="E54" t="s">
        <v>161</v>
      </c>
      <c r="F54" t="s">
        <v>1041</v>
      </c>
      <c r="G54" t="s">
        <v>50</v>
      </c>
      <c r="H54" t="s">
        <v>16</v>
      </c>
      <c r="I54">
        <v>4511572714</v>
      </c>
      <c r="J54" t="s">
        <v>17</v>
      </c>
      <c r="K54" t="s">
        <v>30</v>
      </c>
      <c r="L54" s="29">
        <v>2</v>
      </c>
    </row>
    <row r="55" spans="1:12" x14ac:dyDescent="0.3">
      <c r="A55" t="s">
        <v>12</v>
      </c>
      <c r="B55">
        <v>70048323</v>
      </c>
      <c r="C55" t="s">
        <v>925</v>
      </c>
      <c r="D55" t="s">
        <v>13</v>
      </c>
      <c r="E55" t="s">
        <v>22</v>
      </c>
      <c r="F55" t="s">
        <v>1071</v>
      </c>
      <c r="G55" t="s">
        <v>26</v>
      </c>
      <c r="H55" t="s">
        <v>16</v>
      </c>
      <c r="I55">
        <v>4511571639</v>
      </c>
      <c r="J55" t="s">
        <v>23</v>
      </c>
      <c r="K55" t="s">
        <v>20</v>
      </c>
      <c r="L55" s="29">
        <v>6</v>
      </c>
    </row>
    <row r="56" spans="1:12" x14ac:dyDescent="0.3">
      <c r="A56" t="s">
        <v>12</v>
      </c>
      <c r="B56">
        <v>70052954</v>
      </c>
      <c r="C56" t="s">
        <v>1059</v>
      </c>
      <c r="D56" t="s">
        <v>13</v>
      </c>
      <c r="E56" t="s">
        <v>168</v>
      </c>
      <c r="F56" t="s">
        <v>1060</v>
      </c>
      <c r="G56" t="s">
        <v>26</v>
      </c>
      <c r="H56" t="s">
        <v>16</v>
      </c>
      <c r="I56">
        <v>4511570429</v>
      </c>
      <c r="J56" t="s">
        <v>17</v>
      </c>
      <c r="K56" t="s">
        <v>20</v>
      </c>
      <c r="L56" s="29">
        <v>6</v>
      </c>
    </row>
    <row r="57" spans="1:12" x14ac:dyDescent="0.3">
      <c r="A57" t="s">
        <v>12</v>
      </c>
      <c r="B57">
        <v>70061350</v>
      </c>
      <c r="C57" t="s">
        <v>946</v>
      </c>
      <c r="D57" t="s">
        <v>13</v>
      </c>
      <c r="E57" t="s">
        <v>32</v>
      </c>
      <c r="F57" t="s">
        <v>940</v>
      </c>
      <c r="G57" t="s">
        <v>26</v>
      </c>
      <c r="H57" t="s">
        <v>16</v>
      </c>
      <c r="I57">
        <v>4511573761</v>
      </c>
      <c r="J57" t="s">
        <v>17</v>
      </c>
      <c r="K57" t="s">
        <v>20</v>
      </c>
      <c r="L57" s="29">
        <v>24</v>
      </c>
    </row>
    <row r="58" spans="1:12" x14ac:dyDescent="0.3">
      <c r="A58" t="s">
        <v>12</v>
      </c>
      <c r="B58">
        <v>70061481</v>
      </c>
      <c r="C58" t="s">
        <v>884</v>
      </c>
      <c r="D58" t="s">
        <v>56</v>
      </c>
      <c r="E58" t="s">
        <v>17</v>
      </c>
      <c r="F58" t="s">
        <v>1089</v>
      </c>
      <c r="G58" t="s">
        <v>17</v>
      </c>
      <c r="H58" t="s">
        <v>17</v>
      </c>
      <c r="I58">
        <v>4511566146</v>
      </c>
      <c r="J58" t="s">
        <v>17</v>
      </c>
      <c r="K58" t="s">
        <v>30</v>
      </c>
      <c r="L58" s="29">
        <v>762000</v>
      </c>
    </row>
    <row r="59" spans="1:12" x14ac:dyDescent="0.3">
      <c r="A59" t="s">
        <v>12</v>
      </c>
      <c r="B59">
        <v>70061692</v>
      </c>
      <c r="C59" t="s">
        <v>1034</v>
      </c>
      <c r="D59" t="s">
        <v>13</v>
      </c>
      <c r="E59" t="s">
        <v>1184</v>
      </c>
      <c r="F59" t="s">
        <v>1033</v>
      </c>
      <c r="G59" t="s">
        <v>50</v>
      </c>
      <c r="H59" t="s">
        <v>16</v>
      </c>
      <c r="I59">
        <v>4511569944</v>
      </c>
      <c r="J59" t="s">
        <v>23</v>
      </c>
      <c r="K59" t="s">
        <v>30</v>
      </c>
      <c r="L59" s="29">
        <v>1</v>
      </c>
    </row>
    <row r="60" spans="1:12" x14ac:dyDescent="0.3">
      <c r="A60" t="s">
        <v>12</v>
      </c>
      <c r="B60">
        <v>70061693</v>
      </c>
      <c r="C60" t="s">
        <v>1035</v>
      </c>
      <c r="D60" t="s">
        <v>13</v>
      </c>
      <c r="E60" t="s">
        <v>1184</v>
      </c>
      <c r="F60" t="s">
        <v>1033</v>
      </c>
      <c r="G60" t="s">
        <v>50</v>
      </c>
      <c r="H60" t="s">
        <v>16</v>
      </c>
      <c r="I60">
        <v>4511569944</v>
      </c>
      <c r="J60" t="s">
        <v>23</v>
      </c>
      <c r="K60" t="s">
        <v>30</v>
      </c>
      <c r="L60" s="29">
        <v>1</v>
      </c>
    </row>
    <row r="61" spans="1:12" x14ac:dyDescent="0.3">
      <c r="A61" t="s">
        <v>12</v>
      </c>
      <c r="B61">
        <v>70061785</v>
      </c>
      <c r="C61" t="s">
        <v>926</v>
      </c>
      <c r="D61" t="s">
        <v>13</v>
      </c>
      <c r="E61" t="s">
        <v>42</v>
      </c>
      <c r="F61" t="s">
        <v>1068</v>
      </c>
      <c r="G61" t="s">
        <v>50</v>
      </c>
      <c r="H61" t="s">
        <v>16</v>
      </c>
      <c r="I61">
        <v>4511572460</v>
      </c>
      <c r="J61" t="s">
        <v>17</v>
      </c>
      <c r="K61" t="s">
        <v>20</v>
      </c>
      <c r="L61" s="29">
        <v>4</v>
      </c>
    </row>
    <row r="62" spans="1:12" x14ac:dyDescent="0.3">
      <c r="A62" t="s">
        <v>12</v>
      </c>
      <c r="B62">
        <v>70061786</v>
      </c>
      <c r="C62" t="s">
        <v>927</v>
      </c>
      <c r="D62" t="s">
        <v>13</v>
      </c>
      <c r="E62" t="s">
        <v>42</v>
      </c>
      <c r="F62" t="s">
        <v>1068</v>
      </c>
      <c r="G62" t="s">
        <v>50</v>
      </c>
      <c r="H62" t="s">
        <v>16</v>
      </c>
      <c r="I62">
        <v>4511572460</v>
      </c>
      <c r="J62" t="s">
        <v>17</v>
      </c>
      <c r="K62" t="s">
        <v>20</v>
      </c>
      <c r="L62" s="29">
        <v>4</v>
      </c>
    </row>
    <row r="63" spans="1:12" x14ac:dyDescent="0.3">
      <c r="A63" t="s">
        <v>12</v>
      </c>
      <c r="B63">
        <v>70069179</v>
      </c>
      <c r="C63" t="s">
        <v>1005</v>
      </c>
      <c r="D63" t="s">
        <v>13</v>
      </c>
      <c r="E63" t="s">
        <v>96</v>
      </c>
      <c r="F63" t="s">
        <v>1006</v>
      </c>
      <c r="G63" t="s">
        <v>28</v>
      </c>
      <c r="H63" t="s">
        <v>16</v>
      </c>
      <c r="I63">
        <v>5500024855</v>
      </c>
      <c r="J63" t="s">
        <v>17</v>
      </c>
      <c r="L63" s="29">
        <v>10</v>
      </c>
    </row>
    <row r="64" spans="1:12" x14ac:dyDescent="0.3">
      <c r="A64" t="s">
        <v>12</v>
      </c>
      <c r="B64">
        <v>70069183</v>
      </c>
      <c r="C64" t="s">
        <v>1007</v>
      </c>
      <c r="D64" t="s">
        <v>13</v>
      </c>
      <c r="E64" t="s">
        <v>96</v>
      </c>
      <c r="F64" t="s">
        <v>1006</v>
      </c>
      <c r="G64" t="s">
        <v>28</v>
      </c>
      <c r="H64" t="s">
        <v>16</v>
      </c>
      <c r="I64">
        <v>5500024855</v>
      </c>
      <c r="J64" t="s">
        <v>17</v>
      </c>
      <c r="L64" s="29">
        <v>30</v>
      </c>
    </row>
    <row r="65" spans="1:12" x14ac:dyDescent="0.3">
      <c r="A65" t="s">
        <v>12</v>
      </c>
      <c r="B65">
        <v>70077698</v>
      </c>
      <c r="C65" t="s">
        <v>1043</v>
      </c>
      <c r="D65" t="s">
        <v>13</v>
      </c>
      <c r="E65" t="s">
        <v>312</v>
      </c>
      <c r="F65" t="s">
        <v>1044</v>
      </c>
      <c r="G65" t="s">
        <v>181</v>
      </c>
      <c r="H65" t="s">
        <v>16</v>
      </c>
      <c r="I65">
        <v>4511538552</v>
      </c>
      <c r="J65" t="s">
        <v>23</v>
      </c>
      <c r="K65" t="s">
        <v>30</v>
      </c>
      <c r="L65" s="29">
        <v>1</v>
      </c>
    </row>
    <row r="66" spans="1:12" x14ac:dyDescent="0.3">
      <c r="A66" t="s">
        <v>12</v>
      </c>
      <c r="B66">
        <v>70082928</v>
      </c>
      <c r="C66" t="s">
        <v>928</v>
      </c>
      <c r="D66" t="s">
        <v>13</v>
      </c>
      <c r="E66" t="s">
        <v>42</v>
      </c>
      <c r="F66" t="s">
        <v>1068</v>
      </c>
      <c r="G66" t="s">
        <v>50</v>
      </c>
      <c r="H66" t="s">
        <v>16</v>
      </c>
      <c r="I66">
        <v>4511572460</v>
      </c>
      <c r="J66" t="s">
        <v>17</v>
      </c>
      <c r="K66" t="s">
        <v>20</v>
      </c>
      <c r="L66" s="29">
        <v>6</v>
      </c>
    </row>
    <row r="67" spans="1:12" x14ac:dyDescent="0.3">
      <c r="A67" t="s">
        <v>12</v>
      </c>
      <c r="B67">
        <v>70097146</v>
      </c>
      <c r="C67" t="s">
        <v>895</v>
      </c>
      <c r="D67" t="s">
        <v>13</v>
      </c>
      <c r="E67" t="s">
        <v>312</v>
      </c>
      <c r="F67" t="s">
        <v>1078</v>
      </c>
      <c r="G67" t="s">
        <v>181</v>
      </c>
      <c r="H67" t="s">
        <v>16</v>
      </c>
      <c r="I67">
        <v>4511561153</v>
      </c>
      <c r="J67" t="s">
        <v>23</v>
      </c>
      <c r="K67" t="s">
        <v>20</v>
      </c>
      <c r="L67" s="29">
        <v>6</v>
      </c>
    </row>
    <row r="68" spans="1:12" x14ac:dyDescent="0.3">
      <c r="A68" t="s">
        <v>12</v>
      </c>
      <c r="B68">
        <v>70098846</v>
      </c>
      <c r="C68" t="s">
        <v>929</v>
      </c>
      <c r="D68" t="s">
        <v>13</v>
      </c>
      <c r="E68" t="s">
        <v>42</v>
      </c>
      <c r="F68" t="s">
        <v>1068</v>
      </c>
      <c r="G68" t="s">
        <v>50</v>
      </c>
      <c r="H68" t="s">
        <v>16</v>
      </c>
      <c r="I68">
        <v>4511572460</v>
      </c>
      <c r="J68" t="s">
        <v>17</v>
      </c>
      <c r="K68" t="s">
        <v>20</v>
      </c>
      <c r="L68" s="29">
        <v>6</v>
      </c>
    </row>
    <row r="69" spans="1:12" x14ac:dyDescent="0.3">
      <c r="A69" t="s">
        <v>12</v>
      </c>
      <c r="B69">
        <v>70099880</v>
      </c>
      <c r="C69" t="s">
        <v>890</v>
      </c>
      <c r="D69" t="s">
        <v>13</v>
      </c>
      <c r="E69" t="s">
        <v>42</v>
      </c>
      <c r="F69" t="s">
        <v>1083</v>
      </c>
      <c r="G69" t="s">
        <v>26</v>
      </c>
      <c r="H69" t="s">
        <v>16</v>
      </c>
      <c r="I69">
        <v>4511572032</v>
      </c>
      <c r="J69" t="s">
        <v>17</v>
      </c>
      <c r="K69" t="s">
        <v>20</v>
      </c>
      <c r="L69" s="29">
        <v>10</v>
      </c>
    </row>
    <row r="70" spans="1:12" x14ac:dyDescent="0.3">
      <c r="A70" t="s">
        <v>12</v>
      </c>
      <c r="B70">
        <v>70100392</v>
      </c>
      <c r="C70" t="s">
        <v>53</v>
      </c>
      <c r="D70" t="s">
        <v>13</v>
      </c>
      <c r="E70" t="s">
        <v>54</v>
      </c>
      <c r="F70" t="s">
        <v>947</v>
      </c>
      <c r="G70" t="s">
        <v>28</v>
      </c>
      <c r="H70" t="s">
        <v>16</v>
      </c>
      <c r="I70">
        <v>5500024751</v>
      </c>
      <c r="J70" t="s">
        <v>17</v>
      </c>
      <c r="L70" s="29">
        <v>26</v>
      </c>
    </row>
    <row r="71" spans="1:12" x14ac:dyDescent="0.3">
      <c r="A71" t="s">
        <v>12</v>
      </c>
      <c r="B71">
        <v>70100392</v>
      </c>
      <c r="C71" t="s">
        <v>53</v>
      </c>
      <c r="D71" t="s">
        <v>13</v>
      </c>
      <c r="E71" t="s">
        <v>54</v>
      </c>
      <c r="F71" t="s">
        <v>986</v>
      </c>
      <c r="G71" t="s">
        <v>28</v>
      </c>
      <c r="H71" t="s">
        <v>16</v>
      </c>
      <c r="I71">
        <v>5500024751</v>
      </c>
      <c r="J71" t="s">
        <v>17</v>
      </c>
      <c r="L71" s="29">
        <v>31</v>
      </c>
    </row>
    <row r="72" spans="1:12" x14ac:dyDescent="0.3">
      <c r="A72" t="s">
        <v>12</v>
      </c>
      <c r="B72">
        <v>70100392</v>
      </c>
      <c r="C72" t="s">
        <v>53</v>
      </c>
      <c r="D72" t="s">
        <v>13</v>
      </c>
      <c r="E72" t="s">
        <v>54</v>
      </c>
      <c r="F72" t="s">
        <v>1021</v>
      </c>
      <c r="G72" t="s">
        <v>28</v>
      </c>
      <c r="H72" t="s">
        <v>16</v>
      </c>
      <c r="I72">
        <v>5500024751</v>
      </c>
      <c r="J72" t="s">
        <v>17</v>
      </c>
      <c r="L72" s="29">
        <v>35</v>
      </c>
    </row>
    <row r="73" spans="1:12" x14ac:dyDescent="0.3">
      <c r="A73" t="s">
        <v>12</v>
      </c>
      <c r="B73">
        <v>70100392</v>
      </c>
      <c r="C73" t="s">
        <v>53</v>
      </c>
      <c r="D73" t="s">
        <v>13</v>
      </c>
      <c r="E73" t="s">
        <v>54</v>
      </c>
      <c r="F73" t="s">
        <v>1030</v>
      </c>
      <c r="G73" t="s">
        <v>28</v>
      </c>
      <c r="H73" t="s">
        <v>16</v>
      </c>
      <c r="I73">
        <v>5500024751</v>
      </c>
      <c r="J73" t="s">
        <v>17</v>
      </c>
      <c r="L73" s="29">
        <v>19</v>
      </c>
    </row>
    <row r="74" spans="1:12" x14ac:dyDescent="0.3">
      <c r="A74" t="s">
        <v>12</v>
      </c>
      <c r="B74">
        <v>70100392</v>
      </c>
      <c r="C74" t="s">
        <v>53</v>
      </c>
      <c r="D74" t="s">
        <v>13</v>
      </c>
      <c r="E74" t="s">
        <v>54</v>
      </c>
      <c r="F74" t="s">
        <v>1046</v>
      </c>
      <c r="G74" t="s">
        <v>28</v>
      </c>
      <c r="H74" t="s">
        <v>16</v>
      </c>
      <c r="I74">
        <v>5500024751</v>
      </c>
      <c r="J74" t="s">
        <v>17</v>
      </c>
      <c r="L74" s="29">
        <v>35</v>
      </c>
    </row>
    <row r="75" spans="1:12" x14ac:dyDescent="0.3">
      <c r="A75" t="s">
        <v>12</v>
      </c>
      <c r="B75">
        <v>70100392</v>
      </c>
      <c r="C75" t="s">
        <v>53</v>
      </c>
      <c r="D75" t="s">
        <v>13</v>
      </c>
      <c r="E75" t="s">
        <v>54</v>
      </c>
      <c r="F75" t="s">
        <v>1094</v>
      </c>
      <c r="G75" t="s">
        <v>28</v>
      </c>
      <c r="H75" t="s">
        <v>16</v>
      </c>
      <c r="I75">
        <v>5500024751</v>
      </c>
      <c r="J75" t="s">
        <v>17</v>
      </c>
      <c r="L75" s="29">
        <v>41</v>
      </c>
    </row>
    <row r="76" spans="1:12" x14ac:dyDescent="0.3">
      <c r="A76" t="s">
        <v>12</v>
      </c>
      <c r="B76">
        <v>70108070</v>
      </c>
      <c r="C76" t="s">
        <v>875</v>
      </c>
      <c r="D76" t="s">
        <v>13</v>
      </c>
      <c r="E76" t="s">
        <v>42</v>
      </c>
      <c r="F76" t="s">
        <v>1095</v>
      </c>
      <c r="G76" t="s">
        <v>26</v>
      </c>
      <c r="H76" t="s">
        <v>16</v>
      </c>
      <c r="I76">
        <v>4511571650</v>
      </c>
      <c r="J76" t="s">
        <v>17</v>
      </c>
      <c r="K76" t="s">
        <v>30</v>
      </c>
      <c r="L76" s="29">
        <v>3</v>
      </c>
    </row>
    <row r="77" spans="1:12" x14ac:dyDescent="0.3">
      <c r="A77" t="s">
        <v>12</v>
      </c>
      <c r="B77">
        <v>70112201</v>
      </c>
      <c r="C77" t="s">
        <v>891</v>
      </c>
      <c r="D77" t="s">
        <v>13</v>
      </c>
      <c r="E77" t="s">
        <v>42</v>
      </c>
      <c r="F77" t="s">
        <v>1084</v>
      </c>
      <c r="G77" t="s">
        <v>50</v>
      </c>
      <c r="H77" t="s">
        <v>16</v>
      </c>
      <c r="I77">
        <v>4511567003</v>
      </c>
      <c r="J77" t="s">
        <v>23</v>
      </c>
      <c r="K77" t="s">
        <v>20</v>
      </c>
      <c r="L77" s="29">
        <v>8</v>
      </c>
    </row>
    <row r="78" spans="1:12" x14ac:dyDescent="0.3">
      <c r="A78" t="s">
        <v>12</v>
      </c>
      <c r="B78">
        <v>70113596</v>
      </c>
      <c r="C78" t="s">
        <v>1008</v>
      </c>
      <c r="D78" t="s">
        <v>888</v>
      </c>
      <c r="E78" t="s">
        <v>44</v>
      </c>
      <c r="F78" t="s">
        <v>1009</v>
      </c>
      <c r="G78" t="s">
        <v>26</v>
      </c>
      <c r="H78" t="s">
        <v>16</v>
      </c>
      <c r="I78">
        <v>4511573528</v>
      </c>
      <c r="J78" t="s">
        <v>17</v>
      </c>
      <c r="K78" t="s">
        <v>18</v>
      </c>
      <c r="L78" s="29">
        <v>2</v>
      </c>
    </row>
    <row r="79" spans="1:12" x14ac:dyDescent="0.3">
      <c r="A79" t="s">
        <v>12</v>
      </c>
      <c r="B79">
        <v>70118374</v>
      </c>
      <c r="C79" t="s">
        <v>932</v>
      </c>
      <c r="D79" t="s">
        <v>13</v>
      </c>
      <c r="E79" t="s">
        <v>316</v>
      </c>
      <c r="F79" t="s">
        <v>933</v>
      </c>
      <c r="G79" t="s">
        <v>26</v>
      </c>
      <c r="H79" t="s">
        <v>16</v>
      </c>
      <c r="I79">
        <v>4511573592</v>
      </c>
      <c r="J79" t="s">
        <v>23</v>
      </c>
      <c r="K79" t="s">
        <v>30</v>
      </c>
      <c r="L79" s="29">
        <v>8</v>
      </c>
    </row>
    <row r="80" spans="1:12" x14ac:dyDescent="0.3">
      <c r="A80" t="s">
        <v>12</v>
      </c>
      <c r="B80">
        <v>70128403</v>
      </c>
      <c r="C80" t="s">
        <v>867</v>
      </c>
      <c r="D80" t="s">
        <v>21</v>
      </c>
      <c r="E80" t="s">
        <v>17</v>
      </c>
      <c r="F80" t="s">
        <v>1038</v>
      </c>
      <c r="G80" t="s">
        <v>17</v>
      </c>
      <c r="H80" t="s">
        <v>17</v>
      </c>
      <c r="I80">
        <v>5500024888</v>
      </c>
      <c r="J80" t="s">
        <v>17</v>
      </c>
      <c r="L80" s="29">
        <v>1600</v>
      </c>
    </row>
    <row r="81" spans="1:12" x14ac:dyDescent="0.3">
      <c r="A81" t="s">
        <v>12</v>
      </c>
      <c r="B81">
        <v>70128403</v>
      </c>
      <c r="C81" t="s">
        <v>867</v>
      </c>
      <c r="D81" t="s">
        <v>21</v>
      </c>
      <c r="F81" t="s">
        <v>1079</v>
      </c>
      <c r="G81" t="s">
        <v>17</v>
      </c>
      <c r="H81" t="s">
        <v>17</v>
      </c>
      <c r="I81">
        <v>5500024888</v>
      </c>
      <c r="J81" t="s">
        <v>17</v>
      </c>
      <c r="L81" s="29">
        <v>1000</v>
      </c>
    </row>
    <row r="82" spans="1:12" x14ac:dyDescent="0.3">
      <c r="A82" t="s">
        <v>12</v>
      </c>
      <c r="B82">
        <v>70128403</v>
      </c>
      <c r="C82" t="s">
        <v>867</v>
      </c>
      <c r="D82" t="s">
        <v>21</v>
      </c>
      <c r="F82" t="s">
        <v>1102</v>
      </c>
      <c r="G82" t="s">
        <v>17</v>
      </c>
      <c r="H82" t="s">
        <v>17</v>
      </c>
      <c r="I82">
        <v>5500024888</v>
      </c>
      <c r="J82" t="s">
        <v>17</v>
      </c>
      <c r="L82" s="29">
        <v>2000</v>
      </c>
    </row>
    <row r="83" spans="1:12" x14ac:dyDescent="0.3">
      <c r="A83" t="s">
        <v>12</v>
      </c>
      <c r="B83">
        <v>70135105</v>
      </c>
      <c r="C83" t="s">
        <v>878</v>
      </c>
      <c r="D83" t="s">
        <v>43</v>
      </c>
      <c r="E83" t="s">
        <v>1180</v>
      </c>
      <c r="F83" t="s">
        <v>1090</v>
      </c>
      <c r="G83" t="s">
        <v>306</v>
      </c>
      <c r="H83" t="s">
        <v>16</v>
      </c>
      <c r="I83">
        <v>4511570356</v>
      </c>
      <c r="J83" t="s">
        <v>23</v>
      </c>
      <c r="K83" t="s">
        <v>20</v>
      </c>
      <c r="L83" s="29">
        <v>2</v>
      </c>
    </row>
    <row r="84" spans="1:12" x14ac:dyDescent="0.3">
      <c r="A84" t="s">
        <v>12</v>
      </c>
      <c r="B84">
        <v>70135106</v>
      </c>
      <c r="C84" t="s">
        <v>879</v>
      </c>
      <c r="D84" t="s">
        <v>43</v>
      </c>
      <c r="E84" t="s">
        <v>1180</v>
      </c>
      <c r="F84" t="s">
        <v>1090</v>
      </c>
      <c r="G84" t="s">
        <v>306</v>
      </c>
      <c r="H84" t="s">
        <v>16</v>
      </c>
      <c r="I84">
        <v>4511570356</v>
      </c>
      <c r="J84" t="s">
        <v>23</v>
      </c>
      <c r="K84" t="s">
        <v>20</v>
      </c>
      <c r="L84" s="29">
        <v>2</v>
      </c>
    </row>
    <row r="85" spans="1:12" x14ac:dyDescent="0.3">
      <c r="A85" t="s">
        <v>12</v>
      </c>
      <c r="B85">
        <v>70135107</v>
      </c>
      <c r="C85" t="s">
        <v>880</v>
      </c>
      <c r="D85" t="s">
        <v>43</v>
      </c>
      <c r="E85" t="s">
        <v>1180</v>
      </c>
      <c r="F85" t="s">
        <v>1090</v>
      </c>
      <c r="G85" t="s">
        <v>306</v>
      </c>
      <c r="H85" t="s">
        <v>16</v>
      </c>
      <c r="I85">
        <v>4511570356</v>
      </c>
      <c r="J85" t="s">
        <v>23</v>
      </c>
      <c r="K85" t="s">
        <v>20</v>
      </c>
      <c r="L85" s="29">
        <v>1</v>
      </c>
    </row>
    <row r="86" spans="1:12" x14ac:dyDescent="0.3">
      <c r="A86" t="s">
        <v>12</v>
      </c>
      <c r="B86">
        <v>70135249</v>
      </c>
      <c r="C86" t="s">
        <v>990</v>
      </c>
      <c r="D86" t="s">
        <v>13</v>
      </c>
      <c r="E86" t="s">
        <v>17</v>
      </c>
      <c r="F86" t="s">
        <v>991</v>
      </c>
      <c r="G86" t="s">
        <v>17</v>
      </c>
      <c r="H86" t="s">
        <v>17</v>
      </c>
      <c r="I86">
        <v>4511572837</v>
      </c>
      <c r="J86" t="s">
        <v>17</v>
      </c>
      <c r="K86" t="s">
        <v>20</v>
      </c>
      <c r="L86" s="29">
        <v>1</v>
      </c>
    </row>
    <row r="87" spans="1:12" x14ac:dyDescent="0.3">
      <c r="A87" t="s">
        <v>12</v>
      </c>
      <c r="B87" t="s">
        <v>1073</v>
      </c>
      <c r="C87" t="s">
        <v>930</v>
      </c>
      <c r="D87" t="s">
        <v>13</v>
      </c>
      <c r="E87" t="s">
        <v>42</v>
      </c>
      <c r="F87" t="s">
        <v>1068</v>
      </c>
      <c r="G87" t="s">
        <v>50</v>
      </c>
      <c r="H87" t="s">
        <v>16</v>
      </c>
      <c r="I87">
        <v>4511572460</v>
      </c>
      <c r="J87" t="s">
        <v>17</v>
      </c>
      <c r="K87" t="s">
        <v>20</v>
      </c>
      <c r="L87" s="29">
        <v>12</v>
      </c>
    </row>
    <row r="88" spans="1:12" x14ac:dyDescent="0.3">
      <c r="A88" t="s">
        <v>12</v>
      </c>
      <c r="B88" t="s">
        <v>1103</v>
      </c>
      <c r="C88" t="s">
        <v>868</v>
      </c>
      <c r="D88" t="s">
        <v>13</v>
      </c>
      <c r="E88" t="s">
        <v>161</v>
      </c>
      <c r="F88" t="s">
        <v>1104</v>
      </c>
      <c r="G88" t="s">
        <v>26</v>
      </c>
      <c r="H88" t="s">
        <v>16</v>
      </c>
      <c r="I88">
        <v>4511570926</v>
      </c>
      <c r="J88" t="s">
        <v>17</v>
      </c>
      <c r="K88" t="s">
        <v>20</v>
      </c>
      <c r="L88" s="29">
        <v>4</v>
      </c>
    </row>
    <row r="89" spans="1:12" x14ac:dyDescent="0.3">
      <c r="A89" t="s">
        <v>12</v>
      </c>
      <c r="B89" t="s">
        <v>970</v>
      </c>
      <c r="C89" t="s">
        <v>971</v>
      </c>
      <c r="D89" t="s">
        <v>21</v>
      </c>
      <c r="E89" t="s">
        <v>22</v>
      </c>
      <c r="F89" t="s">
        <v>960</v>
      </c>
      <c r="G89" t="s">
        <v>50</v>
      </c>
      <c r="H89" t="s">
        <v>16</v>
      </c>
      <c r="I89">
        <v>4511573901</v>
      </c>
      <c r="J89" t="s">
        <v>17</v>
      </c>
      <c r="K89" t="s">
        <v>20</v>
      </c>
      <c r="L89" s="29">
        <v>1</v>
      </c>
    </row>
    <row r="90" spans="1:12" x14ac:dyDescent="0.3">
      <c r="A90" t="s">
        <v>12</v>
      </c>
      <c r="B90" t="s">
        <v>203</v>
      </c>
      <c r="C90" t="s">
        <v>923</v>
      </c>
      <c r="D90" t="s">
        <v>13</v>
      </c>
      <c r="E90" t="s">
        <v>22</v>
      </c>
      <c r="F90" t="s">
        <v>1072</v>
      </c>
      <c r="G90" t="s">
        <v>15</v>
      </c>
      <c r="H90" t="s">
        <v>16</v>
      </c>
      <c r="I90">
        <v>4511571461</v>
      </c>
      <c r="J90" t="s">
        <v>23</v>
      </c>
      <c r="K90" t="s">
        <v>20</v>
      </c>
      <c r="L90" s="29">
        <v>35</v>
      </c>
    </row>
    <row r="91" spans="1:12" x14ac:dyDescent="0.3">
      <c r="A91" t="s">
        <v>12</v>
      </c>
      <c r="B91" t="s">
        <v>57</v>
      </c>
      <c r="C91" t="s">
        <v>58</v>
      </c>
      <c r="D91" t="s">
        <v>19</v>
      </c>
      <c r="E91" t="s">
        <v>22</v>
      </c>
      <c r="F91" t="s">
        <v>960</v>
      </c>
      <c r="G91" t="s">
        <v>15</v>
      </c>
      <c r="H91" t="s">
        <v>16</v>
      </c>
      <c r="I91">
        <v>4511573901</v>
      </c>
      <c r="J91" t="s">
        <v>17</v>
      </c>
      <c r="K91" t="s">
        <v>20</v>
      </c>
      <c r="L91" s="29">
        <v>10</v>
      </c>
    </row>
    <row r="92" spans="1:12" x14ac:dyDescent="0.3">
      <c r="A92" t="s">
        <v>12</v>
      </c>
      <c r="B92" t="s">
        <v>948</v>
      </c>
      <c r="C92" t="s">
        <v>949</v>
      </c>
      <c r="D92" t="s">
        <v>21</v>
      </c>
      <c r="E92" t="s">
        <v>89</v>
      </c>
      <c r="F92" t="s">
        <v>950</v>
      </c>
      <c r="G92" t="s">
        <v>326</v>
      </c>
      <c r="H92" t="s">
        <v>16</v>
      </c>
      <c r="I92">
        <v>4511574160</v>
      </c>
      <c r="J92" t="s">
        <v>17</v>
      </c>
      <c r="K92" t="s">
        <v>20</v>
      </c>
      <c r="L92" s="29">
        <v>100</v>
      </c>
    </row>
    <row r="93" spans="1:12" x14ac:dyDescent="0.3">
      <c r="A93" t="s">
        <v>12</v>
      </c>
      <c r="B93" t="s">
        <v>92</v>
      </c>
      <c r="C93" t="s">
        <v>885</v>
      </c>
      <c r="D93" t="s">
        <v>31</v>
      </c>
      <c r="E93" t="s">
        <v>91</v>
      </c>
      <c r="F93" t="s">
        <v>975</v>
      </c>
      <c r="G93" t="s">
        <v>1114</v>
      </c>
      <c r="H93" t="s">
        <v>16</v>
      </c>
      <c r="I93">
        <v>4511573749</v>
      </c>
      <c r="J93" t="s">
        <v>17</v>
      </c>
      <c r="K93" t="s">
        <v>20</v>
      </c>
      <c r="L93" s="29">
        <v>10000</v>
      </c>
    </row>
    <row r="94" spans="1:12" x14ac:dyDescent="0.3">
      <c r="A94" t="s">
        <v>12</v>
      </c>
      <c r="B94" t="s">
        <v>92</v>
      </c>
      <c r="C94" t="s">
        <v>885</v>
      </c>
      <c r="D94" t="s">
        <v>31</v>
      </c>
      <c r="E94" t="s">
        <v>91</v>
      </c>
      <c r="F94" t="s">
        <v>976</v>
      </c>
      <c r="G94" t="s">
        <v>1114</v>
      </c>
      <c r="H94" t="s">
        <v>16</v>
      </c>
      <c r="I94">
        <v>4511573749</v>
      </c>
      <c r="J94" t="s">
        <v>17</v>
      </c>
      <c r="K94" t="s">
        <v>20</v>
      </c>
      <c r="L94" s="29">
        <v>10000</v>
      </c>
    </row>
    <row r="95" spans="1:12" x14ac:dyDescent="0.3">
      <c r="A95" t="s">
        <v>12</v>
      </c>
      <c r="B95" t="s">
        <v>951</v>
      </c>
      <c r="C95" t="s">
        <v>952</v>
      </c>
      <c r="D95" t="s">
        <v>31</v>
      </c>
      <c r="E95" t="s">
        <v>1110</v>
      </c>
      <c r="F95" t="s">
        <v>953</v>
      </c>
      <c r="G95" t="s">
        <v>326</v>
      </c>
      <c r="H95" t="s">
        <v>16</v>
      </c>
      <c r="I95">
        <v>4511574248</v>
      </c>
      <c r="J95" t="s">
        <v>17</v>
      </c>
      <c r="K95" t="s">
        <v>20</v>
      </c>
      <c r="L95" s="29">
        <v>680</v>
      </c>
    </row>
    <row r="96" spans="1:12" x14ac:dyDescent="0.3">
      <c r="J96"/>
    </row>
    <row r="97" spans="10:10" x14ac:dyDescent="0.3">
      <c r="J97"/>
    </row>
    <row r="98" spans="10:10" x14ac:dyDescent="0.3">
      <c r="J98"/>
    </row>
    <row r="99" spans="10:10" x14ac:dyDescent="0.3">
      <c r="J99"/>
    </row>
    <row r="100" spans="10:10" x14ac:dyDescent="0.3">
      <c r="J100"/>
    </row>
    <row r="101" spans="10:10" x14ac:dyDescent="0.3">
      <c r="J101"/>
    </row>
    <row r="102" spans="10:10" x14ac:dyDescent="0.3">
      <c r="J102"/>
    </row>
    <row r="103" spans="10:10" x14ac:dyDescent="0.3">
      <c r="J103"/>
    </row>
    <row r="104" spans="10:10" x14ac:dyDescent="0.3">
      <c r="J104"/>
    </row>
    <row r="105" spans="10:10" x14ac:dyDescent="0.3">
      <c r="J105"/>
    </row>
    <row r="106" spans="10:10" x14ac:dyDescent="0.3">
      <c r="J106"/>
    </row>
    <row r="107" spans="10:10" x14ac:dyDescent="0.3">
      <c r="J107"/>
    </row>
    <row r="108" spans="10:10" x14ac:dyDescent="0.3">
      <c r="J108"/>
    </row>
    <row r="109" spans="10:10" x14ac:dyDescent="0.3">
      <c r="J109"/>
    </row>
    <row r="110" spans="10:10" x14ac:dyDescent="0.3">
      <c r="J110"/>
    </row>
    <row r="111" spans="10:10" x14ac:dyDescent="0.3">
      <c r="J111"/>
    </row>
    <row r="112" spans="10:10" x14ac:dyDescent="0.3">
      <c r="J112"/>
    </row>
    <row r="113" spans="10:10" x14ac:dyDescent="0.3">
      <c r="J113"/>
    </row>
    <row r="114" spans="10:10" x14ac:dyDescent="0.3">
      <c r="J114"/>
    </row>
    <row r="115" spans="10:10" x14ac:dyDescent="0.3">
      <c r="J115"/>
    </row>
    <row r="116" spans="10:10" x14ac:dyDescent="0.3">
      <c r="J116"/>
    </row>
    <row r="117" spans="10:10" x14ac:dyDescent="0.3">
      <c r="J117"/>
    </row>
    <row r="118" spans="10:10" x14ac:dyDescent="0.3">
      <c r="J118"/>
    </row>
    <row r="119" spans="10:10" x14ac:dyDescent="0.3">
      <c r="J119"/>
    </row>
    <row r="120" spans="10:10" x14ac:dyDescent="0.3">
      <c r="J120"/>
    </row>
    <row r="121" spans="10:10" x14ac:dyDescent="0.3">
      <c r="J121"/>
    </row>
    <row r="122" spans="10:10" x14ac:dyDescent="0.3">
      <c r="J122"/>
    </row>
    <row r="123" spans="10:10" x14ac:dyDescent="0.3">
      <c r="J123"/>
    </row>
    <row r="124" spans="10:10" x14ac:dyDescent="0.3">
      <c r="J124"/>
    </row>
    <row r="125" spans="10:10" x14ac:dyDescent="0.3">
      <c r="J125"/>
    </row>
    <row r="126" spans="10:10" x14ac:dyDescent="0.3">
      <c r="J126"/>
    </row>
    <row r="127" spans="10:10" x14ac:dyDescent="0.3">
      <c r="J127"/>
    </row>
    <row r="128" spans="10:10" x14ac:dyDescent="0.3">
      <c r="J128"/>
    </row>
    <row r="129" spans="10:10" x14ac:dyDescent="0.3">
      <c r="J129"/>
    </row>
    <row r="130" spans="10:10" x14ac:dyDescent="0.3">
      <c r="J130"/>
    </row>
    <row r="131" spans="10:10" x14ac:dyDescent="0.3">
      <c r="J131"/>
    </row>
    <row r="132" spans="10:10" x14ac:dyDescent="0.3">
      <c r="J132"/>
    </row>
    <row r="133" spans="10:10" x14ac:dyDescent="0.3">
      <c r="J133"/>
    </row>
    <row r="134" spans="10:10" x14ac:dyDescent="0.3">
      <c r="J134"/>
    </row>
    <row r="135" spans="10:10" x14ac:dyDescent="0.3">
      <c r="J135"/>
    </row>
    <row r="136" spans="10:10" x14ac:dyDescent="0.3">
      <c r="J136"/>
    </row>
    <row r="137" spans="10:10" x14ac:dyDescent="0.3">
      <c r="J137"/>
    </row>
    <row r="138" spans="10:10" x14ac:dyDescent="0.3">
      <c r="J138"/>
    </row>
    <row r="139" spans="10:10" x14ac:dyDescent="0.3">
      <c r="J139"/>
    </row>
    <row r="140" spans="10:10" x14ac:dyDescent="0.3">
      <c r="J140"/>
    </row>
    <row r="141" spans="10:10" x14ac:dyDescent="0.3">
      <c r="J141"/>
    </row>
    <row r="142" spans="10:10" x14ac:dyDescent="0.3">
      <c r="J142"/>
    </row>
    <row r="143" spans="10:10" x14ac:dyDescent="0.3">
      <c r="J143"/>
    </row>
    <row r="144" spans="10:10" x14ac:dyDescent="0.3">
      <c r="J144"/>
    </row>
    <row r="145" spans="10:10" x14ac:dyDescent="0.3">
      <c r="J145"/>
    </row>
    <row r="146" spans="10:10" x14ac:dyDescent="0.3">
      <c r="J146"/>
    </row>
    <row r="147" spans="10:10" x14ac:dyDescent="0.3">
      <c r="J147"/>
    </row>
    <row r="148" spans="10:10" x14ac:dyDescent="0.3">
      <c r="J148"/>
    </row>
    <row r="149" spans="10:10" x14ac:dyDescent="0.3">
      <c r="J149"/>
    </row>
    <row r="150" spans="10:10" x14ac:dyDescent="0.3">
      <c r="J150"/>
    </row>
    <row r="151" spans="10:10" x14ac:dyDescent="0.3">
      <c r="J151"/>
    </row>
    <row r="152" spans="10:10" x14ac:dyDescent="0.3">
      <c r="J152"/>
    </row>
    <row r="153" spans="10:10" x14ac:dyDescent="0.3">
      <c r="J153"/>
    </row>
    <row r="154" spans="10:10" x14ac:dyDescent="0.3">
      <c r="J154"/>
    </row>
    <row r="155" spans="10:10" x14ac:dyDescent="0.3">
      <c r="J155"/>
    </row>
    <row r="156" spans="10:10" x14ac:dyDescent="0.3">
      <c r="J156"/>
    </row>
    <row r="157" spans="10:10" x14ac:dyDescent="0.3">
      <c r="J157"/>
    </row>
    <row r="158" spans="10:10" x14ac:dyDescent="0.3">
      <c r="J158"/>
    </row>
    <row r="159" spans="10:10" x14ac:dyDescent="0.3">
      <c r="J159"/>
    </row>
    <row r="160" spans="10:10" x14ac:dyDescent="0.3">
      <c r="J160"/>
    </row>
    <row r="161" spans="10:10" x14ac:dyDescent="0.3">
      <c r="J161"/>
    </row>
    <row r="162" spans="10:10" x14ac:dyDescent="0.3">
      <c r="J162"/>
    </row>
    <row r="163" spans="10:10" x14ac:dyDescent="0.3">
      <c r="J163"/>
    </row>
    <row r="164" spans="10:10" x14ac:dyDescent="0.3">
      <c r="J164"/>
    </row>
    <row r="165" spans="10:10" x14ac:dyDescent="0.3">
      <c r="J165"/>
    </row>
    <row r="166" spans="10:10" x14ac:dyDescent="0.3">
      <c r="J166"/>
    </row>
    <row r="167" spans="10:10" x14ac:dyDescent="0.3">
      <c r="J167"/>
    </row>
    <row r="168" spans="10:10" x14ac:dyDescent="0.3">
      <c r="J168"/>
    </row>
    <row r="169" spans="10:10" x14ac:dyDescent="0.3">
      <c r="J169"/>
    </row>
    <row r="170" spans="10:10" x14ac:dyDescent="0.3">
      <c r="J170"/>
    </row>
    <row r="171" spans="10:10" x14ac:dyDescent="0.3">
      <c r="J171"/>
    </row>
    <row r="172" spans="10:10" x14ac:dyDescent="0.3">
      <c r="J172"/>
    </row>
    <row r="173" spans="10:10" x14ac:dyDescent="0.3">
      <c r="J173"/>
    </row>
    <row r="174" spans="10:10" x14ac:dyDescent="0.3">
      <c r="J174"/>
    </row>
    <row r="175" spans="10:10" x14ac:dyDescent="0.3">
      <c r="J175"/>
    </row>
    <row r="176" spans="10:10" x14ac:dyDescent="0.3">
      <c r="J176"/>
    </row>
    <row r="177" spans="10:10" x14ac:dyDescent="0.3">
      <c r="J177"/>
    </row>
    <row r="178" spans="10:10" x14ac:dyDescent="0.3">
      <c r="J178"/>
    </row>
    <row r="179" spans="10:10" x14ac:dyDescent="0.3">
      <c r="J179"/>
    </row>
    <row r="180" spans="10:10" x14ac:dyDescent="0.3">
      <c r="J180"/>
    </row>
    <row r="181" spans="10:10" x14ac:dyDescent="0.3">
      <c r="J181"/>
    </row>
    <row r="182" spans="10:10" x14ac:dyDescent="0.3">
      <c r="J182"/>
    </row>
    <row r="183" spans="10:10" x14ac:dyDescent="0.3">
      <c r="J183"/>
    </row>
    <row r="184" spans="10:10" x14ac:dyDescent="0.3">
      <c r="J184"/>
    </row>
    <row r="185" spans="10:10" x14ac:dyDescent="0.3">
      <c r="J185"/>
    </row>
    <row r="186" spans="10:10" x14ac:dyDescent="0.3">
      <c r="J186"/>
    </row>
    <row r="187" spans="10:10" x14ac:dyDescent="0.3">
      <c r="J187"/>
    </row>
    <row r="188" spans="10:10" x14ac:dyDescent="0.3">
      <c r="J188"/>
    </row>
    <row r="189" spans="10:10" x14ac:dyDescent="0.3">
      <c r="J189"/>
    </row>
    <row r="190" spans="10:10" x14ac:dyDescent="0.3">
      <c r="J190"/>
    </row>
    <row r="191" spans="10:10" x14ac:dyDescent="0.3">
      <c r="J191"/>
    </row>
    <row r="192" spans="10:10" x14ac:dyDescent="0.3">
      <c r="J192"/>
    </row>
    <row r="193" spans="10:10" x14ac:dyDescent="0.3">
      <c r="J193"/>
    </row>
    <row r="194" spans="10:10" x14ac:dyDescent="0.3">
      <c r="J194"/>
    </row>
    <row r="195" spans="10:10" x14ac:dyDescent="0.3">
      <c r="J195"/>
    </row>
    <row r="196" spans="10:10" x14ac:dyDescent="0.3">
      <c r="J196"/>
    </row>
    <row r="197" spans="10:10" x14ac:dyDescent="0.3">
      <c r="J197"/>
    </row>
    <row r="198" spans="10:10" x14ac:dyDescent="0.3">
      <c r="J198"/>
    </row>
    <row r="199" spans="10:10" x14ac:dyDescent="0.3">
      <c r="J199"/>
    </row>
    <row r="200" spans="10:10" x14ac:dyDescent="0.3">
      <c r="J200"/>
    </row>
    <row r="201" spans="10:10" x14ac:dyDescent="0.3">
      <c r="J201"/>
    </row>
    <row r="202" spans="10:10" x14ac:dyDescent="0.3">
      <c r="J202"/>
    </row>
    <row r="203" spans="10:10" x14ac:dyDescent="0.3">
      <c r="J203"/>
    </row>
    <row r="204" spans="10:10" x14ac:dyDescent="0.3">
      <c r="J204"/>
    </row>
    <row r="205" spans="10:10" x14ac:dyDescent="0.3">
      <c r="J205"/>
    </row>
    <row r="206" spans="10:10" x14ac:dyDescent="0.3">
      <c r="J206"/>
    </row>
    <row r="207" spans="10:10" x14ac:dyDescent="0.3">
      <c r="J207"/>
    </row>
    <row r="208" spans="10:10" x14ac:dyDescent="0.3">
      <c r="J208"/>
    </row>
    <row r="209" spans="10:10" x14ac:dyDescent="0.3">
      <c r="J209"/>
    </row>
    <row r="210" spans="10:10" x14ac:dyDescent="0.3">
      <c r="J210"/>
    </row>
    <row r="211" spans="10:10" x14ac:dyDescent="0.3">
      <c r="J211"/>
    </row>
    <row r="212" spans="10:10" x14ac:dyDescent="0.3">
      <c r="J212"/>
    </row>
    <row r="213" spans="10:10" x14ac:dyDescent="0.3">
      <c r="J213"/>
    </row>
    <row r="214" spans="10:10" x14ac:dyDescent="0.3">
      <c r="J214"/>
    </row>
    <row r="215" spans="10:10" x14ac:dyDescent="0.3">
      <c r="J215"/>
    </row>
    <row r="216" spans="10:10" x14ac:dyDescent="0.3">
      <c r="J216"/>
    </row>
    <row r="217" spans="10:10" x14ac:dyDescent="0.3">
      <c r="J217"/>
    </row>
    <row r="218" spans="10:10" x14ac:dyDescent="0.3">
      <c r="J218"/>
    </row>
    <row r="219" spans="10:10" x14ac:dyDescent="0.3">
      <c r="J219"/>
    </row>
    <row r="220" spans="10:10" x14ac:dyDescent="0.3">
      <c r="J220"/>
    </row>
    <row r="221" spans="10:10" x14ac:dyDescent="0.3">
      <c r="J221"/>
    </row>
    <row r="222" spans="10:10" x14ac:dyDescent="0.3">
      <c r="J222"/>
    </row>
    <row r="223" spans="10:10" x14ac:dyDescent="0.3">
      <c r="J223"/>
    </row>
    <row r="224" spans="10:10" x14ac:dyDescent="0.3">
      <c r="J224"/>
    </row>
    <row r="225" spans="10:10" x14ac:dyDescent="0.3">
      <c r="J225"/>
    </row>
    <row r="226" spans="10:10" x14ac:dyDescent="0.3">
      <c r="J226"/>
    </row>
    <row r="227" spans="10:10" x14ac:dyDescent="0.3">
      <c r="J227"/>
    </row>
    <row r="228" spans="10:10" x14ac:dyDescent="0.3">
      <c r="J228"/>
    </row>
    <row r="229" spans="10:10" x14ac:dyDescent="0.3">
      <c r="J229"/>
    </row>
    <row r="230" spans="10:10" x14ac:dyDescent="0.3">
      <c r="J230"/>
    </row>
    <row r="231" spans="10:10" x14ac:dyDescent="0.3">
      <c r="J231"/>
    </row>
    <row r="232" spans="10:10" x14ac:dyDescent="0.3">
      <c r="J232"/>
    </row>
    <row r="233" spans="10:10" x14ac:dyDescent="0.3">
      <c r="J233"/>
    </row>
    <row r="234" spans="10:10" x14ac:dyDescent="0.3">
      <c r="J234"/>
    </row>
    <row r="235" spans="10:10" x14ac:dyDescent="0.3">
      <c r="J235"/>
    </row>
    <row r="236" spans="10:10" x14ac:dyDescent="0.3">
      <c r="J236"/>
    </row>
    <row r="237" spans="10:10" x14ac:dyDescent="0.3">
      <c r="J237"/>
    </row>
    <row r="238" spans="10:10" x14ac:dyDescent="0.3">
      <c r="J238"/>
    </row>
    <row r="239" spans="10:10" x14ac:dyDescent="0.3">
      <c r="J239"/>
    </row>
    <row r="240" spans="10:10" x14ac:dyDescent="0.3">
      <c r="J240"/>
    </row>
    <row r="241" spans="10:10" x14ac:dyDescent="0.3">
      <c r="J241"/>
    </row>
    <row r="242" spans="10:10" x14ac:dyDescent="0.3">
      <c r="J242"/>
    </row>
    <row r="243" spans="10:10" x14ac:dyDescent="0.3">
      <c r="J243"/>
    </row>
    <row r="244" spans="10:10" x14ac:dyDescent="0.3">
      <c r="J244"/>
    </row>
    <row r="245" spans="10:10" x14ac:dyDescent="0.3">
      <c r="J245"/>
    </row>
    <row r="246" spans="10:10" x14ac:dyDescent="0.3">
      <c r="J246"/>
    </row>
    <row r="247" spans="10:10" x14ac:dyDescent="0.3">
      <c r="J247"/>
    </row>
    <row r="248" spans="10:10" x14ac:dyDescent="0.3">
      <c r="J248"/>
    </row>
    <row r="249" spans="10:10" x14ac:dyDescent="0.3">
      <c r="J249"/>
    </row>
    <row r="250" spans="10:10" x14ac:dyDescent="0.3">
      <c r="J250"/>
    </row>
    <row r="251" spans="10:10" x14ac:dyDescent="0.3">
      <c r="J251"/>
    </row>
    <row r="252" spans="10:10" x14ac:dyDescent="0.3">
      <c r="J252"/>
    </row>
    <row r="253" spans="10:10" x14ac:dyDescent="0.3">
      <c r="J253"/>
    </row>
    <row r="254" spans="10:10" x14ac:dyDescent="0.3">
      <c r="J254"/>
    </row>
    <row r="255" spans="10:10" x14ac:dyDescent="0.3">
      <c r="J255"/>
    </row>
    <row r="256" spans="10:10" x14ac:dyDescent="0.3">
      <c r="J256"/>
    </row>
    <row r="257" customFormat="1" x14ac:dyDescent="0.3"/>
    <row r="258" customFormat="1" x14ac:dyDescent="0.3"/>
    <row r="259" customFormat="1" x14ac:dyDescent="0.3"/>
    <row r="260" customFormat="1" x14ac:dyDescent="0.3"/>
    <row r="261" customFormat="1" x14ac:dyDescent="0.3"/>
    <row r="262" customFormat="1" x14ac:dyDescent="0.3"/>
    <row r="263" customFormat="1" x14ac:dyDescent="0.3"/>
    <row r="264" customFormat="1" x14ac:dyDescent="0.3"/>
    <row r="265" customFormat="1" x14ac:dyDescent="0.3"/>
    <row r="266" customFormat="1" x14ac:dyDescent="0.3"/>
    <row r="267" customFormat="1" x14ac:dyDescent="0.3"/>
    <row r="268" customFormat="1" x14ac:dyDescent="0.3"/>
    <row r="269" customFormat="1" x14ac:dyDescent="0.3"/>
    <row r="270" customFormat="1" x14ac:dyDescent="0.3"/>
    <row r="271" customFormat="1" x14ac:dyDescent="0.3"/>
    <row r="272" customFormat="1" x14ac:dyDescent="0.3"/>
    <row r="273" customFormat="1" x14ac:dyDescent="0.3"/>
    <row r="274" customFormat="1" x14ac:dyDescent="0.3"/>
    <row r="275" customFormat="1" x14ac:dyDescent="0.3"/>
    <row r="276" customFormat="1" x14ac:dyDescent="0.3"/>
    <row r="277" customFormat="1" x14ac:dyDescent="0.3"/>
    <row r="278" customFormat="1" x14ac:dyDescent="0.3"/>
    <row r="279" customFormat="1" x14ac:dyDescent="0.3"/>
    <row r="280" customFormat="1" x14ac:dyDescent="0.3"/>
    <row r="281" customFormat="1" x14ac:dyDescent="0.3"/>
    <row r="282" customFormat="1" x14ac:dyDescent="0.3"/>
    <row r="283" customFormat="1" x14ac:dyDescent="0.3"/>
    <row r="284" customFormat="1" x14ac:dyDescent="0.3"/>
    <row r="285" customFormat="1" x14ac:dyDescent="0.3"/>
    <row r="286" customFormat="1" x14ac:dyDescent="0.3"/>
    <row r="287" customFormat="1" x14ac:dyDescent="0.3"/>
    <row r="288" customFormat="1" x14ac:dyDescent="0.3"/>
    <row r="289" customFormat="1" x14ac:dyDescent="0.3"/>
    <row r="290" customFormat="1" x14ac:dyDescent="0.3"/>
    <row r="291" customFormat="1" x14ac:dyDescent="0.3"/>
    <row r="292" customFormat="1" x14ac:dyDescent="0.3"/>
    <row r="293" customFormat="1" x14ac:dyDescent="0.3"/>
    <row r="294" customFormat="1" x14ac:dyDescent="0.3"/>
    <row r="295" customFormat="1" x14ac:dyDescent="0.3"/>
    <row r="296" customFormat="1" x14ac:dyDescent="0.3"/>
    <row r="297" customFormat="1" x14ac:dyDescent="0.3"/>
    <row r="298" customFormat="1" x14ac:dyDescent="0.3"/>
    <row r="299" customFormat="1" x14ac:dyDescent="0.3"/>
    <row r="300" customFormat="1" x14ac:dyDescent="0.3"/>
    <row r="301" customFormat="1" x14ac:dyDescent="0.3"/>
    <row r="302" customFormat="1" x14ac:dyDescent="0.3"/>
    <row r="303" customFormat="1" x14ac:dyDescent="0.3"/>
    <row r="304" customFormat="1" x14ac:dyDescent="0.3"/>
    <row r="305" customFormat="1" x14ac:dyDescent="0.3"/>
    <row r="306" customFormat="1" x14ac:dyDescent="0.3"/>
    <row r="307" customFormat="1" x14ac:dyDescent="0.3"/>
    <row r="308" customFormat="1" x14ac:dyDescent="0.3"/>
    <row r="309" customFormat="1" x14ac:dyDescent="0.3"/>
    <row r="310" customFormat="1" x14ac:dyDescent="0.3"/>
    <row r="311" customFormat="1" x14ac:dyDescent="0.3"/>
    <row r="312" customFormat="1" x14ac:dyDescent="0.3"/>
    <row r="313" customFormat="1" x14ac:dyDescent="0.3"/>
    <row r="314" customFormat="1" x14ac:dyDescent="0.3"/>
    <row r="315" customFormat="1" x14ac:dyDescent="0.3"/>
    <row r="316" customFormat="1" x14ac:dyDescent="0.3"/>
    <row r="317" customFormat="1" x14ac:dyDescent="0.3"/>
    <row r="318" customFormat="1" x14ac:dyDescent="0.3"/>
    <row r="319" customFormat="1" x14ac:dyDescent="0.3"/>
    <row r="320" customFormat="1" x14ac:dyDescent="0.3"/>
    <row r="321" customFormat="1" x14ac:dyDescent="0.3"/>
    <row r="322" customFormat="1" x14ac:dyDescent="0.3"/>
    <row r="323" customFormat="1" x14ac:dyDescent="0.3"/>
    <row r="324" customFormat="1" x14ac:dyDescent="0.3"/>
    <row r="325" customFormat="1" x14ac:dyDescent="0.3"/>
    <row r="326" customFormat="1" x14ac:dyDescent="0.3"/>
    <row r="327" customFormat="1" x14ac:dyDescent="0.3"/>
    <row r="328" customFormat="1" x14ac:dyDescent="0.3"/>
    <row r="329" customFormat="1" x14ac:dyDescent="0.3"/>
    <row r="330" customFormat="1" x14ac:dyDescent="0.3"/>
    <row r="331" customFormat="1" x14ac:dyDescent="0.3"/>
    <row r="332" customFormat="1" x14ac:dyDescent="0.3"/>
    <row r="333" customFormat="1" x14ac:dyDescent="0.3"/>
    <row r="334" customFormat="1" x14ac:dyDescent="0.3"/>
    <row r="335" customFormat="1" x14ac:dyDescent="0.3"/>
    <row r="336" customFormat="1" x14ac:dyDescent="0.3"/>
    <row r="337" customFormat="1" x14ac:dyDescent="0.3"/>
    <row r="338" customFormat="1" x14ac:dyDescent="0.3"/>
    <row r="339" customFormat="1" x14ac:dyDescent="0.3"/>
    <row r="340" customFormat="1" x14ac:dyDescent="0.3"/>
    <row r="341" customFormat="1" x14ac:dyDescent="0.3"/>
    <row r="342" customFormat="1" x14ac:dyDescent="0.3"/>
    <row r="343" customFormat="1" x14ac:dyDescent="0.3"/>
    <row r="344" customFormat="1" x14ac:dyDescent="0.3"/>
    <row r="345" customFormat="1" x14ac:dyDescent="0.3"/>
    <row r="346" customFormat="1" x14ac:dyDescent="0.3"/>
    <row r="347" customFormat="1" x14ac:dyDescent="0.3"/>
    <row r="348" customFormat="1" x14ac:dyDescent="0.3"/>
    <row r="349" customFormat="1" x14ac:dyDescent="0.3"/>
    <row r="350" customFormat="1" x14ac:dyDescent="0.3"/>
    <row r="351" customFormat="1" x14ac:dyDescent="0.3"/>
    <row r="352" customFormat="1" x14ac:dyDescent="0.3"/>
    <row r="353" customFormat="1" x14ac:dyDescent="0.3"/>
    <row r="354" customFormat="1" x14ac:dyDescent="0.3"/>
    <row r="355" customFormat="1" x14ac:dyDescent="0.3"/>
    <row r="356" customFormat="1" x14ac:dyDescent="0.3"/>
    <row r="357" customFormat="1" x14ac:dyDescent="0.3"/>
    <row r="358" customFormat="1" x14ac:dyDescent="0.3"/>
    <row r="359" customFormat="1" x14ac:dyDescent="0.3"/>
    <row r="360" customFormat="1" x14ac:dyDescent="0.3"/>
    <row r="361" customFormat="1" x14ac:dyDescent="0.3"/>
    <row r="362" customFormat="1" x14ac:dyDescent="0.3"/>
    <row r="363" customFormat="1" x14ac:dyDescent="0.3"/>
    <row r="364" customFormat="1" x14ac:dyDescent="0.3"/>
    <row r="365" customFormat="1" x14ac:dyDescent="0.3"/>
    <row r="366" customFormat="1" x14ac:dyDescent="0.3"/>
    <row r="367" customFormat="1" x14ac:dyDescent="0.3"/>
    <row r="368" customFormat="1" x14ac:dyDescent="0.3"/>
    <row r="369" customFormat="1" x14ac:dyDescent="0.3"/>
    <row r="370" customFormat="1" x14ac:dyDescent="0.3"/>
    <row r="371" customFormat="1" x14ac:dyDescent="0.3"/>
    <row r="372" customFormat="1" x14ac:dyDescent="0.3"/>
    <row r="373" customFormat="1" x14ac:dyDescent="0.3"/>
    <row r="374" customFormat="1" x14ac:dyDescent="0.3"/>
    <row r="375" customFormat="1" x14ac:dyDescent="0.3"/>
    <row r="376" customFormat="1" x14ac:dyDescent="0.3"/>
    <row r="377" customFormat="1" x14ac:dyDescent="0.3"/>
    <row r="378" customFormat="1" x14ac:dyDescent="0.3"/>
    <row r="379" customFormat="1" x14ac:dyDescent="0.3"/>
    <row r="380" customFormat="1" x14ac:dyDescent="0.3"/>
    <row r="381" customFormat="1" x14ac:dyDescent="0.3"/>
    <row r="382" customFormat="1" x14ac:dyDescent="0.3"/>
    <row r="383" customFormat="1" x14ac:dyDescent="0.3"/>
    <row r="384" customFormat="1" x14ac:dyDescent="0.3"/>
    <row r="385" customFormat="1" x14ac:dyDescent="0.3"/>
    <row r="386" customFormat="1" x14ac:dyDescent="0.3"/>
    <row r="387" customFormat="1" x14ac:dyDescent="0.3"/>
    <row r="388" customFormat="1" x14ac:dyDescent="0.3"/>
    <row r="389" customFormat="1" x14ac:dyDescent="0.3"/>
    <row r="390" customFormat="1" x14ac:dyDescent="0.3"/>
    <row r="391" customFormat="1" x14ac:dyDescent="0.3"/>
    <row r="392" customFormat="1" x14ac:dyDescent="0.3"/>
    <row r="393" customFormat="1" x14ac:dyDescent="0.3"/>
    <row r="394" customFormat="1" x14ac:dyDescent="0.3"/>
    <row r="395" customFormat="1" x14ac:dyDescent="0.3"/>
    <row r="396" customFormat="1" x14ac:dyDescent="0.3"/>
    <row r="397" customFormat="1" x14ac:dyDescent="0.3"/>
    <row r="398" customFormat="1" x14ac:dyDescent="0.3"/>
    <row r="399" customFormat="1" x14ac:dyDescent="0.3"/>
    <row r="400" customFormat="1" x14ac:dyDescent="0.3"/>
    <row r="401" customFormat="1" x14ac:dyDescent="0.3"/>
    <row r="402" customFormat="1" x14ac:dyDescent="0.3"/>
    <row r="403" customFormat="1" x14ac:dyDescent="0.3"/>
    <row r="404" customFormat="1" x14ac:dyDescent="0.3"/>
    <row r="405" customFormat="1" x14ac:dyDescent="0.3"/>
    <row r="406" customFormat="1" x14ac:dyDescent="0.3"/>
    <row r="407" customFormat="1" x14ac:dyDescent="0.3"/>
    <row r="408" customFormat="1" x14ac:dyDescent="0.3"/>
    <row r="409" customFormat="1" x14ac:dyDescent="0.3"/>
    <row r="410" customFormat="1" x14ac:dyDescent="0.3"/>
    <row r="411" customFormat="1" x14ac:dyDescent="0.3"/>
    <row r="412" customFormat="1" x14ac:dyDescent="0.3"/>
    <row r="413" customFormat="1" x14ac:dyDescent="0.3"/>
    <row r="414" customFormat="1" x14ac:dyDescent="0.3"/>
    <row r="415" customFormat="1" x14ac:dyDescent="0.3"/>
    <row r="416" customFormat="1" x14ac:dyDescent="0.3"/>
    <row r="417" customFormat="1" x14ac:dyDescent="0.3"/>
    <row r="418" customFormat="1" x14ac:dyDescent="0.3"/>
    <row r="419" customFormat="1" x14ac:dyDescent="0.3"/>
    <row r="420" customFormat="1" x14ac:dyDescent="0.3"/>
    <row r="421" customFormat="1" x14ac:dyDescent="0.3"/>
    <row r="422" customFormat="1" x14ac:dyDescent="0.3"/>
    <row r="423" customFormat="1" x14ac:dyDescent="0.3"/>
    <row r="424" customFormat="1" x14ac:dyDescent="0.3"/>
    <row r="425" customFormat="1" x14ac:dyDescent="0.3"/>
    <row r="426" customFormat="1" x14ac:dyDescent="0.3"/>
    <row r="427" customFormat="1" x14ac:dyDescent="0.3"/>
    <row r="428" customFormat="1" x14ac:dyDescent="0.3"/>
    <row r="429" customFormat="1" x14ac:dyDescent="0.3"/>
    <row r="430" customFormat="1" x14ac:dyDescent="0.3"/>
    <row r="431" customFormat="1" x14ac:dyDescent="0.3"/>
    <row r="432" customFormat="1" x14ac:dyDescent="0.3"/>
    <row r="433" customFormat="1" x14ac:dyDescent="0.3"/>
    <row r="434" customFormat="1" x14ac:dyDescent="0.3"/>
    <row r="435" customFormat="1" x14ac:dyDescent="0.3"/>
    <row r="436" customFormat="1" x14ac:dyDescent="0.3"/>
    <row r="437" customFormat="1" x14ac:dyDescent="0.3"/>
    <row r="438" customFormat="1" x14ac:dyDescent="0.3"/>
    <row r="439" customFormat="1" x14ac:dyDescent="0.3"/>
    <row r="440" customFormat="1" x14ac:dyDescent="0.3"/>
    <row r="441" customFormat="1" x14ac:dyDescent="0.3"/>
    <row r="442" customFormat="1" x14ac:dyDescent="0.3"/>
    <row r="443" customFormat="1" x14ac:dyDescent="0.3"/>
    <row r="444" customFormat="1" x14ac:dyDescent="0.3"/>
    <row r="445" customFormat="1" x14ac:dyDescent="0.3"/>
    <row r="446" customFormat="1" x14ac:dyDescent="0.3"/>
    <row r="447" customFormat="1" x14ac:dyDescent="0.3"/>
    <row r="448" customFormat="1" x14ac:dyDescent="0.3"/>
    <row r="449" customFormat="1" x14ac:dyDescent="0.3"/>
    <row r="450" customFormat="1" x14ac:dyDescent="0.3"/>
    <row r="451" customFormat="1" x14ac:dyDescent="0.3"/>
    <row r="452" customFormat="1" x14ac:dyDescent="0.3"/>
    <row r="453" customFormat="1" x14ac:dyDescent="0.3"/>
    <row r="454" customFormat="1" x14ac:dyDescent="0.3"/>
    <row r="455" customFormat="1" x14ac:dyDescent="0.3"/>
    <row r="456" customFormat="1" x14ac:dyDescent="0.3"/>
    <row r="457" customFormat="1" x14ac:dyDescent="0.3"/>
    <row r="458" customFormat="1" x14ac:dyDescent="0.3"/>
    <row r="459" customFormat="1" x14ac:dyDescent="0.3"/>
    <row r="460" customFormat="1" x14ac:dyDescent="0.3"/>
    <row r="461" customFormat="1" x14ac:dyDescent="0.3"/>
    <row r="462" customFormat="1" x14ac:dyDescent="0.3"/>
    <row r="463" customFormat="1" x14ac:dyDescent="0.3"/>
    <row r="464" customFormat="1" x14ac:dyDescent="0.3"/>
    <row r="465" customFormat="1" x14ac:dyDescent="0.3"/>
    <row r="466" customFormat="1" x14ac:dyDescent="0.3"/>
    <row r="467" customFormat="1" x14ac:dyDescent="0.3"/>
    <row r="468" customFormat="1" x14ac:dyDescent="0.3"/>
    <row r="469" customFormat="1" x14ac:dyDescent="0.3"/>
    <row r="470" customFormat="1" x14ac:dyDescent="0.3"/>
    <row r="471" customFormat="1" x14ac:dyDescent="0.3"/>
    <row r="472" customFormat="1" x14ac:dyDescent="0.3"/>
    <row r="473" customFormat="1" x14ac:dyDescent="0.3"/>
    <row r="474" customFormat="1" x14ac:dyDescent="0.3"/>
    <row r="475" customFormat="1" x14ac:dyDescent="0.3"/>
    <row r="476" customFormat="1" x14ac:dyDescent="0.3"/>
    <row r="477" customFormat="1" x14ac:dyDescent="0.3"/>
    <row r="478" customFormat="1" x14ac:dyDescent="0.3"/>
    <row r="479" customFormat="1" x14ac:dyDescent="0.3"/>
    <row r="480" customFormat="1" x14ac:dyDescent="0.3"/>
    <row r="481" customFormat="1" x14ac:dyDescent="0.3"/>
    <row r="482" customFormat="1" x14ac:dyDescent="0.3"/>
    <row r="483" customFormat="1" x14ac:dyDescent="0.3"/>
    <row r="484" customFormat="1" x14ac:dyDescent="0.3"/>
    <row r="485" customFormat="1" x14ac:dyDescent="0.3"/>
    <row r="486" customFormat="1" x14ac:dyDescent="0.3"/>
    <row r="487" customFormat="1" x14ac:dyDescent="0.3"/>
    <row r="488" customFormat="1" x14ac:dyDescent="0.3"/>
    <row r="489" customFormat="1" x14ac:dyDescent="0.3"/>
    <row r="490" customFormat="1" x14ac:dyDescent="0.3"/>
    <row r="491" customFormat="1" x14ac:dyDescent="0.3"/>
    <row r="492" customFormat="1" x14ac:dyDescent="0.3"/>
    <row r="493" customFormat="1" x14ac:dyDescent="0.3"/>
    <row r="494" customFormat="1" x14ac:dyDescent="0.3"/>
    <row r="495" customFormat="1" x14ac:dyDescent="0.3"/>
    <row r="496" customFormat="1" x14ac:dyDescent="0.3"/>
    <row r="497" customFormat="1" x14ac:dyDescent="0.3"/>
    <row r="498" customFormat="1" x14ac:dyDescent="0.3"/>
    <row r="499" customFormat="1" x14ac:dyDescent="0.3"/>
    <row r="500" customFormat="1" x14ac:dyDescent="0.3"/>
    <row r="501" customFormat="1" x14ac:dyDescent="0.3"/>
    <row r="502" customFormat="1" x14ac:dyDescent="0.3"/>
    <row r="503" customFormat="1" x14ac:dyDescent="0.3"/>
    <row r="504" customFormat="1" x14ac:dyDescent="0.3"/>
    <row r="505" customFormat="1" x14ac:dyDescent="0.3"/>
    <row r="506" customFormat="1" x14ac:dyDescent="0.3"/>
    <row r="507" customFormat="1" x14ac:dyDescent="0.3"/>
    <row r="508" customFormat="1" x14ac:dyDescent="0.3"/>
    <row r="509" customFormat="1" x14ac:dyDescent="0.3"/>
    <row r="510" customFormat="1" x14ac:dyDescent="0.3"/>
    <row r="511" customFormat="1" x14ac:dyDescent="0.3"/>
    <row r="512" customFormat="1" x14ac:dyDescent="0.3"/>
    <row r="513" customFormat="1" x14ac:dyDescent="0.3"/>
    <row r="514" customFormat="1" x14ac:dyDescent="0.3"/>
    <row r="515" customFormat="1" x14ac:dyDescent="0.3"/>
    <row r="516" customFormat="1" x14ac:dyDescent="0.3"/>
    <row r="517" customFormat="1" x14ac:dyDescent="0.3"/>
    <row r="518" customFormat="1" x14ac:dyDescent="0.3"/>
    <row r="519" customFormat="1" x14ac:dyDescent="0.3"/>
    <row r="520" customFormat="1" x14ac:dyDescent="0.3"/>
    <row r="521" customFormat="1" x14ac:dyDescent="0.3"/>
    <row r="522" customFormat="1" x14ac:dyDescent="0.3"/>
    <row r="523" customFormat="1" x14ac:dyDescent="0.3"/>
    <row r="524" customFormat="1" x14ac:dyDescent="0.3"/>
    <row r="525" customFormat="1" x14ac:dyDescent="0.3"/>
    <row r="526" customFormat="1" x14ac:dyDescent="0.3"/>
    <row r="527" customFormat="1" x14ac:dyDescent="0.3"/>
    <row r="528" customFormat="1" x14ac:dyDescent="0.3"/>
    <row r="529" customFormat="1" x14ac:dyDescent="0.3"/>
    <row r="530" customFormat="1" x14ac:dyDescent="0.3"/>
    <row r="531" customFormat="1" x14ac:dyDescent="0.3"/>
    <row r="532" customFormat="1" x14ac:dyDescent="0.3"/>
    <row r="533" customFormat="1" x14ac:dyDescent="0.3"/>
    <row r="534" customFormat="1" x14ac:dyDescent="0.3"/>
    <row r="535" customFormat="1" x14ac:dyDescent="0.3"/>
    <row r="536" customFormat="1" x14ac:dyDescent="0.3"/>
    <row r="537" customFormat="1" x14ac:dyDescent="0.3"/>
    <row r="538" customFormat="1" x14ac:dyDescent="0.3"/>
    <row r="539" customFormat="1" x14ac:dyDescent="0.3"/>
    <row r="540" customFormat="1" x14ac:dyDescent="0.3"/>
    <row r="541" customFormat="1" x14ac:dyDescent="0.3"/>
    <row r="542" customFormat="1" x14ac:dyDescent="0.3"/>
    <row r="543" customFormat="1" x14ac:dyDescent="0.3"/>
    <row r="544" customFormat="1" x14ac:dyDescent="0.3"/>
    <row r="545" customFormat="1" x14ac:dyDescent="0.3"/>
    <row r="546" customFormat="1" x14ac:dyDescent="0.3"/>
    <row r="547" customFormat="1" x14ac:dyDescent="0.3"/>
    <row r="548" customFormat="1" x14ac:dyDescent="0.3"/>
    <row r="549" customFormat="1" x14ac:dyDescent="0.3"/>
    <row r="550" customFormat="1" x14ac:dyDescent="0.3"/>
    <row r="551" customFormat="1" x14ac:dyDescent="0.3"/>
    <row r="552" customFormat="1" x14ac:dyDescent="0.3"/>
    <row r="553" customFormat="1" x14ac:dyDescent="0.3"/>
    <row r="554" customFormat="1" x14ac:dyDescent="0.3"/>
    <row r="555" customFormat="1" x14ac:dyDescent="0.3"/>
    <row r="556" customFormat="1" x14ac:dyDescent="0.3"/>
    <row r="557" customFormat="1" x14ac:dyDescent="0.3"/>
    <row r="558" customFormat="1" x14ac:dyDescent="0.3"/>
    <row r="559" customFormat="1" x14ac:dyDescent="0.3"/>
    <row r="560" customFormat="1" x14ac:dyDescent="0.3"/>
    <row r="561" customFormat="1" x14ac:dyDescent="0.3"/>
    <row r="562" customFormat="1" x14ac:dyDescent="0.3"/>
    <row r="563" customFormat="1" x14ac:dyDescent="0.3"/>
    <row r="564" customFormat="1" x14ac:dyDescent="0.3"/>
    <row r="565" customFormat="1" x14ac:dyDescent="0.3"/>
    <row r="566" customFormat="1" x14ac:dyDescent="0.3"/>
    <row r="567" customFormat="1" x14ac:dyDescent="0.3"/>
    <row r="568" customFormat="1" x14ac:dyDescent="0.3"/>
    <row r="569" customFormat="1" x14ac:dyDescent="0.3"/>
    <row r="570" customFormat="1" x14ac:dyDescent="0.3"/>
    <row r="571" customFormat="1" x14ac:dyDescent="0.3"/>
    <row r="572" customFormat="1" x14ac:dyDescent="0.3"/>
    <row r="573" customFormat="1" x14ac:dyDescent="0.3"/>
    <row r="574" customFormat="1" x14ac:dyDescent="0.3"/>
    <row r="575" customFormat="1" x14ac:dyDescent="0.3"/>
    <row r="576" customFormat="1" x14ac:dyDescent="0.3"/>
    <row r="577" customFormat="1" x14ac:dyDescent="0.3"/>
    <row r="578" customFormat="1" x14ac:dyDescent="0.3"/>
    <row r="579" customFormat="1" x14ac:dyDescent="0.3"/>
    <row r="580" customFormat="1" x14ac:dyDescent="0.3"/>
    <row r="581" customFormat="1" x14ac:dyDescent="0.3"/>
    <row r="582" customFormat="1" x14ac:dyDescent="0.3"/>
    <row r="583" customFormat="1" x14ac:dyDescent="0.3"/>
    <row r="584" customFormat="1" x14ac:dyDescent="0.3"/>
    <row r="585" customFormat="1" x14ac:dyDescent="0.3"/>
    <row r="586" customFormat="1" x14ac:dyDescent="0.3"/>
    <row r="587" customFormat="1" x14ac:dyDescent="0.3"/>
    <row r="588" customFormat="1" x14ac:dyDescent="0.3"/>
    <row r="589" customFormat="1" x14ac:dyDescent="0.3"/>
    <row r="590" customFormat="1" x14ac:dyDescent="0.3"/>
    <row r="591" customFormat="1" x14ac:dyDescent="0.3"/>
    <row r="592" customFormat="1" x14ac:dyDescent="0.3"/>
    <row r="593" customFormat="1" x14ac:dyDescent="0.3"/>
    <row r="594" customFormat="1" x14ac:dyDescent="0.3"/>
    <row r="595" customFormat="1" x14ac:dyDescent="0.3"/>
    <row r="596" customFormat="1" x14ac:dyDescent="0.3"/>
    <row r="597" customFormat="1" x14ac:dyDescent="0.3"/>
    <row r="598" customFormat="1" x14ac:dyDescent="0.3"/>
    <row r="599" customFormat="1" x14ac:dyDescent="0.3"/>
    <row r="600" customFormat="1" x14ac:dyDescent="0.3"/>
    <row r="601" customFormat="1" x14ac:dyDescent="0.3"/>
    <row r="602" customFormat="1" x14ac:dyDescent="0.3"/>
    <row r="603" customFormat="1" x14ac:dyDescent="0.3"/>
    <row r="604" customFormat="1" x14ac:dyDescent="0.3"/>
    <row r="605" customFormat="1" x14ac:dyDescent="0.3"/>
    <row r="606" customFormat="1" x14ac:dyDescent="0.3"/>
    <row r="607" customFormat="1" x14ac:dyDescent="0.3"/>
    <row r="608" customFormat="1" x14ac:dyDescent="0.3"/>
    <row r="609" customFormat="1" x14ac:dyDescent="0.3"/>
    <row r="610" customFormat="1" x14ac:dyDescent="0.3"/>
    <row r="611" customFormat="1" x14ac:dyDescent="0.3"/>
    <row r="612" customFormat="1" x14ac:dyDescent="0.3"/>
    <row r="613" customFormat="1" x14ac:dyDescent="0.3"/>
    <row r="614" customFormat="1" x14ac:dyDescent="0.3"/>
    <row r="615" customFormat="1" x14ac:dyDescent="0.3"/>
    <row r="616" customFormat="1" x14ac:dyDescent="0.3"/>
    <row r="617" customFormat="1" x14ac:dyDescent="0.3"/>
    <row r="618" customFormat="1" x14ac:dyDescent="0.3"/>
    <row r="619" customFormat="1" x14ac:dyDescent="0.3"/>
    <row r="620" customFormat="1" x14ac:dyDescent="0.3"/>
    <row r="621" customFormat="1" x14ac:dyDescent="0.3"/>
    <row r="622" customFormat="1" x14ac:dyDescent="0.3"/>
    <row r="623" customFormat="1" x14ac:dyDescent="0.3"/>
    <row r="624" customFormat="1" x14ac:dyDescent="0.3"/>
    <row r="625" customFormat="1" x14ac:dyDescent="0.3"/>
    <row r="626" customFormat="1" x14ac:dyDescent="0.3"/>
    <row r="627" customFormat="1" x14ac:dyDescent="0.3"/>
    <row r="628" customFormat="1" x14ac:dyDescent="0.3"/>
    <row r="629" customFormat="1" x14ac:dyDescent="0.3"/>
    <row r="630" customFormat="1" x14ac:dyDescent="0.3"/>
    <row r="631" customFormat="1" x14ac:dyDescent="0.3"/>
    <row r="632" customFormat="1" x14ac:dyDescent="0.3"/>
    <row r="633" customFormat="1" x14ac:dyDescent="0.3"/>
    <row r="634" customFormat="1" x14ac:dyDescent="0.3"/>
    <row r="635" customFormat="1" x14ac:dyDescent="0.3"/>
    <row r="636" customFormat="1" x14ac:dyDescent="0.3"/>
    <row r="637" customFormat="1" x14ac:dyDescent="0.3"/>
    <row r="638" customFormat="1" x14ac:dyDescent="0.3"/>
    <row r="639" customFormat="1" x14ac:dyDescent="0.3"/>
    <row r="640" customFormat="1" x14ac:dyDescent="0.3"/>
    <row r="641" customFormat="1" x14ac:dyDescent="0.3"/>
    <row r="642" customFormat="1" x14ac:dyDescent="0.3"/>
    <row r="643" customFormat="1" x14ac:dyDescent="0.3"/>
    <row r="644" customFormat="1" x14ac:dyDescent="0.3"/>
    <row r="645" customFormat="1" x14ac:dyDescent="0.3"/>
    <row r="646" customFormat="1" x14ac:dyDescent="0.3"/>
    <row r="647" customFormat="1" x14ac:dyDescent="0.3"/>
    <row r="648" customFormat="1" x14ac:dyDescent="0.3"/>
    <row r="649" customFormat="1" x14ac:dyDescent="0.3"/>
    <row r="650" customFormat="1" x14ac:dyDescent="0.3"/>
    <row r="651" customFormat="1" x14ac:dyDescent="0.3"/>
    <row r="652" customFormat="1" x14ac:dyDescent="0.3"/>
    <row r="653" customFormat="1" x14ac:dyDescent="0.3"/>
    <row r="654" customFormat="1" x14ac:dyDescent="0.3"/>
    <row r="655" customFormat="1" x14ac:dyDescent="0.3"/>
    <row r="656" customFormat="1" x14ac:dyDescent="0.3"/>
    <row r="657" customFormat="1" x14ac:dyDescent="0.3"/>
    <row r="658" customFormat="1" x14ac:dyDescent="0.3"/>
    <row r="659" customFormat="1" x14ac:dyDescent="0.3"/>
    <row r="660" customFormat="1" x14ac:dyDescent="0.3"/>
    <row r="661" customFormat="1" x14ac:dyDescent="0.3"/>
    <row r="662" customFormat="1" x14ac:dyDescent="0.3"/>
    <row r="663" customFormat="1" x14ac:dyDescent="0.3"/>
    <row r="664" customFormat="1" x14ac:dyDescent="0.3"/>
    <row r="665" customFormat="1" x14ac:dyDescent="0.3"/>
    <row r="666" customFormat="1" x14ac:dyDescent="0.3"/>
    <row r="667" customFormat="1" x14ac:dyDescent="0.3"/>
    <row r="668" customFormat="1" x14ac:dyDescent="0.3"/>
    <row r="669" customFormat="1" x14ac:dyDescent="0.3"/>
    <row r="670" customFormat="1" x14ac:dyDescent="0.3"/>
    <row r="671" customFormat="1" x14ac:dyDescent="0.3"/>
    <row r="672" customFormat="1" x14ac:dyDescent="0.3"/>
    <row r="673" customFormat="1" x14ac:dyDescent="0.3"/>
    <row r="674" customFormat="1" x14ac:dyDescent="0.3"/>
    <row r="675" customFormat="1" x14ac:dyDescent="0.3"/>
    <row r="676" customFormat="1" x14ac:dyDescent="0.3"/>
    <row r="677" customFormat="1" x14ac:dyDescent="0.3"/>
    <row r="678" customFormat="1" x14ac:dyDescent="0.3"/>
    <row r="679" customFormat="1" x14ac:dyDescent="0.3"/>
    <row r="680" customFormat="1" x14ac:dyDescent="0.3"/>
    <row r="681" customFormat="1" x14ac:dyDescent="0.3"/>
    <row r="682" customFormat="1" x14ac:dyDescent="0.3"/>
    <row r="683" customFormat="1" x14ac:dyDescent="0.3"/>
    <row r="684" customFormat="1" x14ac:dyDescent="0.3"/>
    <row r="685" customFormat="1" x14ac:dyDescent="0.3"/>
    <row r="686" customFormat="1" x14ac:dyDescent="0.3"/>
    <row r="687" customFormat="1" x14ac:dyDescent="0.3"/>
    <row r="688" customFormat="1" x14ac:dyDescent="0.3"/>
    <row r="689" customFormat="1" x14ac:dyDescent="0.3"/>
    <row r="690" customFormat="1" x14ac:dyDescent="0.3"/>
    <row r="691" customFormat="1" x14ac:dyDescent="0.3"/>
    <row r="692" customFormat="1" x14ac:dyDescent="0.3"/>
    <row r="693" customFormat="1" x14ac:dyDescent="0.3"/>
    <row r="694" customFormat="1" x14ac:dyDescent="0.3"/>
    <row r="695" customFormat="1" x14ac:dyDescent="0.3"/>
    <row r="696" customFormat="1" x14ac:dyDescent="0.3"/>
    <row r="697" customFormat="1" x14ac:dyDescent="0.3"/>
    <row r="698" customFormat="1" x14ac:dyDescent="0.3"/>
    <row r="699" customFormat="1" x14ac:dyDescent="0.3"/>
    <row r="700" customFormat="1" x14ac:dyDescent="0.3"/>
    <row r="701" customFormat="1" x14ac:dyDescent="0.3"/>
    <row r="702" customFormat="1" x14ac:dyDescent="0.3"/>
    <row r="703" customFormat="1" x14ac:dyDescent="0.3"/>
    <row r="704" customFormat="1" x14ac:dyDescent="0.3"/>
    <row r="705" customFormat="1" x14ac:dyDescent="0.3"/>
    <row r="706" customFormat="1" x14ac:dyDescent="0.3"/>
    <row r="707" customFormat="1" x14ac:dyDescent="0.3"/>
    <row r="708" customFormat="1" x14ac:dyDescent="0.3"/>
    <row r="709" customFormat="1" x14ac:dyDescent="0.3"/>
    <row r="710" customFormat="1" x14ac:dyDescent="0.3"/>
    <row r="711" customFormat="1" x14ac:dyDescent="0.3"/>
    <row r="712" customFormat="1" x14ac:dyDescent="0.3"/>
    <row r="713" customFormat="1" x14ac:dyDescent="0.3"/>
    <row r="714" customFormat="1" x14ac:dyDescent="0.3"/>
    <row r="715" customFormat="1" x14ac:dyDescent="0.3"/>
    <row r="716" customFormat="1" x14ac:dyDescent="0.3"/>
    <row r="717" customFormat="1" x14ac:dyDescent="0.3"/>
    <row r="718" customFormat="1" x14ac:dyDescent="0.3"/>
    <row r="719" customFormat="1" x14ac:dyDescent="0.3"/>
    <row r="720" customFormat="1" x14ac:dyDescent="0.3"/>
    <row r="721" customFormat="1" x14ac:dyDescent="0.3"/>
    <row r="722" customFormat="1" x14ac:dyDescent="0.3"/>
    <row r="723" customFormat="1" x14ac:dyDescent="0.3"/>
    <row r="724" customFormat="1" x14ac:dyDescent="0.3"/>
    <row r="725" customFormat="1" x14ac:dyDescent="0.3"/>
    <row r="726" customFormat="1" x14ac:dyDescent="0.3"/>
    <row r="727" customFormat="1" x14ac:dyDescent="0.3"/>
    <row r="728" customFormat="1" x14ac:dyDescent="0.3"/>
    <row r="729" customFormat="1" x14ac:dyDescent="0.3"/>
    <row r="730" customFormat="1" x14ac:dyDescent="0.3"/>
    <row r="731" customFormat="1" x14ac:dyDescent="0.3"/>
    <row r="732" customFormat="1" x14ac:dyDescent="0.3"/>
    <row r="733" customFormat="1" x14ac:dyDescent="0.3"/>
    <row r="734" customFormat="1" x14ac:dyDescent="0.3"/>
    <row r="735" customFormat="1" x14ac:dyDescent="0.3"/>
    <row r="736" customFormat="1" x14ac:dyDescent="0.3"/>
    <row r="737" customFormat="1" x14ac:dyDescent="0.3"/>
    <row r="738" customFormat="1" x14ac:dyDescent="0.3"/>
    <row r="739" customFormat="1" x14ac:dyDescent="0.3"/>
    <row r="740" customFormat="1" x14ac:dyDescent="0.3"/>
    <row r="741" customFormat="1" x14ac:dyDescent="0.3"/>
    <row r="742" customFormat="1" x14ac:dyDescent="0.3"/>
    <row r="743" customFormat="1" x14ac:dyDescent="0.3"/>
    <row r="744" customFormat="1" x14ac:dyDescent="0.3"/>
    <row r="745" customFormat="1" x14ac:dyDescent="0.3"/>
    <row r="746" customFormat="1" x14ac:dyDescent="0.3"/>
    <row r="747" customFormat="1" x14ac:dyDescent="0.3"/>
    <row r="748" customFormat="1" x14ac:dyDescent="0.3"/>
    <row r="749" customFormat="1" x14ac:dyDescent="0.3"/>
    <row r="750" customFormat="1" x14ac:dyDescent="0.3"/>
    <row r="751" customFormat="1" x14ac:dyDescent="0.3"/>
    <row r="752" customFormat="1" x14ac:dyDescent="0.3"/>
    <row r="753" customFormat="1" x14ac:dyDescent="0.3"/>
    <row r="754" customFormat="1" x14ac:dyDescent="0.3"/>
    <row r="755" customFormat="1" x14ac:dyDescent="0.3"/>
    <row r="756" customFormat="1" x14ac:dyDescent="0.3"/>
    <row r="757" customFormat="1" x14ac:dyDescent="0.3"/>
    <row r="758" customFormat="1" x14ac:dyDescent="0.3"/>
    <row r="759" customFormat="1" x14ac:dyDescent="0.3"/>
    <row r="760" customFormat="1" x14ac:dyDescent="0.3"/>
    <row r="761" customFormat="1" x14ac:dyDescent="0.3"/>
    <row r="762" customFormat="1" x14ac:dyDescent="0.3"/>
    <row r="763" customFormat="1" x14ac:dyDescent="0.3"/>
    <row r="764" customFormat="1" x14ac:dyDescent="0.3"/>
    <row r="765" customFormat="1" x14ac:dyDescent="0.3"/>
    <row r="766" customFormat="1" x14ac:dyDescent="0.3"/>
    <row r="767" customFormat="1" x14ac:dyDescent="0.3"/>
    <row r="768" customFormat="1" x14ac:dyDescent="0.3"/>
    <row r="769" customFormat="1" x14ac:dyDescent="0.3"/>
    <row r="770" customFormat="1" x14ac:dyDescent="0.3"/>
    <row r="771" customFormat="1" x14ac:dyDescent="0.3"/>
    <row r="772" customFormat="1" x14ac:dyDescent="0.3"/>
    <row r="773" customFormat="1" x14ac:dyDescent="0.3"/>
    <row r="774" customFormat="1" x14ac:dyDescent="0.3"/>
    <row r="775" customFormat="1" x14ac:dyDescent="0.3"/>
    <row r="776" customFormat="1" x14ac:dyDescent="0.3"/>
    <row r="777" customFormat="1" x14ac:dyDescent="0.3"/>
    <row r="778" customFormat="1" x14ac:dyDescent="0.3"/>
    <row r="779" customFormat="1" x14ac:dyDescent="0.3"/>
    <row r="780" customFormat="1" x14ac:dyDescent="0.3"/>
    <row r="781" customFormat="1" x14ac:dyDescent="0.3"/>
    <row r="782" customFormat="1" x14ac:dyDescent="0.3"/>
    <row r="783" customFormat="1" x14ac:dyDescent="0.3"/>
    <row r="784" customFormat="1" x14ac:dyDescent="0.3"/>
    <row r="785" customFormat="1" x14ac:dyDescent="0.3"/>
    <row r="786" customFormat="1" x14ac:dyDescent="0.3"/>
    <row r="787" customFormat="1" x14ac:dyDescent="0.3"/>
    <row r="788" customFormat="1" x14ac:dyDescent="0.3"/>
    <row r="789" customFormat="1" x14ac:dyDescent="0.3"/>
    <row r="790" customFormat="1" x14ac:dyDescent="0.3"/>
    <row r="791" customFormat="1" x14ac:dyDescent="0.3"/>
    <row r="792" customFormat="1" x14ac:dyDescent="0.3"/>
    <row r="793" customFormat="1" x14ac:dyDescent="0.3"/>
    <row r="794" customFormat="1" x14ac:dyDescent="0.3"/>
    <row r="795" customFormat="1" x14ac:dyDescent="0.3"/>
    <row r="796" customFormat="1" x14ac:dyDescent="0.3"/>
    <row r="797" customFormat="1" x14ac:dyDescent="0.3"/>
    <row r="798" customFormat="1" x14ac:dyDescent="0.3"/>
    <row r="799" customFormat="1" x14ac:dyDescent="0.3"/>
    <row r="800" customFormat="1" x14ac:dyDescent="0.3"/>
    <row r="801" customFormat="1" x14ac:dyDescent="0.3"/>
    <row r="802" customFormat="1" x14ac:dyDescent="0.3"/>
    <row r="803" customFormat="1" x14ac:dyDescent="0.3"/>
    <row r="804" customFormat="1" x14ac:dyDescent="0.3"/>
    <row r="805" customFormat="1" x14ac:dyDescent="0.3"/>
    <row r="806" customFormat="1" x14ac:dyDescent="0.3"/>
    <row r="807" customFormat="1" x14ac:dyDescent="0.3"/>
    <row r="808" customFormat="1" x14ac:dyDescent="0.3"/>
    <row r="809" customFormat="1" x14ac:dyDescent="0.3"/>
    <row r="810" customFormat="1" x14ac:dyDescent="0.3"/>
    <row r="811" customFormat="1" x14ac:dyDescent="0.3"/>
    <row r="812" customFormat="1" x14ac:dyDescent="0.3"/>
    <row r="813" customFormat="1" x14ac:dyDescent="0.3"/>
    <row r="814" customFormat="1" x14ac:dyDescent="0.3"/>
    <row r="815" customFormat="1" x14ac:dyDescent="0.3"/>
    <row r="816" customFormat="1" x14ac:dyDescent="0.3"/>
    <row r="817" customFormat="1" x14ac:dyDescent="0.3"/>
    <row r="818" customFormat="1" x14ac:dyDescent="0.3"/>
    <row r="819" customFormat="1" x14ac:dyDescent="0.3"/>
    <row r="820" customFormat="1" x14ac:dyDescent="0.3"/>
    <row r="821" customFormat="1" x14ac:dyDescent="0.3"/>
    <row r="822" customFormat="1" x14ac:dyDescent="0.3"/>
    <row r="823" customFormat="1" x14ac:dyDescent="0.3"/>
    <row r="824" customFormat="1" x14ac:dyDescent="0.3"/>
    <row r="825" customFormat="1" x14ac:dyDescent="0.3"/>
    <row r="826" customFormat="1" x14ac:dyDescent="0.3"/>
    <row r="827" customFormat="1" x14ac:dyDescent="0.3"/>
    <row r="828" customFormat="1" x14ac:dyDescent="0.3"/>
    <row r="829" customFormat="1" x14ac:dyDescent="0.3"/>
    <row r="830" customFormat="1" x14ac:dyDescent="0.3"/>
    <row r="831" customFormat="1" x14ac:dyDescent="0.3"/>
    <row r="832" customFormat="1" x14ac:dyDescent="0.3"/>
    <row r="833" customFormat="1" x14ac:dyDescent="0.3"/>
    <row r="834" customFormat="1" x14ac:dyDescent="0.3"/>
    <row r="835" customFormat="1" x14ac:dyDescent="0.3"/>
    <row r="836" customFormat="1" x14ac:dyDescent="0.3"/>
    <row r="837" customFormat="1" x14ac:dyDescent="0.3"/>
    <row r="838" customFormat="1" x14ac:dyDescent="0.3"/>
    <row r="839" customFormat="1" x14ac:dyDescent="0.3"/>
    <row r="840" customFormat="1" x14ac:dyDescent="0.3"/>
    <row r="841" customFormat="1" x14ac:dyDescent="0.3"/>
    <row r="842" customFormat="1" x14ac:dyDescent="0.3"/>
    <row r="843" customFormat="1" x14ac:dyDescent="0.3"/>
    <row r="844" customFormat="1" x14ac:dyDescent="0.3"/>
    <row r="845" customFormat="1" x14ac:dyDescent="0.3"/>
    <row r="846" customFormat="1" x14ac:dyDescent="0.3"/>
    <row r="847" customFormat="1" x14ac:dyDescent="0.3"/>
    <row r="848" customFormat="1" x14ac:dyDescent="0.3"/>
    <row r="849" customFormat="1" x14ac:dyDescent="0.3"/>
    <row r="850" customFormat="1" x14ac:dyDescent="0.3"/>
    <row r="851" customFormat="1" x14ac:dyDescent="0.3"/>
    <row r="852" customFormat="1" x14ac:dyDescent="0.3"/>
    <row r="853" customFormat="1" x14ac:dyDescent="0.3"/>
    <row r="854" customFormat="1" x14ac:dyDescent="0.3"/>
    <row r="855" customFormat="1" x14ac:dyDescent="0.3"/>
    <row r="856" customFormat="1" x14ac:dyDescent="0.3"/>
    <row r="857" customFormat="1" x14ac:dyDescent="0.3"/>
    <row r="858" customFormat="1" x14ac:dyDescent="0.3"/>
    <row r="859" customFormat="1" x14ac:dyDescent="0.3"/>
    <row r="860" customFormat="1" x14ac:dyDescent="0.3"/>
    <row r="861" customFormat="1" x14ac:dyDescent="0.3"/>
    <row r="862" customFormat="1" x14ac:dyDescent="0.3"/>
    <row r="863" customFormat="1" x14ac:dyDescent="0.3"/>
    <row r="864" customFormat="1" x14ac:dyDescent="0.3"/>
    <row r="865" customFormat="1" x14ac:dyDescent="0.3"/>
    <row r="866" customFormat="1" x14ac:dyDescent="0.3"/>
    <row r="867" customFormat="1" x14ac:dyDescent="0.3"/>
    <row r="868" customFormat="1" x14ac:dyDescent="0.3"/>
    <row r="869" customFormat="1" x14ac:dyDescent="0.3"/>
    <row r="870" customFormat="1" x14ac:dyDescent="0.3"/>
    <row r="871" customFormat="1" x14ac:dyDescent="0.3"/>
    <row r="872" customFormat="1" x14ac:dyDescent="0.3"/>
    <row r="873" customFormat="1" x14ac:dyDescent="0.3"/>
    <row r="874" customFormat="1" x14ac:dyDescent="0.3"/>
    <row r="875" customFormat="1" x14ac:dyDescent="0.3"/>
    <row r="876" customFormat="1" x14ac:dyDescent="0.3"/>
    <row r="877" customFormat="1" x14ac:dyDescent="0.3"/>
    <row r="878" customFormat="1" x14ac:dyDescent="0.3"/>
    <row r="879" customFormat="1" x14ac:dyDescent="0.3"/>
    <row r="880" customFormat="1" x14ac:dyDescent="0.3"/>
    <row r="881" customFormat="1" x14ac:dyDescent="0.3"/>
    <row r="882" customFormat="1" x14ac:dyDescent="0.3"/>
    <row r="883" customFormat="1" x14ac:dyDescent="0.3"/>
    <row r="884" customFormat="1" x14ac:dyDescent="0.3"/>
    <row r="885" customFormat="1" x14ac:dyDescent="0.3"/>
    <row r="886" customFormat="1" x14ac:dyDescent="0.3"/>
    <row r="887" customFormat="1" x14ac:dyDescent="0.3"/>
    <row r="888" customFormat="1" x14ac:dyDescent="0.3"/>
    <row r="889" customFormat="1" x14ac:dyDescent="0.3"/>
    <row r="890" customFormat="1" x14ac:dyDescent="0.3"/>
    <row r="891" customFormat="1" x14ac:dyDescent="0.3"/>
    <row r="892" customFormat="1" x14ac:dyDescent="0.3"/>
    <row r="893" customFormat="1" x14ac:dyDescent="0.3"/>
    <row r="894" customFormat="1" x14ac:dyDescent="0.3"/>
    <row r="895" customFormat="1" x14ac:dyDescent="0.3"/>
    <row r="896" customFormat="1" x14ac:dyDescent="0.3"/>
    <row r="897" customFormat="1" x14ac:dyDescent="0.3"/>
    <row r="898" customFormat="1" x14ac:dyDescent="0.3"/>
    <row r="899" customFormat="1" x14ac:dyDescent="0.3"/>
    <row r="900" customFormat="1" x14ac:dyDescent="0.3"/>
    <row r="901" customFormat="1" x14ac:dyDescent="0.3"/>
    <row r="902" customFormat="1" x14ac:dyDescent="0.3"/>
    <row r="903" customFormat="1" x14ac:dyDescent="0.3"/>
    <row r="904" customFormat="1" x14ac:dyDescent="0.3"/>
    <row r="905" customFormat="1" x14ac:dyDescent="0.3"/>
    <row r="906" customFormat="1" x14ac:dyDescent="0.3"/>
    <row r="907" customFormat="1" x14ac:dyDescent="0.3"/>
    <row r="908" customFormat="1" x14ac:dyDescent="0.3"/>
    <row r="909" customFormat="1" x14ac:dyDescent="0.3"/>
    <row r="910" customFormat="1" x14ac:dyDescent="0.3"/>
    <row r="911" customFormat="1" x14ac:dyDescent="0.3"/>
    <row r="912" customFormat="1" x14ac:dyDescent="0.3"/>
    <row r="913" customFormat="1" x14ac:dyDescent="0.3"/>
    <row r="914" customFormat="1" x14ac:dyDescent="0.3"/>
    <row r="915" customFormat="1" x14ac:dyDescent="0.3"/>
    <row r="916" customFormat="1" x14ac:dyDescent="0.3"/>
    <row r="917" customFormat="1" x14ac:dyDescent="0.3"/>
    <row r="918" customFormat="1" x14ac:dyDescent="0.3"/>
    <row r="919" customFormat="1" x14ac:dyDescent="0.3"/>
    <row r="920" customFormat="1" x14ac:dyDescent="0.3"/>
    <row r="921" customFormat="1" x14ac:dyDescent="0.3"/>
    <row r="922" customFormat="1" x14ac:dyDescent="0.3"/>
    <row r="923" customFormat="1" x14ac:dyDescent="0.3"/>
    <row r="924" customFormat="1" x14ac:dyDescent="0.3"/>
    <row r="925" customFormat="1" x14ac:dyDescent="0.3"/>
    <row r="926" customFormat="1" x14ac:dyDescent="0.3"/>
    <row r="927" customFormat="1" x14ac:dyDescent="0.3"/>
    <row r="928" customFormat="1" x14ac:dyDescent="0.3"/>
    <row r="929" customFormat="1" x14ac:dyDescent="0.3"/>
    <row r="930" customFormat="1" x14ac:dyDescent="0.3"/>
    <row r="931" customFormat="1" x14ac:dyDescent="0.3"/>
    <row r="932" customFormat="1" x14ac:dyDescent="0.3"/>
    <row r="933" customFormat="1" x14ac:dyDescent="0.3"/>
    <row r="934" customFormat="1" x14ac:dyDescent="0.3"/>
    <row r="935" customFormat="1" x14ac:dyDescent="0.3"/>
    <row r="936" customFormat="1" x14ac:dyDescent="0.3"/>
    <row r="937" customFormat="1" x14ac:dyDescent="0.3"/>
    <row r="938" customFormat="1" x14ac:dyDescent="0.3"/>
    <row r="939" customFormat="1" x14ac:dyDescent="0.3"/>
    <row r="940" customFormat="1" x14ac:dyDescent="0.3"/>
    <row r="941" customFormat="1" x14ac:dyDescent="0.3"/>
    <row r="942" customFormat="1" x14ac:dyDescent="0.3"/>
    <row r="943" customFormat="1" x14ac:dyDescent="0.3"/>
    <row r="944" customFormat="1" x14ac:dyDescent="0.3"/>
    <row r="945" customFormat="1" x14ac:dyDescent="0.3"/>
    <row r="946" customFormat="1" x14ac:dyDescent="0.3"/>
    <row r="947" customFormat="1" x14ac:dyDescent="0.3"/>
    <row r="948" customFormat="1" x14ac:dyDescent="0.3"/>
    <row r="949" customFormat="1" x14ac:dyDescent="0.3"/>
    <row r="950" customFormat="1" x14ac:dyDescent="0.3"/>
    <row r="951" customFormat="1" x14ac:dyDescent="0.3"/>
    <row r="952" customFormat="1" x14ac:dyDescent="0.3"/>
    <row r="953" customFormat="1" x14ac:dyDescent="0.3"/>
    <row r="954" customFormat="1" x14ac:dyDescent="0.3"/>
    <row r="955" customFormat="1" x14ac:dyDescent="0.3"/>
    <row r="956" customFormat="1" x14ac:dyDescent="0.3"/>
    <row r="957" customFormat="1" x14ac:dyDescent="0.3"/>
    <row r="958" customFormat="1" x14ac:dyDescent="0.3"/>
    <row r="959" customFormat="1" x14ac:dyDescent="0.3"/>
    <row r="960" customFormat="1" x14ac:dyDescent="0.3"/>
    <row r="961" customFormat="1" x14ac:dyDescent="0.3"/>
    <row r="962" customFormat="1" x14ac:dyDescent="0.3"/>
    <row r="963" customFormat="1" x14ac:dyDescent="0.3"/>
    <row r="964" customFormat="1" x14ac:dyDescent="0.3"/>
    <row r="965" customFormat="1" x14ac:dyDescent="0.3"/>
    <row r="966" customFormat="1" x14ac:dyDescent="0.3"/>
    <row r="967" customFormat="1" x14ac:dyDescent="0.3"/>
    <row r="968" customFormat="1" x14ac:dyDescent="0.3"/>
    <row r="969" customFormat="1" x14ac:dyDescent="0.3"/>
    <row r="970" customFormat="1" x14ac:dyDescent="0.3"/>
    <row r="971" customFormat="1" x14ac:dyDescent="0.3"/>
    <row r="972" customFormat="1" x14ac:dyDescent="0.3"/>
    <row r="973" customFormat="1" x14ac:dyDescent="0.3"/>
    <row r="974" customFormat="1" x14ac:dyDescent="0.3"/>
    <row r="975" customFormat="1" x14ac:dyDescent="0.3"/>
    <row r="976" customFormat="1" x14ac:dyDescent="0.3"/>
    <row r="977" customFormat="1" x14ac:dyDescent="0.3"/>
    <row r="978" customFormat="1" x14ac:dyDescent="0.3"/>
    <row r="979" customFormat="1" x14ac:dyDescent="0.3"/>
    <row r="980" customFormat="1" x14ac:dyDescent="0.3"/>
    <row r="981" customFormat="1" x14ac:dyDescent="0.3"/>
    <row r="982" customFormat="1" x14ac:dyDescent="0.3"/>
    <row r="983" customFormat="1" x14ac:dyDescent="0.3"/>
    <row r="984" customFormat="1" x14ac:dyDescent="0.3"/>
    <row r="985" customFormat="1" x14ac:dyDescent="0.3"/>
    <row r="986" customFormat="1" x14ac:dyDescent="0.3"/>
    <row r="987" customFormat="1" x14ac:dyDescent="0.3"/>
    <row r="988" customFormat="1" x14ac:dyDescent="0.3"/>
    <row r="989" customFormat="1" x14ac:dyDescent="0.3"/>
    <row r="990" customFormat="1" x14ac:dyDescent="0.3"/>
    <row r="991" customFormat="1" x14ac:dyDescent="0.3"/>
    <row r="992" customFormat="1" x14ac:dyDescent="0.3"/>
    <row r="993" customFormat="1" x14ac:dyDescent="0.3"/>
    <row r="994" customFormat="1" x14ac:dyDescent="0.3"/>
    <row r="995" customFormat="1" x14ac:dyDescent="0.3"/>
    <row r="996" customFormat="1" x14ac:dyDescent="0.3"/>
    <row r="997" customFormat="1" x14ac:dyDescent="0.3"/>
    <row r="998" customFormat="1" x14ac:dyDescent="0.3"/>
    <row r="999" customFormat="1" x14ac:dyDescent="0.3"/>
    <row r="1000" customFormat="1" x14ac:dyDescent="0.3"/>
    <row r="1001" customFormat="1" x14ac:dyDescent="0.3"/>
    <row r="1002" customFormat="1" x14ac:dyDescent="0.3"/>
    <row r="1003" customFormat="1" x14ac:dyDescent="0.3"/>
    <row r="1004" customFormat="1" x14ac:dyDescent="0.3"/>
    <row r="1005" customFormat="1" x14ac:dyDescent="0.3"/>
    <row r="1006" customFormat="1" x14ac:dyDescent="0.3"/>
    <row r="1007" customFormat="1" x14ac:dyDescent="0.3"/>
    <row r="1008" customFormat="1" x14ac:dyDescent="0.3"/>
    <row r="1009" customFormat="1" x14ac:dyDescent="0.3"/>
    <row r="1010" customFormat="1" x14ac:dyDescent="0.3"/>
    <row r="1011" customFormat="1" x14ac:dyDescent="0.3"/>
    <row r="1012" customFormat="1" x14ac:dyDescent="0.3"/>
    <row r="1013" customFormat="1" x14ac:dyDescent="0.3"/>
    <row r="1014" customFormat="1" x14ac:dyDescent="0.3"/>
    <row r="1015" customFormat="1" x14ac:dyDescent="0.3"/>
    <row r="1016" customFormat="1" x14ac:dyDescent="0.3"/>
    <row r="1017" customFormat="1" x14ac:dyDescent="0.3"/>
    <row r="1018" customFormat="1" x14ac:dyDescent="0.3"/>
    <row r="1019" customFormat="1" x14ac:dyDescent="0.3"/>
    <row r="1020" customFormat="1" x14ac:dyDescent="0.3"/>
    <row r="1021" customFormat="1" x14ac:dyDescent="0.3"/>
    <row r="1022" customFormat="1" x14ac:dyDescent="0.3"/>
    <row r="1023" customFormat="1" x14ac:dyDescent="0.3"/>
    <row r="1024" customFormat="1" x14ac:dyDescent="0.3"/>
    <row r="1025" customFormat="1" x14ac:dyDescent="0.3"/>
    <row r="1026" customFormat="1" x14ac:dyDescent="0.3"/>
    <row r="1027" customFormat="1" x14ac:dyDescent="0.3"/>
    <row r="1028" customFormat="1" x14ac:dyDescent="0.3"/>
    <row r="1029" customFormat="1" x14ac:dyDescent="0.3"/>
    <row r="1030" customFormat="1" x14ac:dyDescent="0.3"/>
    <row r="1031" customFormat="1" x14ac:dyDescent="0.3"/>
    <row r="1032" customFormat="1" x14ac:dyDescent="0.3"/>
    <row r="1033" customFormat="1" x14ac:dyDescent="0.3"/>
    <row r="1034" customFormat="1" x14ac:dyDescent="0.3"/>
    <row r="1035" customFormat="1" x14ac:dyDescent="0.3"/>
    <row r="1036" customFormat="1" x14ac:dyDescent="0.3"/>
    <row r="1037" customFormat="1" x14ac:dyDescent="0.3"/>
    <row r="1038" customFormat="1" x14ac:dyDescent="0.3"/>
    <row r="1039" customFormat="1" x14ac:dyDescent="0.3"/>
    <row r="1040" customFormat="1" x14ac:dyDescent="0.3"/>
    <row r="1041" customFormat="1" x14ac:dyDescent="0.3"/>
    <row r="1042" customFormat="1" x14ac:dyDescent="0.3"/>
    <row r="1043" customFormat="1" x14ac:dyDescent="0.3"/>
    <row r="1044" customFormat="1" x14ac:dyDescent="0.3"/>
    <row r="1045" customFormat="1" x14ac:dyDescent="0.3"/>
    <row r="1046" customFormat="1" x14ac:dyDescent="0.3"/>
    <row r="1047" customFormat="1" x14ac:dyDescent="0.3"/>
    <row r="1048" customFormat="1" x14ac:dyDescent="0.3"/>
    <row r="1049" customFormat="1" x14ac:dyDescent="0.3"/>
    <row r="1050" customFormat="1" x14ac:dyDescent="0.3"/>
    <row r="1051" customFormat="1" x14ac:dyDescent="0.3"/>
    <row r="1052" customFormat="1" x14ac:dyDescent="0.3"/>
    <row r="1053" customFormat="1" x14ac:dyDescent="0.3"/>
    <row r="1054" customFormat="1" x14ac:dyDescent="0.3"/>
    <row r="1055" customFormat="1" x14ac:dyDescent="0.3"/>
    <row r="1056" customFormat="1" x14ac:dyDescent="0.3"/>
    <row r="1057" customFormat="1" x14ac:dyDescent="0.3"/>
    <row r="1058" customFormat="1" x14ac:dyDescent="0.3"/>
    <row r="1059" customFormat="1" x14ac:dyDescent="0.3"/>
    <row r="1060" customFormat="1" x14ac:dyDescent="0.3"/>
    <row r="1061" customFormat="1" x14ac:dyDescent="0.3"/>
    <row r="1062" customFormat="1" x14ac:dyDescent="0.3"/>
    <row r="1063" customFormat="1" x14ac:dyDescent="0.3"/>
    <row r="1064" customFormat="1" x14ac:dyDescent="0.3"/>
    <row r="1065" customFormat="1" x14ac:dyDescent="0.3"/>
    <row r="1066" customFormat="1" x14ac:dyDescent="0.3"/>
    <row r="1067" customFormat="1" x14ac:dyDescent="0.3"/>
    <row r="1068" customFormat="1" x14ac:dyDescent="0.3"/>
    <row r="1069" customFormat="1" x14ac:dyDescent="0.3"/>
    <row r="1070" customFormat="1" x14ac:dyDescent="0.3"/>
    <row r="1071" customFormat="1" x14ac:dyDescent="0.3"/>
    <row r="1072" customFormat="1" x14ac:dyDescent="0.3"/>
    <row r="1073" customFormat="1" x14ac:dyDescent="0.3"/>
    <row r="1074" customFormat="1" x14ac:dyDescent="0.3"/>
    <row r="1075" customFormat="1" x14ac:dyDescent="0.3"/>
    <row r="1076" customFormat="1" x14ac:dyDescent="0.3"/>
    <row r="1077" customFormat="1" x14ac:dyDescent="0.3"/>
    <row r="1078" customFormat="1" x14ac:dyDescent="0.3"/>
    <row r="1079" customFormat="1" x14ac:dyDescent="0.3"/>
    <row r="1080" customFormat="1" x14ac:dyDescent="0.3"/>
    <row r="1081" customFormat="1" x14ac:dyDescent="0.3"/>
    <row r="1082" customFormat="1" x14ac:dyDescent="0.3"/>
    <row r="1083" customFormat="1" x14ac:dyDescent="0.3"/>
    <row r="1084" customFormat="1" x14ac:dyDescent="0.3"/>
    <row r="1085" customFormat="1" x14ac:dyDescent="0.3"/>
    <row r="1086" customFormat="1" x14ac:dyDescent="0.3"/>
    <row r="1087" customFormat="1" x14ac:dyDescent="0.3"/>
    <row r="1088" customFormat="1" x14ac:dyDescent="0.3"/>
    <row r="1089" customFormat="1" x14ac:dyDescent="0.3"/>
    <row r="1090" customFormat="1" x14ac:dyDescent="0.3"/>
    <row r="1091" customFormat="1" x14ac:dyDescent="0.3"/>
    <row r="1092" customFormat="1" x14ac:dyDescent="0.3"/>
    <row r="1093" customFormat="1" x14ac:dyDescent="0.3"/>
    <row r="1094" customFormat="1" x14ac:dyDescent="0.3"/>
    <row r="1095" customFormat="1" x14ac:dyDescent="0.3"/>
    <row r="1096" customFormat="1" x14ac:dyDescent="0.3"/>
    <row r="1097" customFormat="1" x14ac:dyDescent="0.3"/>
    <row r="1098" customFormat="1" x14ac:dyDescent="0.3"/>
    <row r="1099" customFormat="1" x14ac:dyDescent="0.3"/>
    <row r="1100" customFormat="1" x14ac:dyDescent="0.3"/>
    <row r="1101" customFormat="1" x14ac:dyDescent="0.3"/>
    <row r="1102" customFormat="1" x14ac:dyDescent="0.3"/>
    <row r="1103" customFormat="1" x14ac:dyDescent="0.3"/>
    <row r="1104" customFormat="1" x14ac:dyDescent="0.3"/>
    <row r="1105" customFormat="1" x14ac:dyDescent="0.3"/>
    <row r="1106" customFormat="1" x14ac:dyDescent="0.3"/>
    <row r="1107" customFormat="1" x14ac:dyDescent="0.3"/>
    <row r="1108" customFormat="1" x14ac:dyDescent="0.3"/>
    <row r="1109" customFormat="1" x14ac:dyDescent="0.3"/>
    <row r="1110" customFormat="1" x14ac:dyDescent="0.3"/>
    <row r="1111" customFormat="1" x14ac:dyDescent="0.3"/>
    <row r="1112" customFormat="1" x14ac:dyDescent="0.3"/>
    <row r="1113" customFormat="1" x14ac:dyDescent="0.3"/>
    <row r="1114" customFormat="1" x14ac:dyDescent="0.3"/>
    <row r="1115" customFormat="1" x14ac:dyDescent="0.3"/>
    <row r="1116" customFormat="1" x14ac:dyDescent="0.3"/>
    <row r="1117" customFormat="1" x14ac:dyDescent="0.3"/>
    <row r="1118" customFormat="1" x14ac:dyDescent="0.3"/>
    <row r="1119" customFormat="1" x14ac:dyDescent="0.3"/>
    <row r="1120" customFormat="1" x14ac:dyDescent="0.3"/>
    <row r="1121" customFormat="1" x14ac:dyDescent="0.3"/>
    <row r="1122" customFormat="1" x14ac:dyDescent="0.3"/>
    <row r="1123" customFormat="1" x14ac:dyDescent="0.3"/>
    <row r="1124" customFormat="1" x14ac:dyDescent="0.3"/>
    <row r="1125" customFormat="1" x14ac:dyDescent="0.3"/>
    <row r="1126" customFormat="1" x14ac:dyDescent="0.3"/>
    <row r="1127" customFormat="1" x14ac:dyDescent="0.3"/>
    <row r="1128" customFormat="1" x14ac:dyDescent="0.3"/>
    <row r="1129" customFormat="1" x14ac:dyDescent="0.3"/>
    <row r="1130" customFormat="1" x14ac:dyDescent="0.3"/>
    <row r="1131" customFormat="1" x14ac:dyDescent="0.3"/>
    <row r="1132" customFormat="1" x14ac:dyDescent="0.3"/>
    <row r="1133" customFormat="1" x14ac:dyDescent="0.3"/>
    <row r="1134" customFormat="1" x14ac:dyDescent="0.3"/>
    <row r="1135" customFormat="1" x14ac:dyDescent="0.3"/>
    <row r="1136" customFormat="1" x14ac:dyDescent="0.3"/>
    <row r="1137" customFormat="1" x14ac:dyDescent="0.3"/>
    <row r="1138" customFormat="1" x14ac:dyDescent="0.3"/>
    <row r="1139" customFormat="1" x14ac:dyDescent="0.3"/>
    <row r="1140" customFormat="1" x14ac:dyDescent="0.3"/>
    <row r="1141" customFormat="1" x14ac:dyDescent="0.3"/>
    <row r="1142" customFormat="1" x14ac:dyDescent="0.3"/>
    <row r="1143" customFormat="1" x14ac:dyDescent="0.3"/>
    <row r="1144" customFormat="1" x14ac:dyDescent="0.3"/>
    <row r="1145" customFormat="1" x14ac:dyDescent="0.3"/>
    <row r="1146" customFormat="1" x14ac:dyDescent="0.3"/>
    <row r="1147" customFormat="1" x14ac:dyDescent="0.3"/>
    <row r="1148" customFormat="1" x14ac:dyDescent="0.3"/>
    <row r="1149" customFormat="1" x14ac:dyDescent="0.3"/>
    <row r="1150" customFormat="1" x14ac:dyDescent="0.3"/>
    <row r="1151" customFormat="1" x14ac:dyDescent="0.3"/>
    <row r="1152" customFormat="1" x14ac:dyDescent="0.3"/>
    <row r="1153" customFormat="1" x14ac:dyDescent="0.3"/>
    <row r="1154" customFormat="1" x14ac:dyDescent="0.3"/>
    <row r="1155" customFormat="1" x14ac:dyDescent="0.3"/>
    <row r="1156" customFormat="1" x14ac:dyDescent="0.3"/>
    <row r="1157" customFormat="1" x14ac:dyDescent="0.3"/>
    <row r="1158" customFormat="1" x14ac:dyDescent="0.3"/>
    <row r="1159" customFormat="1" x14ac:dyDescent="0.3"/>
    <row r="1160" customFormat="1" x14ac:dyDescent="0.3"/>
    <row r="1161" customFormat="1" x14ac:dyDescent="0.3"/>
    <row r="1162" customFormat="1" x14ac:dyDescent="0.3"/>
    <row r="1163" customFormat="1" x14ac:dyDescent="0.3"/>
    <row r="1164" customFormat="1" x14ac:dyDescent="0.3"/>
    <row r="1165" customFormat="1" x14ac:dyDescent="0.3"/>
    <row r="1166" customFormat="1" x14ac:dyDescent="0.3"/>
    <row r="1167" customFormat="1" x14ac:dyDescent="0.3"/>
    <row r="1168" customFormat="1" x14ac:dyDescent="0.3"/>
    <row r="1169" customFormat="1" x14ac:dyDescent="0.3"/>
    <row r="1170" customFormat="1" x14ac:dyDescent="0.3"/>
    <row r="1171" customFormat="1" x14ac:dyDescent="0.3"/>
    <row r="1172" customFormat="1" x14ac:dyDescent="0.3"/>
    <row r="1173" customFormat="1" x14ac:dyDescent="0.3"/>
    <row r="1174" customFormat="1" x14ac:dyDescent="0.3"/>
    <row r="1175" customFormat="1" x14ac:dyDescent="0.3"/>
    <row r="1176" customFormat="1" x14ac:dyDescent="0.3"/>
    <row r="1177" customFormat="1" x14ac:dyDescent="0.3"/>
    <row r="1178" customFormat="1" x14ac:dyDescent="0.3"/>
    <row r="1179" customFormat="1" x14ac:dyDescent="0.3"/>
    <row r="1180" customFormat="1" x14ac:dyDescent="0.3"/>
    <row r="1181" customFormat="1" x14ac:dyDescent="0.3"/>
    <row r="1182" customFormat="1" x14ac:dyDescent="0.3"/>
    <row r="1183" customFormat="1" x14ac:dyDescent="0.3"/>
    <row r="1184" customFormat="1" x14ac:dyDescent="0.3"/>
    <row r="1185" customFormat="1" x14ac:dyDescent="0.3"/>
    <row r="1186" customFormat="1" x14ac:dyDescent="0.3"/>
    <row r="1187" customFormat="1" x14ac:dyDescent="0.3"/>
    <row r="1188" customFormat="1" x14ac:dyDescent="0.3"/>
    <row r="1189" customFormat="1" x14ac:dyDescent="0.3"/>
    <row r="1190" customFormat="1" x14ac:dyDescent="0.3"/>
    <row r="1191" customFormat="1" x14ac:dyDescent="0.3"/>
    <row r="1192" customFormat="1" x14ac:dyDescent="0.3"/>
    <row r="1193" customFormat="1" x14ac:dyDescent="0.3"/>
    <row r="1194" customFormat="1" x14ac:dyDescent="0.3"/>
    <row r="1195" customFormat="1" x14ac:dyDescent="0.3"/>
    <row r="1196" customFormat="1" x14ac:dyDescent="0.3"/>
    <row r="1197" customFormat="1" x14ac:dyDescent="0.3"/>
    <row r="1198" customFormat="1" x14ac:dyDescent="0.3"/>
    <row r="1199" customFormat="1" x14ac:dyDescent="0.3"/>
    <row r="1200" customFormat="1" x14ac:dyDescent="0.3"/>
    <row r="1201" customFormat="1" x14ac:dyDescent="0.3"/>
    <row r="1202" customFormat="1" x14ac:dyDescent="0.3"/>
    <row r="1203" customFormat="1" x14ac:dyDescent="0.3"/>
    <row r="1204" customFormat="1" x14ac:dyDescent="0.3"/>
    <row r="1205" customFormat="1" x14ac:dyDescent="0.3"/>
    <row r="1206" customFormat="1" x14ac:dyDescent="0.3"/>
    <row r="1207" customFormat="1" x14ac:dyDescent="0.3"/>
    <row r="1208" customFormat="1" x14ac:dyDescent="0.3"/>
    <row r="1209" customFormat="1" x14ac:dyDescent="0.3"/>
    <row r="1210" customFormat="1" x14ac:dyDescent="0.3"/>
    <row r="1211" customFormat="1" x14ac:dyDescent="0.3"/>
    <row r="1212" customFormat="1" x14ac:dyDescent="0.3"/>
    <row r="1213" customFormat="1" x14ac:dyDescent="0.3"/>
    <row r="1214" customFormat="1" x14ac:dyDescent="0.3"/>
    <row r="1215" customFormat="1" x14ac:dyDescent="0.3"/>
    <row r="1216" customFormat="1" x14ac:dyDescent="0.3"/>
    <row r="1217" customFormat="1" x14ac:dyDescent="0.3"/>
    <row r="1218" customFormat="1" x14ac:dyDescent="0.3"/>
    <row r="1219" customFormat="1" x14ac:dyDescent="0.3"/>
    <row r="1220" customFormat="1" x14ac:dyDescent="0.3"/>
    <row r="1221" customFormat="1" x14ac:dyDescent="0.3"/>
    <row r="1222" customFormat="1" x14ac:dyDescent="0.3"/>
    <row r="1223" customFormat="1" x14ac:dyDescent="0.3"/>
    <row r="1224" customFormat="1" x14ac:dyDescent="0.3"/>
    <row r="1225" customFormat="1" x14ac:dyDescent="0.3"/>
    <row r="1226" customFormat="1" x14ac:dyDescent="0.3"/>
    <row r="1227" customFormat="1" x14ac:dyDescent="0.3"/>
    <row r="1228" customFormat="1" x14ac:dyDescent="0.3"/>
    <row r="1229" customFormat="1" x14ac:dyDescent="0.3"/>
    <row r="1230" customFormat="1" x14ac:dyDescent="0.3"/>
    <row r="1231" customFormat="1" x14ac:dyDescent="0.3"/>
    <row r="1232" customFormat="1" x14ac:dyDescent="0.3"/>
    <row r="1233" customFormat="1" x14ac:dyDescent="0.3"/>
    <row r="1234" customFormat="1" x14ac:dyDescent="0.3"/>
    <row r="1235" customFormat="1" x14ac:dyDescent="0.3"/>
    <row r="1236" customFormat="1" x14ac:dyDescent="0.3"/>
    <row r="1237" customFormat="1" x14ac:dyDescent="0.3"/>
    <row r="1238" customFormat="1" x14ac:dyDescent="0.3"/>
    <row r="1239" customFormat="1" x14ac:dyDescent="0.3"/>
    <row r="1240" customFormat="1" x14ac:dyDescent="0.3"/>
    <row r="1241" customFormat="1" x14ac:dyDescent="0.3"/>
    <row r="1242" customFormat="1" x14ac:dyDescent="0.3"/>
    <row r="1243" customFormat="1" x14ac:dyDescent="0.3"/>
    <row r="1244" customFormat="1" x14ac:dyDescent="0.3"/>
    <row r="1245" customFormat="1" x14ac:dyDescent="0.3"/>
    <row r="1246" customFormat="1" x14ac:dyDescent="0.3"/>
    <row r="1247" customFormat="1" x14ac:dyDescent="0.3"/>
    <row r="1248" customFormat="1" x14ac:dyDescent="0.3"/>
    <row r="1249" customFormat="1" x14ac:dyDescent="0.3"/>
    <row r="1250" customFormat="1" x14ac:dyDescent="0.3"/>
    <row r="1251" customFormat="1" x14ac:dyDescent="0.3"/>
    <row r="1252" customFormat="1" x14ac:dyDescent="0.3"/>
    <row r="1253" customFormat="1" x14ac:dyDescent="0.3"/>
    <row r="1254" customFormat="1" x14ac:dyDescent="0.3"/>
    <row r="1255" customFormat="1" x14ac:dyDescent="0.3"/>
    <row r="1256" customFormat="1" x14ac:dyDescent="0.3"/>
    <row r="1257" customFormat="1" x14ac:dyDescent="0.3"/>
    <row r="1258" customFormat="1" x14ac:dyDescent="0.3"/>
    <row r="1259" customFormat="1" x14ac:dyDescent="0.3"/>
    <row r="1260" customFormat="1" x14ac:dyDescent="0.3"/>
    <row r="1261" customFormat="1" x14ac:dyDescent="0.3"/>
    <row r="1262" customFormat="1" x14ac:dyDescent="0.3"/>
    <row r="1263" customFormat="1" x14ac:dyDescent="0.3"/>
    <row r="1264" customFormat="1" x14ac:dyDescent="0.3"/>
    <row r="1265" customFormat="1" x14ac:dyDescent="0.3"/>
    <row r="1266" customFormat="1" x14ac:dyDescent="0.3"/>
    <row r="1267" customFormat="1" x14ac:dyDescent="0.3"/>
    <row r="1268" customFormat="1" x14ac:dyDescent="0.3"/>
    <row r="1269" customFormat="1" x14ac:dyDescent="0.3"/>
    <row r="1270" customFormat="1" x14ac:dyDescent="0.3"/>
    <row r="1271" customFormat="1" x14ac:dyDescent="0.3"/>
    <row r="1272" customFormat="1" x14ac:dyDescent="0.3"/>
    <row r="1273" customFormat="1" x14ac:dyDescent="0.3"/>
    <row r="1274" customFormat="1" x14ac:dyDescent="0.3"/>
    <row r="1275" customFormat="1" x14ac:dyDescent="0.3"/>
    <row r="1276" customFormat="1" x14ac:dyDescent="0.3"/>
    <row r="1277" customFormat="1" x14ac:dyDescent="0.3"/>
    <row r="1278" customFormat="1" x14ac:dyDescent="0.3"/>
    <row r="1279" customFormat="1" x14ac:dyDescent="0.3"/>
    <row r="1280" customFormat="1" x14ac:dyDescent="0.3"/>
    <row r="1281" customFormat="1" x14ac:dyDescent="0.3"/>
    <row r="1282" customFormat="1" x14ac:dyDescent="0.3"/>
    <row r="1283" customFormat="1" x14ac:dyDescent="0.3"/>
    <row r="1284" customFormat="1" x14ac:dyDescent="0.3"/>
    <row r="1285" customFormat="1" x14ac:dyDescent="0.3"/>
    <row r="1286" customFormat="1" x14ac:dyDescent="0.3"/>
    <row r="1287" customFormat="1" x14ac:dyDescent="0.3"/>
    <row r="1288" customFormat="1" x14ac:dyDescent="0.3"/>
    <row r="1289" customFormat="1" x14ac:dyDescent="0.3"/>
    <row r="1290" customFormat="1" x14ac:dyDescent="0.3"/>
    <row r="1291" customFormat="1" x14ac:dyDescent="0.3"/>
    <row r="1292" customFormat="1" x14ac:dyDescent="0.3"/>
    <row r="1293" customFormat="1" x14ac:dyDescent="0.3"/>
    <row r="1294" customFormat="1" x14ac:dyDescent="0.3"/>
    <row r="1295" customFormat="1" x14ac:dyDescent="0.3"/>
    <row r="1296" customFormat="1" x14ac:dyDescent="0.3"/>
    <row r="1297" customFormat="1" x14ac:dyDescent="0.3"/>
    <row r="1298" customFormat="1" x14ac:dyDescent="0.3"/>
    <row r="1299" customFormat="1" x14ac:dyDescent="0.3"/>
    <row r="1300" customFormat="1" x14ac:dyDescent="0.3"/>
    <row r="1301" customFormat="1" x14ac:dyDescent="0.3"/>
    <row r="1302" customFormat="1" x14ac:dyDescent="0.3"/>
    <row r="1303" customFormat="1" x14ac:dyDescent="0.3"/>
    <row r="1304" customFormat="1" x14ac:dyDescent="0.3"/>
    <row r="1305" customFormat="1" x14ac:dyDescent="0.3"/>
    <row r="1306" customFormat="1" x14ac:dyDescent="0.3"/>
    <row r="1307" customFormat="1" x14ac:dyDescent="0.3"/>
    <row r="1308" customFormat="1" x14ac:dyDescent="0.3"/>
    <row r="1309" customFormat="1" x14ac:dyDescent="0.3"/>
    <row r="1310" customFormat="1" x14ac:dyDescent="0.3"/>
    <row r="1311" customFormat="1" x14ac:dyDescent="0.3"/>
    <row r="1312" customFormat="1" x14ac:dyDescent="0.3"/>
    <row r="1313" customFormat="1" x14ac:dyDescent="0.3"/>
    <row r="1314" customFormat="1" x14ac:dyDescent="0.3"/>
    <row r="1315" customFormat="1" x14ac:dyDescent="0.3"/>
    <row r="1316" customFormat="1" x14ac:dyDescent="0.3"/>
    <row r="1317" customFormat="1" x14ac:dyDescent="0.3"/>
    <row r="1318" customFormat="1" x14ac:dyDescent="0.3"/>
    <row r="1319" customFormat="1" x14ac:dyDescent="0.3"/>
    <row r="1320" customFormat="1" x14ac:dyDescent="0.3"/>
    <row r="1321" customFormat="1" x14ac:dyDescent="0.3"/>
    <row r="1322" customFormat="1" x14ac:dyDescent="0.3"/>
    <row r="1323" customFormat="1" x14ac:dyDescent="0.3"/>
    <row r="1324" customFormat="1" x14ac:dyDescent="0.3"/>
    <row r="1325" customFormat="1" x14ac:dyDescent="0.3"/>
    <row r="1326" customFormat="1" x14ac:dyDescent="0.3"/>
    <row r="1327" customFormat="1" x14ac:dyDescent="0.3"/>
    <row r="1328" customFormat="1" x14ac:dyDescent="0.3"/>
    <row r="1329" customFormat="1" x14ac:dyDescent="0.3"/>
    <row r="1330" customFormat="1" x14ac:dyDescent="0.3"/>
    <row r="1331" customFormat="1" x14ac:dyDescent="0.3"/>
    <row r="1332" customFormat="1" x14ac:dyDescent="0.3"/>
    <row r="1333" customFormat="1" x14ac:dyDescent="0.3"/>
    <row r="1334" customFormat="1" x14ac:dyDescent="0.3"/>
    <row r="1335" customFormat="1" x14ac:dyDescent="0.3"/>
    <row r="1336" customFormat="1" x14ac:dyDescent="0.3"/>
    <row r="1337" customFormat="1" x14ac:dyDescent="0.3"/>
    <row r="1338" customFormat="1" x14ac:dyDescent="0.3"/>
    <row r="1339" customFormat="1" x14ac:dyDescent="0.3"/>
    <row r="1340" customFormat="1" x14ac:dyDescent="0.3"/>
    <row r="1341" customFormat="1" x14ac:dyDescent="0.3"/>
    <row r="1342" customFormat="1" x14ac:dyDescent="0.3"/>
    <row r="1343" customFormat="1" x14ac:dyDescent="0.3"/>
    <row r="1344" customFormat="1" x14ac:dyDescent="0.3"/>
    <row r="1345" customFormat="1" x14ac:dyDescent="0.3"/>
    <row r="1346" customFormat="1" x14ac:dyDescent="0.3"/>
    <row r="1347" customFormat="1" x14ac:dyDescent="0.3"/>
    <row r="1348" customFormat="1" x14ac:dyDescent="0.3"/>
    <row r="1349" customFormat="1" x14ac:dyDescent="0.3"/>
    <row r="1350" customFormat="1" x14ac:dyDescent="0.3"/>
    <row r="1351" customFormat="1" x14ac:dyDescent="0.3"/>
    <row r="1352" customFormat="1" x14ac:dyDescent="0.3"/>
    <row r="1353" customFormat="1" x14ac:dyDescent="0.3"/>
    <row r="1354" customFormat="1" x14ac:dyDescent="0.3"/>
    <row r="1355" customFormat="1" x14ac:dyDescent="0.3"/>
    <row r="1356" customFormat="1" x14ac:dyDescent="0.3"/>
    <row r="1357" customFormat="1" x14ac:dyDescent="0.3"/>
    <row r="1358" customFormat="1" x14ac:dyDescent="0.3"/>
    <row r="1359" customFormat="1" x14ac:dyDescent="0.3"/>
    <row r="1360" customFormat="1" x14ac:dyDescent="0.3"/>
    <row r="1361" customFormat="1" x14ac:dyDescent="0.3"/>
    <row r="1362" customFormat="1" x14ac:dyDescent="0.3"/>
    <row r="1363" customFormat="1" x14ac:dyDescent="0.3"/>
    <row r="1364" customFormat="1" x14ac:dyDescent="0.3"/>
    <row r="1365" customFormat="1" x14ac:dyDescent="0.3"/>
    <row r="1366" customFormat="1" x14ac:dyDescent="0.3"/>
    <row r="1367" customFormat="1" x14ac:dyDescent="0.3"/>
    <row r="1368" customFormat="1" x14ac:dyDescent="0.3"/>
    <row r="1369" customFormat="1" x14ac:dyDescent="0.3"/>
    <row r="1370" customFormat="1" x14ac:dyDescent="0.3"/>
    <row r="1371" customFormat="1" x14ac:dyDescent="0.3"/>
    <row r="1372" customFormat="1" x14ac:dyDescent="0.3"/>
    <row r="1373" customFormat="1" x14ac:dyDescent="0.3"/>
    <row r="1374" customFormat="1" x14ac:dyDescent="0.3"/>
    <row r="1375" customFormat="1" x14ac:dyDescent="0.3"/>
    <row r="1376" customFormat="1" x14ac:dyDescent="0.3"/>
    <row r="1377" customFormat="1" x14ac:dyDescent="0.3"/>
    <row r="1378" customFormat="1" x14ac:dyDescent="0.3"/>
    <row r="1379" customFormat="1" x14ac:dyDescent="0.3"/>
    <row r="1380" customFormat="1" x14ac:dyDescent="0.3"/>
    <row r="1381" customFormat="1" x14ac:dyDescent="0.3"/>
    <row r="1382" customFormat="1" x14ac:dyDescent="0.3"/>
    <row r="1383" customFormat="1" x14ac:dyDescent="0.3"/>
    <row r="1384" customFormat="1" x14ac:dyDescent="0.3"/>
    <row r="1385" customFormat="1" x14ac:dyDescent="0.3"/>
    <row r="1386" customFormat="1" x14ac:dyDescent="0.3"/>
    <row r="1387" customFormat="1" x14ac:dyDescent="0.3"/>
    <row r="1388" customFormat="1" x14ac:dyDescent="0.3"/>
    <row r="1389" customFormat="1" x14ac:dyDescent="0.3"/>
    <row r="1390" customFormat="1" x14ac:dyDescent="0.3"/>
    <row r="1391" customFormat="1" x14ac:dyDescent="0.3"/>
    <row r="1392" customFormat="1" x14ac:dyDescent="0.3"/>
    <row r="1393" customFormat="1" x14ac:dyDescent="0.3"/>
    <row r="1394" customFormat="1" x14ac:dyDescent="0.3"/>
    <row r="1395" customFormat="1" x14ac:dyDescent="0.3"/>
    <row r="1396" customFormat="1" x14ac:dyDescent="0.3"/>
    <row r="1397" customFormat="1" x14ac:dyDescent="0.3"/>
    <row r="1398" customFormat="1" x14ac:dyDescent="0.3"/>
    <row r="1399" customFormat="1" x14ac:dyDescent="0.3"/>
    <row r="1400" customFormat="1" x14ac:dyDescent="0.3"/>
    <row r="1401" customFormat="1" x14ac:dyDescent="0.3"/>
    <row r="1402" customFormat="1" x14ac:dyDescent="0.3"/>
    <row r="1403" customFormat="1" x14ac:dyDescent="0.3"/>
    <row r="1404" customFormat="1" x14ac:dyDescent="0.3"/>
    <row r="1405" customFormat="1" x14ac:dyDescent="0.3"/>
    <row r="1406" customFormat="1" x14ac:dyDescent="0.3"/>
    <row r="1407" customFormat="1" x14ac:dyDescent="0.3"/>
    <row r="1408" customFormat="1" x14ac:dyDescent="0.3"/>
    <row r="1409" customFormat="1" x14ac:dyDescent="0.3"/>
    <row r="1410" customFormat="1" x14ac:dyDescent="0.3"/>
    <row r="1411" customFormat="1" x14ac:dyDescent="0.3"/>
    <row r="1412" customFormat="1" x14ac:dyDescent="0.3"/>
    <row r="1413" customFormat="1" x14ac:dyDescent="0.3"/>
    <row r="1414" customFormat="1" x14ac:dyDescent="0.3"/>
    <row r="1415" customFormat="1" x14ac:dyDescent="0.3"/>
    <row r="1416" customFormat="1" x14ac:dyDescent="0.3"/>
    <row r="1417" customFormat="1" x14ac:dyDescent="0.3"/>
    <row r="1418" customFormat="1" x14ac:dyDescent="0.3"/>
    <row r="1419" customFormat="1" x14ac:dyDescent="0.3"/>
    <row r="1420" customFormat="1" x14ac:dyDescent="0.3"/>
    <row r="1421" customFormat="1" x14ac:dyDescent="0.3"/>
    <row r="1422" customFormat="1" x14ac:dyDescent="0.3"/>
    <row r="1423" customFormat="1" x14ac:dyDescent="0.3"/>
    <row r="1424" customFormat="1" x14ac:dyDescent="0.3"/>
    <row r="1425" customFormat="1" x14ac:dyDescent="0.3"/>
    <row r="1426" customFormat="1" x14ac:dyDescent="0.3"/>
    <row r="1427" customFormat="1" x14ac:dyDescent="0.3"/>
    <row r="1428" customFormat="1" x14ac:dyDescent="0.3"/>
    <row r="1429" customFormat="1" x14ac:dyDescent="0.3"/>
    <row r="1430" customFormat="1" x14ac:dyDescent="0.3"/>
    <row r="1431" customFormat="1" x14ac:dyDescent="0.3"/>
    <row r="1432" customFormat="1" x14ac:dyDescent="0.3"/>
    <row r="1433" customFormat="1" x14ac:dyDescent="0.3"/>
    <row r="1434" customFormat="1" x14ac:dyDescent="0.3"/>
    <row r="1435" customFormat="1" x14ac:dyDescent="0.3"/>
    <row r="1436" customFormat="1" x14ac:dyDescent="0.3"/>
    <row r="1437" customFormat="1" x14ac:dyDescent="0.3"/>
    <row r="1438" customFormat="1" x14ac:dyDescent="0.3"/>
    <row r="1439" customFormat="1" x14ac:dyDescent="0.3"/>
    <row r="1440" customFormat="1" x14ac:dyDescent="0.3"/>
    <row r="1441" customFormat="1" x14ac:dyDescent="0.3"/>
    <row r="1442" customFormat="1" x14ac:dyDescent="0.3"/>
    <row r="1443" customFormat="1" x14ac:dyDescent="0.3"/>
    <row r="1444" customFormat="1" x14ac:dyDescent="0.3"/>
    <row r="1445" customFormat="1" x14ac:dyDescent="0.3"/>
    <row r="1446" customFormat="1" x14ac:dyDescent="0.3"/>
    <row r="1447" customFormat="1" x14ac:dyDescent="0.3"/>
    <row r="1448" customFormat="1" x14ac:dyDescent="0.3"/>
    <row r="1449" customFormat="1" x14ac:dyDescent="0.3"/>
    <row r="1450" customFormat="1" x14ac:dyDescent="0.3"/>
    <row r="1451" customFormat="1" x14ac:dyDescent="0.3"/>
    <row r="1452" customFormat="1" x14ac:dyDescent="0.3"/>
    <row r="1453" customFormat="1" x14ac:dyDescent="0.3"/>
    <row r="1454" customFormat="1" x14ac:dyDescent="0.3"/>
    <row r="1455" customFormat="1" x14ac:dyDescent="0.3"/>
    <row r="1456" customFormat="1" x14ac:dyDescent="0.3"/>
    <row r="1457" customFormat="1" x14ac:dyDescent="0.3"/>
    <row r="1458" customFormat="1" x14ac:dyDescent="0.3"/>
    <row r="1459" customFormat="1" x14ac:dyDescent="0.3"/>
    <row r="1460" customFormat="1" x14ac:dyDescent="0.3"/>
    <row r="1461" customFormat="1" x14ac:dyDescent="0.3"/>
    <row r="1462" customFormat="1" x14ac:dyDescent="0.3"/>
    <row r="1463" customFormat="1" x14ac:dyDescent="0.3"/>
    <row r="1464" customFormat="1" x14ac:dyDescent="0.3"/>
    <row r="1465" customFormat="1" x14ac:dyDescent="0.3"/>
    <row r="1466" customFormat="1" x14ac:dyDescent="0.3"/>
    <row r="1467" customFormat="1" x14ac:dyDescent="0.3"/>
    <row r="1468" customFormat="1" x14ac:dyDescent="0.3"/>
    <row r="1469" customFormat="1" x14ac:dyDescent="0.3"/>
    <row r="1470" customFormat="1" x14ac:dyDescent="0.3"/>
    <row r="1471" customFormat="1" x14ac:dyDescent="0.3"/>
    <row r="1472" customFormat="1" x14ac:dyDescent="0.3"/>
    <row r="1473" customFormat="1" x14ac:dyDescent="0.3"/>
    <row r="1474" customFormat="1" x14ac:dyDescent="0.3"/>
    <row r="1475" customFormat="1" x14ac:dyDescent="0.3"/>
    <row r="1476" customFormat="1" x14ac:dyDescent="0.3"/>
    <row r="1477" customFormat="1" x14ac:dyDescent="0.3"/>
    <row r="1478" customFormat="1" x14ac:dyDescent="0.3"/>
    <row r="1479" customFormat="1" x14ac:dyDescent="0.3"/>
    <row r="1480" customFormat="1" x14ac:dyDescent="0.3"/>
    <row r="1481" customFormat="1" x14ac:dyDescent="0.3"/>
    <row r="1482" customFormat="1" x14ac:dyDescent="0.3"/>
    <row r="1483" customFormat="1" x14ac:dyDescent="0.3"/>
    <row r="1484" customFormat="1" x14ac:dyDescent="0.3"/>
    <row r="1485" customFormat="1" x14ac:dyDescent="0.3"/>
    <row r="1486" customFormat="1" x14ac:dyDescent="0.3"/>
    <row r="1487" customFormat="1" x14ac:dyDescent="0.3"/>
    <row r="1488" customFormat="1" x14ac:dyDescent="0.3"/>
    <row r="1489" customFormat="1" x14ac:dyDescent="0.3"/>
    <row r="1490" customFormat="1" x14ac:dyDescent="0.3"/>
    <row r="1491" customFormat="1" x14ac:dyDescent="0.3"/>
    <row r="1492" customFormat="1" x14ac:dyDescent="0.3"/>
    <row r="1493" customFormat="1" x14ac:dyDescent="0.3"/>
    <row r="1494" customFormat="1" x14ac:dyDescent="0.3"/>
    <row r="1495" customFormat="1" x14ac:dyDescent="0.3"/>
    <row r="1496" customFormat="1" x14ac:dyDescent="0.3"/>
    <row r="1497" customFormat="1" x14ac:dyDescent="0.3"/>
    <row r="1498" customFormat="1" x14ac:dyDescent="0.3"/>
    <row r="1499" customFormat="1" x14ac:dyDescent="0.3"/>
    <row r="1500" customFormat="1" x14ac:dyDescent="0.3"/>
    <row r="1501" customFormat="1" x14ac:dyDescent="0.3"/>
    <row r="1502" customFormat="1" x14ac:dyDescent="0.3"/>
    <row r="1503" customFormat="1" x14ac:dyDescent="0.3"/>
    <row r="1504" customFormat="1" x14ac:dyDescent="0.3"/>
    <row r="1505" customFormat="1" x14ac:dyDescent="0.3"/>
    <row r="1506" customFormat="1" x14ac:dyDescent="0.3"/>
    <row r="1507" customFormat="1" x14ac:dyDescent="0.3"/>
    <row r="1508" customFormat="1" x14ac:dyDescent="0.3"/>
    <row r="1509" customFormat="1" x14ac:dyDescent="0.3"/>
    <row r="1510" customFormat="1" x14ac:dyDescent="0.3"/>
    <row r="1511" customFormat="1" x14ac:dyDescent="0.3"/>
    <row r="1512" customFormat="1" x14ac:dyDescent="0.3"/>
    <row r="1513" customFormat="1" x14ac:dyDescent="0.3"/>
    <row r="1514" customFormat="1" x14ac:dyDescent="0.3"/>
    <row r="1515" customFormat="1" x14ac:dyDescent="0.3"/>
    <row r="1516" customFormat="1" x14ac:dyDescent="0.3"/>
    <row r="1517" customFormat="1" x14ac:dyDescent="0.3"/>
    <row r="1518" customFormat="1" x14ac:dyDescent="0.3"/>
    <row r="1519" customFormat="1" x14ac:dyDescent="0.3"/>
    <row r="1520" customFormat="1" x14ac:dyDescent="0.3"/>
    <row r="1521" customFormat="1" x14ac:dyDescent="0.3"/>
    <row r="1522" customFormat="1" x14ac:dyDescent="0.3"/>
    <row r="1523" customFormat="1" x14ac:dyDescent="0.3"/>
    <row r="1524" customFormat="1" x14ac:dyDescent="0.3"/>
    <row r="1525" customFormat="1" x14ac:dyDescent="0.3"/>
    <row r="1526" customFormat="1" x14ac:dyDescent="0.3"/>
    <row r="1527" customFormat="1" x14ac:dyDescent="0.3"/>
    <row r="1528" customFormat="1" x14ac:dyDescent="0.3"/>
    <row r="1529" customFormat="1" x14ac:dyDescent="0.3"/>
    <row r="1530" customFormat="1" x14ac:dyDescent="0.3"/>
    <row r="1531" customFormat="1" x14ac:dyDescent="0.3"/>
    <row r="1532" customFormat="1" x14ac:dyDescent="0.3"/>
    <row r="1533" customFormat="1" x14ac:dyDescent="0.3"/>
    <row r="1534" customFormat="1" x14ac:dyDescent="0.3"/>
    <row r="1535" customFormat="1" x14ac:dyDescent="0.3"/>
    <row r="1536" customFormat="1" x14ac:dyDescent="0.3"/>
    <row r="1537" customFormat="1" x14ac:dyDescent="0.3"/>
    <row r="1538" customFormat="1" x14ac:dyDescent="0.3"/>
    <row r="1539" customFormat="1" x14ac:dyDescent="0.3"/>
    <row r="1540" customFormat="1" x14ac:dyDescent="0.3"/>
    <row r="1541" customFormat="1" x14ac:dyDescent="0.3"/>
    <row r="1542" customFormat="1" x14ac:dyDescent="0.3"/>
    <row r="1543" customFormat="1" x14ac:dyDescent="0.3"/>
    <row r="1544" customFormat="1" x14ac:dyDescent="0.3"/>
    <row r="1545" customFormat="1" x14ac:dyDescent="0.3"/>
    <row r="1546" customFormat="1" x14ac:dyDescent="0.3"/>
    <row r="1547" customFormat="1" x14ac:dyDescent="0.3"/>
    <row r="1548" customFormat="1" x14ac:dyDescent="0.3"/>
    <row r="1549" customFormat="1" x14ac:dyDescent="0.3"/>
    <row r="1550" customFormat="1" x14ac:dyDescent="0.3"/>
    <row r="1551" customFormat="1" x14ac:dyDescent="0.3"/>
    <row r="1552" customFormat="1" x14ac:dyDescent="0.3"/>
    <row r="1553" customFormat="1" x14ac:dyDescent="0.3"/>
    <row r="1554" customFormat="1" x14ac:dyDescent="0.3"/>
    <row r="1555" customFormat="1" x14ac:dyDescent="0.3"/>
    <row r="1556" customFormat="1" x14ac:dyDescent="0.3"/>
    <row r="1557" customFormat="1" x14ac:dyDescent="0.3"/>
    <row r="1558" customFormat="1" x14ac:dyDescent="0.3"/>
    <row r="1559" customFormat="1" x14ac:dyDescent="0.3"/>
    <row r="1560" customFormat="1" x14ac:dyDescent="0.3"/>
    <row r="1561" customFormat="1" x14ac:dyDescent="0.3"/>
    <row r="1562" customFormat="1" x14ac:dyDescent="0.3"/>
    <row r="1563" customFormat="1" x14ac:dyDescent="0.3"/>
    <row r="1564" customFormat="1" x14ac:dyDescent="0.3"/>
    <row r="1565" customFormat="1" x14ac:dyDescent="0.3"/>
    <row r="1566" customFormat="1" x14ac:dyDescent="0.3"/>
    <row r="1567" customFormat="1" x14ac:dyDescent="0.3"/>
    <row r="1568" customFormat="1" x14ac:dyDescent="0.3"/>
    <row r="1569" customFormat="1" x14ac:dyDescent="0.3"/>
    <row r="1570" customFormat="1" x14ac:dyDescent="0.3"/>
    <row r="1571" customFormat="1" x14ac:dyDescent="0.3"/>
    <row r="1572" customFormat="1" x14ac:dyDescent="0.3"/>
    <row r="1573" customFormat="1" x14ac:dyDescent="0.3"/>
    <row r="1574" customFormat="1" x14ac:dyDescent="0.3"/>
    <row r="1575" customFormat="1" x14ac:dyDescent="0.3"/>
    <row r="1576" customFormat="1" x14ac:dyDescent="0.3"/>
    <row r="1577" customFormat="1" x14ac:dyDescent="0.3"/>
    <row r="1578" customFormat="1" x14ac:dyDescent="0.3"/>
    <row r="1579" customFormat="1" x14ac:dyDescent="0.3"/>
    <row r="1580" customFormat="1" x14ac:dyDescent="0.3"/>
    <row r="1581" customFormat="1" x14ac:dyDescent="0.3"/>
    <row r="1582" customFormat="1" x14ac:dyDescent="0.3"/>
    <row r="1583" customFormat="1" x14ac:dyDescent="0.3"/>
    <row r="1584" customFormat="1" x14ac:dyDescent="0.3"/>
    <row r="1585" customFormat="1" x14ac:dyDescent="0.3"/>
    <row r="1586" customFormat="1" x14ac:dyDescent="0.3"/>
    <row r="1587" customFormat="1" x14ac:dyDescent="0.3"/>
    <row r="1588" customFormat="1" x14ac:dyDescent="0.3"/>
    <row r="1589" customFormat="1" x14ac:dyDescent="0.3"/>
    <row r="1590" customFormat="1" x14ac:dyDescent="0.3"/>
    <row r="1591" customFormat="1" x14ac:dyDescent="0.3"/>
    <row r="1592" customFormat="1" x14ac:dyDescent="0.3"/>
    <row r="1593" customFormat="1" x14ac:dyDescent="0.3"/>
    <row r="1594" customFormat="1" x14ac:dyDescent="0.3"/>
    <row r="1595" customFormat="1" x14ac:dyDescent="0.3"/>
    <row r="1596" customFormat="1" x14ac:dyDescent="0.3"/>
    <row r="1597" customFormat="1" x14ac:dyDescent="0.3"/>
    <row r="1598" customFormat="1" x14ac:dyDescent="0.3"/>
    <row r="1599" customFormat="1" x14ac:dyDescent="0.3"/>
    <row r="1600" customFormat="1" x14ac:dyDescent="0.3"/>
    <row r="1601" customFormat="1" x14ac:dyDescent="0.3"/>
    <row r="1602" customFormat="1" x14ac:dyDescent="0.3"/>
    <row r="1603" customFormat="1" x14ac:dyDescent="0.3"/>
    <row r="1604" customFormat="1" x14ac:dyDescent="0.3"/>
    <row r="1605" customFormat="1" x14ac:dyDescent="0.3"/>
    <row r="1606" customFormat="1" x14ac:dyDescent="0.3"/>
    <row r="1607" customFormat="1" x14ac:dyDescent="0.3"/>
    <row r="1608" customFormat="1" x14ac:dyDescent="0.3"/>
    <row r="1609" customFormat="1" x14ac:dyDescent="0.3"/>
    <row r="1610" customFormat="1" x14ac:dyDescent="0.3"/>
    <row r="1611" customFormat="1" x14ac:dyDescent="0.3"/>
    <row r="1612" customFormat="1" x14ac:dyDescent="0.3"/>
    <row r="1613" customFormat="1" x14ac:dyDescent="0.3"/>
    <row r="1614" customFormat="1" x14ac:dyDescent="0.3"/>
    <row r="1615" customFormat="1" x14ac:dyDescent="0.3"/>
    <row r="1616" customFormat="1" x14ac:dyDescent="0.3"/>
    <row r="1617" customFormat="1" x14ac:dyDescent="0.3"/>
    <row r="1618" customFormat="1" x14ac:dyDescent="0.3"/>
    <row r="1619" customFormat="1" x14ac:dyDescent="0.3"/>
    <row r="1620" customFormat="1" x14ac:dyDescent="0.3"/>
    <row r="1621" customFormat="1" x14ac:dyDescent="0.3"/>
    <row r="1622" customFormat="1" x14ac:dyDescent="0.3"/>
    <row r="1623" customFormat="1" x14ac:dyDescent="0.3"/>
    <row r="1624" customFormat="1" x14ac:dyDescent="0.3"/>
    <row r="1625" customFormat="1" x14ac:dyDescent="0.3"/>
    <row r="1626" customFormat="1" x14ac:dyDescent="0.3"/>
    <row r="1627" customFormat="1" x14ac:dyDescent="0.3"/>
    <row r="1628" customFormat="1" x14ac:dyDescent="0.3"/>
    <row r="1629" customFormat="1" x14ac:dyDescent="0.3"/>
    <row r="1630" customFormat="1" x14ac:dyDescent="0.3"/>
    <row r="1631" customFormat="1" x14ac:dyDescent="0.3"/>
    <row r="1632" customFormat="1" x14ac:dyDescent="0.3"/>
    <row r="1633" customFormat="1" x14ac:dyDescent="0.3"/>
    <row r="1634" customFormat="1" x14ac:dyDescent="0.3"/>
    <row r="1635" customFormat="1" x14ac:dyDescent="0.3"/>
    <row r="1636" customFormat="1" x14ac:dyDescent="0.3"/>
    <row r="1637" customFormat="1" x14ac:dyDescent="0.3"/>
    <row r="1638" customFormat="1" x14ac:dyDescent="0.3"/>
    <row r="1639" customFormat="1" x14ac:dyDescent="0.3"/>
    <row r="1640" customFormat="1" x14ac:dyDescent="0.3"/>
    <row r="1641" customFormat="1" x14ac:dyDescent="0.3"/>
    <row r="1642" customFormat="1" x14ac:dyDescent="0.3"/>
    <row r="1643" customFormat="1" x14ac:dyDescent="0.3"/>
    <row r="1644" customFormat="1" x14ac:dyDescent="0.3"/>
    <row r="1645" customFormat="1" x14ac:dyDescent="0.3"/>
    <row r="1646" customFormat="1" x14ac:dyDescent="0.3"/>
    <row r="1647" customFormat="1" x14ac:dyDescent="0.3"/>
    <row r="1648" customFormat="1" x14ac:dyDescent="0.3"/>
    <row r="1649" customFormat="1" x14ac:dyDescent="0.3"/>
    <row r="1650" customFormat="1" x14ac:dyDescent="0.3"/>
    <row r="1651" customFormat="1" x14ac:dyDescent="0.3"/>
    <row r="1652" customFormat="1" x14ac:dyDescent="0.3"/>
    <row r="1653" customFormat="1" x14ac:dyDescent="0.3"/>
    <row r="1654" customFormat="1" x14ac:dyDescent="0.3"/>
    <row r="1655" customFormat="1" x14ac:dyDescent="0.3"/>
    <row r="1656" customFormat="1" x14ac:dyDescent="0.3"/>
    <row r="1657" customFormat="1" x14ac:dyDescent="0.3"/>
    <row r="1658" customFormat="1" x14ac:dyDescent="0.3"/>
    <row r="1659" customFormat="1" x14ac:dyDescent="0.3"/>
    <row r="1660" customFormat="1" x14ac:dyDescent="0.3"/>
    <row r="1661" customFormat="1" x14ac:dyDescent="0.3"/>
    <row r="1662" customFormat="1" x14ac:dyDescent="0.3"/>
    <row r="1663" customFormat="1" x14ac:dyDescent="0.3"/>
    <row r="1664" customFormat="1" x14ac:dyDescent="0.3"/>
    <row r="1665" customFormat="1" x14ac:dyDescent="0.3"/>
    <row r="1666" customFormat="1" x14ac:dyDescent="0.3"/>
    <row r="1667" customFormat="1" x14ac:dyDescent="0.3"/>
    <row r="1668" customFormat="1" x14ac:dyDescent="0.3"/>
    <row r="1669" customFormat="1" x14ac:dyDescent="0.3"/>
    <row r="1670" customFormat="1" x14ac:dyDescent="0.3"/>
    <row r="1671" customFormat="1" x14ac:dyDescent="0.3"/>
    <row r="1672" customFormat="1" x14ac:dyDescent="0.3"/>
    <row r="1673" customFormat="1" x14ac:dyDescent="0.3"/>
    <row r="1674" customFormat="1" x14ac:dyDescent="0.3"/>
    <row r="1675" customFormat="1" x14ac:dyDescent="0.3"/>
    <row r="1676" customFormat="1" x14ac:dyDescent="0.3"/>
    <row r="1677" customFormat="1" x14ac:dyDescent="0.3"/>
    <row r="1678" customFormat="1" x14ac:dyDescent="0.3"/>
    <row r="1679" customFormat="1" x14ac:dyDescent="0.3"/>
    <row r="1680" customFormat="1" x14ac:dyDescent="0.3"/>
    <row r="1681" customFormat="1" x14ac:dyDescent="0.3"/>
    <row r="1682" customFormat="1" x14ac:dyDescent="0.3"/>
    <row r="1683" customFormat="1" x14ac:dyDescent="0.3"/>
    <row r="1684" customFormat="1" x14ac:dyDescent="0.3"/>
    <row r="1685" customFormat="1" x14ac:dyDescent="0.3"/>
    <row r="1686" customFormat="1" x14ac:dyDescent="0.3"/>
    <row r="1687" customFormat="1" x14ac:dyDescent="0.3"/>
    <row r="1688" customFormat="1" x14ac:dyDescent="0.3"/>
    <row r="1689" customFormat="1" x14ac:dyDescent="0.3"/>
    <row r="1690" customFormat="1" x14ac:dyDescent="0.3"/>
    <row r="1691" customFormat="1" x14ac:dyDescent="0.3"/>
    <row r="1692" customFormat="1" x14ac:dyDescent="0.3"/>
    <row r="1693" customFormat="1" x14ac:dyDescent="0.3"/>
    <row r="1694" customFormat="1" x14ac:dyDescent="0.3"/>
    <row r="1695" customFormat="1" x14ac:dyDescent="0.3"/>
    <row r="1696" customFormat="1" x14ac:dyDescent="0.3"/>
    <row r="1697" customFormat="1" x14ac:dyDescent="0.3"/>
    <row r="1698" customFormat="1" x14ac:dyDescent="0.3"/>
    <row r="1699" customFormat="1" x14ac:dyDescent="0.3"/>
    <row r="1700" customFormat="1" x14ac:dyDescent="0.3"/>
    <row r="1701" customFormat="1" x14ac:dyDescent="0.3"/>
    <row r="1702" customFormat="1" x14ac:dyDescent="0.3"/>
    <row r="1703" customFormat="1" x14ac:dyDescent="0.3"/>
    <row r="1704" customFormat="1" x14ac:dyDescent="0.3"/>
    <row r="1705" customFormat="1" x14ac:dyDescent="0.3"/>
    <row r="1706" customFormat="1" x14ac:dyDescent="0.3"/>
    <row r="1707" customFormat="1" x14ac:dyDescent="0.3"/>
    <row r="1708" customFormat="1" x14ac:dyDescent="0.3"/>
    <row r="1709" customFormat="1" x14ac:dyDescent="0.3"/>
    <row r="1710" customFormat="1" x14ac:dyDescent="0.3"/>
    <row r="1711" customFormat="1" x14ac:dyDescent="0.3"/>
    <row r="1712" customFormat="1" x14ac:dyDescent="0.3"/>
    <row r="1713" customFormat="1" x14ac:dyDescent="0.3"/>
    <row r="1714" customFormat="1" x14ac:dyDescent="0.3"/>
    <row r="1715" customFormat="1" x14ac:dyDescent="0.3"/>
    <row r="1716" customFormat="1" x14ac:dyDescent="0.3"/>
    <row r="1717" customFormat="1" x14ac:dyDescent="0.3"/>
    <row r="1718" customFormat="1" x14ac:dyDescent="0.3"/>
    <row r="1719" customFormat="1" x14ac:dyDescent="0.3"/>
    <row r="1720" customFormat="1" x14ac:dyDescent="0.3"/>
    <row r="1721" customFormat="1" x14ac:dyDescent="0.3"/>
    <row r="1722" customFormat="1" x14ac:dyDescent="0.3"/>
    <row r="1723" customFormat="1" x14ac:dyDescent="0.3"/>
    <row r="1724" customFormat="1" x14ac:dyDescent="0.3"/>
    <row r="1725" customFormat="1" x14ac:dyDescent="0.3"/>
    <row r="1726" customFormat="1" x14ac:dyDescent="0.3"/>
    <row r="1727" customFormat="1" x14ac:dyDescent="0.3"/>
    <row r="1728" customFormat="1" x14ac:dyDescent="0.3"/>
    <row r="1729" customFormat="1" x14ac:dyDescent="0.3"/>
    <row r="1730" customFormat="1" x14ac:dyDescent="0.3"/>
    <row r="1731" customFormat="1" x14ac:dyDescent="0.3"/>
    <row r="1732" customFormat="1" x14ac:dyDescent="0.3"/>
    <row r="1733" customFormat="1" x14ac:dyDescent="0.3"/>
    <row r="1734" customFormat="1" x14ac:dyDescent="0.3"/>
    <row r="1735" customFormat="1" x14ac:dyDescent="0.3"/>
    <row r="1736" customFormat="1" x14ac:dyDescent="0.3"/>
    <row r="1737" customFormat="1" x14ac:dyDescent="0.3"/>
    <row r="1738" customFormat="1" x14ac:dyDescent="0.3"/>
    <row r="1739" customFormat="1" x14ac:dyDescent="0.3"/>
    <row r="1740" customFormat="1" x14ac:dyDescent="0.3"/>
    <row r="1741" customFormat="1" x14ac:dyDescent="0.3"/>
    <row r="1742" customFormat="1" x14ac:dyDescent="0.3"/>
    <row r="1743" customFormat="1" x14ac:dyDescent="0.3"/>
    <row r="1744" customFormat="1" x14ac:dyDescent="0.3"/>
    <row r="1745" customFormat="1" x14ac:dyDescent="0.3"/>
    <row r="1746" customFormat="1" x14ac:dyDescent="0.3"/>
    <row r="1747" customFormat="1" x14ac:dyDescent="0.3"/>
    <row r="1748" customFormat="1" x14ac:dyDescent="0.3"/>
    <row r="1749" customFormat="1" x14ac:dyDescent="0.3"/>
    <row r="1750" customFormat="1" x14ac:dyDescent="0.3"/>
    <row r="1751" customFormat="1" x14ac:dyDescent="0.3"/>
    <row r="1752" customFormat="1" x14ac:dyDescent="0.3"/>
    <row r="1753" customFormat="1" x14ac:dyDescent="0.3"/>
    <row r="1754" customFormat="1" x14ac:dyDescent="0.3"/>
    <row r="1755" customFormat="1" x14ac:dyDescent="0.3"/>
    <row r="1756" customFormat="1" x14ac:dyDescent="0.3"/>
    <row r="1757" customFormat="1" x14ac:dyDescent="0.3"/>
    <row r="1758" customFormat="1" x14ac:dyDescent="0.3"/>
    <row r="1759" customFormat="1" x14ac:dyDescent="0.3"/>
    <row r="1760" customFormat="1" x14ac:dyDescent="0.3"/>
    <row r="1761" customFormat="1" x14ac:dyDescent="0.3"/>
    <row r="1762" customFormat="1" x14ac:dyDescent="0.3"/>
    <row r="1763" customFormat="1" x14ac:dyDescent="0.3"/>
    <row r="1764" customFormat="1" x14ac:dyDescent="0.3"/>
    <row r="1765" customFormat="1" x14ac:dyDescent="0.3"/>
    <row r="1766" customFormat="1" x14ac:dyDescent="0.3"/>
    <row r="1767" customFormat="1" x14ac:dyDescent="0.3"/>
    <row r="1768" customFormat="1" x14ac:dyDescent="0.3"/>
    <row r="1769" customFormat="1" x14ac:dyDescent="0.3"/>
    <row r="1770" customFormat="1" x14ac:dyDescent="0.3"/>
    <row r="1771" customFormat="1" x14ac:dyDescent="0.3"/>
    <row r="1772" customFormat="1" x14ac:dyDescent="0.3"/>
    <row r="1773" customFormat="1" x14ac:dyDescent="0.3"/>
    <row r="1774" customFormat="1" x14ac:dyDescent="0.3"/>
    <row r="1775" customFormat="1" x14ac:dyDescent="0.3"/>
    <row r="1776" customFormat="1" x14ac:dyDescent="0.3"/>
    <row r="1777" customFormat="1" x14ac:dyDescent="0.3"/>
    <row r="1778" customFormat="1" x14ac:dyDescent="0.3"/>
    <row r="1779" customFormat="1" x14ac:dyDescent="0.3"/>
    <row r="1780" customFormat="1" x14ac:dyDescent="0.3"/>
    <row r="1781" customFormat="1" x14ac:dyDescent="0.3"/>
    <row r="1782" customFormat="1" x14ac:dyDescent="0.3"/>
    <row r="1783" customFormat="1" x14ac:dyDescent="0.3"/>
    <row r="1784" customFormat="1" x14ac:dyDescent="0.3"/>
    <row r="1785" customFormat="1" x14ac:dyDescent="0.3"/>
    <row r="1786" customFormat="1" x14ac:dyDescent="0.3"/>
    <row r="1787" customFormat="1" x14ac:dyDescent="0.3"/>
    <row r="1788" customFormat="1" x14ac:dyDescent="0.3"/>
    <row r="1789" customFormat="1" x14ac:dyDescent="0.3"/>
    <row r="1790" customFormat="1" x14ac:dyDescent="0.3"/>
    <row r="1791" customFormat="1" x14ac:dyDescent="0.3"/>
    <row r="1792" customFormat="1" x14ac:dyDescent="0.3"/>
    <row r="1793" customFormat="1" x14ac:dyDescent="0.3"/>
    <row r="1794" customFormat="1" x14ac:dyDescent="0.3"/>
    <row r="1795" customFormat="1" x14ac:dyDescent="0.3"/>
    <row r="1796" customFormat="1" x14ac:dyDescent="0.3"/>
    <row r="1797" customFormat="1" x14ac:dyDescent="0.3"/>
    <row r="1798" customFormat="1" x14ac:dyDescent="0.3"/>
    <row r="1799" customFormat="1" x14ac:dyDescent="0.3"/>
    <row r="1800" customFormat="1" x14ac:dyDescent="0.3"/>
    <row r="1801" customFormat="1" x14ac:dyDescent="0.3"/>
    <row r="1802" customFormat="1" x14ac:dyDescent="0.3"/>
    <row r="1803" customFormat="1" x14ac:dyDescent="0.3"/>
    <row r="1804" customFormat="1" x14ac:dyDescent="0.3"/>
    <row r="1805" customFormat="1" x14ac:dyDescent="0.3"/>
    <row r="1806" customFormat="1" x14ac:dyDescent="0.3"/>
    <row r="1807" customFormat="1" x14ac:dyDescent="0.3"/>
    <row r="1808" customFormat="1" x14ac:dyDescent="0.3"/>
    <row r="1809" customFormat="1" x14ac:dyDescent="0.3"/>
    <row r="1810" customFormat="1" x14ac:dyDescent="0.3"/>
    <row r="1811" customFormat="1" x14ac:dyDescent="0.3"/>
    <row r="1812" customFormat="1" x14ac:dyDescent="0.3"/>
    <row r="1813" customFormat="1" x14ac:dyDescent="0.3"/>
    <row r="1814" customFormat="1" x14ac:dyDescent="0.3"/>
    <row r="1815" customFormat="1" x14ac:dyDescent="0.3"/>
    <row r="1816" customFormat="1" x14ac:dyDescent="0.3"/>
    <row r="1817" customFormat="1" x14ac:dyDescent="0.3"/>
    <row r="1818" customFormat="1" x14ac:dyDescent="0.3"/>
    <row r="1819" customFormat="1" x14ac:dyDescent="0.3"/>
    <row r="1820" customFormat="1" x14ac:dyDescent="0.3"/>
    <row r="1821" customFormat="1" x14ac:dyDescent="0.3"/>
    <row r="1822" customFormat="1" x14ac:dyDescent="0.3"/>
    <row r="1823" customFormat="1" x14ac:dyDescent="0.3"/>
    <row r="1824" customFormat="1" x14ac:dyDescent="0.3"/>
    <row r="1825" customFormat="1" x14ac:dyDescent="0.3"/>
    <row r="1826" customFormat="1" x14ac:dyDescent="0.3"/>
    <row r="1827" customFormat="1" x14ac:dyDescent="0.3"/>
    <row r="1828" customFormat="1" x14ac:dyDescent="0.3"/>
    <row r="1829" customFormat="1" x14ac:dyDescent="0.3"/>
    <row r="1830" customFormat="1" x14ac:dyDescent="0.3"/>
    <row r="1831" customFormat="1" x14ac:dyDescent="0.3"/>
    <row r="1832" customFormat="1" x14ac:dyDescent="0.3"/>
    <row r="1833" customFormat="1" x14ac:dyDescent="0.3"/>
    <row r="1834" customFormat="1" x14ac:dyDescent="0.3"/>
    <row r="1835" customFormat="1" x14ac:dyDescent="0.3"/>
    <row r="1836" customFormat="1" x14ac:dyDescent="0.3"/>
    <row r="1837" customFormat="1" x14ac:dyDescent="0.3"/>
    <row r="1838" customFormat="1" x14ac:dyDescent="0.3"/>
    <row r="1839" customFormat="1" x14ac:dyDescent="0.3"/>
    <row r="1840" customFormat="1" x14ac:dyDescent="0.3"/>
    <row r="1841" customFormat="1" x14ac:dyDescent="0.3"/>
    <row r="1842" customFormat="1" x14ac:dyDescent="0.3"/>
    <row r="1843" customFormat="1" x14ac:dyDescent="0.3"/>
    <row r="1844" customFormat="1" x14ac:dyDescent="0.3"/>
    <row r="1845" customFormat="1" x14ac:dyDescent="0.3"/>
    <row r="1846" customFormat="1" x14ac:dyDescent="0.3"/>
    <row r="1847" customFormat="1" x14ac:dyDescent="0.3"/>
    <row r="1848" customFormat="1" x14ac:dyDescent="0.3"/>
    <row r="1849" customFormat="1" x14ac:dyDescent="0.3"/>
    <row r="1850" customFormat="1" x14ac:dyDescent="0.3"/>
    <row r="1851" customFormat="1" x14ac:dyDescent="0.3"/>
    <row r="1852" customFormat="1" x14ac:dyDescent="0.3"/>
    <row r="1853" customFormat="1" x14ac:dyDescent="0.3"/>
    <row r="1854" customFormat="1" x14ac:dyDescent="0.3"/>
    <row r="1855" customFormat="1" x14ac:dyDescent="0.3"/>
    <row r="1856" customFormat="1" x14ac:dyDescent="0.3"/>
    <row r="1857" customFormat="1" x14ac:dyDescent="0.3"/>
    <row r="1858" customFormat="1" x14ac:dyDescent="0.3"/>
    <row r="1859" customFormat="1" x14ac:dyDescent="0.3"/>
    <row r="1860" customFormat="1" x14ac:dyDescent="0.3"/>
    <row r="1861" customFormat="1" x14ac:dyDescent="0.3"/>
    <row r="1862" customFormat="1" x14ac:dyDescent="0.3"/>
    <row r="1863" customFormat="1" x14ac:dyDescent="0.3"/>
    <row r="1864" customFormat="1" x14ac:dyDescent="0.3"/>
    <row r="1865" customFormat="1" x14ac:dyDescent="0.3"/>
    <row r="1866" customFormat="1" x14ac:dyDescent="0.3"/>
    <row r="1867" customFormat="1" x14ac:dyDescent="0.3"/>
    <row r="1868" customFormat="1" x14ac:dyDescent="0.3"/>
    <row r="1869" customFormat="1" x14ac:dyDescent="0.3"/>
    <row r="1870" customFormat="1" x14ac:dyDescent="0.3"/>
    <row r="1871" customFormat="1" x14ac:dyDescent="0.3"/>
    <row r="1872" customFormat="1" x14ac:dyDescent="0.3"/>
    <row r="1873" customFormat="1" x14ac:dyDescent="0.3"/>
    <row r="1874" customFormat="1" x14ac:dyDescent="0.3"/>
    <row r="1875" customFormat="1" x14ac:dyDescent="0.3"/>
    <row r="1876" customFormat="1" x14ac:dyDescent="0.3"/>
    <row r="1877" customFormat="1" x14ac:dyDescent="0.3"/>
    <row r="1878" customFormat="1" x14ac:dyDescent="0.3"/>
    <row r="1879" customFormat="1" x14ac:dyDescent="0.3"/>
    <row r="1880" customFormat="1" x14ac:dyDescent="0.3"/>
    <row r="1881" customFormat="1" x14ac:dyDescent="0.3"/>
    <row r="1882" customFormat="1" x14ac:dyDescent="0.3"/>
    <row r="1883" customFormat="1" x14ac:dyDescent="0.3"/>
    <row r="1884" customFormat="1" x14ac:dyDescent="0.3"/>
    <row r="1885" customFormat="1" x14ac:dyDescent="0.3"/>
    <row r="1886" customFormat="1" x14ac:dyDescent="0.3"/>
    <row r="1887" customFormat="1" x14ac:dyDescent="0.3"/>
    <row r="1888" customFormat="1" x14ac:dyDescent="0.3"/>
    <row r="1889" customFormat="1" x14ac:dyDescent="0.3"/>
    <row r="1890" customFormat="1" x14ac:dyDescent="0.3"/>
    <row r="1891" customFormat="1" x14ac:dyDescent="0.3"/>
    <row r="1892" customFormat="1" x14ac:dyDescent="0.3"/>
    <row r="1893" customFormat="1" x14ac:dyDescent="0.3"/>
    <row r="1894" customFormat="1" x14ac:dyDescent="0.3"/>
    <row r="1895" customFormat="1" x14ac:dyDescent="0.3"/>
    <row r="1896" customFormat="1" x14ac:dyDescent="0.3"/>
    <row r="1897" customFormat="1" x14ac:dyDescent="0.3"/>
    <row r="1898" customFormat="1" x14ac:dyDescent="0.3"/>
    <row r="1899" customFormat="1" x14ac:dyDescent="0.3"/>
    <row r="1900" customFormat="1" x14ac:dyDescent="0.3"/>
    <row r="1901" customFormat="1" x14ac:dyDescent="0.3"/>
    <row r="1902" customFormat="1" x14ac:dyDescent="0.3"/>
    <row r="1903" customFormat="1" x14ac:dyDescent="0.3"/>
    <row r="1904" customFormat="1" x14ac:dyDescent="0.3"/>
    <row r="1905" customFormat="1" x14ac:dyDescent="0.3"/>
    <row r="1906" customFormat="1" x14ac:dyDescent="0.3"/>
    <row r="1907" customFormat="1" x14ac:dyDescent="0.3"/>
    <row r="1908" customFormat="1" x14ac:dyDescent="0.3"/>
    <row r="1909" customFormat="1" x14ac:dyDescent="0.3"/>
    <row r="1910" customFormat="1" x14ac:dyDescent="0.3"/>
    <row r="1911" customFormat="1" x14ac:dyDescent="0.3"/>
    <row r="1912" customFormat="1" x14ac:dyDescent="0.3"/>
    <row r="1913" customFormat="1" x14ac:dyDescent="0.3"/>
    <row r="1914" customFormat="1" x14ac:dyDescent="0.3"/>
    <row r="1915" customFormat="1" x14ac:dyDescent="0.3"/>
    <row r="1916" customFormat="1" x14ac:dyDescent="0.3"/>
    <row r="1917" customFormat="1" x14ac:dyDescent="0.3"/>
    <row r="1918" customFormat="1" x14ac:dyDescent="0.3"/>
    <row r="1919" customFormat="1" x14ac:dyDescent="0.3"/>
    <row r="1920" customFormat="1" x14ac:dyDescent="0.3"/>
    <row r="1921" customFormat="1" x14ac:dyDescent="0.3"/>
    <row r="1922" customFormat="1" x14ac:dyDescent="0.3"/>
    <row r="1923" customFormat="1" x14ac:dyDescent="0.3"/>
    <row r="1924" customFormat="1" x14ac:dyDescent="0.3"/>
    <row r="1925" customFormat="1" x14ac:dyDescent="0.3"/>
    <row r="1926" customFormat="1" x14ac:dyDescent="0.3"/>
    <row r="1927" customFormat="1" x14ac:dyDescent="0.3"/>
    <row r="1928" customFormat="1" x14ac:dyDescent="0.3"/>
    <row r="1929" customFormat="1" x14ac:dyDescent="0.3"/>
    <row r="1930" customFormat="1" x14ac:dyDescent="0.3"/>
    <row r="1931" customFormat="1" x14ac:dyDescent="0.3"/>
    <row r="1932" customFormat="1" x14ac:dyDescent="0.3"/>
    <row r="1933" customFormat="1" x14ac:dyDescent="0.3"/>
    <row r="1934" customFormat="1" x14ac:dyDescent="0.3"/>
    <row r="1935" customFormat="1" x14ac:dyDescent="0.3"/>
    <row r="1936" customFormat="1" x14ac:dyDescent="0.3"/>
    <row r="1937" customFormat="1" x14ac:dyDescent="0.3"/>
    <row r="1938" customFormat="1" x14ac:dyDescent="0.3"/>
    <row r="1939" customFormat="1" x14ac:dyDescent="0.3"/>
    <row r="1940" customFormat="1" x14ac:dyDescent="0.3"/>
    <row r="1941" customFormat="1" x14ac:dyDescent="0.3"/>
    <row r="1942" customFormat="1" x14ac:dyDescent="0.3"/>
    <row r="1943" customFormat="1" x14ac:dyDescent="0.3"/>
    <row r="1944" customFormat="1" x14ac:dyDescent="0.3"/>
    <row r="1945" customFormat="1" x14ac:dyDescent="0.3"/>
    <row r="1946" customFormat="1" x14ac:dyDescent="0.3"/>
    <row r="1947" customFormat="1" x14ac:dyDescent="0.3"/>
    <row r="1948" customFormat="1" x14ac:dyDescent="0.3"/>
    <row r="1949" customFormat="1" x14ac:dyDescent="0.3"/>
    <row r="1950" customFormat="1" x14ac:dyDescent="0.3"/>
    <row r="1951" customFormat="1" x14ac:dyDescent="0.3"/>
    <row r="1952" customFormat="1" x14ac:dyDescent="0.3"/>
    <row r="1953" customFormat="1" x14ac:dyDescent="0.3"/>
    <row r="1954" customFormat="1" x14ac:dyDescent="0.3"/>
    <row r="1955" customFormat="1" x14ac:dyDescent="0.3"/>
    <row r="1956" customFormat="1" x14ac:dyDescent="0.3"/>
    <row r="1957" customFormat="1" x14ac:dyDescent="0.3"/>
    <row r="1958" customFormat="1" x14ac:dyDescent="0.3"/>
    <row r="1959" customFormat="1" x14ac:dyDescent="0.3"/>
    <row r="1960" customFormat="1" x14ac:dyDescent="0.3"/>
    <row r="1961" customFormat="1" x14ac:dyDescent="0.3"/>
    <row r="1962" customFormat="1" x14ac:dyDescent="0.3"/>
    <row r="1963" customFormat="1" x14ac:dyDescent="0.3"/>
    <row r="1964" customFormat="1" x14ac:dyDescent="0.3"/>
    <row r="1965" customFormat="1" x14ac:dyDescent="0.3"/>
    <row r="1966" customFormat="1" x14ac:dyDescent="0.3"/>
    <row r="1967" customFormat="1" x14ac:dyDescent="0.3"/>
    <row r="1968" customFormat="1" x14ac:dyDescent="0.3"/>
    <row r="1969" customFormat="1" x14ac:dyDescent="0.3"/>
    <row r="1970" customFormat="1" x14ac:dyDescent="0.3"/>
    <row r="1971" customFormat="1" x14ac:dyDescent="0.3"/>
    <row r="1972" customFormat="1" x14ac:dyDescent="0.3"/>
    <row r="1973" customFormat="1" x14ac:dyDescent="0.3"/>
    <row r="1974" customFormat="1" x14ac:dyDescent="0.3"/>
    <row r="1975" customFormat="1" x14ac:dyDescent="0.3"/>
    <row r="1976" customFormat="1" x14ac:dyDescent="0.3"/>
    <row r="1977" customFormat="1" x14ac:dyDescent="0.3"/>
    <row r="1978" customFormat="1" x14ac:dyDescent="0.3"/>
    <row r="1979" customFormat="1" x14ac:dyDescent="0.3"/>
    <row r="1980" customFormat="1" x14ac:dyDescent="0.3"/>
    <row r="1981" customFormat="1" x14ac:dyDescent="0.3"/>
    <row r="1982" customFormat="1" x14ac:dyDescent="0.3"/>
    <row r="1983" customFormat="1" x14ac:dyDescent="0.3"/>
    <row r="1984" customFormat="1" x14ac:dyDescent="0.3"/>
    <row r="1985" customFormat="1" x14ac:dyDescent="0.3"/>
    <row r="1986" customFormat="1" x14ac:dyDescent="0.3"/>
    <row r="1987" customFormat="1" x14ac:dyDescent="0.3"/>
    <row r="1988" customFormat="1" x14ac:dyDescent="0.3"/>
    <row r="1989" customFormat="1" x14ac:dyDescent="0.3"/>
    <row r="1990" customFormat="1" x14ac:dyDescent="0.3"/>
    <row r="1991" customFormat="1" x14ac:dyDescent="0.3"/>
    <row r="1992" customFormat="1" x14ac:dyDescent="0.3"/>
    <row r="1993" customFormat="1" x14ac:dyDescent="0.3"/>
    <row r="1994" customFormat="1" x14ac:dyDescent="0.3"/>
    <row r="1995" customFormat="1" x14ac:dyDescent="0.3"/>
    <row r="1996" customFormat="1" x14ac:dyDescent="0.3"/>
    <row r="1997" customFormat="1" x14ac:dyDescent="0.3"/>
    <row r="1998" customFormat="1" x14ac:dyDescent="0.3"/>
    <row r="1999" customFormat="1" x14ac:dyDescent="0.3"/>
    <row r="2000" customFormat="1" x14ac:dyDescent="0.3"/>
    <row r="2001" customFormat="1" x14ac:dyDescent="0.3"/>
    <row r="2002" customFormat="1" x14ac:dyDescent="0.3"/>
    <row r="2003" customFormat="1" x14ac:dyDescent="0.3"/>
    <row r="2004" customFormat="1" x14ac:dyDescent="0.3"/>
    <row r="2005" customFormat="1" x14ac:dyDescent="0.3"/>
    <row r="2006" customFormat="1" x14ac:dyDescent="0.3"/>
    <row r="2007" customFormat="1" x14ac:dyDescent="0.3"/>
    <row r="2008" customFormat="1" x14ac:dyDescent="0.3"/>
    <row r="2009" customFormat="1" x14ac:dyDescent="0.3"/>
    <row r="2010" customFormat="1" x14ac:dyDescent="0.3"/>
    <row r="2011" customFormat="1" x14ac:dyDescent="0.3"/>
    <row r="2012" customFormat="1" x14ac:dyDescent="0.3"/>
    <row r="2013" customFormat="1" x14ac:dyDescent="0.3"/>
    <row r="2014" customFormat="1" x14ac:dyDescent="0.3"/>
    <row r="2015" customFormat="1" x14ac:dyDescent="0.3"/>
    <row r="2016" customFormat="1" x14ac:dyDescent="0.3"/>
    <row r="2017" customFormat="1" x14ac:dyDescent="0.3"/>
    <row r="2018" customFormat="1" x14ac:dyDescent="0.3"/>
    <row r="2019" customFormat="1" x14ac:dyDescent="0.3"/>
    <row r="2020" customFormat="1" x14ac:dyDescent="0.3"/>
    <row r="2021" customFormat="1" x14ac:dyDescent="0.3"/>
    <row r="2022" customFormat="1" x14ac:dyDescent="0.3"/>
    <row r="2023" customFormat="1" x14ac:dyDescent="0.3"/>
    <row r="2024" customFormat="1" x14ac:dyDescent="0.3"/>
    <row r="2025" customFormat="1" x14ac:dyDescent="0.3"/>
    <row r="2026" customFormat="1" x14ac:dyDescent="0.3"/>
    <row r="2027" customFormat="1" x14ac:dyDescent="0.3"/>
    <row r="2028" customFormat="1" x14ac:dyDescent="0.3"/>
    <row r="2029" customFormat="1" x14ac:dyDescent="0.3"/>
    <row r="2030" customFormat="1" x14ac:dyDescent="0.3"/>
    <row r="2031" customFormat="1" x14ac:dyDescent="0.3"/>
    <row r="2032" customFormat="1" x14ac:dyDescent="0.3"/>
    <row r="2033" customFormat="1" x14ac:dyDescent="0.3"/>
    <row r="2034" customFormat="1" x14ac:dyDescent="0.3"/>
    <row r="2035" customFormat="1" x14ac:dyDescent="0.3"/>
    <row r="2036" customFormat="1" x14ac:dyDescent="0.3"/>
    <row r="2037" customFormat="1" x14ac:dyDescent="0.3"/>
    <row r="2038" customFormat="1" x14ac:dyDescent="0.3"/>
    <row r="2039" customFormat="1" x14ac:dyDescent="0.3"/>
    <row r="2040" customFormat="1" x14ac:dyDescent="0.3"/>
    <row r="2041" customFormat="1" x14ac:dyDescent="0.3"/>
    <row r="2042" customFormat="1" x14ac:dyDescent="0.3"/>
    <row r="2043" customFormat="1" x14ac:dyDescent="0.3"/>
    <row r="2044" customFormat="1" x14ac:dyDescent="0.3"/>
    <row r="2045" customFormat="1" x14ac:dyDescent="0.3"/>
    <row r="2046" customFormat="1" x14ac:dyDescent="0.3"/>
    <row r="2047" customFormat="1" x14ac:dyDescent="0.3"/>
    <row r="2048" customFormat="1" x14ac:dyDescent="0.3"/>
    <row r="2049" customFormat="1" x14ac:dyDescent="0.3"/>
    <row r="2050" customFormat="1" x14ac:dyDescent="0.3"/>
    <row r="2051" customFormat="1" x14ac:dyDescent="0.3"/>
    <row r="2052" customFormat="1" x14ac:dyDescent="0.3"/>
    <row r="2053" customFormat="1" x14ac:dyDescent="0.3"/>
    <row r="2054" customFormat="1" x14ac:dyDescent="0.3"/>
    <row r="2055" customFormat="1" x14ac:dyDescent="0.3"/>
    <row r="2056" customFormat="1" x14ac:dyDescent="0.3"/>
    <row r="2057" customFormat="1" x14ac:dyDescent="0.3"/>
    <row r="2058" customFormat="1" x14ac:dyDescent="0.3"/>
    <row r="2059" customFormat="1" x14ac:dyDescent="0.3"/>
    <row r="2060" customFormat="1" x14ac:dyDescent="0.3"/>
    <row r="2061" customFormat="1" x14ac:dyDescent="0.3"/>
    <row r="2062" customFormat="1" x14ac:dyDescent="0.3"/>
    <row r="2063" customFormat="1" x14ac:dyDescent="0.3"/>
    <row r="2064" customFormat="1" x14ac:dyDescent="0.3"/>
    <row r="2065" customFormat="1" x14ac:dyDescent="0.3"/>
    <row r="2066" customFormat="1" x14ac:dyDescent="0.3"/>
    <row r="2067" customFormat="1" x14ac:dyDescent="0.3"/>
    <row r="2068" customFormat="1" x14ac:dyDescent="0.3"/>
    <row r="2069" customFormat="1" x14ac:dyDescent="0.3"/>
    <row r="2070" customFormat="1" x14ac:dyDescent="0.3"/>
    <row r="2071" customFormat="1" x14ac:dyDescent="0.3"/>
    <row r="2072" customFormat="1" x14ac:dyDescent="0.3"/>
    <row r="2073" customFormat="1" x14ac:dyDescent="0.3"/>
    <row r="2074" customFormat="1" x14ac:dyDescent="0.3"/>
    <row r="2075" customFormat="1" x14ac:dyDescent="0.3"/>
    <row r="2076" customFormat="1" x14ac:dyDescent="0.3"/>
    <row r="2077" customFormat="1" x14ac:dyDescent="0.3"/>
    <row r="2078" customFormat="1" x14ac:dyDescent="0.3"/>
    <row r="2079" customFormat="1" x14ac:dyDescent="0.3"/>
    <row r="2080" customFormat="1" x14ac:dyDescent="0.3"/>
    <row r="2081" customFormat="1" x14ac:dyDescent="0.3"/>
    <row r="2082" customFormat="1" x14ac:dyDescent="0.3"/>
    <row r="2083" customFormat="1" x14ac:dyDescent="0.3"/>
    <row r="2084" customFormat="1" x14ac:dyDescent="0.3"/>
    <row r="2085" customFormat="1" x14ac:dyDescent="0.3"/>
    <row r="2086" customFormat="1" x14ac:dyDescent="0.3"/>
    <row r="2087" customFormat="1" x14ac:dyDescent="0.3"/>
    <row r="2088" customFormat="1" x14ac:dyDescent="0.3"/>
    <row r="2089" customFormat="1" x14ac:dyDescent="0.3"/>
    <row r="2090" customFormat="1" x14ac:dyDescent="0.3"/>
    <row r="2091" customFormat="1" x14ac:dyDescent="0.3"/>
    <row r="2092" customFormat="1" x14ac:dyDescent="0.3"/>
    <row r="2093" customFormat="1" x14ac:dyDescent="0.3"/>
    <row r="2094" customFormat="1" x14ac:dyDescent="0.3"/>
    <row r="2095" customFormat="1" x14ac:dyDescent="0.3"/>
    <row r="2096" customFormat="1" x14ac:dyDescent="0.3"/>
    <row r="2097" customFormat="1" x14ac:dyDescent="0.3"/>
    <row r="2098" customFormat="1" x14ac:dyDescent="0.3"/>
    <row r="2099" customFormat="1" x14ac:dyDescent="0.3"/>
    <row r="2100" customFormat="1" x14ac:dyDescent="0.3"/>
    <row r="2101" customFormat="1" x14ac:dyDescent="0.3"/>
    <row r="2102" customFormat="1" x14ac:dyDescent="0.3"/>
    <row r="2103" customFormat="1" x14ac:dyDescent="0.3"/>
    <row r="2104" customFormat="1" x14ac:dyDescent="0.3"/>
    <row r="2105" customFormat="1" x14ac:dyDescent="0.3"/>
    <row r="2106" customFormat="1" x14ac:dyDescent="0.3"/>
    <row r="2107" customFormat="1" x14ac:dyDescent="0.3"/>
    <row r="2108" customFormat="1" x14ac:dyDescent="0.3"/>
    <row r="2109" customFormat="1" x14ac:dyDescent="0.3"/>
    <row r="2110" customFormat="1" x14ac:dyDescent="0.3"/>
    <row r="2111" customFormat="1" x14ac:dyDescent="0.3"/>
    <row r="2112" customFormat="1" x14ac:dyDescent="0.3"/>
    <row r="2113" customFormat="1" x14ac:dyDescent="0.3"/>
    <row r="2114" customFormat="1" x14ac:dyDescent="0.3"/>
    <row r="2115" customFormat="1" x14ac:dyDescent="0.3"/>
    <row r="2116" customFormat="1" x14ac:dyDescent="0.3"/>
    <row r="2117" customFormat="1" x14ac:dyDescent="0.3"/>
    <row r="2118" customFormat="1" x14ac:dyDescent="0.3"/>
    <row r="2119" customFormat="1" x14ac:dyDescent="0.3"/>
    <row r="2120" customFormat="1" x14ac:dyDescent="0.3"/>
    <row r="2121" customFormat="1" x14ac:dyDescent="0.3"/>
    <row r="2122" customFormat="1" x14ac:dyDescent="0.3"/>
    <row r="2123" customFormat="1" x14ac:dyDescent="0.3"/>
    <row r="2124" customFormat="1" x14ac:dyDescent="0.3"/>
    <row r="2125" customFormat="1" x14ac:dyDescent="0.3"/>
    <row r="2126" customFormat="1" x14ac:dyDescent="0.3"/>
    <row r="2127" customFormat="1" x14ac:dyDescent="0.3"/>
    <row r="2128" customFormat="1" x14ac:dyDescent="0.3"/>
    <row r="2129" customFormat="1" x14ac:dyDescent="0.3"/>
    <row r="2130" customFormat="1" x14ac:dyDescent="0.3"/>
    <row r="2131" customFormat="1" x14ac:dyDescent="0.3"/>
    <row r="2132" customFormat="1" x14ac:dyDescent="0.3"/>
    <row r="2133" customFormat="1" x14ac:dyDescent="0.3"/>
    <row r="2134" customFormat="1" x14ac:dyDescent="0.3"/>
    <row r="2135" customFormat="1" x14ac:dyDescent="0.3"/>
    <row r="2136" customFormat="1" x14ac:dyDescent="0.3"/>
    <row r="2137" customFormat="1" x14ac:dyDescent="0.3"/>
    <row r="2138" customFormat="1" x14ac:dyDescent="0.3"/>
    <row r="2139" customFormat="1" x14ac:dyDescent="0.3"/>
    <row r="2140" customFormat="1" x14ac:dyDescent="0.3"/>
    <row r="2141" customFormat="1" x14ac:dyDescent="0.3"/>
    <row r="2142" customFormat="1" x14ac:dyDescent="0.3"/>
    <row r="2143" customFormat="1" x14ac:dyDescent="0.3"/>
    <row r="2144" customFormat="1" x14ac:dyDescent="0.3"/>
    <row r="2145" customFormat="1" x14ac:dyDescent="0.3"/>
    <row r="2146" customFormat="1" x14ac:dyDescent="0.3"/>
    <row r="2147" customFormat="1" x14ac:dyDescent="0.3"/>
    <row r="2148" customFormat="1" x14ac:dyDescent="0.3"/>
    <row r="2149" customFormat="1" x14ac:dyDescent="0.3"/>
    <row r="2150" customFormat="1" x14ac:dyDescent="0.3"/>
    <row r="2151" customFormat="1" x14ac:dyDescent="0.3"/>
    <row r="2152" customFormat="1" x14ac:dyDescent="0.3"/>
    <row r="2153" customFormat="1" x14ac:dyDescent="0.3"/>
    <row r="2154" customFormat="1" x14ac:dyDescent="0.3"/>
    <row r="2155" customFormat="1" x14ac:dyDescent="0.3"/>
    <row r="2156" customFormat="1" x14ac:dyDescent="0.3"/>
    <row r="2157" customFormat="1" x14ac:dyDescent="0.3"/>
    <row r="2158" customFormat="1" x14ac:dyDescent="0.3"/>
    <row r="2159" customFormat="1" x14ac:dyDescent="0.3"/>
    <row r="2160" customFormat="1" x14ac:dyDescent="0.3"/>
    <row r="2161" customFormat="1" x14ac:dyDescent="0.3"/>
    <row r="2162" customFormat="1" x14ac:dyDescent="0.3"/>
    <row r="2163" customFormat="1" x14ac:dyDescent="0.3"/>
    <row r="2164" customFormat="1" x14ac:dyDescent="0.3"/>
    <row r="2165" customFormat="1" x14ac:dyDescent="0.3"/>
    <row r="2166" customFormat="1" x14ac:dyDescent="0.3"/>
    <row r="2167" customFormat="1" x14ac:dyDescent="0.3"/>
    <row r="2168" customFormat="1" x14ac:dyDescent="0.3"/>
    <row r="2169" customFormat="1" x14ac:dyDescent="0.3"/>
    <row r="2170" customFormat="1" x14ac:dyDescent="0.3"/>
    <row r="2171" customFormat="1" x14ac:dyDescent="0.3"/>
    <row r="2172" customFormat="1" x14ac:dyDescent="0.3"/>
    <row r="2173" customFormat="1" x14ac:dyDescent="0.3"/>
    <row r="2174" customFormat="1" x14ac:dyDescent="0.3"/>
    <row r="2175" customFormat="1" x14ac:dyDescent="0.3"/>
    <row r="2176" customFormat="1" x14ac:dyDescent="0.3"/>
    <row r="2177" customFormat="1" x14ac:dyDescent="0.3"/>
    <row r="2178" customFormat="1" x14ac:dyDescent="0.3"/>
    <row r="2179" customFormat="1" x14ac:dyDescent="0.3"/>
    <row r="2180" customFormat="1" x14ac:dyDescent="0.3"/>
    <row r="2181" customFormat="1" x14ac:dyDescent="0.3"/>
    <row r="2182" customFormat="1" x14ac:dyDescent="0.3"/>
    <row r="2183" customFormat="1" x14ac:dyDescent="0.3"/>
    <row r="2184" customFormat="1" x14ac:dyDescent="0.3"/>
    <row r="2185" customFormat="1" x14ac:dyDescent="0.3"/>
    <row r="2186" customFormat="1" x14ac:dyDescent="0.3"/>
    <row r="2187" customFormat="1" x14ac:dyDescent="0.3"/>
    <row r="2188" customFormat="1" x14ac:dyDescent="0.3"/>
    <row r="2189" customFormat="1" x14ac:dyDescent="0.3"/>
    <row r="2190" customFormat="1" x14ac:dyDescent="0.3"/>
    <row r="2191" customFormat="1" x14ac:dyDescent="0.3"/>
    <row r="2192" customFormat="1" x14ac:dyDescent="0.3"/>
    <row r="2193" customFormat="1" x14ac:dyDescent="0.3"/>
    <row r="2194" customFormat="1" x14ac:dyDescent="0.3"/>
    <row r="2195" customFormat="1" x14ac:dyDescent="0.3"/>
    <row r="2196" customFormat="1" x14ac:dyDescent="0.3"/>
    <row r="2197" customFormat="1" x14ac:dyDescent="0.3"/>
    <row r="2198" customFormat="1" x14ac:dyDescent="0.3"/>
    <row r="2199" customFormat="1" x14ac:dyDescent="0.3"/>
    <row r="2200" customFormat="1" x14ac:dyDescent="0.3"/>
    <row r="2201" customFormat="1" x14ac:dyDescent="0.3"/>
    <row r="2202" customFormat="1" x14ac:dyDescent="0.3"/>
    <row r="2203" customFormat="1" x14ac:dyDescent="0.3"/>
    <row r="2204" customFormat="1" x14ac:dyDescent="0.3"/>
    <row r="2205" customFormat="1" x14ac:dyDescent="0.3"/>
    <row r="2206" customFormat="1" x14ac:dyDescent="0.3"/>
    <row r="2207" customFormat="1" x14ac:dyDescent="0.3"/>
    <row r="2208" customFormat="1" x14ac:dyDescent="0.3"/>
    <row r="2209" customFormat="1" x14ac:dyDescent="0.3"/>
    <row r="2210" customFormat="1" x14ac:dyDescent="0.3"/>
    <row r="2211" customFormat="1" x14ac:dyDescent="0.3"/>
    <row r="2212" customFormat="1" x14ac:dyDescent="0.3"/>
    <row r="2213" customFormat="1" x14ac:dyDescent="0.3"/>
    <row r="2214" customFormat="1" x14ac:dyDescent="0.3"/>
    <row r="2215" customFormat="1" x14ac:dyDescent="0.3"/>
    <row r="2216" customFormat="1" x14ac:dyDescent="0.3"/>
    <row r="2217" customFormat="1" x14ac:dyDescent="0.3"/>
    <row r="2218" customFormat="1" x14ac:dyDescent="0.3"/>
    <row r="2219" customFormat="1" x14ac:dyDescent="0.3"/>
    <row r="2220" customFormat="1" x14ac:dyDescent="0.3"/>
    <row r="2221" customFormat="1" x14ac:dyDescent="0.3"/>
    <row r="2222" customFormat="1" x14ac:dyDescent="0.3"/>
    <row r="2223" customFormat="1" x14ac:dyDescent="0.3"/>
    <row r="2224" customFormat="1" x14ac:dyDescent="0.3"/>
    <row r="2225" customFormat="1" x14ac:dyDescent="0.3"/>
    <row r="2226" customFormat="1" x14ac:dyDescent="0.3"/>
    <row r="2227" customFormat="1" x14ac:dyDescent="0.3"/>
    <row r="2228" customFormat="1" x14ac:dyDescent="0.3"/>
    <row r="2229" customFormat="1" x14ac:dyDescent="0.3"/>
    <row r="2230" customFormat="1" x14ac:dyDescent="0.3"/>
    <row r="2231" customFormat="1" x14ac:dyDescent="0.3"/>
    <row r="2232" customFormat="1" x14ac:dyDescent="0.3"/>
    <row r="2233" customFormat="1" x14ac:dyDescent="0.3"/>
    <row r="2234" customFormat="1" x14ac:dyDescent="0.3"/>
    <row r="2235" customFormat="1" x14ac:dyDescent="0.3"/>
    <row r="2236" customFormat="1" x14ac:dyDescent="0.3"/>
    <row r="2237" customFormat="1" x14ac:dyDescent="0.3"/>
    <row r="2238" customFormat="1" x14ac:dyDescent="0.3"/>
    <row r="2239" customFormat="1" x14ac:dyDescent="0.3"/>
    <row r="2240" customFormat="1" x14ac:dyDescent="0.3"/>
    <row r="2241" customFormat="1" x14ac:dyDescent="0.3"/>
    <row r="2242" customFormat="1" x14ac:dyDescent="0.3"/>
    <row r="2243" customFormat="1" x14ac:dyDescent="0.3"/>
    <row r="2244" customFormat="1" x14ac:dyDescent="0.3"/>
    <row r="2245" customFormat="1" x14ac:dyDescent="0.3"/>
    <row r="2246" customFormat="1" x14ac:dyDescent="0.3"/>
    <row r="2247" customFormat="1" x14ac:dyDescent="0.3"/>
    <row r="2248" customFormat="1" x14ac:dyDescent="0.3"/>
    <row r="2249" customFormat="1" x14ac:dyDescent="0.3"/>
    <row r="2250" customFormat="1" x14ac:dyDescent="0.3"/>
    <row r="2251" customFormat="1" x14ac:dyDescent="0.3"/>
    <row r="2252" customFormat="1" x14ac:dyDescent="0.3"/>
    <row r="2253" customFormat="1" x14ac:dyDescent="0.3"/>
    <row r="2254" customFormat="1" x14ac:dyDescent="0.3"/>
    <row r="2255" customFormat="1" x14ac:dyDescent="0.3"/>
    <row r="2256" customFormat="1" x14ac:dyDescent="0.3"/>
    <row r="2257" customFormat="1" x14ac:dyDescent="0.3"/>
    <row r="2258" customFormat="1" x14ac:dyDescent="0.3"/>
    <row r="2259" customFormat="1" x14ac:dyDescent="0.3"/>
    <row r="2260" customFormat="1" x14ac:dyDescent="0.3"/>
    <row r="2261" customFormat="1" x14ac:dyDescent="0.3"/>
    <row r="2262" customFormat="1" x14ac:dyDescent="0.3"/>
    <row r="2263" customFormat="1" x14ac:dyDescent="0.3"/>
    <row r="2264" customFormat="1" x14ac:dyDescent="0.3"/>
    <row r="2265" customFormat="1" x14ac:dyDescent="0.3"/>
    <row r="2266" customFormat="1" x14ac:dyDescent="0.3"/>
    <row r="2267" customFormat="1" x14ac:dyDescent="0.3"/>
    <row r="2268" customFormat="1" x14ac:dyDescent="0.3"/>
    <row r="2269" customFormat="1" x14ac:dyDescent="0.3"/>
    <row r="2270" customFormat="1" x14ac:dyDescent="0.3"/>
    <row r="2271" customFormat="1" x14ac:dyDescent="0.3"/>
    <row r="2272" customFormat="1" x14ac:dyDescent="0.3"/>
    <row r="2273" customFormat="1" x14ac:dyDescent="0.3"/>
    <row r="2274" customFormat="1" x14ac:dyDescent="0.3"/>
    <row r="2275" customFormat="1" x14ac:dyDescent="0.3"/>
    <row r="2276" customFormat="1" x14ac:dyDescent="0.3"/>
    <row r="2277" customFormat="1" x14ac:dyDescent="0.3"/>
    <row r="2278" customFormat="1" x14ac:dyDescent="0.3"/>
    <row r="2279" customFormat="1" x14ac:dyDescent="0.3"/>
    <row r="2280" customFormat="1" x14ac:dyDescent="0.3"/>
    <row r="2281" customFormat="1" x14ac:dyDescent="0.3"/>
    <row r="2282" customFormat="1" x14ac:dyDescent="0.3"/>
    <row r="2283" customFormat="1" x14ac:dyDescent="0.3"/>
    <row r="2284" customFormat="1" x14ac:dyDescent="0.3"/>
    <row r="2285" customFormat="1" x14ac:dyDescent="0.3"/>
    <row r="2286" customFormat="1" x14ac:dyDescent="0.3"/>
    <row r="2287" customFormat="1" x14ac:dyDescent="0.3"/>
    <row r="2288" customFormat="1" x14ac:dyDescent="0.3"/>
    <row r="2289" customFormat="1" x14ac:dyDescent="0.3"/>
    <row r="2290" customFormat="1" x14ac:dyDescent="0.3"/>
    <row r="2291" customFormat="1" x14ac:dyDescent="0.3"/>
    <row r="2292" customFormat="1" x14ac:dyDescent="0.3"/>
    <row r="2293" customFormat="1" x14ac:dyDescent="0.3"/>
    <row r="2294" customFormat="1" x14ac:dyDescent="0.3"/>
    <row r="2295" customFormat="1" x14ac:dyDescent="0.3"/>
    <row r="2296" customFormat="1" x14ac:dyDescent="0.3"/>
    <row r="2297" customFormat="1" x14ac:dyDescent="0.3"/>
    <row r="2298" customFormat="1" x14ac:dyDescent="0.3"/>
    <row r="2299" customFormat="1" x14ac:dyDescent="0.3"/>
    <row r="2300" customFormat="1" x14ac:dyDescent="0.3"/>
    <row r="2301" customFormat="1" x14ac:dyDescent="0.3"/>
    <row r="2302" customFormat="1" x14ac:dyDescent="0.3"/>
    <row r="2303" customFormat="1" x14ac:dyDescent="0.3"/>
    <row r="2304" customFormat="1" x14ac:dyDescent="0.3"/>
    <row r="2305" customFormat="1" x14ac:dyDescent="0.3"/>
    <row r="2306" customFormat="1" x14ac:dyDescent="0.3"/>
    <row r="2307" customFormat="1" x14ac:dyDescent="0.3"/>
    <row r="2308" customFormat="1" x14ac:dyDescent="0.3"/>
    <row r="2309" customFormat="1" x14ac:dyDescent="0.3"/>
    <row r="2310" customFormat="1" x14ac:dyDescent="0.3"/>
    <row r="2311" customFormat="1" x14ac:dyDescent="0.3"/>
    <row r="2312" customFormat="1" x14ac:dyDescent="0.3"/>
    <row r="2313" customFormat="1" x14ac:dyDescent="0.3"/>
    <row r="2314" customFormat="1" x14ac:dyDescent="0.3"/>
    <row r="2315" customFormat="1" x14ac:dyDescent="0.3"/>
    <row r="2316" customFormat="1" x14ac:dyDescent="0.3"/>
    <row r="2317" customFormat="1" x14ac:dyDescent="0.3"/>
    <row r="2318" customFormat="1" x14ac:dyDescent="0.3"/>
    <row r="2319" customFormat="1" x14ac:dyDescent="0.3"/>
    <row r="2320" customFormat="1" x14ac:dyDescent="0.3"/>
    <row r="2321" customFormat="1" x14ac:dyDescent="0.3"/>
    <row r="2322" customFormat="1" x14ac:dyDescent="0.3"/>
    <row r="2323" customFormat="1" x14ac:dyDescent="0.3"/>
    <row r="2324" customFormat="1" x14ac:dyDescent="0.3"/>
    <row r="2325" customFormat="1" x14ac:dyDescent="0.3"/>
    <row r="2326" customFormat="1" x14ac:dyDescent="0.3"/>
    <row r="2327" customFormat="1" x14ac:dyDescent="0.3"/>
    <row r="2328" customFormat="1" x14ac:dyDescent="0.3"/>
    <row r="2329" customFormat="1" x14ac:dyDescent="0.3"/>
    <row r="2330" customFormat="1" x14ac:dyDescent="0.3"/>
    <row r="2331" customFormat="1" x14ac:dyDescent="0.3"/>
    <row r="2332" customFormat="1" x14ac:dyDescent="0.3"/>
    <row r="2333" customFormat="1" x14ac:dyDescent="0.3"/>
    <row r="2334" customFormat="1" x14ac:dyDescent="0.3"/>
    <row r="2335" customFormat="1" x14ac:dyDescent="0.3"/>
    <row r="2336" customFormat="1" x14ac:dyDescent="0.3"/>
    <row r="2337" customFormat="1" x14ac:dyDescent="0.3"/>
    <row r="2338" customFormat="1" x14ac:dyDescent="0.3"/>
    <row r="2339" customFormat="1" x14ac:dyDescent="0.3"/>
    <row r="2340" customFormat="1" x14ac:dyDescent="0.3"/>
    <row r="2341" customFormat="1" x14ac:dyDescent="0.3"/>
    <row r="2342" customFormat="1" x14ac:dyDescent="0.3"/>
    <row r="2343" customFormat="1" x14ac:dyDescent="0.3"/>
    <row r="2344" customFormat="1" x14ac:dyDescent="0.3"/>
    <row r="2345" customFormat="1" x14ac:dyDescent="0.3"/>
    <row r="2346" customFormat="1" x14ac:dyDescent="0.3"/>
    <row r="2347" customFormat="1" x14ac:dyDescent="0.3"/>
    <row r="2348" customFormat="1" x14ac:dyDescent="0.3"/>
    <row r="2349" customFormat="1" x14ac:dyDescent="0.3"/>
    <row r="2350" customFormat="1" x14ac:dyDescent="0.3"/>
    <row r="2351" customFormat="1" x14ac:dyDescent="0.3"/>
    <row r="2352" customFormat="1" x14ac:dyDescent="0.3"/>
    <row r="2353" customFormat="1" x14ac:dyDescent="0.3"/>
    <row r="2354" customFormat="1" x14ac:dyDescent="0.3"/>
    <row r="2355" customFormat="1" x14ac:dyDescent="0.3"/>
    <row r="2356" customFormat="1" x14ac:dyDescent="0.3"/>
    <row r="2357" customFormat="1" x14ac:dyDescent="0.3"/>
    <row r="2358" customFormat="1" x14ac:dyDescent="0.3"/>
    <row r="2359" customFormat="1" x14ac:dyDescent="0.3"/>
    <row r="2360" customFormat="1" x14ac:dyDescent="0.3"/>
    <row r="2361" customFormat="1" x14ac:dyDescent="0.3"/>
    <row r="2362" customFormat="1" x14ac:dyDescent="0.3"/>
    <row r="2363" customFormat="1" x14ac:dyDescent="0.3"/>
    <row r="2364" customFormat="1" x14ac:dyDescent="0.3"/>
    <row r="2365" customFormat="1" x14ac:dyDescent="0.3"/>
    <row r="2366" customFormat="1" x14ac:dyDescent="0.3"/>
    <row r="2367" customFormat="1" x14ac:dyDescent="0.3"/>
    <row r="2368" customFormat="1" x14ac:dyDescent="0.3"/>
    <row r="2369" customFormat="1" x14ac:dyDescent="0.3"/>
    <row r="2370" customFormat="1" x14ac:dyDescent="0.3"/>
    <row r="2371" customFormat="1" x14ac:dyDescent="0.3"/>
    <row r="2372" customFormat="1" x14ac:dyDescent="0.3"/>
    <row r="2373" customFormat="1" x14ac:dyDescent="0.3"/>
    <row r="2374" customFormat="1" x14ac:dyDescent="0.3"/>
    <row r="2375" customFormat="1" x14ac:dyDescent="0.3"/>
    <row r="2376" customFormat="1" x14ac:dyDescent="0.3"/>
    <row r="2377" customFormat="1" x14ac:dyDescent="0.3"/>
    <row r="2378" customFormat="1" x14ac:dyDescent="0.3"/>
    <row r="2379" customFormat="1" x14ac:dyDescent="0.3"/>
    <row r="2380" customFormat="1" x14ac:dyDescent="0.3"/>
    <row r="2381" customFormat="1" x14ac:dyDescent="0.3"/>
    <row r="2382" customFormat="1" x14ac:dyDescent="0.3"/>
    <row r="2383" customFormat="1" x14ac:dyDescent="0.3"/>
    <row r="2384" customFormat="1" x14ac:dyDescent="0.3"/>
    <row r="2385" customFormat="1" x14ac:dyDescent="0.3"/>
    <row r="2386" customFormat="1" x14ac:dyDescent="0.3"/>
    <row r="2387" customFormat="1" x14ac:dyDescent="0.3"/>
    <row r="2388" customFormat="1" x14ac:dyDescent="0.3"/>
    <row r="2389" customFormat="1" x14ac:dyDescent="0.3"/>
    <row r="2390" customFormat="1" x14ac:dyDescent="0.3"/>
    <row r="2391" customFormat="1" x14ac:dyDescent="0.3"/>
    <row r="2392" customFormat="1" x14ac:dyDescent="0.3"/>
    <row r="2393" customFormat="1" x14ac:dyDescent="0.3"/>
    <row r="2394" customFormat="1" x14ac:dyDescent="0.3"/>
    <row r="2395" customFormat="1" x14ac:dyDescent="0.3"/>
    <row r="2396" customFormat="1" x14ac:dyDescent="0.3"/>
    <row r="2397" customFormat="1" x14ac:dyDescent="0.3"/>
    <row r="2398" customFormat="1" x14ac:dyDescent="0.3"/>
    <row r="2399" customFormat="1" x14ac:dyDescent="0.3"/>
    <row r="2400" customFormat="1" x14ac:dyDescent="0.3"/>
    <row r="2401" customFormat="1" x14ac:dyDescent="0.3"/>
    <row r="2402" customFormat="1" x14ac:dyDescent="0.3"/>
    <row r="2403" customFormat="1" x14ac:dyDescent="0.3"/>
    <row r="2404" customFormat="1" x14ac:dyDescent="0.3"/>
    <row r="2405" customFormat="1" x14ac:dyDescent="0.3"/>
    <row r="2406" customFormat="1" x14ac:dyDescent="0.3"/>
    <row r="2407" customFormat="1" x14ac:dyDescent="0.3"/>
    <row r="2408" customFormat="1" x14ac:dyDescent="0.3"/>
    <row r="2409" customFormat="1" x14ac:dyDescent="0.3"/>
    <row r="2410" customFormat="1" x14ac:dyDescent="0.3"/>
    <row r="2411" customFormat="1" x14ac:dyDescent="0.3"/>
    <row r="2412" customFormat="1" x14ac:dyDescent="0.3"/>
    <row r="2413" customFormat="1" x14ac:dyDescent="0.3"/>
    <row r="2414" customFormat="1" x14ac:dyDescent="0.3"/>
    <row r="2415" customFormat="1" x14ac:dyDescent="0.3"/>
    <row r="2416" customFormat="1" x14ac:dyDescent="0.3"/>
    <row r="2417" customFormat="1" x14ac:dyDescent="0.3"/>
    <row r="2418" customFormat="1" x14ac:dyDescent="0.3"/>
    <row r="2419" customFormat="1" x14ac:dyDescent="0.3"/>
    <row r="2420" customFormat="1" x14ac:dyDescent="0.3"/>
    <row r="2421" customFormat="1" x14ac:dyDescent="0.3"/>
    <row r="2422" customFormat="1" x14ac:dyDescent="0.3"/>
    <row r="2423" customFormat="1" x14ac:dyDescent="0.3"/>
    <row r="2424" customFormat="1" x14ac:dyDescent="0.3"/>
    <row r="2425" customFormat="1" x14ac:dyDescent="0.3"/>
    <row r="2426" customFormat="1" x14ac:dyDescent="0.3"/>
    <row r="2427" customFormat="1" x14ac:dyDescent="0.3"/>
    <row r="2428" customFormat="1" x14ac:dyDescent="0.3"/>
    <row r="2429" customFormat="1" x14ac:dyDescent="0.3"/>
    <row r="2430" customFormat="1" x14ac:dyDescent="0.3"/>
    <row r="2431" customFormat="1" x14ac:dyDescent="0.3"/>
    <row r="2432" customFormat="1" x14ac:dyDescent="0.3"/>
    <row r="2433" customFormat="1" x14ac:dyDescent="0.3"/>
    <row r="2434" customFormat="1" x14ac:dyDescent="0.3"/>
    <row r="2435" customFormat="1" x14ac:dyDescent="0.3"/>
    <row r="2436" customFormat="1" x14ac:dyDescent="0.3"/>
    <row r="2437" customFormat="1" x14ac:dyDescent="0.3"/>
    <row r="2438" customFormat="1" x14ac:dyDescent="0.3"/>
    <row r="2439" customFormat="1" x14ac:dyDescent="0.3"/>
    <row r="2440" customFormat="1" x14ac:dyDescent="0.3"/>
    <row r="2441" customFormat="1" x14ac:dyDescent="0.3"/>
    <row r="2442" customFormat="1" x14ac:dyDescent="0.3"/>
    <row r="2443" customFormat="1" x14ac:dyDescent="0.3"/>
    <row r="2444" customFormat="1" x14ac:dyDescent="0.3"/>
    <row r="2445" customFormat="1" x14ac:dyDescent="0.3"/>
    <row r="2446" customFormat="1" x14ac:dyDescent="0.3"/>
    <row r="2447" customFormat="1" x14ac:dyDescent="0.3"/>
    <row r="2448" customFormat="1" x14ac:dyDescent="0.3"/>
    <row r="2449" customFormat="1" x14ac:dyDescent="0.3"/>
    <row r="2450" customFormat="1" x14ac:dyDescent="0.3"/>
    <row r="2451" customFormat="1" x14ac:dyDescent="0.3"/>
    <row r="2452" customFormat="1" x14ac:dyDescent="0.3"/>
    <row r="2453" customFormat="1" x14ac:dyDescent="0.3"/>
    <row r="2454" customFormat="1" x14ac:dyDescent="0.3"/>
    <row r="2455" customFormat="1" x14ac:dyDescent="0.3"/>
    <row r="2456" customFormat="1" x14ac:dyDescent="0.3"/>
    <row r="2457" customFormat="1" x14ac:dyDescent="0.3"/>
    <row r="2458" customFormat="1" x14ac:dyDescent="0.3"/>
    <row r="2459" customFormat="1" x14ac:dyDescent="0.3"/>
    <row r="2460" customFormat="1" x14ac:dyDescent="0.3"/>
    <row r="2461" customFormat="1" x14ac:dyDescent="0.3"/>
    <row r="2462" customFormat="1" x14ac:dyDescent="0.3"/>
    <row r="2463" customFormat="1" x14ac:dyDescent="0.3"/>
    <row r="2464" customFormat="1" x14ac:dyDescent="0.3"/>
    <row r="2465" customFormat="1" x14ac:dyDescent="0.3"/>
    <row r="2466" customFormat="1" x14ac:dyDescent="0.3"/>
    <row r="2467" customFormat="1" x14ac:dyDescent="0.3"/>
    <row r="2468" customFormat="1" x14ac:dyDescent="0.3"/>
    <row r="2469" customFormat="1" x14ac:dyDescent="0.3"/>
    <row r="2470" customFormat="1" x14ac:dyDescent="0.3"/>
    <row r="2471" customFormat="1" x14ac:dyDescent="0.3"/>
    <row r="2472" customFormat="1" x14ac:dyDescent="0.3"/>
    <row r="2473" customFormat="1" x14ac:dyDescent="0.3"/>
    <row r="2474" customFormat="1" x14ac:dyDescent="0.3"/>
    <row r="2475" customFormat="1" x14ac:dyDescent="0.3"/>
    <row r="2476" customFormat="1" x14ac:dyDescent="0.3"/>
    <row r="2477" customFormat="1" x14ac:dyDescent="0.3"/>
    <row r="2478" customFormat="1" x14ac:dyDescent="0.3"/>
    <row r="2479" customFormat="1" x14ac:dyDescent="0.3"/>
    <row r="2480" customFormat="1" x14ac:dyDescent="0.3"/>
    <row r="2481" customFormat="1" x14ac:dyDescent="0.3"/>
    <row r="2482" customFormat="1" x14ac:dyDescent="0.3"/>
    <row r="2483" customFormat="1" x14ac:dyDescent="0.3"/>
    <row r="2484" customFormat="1" x14ac:dyDescent="0.3"/>
    <row r="2485" customFormat="1" x14ac:dyDescent="0.3"/>
    <row r="2486" customFormat="1" x14ac:dyDescent="0.3"/>
    <row r="2487" customFormat="1" x14ac:dyDescent="0.3"/>
    <row r="2488" customFormat="1" x14ac:dyDescent="0.3"/>
    <row r="2489" customFormat="1" x14ac:dyDescent="0.3"/>
    <row r="2490" customFormat="1" x14ac:dyDescent="0.3"/>
    <row r="2491" customFormat="1" x14ac:dyDescent="0.3"/>
    <row r="2492" customFormat="1" x14ac:dyDescent="0.3"/>
    <row r="2493" customFormat="1" x14ac:dyDescent="0.3"/>
    <row r="2494" customFormat="1" x14ac:dyDescent="0.3"/>
    <row r="2495" customFormat="1" x14ac:dyDescent="0.3"/>
    <row r="2496" customFormat="1" x14ac:dyDescent="0.3"/>
    <row r="2497" customFormat="1" x14ac:dyDescent="0.3"/>
    <row r="2498" customFormat="1" x14ac:dyDescent="0.3"/>
    <row r="2499" customFormat="1" x14ac:dyDescent="0.3"/>
    <row r="2500" customFormat="1" x14ac:dyDescent="0.3"/>
    <row r="2501" customFormat="1" x14ac:dyDescent="0.3"/>
    <row r="2502" customFormat="1" x14ac:dyDescent="0.3"/>
    <row r="2503" customFormat="1" x14ac:dyDescent="0.3"/>
    <row r="2504" customFormat="1" x14ac:dyDescent="0.3"/>
    <row r="2505" customFormat="1" x14ac:dyDescent="0.3"/>
    <row r="2506" customFormat="1" x14ac:dyDescent="0.3"/>
    <row r="2507" customFormat="1" x14ac:dyDescent="0.3"/>
    <row r="2508" customFormat="1" x14ac:dyDescent="0.3"/>
    <row r="2509" customFormat="1" x14ac:dyDescent="0.3"/>
    <row r="2510" customFormat="1" x14ac:dyDescent="0.3"/>
    <row r="2511" customFormat="1" x14ac:dyDescent="0.3"/>
    <row r="2512" customFormat="1" x14ac:dyDescent="0.3"/>
    <row r="2513" customFormat="1" x14ac:dyDescent="0.3"/>
    <row r="2514" customFormat="1" x14ac:dyDescent="0.3"/>
    <row r="2515" customFormat="1" x14ac:dyDescent="0.3"/>
    <row r="2516" customFormat="1" x14ac:dyDescent="0.3"/>
    <row r="2517" customFormat="1" x14ac:dyDescent="0.3"/>
    <row r="2518" customFormat="1" x14ac:dyDescent="0.3"/>
    <row r="2519" customFormat="1" x14ac:dyDescent="0.3"/>
    <row r="2520" customFormat="1" x14ac:dyDescent="0.3"/>
    <row r="2521" customFormat="1" x14ac:dyDescent="0.3"/>
    <row r="2522" customFormat="1" x14ac:dyDescent="0.3"/>
    <row r="2523" customFormat="1" x14ac:dyDescent="0.3"/>
    <row r="2524" customFormat="1" x14ac:dyDescent="0.3"/>
    <row r="2525" customFormat="1" x14ac:dyDescent="0.3"/>
    <row r="2526" customFormat="1" x14ac:dyDescent="0.3"/>
    <row r="2527" customFormat="1" x14ac:dyDescent="0.3"/>
    <row r="2528" customFormat="1" x14ac:dyDescent="0.3"/>
    <row r="2529" customFormat="1" x14ac:dyDescent="0.3"/>
    <row r="2530" customFormat="1" x14ac:dyDescent="0.3"/>
    <row r="2531" customFormat="1" x14ac:dyDescent="0.3"/>
    <row r="2532" customFormat="1" x14ac:dyDescent="0.3"/>
    <row r="2533" customFormat="1" x14ac:dyDescent="0.3"/>
    <row r="2534" customFormat="1" x14ac:dyDescent="0.3"/>
    <row r="2535" customFormat="1" x14ac:dyDescent="0.3"/>
    <row r="2536" customFormat="1" x14ac:dyDescent="0.3"/>
    <row r="2537" customFormat="1" x14ac:dyDescent="0.3"/>
    <row r="2538" customFormat="1" x14ac:dyDescent="0.3"/>
    <row r="2539" customFormat="1" x14ac:dyDescent="0.3"/>
    <row r="2540" customFormat="1" x14ac:dyDescent="0.3"/>
    <row r="2541" customFormat="1" x14ac:dyDescent="0.3"/>
    <row r="2542" customFormat="1" x14ac:dyDescent="0.3"/>
    <row r="2543" customFormat="1" x14ac:dyDescent="0.3"/>
    <row r="2544" customFormat="1" x14ac:dyDescent="0.3"/>
    <row r="2545" customFormat="1" x14ac:dyDescent="0.3"/>
    <row r="2546" customFormat="1" x14ac:dyDescent="0.3"/>
    <row r="2547" customFormat="1" x14ac:dyDescent="0.3"/>
    <row r="2548" customFormat="1" x14ac:dyDescent="0.3"/>
    <row r="2549" customFormat="1" x14ac:dyDescent="0.3"/>
    <row r="2550" customFormat="1" x14ac:dyDescent="0.3"/>
    <row r="2551" customFormat="1" x14ac:dyDescent="0.3"/>
    <row r="2552" customFormat="1" x14ac:dyDescent="0.3"/>
    <row r="2553" customFormat="1" x14ac:dyDescent="0.3"/>
    <row r="2554" customFormat="1" x14ac:dyDescent="0.3"/>
    <row r="2555" customFormat="1" x14ac:dyDescent="0.3"/>
    <row r="2556" customFormat="1" x14ac:dyDescent="0.3"/>
    <row r="2557" customFormat="1" x14ac:dyDescent="0.3"/>
    <row r="2558" customFormat="1" x14ac:dyDescent="0.3"/>
    <row r="2559" customFormat="1" x14ac:dyDescent="0.3"/>
    <row r="2560" customFormat="1" x14ac:dyDescent="0.3"/>
    <row r="2561" customFormat="1" x14ac:dyDescent="0.3"/>
    <row r="2562" customFormat="1" x14ac:dyDescent="0.3"/>
    <row r="2563" customFormat="1" x14ac:dyDescent="0.3"/>
    <row r="2564" customFormat="1" x14ac:dyDescent="0.3"/>
    <row r="2565" customFormat="1" x14ac:dyDescent="0.3"/>
    <row r="2566" customFormat="1" x14ac:dyDescent="0.3"/>
    <row r="2567" customFormat="1" x14ac:dyDescent="0.3"/>
    <row r="2568" customFormat="1" x14ac:dyDescent="0.3"/>
    <row r="2569" customFormat="1" x14ac:dyDescent="0.3"/>
    <row r="2570" customFormat="1" x14ac:dyDescent="0.3"/>
    <row r="2571" customFormat="1" x14ac:dyDescent="0.3"/>
    <row r="2572" customFormat="1" x14ac:dyDescent="0.3"/>
    <row r="2573" customFormat="1" x14ac:dyDescent="0.3"/>
    <row r="2574" customFormat="1" x14ac:dyDescent="0.3"/>
    <row r="2575" customFormat="1" x14ac:dyDescent="0.3"/>
    <row r="2576" customFormat="1" x14ac:dyDescent="0.3"/>
    <row r="2577" customFormat="1" x14ac:dyDescent="0.3"/>
    <row r="2578" customFormat="1" x14ac:dyDescent="0.3"/>
    <row r="2579" customFormat="1" x14ac:dyDescent="0.3"/>
    <row r="2580" customFormat="1" x14ac:dyDescent="0.3"/>
    <row r="2581" customFormat="1" x14ac:dyDescent="0.3"/>
    <row r="2582" customFormat="1" x14ac:dyDescent="0.3"/>
    <row r="2583" customFormat="1" x14ac:dyDescent="0.3"/>
    <row r="2584" customFormat="1" x14ac:dyDescent="0.3"/>
    <row r="2585" customFormat="1" x14ac:dyDescent="0.3"/>
    <row r="2586" customFormat="1" x14ac:dyDescent="0.3"/>
    <row r="2587" customFormat="1" x14ac:dyDescent="0.3"/>
    <row r="2588" customFormat="1" x14ac:dyDescent="0.3"/>
    <row r="2589" customFormat="1" x14ac:dyDescent="0.3"/>
    <row r="2590" customFormat="1" x14ac:dyDescent="0.3"/>
    <row r="2591" customFormat="1" x14ac:dyDescent="0.3"/>
    <row r="2592" customFormat="1" x14ac:dyDescent="0.3"/>
    <row r="2593" customFormat="1" x14ac:dyDescent="0.3"/>
    <row r="2594" customFormat="1" x14ac:dyDescent="0.3"/>
    <row r="2595" customFormat="1" x14ac:dyDescent="0.3"/>
    <row r="2596" customFormat="1" x14ac:dyDescent="0.3"/>
    <row r="2597" customFormat="1" x14ac:dyDescent="0.3"/>
    <row r="2598" customFormat="1" x14ac:dyDescent="0.3"/>
    <row r="2599" customFormat="1" x14ac:dyDescent="0.3"/>
    <row r="2600" customFormat="1" x14ac:dyDescent="0.3"/>
    <row r="2601" customFormat="1" x14ac:dyDescent="0.3"/>
    <row r="2602" customFormat="1" x14ac:dyDescent="0.3"/>
    <row r="2603" customFormat="1" x14ac:dyDescent="0.3"/>
    <row r="2604" customFormat="1" x14ac:dyDescent="0.3"/>
    <row r="2605" customFormat="1" x14ac:dyDescent="0.3"/>
    <row r="2606" customFormat="1" x14ac:dyDescent="0.3"/>
    <row r="2607" customFormat="1" x14ac:dyDescent="0.3"/>
    <row r="2608" customFormat="1" x14ac:dyDescent="0.3"/>
    <row r="2609" customFormat="1" x14ac:dyDescent="0.3"/>
    <row r="2610" customFormat="1" x14ac:dyDescent="0.3"/>
    <row r="2611" customFormat="1" x14ac:dyDescent="0.3"/>
    <row r="2612" customFormat="1" x14ac:dyDescent="0.3"/>
    <row r="2613" customFormat="1" x14ac:dyDescent="0.3"/>
    <row r="2614" customFormat="1" x14ac:dyDescent="0.3"/>
    <row r="2615" customFormat="1" x14ac:dyDescent="0.3"/>
    <row r="2616" customFormat="1" x14ac:dyDescent="0.3"/>
    <row r="2617" customFormat="1" x14ac:dyDescent="0.3"/>
    <row r="2618" customFormat="1" x14ac:dyDescent="0.3"/>
    <row r="2619" customFormat="1" x14ac:dyDescent="0.3"/>
    <row r="2620" customFormat="1" x14ac:dyDescent="0.3"/>
    <row r="2621" customFormat="1" x14ac:dyDescent="0.3"/>
    <row r="2622" customFormat="1" x14ac:dyDescent="0.3"/>
    <row r="2623" customFormat="1" x14ac:dyDescent="0.3"/>
    <row r="2624" customFormat="1" x14ac:dyDescent="0.3"/>
    <row r="2625" customFormat="1" x14ac:dyDescent="0.3"/>
    <row r="2626" customFormat="1" x14ac:dyDescent="0.3"/>
    <row r="2627" customFormat="1" x14ac:dyDescent="0.3"/>
    <row r="2628" customFormat="1" x14ac:dyDescent="0.3"/>
    <row r="2629" customFormat="1" x14ac:dyDescent="0.3"/>
    <row r="2630" customFormat="1" x14ac:dyDescent="0.3"/>
    <row r="2631" customFormat="1" x14ac:dyDescent="0.3"/>
    <row r="2632" customFormat="1" x14ac:dyDescent="0.3"/>
    <row r="2633" customFormat="1" x14ac:dyDescent="0.3"/>
    <row r="2634" customFormat="1" x14ac:dyDescent="0.3"/>
    <row r="2635" customFormat="1" x14ac:dyDescent="0.3"/>
    <row r="2636" customFormat="1" x14ac:dyDescent="0.3"/>
    <row r="2637" customFormat="1" x14ac:dyDescent="0.3"/>
    <row r="2638" customFormat="1" x14ac:dyDescent="0.3"/>
    <row r="2639" customFormat="1" x14ac:dyDescent="0.3"/>
    <row r="2640" customFormat="1" x14ac:dyDescent="0.3"/>
    <row r="2641" customFormat="1" x14ac:dyDescent="0.3"/>
    <row r="2642" customFormat="1" x14ac:dyDescent="0.3"/>
    <row r="2643" customFormat="1" x14ac:dyDescent="0.3"/>
    <row r="2644" customFormat="1" x14ac:dyDescent="0.3"/>
    <row r="2645" customFormat="1" x14ac:dyDescent="0.3"/>
    <row r="2646" customFormat="1" x14ac:dyDescent="0.3"/>
    <row r="2647" customFormat="1" x14ac:dyDescent="0.3"/>
    <row r="2648" customFormat="1" x14ac:dyDescent="0.3"/>
    <row r="2649" customFormat="1" x14ac:dyDescent="0.3"/>
    <row r="2650" customFormat="1" x14ac:dyDescent="0.3"/>
    <row r="2651" customFormat="1" x14ac:dyDescent="0.3"/>
    <row r="2652" customFormat="1" x14ac:dyDescent="0.3"/>
    <row r="2653" customFormat="1" x14ac:dyDescent="0.3"/>
    <row r="2654" customFormat="1" x14ac:dyDescent="0.3"/>
    <row r="2655" customFormat="1" x14ac:dyDescent="0.3"/>
    <row r="2656" customFormat="1" x14ac:dyDescent="0.3"/>
    <row r="2657" customFormat="1" x14ac:dyDescent="0.3"/>
    <row r="2658" customFormat="1" x14ac:dyDescent="0.3"/>
    <row r="2659" customFormat="1" x14ac:dyDescent="0.3"/>
    <row r="2660" customFormat="1" x14ac:dyDescent="0.3"/>
    <row r="2661" customFormat="1" x14ac:dyDescent="0.3"/>
    <row r="2662" customFormat="1" x14ac:dyDescent="0.3"/>
    <row r="2663" customFormat="1" x14ac:dyDescent="0.3"/>
    <row r="2664" customFormat="1" x14ac:dyDescent="0.3"/>
    <row r="2665" customFormat="1" x14ac:dyDescent="0.3"/>
    <row r="2666" customFormat="1" x14ac:dyDescent="0.3"/>
    <row r="2667" customFormat="1" x14ac:dyDescent="0.3"/>
    <row r="2668" customFormat="1" x14ac:dyDescent="0.3"/>
    <row r="2669" customFormat="1" x14ac:dyDescent="0.3"/>
    <row r="2670" customFormat="1" x14ac:dyDescent="0.3"/>
    <row r="2671" customFormat="1" x14ac:dyDescent="0.3"/>
    <row r="2672" customFormat="1" x14ac:dyDescent="0.3"/>
    <row r="2673" customFormat="1" x14ac:dyDescent="0.3"/>
    <row r="2674" customFormat="1" x14ac:dyDescent="0.3"/>
    <row r="2675" customFormat="1" x14ac:dyDescent="0.3"/>
    <row r="2676" customFormat="1" x14ac:dyDescent="0.3"/>
    <row r="2677" customFormat="1" x14ac:dyDescent="0.3"/>
    <row r="2678" customFormat="1" x14ac:dyDescent="0.3"/>
    <row r="2679" customFormat="1" x14ac:dyDescent="0.3"/>
    <row r="2680" customFormat="1" x14ac:dyDescent="0.3"/>
    <row r="2681" customFormat="1" x14ac:dyDescent="0.3"/>
    <row r="2682" customFormat="1" x14ac:dyDescent="0.3"/>
    <row r="2683" customFormat="1" x14ac:dyDescent="0.3"/>
    <row r="2684" customFormat="1" x14ac:dyDescent="0.3"/>
    <row r="2685" customFormat="1" x14ac:dyDescent="0.3"/>
    <row r="2686" customFormat="1" x14ac:dyDescent="0.3"/>
    <row r="2687" customFormat="1" x14ac:dyDescent="0.3"/>
    <row r="2688" customFormat="1" x14ac:dyDescent="0.3"/>
    <row r="2689" customFormat="1" x14ac:dyDescent="0.3"/>
    <row r="2690" customFormat="1" x14ac:dyDescent="0.3"/>
    <row r="2691" customFormat="1" x14ac:dyDescent="0.3"/>
    <row r="2692" customFormat="1" x14ac:dyDescent="0.3"/>
    <row r="2693" customFormat="1" x14ac:dyDescent="0.3"/>
    <row r="2694" customFormat="1" x14ac:dyDescent="0.3"/>
    <row r="2695" customFormat="1" x14ac:dyDescent="0.3"/>
    <row r="2696" customFormat="1" x14ac:dyDescent="0.3"/>
    <row r="2697" customFormat="1" x14ac:dyDescent="0.3"/>
    <row r="2698" customFormat="1" x14ac:dyDescent="0.3"/>
    <row r="2699" customFormat="1" x14ac:dyDescent="0.3"/>
    <row r="2700" customFormat="1" x14ac:dyDescent="0.3"/>
    <row r="2701" customFormat="1" x14ac:dyDescent="0.3"/>
    <row r="2702" customFormat="1" x14ac:dyDescent="0.3"/>
    <row r="2703" customFormat="1" x14ac:dyDescent="0.3"/>
    <row r="2704" customFormat="1" x14ac:dyDescent="0.3"/>
    <row r="2705" customFormat="1" x14ac:dyDescent="0.3"/>
    <row r="2706" customFormat="1" x14ac:dyDescent="0.3"/>
    <row r="2707" customFormat="1" x14ac:dyDescent="0.3"/>
    <row r="2708" customFormat="1" x14ac:dyDescent="0.3"/>
    <row r="2709" customFormat="1" x14ac:dyDescent="0.3"/>
    <row r="2710" customFormat="1" x14ac:dyDescent="0.3"/>
    <row r="2711" customFormat="1" x14ac:dyDescent="0.3"/>
    <row r="2712" customFormat="1" x14ac:dyDescent="0.3"/>
    <row r="2713" customFormat="1" x14ac:dyDescent="0.3"/>
    <row r="2714" customFormat="1" x14ac:dyDescent="0.3"/>
    <row r="2715" customFormat="1" x14ac:dyDescent="0.3"/>
    <row r="2716" customFormat="1" x14ac:dyDescent="0.3"/>
    <row r="2717" customFormat="1" x14ac:dyDescent="0.3"/>
    <row r="2718" customFormat="1" x14ac:dyDescent="0.3"/>
    <row r="2719" customFormat="1" x14ac:dyDescent="0.3"/>
    <row r="2720" customFormat="1" x14ac:dyDescent="0.3"/>
    <row r="2721" customFormat="1" x14ac:dyDescent="0.3"/>
    <row r="2722" customFormat="1" x14ac:dyDescent="0.3"/>
    <row r="2723" customFormat="1" x14ac:dyDescent="0.3"/>
    <row r="2724" customFormat="1" x14ac:dyDescent="0.3"/>
    <row r="2725" customFormat="1" x14ac:dyDescent="0.3"/>
    <row r="2726" customFormat="1" x14ac:dyDescent="0.3"/>
    <row r="2727" customFormat="1" x14ac:dyDescent="0.3"/>
    <row r="2728" customFormat="1" x14ac:dyDescent="0.3"/>
    <row r="2729" customFormat="1" x14ac:dyDescent="0.3"/>
    <row r="2730" customFormat="1" x14ac:dyDescent="0.3"/>
    <row r="2731" customFormat="1" x14ac:dyDescent="0.3"/>
    <row r="2732" customFormat="1" x14ac:dyDescent="0.3"/>
    <row r="2733" customFormat="1" x14ac:dyDescent="0.3"/>
    <row r="2734" customFormat="1" x14ac:dyDescent="0.3"/>
    <row r="2735" customFormat="1" x14ac:dyDescent="0.3"/>
    <row r="2736" customFormat="1" x14ac:dyDescent="0.3"/>
    <row r="2737" customFormat="1" x14ac:dyDescent="0.3"/>
    <row r="2738" customFormat="1" x14ac:dyDescent="0.3"/>
    <row r="2739" customFormat="1" x14ac:dyDescent="0.3"/>
    <row r="2740" customFormat="1" x14ac:dyDescent="0.3"/>
    <row r="2741" customFormat="1" x14ac:dyDescent="0.3"/>
    <row r="2742" customFormat="1" x14ac:dyDescent="0.3"/>
    <row r="2743" customFormat="1" x14ac:dyDescent="0.3"/>
    <row r="2744" customFormat="1" x14ac:dyDescent="0.3"/>
    <row r="2745" customFormat="1" x14ac:dyDescent="0.3"/>
    <row r="2746" customFormat="1" x14ac:dyDescent="0.3"/>
    <row r="2747" customFormat="1" x14ac:dyDescent="0.3"/>
    <row r="2748" customFormat="1" x14ac:dyDescent="0.3"/>
    <row r="2749" customFormat="1" x14ac:dyDescent="0.3"/>
    <row r="2750" customFormat="1" x14ac:dyDescent="0.3"/>
    <row r="2751" customFormat="1" x14ac:dyDescent="0.3"/>
    <row r="2752" customFormat="1" x14ac:dyDescent="0.3"/>
    <row r="2753" customFormat="1" x14ac:dyDescent="0.3"/>
    <row r="2754" customFormat="1" x14ac:dyDescent="0.3"/>
    <row r="2755" customFormat="1" x14ac:dyDescent="0.3"/>
    <row r="2756" customFormat="1" x14ac:dyDescent="0.3"/>
    <row r="2757" customFormat="1" x14ac:dyDescent="0.3"/>
    <row r="2758" customFormat="1" x14ac:dyDescent="0.3"/>
    <row r="2759" customFormat="1" x14ac:dyDescent="0.3"/>
    <row r="2760" customFormat="1" x14ac:dyDescent="0.3"/>
    <row r="2761" customFormat="1" x14ac:dyDescent="0.3"/>
    <row r="2762" customFormat="1" x14ac:dyDescent="0.3"/>
    <row r="2763" customFormat="1" x14ac:dyDescent="0.3"/>
    <row r="2764" customFormat="1" x14ac:dyDescent="0.3"/>
    <row r="2765" customFormat="1" x14ac:dyDescent="0.3"/>
    <row r="2766" customFormat="1" x14ac:dyDescent="0.3"/>
    <row r="2767" customFormat="1" x14ac:dyDescent="0.3"/>
    <row r="2768" customFormat="1" x14ac:dyDescent="0.3"/>
    <row r="2769" customFormat="1" x14ac:dyDescent="0.3"/>
    <row r="2770" customFormat="1" x14ac:dyDescent="0.3"/>
    <row r="2771" customFormat="1" x14ac:dyDescent="0.3"/>
    <row r="2772" customFormat="1" x14ac:dyDescent="0.3"/>
    <row r="2773" customFormat="1" x14ac:dyDescent="0.3"/>
    <row r="2774" customFormat="1" x14ac:dyDescent="0.3"/>
    <row r="2775" customFormat="1" x14ac:dyDescent="0.3"/>
    <row r="2776" customFormat="1" x14ac:dyDescent="0.3"/>
    <row r="2777" customFormat="1" x14ac:dyDescent="0.3"/>
    <row r="2778" customFormat="1" x14ac:dyDescent="0.3"/>
    <row r="2779" customFormat="1" x14ac:dyDescent="0.3"/>
    <row r="2780" customFormat="1" x14ac:dyDescent="0.3"/>
    <row r="2781" customFormat="1" x14ac:dyDescent="0.3"/>
    <row r="2782" customFormat="1" x14ac:dyDescent="0.3"/>
    <row r="2783" customFormat="1" x14ac:dyDescent="0.3"/>
    <row r="2784" customFormat="1" x14ac:dyDescent="0.3"/>
    <row r="2785" customFormat="1" x14ac:dyDescent="0.3"/>
    <row r="2786" customFormat="1" x14ac:dyDescent="0.3"/>
    <row r="2787" customFormat="1" x14ac:dyDescent="0.3"/>
    <row r="2788" customFormat="1" x14ac:dyDescent="0.3"/>
    <row r="2789" customFormat="1" x14ac:dyDescent="0.3"/>
    <row r="2790" customFormat="1" x14ac:dyDescent="0.3"/>
    <row r="2791" customFormat="1" x14ac:dyDescent="0.3"/>
    <row r="2792" customFormat="1" x14ac:dyDescent="0.3"/>
    <row r="2793" customFormat="1" x14ac:dyDescent="0.3"/>
    <row r="2794" customFormat="1" x14ac:dyDescent="0.3"/>
    <row r="2795" customFormat="1" x14ac:dyDescent="0.3"/>
    <row r="2796" customFormat="1" x14ac:dyDescent="0.3"/>
    <row r="2797" customFormat="1" x14ac:dyDescent="0.3"/>
    <row r="2798" customFormat="1" x14ac:dyDescent="0.3"/>
    <row r="2799" customFormat="1" x14ac:dyDescent="0.3"/>
    <row r="2800" customFormat="1" x14ac:dyDescent="0.3"/>
    <row r="2801" customFormat="1" x14ac:dyDescent="0.3"/>
    <row r="2802" customFormat="1" x14ac:dyDescent="0.3"/>
    <row r="2803" customFormat="1" x14ac:dyDescent="0.3"/>
    <row r="2804" customFormat="1" x14ac:dyDescent="0.3"/>
    <row r="2805" customFormat="1" x14ac:dyDescent="0.3"/>
    <row r="2806" customFormat="1" x14ac:dyDescent="0.3"/>
    <row r="2807" customFormat="1" x14ac:dyDescent="0.3"/>
    <row r="2808" customFormat="1" x14ac:dyDescent="0.3"/>
    <row r="2809" customFormat="1" x14ac:dyDescent="0.3"/>
    <row r="2810" customFormat="1" x14ac:dyDescent="0.3"/>
    <row r="2811" customFormat="1" x14ac:dyDescent="0.3"/>
    <row r="2812" customFormat="1" x14ac:dyDescent="0.3"/>
    <row r="2813" customFormat="1" x14ac:dyDescent="0.3"/>
    <row r="2814" customFormat="1" x14ac:dyDescent="0.3"/>
    <row r="2815" customFormat="1" x14ac:dyDescent="0.3"/>
    <row r="2816" customFormat="1" x14ac:dyDescent="0.3"/>
    <row r="2817" customFormat="1" x14ac:dyDescent="0.3"/>
    <row r="2818" customFormat="1" x14ac:dyDescent="0.3"/>
    <row r="2819" customFormat="1" x14ac:dyDescent="0.3"/>
    <row r="2820" customFormat="1" x14ac:dyDescent="0.3"/>
    <row r="2821" customFormat="1" x14ac:dyDescent="0.3"/>
    <row r="2822" customFormat="1" x14ac:dyDescent="0.3"/>
    <row r="2823" customFormat="1" x14ac:dyDescent="0.3"/>
    <row r="2824" customFormat="1" x14ac:dyDescent="0.3"/>
    <row r="2825" customFormat="1" x14ac:dyDescent="0.3"/>
    <row r="2826" customFormat="1" x14ac:dyDescent="0.3"/>
    <row r="2827" customFormat="1" x14ac:dyDescent="0.3"/>
    <row r="2828" customFormat="1" x14ac:dyDescent="0.3"/>
    <row r="2829" customFormat="1" x14ac:dyDescent="0.3"/>
    <row r="2830" customFormat="1" x14ac:dyDescent="0.3"/>
    <row r="2831" customFormat="1" x14ac:dyDescent="0.3"/>
    <row r="2832" customFormat="1" x14ac:dyDescent="0.3"/>
    <row r="2833" customFormat="1" x14ac:dyDescent="0.3"/>
    <row r="2834" customFormat="1" x14ac:dyDescent="0.3"/>
    <row r="2835" customFormat="1" x14ac:dyDescent="0.3"/>
    <row r="2836" customFormat="1" x14ac:dyDescent="0.3"/>
    <row r="2837" customFormat="1" x14ac:dyDescent="0.3"/>
    <row r="2838" customFormat="1" x14ac:dyDescent="0.3"/>
    <row r="2839" customFormat="1" x14ac:dyDescent="0.3"/>
    <row r="2840" customFormat="1" x14ac:dyDescent="0.3"/>
    <row r="2841" customFormat="1" x14ac:dyDescent="0.3"/>
    <row r="2842" customFormat="1" x14ac:dyDescent="0.3"/>
    <row r="2843" customFormat="1" x14ac:dyDescent="0.3"/>
    <row r="2844" customFormat="1" x14ac:dyDescent="0.3"/>
    <row r="2845" customFormat="1" x14ac:dyDescent="0.3"/>
    <row r="2846" customFormat="1" x14ac:dyDescent="0.3"/>
    <row r="2847" customFormat="1" x14ac:dyDescent="0.3"/>
    <row r="2848" customFormat="1" x14ac:dyDescent="0.3"/>
    <row r="2849" customFormat="1" x14ac:dyDescent="0.3"/>
    <row r="2850" customFormat="1" x14ac:dyDescent="0.3"/>
    <row r="2851" customFormat="1" x14ac:dyDescent="0.3"/>
    <row r="2852" customFormat="1" x14ac:dyDescent="0.3"/>
    <row r="2853" customFormat="1" x14ac:dyDescent="0.3"/>
    <row r="2854" customFormat="1" x14ac:dyDescent="0.3"/>
    <row r="2855" customFormat="1" x14ac:dyDescent="0.3"/>
    <row r="2856" customFormat="1" x14ac:dyDescent="0.3"/>
    <row r="2857" customFormat="1" x14ac:dyDescent="0.3"/>
    <row r="2858" customFormat="1" x14ac:dyDescent="0.3"/>
    <row r="2859" customFormat="1" x14ac:dyDescent="0.3"/>
    <row r="2860" customFormat="1" x14ac:dyDescent="0.3"/>
    <row r="2861" customFormat="1" x14ac:dyDescent="0.3"/>
    <row r="2862" customFormat="1" x14ac:dyDescent="0.3"/>
    <row r="2863" customFormat="1" x14ac:dyDescent="0.3"/>
    <row r="2864" customFormat="1" x14ac:dyDescent="0.3"/>
    <row r="2865" customFormat="1" x14ac:dyDescent="0.3"/>
    <row r="2866" customFormat="1" x14ac:dyDescent="0.3"/>
    <row r="2867" customFormat="1" x14ac:dyDescent="0.3"/>
    <row r="2868" customFormat="1" x14ac:dyDescent="0.3"/>
    <row r="2869" customFormat="1" x14ac:dyDescent="0.3"/>
    <row r="2870" customFormat="1" x14ac:dyDescent="0.3"/>
    <row r="2871" customFormat="1" x14ac:dyDescent="0.3"/>
    <row r="2872" customFormat="1" x14ac:dyDescent="0.3"/>
    <row r="2873" customFormat="1" x14ac:dyDescent="0.3"/>
    <row r="2874" customFormat="1" x14ac:dyDescent="0.3"/>
    <row r="2875" customFormat="1" x14ac:dyDescent="0.3"/>
    <row r="2876" customFormat="1" x14ac:dyDescent="0.3"/>
    <row r="2877" customFormat="1" x14ac:dyDescent="0.3"/>
    <row r="2878" customFormat="1" x14ac:dyDescent="0.3"/>
    <row r="2879" customFormat="1" x14ac:dyDescent="0.3"/>
    <row r="2880" customFormat="1" x14ac:dyDescent="0.3"/>
    <row r="2881" customFormat="1" x14ac:dyDescent="0.3"/>
    <row r="2882" customFormat="1" x14ac:dyDescent="0.3"/>
    <row r="2883" customFormat="1" x14ac:dyDescent="0.3"/>
    <row r="2884" customFormat="1" x14ac:dyDescent="0.3"/>
    <row r="2885" customFormat="1" x14ac:dyDescent="0.3"/>
    <row r="2886" customFormat="1" x14ac:dyDescent="0.3"/>
    <row r="2887" customFormat="1" x14ac:dyDescent="0.3"/>
    <row r="2888" customFormat="1" x14ac:dyDescent="0.3"/>
    <row r="2889" customFormat="1" x14ac:dyDescent="0.3"/>
    <row r="2890" customFormat="1" x14ac:dyDescent="0.3"/>
    <row r="2891" customFormat="1" x14ac:dyDescent="0.3"/>
    <row r="2892" customFormat="1" x14ac:dyDescent="0.3"/>
    <row r="2893" customFormat="1" x14ac:dyDescent="0.3"/>
    <row r="2894" customFormat="1" x14ac:dyDescent="0.3"/>
    <row r="2895" customFormat="1" x14ac:dyDescent="0.3"/>
    <row r="2896" customFormat="1" x14ac:dyDescent="0.3"/>
    <row r="2897" customFormat="1" x14ac:dyDescent="0.3"/>
    <row r="2898" customFormat="1" x14ac:dyDescent="0.3"/>
    <row r="2899" customFormat="1" x14ac:dyDescent="0.3"/>
    <row r="2900" customFormat="1" x14ac:dyDescent="0.3"/>
    <row r="2901" customFormat="1" x14ac:dyDescent="0.3"/>
    <row r="2902" customFormat="1" x14ac:dyDescent="0.3"/>
    <row r="2903" customFormat="1" x14ac:dyDescent="0.3"/>
    <row r="2904" customFormat="1" x14ac:dyDescent="0.3"/>
    <row r="2905" customFormat="1" x14ac:dyDescent="0.3"/>
    <row r="2906" customFormat="1" x14ac:dyDescent="0.3"/>
    <row r="2907" customFormat="1" x14ac:dyDescent="0.3"/>
    <row r="2908" customFormat="1" x14ac:dyDescent="0.3"/>
    <row r="2909" customFormat="1" x14ac:dyDescent="0.3"/>
    <row r="2910" customFormat="1" x14ac:dyDescent="0.3"/>
    <row r="2911" customFormat="1" x14ac:dyDescent="0.3"/>
    <row r="2912" customFormat="1" x14ac:dyDescent="0.3"/>
    <row r="2913" customFormat="1" x14ac:dyDescent="0.3"/>
    <row r="2914" customFormat="1" x14ac:dyDescent="0.3"/>
    <row r="2915" customFormat="1" x14ac:dyDescent="0.3"/>
    <row r="2916" customFormat="1" x14ac:dyDescent="0.3"/>
    <row r="2917" customFormat="1" x14ac:dyDescent="0.3"/>
    <row r="2918" customFormat="1" x14ac:dyDescent="0.3"/>
    <row r="2919" customFormat="1" x14ac:dyDescent="0.3"/>
    <row r="2920" customFormat="1" x14ac:dyDescent="0.3"/>
    <row r="2921" customFormat="1" x14ac:dyDescent="0.3"/>
    <row r="2922" customFormat="1" x14ac:dyDescent="0.3"/>
    <row r="2923" customFormat="1" x14ac:dyDescent="0.3"/>
    <row r="2924" customFormat="1" x14ac:dyDescent="0.3"/>
    <row r="2925" customFormat="1" x14ac:dyDescent="0.3"/>
    <row r="2926" customFormat="1" x14ac:dyDescent="0.3"/>
    <row r="2927" customFormat="1" x14ac:dyDescent="0.3"/>
    <row r="2928" customFormat="1" x14ac:dyDescent="0.3"/>
    <row r="2929" customFormat="1" x14ac:dyDescent="0.3"/>
    <row r="2930" customFormat="1" x14ac:dyDescent="0.3"/>
    <row r="2931" customFormat="1" x14ac:dyDescent="0.3"/>
    <row r="2932" customFormat="1" x14ac:dyDescent="0.3"/>
    <row r="2933" customFormat="1" x14ac:dyDescent="0.3"/>
    <row r="2934" customFormat="1" x14ac:dyDescent="0.3"/>
    <row r="2935" customFormat="1" x14ac:dyDescent="0.3"/>
    <row r="2936" customFormat="1" x14ac:dyDescent="0.3"/>
    <row r="2937" customFormat="1" x14ac:dyDescent="0.3"/>
    <row r="2938" customFormat="1" x14ac:dyDescent="0.3"/>
    <row r="2939" customFormat="1" x14ac:dyDescent="0.3"/>
    <row r="2940" customFormat="1" x14ac:dyDescent="0.3"/>
    <row r="2941" customFormat="1" x14ac:dyDescent="0.3"/>
    <row r="2942" customFormat="1" x14ac:dyDescent="0.3"/>
    <row r="2943" customFormat="1" x14ac:dyDescent="0.3"/>
    <row r="2944" customFormat="1" x14ac:dyDescent="0.3"/>
    <row r="2945" customFormat="1" x14ac:dyDescent="0.3"/>
    <row r="2946" customFormat="1" x14ac:dyDescent="0.3"/>
    <row r="2947" customFormat="1" x14ac:dyDescent="0.3"/>
    <row r="2948" customFormat="1" x14ac:dyDescent="0.3"/>
    <row r="2949" customFormat="1" x14ac:dyDescent="0.3"/>
    <row r="2950" customFormat="1" x14ac:dyDescent="0.3"/>
    <row r="2951" customFormat="1" x14ac:dyDescent="0.3"/>
    <row r="2952" customFormat="1" x14ac:dyDescent="0.3"/>
    <row r="2953" customFormat="1" x14ac:dyDescent="0.3"/>
    <row r="2954" customFormat="1" x14ac:dyDescent="0.3"/>
    <row r="2955" customFormat="1" x14ac:dyDescent="0.3"/>
    <row r="2956" customFormat="1" x14ac:dyDescent="0.3"/>
    <row r="2957" customFormat="1" x14ac:dyDescent="0.3"/>
    <row r="2958" customFormat="1" x14ac:dyDescent="0.3"/>
    <row r="2959" customFormat="1" x14ac:dyDescent="0.3"/>
    <row r="2960" customFormat="1" x14ac:dyDescent="0.3"/>
    <row r="2961" customFormat="1" x14ac:dyDescent="0.3"/>
    <row r="2962" customFormat="1" x14ac:dyDescent="0.3"/>
    <row r="2963" customFormat="1" x14ac:dyDescent="0.3"/>
    <row r="2964" customFormat="1" x14ac:dyDescent="0.3"/>
    <row r="2965" customFormat="1" x14ac:dyDescent="0.3"/>
    <row r="2966" customFormat="1" x14ac:dyDescent="0.3"/>
    <row r="2967" customFormat="1" x14ac:dyDescent="0.3"/>
    <row r="2968" customFormat="1" x14ac:dyDescent="0.3"/>
    <row r="2969" customFormat="1" x14ac:dyDescent="0.3"/>
    <row r="2970" customFormat="1" x14ac:dyDescent="0.3"/>
    <row r="2971" customFormat="1" x14ac:dyDescent="0.3"/>
    <row r="2972" customFormat="1" x14ac:dyDescent="0.3"/>
    <row r="2973" customFormat="1" x14ac:dyDescent="0.3"/>
    <row r="2974" customFormat="1" x14ac:dyDescent="0.3"/>
    <row r="2975" customFormat="1" x14ac:dyDescent="0.3"/>
    <row r="2976" customFormat="1" x14ac:dyDescent="0.3"/>
    <row r="2977" customFormat="1" x14ac:dyDescent="0.3"/>
    <row r="2978" customFormat="1" x14ac:dyDescent="0.3"/>
    <row r="2979" customFormat="1" x14ac:dyDescent="0.3"/>
    <row r="2980" customFormat="1" x14ac:dyDescent="0.3"/>
    <row r="2981" customFormat="1" x14ac:dyDescent="0.3"/>
    <row r="2982" customFormat="1" x14ac:dyDescent="0.3"/>
    <row r="2983" customFormat="1" x14ac:dyDescent="0.3"/>
    <row r="2984" customFormat="1" x14ac:dyDescent="0.3"/>
    <row r="2985" customFormat="1" x14ac:dyDescent="0.3"/>
    <row r="2986" customFormat="1" x14ac:dyDescent="0.3"/>
    <row r="2987" customFormat="1" x14ac:dyDescent="0.3"/>
    <row r="2988" customFormat="1" x14ac:dyDescent="0.3"/>
    <row r="2989" customFormat="1" x14ac:dyDescent="0.3"/>
    <row r="2990" customFormat="1" x14ac:dyDescent="0.3"/>
    <row r="2991" customFormat="1" x14ac:dyDescent="0.3"/>
    <row r="2992" customFormat="1" x14ac:dyDescent="0.3"/>
    <row r="2993" customFormat="1" x14ac:dyDescent="0.3"/>
    <row r="2994" customFormat="1" x14ac:dyDescent="0.3"/>
    <row r="2995" customFormat="1" x14ac:dyDescent="0.3"/>
    <row r="2996" customFormat="1" x14ac:dyDescent="0.3"/>
    <row r="2997" customFormat="1" x14ac:dyDescent="0.3"/>
    <row r="2998" customFormat="1" x14ac:dyDescent="0.3"/>
    <row r="2999" customFormat="1" x14ac:dyDescent="0.3"/>
    <row r="3000" customFormat="1" x14ac:dyDescent="0.3"/>
    <row r="3001" customFormat="1" x14ac:dyDescent="0.3"/>
    <row r="3002" customFormat="1" x14ac:dyDescent="0.3"/>
    <row r="3003" customFormat="1" x14ac:dyDescent="0.3"/>
    <row r="3004" customFormat="1" x14ac:dyDescent="0.3"/>
    <row r="3005" customFormat="1" x14ac:dyDescent="0.3"/>
    <row r="3006" customFormat="1" x14ac:dyDescent="0.3"/>
    <row r="3007" customFormat="1" x14ac:dyDescent="0.3"/>
    <row r="3008" customFormat="1" x14ac:dyDescent="0.3"/>
    <row r="3009" customFormat="1" x14ac:dyDescent="0.3"/>
    <row r="3010" customFormat="1" x14ac:dyDescent="0.3"/>
    <row r="3011" customFormat="1" x14ac:dyDescent="0.3"/>
    <row r="3012" customFormat="1" x14ac:dyDescent="0.3"/>
    <row r="3013" customFormat="1" x14ac:dyDescent="0.3"/>
    <row r="3014" customFormat="1" x14ac:dyDescent="0.3"/>
    <row r="3015" customFormat="1" x14ac:dyDescent="0.3"/>
    <row r="3016" customFormat="1" x14ac:dyDescent="0.3"/>
    <row r="3017" customFormat="1" x14ac:dyDescent="0.3"/>
    <row r="3018" customFormat="1" x14ac:dyDescent="0.3"/>
    <row r="3019" customFormat="1" x14ac:dyDescent="0.3"/>
    <row r="3020" customFormat="1" x14ac:dyDescent="0.3"/>
    <row r="3021" customFormat="1" x14ac:dyDescent="0.3"/>
    <row r="3022" customFormat="1" x14ac:dyDescent="0.3"/>
    <row r="3023" customFormat="1" x14ac:dyDescent="0.3"/>
    <row r="3024" customFormat="1" x14ac:dyDescent="0.3"/>
    <row r="3025" customFormat="1" x14ac:dyDescent="0.3"/>
    <row r="3026" customFormat="1" x14ac:dyDescent="0.3"/>
    <row r="3027" customFormat="1" x14ac:dyDescent="0.3"/>
    <row r="3028" customFormat="1" x14ac:dyDescent="0.3"/>
    <row r="3029" customFormat="1" x14ac:dyDescent="0.3"/>
    <row r="3030" customFormat="1" x14ac:dyDescent="0.3"/>
    <row r="3031" customFormat="1" x14ac:dyDescent="0.3"/>
    <row r="3032" customFormat="1" x14ac:dyDescent="0.3"/>
    <row r="3033" customFormat="1" x14ac:dyDescent="0.3"/>
    <row r="3034" customFormat="1" x14ac:dyDescent="0.3"/>
    <row r="3035" customFormat="1" x14ac:dyDescent="0.3"/>
    <row r="3036" customFormat="1" x14ac:dyDescent="0.3"/>
    <row r="3037" customFormat="1" x14ac:dyDescent="0.3"/>
    <row r="3038" customFormat="1" x14ac:dyDescent="0.3"/>
    <row r="3039" customFormat="1" x14ac:dyDescent="0.3"/>
    <row r="3040" customFormat="1" x14ac:dyDescent="0.3"/>
    <row r="3041" customFormat="1" x14ac:dyDescent="0.3"/>
    <row r="3042" customFormat="1" x14ac:dyDescent="0.3"/>
    <row r="3043" customFormat="1" x14ac:dyDescent="0.3"/>
    <row r="3044" customFormat="1" x14ac:dyDescent="0.3"/>
    <row r="3045" customFormat="1" x14ac:dyDescent="0.3"/>
    <row r="3046" customFormat="1" x14ac:dyDescent="0.3"/>
    <row r="3047" customFormat="1" x14ac:dyDescent="0.3"/>
    <row r="3048" customFormat="1" x14ac:dyDescent="0.3"/>
    <row r="3049" customFormat="1" x14ac:dyDescent="0.3"/>
    <row r="3050" customFormat="1" x14ac:dyDescent="0.3"/>
    <row r="3051" customFormat="1" x14ac:dyDescent="0.3"/>
    <row r="3052" customFormat="1" x14ac:dyDescent="0.3"/>
    <row r="3053" customFormat="1" x14ac:dyDescent="0.3"/>
    <row r="3054" customFormat="1" x14ac:dyDescent="0.3"/>
    <row r="3055" customFormat="1" x14ac:dyDescent="0.3"/>
    <row r="3056" customFormat="1" x14ac:dyDescent="0.3"/>
    <row r="3057" customFormat="1" x14ac:dyDescent="0.3"/>
    <row r="3058" customFormat="1" x14ac:dyDescent="0.3"/>
    <row r="3059" customFormat="1" x14ac:dyDescent="0.3"/>
    <row r="3060" customFormat="1" x14ac:dyDescent="0.3"/>
    <row r="3061" customFormat="1" x14ac:dyDescent="0.3"/>
    <row r="3062" customFormat="1" x14ac:dyDescent="0.3"/>
    <row r="3063" customFormat="1" x14ac:dyDescent="0.3"/>
    <row r="3064" customFormat="1" x14ac:dyDescent="0.3"/>
    <row r="3065" customFormat="1" x14ac:dyDescent="0.3"/>
    <row r="3066" customFormat="1" x14ac:dyDescent="0.3"/>
    <row r="3067" customFormat="1" x14ac:dyDescent="0.3"/>
    <row r="3068" customFormat="1" x14ac:dyDescent="0.3"/>
    <row r="3069" customFormat="1" x14ac:dyDescent="0.3"/>
    <row r="3070" customFormat="1" x14ac:dyDescent="0.3"/>
    <row r="3071" customFormat="1" x14ac:dyDescent="0.3"/>
    <row r="3072" customFormat="1" x14ac:dyDescent="0.3"/>
    <row r="3073" customFormat="1" x14ac:dyDescent="0.3"/>
    <row r="3074" customFormat="1" x14ac:dyDescent="0.3"/>
    <row r="3075" customFormat="1" x14ac:dyDescent="0.3"/>
    <row r="3076" customFormat="1" x14ac:dyDescent="0.3"/>
    <row r="3077" customFormat="1" x14ac:dyDescent="0.3"/>
    <row r="3078" customFormat="1" x14ac:dyDescent="0.3"/>
    <row r="3079" customFormat="1" x14ac:dyDescent="0.3"/>
    <row r="3080" customFormat="1" x14ac:dyDescent="0.3"/>
    <row r="3081" customFormat="1" x14ac:dyDescent="0.3"/>
    <row r="3082" customFormat="1" x14ac:dyDescent="0.3"/>
    <row r="3083" customFormat="1" x14ac:dyDescent="0.3"/>
    <row r="3084" customFormat="1" x14ac:dyDescent="0.3"/>
    <row r="3085" customFormat="1" x14ac:dyDescent="0.3"/>
    <row r="3086" customFormat="1" x14ac:dyDescent="0.3"/>
    <row r="3087" customFormat="1" x14ac:dyDescent="0.3"/>
    <row r="3088" customFormat="1" x14ac:dyDescent="0.3"/>
    <row r="3089" customFormat="1" x14ac:dyDescent="0.3"/>
    <row r="3090" customFormat="1" x14ac:dyDescent="0.3"/>
    <row r="3091" customFormat="1" x14ac:dyDescent="0.3"/>
    <row r="3092" customFormat="1" x14ac:dyDescent="0.3"/>
    <row r="3093" customFormat="1" x14ac:dyDescent="0.3"/>
    <row r="3094" customFormat="1" x14ac:dyDescent="0.3"/>
    <row r="3095" customFormat="1" x14ac:dyDescent="0.3"/>
    <row r="3096" customFormat="1" x14ac:dyDescent="0.3"/>
    <row r="3097" customFormat="1" x14ac:dyDescent="0.3"/>
    <row r="3098" customFormat="1" x14ac:dyDescent="0.3"/>
    <row r="3099" customFormat="1" x14ac:dyDescent="0.3"/>
    <row r="3100" customFormat="1" x14ac:dyDescent="0.3"/>
    <row r="3101" customFormat="1" x14ac:dyDescent="0.3"/>
    <row r="3102" customFormat="1" x14ac:dyDescent="0.3"/>
    <row r="3103" customFormat="1" x14ac:dyDescent="0.3"/>
    <row r="3104" customFormat="1" x14ac:dyDescent="0.3"/>
    <row r="3105" customFormat="1" x14ac:dyDescent="0.3"/>
    <row r="3106" customFormat="1" x14ac:dyDescent="0.3"/>
    <row r="3107" customFormat="1" x14ac:dyDescent="0.3"/>
    <row r="3108" customFormat="1" x14ac:dyDescent="0.3"/>
    <row r="3109" customFormat="1" x14ac:dyDescent="0.3"/>
    <row r="3110" customFormat="1" x14ac:dyDescent="0.3"/>
    <row r="3111" customFormat="1" x14ac:dyDescent="0.3"/>
    <row r="3112" customFormat="1" x14ac:dyDescent="0.3"/>
    <row r="3113" customFormat="1" x14ac:dyDescent="0.3"/>
    <row r="3114" customFormat="1" x14ac:dyDescent="0.3"/>
    <row r="3115" customFormat="1" x14ac:dyDescent="0.3"/>
    <row r="3116" customFormat="1" x14ac:dyDescent="0.3"/>
    <row r="3117" customFormat="1" x14ac:dyDescent="0.3"/>
    <row r="3118" customFormat="1" x14ac:dyDescent="0.3"/>
    <row r="3119" customFormat="1" x14ac:dyDescent="0.3"/>
    <row r="3120" customFormat="1" x14ac:dyDescent="0.3"/>
    <row r="3121" customFormat="1" x14ac:dyDescent="0.3"/>
    <row r="3122" customFormat="1" x14ac:dyDescent="0.3"/>
    <row r="3123" customFormat="1" x14ac:dyDescent="0.3"/>
    <row r="3124" customFormat="1" x14ac:dyDescent="0.3"/>
    <row r="3125" customFormat="1" x14ac:dyDescent="0.3"/>
    <row r="3126" customFormat="1" x14ac:dyDescent="0.3"/>
    <row r="3127" customFormat="1" x14ac:dyDescent="0.3"/>
    <row r="3128" customFormat="1" x14ac:dyDescent="0.3"/>
    <row r="3129" customFormat="1" x14ac:dyDescent="0.3"/>
    <row r="3130" customFormat="1" x14ac:dyDescent="0.3"/>
    <row r="3131" customFormat="1" x14ac:dyDescent="0.3"/>
    <row r="3132" customFormat="1" x14ac:dyDescent="0.3"/>
    <row r="3133" customFormat="1" x14ac:dyDescent="0.3"/>
    <row r="3134" customFormat="1" x14ac:dyDescent="0.3"/>
    <row r="3135" customFormat="1" x14ac:dyDescent="0.3"/>
    <row r="3136" customFormat="1" x14ac:dyDescent="0.3"/>
    <row r="3137" customFormat="1" x14ac:dyDescent="0.3"/>
    <row r="3138" customFormat="1" x14ac:dyDescent="0.3"/>
    <row r="3139" customFormat="1" x14ac:dyDescent="0.3"/>
    <row r="3140" customFormat="1" x14ac:dyDescent="0.3"/>
    <row r="3141" customFormat="1" x14ac:dyDescent="0.3"/>
    <row r="3142" customFormat="1" x14ac:dyDescent="0.3"/>
    <row r="3143" customFormat="1" x14ac:dyDescent="0.3"/>
    <row r="3144" customFormat="1" x14ac:dyDescent="0.3"/>
    <row r="3145" customFormat="1" x14ac:dyDescent="0.3"/>
    <row r="3146" customFormat="1" x14ac:dyDescent="0.3"/>
    <row r="3147" customFormat="1" x14ac:dyDescent="0.3"/>
    <row r="3148" customFormat="1" x14ac:dyDescent="0.3"/>
    <row r="3149" customFormat="1" x14ac:dyDescent="0.3"/>
    <row r="3150" customFormat="1" x14ac:dyDescent="0.3"/>
    <row r="3151" customFormat="1" x14ac:dyDescent="0.3"/>
    <row r="3152" customFormat="1" x14ac:dyDescent="0.3"/>
    <row r="3153" customFormat="1" x14ac:dyDescent="0.3"/>
    <row r="3154" customFormat="1" x14ac:dyDescent="0.3"/>
    <row r="3155" customFormat="1" x14ac:dyDescent="0.3"/>
    <row r="3156" customFormat="1" x14ac:dyDescent="0.3"/>
    <row r="3157" customFormat="1" x14ac:dyDescent="0.3"/>
    <row r="3158" customFormat="1" x14ac:dyDescent="0.3"/>
    <row r="3159" customFormat="1" x14ac:dyDescent="0.3"/>
    <row r="3160" customFormat="1" x14ac:dyDescent="0.3"/>
    <row r="3161" customFormat="1" x14ac:dyDescent="0.3"/>
    <row r="3162" customFormat="1" x14ac:dyDescent="0.3"/>
    <row r="3163" customFormat="1" x14ac:dyDescent="0.3"/>
    <row r="3164" customFormat="1" x14ac:dyDescent="0.3"/>
    <row r="3165" customFormat="1" x14ac:dyDescent="0.3"/>
    <row r="3166" customFormat="1" x14ac:dyDescent="0.3"/>
    <row r="3167" customFormat="1" x14ac:dyDescent="0.3"/>
    <row r="3168" customFormat="1" x14ac:dyDescent="0.3"/>
    <row r="3169" customFormat="1" x14ac:dyDescent="0.3"/>
    <row r="3170" customFormat="1" x14ac:dyDescent="0.3"/>
    <row r="3171" customFormat="1" x14ac:dyDescent="0.3"/>
    <row r="3172" customFormat="1" x14ac:dyDescent="0.3"/>
    <row r="3173" customFormat="1" x14ac:dyDescent="0.3"/>
    <row r="3174" customFormat="1" x14ac:dyDescent="0.3"/>
    <row r="3175" customFormat="1" x14ac:dyDescent="0.3"/>
    <row r="3176" customFormat="1" x14ac:dyDescent="0.3"/>
    <row r="3177" customFormat="1" x14ac:dyDescent="0.3"/>
    <row r="3178" customFormat="1" x14ac:dyDescent="0.3"/>
    <row r="3179" customFormat="1" x14ac:dyDescent="0.3"/>
    <row r="3180" customFormat="1" x14ac:dyDescent="0.3"/>
    <row r="3181" customFormat="1" x14ac:dyDescent="0.3"/>
    <row r="3182" customFormat="1" x14ac:dyDescent="0.3"/>
    <row r="3183" customFormat="1" x14ac:dyDescent="0.3"/>
    <row r="3184" customFormat="1" x14ac:dyDescent="0.3"/>
    <row r="3185" customFormat="1" x14ac:dyDescent="0.3"/>
    <row r="3186" customFormat="1" x14ac:dyDescent="0.3"/>
    <row r="3187" customFormat="1" x14ac:dyDescent="0.3"/>
    <row r="3188" customFormat="1" x14ac:dyDescent="0.3"/>
    <row r="3189" customFormat="1" x14ac:dyDescent="0.3"/>
    <row r="3190" customFormat="1" x14ac:dyDescent="0.3"/>
    <row r="3191" customFormat="1" x14ac:dyDescent="0.3"/>
    <row r="3192" customFormat="1" x14ac:dyDescent="0.3"/>
    <row r="3193" customFormat="1" x14ac:dyDescent="0.3"/>
    <row r="3194" customFormat="1" x14ac:dyDescent="0.3"/>
    <row r="3195" customFormat="1" x14ac:dyDescent="0.3"/>
    <row r="3196" customFormat="1" x14ac:dyDescent="0.3"/>
    <row r="3197" customFormat="1" x14ac:dyDescent="0.3"/>
    <row r="3198" customFormat="1" x14ac:dyDescent="0.3"/>
    <row r="3199" customFormat="1" x14ac:dyDescent="0.3"/>
    <row r="3200" customFormat="1" x14ac:dyDescent="0.3"/>
    <row r="3201" customFormat="1" x14ac:dyDescent="0.3"/>
    <row r="3202" customFormat="1" x14ac:dyDescent="0.3"/>
    <row r="3203" customFormat="1" x14ac:dyDescent="0.3"/>
    <row r="3204" customFormat="1" x14ac:dyDescent="0.3"/>
    <row r="3205" customFormat="1" x14ac:dyDescent="0.3"/>
    <row r="3206" customFormat="1" x14ac:dyDescent="0.3"/>
    <row r="3207" customFormat="1" x14ac:dyDescent="0.3"/>
    <row r="3208" customFormat="1" x14ac:dyDescent="0.3"/>
    <row r="3209" customFormat="1" x14ac:dyDescent="0.3"/>
    <row r="3210" customFormat="1" x14ac:dyDescent="0.3"/>
    <row r="3211" customFormat="1" x14ac:dyDescent="0.3"/>
    <row r="3212" customFormat="1" x14ac:dyDescent="0.3"/>
    <row r="3213" customFormat="1" x14ac:dyDescent="0.3"/>
    <row r="3214" customFormat="1" x14ac:dyDescent="0.3"/>
    <row r="3215" customFormat="1" x14ac:dyDescent="0.3"/>
    <row r="3216" customFormat="1" x14ac:dyDescent="0.3"/>
    <row r="3217" customFormat="1" x14ac:dyDescent="0.3"/>
    <row r="3218" customFormat="1" x14ac:dyDescent="0.3"/>
    <row r="3219" customFormat="1" x14ac:dyDescent="0.3"/>
    <row r="3220" customFormat="1" x14ac:dyDescent="0.3"/>
    <row r="3221" customFormat="1" x14ac:dyDescent="0.3"/>
    <row r="3222" customFormat="1" x14ac:dyDescent="0.3"/>
    <row r="3223" customFormat="1" x14ac:dyDescent="0.3"/>
    <row r="3224" customFormat="1" x14ac:dyDescent="0.3"/>
    <row r="3225" customFormat="1" x14ac:dyDescent="0.3"/>
    <row r="3226" customFormat="1" x14ac:dyDescent="0.3"/>
    <row r="3227" customFormat="1" x14ac:dyDescent="0.3"/>
    <row r="3228" customFormat="1" x14ac:dyDescent="0.3"/>
    <row r="3229" customFormat="1" x14ac:dyDescent="0.3"/>
    <row r="3230" customFormat="1" x14ac:dyDescent="0.3"/>
    <row r="3231" customFormat="1" x14ac:dyDescent="0.3"/>
    <row r="3232" customFormat="1" x14ac:dyDescent="0.3"/>
    <row r="3233" customFormat="1" x14ac:dyDescent="0.3"/>
    <row r="3234" customFormat="1" x14ac:dyDescent="0.3"/>
    <row r="3235" customFormat="1" x14ac:dyDescent="0.3"/>
    <row r="3236" customFormat="1" x14ac:dyDescent="0.3"/>
    <row r="3237" customFormat="1" x14ac:dyDescent="0.3"/>
    <row r="3238" customFormat="1" x14ac:dyDescent="0.3"/>
    <row r="3239" customFormat="1" x14ac:dyDescent="0.3"/>
    <row r="3240" customFormat="1" x14ac:dyDescent="0.3"/>
    <row r="3241" customFormat="1" x14ac:dyDescent="0.3"/>
    <row r="3242" customFormat="1" x14ac:dyDescent="0.3"/>
    <row r="3243" customFormat="1" x14ac:dyDescent="0.3"/>
    <row r="3244" customFormat="1" x14ac:dyDescent="0.3"/>
    <row r="3245" customFormat="1" x14ac:dyDescent="0.3"/>
    <row r="3246" customFormat="1" x14ac:dyDescent="0.3"/>
    <row r="3247" customFormat="1" x14ac:dyDescent="0.3"/>
    <row r="3248" customFormat="1" x14ac:dyDescent="0.3"/>
    <row r="3249" customFormat="1" x14ac:dyDescent="0.3"/>
    <row r="3250" customFormat="1" x14ac:dyDescent="0.3"/>
    <row r="3251" customFormat="1" x14ac:dyDescent="0.3"/>
    <row r="3252" customFormat="1" x14ac:dyDescent="0.3"/>
    <row r="3253" customFormat="1" x14ac:dyDescent="0.3"/>
    <row r="3254" customFormat="1" x14ac:dyDescent="0.3"/>
    <row r="3255" customFormat="1" x14ac:dyDescent="0.3"/>
    <row r="3256" customFormat="1" x14ac:dyDescent="0.3"/>
    <row r="3257" customFormat="1" x14ac:dyDescent="0.3"/>
    <row r="3258" customFormat="1" x14ac:dyDescent="0.3"/>
    <row r="3259" customFormat="1" x14ac:dyDescent="0.3"/>
    <row r="3260" customFormat="1" x14ac:dyDescent="0.3"/>
    <row r="3261" customFormat="1" x14ac:dyDescent="0.3"/>
    <row r="3262" customFormat="1" x14ac:dyDescent="0.3"/>
    <row r="3263" customFormat="1" x14ac:dyDescent="0.3"/>
    <row r="3264" customFormat="1" x14ac:dyDescent="0.3"/>
    <row r="3265" customFormat="1" x14ac:dyDescent="0.3"/>
    <row r="3266" customFormat="1" x14ac:dyDescent="0.3"/>
    <row r="3267" customFormat="1" x14ac:dyDescent="0.3"/>
    <row r="3268" customFormat="1" x14ac:dyDescent="0.3"/>
    <row r="3269" customFormat="1" x14ac:dyDescent="0.3"/>
    <row r="3270" customFormat="1" x14ac:dyDescent="0.3"/>
    <row r="3271" customFormat="1" x14ac:dyDescent="0.3"/>
    <row r="3272" customFormat="1" x14ac:dyDescent="0.3"/>
    <row r="3273" customFormat="1" x14ac:dyDescent="0.3"/>
    <row r="3274" customFormat="1" x14ac:dyDescent="0.3"/>
    <row r="3275" customFormat="1" x14ac:dyDescent="0.3"/>
    <row r="3276" customFormat="1" x14ac:dyDescent="0.3"/>
    <row r="3277" customFormat="1" x14ac:dyDescent="0.3"/>
    <row r="3278" customFormat="1" x14ac:dyDescent="0.3"/>
    <row r="3279" customFormat="1" x14ac:dyDescent="0.3"/>
    <row r="3280" customFormat="1" x14ac:dyDescent="0.3"/>
    <row r="3281" customFormat="1" x14ac:dyDescent="0.3"/>
    <row r="3282" customFormat="1" x14ac:dyDescent="0.3"/>
    <row r="3283" customFormat="1" x14ac:dyDescent="0.3"/>
    <row r="3284" customFormat="1" x14ac:dyDescent="0.3"/>
    <row r="3285" customFormat="1" x14ac:dyDescent="0.3"/>
    <row r="3286" customFormat="1" x14ac:dyDescent="0.3"/>
    <row r="3287" customFormat="1" x14ac:dyDescent="0.3"/>
    <row r="3288" customFormat="1" x14ac:dyDescent="0.3"/>
    <row r="3289" customFormat="1" x14ac:dyDescent="0.3"/>
    <row r="3290" customFormat="1" x14ac:dyDescent="0.3"/>
    <row r="3291" customFormat="1" x14ac:dyDescent="0.3"/>
    <row r="3292" customFormat="1" x14ac:dyDescent="0.3"/>
    <row r="3293" customFormat="1" x14ac:dyDescent="0.3"/>
    <row r="3294" customFormat="1" x14ac:dyDescent="0.3"/>
    <row r="3295" customFormat="1" x14ac:dyDescent="0.3"/>
    <row r="3296" customFormat="1" x14ac:dyDescent="0.3"/>
    <row r="3297" customFormat="1" x14ac:dyDescent="0.3"/>
    <row r="3298" customFormat="1" x14ac:dyDescent="0.3"/>
    <row r="3299" customFormat="1" x14ac:dyDescent="0.3"/>
    <row r="3300" customFormat="1" x14ac:dyDescent="0.3"/>
    <row r="3301" customFormat="1" x14ac:dyDescent="0.3"/>
    <row r="3302" customFormat="1" x14ac:dyDescent="0.3"/>
    <row r="3303" customFormat="1" x14ac:dyDescent="0.3"/>
    <row r="3304" customFormat="1" x14ac:dyDescent="0.3"/>
    <row r="3305" customFormat="1" x14ac:dyDescent="0.3"/>
    <row r="3306" customFormat="1" x14ac:dyDescent="0.3"/>
    <row r="3307" customFormat="1" x14ac:dyDescent="0.3"/>
    <row r="3308" customFormat="1" x14ac:dyDescent="0.3"/>
    <row r="3309" customFormat="1" x14ac:dyDescent="0.3"/>
    <row r="3310" customFormat="1" x14ac:dyDescent="0.3"/>
    <row r="3311" customFormat="1" x14ac:dyDescent="0.3"/>
    <row r="3312" customFormat="1" x14ac:dyDescent="0.3"/>
    <row r="3313" customFormat="1" x14ac:dyDescent="0.3"/>
    <row r="3314" customFormat="1" x14ac:dyDescent="0.3"/>
    <row r="3315" customFormat="1" x14ac:dyDescent="0.3"/>
    <row r="3316" customFormat="1" x14ac:dyDescent="0.3"/>
    <row r="3317" customFormat="1" x14ac:dyDescent="0.3"/>
    <row r="3318" customFormat="1" x14ac:dyDescent="0.3"/>
    <row r="3319" customFormat="1" x14ac:dyDescent="0.3"/>
    <row r="3320" customFormat="1" x14ac:dyDescent="0.3"/>
    <row r="3321" customFormat="1" x14ac:dyDescent="0.3"/>
    <row r="3322" customFormat="1" x14ac:dyDescent="0.3"/>
    <row r="3323" customFormat="1" x14ac:dyDescent="0.3"/>
    <row r="3324" customFormat="1" x14ac:dyDescent="0.3"/>
    <row r="3325" customFormat="1" x14ac:dyDescent="0.3"/>
    <row r="3326" customFormat="1" x14ac:dyDescent="0.3"/>
    <row r="3327" customFormat="1" x14ac:dyDescent="0.3"/>
    <row r="3328" customFormat="1" x14ac:dyDescent="0.3"/>
    <row r="3329" customFormat="1" x14ac:dyDescent="0.3"/>
    <row r="3330" customFormat="1" x14ac:dyDescent="0.3"/>
    <row r="3331" customFormat="1" x14ac:dyDescent="0.3"/>
    <row r="3332" customFormat="1" x14ac:dyDescent="0.3"/>
    <row r="3333" customFormat="1" x14ac:dyDescent="0.3"/>
    <row r="3334" customFormat="1" x14ac:dyDescent="0.3"/>
    <row r="3335" customFormat="1" x14ac:dyDescent="0.3"/>
    <row r="3336" customFormat="1" x14ac:dyDescent="0.3"/>
    <row r="3337" customFormat="1" x14ac:dyDescent="0.3"/>
    <row r="3338" customFormat="1" x14ac:dyDescent="0.3"/>
    <row r="3339" customFormat="1" x14ac:dyDescent="0.3"/>
    <row r="3340" customFormat="1" x14ac:dyDescent="0.3"/>
    <row r="3341" customFormat="1" x14ac:dyDescent="0.3"/>
    <row r="3342" customFormat="1" x14ac:dyDescent="0.3"/>
    <row r="3343" customFormat="1" x14ac:dyDescent="0.3"/>
    <row r="3344" customFormat="1" x14ac:dyDescent="0.3"/>
    <row r="3345" customFormat="1" x14ac:dyDescent="0.3"/>
    <row r="3346" customFormat="1" x14ac:dyDescent="0.3"/>
    <row r="3347" customFormat="1" x14ac:dyDescent="0.3"/>
    <row r="3348" customFormat="1" x14ac:dyDescent="0.3"/>
    <row r="3349" customFormat="1" x14ac:dyDescent="0.3"/>
    <row r="3350" customFormat="1" x14ac:dyDescent="0.3"/>
    <row r="3351" customFormat="1" x14ac:dyDescent="0.3"/>
    <row r="3352" customFormat="1" x14ac:dyDescent="0.3"/>
    <row r="3353" customFormat="1" x14ac:dyDescent="0.3"/>
    <row r="3354" customFormat="1" x14ac:dyDescent="0.3"/>
    <row r="3355" customFormat="1" x14ac:dyDescent="0.3"/>
    <row r="3356" customFormat="1" x14ac:dyDescent="0.3"/>
    <row r="3357" customFormat="1" x14ac:dyDescent="0.3"/>
    <row r="3358" customFormat="1" x14ac:dyDescent="0.3"/>
    <row r="3359" customFormat="1" x14ac:dyDescent="0.3"/>
    <row r="3360" customFormat="1" x14ac:dyDescent="0.3"/>
    <row r="3361" customFormat="1" x14ac:dyDescent="0.3"/>
    <row r="3362" customFormat="1" x14ac:dyDescent="0.3"/>
    <row r="3363" customFormat="1" x14ac:dyDescent="0.3"/>
    <row r="3364" customFormat="1" x14ac:dyDescent="0.3"/>
    <row r="3365" customFormat="1" x14ac:dyDescent="0.3"/>
    <row r="3366" customFormat="1" x14ac:dyDescent="0.3"/>
    <row r="3367" customFormat="1" x14ac:dyDescent="0.3"/>
    <row r="3368" customFormat="1" x14ac:dyDescent="0.3"/>
    <row r="3369" customFormat="1" x14ac:dyDescent="0.3"/>
    <row r="3370" customFormat="1" x14ac:dyDescent="0.3"/>
    <row r="3371" customFormat="1" x14ac:dyDescent="0.3"/>
    <row r="3372" customFormat="1" x14ac:dyDescent="0.3"/>
    <row r="3373" customFormat="1" x14ac:dyDescent="0.3"/>
    <row r="3374" customFormat="1" x14ac:dyDescent="0.3"/>
    <row r="3375" customFormat="1" x14ac:dyDescent="0.3"/>
    <row r="3376" customFormat="1" x14ac:dyDescent="0.3"/>
    <row r="3377" customFormat="1" x14ac:dyDescent="0.3"/>
    <row r="3378" customFormat="1" x14ac:dyDescent="0.3"/>
    <row r="3379" customFormat="1" x14ac:dyDescent="0.3"/>
    <row r="3380" customFormat="1" x14ac:dyDescent="0.3"/>
    <row r="3381" customFormat="1" x14ac:dyDescent="0.3"/>
    <row r="3382" customFormat="1" x14ac:dyDescent="0.3"/>
    <row r="3383" customFormat="1" x14ac:dyDescent="0.3"/>
    <row r="3384" customFormat="1" x14ac:dyDescent="0.3"/>
    <row r="3385" customFormat="1" x14ac:dyDescent="0.3"/>
    <row r="3386" customFormat="1" x14ac:dyDescent="0.3"/>
    <row r="3387" customFormat="1" x14ac:dyDescent="0.3"/>
    <row r="3388" customFormat="1" x14ac:dyDescent="0.3"/>
    <row r="3389" customFormat="1" x14ac:dyDescent="0.3"/>
    <row r="3390" customFormat="1" x14ac:dyDescent="0.3"/>
    <row r="3391" customFormat="1" x14ac:dyDescent="0.3"/>
    <row r="3392" customFormat="1" x14ac:dyDescent="0.3"/>
    <row r="3393" customFormat="1" x14ac:dyDescent="0.3"/>
    <row r="3394" customFormat="1" x14ac:dyDescent="0.3"/>
    <row r="3395" customFormat="1" x14ac:dyDescent="0.3"/>
    <row r="3396" customFormat="1" x14ac:dyDescent="0.3"/>
    <row r="3397" customFormat="1" x14ac:dyDescent="0.3"/>
    <row r="3398" customFormat="1" x14ac:dyDescent="0.3"/>
    <row r="3399" customFormat="1" x14ac:dyDescent="0.3"/>
    <row r="3400" customFormat="1" x14ac:dyDescent="0.3"/>
    <row r="3401" customFormat="1" x14ac:dyDescent="0.3"/>
    <row r="3402" customFormat="1" x14ac:dyDescent="0.3"/>
    <row r="3403" customFormat="1" x14ac:dyDescent="0.3"/>
    <row r="3404" customFormat="1" x14ac:dyDescent="0.3"/>
    <row r="3405" customFormat="1" x14ac:dyDescent="0.3"/>
    <row r="3406" customFormat="1" x14ac:dyDescent="0.3"/>
    <row r="3407" customFormat="1" x14ac:dyDescent="0.3"/>
    <row r="3408" customFormat="1" x14ac:dyDescent="0.3"/>
    <row r="3409" customFormat="1" x14ac:dyDescent="0.3"/>
    <row r="3410" customFormat="1" x14ac:dyDescent="0.3"/>
    <row r="3411" customFormat="1" x14ac:dyDescent="0.3"/>
    <row r="3412" customFormat="1" x14ac:dyDescent="0.3"/>
    <row r="3413" customFormat="1" x14ac:dyDescent="0.3"/>
    <row r="3414" customFormat="1" x14ac:dyDescent="0.3"/>
    <row r="3415" customFormat="1" x14ac:dyDescent="0.3"/>
    <row r="3416" customFormat="1" x14ac:dyDescent="0.3"/>
    <row r="3417" customFormat="1" x14ac:dyDescent="0.3"/>
    <row r="3418" customFormat="1" x14ac:dyDescent="0.3"/>
    <row r="3419" customFormat="1" x14ac:dyDescent="0.3"/>
    <row r="3420" customFormat="1" x14ac:dyDescent="0.3"/>
    <row r="3421" customFormat="1" x14ac:dyDescent="0.3"/>
    <row r="3422" customFormat="1" x14ac:dyDescent="0.3"/>
    <row r="3423" customFormat="1" x14ac:dyDescent="0.3"/>
    <row r="3424" customFormat="1" x14ac:dyDescent="0.3"/>
    <row r="3425" customFormat="1" x14ac:dyDescent="0.3"/>
    <row r="3426" customFormat="1" x14ac:dyDescent="0.3"/>
    <row r="3427" customFormat="1" x14ac:dyDescent="0.3"/>
    <row r="3428" customFormat="1" x14ac:dyDescent="0.3"/>
    <row r="3429" customFormat="1" x14ac:dyDescent="0.3"/>
    <row r="3430" customFormat="1" x14ac:dyDescent="0.3"/>
    <row r="3431" customFormat="1" x14ac:dyDescent="0.3"/>
    <row r="3432" customFormat="1" x14ac:dyDescent="0.3"/>
    <row r="3433" customFormat="1" x14ac:dyDescent="0.3"/>
    <row r="3434" customFormat="1" x14ac:dyDescent="0.3"/>
    <row r="3435" customFormat="1" x14ac:dyDescent="0.3"/>
    <row r="3436" customFormat="1" x14ac:dyDescent="0.3"/>
    <row r="3437" customFormat="1" x14ac:dyDescent="0.3"/>
    <row r="3438" customFormat="1" x14ac:dyDescent="0.3"/>
    <row r="3439" customFormat="1" x14ac:dyDescent="0.3"/>
    <row r="3440" customFormat="1" x14ac:dyDescent="0.3"/>
    <row r="3441" customFormat="1" x14ac:dyDescent="0.3"/>
    <row r="3442" customFormat="1" x14ac:dyDescent="0.3"/>
    <row r="3443" customFormat="1" x14ac:dyDescent="0.3"/>
    <row r="3444" customFormat="1" x14ac:dyDescent="0.3"/>
    <row r="3445" customFormat="1" x14ac:dyDescent="0.3"/>
    <row r="3446" customFormat="1" x14ac:dyDescent="0.3"/>
    <row r="3447" customFormat="1" x14ac:dyDescent="0.3"/>
    <row r="3448" customFormat="1" x14ac:dyDescent="0.3"/>
    <row r="3449" customFormat="1" x14ac:dyDescent="0.3"/>
    <row r="3450" customFormat="1" x14ac:dyDescent="0.3"/>
    <row r="3451" customFormat="1" x14ac:dyDescent="0.3"/>
    <row r="3452" customFormat="1" x14ac:dyDescent="0.3"/>
    <row r="3453" customFormat="1" x14ac:dyDescent="0.3"/>
    <row r="3454" customFormat="1" x14ac:dyDescent="0.3"/>
    <row r="3455" customFormat="1" x14ac:dyDescent="0.3"/>
    <row r="3456" customFormat="1" x14ac:dyDescent="0.3"/>
    <row r="3457" customFormat="1" x14ac:dyDescent="0.3"/>
    <row r="3458" customFormat="1" x14ac:dyDescent="0.3"/>
    <row r="3459" customFormat="1" x14ac:dyDescent="0.3"/>
    <row r="3460" customFormat="1" x14ac:dyDescent="0.3"/>
    <row r="3461" customFormat="1" x14ac:dyDescent="0.3"/>
    <row r="3462" customFormat="1" x14ac:dyDescent="0.3"/>
    <row r="3463" customFormat="1" x14ac:dyDescent="0.3"/>
    <row r="3464" customFormat="1" x14ac:dyDescent="0.3"/>
    <row r="3465" customFormat="1" x14ac:dyDescent="0.3"/>
    <row r="3466" customFormat="1" x14ac:dyDescent="0.3"/>
    <row r="3467" customFormat="1" x14ac:dyDescent="0.3"/>
    <row r="3468" customFormat="1" x14ac:dyDescent="0.3"/>
    <row r="3469" customFormat="1" x14ac:dyDescent="0.3"/>
    <row r="3470" customFormat="1" x14ac:dyDescent="0.3"/>
    <row r="3471" customFormat="1" x14ac:dyDescent="0.3"/>
    <row r="3472" customFormat="1" x14ac:dyDescent="0.3"/>
    <row r="3473" customFormat="1" x14ac:dyDescent="0.3"/>
    <row r="3474" customFormat="1" x14ac:dyDescent="0.3"/>
    <row r="3475" customFormat="1" x14ac:dyDescent="0.3"/>
    <row r="3476" customFormat="1" x14ac:dyDescent="0.3"/>
    <row r="3477" customFormat="1" x14ac:dyDescent="0.3"/>
    <row r="3478" customFormat="1" x14ac:dyDescent="0.3"/>
    <row r="3479" customFormat="1" x14ac:dyDescent="0.3"/>
    <row r="3480" customFormat="1" x14ac:dyDescent="0.3"/>
    <row r="3481" customFormat="1" x14ac:dyDescent="0.3"/>
    <row r="3482" customFormat="1" x14ac:dyDescent="0.3"/>
    <row r="3483" customFormat="1" x14ac:dyDescent="0.3"/>
    <row r="3484" customFormat="1" x14ac:dyDescent="0.3"/>
    <row r="3485" customFormat="1" x14ac:dyDescent="0.3"/>
    <row r="3486" customFormat="1" x14ac:dyDescent="0.3"/>
    <row r="3487" customFormat="1" x14ac:dyDescent="0.3"/>
    <row r="3488" customFormat="1" x14ac:dyDescent="0.3"/>
    <row r="3489" customFormat="1" x14ac:dyDescent="0.3"/>
    <row r="3490" customFormat="1" x14ac:dyDescent="0.3"/>
    <row r="3491" customFormat="1" x14ac:dyDescent="0.3"/>
    <row r="3492" customFormat="1" x14ac:dyDescent="0.3"/>
    <row r="3493" customFormat="1" x14ac:dyDescent="0.3"/>
    <row r="3494" customFormat="1" x14ac:dyDescent="0.3"/>
    <row r="3495" customFormat="1" x14ac:dyDescent="0.3"/>
    <row r="3496" customFormat="1" x14ac:dyDescent="0.3"/>
    <row r="3497" customFormat="1" x14ac:dyDescent="0.3"/>
    <row r="3498" customFormat="1" x14ac:dyDescent="0.3"/>
    <row r="3499" customFormat="1" x14ac:dyDescent="0.3"/>
    <row r="3500" customFormat="1" x14ac:dyDescent="0.3"/>
    <row r="3501" customFormat="1" x14ac:dyDescent="0.3"/>
    <row r="3502" customFormat="1" x14ac:dyDescent="0.3"/>
    <row r="3503" customFormat="1" x14ac:dyDescent="0.3"/>
    <row r="3504" customFormat="1" x14ac:dyDescent="0.3"/>
    <row r="3505" customFormat="1" x14ac:dyDescent="0.3"/>
    <row r="3506" customFormat="1" x14ac:dyDescent="0.3"/>
    <row r="3507" customFormat="1" x14ac:dyDescent="0.3"/>
    <row r="3508" customFormat="1" x14ac:dyDescent="0.3"/>
    <row r="3509" customFormat="1" x14ac:dyDescent="0.3"/>
    <row r="3510" customFormat="1" x14ac:dyDescent="0.3"/>
    <row r="3511" customFormat="1" x14ac:dyDescent="0.3"/>
    <row r="3512" customFormat="1" x14ac:dyDescent="0.3"/>
    <row r="3513" customFormat="1" x14ac:dyDescent="0.3"/>
    <row r="3514" customFormat="1" x14ac:dyDescent="0.3"/>
    <row r="3515" customFormat="1" x14ac:dyDescent="0.3"/>
    <row r="3516" customFormat="1" x14ac:dyDescent="0.3"/>
    <row r="3517" customFormat="1" x14ac:dyDescent="0.3"/>
    <row r="3518" customFormat="1" x14ac:dyDescent="0.3"/>
    <row r="3519" customFormat="1" x14ac:dyDescent="0.3"/>
    <row r="3520" customFormat="1" x14ac:dyDescent="0.3"/>
    <row r="3521" customFormat="1" x14ac:dyDescent="0.3"/>
    <row r="3522" customFormat="1" x14ac:dyDescent="0.3"/>
    <row r="3523" customFormat="1" x14ac:dyDescent="0.3"/>
    <row r="3524" customFormat="1" x14ac:dyDescent="0.3"/>
    <row r="3525" customFormat="1" x14ac:dyDescent="0.3"/>
    <row r="3526" customFormat="1" x14ac:dyDescent="0.3"/>
    <row r="3527" customFormat="1" x14ac:dyDescent="0.3"/>
    <row r="3528" customFormat="1" x14ac:dyDescent="0.3"/>
    <row r="3529" customFormat="1" x14ac:dyDescent="0.3"/>
    <row r="3530" customFormat="1" x14ac:dyDescent="0.3"/>
    <row r="3531" customFormat="1" x14ac:dyDescent="0.3"/>
    <row r="3532" customFormat="1" x14ac:dyDescent="0.3"/>
    <row r="3533" customFormat="1" x14ac:dyDescent="0.3"/>
    <row r="3534" customFormat="1" x14ac:dyDescent="0.3"/>
    <row r="3535" customFormat="1" x14ac:dyDescent="0.3"/>
    <row r="3536" customFormat="1" x14ac:dyDescent="0.3"/>
    <row r="3537" customFormat="1" x14ac:dyDescent="0.3"/>
    <row r="3538" customFormat="1" x14ac:dyDescent="0.3"/>
    <row r="3539" customFormat="1" x14ac:dyDescent="0.3"/>
    <row r="3540" customFormat="1" x14ac:dyDescent="0.3"/>
    <row r="3541" customFormat="1" x14ac:dyDescent="0.3"/>
    <row r="3542" customFormat="1" x14ac:dyDescent="0.3"/>
    <row r="3543" customFormat="1" x14ac:dyDescent="0.3"/>
    <row r="3544" customFormat="1" x14ac:dyDescent="0.3"/>
    <row r="3545" customFormat="1" x14ac:dyDescent="0.3"/>
    <row r="3546" customFormat="1" x14ac:dyDescent="0.3"/>
    <row r="3547" customFormat="1" x14ac:dyDescent="0.3"/>
    <row r="3548" customFormat="1" x14ac:dyDescent="0.3"/>
    <row r="3549" customFormat="1" x14ac:dyDescent="0.3"/>
    <row r="3550" customFormat="1" x14ac:dyDescent="0.3"/>
    <row r="3551" customFormat="1" x14ac:dyDescent="0.3"/>
    <row r="3552" customFormat="1" x14ac:dyDescent="0.3"/>
    <row r="3553" customFormat="1" x14ac:dyDescent="0.3"/>
    <row r="3554" customFormat="1" x14ac:dyDescent="0.3"/>
    <row r="3555" customFormat="1" x14ac:dyDescent="0.3"/>
    <row r="3556" customFormat="1" x14ac:dyDescent="0.3"/>
    <row r="3557" customFormat="1" x14ac:dyDescent="0.3"/>
    <row r="3558" customFormat="1" x14ac:dyDescent="0.3"/>
    <row r="3559" customFormat="1" x14ac:dyDescent="0.3"/>
    <row r="3560" customFormat="1" x14ac:dyDescent="0.3"/>
    <row r="3561" customFormat="1" x14ac:dyDescent="0.3"/>
    <row r="3562" customFormat="1" x14ac:dyDescent="0.3"/>
    <row r="3563" customFormat="1" x14ac:dyDescent="0.3"/>
    <row r="3564" customFormat="1" x14ac:dyDescent="0.3"/>
    <row r="3565" customFormat="1" x14ac:dyDescent="0.3"/>
    <row r="3566" customFormat="1" x14ac:dyDescent="0.3"/>
    <row r="3567" customFormat="1" x14ac:dyDescent="0.3"/>
    <row r="3568" customFormat="1" x14ac:dyDescent="0.3"/>
    <row r="3569" customFormat="1" x14ac:dyDescent="0.3"/>
    <row r="3570" customFormat="1" x14ac:dyDescent="0.3"/>
    <row r="3571" customFormat="1" x14ac:dyDescent="0.3"/>
    <row r="3572" customFormat="1" x14ac:dyDescent="0.3"/>
    <row r="3573" customFormat="1" x14ac:dyDescent="0.3"/>
    <row r="3574" customFormat="1" x14ac:dyDescent="0.3"/>
    <row r="3575" customFormat="1" x14ac:dyDescent="0.3"/>
    <row r="3576" customFormat="1" x14ac:dyDescent="0.3"/>
    <row r="3577" customFormat="1" x14ac:dyDescent="0.3"/>
    <row r="3578" customFormat="1" x14ac:dyDescent="0.3"/>
    <row r="3579" customFormat="1" x14ac:dyDescent="0.3"/>
    <row r="3580" customFormat="1" x14ac:dyDescent="0.3"/>
    <row r="3581" customFormat="1" x14ac:dyDescent="0.3"/>
    <row r="3582" customFormat="1" x14ac:dyDescent="0.3"/>
    <row r="3583" customFormat="1" x14ac:dyDescent="0.3"/>
    <row r="3584" customFormat="1" x14ac:dyDescent="0.3"/>
    <row r="3585" customFormat="1" x14ac:dyDescent="0.3"/>
    <row r="3586" customFormat="1" x14ac:dyDescent="0.3"/>
    <row r="3587" customFormat="1" x14ac:dyDescent="0.3"/>
    <row r="3588" customFormat="1" x14ac:dyDescent="0.3"/>
    <row r="3589" customFormat="1" x14ac:dyDescent="0.3"/>
    <row r="3590" customFormat="1" x14ac:dyDescent="0.3"/>
    <row r="3591" customFormat="1" x14ac:dyDescent="0.3"/>
    <row r="3592" customFormat="1" x14ac:dyDescent="0.3"/>
    <row r="3593" customFormat="1" x14ac:dyDescent="0.3"/>
    <row r="3594" customFormat="1" x14ac:dyDescent="0.3"/>
    <row r="3595" customFormat="1" x14ac:dyDescent="0.3"/>
    <row r="3596" customFormat="1" x14ac:dyDescent="0.3"/>
    <row r="3597" customFormat="1" x14ac:dyDescent="0.3"/>
    <row r="3598" customFormat="1" x14ac:dyDescent="0.3"/>
    <row r="3599" customFormat="1" x14ac:dyDescent="0.3"/>
    <row r="3600" customFormat="1" x14ac:dyDescent="0.3"/>
    <row r="3601" customFormat="1" x14ac:dyDescent="0.3"/>
    <row r="3602" customFormat="1" x14ac:dyDescent="0.3"/>
    <row r="3603" customFormat="1" x14ac:dyDescent="0.3"/>
    <row r="3604" customFormat="1" x14ac:dyDescent="0.3"/>
    <row r="3605" customFormat="1" x14ac:dyDescent="0.3"/>
    <row r="3606" customFormat="1" x14ac:dyDescent="0.3"/>
    <row r="3607" customFormat="1" x14ac:dyDescent="0.3"/>
    <row r="3608" customFormat="1" x14ac:dyDescent="0.3"/>
    <row r="3609" customFormat="1" x14ac:dyDescent="0.3"/>
    <row r="3610" customFormat="1" x14ac:dyDescent="0.3"/>
    <row r="3611" customFormat="1" x14ac:dyDescent="0.3"/>
    <row r="3612" customFormat="1" x14ac:dyDescent="0.3"/>
    <row r="3613" customFormat="1" x14ac:dyDescent="0.3"/>
    <row r="3614" customFormat="1" x14ac:dyDescent="0.3"/>
    <row r="3615" customFormat="1" x14ac:dyDescent="0.3"/>
    <row r="3616" customFormat="1" x14ac:dyDescent="0.3"/>
    <row r="3617" customFormat="1" x14ac:dyDescent="0.3"/>
    <row r="3618" customFormat="1" x14ac:dyDescent="0.3"/>
    <row r="3619" customFormat="1" x14ac:dyDescent="0.3"/>
    <row r="3620" customFormat="1" x14ac:dyDescent="0.3"/>
    <row r="3621" customFormat="1" x14ac:dyDescent="0.3"/>
    <row r="3622" customFormat="1" x14ac:dyDescent="0.3"/>
    <row r="3623" customFormat="1" x14ac:dyDescent="0.3"/>
    <row r="3624" customFormat="1" x14ac:dyDescent="0.3"/>
    <row r="3625" customFormat="1" x14ac:dyDescent="0.3"/>
    <row r="3626" customFormat="1" x14ac:dyDescent="0.3"/>
    <row r="3627" customFormat="1" x14ac:dyDescent="0.3"/>
    <row r="3628" customFormat="1" x14ac:dyDescent="0.3"/>
    <row r="3629" customFormat="1" x14ac:dyDescent="0.3"/>
    <row r="3630" customFormat="1" x14ac:dyDescent="0.3"/>
    <row r="3631" customFormat="1" x14ac:dyDescent="0.3"/>
    <row r="3632" customFormat="1" x14ac:dyDescent="0.3"/>
    <row r="3633" customFormat="1" x14ac:dyDescent="0.3"/>
    <row r="3634" customFormat="1" x14ac:dyDescent="0.3"/>
    <row r="3635" customFormat="1" x14ac:dyDescent="0.3"/>
    <row r="3636" customFormat="1" x14ac:dyDescent="0.3"/>
    <row r="3637" customFormat="1" x14ac:dyDescent="0.3"/>
    <row r="3638" customFormat="1" x14ac:dyDescent="0.3"/>
    <row r="3639" customFormat="1" x14ac:dyDescent="0.3"/>
    <row r="3640" customFormat="1" x14ac:dyDescent="0.3"/>
    <row r="3641" customFormat="1" x14ac:dyDescent="0.3"/>
    <row r="3642" customFormat="1" x14ac:dyDescent="0.3"/>
    <row r="3643" customFormat="1" x14ac:dyDescent="0.3"/>
    <row r="3644" customFormat="1" x14ac:dyDescent="0.3"/>
    <row r="3645" customFormat="1" x14ac:dyDescent="0.3"/>
    <row r="3646" customFormat="1" x14ac:dyDescent="0.3"/>
    <row r="3647" customFormat="1" x14ac:dyDescent="0.3"/>
    <row r="3648" customFormat="1" x14ac:dyDescent="0.3"/>
    <row r="3649" customFormat="1" x14ac:dyDescent="0.3"/>
    <row r="3650" customFormat="1" x14ac:dyDescent="0.3"/>
    <row r="3651" customFormat="1" x14ac:dyDescent="0.3"/>
    <row r="3652" customFormat="1" x14ac:dyDescent="0.3"/>
    <row r="3653" customFormat="1" x14ac:dyDescent="0.3"/>
    <row r="3654" customFormat="1" x14ac:dyDescent="0.3"/>
    <row r="3655" customFormat="1" x14ac:dyDescent="0.3"/>
    <row r="3656" customFormat="1" x14ac:dyDescent="0.3"/>
    <row r="3657" customFormat="1" x14ac:dyDescent="0.3"/>
    <row r="3658" customFormat="1" x14ac:dyDescent="0.3"/>
    <row r="3659" customFormat="1" x14ac:dyDescent="0.3"/>
    <row r="3660" customFormat="1" x14ac:dyDescent="0.3"/>
    <row r="3661" customFormat="1" x14ac:dyDescent="0.3"/>
    <row r="3662" customFormat="1" x14ac:dyDescent="0.3"/>
    <row r="3663" customFormat="1" x14ac:dyDescent="0.3"/>
    <row r="3664" customFormat="1" x14ac:dyDescent="0.3"/>
    <row r="3665" customFormat="1" x14ac:dyDescent="0.3"/>
    <row r="3666" customFormat="1" x14ac:dyDescent="0.3"/>
    <row r="3667" customFormat="1" x14ac:dyDescent="0.3"/>
    <row r="3668" customFormat="1" x14ac:dyDescent="0.3"/>
    <row r="3669" customFormat="1" x14ac:dyDescent="0.3"/>
    <row r="3670" customFormat="1" x14ac:dyDescent="0.3"/>
    <row r="3671" customFormat="1" x14ac:dyDescent="0.3"/>
    <row r="3672" customFormat="1" x14ac:dyDescent="0.3"/>
    <row r="3673" customFormat="1" x14ac:dyDescent="0.3"/>
    <row r="3674" customFormat="1" x14ac:dyDescent="0.3"/>
    <row r="3675" customFormat="1" x14ac:dyDescent="0.3"/>
    <row r="3676" customFormat="1" x14ac:dyDescent="0.3"/>
    <row r="3677" customFormat="1" x14ac:dyDescent="0.3"/>
    <row r="3678" customFormat="1" x14ac:dyDescent="0.3"/>
    <row r="3679" customFormat="1" x14ac:dyDescent="0.3"/>
    <row r="3680" customFormat="1" x14ac:dyDescent="0.3"/>
    <row r="3681" customFormat="1" x14ac:dyDescent="0.3"/>
    <row r="3682" customFormat="1" x14ac:dyDescent="0.3"/>
    <row r="3683" customFormat="1" x14ac:dyDescent="0.3"/>
    <row r="3684" customFormat="1" x14ac:dyDescent="0.3"/>
    <row r="3685" customFormat="1" x14ac:dyDescent="0.3"/>
    <row r="3686" customFormat="1" x14ac:dyDescent="0.3"/>
    <row r="3687" customFormat="1" x14ac:dyDescent="0.3"/>
    <row r="3688" customFormat="1" x14ac:dyDescent="0.3"/>
    <row r="3689" customFormat="1" x14ac:dyDescent="0.3"/>
    <row r="3690" customFormat="1" x14ac:dyDescent="0.3"/>
    <row r="3691" customFormat="1" x14ac:dyDescent="0.3"/>
    <row r="3692" customFormat="1" x14ac:dyDescent="0.3"/>
    <row r="3693" customFormat="1" x14ac:dyDescent="0.3"/>
    <row r="3694" customFormat="1" x14ac:dyDescent="0.3"/>
    <row r="3695" customFormat="1" x14ac:dyDescent="0.3"/>
    <row r="3696" customFormat="1" x14ac:dyDescent="0.3"/>
    <row r="3697" customFormat="1" x14ac:dyDescent="0.3"/>
    <row r="3698" customFormat="1" x14ac:dyDescent="0.3"/>
    <row r="3699" customFormat="1" x14ac:dyDescent="0.3"/>
    <row r="3700" customFormat="1" x14ac:dyDescent="0.3"/>
    <row r="3701" customFormat="1" x14ac:dyDescent="0.3"/>
    <row r="3702" customFormat="1" x14ac:dyDescent="0.3"/>
    <row r="3703" customFormat="1" x14ac:dyDescent="0.3"/>
    <row r="3704" customFormat="1" x14ac:dyDescent="0.3"/>
    <row r="3705" customFormat="1" x14ac:dyDescent="0.3"/>
    <row r="3706" customFormat="1" x14ac:dyDescent="0.3"/>
    <row r="3707" customFormat="1" x14ac:dyDescent="0.3"/>
    <row r="3708" customFormat="1" x14ac:dyDescent="0.3"/>
    <row r="3709" customFormat="1" x14ac:dyDescent="0.3"/>
    <row r="3710" customFormat="1" x14ac:dyDescent="0.3"/>
    <row r="3711" customFormat="1" x14ac:dyDescent="0.3"/>
    <row r="3712" customFormat="1" x14ac:dyDescent="0.3"/>
    <row r="3713" customFormat="1" x14ac:dyDescent="0.3"/>
    <row r="3714" customFormat="1" x14ac:dyDescent="0.3"/>
  </sheetData>
  <conditionalFormatting sqref="K4:K1138">
    <cfRule type="expression" dxfId="23" priority="2">
      <formula>K4="Entrega Tarde"</formula>
    </cfRule>
  </conditionalFormatting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2050" r:id="rId4" name="CommandButton2">
          <controlPr defaultSize="0" autoLine="0" r:id="rId5">
            <anchor moveWithCells="1">
              <from>
                <xdr:col>1</xdr:col>
                <xdr:colOff>0</xdr:colOff>
                <xdr:row>0</xdr:row>
                <xdr:rowOff>22860</xdr:rowOff>
              </from>
              <to>
                <xdr:col>2</xdr:col>
                <xdr:colOff>396240</xdr:colOff>
                <xdr:row>1</xdr:row>
                <xdr:rowOff>167640</xdr:rowOff>
              </to>
            </anchor>
          </controlPr>
        </control>
      </mc:Choice>
      <mc:Fallback>
        <control shapeId="2050" r:id="rId4" name="CommandButton2"/>
      </mc:Fallback>
    </mc:AlternateContent>
    <mc:AlternateContent xmlns:mc="http://schemas.openxmlformats.org/markup-compatibility/2006">
      <mc:Choice Requires="x14">
        <control shapeId="2049" r:id="rId6" name="CommandButton1">
          <controlPr defaultSize="0" autoLine="0" r:id="rId7">
            <anchor moveWithCells="1">
              <from>
                <xdr:col>0</xdr:col>
                <xdr:colOff>228600</xdr:colOff>
                <xdr:row>0</xdr:row>
                <xdr:rowOff>22860</xdr:rowOff>
              </from>
              <to>
                <xdr:col>0</xdr:col>
                <xdr:colOff>1821180</xdr:colOff>
                <xdr:row>1</xdr:row>
                <xdr:rowOff>167640</xdr:rowOff>
              </to>
            </anchor>
          </controlPr>
        </control>
      </mc:Choice>
      <mc:Fallback>
        <control shapeId="2049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fitToPage="1"/>
  </sheetPr>
  <dimension ref="A2:T101"/>
  <sheetViews>
    <sheetView showGridLines="0" topLeftCell="B1" zoomScale="85" zoomScaleNormal="85" workbookViewId="0">
      <pane ySplit="6" topLeftCell="A55" activePane="bottomLeft" state="frozen"/>
      <selection activeCell="B1" sqref="B1"/>
      <selection pane="bottomLeft" activeCell="B7" sqref="B7:T101"/>
    </sheetView>
  </sheetViews>
  <sheetFormatPr baseColWidth="10" defaultColWidth="9.109375" defaultRowHeight="14.4" x14ac:dyDescent="0.3"/>
  <cols>
    <col min="1" max="1" width="58.33203125" hidden="1" customWidth="1"/>
    <col min="2" max="2" width="25.5546875" bestFit="1" customWidth="1"/>
    <col min="3" max="3" width="14.5546875" style="5" bestFit="1" customWidth="1"/>
    <col min="4" max="4" width="18.109375" bestFit="1" customWidth="1"/>
    <col min="5" max="5" width="44.88671875" bestFit="1" customWidth="1"/>
    <col min="6" max="6" width="11.109375" style="5" bestFit="1" customWidth="1"/>
    <col min="7" max="7" width="8.5546875" customWidth="1"/>
    <col min="8" max="8" width="10" bestFit="1" customWidth="1"/>
    <col min="9" max="9" width="10" customWidth="1"/>
    <col min="10" max="10" width="13.5546875" bestFit="1" customWidth="1"/>
    <col min="11" max="11" width="12.5546875" bestFit="1" customWidth="1"/>
    <col min="12" max="12" width="15.109375" customWidth="1"/>
    <col min="13" max="13" width="14.6640625" style="6" customWidth="1"/>
    <col min="14" max="14" width="18.44140625" bestFit="1" customWidth="1"/>
    <col min="15" max="15" width="18.6640625" customWidth="1"/>
    <col min="16" max="16" width="14.88671875" bestFit="1" customWidth="1"/>
    <col min="17" max="17" width="29.109375" bestFit="1" customWidth="1"/>
    <col min="18" max="18" width="15" customWidth="1"/>
    <col min="19" max="19" width="18.6640625" bestFit="1" customWidth="1"/>
    <col min="20" max="20" width="22.33203125" customWidth="1"/>
    <col min="21" max="21" width="13" customWidth="1"/>
    <col min="22" max="22" width="12.44140625" customWidth="1"/>
    <col min="23" max="23" width="13.88671875" customWidth="1"/>
    <col min="24" max="24" width="22.33203125" customWidth="1"/>
  </cols>
  <sheetData>
    <row r="2" spans="1:20" x14ac:dyDescent="0.3">
      <c r="B2" s="1" t="s">
        <v>59</v>
      </c>
      <c r="C2" s="4">
        <v>45627</v>
      </c>
      <c r="L2" s="11">
        <v>45613</v>
      </c>
    </row>
    <row r="3" spans="1:20" x14ac:dyDescent="0.3">
      <c r="B3" s="1" t="s">
        <v>60</v>
      </c>
      <c r="C3" s="4">
        <v>45671</v>
      </c>
    </row>
    <row r="4" spans="1:20" x14ac:dyDescent="0.3">
      <c r="B4" s="1" t="s">
        <v>61</v>
      </c>
      <c r="C4" s="2" t="s">
        <v>62</v>
      </c>
      <c r="D4" s="3" t="b">
        <f>IF(C4="0001","Montelima",IF(C4="0002","La Huaca",IF(C4="0003","San Vicente",IF(C4="0007","Lobo"))))</f>
        <v>0</v>
      </c>
    </row>
    <row r="6" spans="1:20" x14ac:dyDescent="0.3">
      <c r="A6" t="s">
        <v>63</v>
      </c>
      <c r="B6" t="s">
        <v>0</v>
      </c>
      <c r="C6" s="5" t="s">
        <v>64</v>
      </c>
      <c r="D6" t="s">
        <v>1</v>
      </c>
      <c r="E6" t="s">
        <v>2</v>
      </c>
      <c r="F6" s="5" t="s">
        <v>65</v>
      </c>
      <c r="G6" t="s">
        <v>3</v>
      </c>
      <c r="H6" s="5" t="s">
        <v>66</v>
      </c>
      <c r="I6" s="5" t="s">
        <v>67</v>
      </c>
      <c r="J6" t="s">
        <v>8</v>
      </c>
      <c r="K6" t="s">
        <v>68</v>
      </c>
      <c r="L6" t="s">
        <v>5</v>
      </c>
      <c r="M6" s="6" t="s">
        <v>69</v>
      </c>
      <c r="N6" t="s">
        <v>70</v>
      </c>
      <c r="O6" t="s">
        <v>10</v>
      </c>
      <c r="P6" t="s">
        <v>6</v>
      </c>
      <c r="Q6" t="s">
        <v>4</v>
      </c>
      <c r="R6" t="s">
        <v>71</v>
      </c>
      <c r="S6" t="s">
        <v>7</v>
      </c>
      <c r="T6" t="s">
        <v>9</v>
      </c>
    </row>
    <row r="7" spans="1:20" x14ac:dyDescent="0.3">
      <c r="A7" s="29" t="str">
        <f>Ingresos[[#This Row],[Centro]]&amp;Ingresos[[#This Row],[Almacén]]&amp;Ingresos[[#This Row],[Codigo]]&amp;Ingresos[[#This Row],[Pedido]]&amp;Ingresos[[#This Row],[Posición]]</f>
        <v>Agricola del Chira PlantaLa Huaca721426550002493910</v>
      </c>
      <c r="B7" s="30" t="s">
        <v>12</v>
      </c>
      <c r="C7" s="37" t="s">
        <v>811</v>
      </c>
      <c r="D7" s="37">
        <v>721426</v>
      </c>
      <c r="E7" s="31" t="s">
        <v>934</v>
      </c>
      <c r="F7" s="37">
        <v>30000</v>
      </c>
      <c r="G7" s="31" t="s">
        <v>21</v>
      </c>
      <c r="H7" s="37">
        <v>101</v>
      </c>
      <c r="I7" s="37">
        <v>10</v>
      </c>
      <c r="J7" s="37">
        <v>5500024939</v>
      </c>
      <c r="K7" s="38">
        <v>45670</v>
      </c>
      <c r="L7" s="31" t="s">
        <v>936</v>
      </c>
      <c r="M7" s="39">
        <v>5053390554</v>
      </c>
      <c r="N7" s="31" t="s">
        <v>864</v>
      </c>
      <c r="O7" s="40" t="s">
        <v>17</v>
      </c>
      <c r="P7" s="40" t="s">
        <v>28</v>
      </c>
      <c r="Q7" s="40" t="s">
        <v>1108</v>
      </c>
      <c r="R7" s="41">
        <v>45670</v>
      </c>
      <c r="S7" s="40" t="s">
        <v>16</v>
      </c>
      <c r="T7" s="42" t="s">
        <v>17</v>
      </c>
    </row>
    <row r="8" spans="1:20" x14ac:dyDescent="0.3">
      <c r="A8" s="29" t="str">
        <f>Ingresos[[#This Row],[Centro]]&amp;Ingresos[[#This Row],[Almacén]]&amp;Ingresos[[#This Row],[Codigo]]&amp;Ingresos[[#This Row],[Pedido]]&amp;Ingresos[[#This Row],[Posición]]</f>
        <v>Agricola del Chira PlantaLa Huaca70100392550002475120</v>
      </c>
      <c r="B8" s="32" t="s">
        <v>12</v>
      </c>
      <c r="C8" s="43" t="s">
        <v>811</v>
      </c>
      <c r="D8" s="43">
        <v>70100392</v>
      </c>
      <c r="E8" s="33" t="s">
        <v>53</v>
      </c>
      <c r="F8" s="43">
        <v>26</v>
      </c>
      <c r="G8" s="33" t="s">
        <v>13</v>
      </c>
      <c r="H8" s="43">
        <v>101</v>
      </c>
      <c r="I8" s="43">
        <v>20</v>
      </c>
      <c r="J8" s="43">
        <v>5500024751</v>
      </c>
      <c r="K8" s="44">
        <v>45670</v>
      </c>
      <c r="L8" s="33" t="s">
        <v>947</v>
      </c>
      <c r="M8" s="45">
        <v>5053390545</v>
      </c>
      <c r="N8" s="33" t="s">
        <v>864</v>
      </c>
      <c r="O8" s="46" t="s">
        <v>17</v>
      </c>
      <c r="P8" s="46" t="s">
        <v>28</v>
      </c>
      <c r="Q8" s="46" t="s">
        <v>54</v>
      </c>
      <c r="R8" s="47">
        <v>45670</v>
      </c>
      <c r="S8" s="46" t="s">
        <v>16</v>
      </c>
      <c r="T8" s="48" t="s">
        <v>17</v>
      </c>
    </row>
    <row r="9" spans="1:20" x14ac:dyDescent="0.3">
      <c r="A9" s="29" t="str">
        <f>Ingresos[[#This Row],[Centro]]&amp;Ingresos[[#This Row],[Almacén]]&amp;Ingresos[[#This Row],[Codigo]]&amp;Ingresos[[#This Row],[Pedido]]&amp;Ingresos[[#This Row],[Posición]]</f>
        <v>Agricola del Chira PlantaLa Huaca814781451157391410</v>
      </c>
      <c r="B9" s="30" t="s">
        <v>12</v>
      </c>
      <c r="C9" s="37" t="s">
        <v>811</v>
      </c>
      <c r="D9" s="37">
        <v>814781</v>
      </c>
      <c r="E9" s="31" t="s">
        <v>955</v>
      </c>
      <c r="F9" s="37">
        <v>250</v>
      </c>
      <c r="G9" s="31" t="s">
        <v>21</v>
      </c>
      <c r="H9" s="37">
        <v>101</v>
      </c>
      <c r="I9" s="37">
        <v>10</v>
      </c>
      <c r="J9" s="37">
        <v>4511573914</v>
      </c>
      <c r="K9" s="38">
        <v>45668</v>
      </c>
      <c r="L9" s="31" t="s">
        <v>956</v>
      </c>
      <c r="M9" s="39">
        <v>5053389928</v>
      </c>
      <c r="N9" s="31" t="s">
        <v>864</v>
      </c>
      <c r="O9" s="40" t="s">
        <v>20</v>
      </c>
      <c r="P9" s="40" t="s">
        <v>34</v>
      </c>
      <c r="Q9" s="40" t="s">
        <v>103</v>
      </c>
      <c r="R9" s="41">
        <v>45670</v>
      </c>
      <c r="S9" s="40" t="s">
        <v>16</v>
      </c>
      <c r="T9" s="42" t="s">
        <v>17</v>
      </c>
    </row>
    <row r="10" spans="1:20" x14ac:dyDescent="0.3">
      <c r="A10" s="29" t="str">
        <f>Ingresos[[#This Row],[Centro]]&amp;Ingresos[[#This Row],[Almacén]]&amp;Ingresos[[#This Row],[Codigo]]&amp;Ingresos[[#This Row],[Pedido]]&amp;Ingresos[[#This Row],[Posición]]</f>
        <v>Agricola del Chira PlantaLa Huaca700691795500024855160</v>
      </c>
      <c r="B10" s="32" t="s">
        <v>12</v>
      </c>
      <c r="C10" s="43" t="s">
        <v>811</v>
      </c>
      <c r="D10" s="43">
        <v>70069179</v>
      </c>
      <c r="E10" s="33" t="s">
        <v>1005</v>
      </c>
      <c r="F10" s="43">
        <v>10</v>
      </c>
      <c r="G10" s="33" t="s">
        <v>13</v>
      </c>
      <c r="H10" s="43">
        <v>101</v>
      </c>
      <c r="I10" s="43">
        <v>160</v>
      </c>
      <c r="J10" s="43">
        <v>5500024855</v>
      </c>
      <c r="K10" s="44">
        <v>45663</v>
      </c>
      <c r="L10" s="33" t="s">
        <v>1006</v>
      </c>
      <c r="M10" s="45">
        <v>5053386743</v>
      </c>
      <c r="N10" s="33" t="s">
        <v>864</v>
      </c>
      <c r="O10" s="46" t="s">
        <v>17</v>
      </c>
      <c r="P10" s="46" t="s">
        <v>28</v>
      </c>
      <c r="Q10" s="46" t="s">
        <v>96</v>
      </c>
      <c r="R10" s="47">
        <v>45663</v>
      </c>
      <c r="S10" s="46" t="s">
        <v>16</v>
      </c>
      <c r="T10" s="48" t="s">
        <v>17</v>
      </c>
    </row>
    <row r="11" spans="1:20" x14ac:dyDescent="0.3">
      <c r="A11" s="29" t="str">
        <f>Ingresos[[#This Row],[Centro]]&amp;Ingresos[[#This Row],[Almacén]]&amp;Ingresos[[#This Row],[Codigo]]&amp;Ingresos[[#This Row],[Pedido]]&amp;Ingresos[[#This Row],[Posición]]</f>
        <v>Agricola del Chira PlantaLa Huaca700691835500024855310</v>
      </c>
      <c r="B11" s="30" t="s">
        <v>12</v>
      </c>
      <c r="C11" s="37" t="s">
        <v>811</v>
      </c>
      <c r="D11" s="37">
        <v>70069183</v>
      </c>
      <c r="E11" s="31" t="s">
        <v>1007</v>
      </c>
      <c r="F11" s="37">
        <v>30</v>
      </c>
      <c r="G11" s="31" t="s">
        <v>13</v>
      </c>
      <c r="H11" s="37">
        <v>101</v>
      </c>
      <c r="I11" s="37">
        <v>310</v>
      </c>
      <c r="J11" s="37">
        <v>5500024855</v>
      </c>
      <c r="K11" s="38">
        <v>45663</v>
      </c>
      <c r="L11" s="31" t="s">
        <v>1006</v>
      </c>
      <c r="M11" s="39">
        <v>5053386743</v>
      </c>
      <c r="N11" s="31" t="s">
        <v>864</v>
      </c>
      <c r="O11" s="40" t="s">
        <v>17</v>
      </c>
      <c r="P11" s="40" t="s">
        <v>28</v>
      </c>
      <c r="Q11" s="40" t="s">
        <v>96</v>
      </c>
      <c r="R11" s="41">
        <v>45663</v>
      </c>
      <c r="S11" s="40" t="s">
        <v>16</v>
      </c>
      <c r="T11" s="42" t="s">
        <v>17</v>
      </c>
    </row>
    <row r="12" spans="1:20" x14ac:dyDescent="0.3">
      <c r="A12" s="29" t="str">
        <f>Ingresos[[#This Row],[Centro]]&amp;Ingresos[[#This Row],[Almacén]]&amp;Ingresos[[#This Row],[Codigo]]&amp;Ingresos[[#This Row],[Pedido]]&amp;Ingresos[[#This Row],[Posición]]</f>
        <v>Agricola del Chira PlantaLa Huaca70128403550002488850</v>
      </c>
      <c r="B12" s="32" t="s">
        <v>12</v>
      </c>
      <c r="C12" s="43" t="s">
        <v>811</v>
      </c>
      <c r="D12" s="43">
        <v>70128403</v>
      </c>
      <c r="E12" s="33" t="s">
        <v>867</v>
      </c>
      <c r="F12" s="43">
        <v>1600</v>
      </c>
      <c r="G12" s="33" t="s">
        <v>21</v>
      </c>
      <c r="H12" s="43">
        <v>101</v>
      </c>
      <c r="I12" s="43">
        <v>50</v>
      </c>
      <c r="J12" s="43">
        <v>5500024888</v>
      </c>
      <c r="K12" s="44">
        <v>45646</v>
      </c>
      <c r="L12" s="33" t="s">
        <v>1038</v>
      </c>
      <c r="M12" s="45">
        <v>5053374801</v>
      </c>
      <c r="N12" s="33" t="s">
        <v>864</v>
      </c>
      <c r="O12" s="46" t="s">
        <v>17</v>
      </c>
      <c r="P12" s="46" t="s">
        <v>17</v>
      </c>
      <c r="Q12" s="46" t="s">
        <v>17</v>
      </c>
      <c r="R12" s="47" t="s">
        <v>17</v>
      </c>
      <c r="S12" s="46" t="s">
        <v>17</v>
      </c>
      <c r="T12" s="48" t="s">
        <v>17</v>
      </c>
    </row>
    <row r="13" spans="1:20" x14ac:dyDescent="0.3">
      <c r="A13" s="29" t="str">
        <f>Ingresos[[#This Row],[Centro]]&amp;Ingresos[[#This Row],[Almacén]]&amp;Ingresos[[#This Row],[Codigo]]&amp;Ingresos[[#This Row],[Pedido]]&amp;Ingresos[[#This Row],[Posición]]</f>
        <v>Agricola del Chira PlantaLa Huaca70077698451153855210</v>
      </c>
      <c r="B13" s="30" t="s">
        <v>12</v>
      </c>
      <c r="C13" s="37" t="s">
        <v>811</v>
      </c>
      <c r="D13" s="37">
        <v>70077698</v>
      </c>
      <c r="E13" s="31" t="s">
        <v>1043</v>
      </c>
      <c r="F13" s="37">
        <v>1</v>
      </c>
      <c r="G13" s="31" t="s">
        <v>13</v>
      </c>
      <c r="H13" s="37">
        <v>101</v>
      </c>
      <c r="I13" s="37">
        <v>10</v>
      </c>
      <c r="J13" s="37">
        <v>4511538552</v>
      </c>
      <c r="K13" s="38">
        <v>45644</v>
      </c>
      <c r="L13" s="31" t="s">
        <v>1044</v>
      </c>
      <c r="M13" s="39">
        <v>5053372810</v>
      </c>
      <c r="N13" s="31" t="s">
        <v>864</v>
      </c>
      <c r="O13" s="40" t="s">
        <v>30</v>
      </c>
      <c r="P13" s="40" t="s">
        <v>181</v>
      </c>
      <c r="Q13" s="40" t="s">
        <v>312</v>
      </c>
      <c r="R13" s="41">
        <v>45523</v>
      </c>
      <c r="S13" s="40" t="s">
        <v>16</v>
      </c>
      <c r="T13" s="42" t="s">
        <v>23</v>
      </c>
    </row>
    <row r="14" spans="1:20" x14ac:dyDescent="0.3">
      <c r="A14" s="29" t="str">
        <f>Ingresos[[#This Row],[Centro]]&amp;Ingresos[[#This Row],[Almacén]]&amp;Ingresos[[#This Row],[Codigo]]&amp;Ingresos[[#This Row],[Pedido]]&amp;Ingresos[[#This Row],[Posición]]</f>
        <v>Agricola del Chira PlantaLa Huaca868331451157217130</v>
      </c>
      <c r="B14" s="32" t="s">
        <v>12</v>
      </c>
      <c r="C14" s="43" t="s">
        <v>811</v>
      </c>
      <c r="D14" s="43">
        <v>868331</v>
      </c>
      <c r="E14" s="33" t="s">
        <v>1051</v>
      </c>
      <c r="F14" s="43">
        <v>4</v>
      </c>
      <c r="G14" s="33" t="s">
        <v>1052</v>
      </c>
      <c r="H14" s="43">
        <v>101</v>
      </c>
      <c r="I14" s="43">
        <v>30</v>
      </c>
      <c r="J14" s="43">
        <v>4511572171</v>
      </c>
      <c r="K14" s="44">
        <v>45642</v>
      </c>
      <c r="L14" s="33" t="s">
        <v>1050</v>
      </c>
      <c r="M14" s="45">
        <v>5053371154</v>
      </c>
      <c r="N14" s="33" t="s">
        <v>864</v>
      </c>
      <c r="O14" s="46" t="s">
        <v>20</v>
      </c>
      <c r="P14" s="46" t="s">
        <v>26</v>
      </c>
      <c r="Q14" s="46" t="s">
        <v>161</v>
      </c>
      <c r="R14" s="47">
        <v>45646</v>
      </c>
      <c r="S14" s="46" t="s">
        <v>16</v>
      </c>
      <c r="T14" s="48" t="s">
        <v>17</v>
      </c>
    </row>
    <row r="15" spans="1:20" x14ac:dyDescent="0.3">
      <c r="A15" s="29" t="str">
        <f>Ingresos[[#This Row],[Centro]]&amp;Ingresos[[#This Row],[Almacén]]&amp;Ingresos[[#This Row],[Codigo]]&amp;Ingresos[[#This Row],[Pedido]]&amp;Ingresos[[#This Row],[Posición]]</f>
        <v>Agricola del Chira PlantaLa Huaca70128403550002488850</v>
      </c>
      <c r="B15" s="30" t="s">
        <v>12</v>
      </c>
      <c r="C15" s="37" t="s">
        <v>811</v>
      </c>
      <c r="D15" s="37">
        <v>70128403</v>
      </c>
      <c r="E15" s="31" t="s">
        <v>867</v>
      </c>
      <c r="F15" s="37">
        <v>1000</v>
      </c>
      <c r="G15" s="31" t="s">
        <v>21</v>
      </c>
      <c r="H15" s="37">
        <v>101</v>
      </c>
      <c r="I15" s="37">
        <v>50</v>
      </c>
      <c r="J15" s="37">
        <v>5500024888</v>
      </c>
      <c r="K15" s="38">
        <v>45637</v>
      </c>
      <c r="L15" s="31" t="s">
        <v>1079</v>
      </c>
      <c r="M15" s="39">
        <v>5053365430</v>
      </c>
      <c r="N15" s="31" t="s">
        <v>864</v>
      </c>
      <c r="O15" s="40" t="s">
        <v>17</v>
      </c>
      <c r="P15" s="40" t="s">
        <v>17</v>
      </c>
      <c r="Q15" s="40" t="s">
        <v>17</v>
      </c>
      <c r="R15" s="41" t="s">
        <v>17</v>
      </c>
      <c r="S15" s="40" t="s">
        <v>17</v>
      </c>
      <c r="T15" s="42" t="s">
        <v>17</v>
      </c>
    </row>
    <row r="16" spans="1:20" x14ac:dyDescent="0.3">
      <c r="A16" s="29" t="str">
        <f>Ingresos[[#This Row],[Centro]]&amp;Ingresos[[#This Row],[Almacén]]&amp;Ingresos[[#This Row],[Codigo]]&amp;Ingresos[[#This Row],[Pedido]]&amp;Ingresos[[#This Row],[Posición]]</f>
        <v>Agricola del Chira PlantaLa Huaca70100392550002475120</v>
      </c>
      <c r="B16" s="32" t="s">
        <v>12</v>
      </c>
      <c r="C16" s="43" t="s">
        <v>811</v>
      </c>
      <c r="D16" s="43">
        <v>70100392</v>
      </c>
      <c r="E16" s="33" t="s">
        <v>53</v>
      </c>
      <c r="F16" s="43">
        <v>41</v>
      </c>
      <c r="G16" s="33" t="s">
        <v>13</v>
      </c>
      <c r="H16" s="43">
        <v>101</v>
      </c>
      <c r="I16" s="43">
        <v>20</v>
      </c>
      <c r="J16" s="43">
        <v>5500024751</v>
      </c>
      <c r="K16" s="44">
        <v>45630</v>
      </c>
      <c r="L16" s="33" t="s">
        <v>1094</v>
      </c>
      <c r="M16" s="45">
        <v>5053359340</v>
      </c>
      <c r="N16" s="33" t="s">
        <v>864</v>
      </c>
      <c r="O16" s="46" t="s">
        <v>17</v>
      </c>
      <c r="P16" s="46" t="s">
        <v>28</v>
      </c>
      <c r="Q16" s="46" t="s">
        <v>54</v>
      </c>
      <c r="R16" s="47">
        <v>45670</v>
      </c>
      <c r="S16" s="46" t="s">
        <v>16</v>
      </c>
      <c r="T16" s="48" t="s">
        <v>17</v>
      </c>
    </row>
    <row r="17" spans="1:20" x14ac:dyDescent="0.3">
      <c r="A17" s="29" t="str">
        <f>Ingresos[[#This Row],[Centro]]&amp;Ingresos[[#This Row],[Almacén]]&amp;Ingresos[[#This Row],[Codigo]]&amp;Ingresos[[#This Row],[Pedido]]&amp;Ingresos[[#This Row],[Posición]]</f>
        <v>Agricola del Chira PlantaLa Huaca70128403550002488850</v>
      </c>
      <c r="B17" s="30" t="s">
        <v>12</v>
      </c>
      <c r="C17" s="37" t="s">
        <v>811</v>
      </c>
      <c r="D17" s="37">
        <v>70128403</v>
      </c>
      <c r="E17" s="31" t="s">
        <v>867</v>
      </c>
      <c r="F17" s="37">
        <v>2000</v>
      </c>
      <c r="G17" s="31" t="s">
        <v>21</v>
      </c>
      <c r="H17" s="37">
        <v>101</v>
      </c>
      <c r="I17" s="37">
        <v>50</v>
      </c>
      <c r="J17" s="37">
        <v>5500024888</v>
      </c>
      <c r="K17" s="38">
        <v>45628</v>
      </c>
      <c r="L17" s="31" t="s">
        <v>1102</v>
      </c>
      <c r="M17" s="39">
        <v>5053357514</v>
      </c>
      <c r="N17" s="31" t="s">
        <v>864</v>
      </c>
      <c r="O17" s="40" t="s">
        <v>17</v>
      </c>
      <c r="P17" s="40" t="s">
        <v>17</v>
      </c>
      <c r="Q17" s="40" t="s">
        <v>17</v>
      </c>
      <c r="R17" s="41" t="s">
        <v>17</v>
      </c>
      <c r="S17" s="40" t="s">
        <v>17</v>
      </c>
      <c r="T17" s="42" t="s">
        <v>17</v>
      </c>
    </row>
    <row r="18" spans="1:20" x14ac:dyDescent="0.3">
      <c r="A18" s="29" t="str">
        <f>Ingresos[[#This Row],[Centro]]&amp;Ingresos[[#This Row],[Almacén]]&amp;Ingresos[[#This Row],[Codigo]]&amp;Ingresos[[#This Row],[Pedido]]&amp;Ingresos[[#This Row],[Posición]]</f>
        <v>Agricola del Chira PlantaLa Huaca70118374451157359210</v>
      </c>
      <c r="B18" s="32" t="s">
        <v>12</v>
      </c>
      <c r="C18" s="43" t="s">
        <v>811</v>
      </c>
      <c r="D18" s="43">
        <v>70118374</v>
      </c>
      <c r="E18" s="33" t="s">
        <v>932</v>
      </c>
      <c r="F18" s="43">
        <v>8</v>
      </c>
      <c r="G18" s="33" t="s">
        <v>13</v>
      </c>
      <c r="H18" s="43">
        <v>101</v>
      </c>
      <c r="I18" s="43">
        <v>10</v>
      </c>
      <c r="J18" s="43">
        <v>4511573592</v>
      </c>
      <c r="K18" s="44">
        <v>45671</v>
      </c>
      <c r="L18" s="33" t="s">
        <v>933</v>
      </c>
      <c r="M18" s="45">
        <v>5053391237</v>
      </c>
      <c r="N18" s="33" t="s">
        <v>866</v>
      </c>
      <c r="O18" s="46" t="s">
        <v>30</v>
      </c>
      <c r="P18" s="46" t="s">
        <v>26</v>
      </c>
      <c r="Q18" s="46" t="s">
        <v>316</v>
      </c>
      <c r="R18" s="47">
        <v>45308</v>
      </c>
      <c r="S18" s="46" t="s">
        <v>16</v>
      </c>
      <c r="T18" s="48" t="s">
        <v>23</v>
      </c>
    </row>
    <row r="19" spans="1:20" x14ac:dyDescent="0.3">
      <c r="A19" s="29" t="str">
        <f>Ingresos[[#This Row],[Centro]]&amp;Ingresos[[#This Row],[Almacén]]&amp;Ingresos[[#This Row],[Codigo]]&amp;Ingresos[[#This Row],[Pedido]]&amp;Ingresos[[#This Row],[Posición]]</f>
        <v>Agricola del Chira PlantaLa Huaca804894451157378520</v>
      </c>
      <c r="B19" s="30" t="s">
        <v>12</v>
      </c>
      <c r="C19" s="37" t="s">
        <v>811</v>
      </c>
      <c r="D19" s="37">
        <v>804894</v>
      </c>
      <c r="E19" s="31" t="s">
        <v>937</v>
      </c>
      <c r="F19" s="37">
        <v>2</v>
      </c>
      <c r="G19" s="31" t="s">
        <v>13</v>
      </c>
      <c r="H19" s="37">
        <v>101</v>
      </c>
      <c r="I19" s="37">
        <v>20</v>
      </c>
      <c r="J19" s="37">
        <v>4511573785</v>
      </c>
      <c r="K19" s="38">
        <v>45670</v>
      </c>
      <c r="L19" s="31" t="s">
        <v>938</v>
      </c>
      <c r="M19" s="39">
        <v>5053391176</v>
      </c>
      <c r="N19" s="31" t="s">
        <v>866</v>
      </c>
      <c r="O19" s="40" t="s">
        <v>20</v>
      </c>
      <c r="P19" s="40" t="s">
        <v>26</v>
      </c>
      <c r="Q19" s="40" t="s">
        <v>32</v>
      </c>
      <c r="R19" s="41">
        <v>45677</v>
      </c>
      <c r="S19" s="40" t="s">
        <v>16</v>
      </c>
      <c r="T19" s="42" t="s">
        <v>17</v>
      </c>
    </row>
    <row r="20" spans="1:20" x14ac:dyDescent="0.3">
      <c r="A20" s="29" t="str">
        <f>Ingresos[[#This Row],[Centro]]&amp;Ingresos[[#This Row],[Almacén]]&amp;Ingresos[[#This Row],[Codigo]]&amp;Ingresos[[#This Row],[Pedido]]&amp;Ingresos[[#This Row],[Posición]]</f>
        <v>Agricola del Chira PlantaLa Huaca8840904511573761100</v>
      </c>
      <c r="B20" s="32" t="s">
        <v>12</v>
      </c>
      <c r="C20" s="43" t="s">
        <v>811</v>
      </c>
      <c r="D20" s="43">
        <v>884090</v>
      </c>
      <c r="E20" s="33" t="s">
        <v>939</v>
      </c>
      <c r="F20" s="43">
        <v>16</v>
      </c>
      <c r="G20" s="33" t="s">
        <v>13</v>
      </c>
      <c r="H20" s="43">
        <v>101</v>
      </c>
      <c r="I20" s="43">
        <v>100</v>
      </c>
      <c r="J20" s="43">
        <v>4511573761</v>
      </c>
      <c r="K20" s="44">
        <v>45670</v>
      </c>
      <c r="L20" s="33" t="s">
        <v>940</v>
      </c>
      <c r="M20" s="45">
        <v>5053391166</v>
      </c>
      <c r="N20" s="33" t="s">
        <v>866</v>
      </c>
      <c r="O20" s="46" t="s">
        <v>20</v>
      </c>
      <c r="P20" s="46" t="s">
        <v>26</v>
      </c>
      <c r="Q20" s="46" t="s">
        <v>32</v>
      </c>
      <c r="R20" s="47">
        <v>45677</v>
      </c>
      <c r="S20" s="46" t="s">
        <v>16</v>
      </c>
      <c r="T20" s="48" t="s">
        <v>17</v>
      </c>
    </row>
    <row r="21" spans="1:20" x14ac:dyDescent="0.3">
      <c r="A21" s="29" t="str">
        <f>Ingresos[[#This Row],[Centro]]&amp;Ingresos[[#This Row],[Almacén]]&amp;Ingresos[[#This Row],[Codigo]]&amp;Ingresos[[#This Row],[Pedido]]&amp;Ingresos[[#This Row],[Posición]]</f>
        <v>Agricola del Chira PlantaLa Huaca8840984511573761110</v>
      </c>
      <c r="B21" s="31" t="s">
        <v>12</v>
      </c>
      <c r="C21" s="37" t="s">
        <v>811</v>
      </c>
      <c r="D21" s="37">
        <v>884098</v>
      </c>
      <c r="E21" s="31" t="s">
        <v>941</v>
      </c>
      <c r="F21" s="37">
        <v>12</v>
      </c>
      <c r="G21" s="31" t="s">
        <v>13</v>
      </c>
      <c r="H21" s="37">
        <v>101</v>
      </c>
      <c r="I21" s="37">
        <v>110</v>
      </c>
      <c r="J21" s="37">
        <v>4511573761</v>
      </c>
      <c r="K21" s="38">
        <v>45670</v>
      </c>
      <c r="L21" s="31" t="s">
        <v>940</v>
      </c>
      <c r="M21" s="39">
        <v>5053391166</v>
      </c>
      <c r="N21" s="31" t="s">
        <v>866</v>
      </c>
      <c r="O21" s="40" t="s">
        <v>20</v>
      </c>
      <c r="P21" s="40" t="s">
        <v>26</v>
      </c>
      <c r="Q21" s="40" t="s">
        <v>32</v>
      </c>
      <c r="R21" s="41">
        <v>45677</v>
      </c>
      <c r="S21" s="40" t="s">
        <v>16</v>
      </c>
      <c r="T21" s="42" t="s">
        <v>17</v>
      </c>
    </row>
    <row r="22" spans="1:20" x14ac:dyDescent="0.3">
      <c r="A22" s="29" t="str">
        <f>Ingresos[[#This Row],[Centro]]&amp;Ingresos[[#This Row],[Almacén]]&amp;Ingresos[[#This Row],[Codigo]]&amp;Ingresos[[#This Row],[Pedido]]&amp;Ingresos[[#This Row],[Posición]]</f>
        <v>Agricola del Chira PlantaLa Huaca8875954511573761120</v>
      </c>
      <c r="B22" s="33" t="s">
        <v>12</v>
      </c>
      <c r="C22" s="43" t="s">
        <v>811</v>
      </c>
      <c r="D22" s="43">
        <v>887595</v>
      </c>
      <c r="E22" s="33" t="s">
        <v>942</v>
      </c>
      <c r="F22" s="43">
        <v>1</v>
      </c>
      <c r="G22" s="33" t="s">
        <v>13</v>
      </c>
      <c r="H22" s="43">
        <v>101</v>
      </c>
      <c r="I22" s="43">
        <v>120</v>
      </c>
      <c r="J22" s="43">
        <v>4511573761</v>
      </c>
      <c r="K22" s="44">
        <v>45670</v>
      </c>
      <c r="L22" s="33" t="s">
        <v>940</v>
      </c>
      <c r="M22" s="45">
        <v>5053391166</v>
      </c>
      <c r="N22" s="33" t="s">
        <v>866</v>
      </c>
      <c r="O22" s="46" t="s">
        <v>20</v>
      </c>
      <c r="P22" s="46" t="s">
        <v>26</v>
      </c>
      <c r="Q22" s="46" t="s">
        <v>32</v>
      </c>
      <c r="R22" s="47">
        <v>45677</v>
      </c>
      <c r="S22" s="46" t="s">
        <v>16</v>
      </c>
      <c r="T22" s="48" t="s">
        <v>17</v>
      </c>
    </row>
    <row r="23" spans="1:20" x14ac:dyDescent="0.3">
      <c r="A23" s="29" t="str">
        <f>Ingresos[[#This Row],[Centro]]&amp;Ingresos[[#This Row],[Almacén]]&amp;Ingresos[[#This Row],[Codigo]]&amp;Ingresos[[#This Row],[Pedido]]&amp;Ingresos[[#This Row],[Posición]]</f>
        <v>Agricola del Chira PlantaLa Huaca8938514511573761130</v>
      </c>
      <c r="B23" s="31" t="s">
        <v>12</v>
      </c>
      <c r="C23" s="37" t="s">
        <v>811</v>
      </c>
      <c r="D23" s="37">
        <v>893851</v>
      </c>
      <c r="E23" s="31" t="s">
        <v>943</v>
      </c>
      <c r="F23" s="37">
        <v>12</v>
      </c>
      <c r="G23" s="31" t="s">
        <v>13</v>
      </c>
      <c r="H23" s="37">
        <v>101</v>
      </c>
      <c r="I23" s="37">
        <v>130</v>
      </c>
      <c r="J23" s="37">
        <v>4511573761</v>
      </c>
      <c r="K23" s="38">
        <v>45670</v>
      </c>
      <c r="L23" s="31" t="s">
        <v>940</v>
      </c>
      <c r="M23" s="39">
        <v>5053391166</v>
      </c>
      <c r="N23" s="31" t="s">
        <v>866</v>
      </c>
      <c r="O23" s="40" t="s">
        <v>20</v>
      </c>
      <c r="P23" s="40" t="s">
        <v>26</v>
      </c>
      <c r="Q23" s="40" t="s">
        <v>32</v>
      </c>
      <c r="R23" s="41">
        <v>45677</v>
      </c>
      <c r="S23" s="40" t="s">
        <v>16</v>
      </c>
      <c r="T23" s="42" t="s">
        <v>17</v>
      </c>
    </row>
    <row r="24" spans="1:20" x14ac:dyDescent="0.3">
      <c r="A24" s="29" t="str">
        <f>Ingresos[[#This Row],[Centro]]&amp;Ingresos[[#This Row],[Almacén]]&amp;Ingresos[[#This Row],[Codigo]]&amp;Ingresos[[#This Row],[Pedido]]&amp;Ingresos[[#This Row],[Posición]]</f>
        <v>Agricola del Chira PlantaLa Huaca8938544511573761140</v>
      </c>
      <c r="B24" s="33" t="s">
        <v>12</v>
      </c>
      <c r="C24" s="43" t="s">
        <v>811</v>
      </c>
      <c r="D24" s="43">
        <v>893854</v>
      </c>
      <c r="E24" s="33" t="s">
        <v>944</v>
      </c>
      <c r="F24" s="43">
        <v>6</v>
      </c>
      <c r="G24" s="33" t="s">
        <v>13</v>
      </c>
      <c r="H24" s="43">
        <v>101</v>
      </c>
      <c r="I24" s="43">
        <v>140</v>
      </c>
      <c r="J24" s="43">
        <v>4511573761</v>
      </c>
      <c r="K24" s="44">
        <v>45670</v>
      </c>
      <c r="L24" s="33" t="s">
        <v>940</v>
      </c>
      <c r="M24" s="45">
        <v>5053391166</v>
      </c>
      <c r="N24" s="33" t="s">
        <v>866</v>
      </c>
      <c r="O24" s="46" t="s">
        <v>20</v>
      </c>
      <c r="P24" s="46" t="s">
        <v>26</v>
      </c>
      <c r="Q24" s="46" t="s">
        <v>32</v>
      </c>
      <c r="R24" s="47">
        <v>45677</v>
      </c>
      <c r="S24" s="46" t="s">
        <v>16</v>
      </c>
      <c r="T24" s="48" t="s">
        <v>17</v>
      </c>
    </row>
    <row r="25" spans="1:20" x14ac:dyDescent="0.3">
      <c r="A25" s="29" t="str">
        <f>Ingresos[[#This Row],[Centro]]&amp;Ingresos[[#This Row],[Almacén]]&amp;Ingresos[[#This Row],[Codigo]]&amp;Ingresos[[#This Row],[Pedido]]&amp;Ingresos[[#This Row],[Posición]]</f>
        <v>Agricola del Chira PlantaLa Huaca700171324511573761150</v>
      </c>
      <c r="B25" s="31" t="s">
        <v>12</v>
      </c>
      <c r="C25" s="37" t="s">
        <v>811</v>
      </c>
      <c r="D25" s="37">
        <v>70017132</v>
      </c>
      <c r="E25" s="31" t="s">
        <v>945</v>
      </c>
      <c r="F25" s="37">
        <v>12</v>
      </c>
      <c r="G25" s="31" t="s">
        <v>13</v>
      </c>
      <c r="H25" s="37">
        <v>101</v>
      </c>
      <c r="I25" s="37">
        <v>150</v>
      </c>
      <c r="J25" s="37">
        <v>4511573761</v>
      </c>
      <c r="K25" s="38">
        <v>45670</v>
      </c>
      <c r="L25" s="31" t="s">
        <v>940</v>
      </c>
      <c r="M25" s="39">
        <v>5053391166</v>
      </c>
      <c r="N25" s="31" t="s">
        <v>866</v>
      </c>
      <c r="O25" s="40" t="s">
        <v>20</v>
      </c>
      <c r="P25" s="40" t="s">
        <v>26</v>
      </c>
      <c r="Q25" s="40" t="s">
        <v>32</v>
      </c>
      <c r="R25" s="41">
        <v>45677</v>
      </c>
      <c r="S25" s="40" t="s">
        <v>16</v>
      </c>
      <c r="T25" s="42" t="s">
        <v>17</v>
      </c>
    </row>
    <row r="26" spans="1:20" x14ac:dyDescent="0.3">
      <c r="A26" s="29" t="str">
        <f>Ingresos[[#This Row],[Centro]]&amp;Ingresos[[#This Row],[Almacén]]&amp;Ingresos[[#This Row],[Codigo]]&amp;Ingresos[[#This Row],[Pedido]]&amp;Ingresos[[#This Row],[Posición]]</f>
        <v>Agricola del Chira PlantaLa Huaca700613504511573761160</v>
      </c>
      <c r="B26" s="32" t="s">
        <v>12</v>
      </c>
      <c r="C26" s="43" t="s">
        <v>811</v>
      </c>
      <c r="D26" s="43">
        <v>70061350</v>
      </c>
      <c r="E26" s="33" t="s">
        <v>946</v>
      </c>
      <c r="F26" s="43">
        <v>24</v>
      </c>
      <c r="G26" s="33" t="s">
        <v>13</v>
      </c>
      <c r="H26" s="43">
        <v>101</v>
      </c>
      <c r="I26" s="43">
        <v>160</v>
      </c>
      <c r="J26" s="43">
        <v>4511573761</v>
      </c>
      <c r="K26" s="44">
        <v>45670</v>
      </c>
      <c r="L26" s="33" t="s">
        <v>940</v>
      </c>
      <c r="M26" s="45">
        <v>5053391166</v>
      </c>
      <c r="N26" s="33" t="s">
        <v>866</v>
      </c>
      <c r="O26" s="46" t="s">
        <v>20</v>
      </c>
      <c r="P26" s="46" t="s">
        <v>26</v>
      </c>
      <c r="Q26" s="46" t="s">
        <v>32</v>
      </c>
      <c r="R26" s="47">
        <v>45677</v>
      </c>
      <c r="S26" s="46" t="s">
        <v>16</v>
      </c>
      <c r="T26" s="48" t="s">
        <v>17</v>
      </c>
    </row>
    <row r="27" spans="1:20" x14ac:dyDescent="0.3">
      <c r="A27" s="29" t="str">
        <f>Ingresos[[#This Row],[Centro]]&amp;Ingresos[[#This Row],[Almacén]]&amp;Ingresos[[#This Row],[Codigo]]&amp;Ingresos[[#This Row],[Pedido]]&amp;Ingresos[[#This Row],[Posición]]</f>
        <v>Agricola del Chira PlantaLa HuacaMWAGR000072       451157416030</v>
      </c>
      <c r="B27" s="30" t="s">
        <v>12</v>
      </c>
      <c r="C27" s="37" t="s">
        <v>811</v>
      </c>
      <c r="D27" s="37" t="s">
        <v>948</v>
      </c>
      <c r="E27" s="31" t="s">
        <v>949</v>
      </c>
      <c r="F27" s="37">
        <v>100</v>
      </c>
      <c r="G27" s="31" t="s">
        <v>21</v>
      </c>
      <c r="H27" s="37">
        <v>101</v>
      </c>
      <c r="I27" s="37">
        <v>30</v>
      </c>
      <c r="J27" s="37">
        <v>4511574160</v>
      </c>
      <c r="K27" s="38">
        <v>45670</v>
      </c>
      <c r="L27" s="31" t="s">
        <v>950</v>
      </c>
      <c r="M27" s="39">
        <v>5053390360</v>
      </c>
      <c r="N27" s="31" t="s">
        <v>866</v>
      </c>
      <c r="O27" s="40" t="s">
        <v>20</v>
      </c>
      <c r="P27" s="40" t="s">
        <v>326</v>
      </c>
      <c r="Q27" s="40" t="s">
        <v>89</v>
      </c>
      <c r="R27" s="41">
        <v>45670</v>
      </c>
      <c r="S27" s="40" t="s">
        <v>16</v>
      </c>
      <c r="T27" s="42" t="s">
        <v>17</v>
      </c>
    </row>
    <row r="28" spans="1:20" x14ac:dyDescent="0.3">
      <c r="A28" s="29" t="str">
        <f>Ingresos[[#This Row],[Centro]]&amp;Ingresos[[#This Row],[Almacén]]&amp;Ingresos[[#This Row],[Codigo]]&amp;Ingresos[[#This Row],[Pedido]]&amp;Ingresos[[#This Row],[Posición]]</f>
        <v>Agricola del Chira PlantaLa HuacaMWAGR00042        451157424820</v>
      </c>
      <c r="B28" s="32" t="s">
        <v>12</v>
      </c>
      <c r="C28" s="43" t="s">
        <v>811</v>
      </c>
      <c r="D28" s="43" t="s">
        <v>951</v>
      </c>
      <c r="E28" s="33" t="s">
        <v>952</v>
      </c>
      <c r="F28" s="43">
        <v>680</v>
      </c>
      <c r="G28" s="33" t="s">
        <v>31</v>
      </c>
      <c r="H28" s="43">
        <v>101</v>
      </c>
      <c r="I28" s="43">
        <v>20</v>
      </c>
      <c r="J28" s="43">
        <v>4511574248</v>
      </c>
      <c r="K28" s="44">
        <v>45670</v>
      </c>
      <c r="L28" s="33" t="s">
        <v>953</v>
      </c>
      <c r="M28" s="45">
        <v>5053390558</v>
      </c>
      <c r="N28" s="33" t="s">
        <v>866</v>
      </c>
      <c r="O28" s="46" t="s">
        <v>20</v>
      </c>
      <c r="P28" s="46" t="s">
        <v>326</v>
      </c>
      <c r="Q28" s="46" t="s">
        <v>1110</v>
      </c>
      <c r="R28" s="47">
        <v>45672</v>
      </c>
      <c r="S28" s="46" t="s">
        <v>16</v>
      </c>
      <c r="T28" s="48" t="s">
        <v>17</v>
      </c>
    </row>
    <row r="29" spans="1:20" x14ac:dyDescent="0.3">
      <c r="A29" s="29" t="str">
        <f>Ingresos[[#This Row],[Centro]]&amp;Ingresos[[#This Row],[Almacén]]&amp;Ingresos[[#This Row],[Codigo]]&amp;Ingresos[[#This Row],[Pedido]]&amp;Ingresos[[#This Row],[Posición]]</f>
        <v>Agricola del Chira PlantaLa Huaca802317451157390120</v>
      </c>
      <c r="B29" s="30" t="s">
        <v>12</v>
      </c>
      <c r="C29" s="37" t="s">
        <v>811</v>
      </c>
      <c r="D29" s="37">
        <v>802317</v>
      </c>
      <c r="E29" s="31" t="s">
        <v>35</v>
      </c>
      <c r="F29" s="37">
        <v>10</v>
      </c>
      <c r="G29" s="31" t="s">
        <v>13</v>
      </c>
      <c r="H29" s="37">
        <v>101</v>
      </c>
      <c r="I29" s="37">
        <v>20</v>
      </c>
      <c r="J29" s="37">
        <v>4511573901</v>
      </c>
      <c r="K29" s="38">
        <v>45667</v>
      </c>
      <c r="L29" s="31" t="s">
        <v>960</v>
      </c>
      <c r="M29" s="39">
        <v>5053389585</v>
      </c>
      <c r="N29" s="31" t="s">
        <v>866</v>
      </c>
      <c r="O29" s="40" t="s">
        <v>20</v>
      </c>
      <c r="P29" s="40" t="s">
        <v>15</v>
      </c>
      <c r="Q29" s="40" t="s">
        <v>22</v>
      </c>
      <c r="R29" s="41">
        <v>45677</v>
      </c>
      <c r="S29" s="40" t="s">
        <v>16</v>
      </c>
      <c r="T29" s="42" t="s">
        <v>17</v>
      </c>
    </row>
    <row r="30" spans="1:20" x14ac:dyDescent="0.3">
      <c r="A30" s="29" t="str">
        <f>Ingresos[[#This Row],[Centro]]&amp;Ingresos[[#This Row],[Almacén]]&amp;Ingresos[[#This Row],[Codigo]]&amp;Ingresos[[#This Row],[Pedido]]&amp;Ingresos[[#This Row],[Posición]]</f>
        <v>Agricola del Chira PlantaLa Huaca868096451157270210</v>
      </c>
      <c r="B30" s="32" t="s">
        <v>12</v>
      </c>
      <c r="C30" s="43" t="s">
        <v>811</v>
      </c>
      <c r="D30" s="43">
        <v>868096</v>
      </c>
      <c r="E30" s="33" t="s">
        <v>962</v>
      </c>
      <c r="F30" s="43">
        <v>6</v>
      </c>
      <c r="G30" s="33" t="s">
        <v>13</v>
      </c>
      <c r="H30" s="43">
        <v>101</v>
      </c>
      <c r="I30" s="43">
        <v>10</v>
      </c>
      <c r="J30" s="43">
        <v>4511572702</v>
      </c>
      <c r="K30" s="44">
        <v>45667</v>
      </c>
      <c r="L30" s="33" t="s">
        <v>963</v>
      </c>
      <c r="M30" s="45">
        <v>5053389571</v>
      </c>
      <c r="N30" s="33" t="s">
        <v>866</v>
      </c>
      <c r="O30" s="46" t="s">
        <v>20</v>
      </c>
      <c r="P30" s="46" t="s">
        <v>26</v>
      </c>
      <c r="Q30" s="46" t="s">
        <v>161</v>
      </c>
      <c r="R30" s="47">
        <v>45657</v>
      </c>
      <c r="S30" s="46" t="s">
        <v>16</v>
      </c>
      <c r="T30" s="48" t="s">
        <v>23</v>
      </c>
    </row>
    <row r="31" spans="1:20" x14ac:dyDescent="0.3">
      <c r="A31" s="29" t="str">
        <f>Ingresos[[#This Row],[Centro]]&amp;Ingresos[[#This Row],[Almacén]]&amp;Ingresos[[#This Row],[Codigo]]&amp;Ingresos[[#This Row],[Pedido]]&amp;Ingresos[[#This Row],[Posición]]</f>
        <v>Agricola del Chira PlantaLa Huaca872860451157390130</v>
      </c>
      <c r="B31" s="31" t="s">
        <v>12</v>
      </c>
      <c r="C31" s="37" t="s">
        <v>811</v>
      </c>
      <c r="D31" s="37">
        <v>872860</v>
      </c>
      <c r="E31" s="31" t="s">
        <v>964</v>
      </c>
      <c r="F31" s="37">
        <v>8</v>
      </c>
      <c r="G31" s="31" t="s">
        <v>13</v>
      </c>
      <c r="H31" s="37">
        <v>101</v>
      </c>
      <c r="I31" s="37">
        <v>30</v>
      </c>
      <c r="J31" s="37">
        <v>4511573901</v>
      </c>
      <c r="K31" s="38">
        <v>45667</v>
      </c>
      <c r="L31" s="31" t="s">
        <v>960</v>
      </c>
      <c r="M31" s="39">
        <v>5053389585</v>
      </c>
      <c r="N31" s="31" t="s">
        <v>866</v>
      </c>
      <c r="O31" s="40" t="s">
        <v>20</v>
      </c>
      <c r="P31" s="40" t="s">
        <v>26</v>
      </c>
      <c r="Q31" s="40" t="s">
        <v>22</v>
      </c>
      <c r="R31" s="41">
        <v>45677</v>
      </c>
      <c r="S31" s="40" t="s">
        <v>16</v>
      </c>
      <c r="T31" s="42" t="s">
        <v>17</v>
      </c>
    </row>
    <row r="32" spans="1:20" x14ac:dyDescent="0.3">
      <c r="A32" s="29" t="str">
        <f>Ingresos[[#This Row],[Centro]]&amp;Ingresos[[#This Row],[Almacén]]&amp;Ingresos[[#This Row],[Codigo]]&amp;Ingresos[[#This Row],[Pedido]]&amp;Ingresos[[#This Row],[Posición]]</f>
        <v>Agricola del Chira PlantaLa HuacaCC11011935        451157390140</v>
      </c>
      <c r="B32" s="32" t="s">
        <v>12</v>
      </c>
      <c r="C32" s="43" t="s">
        <v>811</v>
      </c>
      <c r="D32" s="43" t="s">
        <v>970</v>
      </c>
      <c r="E32" s="33" t="s">
        <v>971</v>
      </c>
      <c r="F32" s="43">
        <v>1</v>
      </c>
      <c r="G32" s="33" t="s">
        <v>21</v>
      </c>
      <c r="H32" s="43">
        <v>101</v>
      </c>
      <c r="I32" s="43">
        <v>40</v>
      </c>
      <c r="J32" s="43">
        <v>4511573901</v>
      </c>
      <c r="K32" s="44">
        <v>45667</v>
      </c>
      <c r="L32" s="33" t="s">
        <v>960</v>
      </c>
      <c r="M32" s="45">
        <v>5053389585</v>
      </c>
      <c r="N32" s="33" t="s">
        <v>866</v>
      </c>
      <c r="O32" s="46" t="s">
        <v>20</v>
      </c>
      <c r="P32" s="46" t="s">
        <v>50</v>
      </c>
      <c r="Q32" s="46" t="s">
        <v>22</v>
      </c>
      <c r="R32" s="47">
        <v>45677</v>
      </c>
      <c r="S32" s="46" t="s">
        <v>16</v>
      </c>
      <c r="T32" s="48" t="s">
        <v>17</v>
      </c>
    </row>
    <row r="33" spans="1:20" x14ac:dyDescent="0.3">
      <c r="A33" s="29" t="str">
        <f>Ingresos[[#This Row],[Centro]]&amp;Ingresos[[#This Row],[Almacén]]&amp;Ingresos[[#This Row],[Codigo]]&amp;Ingresos[[#This Row],[Pedido]]&amp;Ingresos[[#This Row],[Posición]]</f>
        <v>Agricola del Chira PlantaLa HuacaCS34015030        4511573901240</v>
      </c>
      <c r="B33" s="30" t="s">
        <v>12</v>
      </c>
      <c r="C33" s="37" t="s">
        <v>811</v>
      </c>
      <c r="D33" s="37" t="s">
        <v>57</v>
      </c>
      <c r="E33" s="31" t="s">
        <v>58</v>
      </c>
      <c r="F33" s="37">
        <v>10</v>
      </c>
      <c r="G33" s="31" t="s">
        <v>19</v>
      </c>
      <c r="H33" s="37">
        <v>101</v>
      </c>
      <c r="I33" s="37">
        <v>240</v>
      </c>
      <c r="J33" s="37">
        <v>4511573901</v>
      </c>
      <c r="K33" s="38">
        <v>45667</v>
      </c>
      <c r="L33" s="31" t="s">
        <v>960</v>
      </c>
      <c r="M33" s="39">
        <v>5053389585</v>
      </c>
      <c r="N33" s="31" t="s">
        <v>866</v>
      </c>
      <c r="O33" s="40" t="s">
        <v>20</v>
      </c>
      <c r="P33" s="40" t="s">
        <v>15</v>
      </c>
      <c r="Q33" s="40" t="s">
        <v>22</v>
      </c>
      <c r="R33" s="41">
        <v>45677</v>
      </c>
      <c r="S33" s="40" t="s">
        <v>16</v>
      </c>
      <c r="T33" s="42" t="s">
        <v>17</v>
      </c>
    </row>
    <row r="34" spans="1:20" x14ac:dyDescent="0.3">
      <c r="A34" s="29" t="str">
        <f>Ingresos[[#This Row],[Centro]]&amp;Ingresos[[#This Row],[Almacén]]&amp;Ingresos[[#This Row],[Codigo]]&amp;Ingresos[[#This Row],[Pedido]]&amp;Ingresos[[#This Row],[Posición]]</f>
        <v>Agricola del Chira PlantaLa HuacaMWAGR00013        451157374910</v>
      </c>
      <c r="B34" s="32" t="s">
        <v>12</v>
      </c>
      <c r="C34" s="43" t="s">
        <v>811</v>
      </c>
      <c r="D34" s="43" t="s">
        <v>92</v>
      </c>
      <c r="E34" s="33" t="s">
        <v>885</v>
      </c>
      <c r="F34" s="43">
        <v>10000</v>
      </c>
      <c r="G34" s="33" t="s">
        <v>31</v>
      </c>
      <c r="H34" s="43">
        <v>101</v>
      </c>
      <c r="I34" s="43">
        <v>10</v>
      </c>
      <c r="J34" s="43">
        <v>4511573749</v>
      </c>
      <c r="K34" s="44">
        <v>45667</v>
      </c>
      <c r="L34" s="33" t="s">
        <v>975</v>
      </c>
      <c r="M34" s="45">
        <v>5053389617</v>
      </c>
      <c r="N34" s="33" t="s">
        <v>866</v>
      </c>
      <c r="O34" s="46" t="s">
        <v>20</v>
      </c>
      <c r="P34" s="46" t="s">
        <v>1114</v>
      </c>
      <c r="Q34" s="46" t="s">
        <v>91</v>
      </c>
      <c r="R34" s="47">
        <v>45670</v>
      </c>
      <c r="S34" s="46" t="s">
        <v>16</v>
      </c>
      <c r="T34" s="48" t="s">
        <v>17</v>
      </c>
    </row>
    <row r="35" spans="1:20" x14ac:dyDescent="0.3">
      <c r="A35" s="29" t="str">
        <f>Ingresos[[#This Row],[Centro]]&amp;Ingresos[[#This Row],[Almacén]]&amp;Ingresos[[#This Row],[Codigo]]&amp;Ingresos[[#This Row],[Pedido]]&amp;Ingresos[[#This Row],[Posición]]</f>
        <v>Agricola del Chira PlantaLa HuacaMWAGR00013        451157374910</v>
      </c>
      <c r="B35" s="31" t="s">
        <v>12</v>
      </c>
      <c r="C35" s="37" t="s">
        <v>811</v>
      </c>
      <c r="D35" s="37" t="s">
        <v>92</v>
      </c>
      <c r="E35" s="31" t="s">
        <v>885</v>
      </c>
      <c r="F35" s="37">
        <v>10000</v>
      </c>
      <c r="G35" s="31" t="s">
        <v>31</v>
      </c>
      <c r="H35" s="37">
        <v>101</v>
      </c>
      <c r="I35" s="37">
        <v>10</v>
      </c>
      <c r="J35" s="37">
        <v>4511573749</v>
      </c>
      <c r="K35" s="38">
        <v>45667</v>
      </c>
      <c r="L35" s="31" t="s">
        <v>976</v>
      </c>
      <c r="M35" s="39">
        <v>5053389616</v>
      </c>
      <c r="N35" s="31" t="s">
        <v>866</v>
      </c>
      <c r="O35" s="40" t="s">
        <v>20</v>
      </c>
      <c r="P35" s="40" t="s">
        <v>1114</v>
      </c>
      <c r="Q35" s="40" t="s">
        <v>91</v>
      </c>
      <c r="R35" s="41">
        <v>45670</v>
      </c>
      <c r="S35" s="40" t="s">
        <v>16</v>
      </c>
      <c r="T35" s="42" t="s">
        <v>17</v>
      </c>
    </row>
    <row r="36" spans="1:20" x14ac:dyDescent="0.3">
      <c r="A36" s="29" t="str">
        <f>Ingresos[[#This Row],[Centro]]&amp;Ingresos[[#This Row],[Almacén]]&amp;Ingresos[[#This Row],[Codigo]]&amp;Ingresos[[#This Row],[Pedido]]&amp;Ingresos[[#This Row],[Posición]]</f>
        <v>Agricola del Chira PlantaLa Huaca70003825451157265210</v>
      </c>
      <c r="B36" s="32" t="s">
        <v>12</v>
      </c>
      <c r="C36" s="43" t="s">
        <v>811</v>
      </c>
      <c r="D36" s="43">
        <v>70003825</v>
      </c>
      <c r="E36" s="33" t="s">
        <v>978</v>
      </c>
      <c r="F36" s="43">
        <v>6</v>
      </c>
      <c r="G36" s="33" t="s">
        <v>13</v>
      </c>
      <c r="H36" s="43">
        <v>101</v>
      </c>
      <c r="I36" s="43">
        <v>10</v>
      </c>
      <c r="J36" s="43">
        <v>4511572652</v>
      </c>
      <c r="K36" s="44">
        <v>45666</v>
      </c>
      <c r="L36" s="33" t="s">
        <v>979</v>
      </c>
      <c r="M36" s="45">
        <v>5053388482</v>
      </c>
      <c r="N36" s="33" t="s">
        <v>866</v>
      </c>
      <c r="O36" s="46" t="s">
        <v>20</v>
      </c>
      <c r="P36" s="46" t="s">
        <v>26</v>
      </c>
      <c r="Q36" s="46" t="s">
        <v>49</v>
      </c>
      <c r="R36" s="47">
        <v>45657</v>
      </c>
      <c r="S36" s="46" t="s">
        <v>16</v>
      </c>
      <c r="T36" s="48" t="s">
        <v>23</v>
      </c>
    </row>
    <row r="37" spans="1:20" x14ac:dyDescent="0.3">
      <c r="A37" s="29" t="str">
        <f>Ingresos[[#This Row],[Centro]]&amp;Ingresos[[#This Row],[Almacén]]&amp;Ingresos[[#This Row],[Codigo]]&amp;Ingresos[[#This Row],[Pedido]]&amp;Ingresos[[#This Row],[Posición]]</f>
        <v>Agricola del Chira PlantaLa Huaca70004950451157195010</v>
      </c>
      <c r="B37" s="30" t="s">
        <v>12</v>
      </c>
      <c r="C37" s="37" t="s">
        <v>811</v>
      </c>
      <c r="D37" s="37">
        <v>70004950</v>
      </c>
      <c r="E37" s="31" t="s">
        <v>980</v>
      </c>
      <c r="F37" s="37">
        <v>1</v>
      </c>
      <c r="G37" s="31" t="s">
        <v>13</v>
      </c>
      <c r="H37" s="37">
        <v>101</v>
      </c>
      <c r="I37" s="37">
        <v>10</v>
      </c>
      <c r="J37" s="37">
        <v>4511571950</v>
      </c>
      <c r="K37" s="38">
        <v>45666</v>
      </c>
      <c r="L37" s="31" t="s">
        <v>981</v>
      </c>
      <c r="M37" s="39">
        <v>5053388481</v>
      </c>
      <c r="N37" s="31" t="s">
        <v>866</v>
      </c>
      <c r="O37" s="40" t="s">
        <v>20</v>
      </c>
      <c r="P37" s="40" t="s">
        <v>26</v>
      </c>
      <c r="Q37" s="40" t="s">
        <v>49</v>
      </c>
      <c r="R37" s="41">
        <v>45639</v>
      </c>
      <c r="S37" s="40" t="s">
        <v>16</v>
      </c>
      <c r="T37" s="42" t="s">
        <v>23</v>
      </c>
    </row>
    <row r="38" spans="1:20" x14ac:dyDescent="0.3">
      <c r="A38" s="29" t="str">
        <f>Ingresos[[#This Row],[Centro]]&amp;Ingresos[[#This Row],[Almacén]]&amp;Ingresos[[#This Row],[Codigo]]&amp;Ingresos[[#This Row],[Pedido]]&amp;Ingresos[[#This Row],[Posición]]</f>
        <v>Agricola del Chira PlantaLa Huaca867439451157378210</v>
      </c>
      <c r="B38" s="32" t="s">
        <v>12</v>
      </c>
      <c r="C38" s="43" t="s">
        <v>811</v>
      </c>
      <c r="D38" s="43">
        <v>867439</v>
      </c>
      <c r="E38" s="33" t="s">
        <v>983</v>
      </c>
      <c r="F38" s="43">
        <v>10</v>
      </c>
      <c r="G38" s="33" t="s">
        <v>19</v>
      </c>
      <c r="H38" s="43">
        <v>101</v>
      </c>
      <c r="I38" s="43">
        <v>10</v>
      </c>
      <c r="J38" s="43">
        <v>4511573782</v>
      </c>
      <c r="K38" s="44">
        <v>45665</v>
      </c>
      <c r="L38" s="33" t="s">
        <v>984</v>
      </c>
      <c r="M38" s="45">
        <v>5053388265</v>
      </c>
      <c r="N38" s="33" t="s">
        <v>866</v>
      </c>
      <c r="O38" s="46" t="s">
        <v>20</v>
      </c>
      <c r="P38" s="46" t="s">
        <v>26</v>
      </c>
      <c r="Q38" s="46" t="s">
        <v>42</v>
      </c>
      <c r="R38" s="47">
        <v>45670</v>
      </c>
      <c r="S38" s="46" t="s">
        <v>16</v>
      </c>
      <c r="T38" s="48" t="s">
        <v>17</v>
      </c>
    </row>
    <row r="39" spans="1:20" x14ac:dyDescent="0.3">
      <c r="A39" s="29" t="str">
        <f>Ingresos[[#This Row],[Centro]]&amp;Ingresos[[#This Row],[Almacén]]&amp;Ingresos[[#This Row],[Codigo]]&amp;Ingresos[[#This Row],[Pedido]]&amp;Ingresos[[#This Row],[Posición]]</f>
        <v>Agricola del Chira PlantaLa Huaca70004310451157356610</v>
      </c>
      <c r="B39" s="30" t="s">
        <v>12</v>
      </c>
      <c r="C39" s="37" t="s">
        <v>811</v>
      </c>
      <c r="D39" s="37">
        <v>70004310</v>
      </c>
      <c r="E39" s="31" t="s">
        <v>889</v>
      </c>
      <c r="F39" s="37">
        <v>1</v>
      </c>
      <c r="G39" s="31" t="s">
        <v>13</v>
      </c>
      <c r="H39" s="37">
        <v>101</v>
      </c>
      <c r="I39" s="37">
        <v>10</v>
      </c>
      <c r="J39" s="37">
        <v>4511573566</v>
      </c>
      <c r="K39" s="38">
        <v>45665</v>
      </c>
      <c r="L39" s="31" t="s">
        <v>985</v>
      </c>
      <c r="M39" s="39">
        <v>5053388263</v>
      </c>
      <c r="N39" s="31" t="s">
        <v>866</v>
      </c>
      <c r="O39" s="40" t="s">
        <v>30</v>
      </c>
      <c r="P39" s="40" t="s">
        <v>26</v>
      </c>
      <c r="Q39" s="40" t="s">
        <v>42</v>
      </c>
      <c r="R39" s="41">
        <v>45674</v>
      </c>
      <c r="S39" s="40" t="s">
        <v>16</v>
      </c>
      <c r="T39" s="42" t="s">
        <v>17</v>
      </c>
    </row>
    <row r="40" spans="1:20" x14ac:dyDescent="0.3">
      <c r="A40" s="29" t="str">
        <f>Ingresos[[#This Row],[Centro]]&amp;Ingresos[[#This Row],[Almacén]]&amp;Ingresos[[#This Row],[Codigo]]&amp;Ingresos[[#This Row],[Pedido]]&amp;Ingresos[[#This Row],[Posición]]</f>
        <v>Agricola del Chira PlantaLa Huaca70100392550002475120</v>
      </c>
      <c r="B40" s="32" t="s">
        <v>12</v>
      </c>
      <c r="C40" s="43" t="s">
        <v>811</v>
      </c>
      <c r="D40" s="43">
        <v>70100392</v>
      </c>
      <c r="E40" s="33" t="s">
        <v>53</v>
      </c>
      <c r="F40" s="43">
        <v>31</v>
      </c>
      <c r="G40" s="33" t="s">
        <v>13</v>
      </c>
      <c r="H40" s="43">
        <v>101</v>
      </c>
      <c r="I40" s="43">
        <v>20</v>
      </c>
      <c r="J40" s="43">
        <v>5500024751</v>
      </c>
      <c r="K40" s="44">
        <v>45665</v>
      </c>
      <c r="L40" s="33" t="s">
        <v>986</v>
      </c>
      <c r="M40" s="45">
        <v>5053387842</v>
      </c>
      <c r="N40" s="33" t="s">
        <v>866</v>
      </c>
      <c r="O40" s="46" t="s">
        <v>17</v>
      </c>
      <c r="P40" s="46" t="s">
        <v>28</v>
      </c>
      <c r="Q40" s="46" t="s">
        <v>54</v>
      </c>
      <c r="R40" s="47">
        <v>45670</v>
      </c>
      <c r="S40" s="46" t="s">
        <v>16</v>
      </c>
      <c r="T40" s="48" t="s">
        <v>17</v>
      </c>
    </row>
    <row r="41" spans="1:20" x14ac:dyDescent="0.3">
      <c r="A41" s="29" t="str">
        <f>Ingresos[[#This Row],[Centro]]&amp;Ingresos[[#This Row],[Almacén]]&amp;Ingresos[[#This Row],[Codigo]]&amp;Ingresos[[#This Row],[Pedido]]&amp;Ingresos[[#This Row],[Posición]]</f>
        <v>Agricola del Chira PlantaLa Huaca70135249451157283710</v>
      </c>
      <c r="B41" s="30" t="s">
        <v>12</v>
      </c>
      <c r="C41" s="37" t="s">
        <v>811</v>
      </c>
      <c r="D41" s="37">
        <v>70135249</v>
      </c>
      <c r="E41" s="31" t="s">
        <v>990</v>
      </c>
      <c r="F41" s="37">
        <v>1</v>
      </c>
      <c r="G41" s="31" t="s">
        <v>13</v>
      </c>
      <c r="H41" s="37">
        <v>101</v>
      </c>
      <c r="I41" s="37">
        <v>10</v>
      </c>
      <c r="J41" s="37">
        <v>4511572837</v>
      </c>
      <c r="K41" s="38">
        <v>45664</v>
      </c>
      <c r="L41" s="31" t="s">
        <v>991</v>
      </c>
      <c r="M41" s="39">
        <v>5053387209</v>
      </c>
      <c r="N41" s="31" t="s">
        <v>866</v>
      </c>
      <c r="O41" s="40" t="s">
        <v>20</v>
      </c>
      <c r="P41" s="40" t="s">
        <v>17</v>
      </c>
      <c r="Q41" s="40" t="s">
        <v>17</v>
      </c>
      <c r="R41" s="41" t="s">
        <v>17</v>
      </c>
      <c r="S41" s="40" t="s">
        <v>17</v>
      </c>
      <c r="T41" s="42" t="s">
        <v>17</v>
      </c>
    </row>
    <row r="42" spans="1:20" x14ac:dyDescent="0.3">
      <c r="A42" s="29" t="str">
        <f>Ingresos[[#This Row],[Centro]]&amp;Ingresos[[#This Row],[Almacén]]&amp;Ingresos[[#This Row],[Codigo]]&amp;Ingresos[[#This Row],[Pedido]]&amp;Ingresos[[#This Row],[Posición]]</f>
        <v>Agricola del Chira PlantaLa Huaca748268451157289910</v>
      </c>
      <c r="B42" s="33" t="s">
        <v>12</v>
      </c>
      <c r="C42" s="43" t="s">
        <v>811</v>
      </c>
      <c r="D42" s="43">
        <v>748268</v>
      </c>
      <c r="E42" s="33" t="s">
        <v>994</v>
      </c>
      <c r="F42" s="43">
        <v>5.6</v>
      </c>
      <c r="G42" s="33" t="s">
        <v>21</v>
      </c>
      <c r="H42" s="43">
        <v>101</v>
      </c>
      <c r="I42" s="43">
        <v>10</v>
      </c>
      <c r="J42" s="43">
        <v>4511572899</v>
      </c>
      <c r="K42" s="44">
        <v>45663</v>
      </c>
      <c r="L42" s="33" t="s">
        <v>995</v>
      </c>
      <c r="M42" s="45">
        <v>5053386747</v>
      </c>
      <c r="N42" s="33" t="s">
        <v>866</v>
      </c>
      <c r="O42" s="46" t="s">
        <v>30</v>
      </c>
      <c r="P42" s="46" t="s">
        <v>26</v>
      </c>
      <c r="Q42" s="46" t="s">
        <v>173</v>
      </c>
      <c r="R42" s="47">
        <v>45670</v>
      </c>
      <c r="S42" s="46" t="s">
        <v>16</v>
      </c>
      <c r="T42" s="48" t="s">
        <v>17</v>
      </c>
    </row>
    <row r="43" spans="1:20" x14ac:dyDescent="0.3">
      <c r="A43" s="29" t="str">
        <f>Ingresos[[#This Row],[Centro]]&amp;Ingresos[[#This Row],[Almacén]]&amp;Ingresos[[#This Row],[Codigo]]&amp;Ingresos[[#This Row],[Pedido]]&amp;Ingresos[[#This Row],[Posición]]</f>
        <v>Agricola del Chira PlantaLa Huaca755674451157214830</v>
      </c>
      <c r="B43" s="31" t="s">
        <v>12</v>
      </c>
      <c r="C43" s="37" t="s">
        <v>811</v>
      </c>
      <c r="D43" s="37">
        <v>755674</v>
      </c>
      <c r="E43" s="31" t="s">
        <v>996</v>
      </c>
      <c r="F43" s="37">
        <v>3</v>
      </c>
      <c r="G43" s="31" t="s">
        <v>13</v>
      </c>
      <c r="H43" s="37">
        <v>101</v>
      </c>
      <c r="I43" s="37">
        <v>30</v>
      </c>
      <c r="J43" s="37">
        <v>4511572148</v>
      </c>
      <c r="K43" s="38">
        <v>45663</v>
      </c>
      <c r="L43" s="31" t="s">
        <v>997</v>
      </c>
      <c r="M43" s="39">
        <v>5053386750</v>
      </c>
      <c r="N43" s="31" t="s">
        <v>866</v>
      </c>
      <c r="O43" s="40" t="s">
        <v>30</v>
      </c>
      <c r="P43" s="40" t="s">
        <v>26</v>
      </c>
      <c r="Q43" s="40" t="s">
        <v>240</v>
      </c>
      <c r="R43" s="41">
        <v>45670</v>
      </c>
      <c r="S43" s="40" t="s">
        <v>16</v>
      </c>
      <c r="T43" s="42" t="s">
        <v>17</v>
      </c>
    </row>
    <row r="44" spans="1:20" x14ac:dyDescent="0.3">
      <c r="A44" s="29" t="str">
        <f>Ingresos[[#This Row],[Centro]]&amp;Ingresos[[#This Row],[Almacén]]&amp;Ingresos[[#This Row],[Codigo]]&amp;Ingresos[[#This Row],[Pedido]]&amp;Ingresos[[#This Row],[Posición]]</f>
        <v>Agricola del Chira PlantaLa Huaca850829451157363810</v>
      </c>
      <c r="B44" s="32" t="s">
        <v>12</v>
      </c>
      <c r="C44" s="43" t="s">
        <v>811</v>
      </c>
      <c r="D44" s="43">
        <v>850829</v>
      </c>
      <c r="E44" s="33" t="s">
        <v>998</v>
      </c>
      <c r="F44" s="43">
        <v>1</v>
      </c>
      <c r="G44" s="33" t="s">
        <v>13</v>
      </c>
      <c r="H44" s="43">
        <v>101</v>
      </c>
      <c r="I44" s="43">
        <v>10</v>
      </c>
      <c r="J44" s="43">
        <v>4511573638</v>
      </c>
      <c r="K44" s="44">
        <v>45663</v>
      </c>
      <c r="L44" s="33" t="s">
        <v>999</v>
      </c>
      <c r="M44" s="45">
        <v>5053386731</v>
      </c>
      <c r="N44" s="33" t="s">
        <v>866</v>
      </c>
      <c r="O44" s="46" t="s">
        <v>30</v>
      </c>
      <c r="P44" s="46" t="s">
        <v>26</v>
      </c>
      <c r="Q44" s="46" t="s">
        <v>310</v>
      </c>
      <c r="R44" s="47">
        <v>45672</v>
      </c>
      <c r="S44" s="46" t="s">
        <v>16</v>
      </c>
      <c r="T44" s="48" t="s">
        <v>17</v>
      </c>
    </row>
    <row r="45" spans="1:20" x14ac:dyDescent="0.3">
      <c r="A45" s="29" t="str">
        <f>Ingresos[[#This Row],[Centro]]&amp;Ingresos[[#This Row],[Almacén]]&amp;Ingresos[[#This Row],[Codigo]]&amp;Ingresos[[#This Row],[Pedido]]&amp;Ingresos[[#This Row],[Posición]]</f>
        <v>Agricola del Chira PlantaLa Huaca70004596451157246610</v>
      </c>
      <c r="B45" s="30" t="s">
        <v>12</v>
      </c>
      <c r="C45" s="37" t="s">
        <v>811</v>
      </c>
      <c r="D45" s="37">
        <v>70004596</v>
      </c>
      <c r="E45" s="31" t="s">
        <v>1001</v>
      </c>
      <c r="F45" s="37">
        <v>6</v>
      </c>
      <c r="G45" s="31" t="s">
        <v>13</v>
      </c>
      <c r="H45" s="37">
        <v>101</v>
      </c>
      <c r="I45" s="37">
        <v>10</v>
      </c>
      <c r="J45" s="37">
        <v>4511572466</v>
      </c>
      <c r="K45" s="38">
        <v>45663</v>
      </c>
      <c r="L45" s="31" t="s">
        <v>1002</v>
      </c>
      <c r="M45" s="39">
        <v>5053386749</v>
      </c>
      <c r="N45" s="31" t="s">
        <v>866</v>
      </c>
      <c r="O45" s="40" t="s">
        <v>20</v>
      </c>
      <c r="P45" s="40" t="s">
        <v>26</v>
      </c>
      <c r="Q45" s="40" t="s">
        <v>240</v>
      </c>
      <c r="R45" s="41">
        <v>45646</v>
      </c>
      <c r="S45" s="40" t="s">
        <v>16</v>
      </c>
      <c r="T45" s="42" t="s">
        <v>23</v>
      </c>
    </row>
    <row r="46" spans="1:20" x14ac:dyDescent="0.3">
      <c r="A46" s="29" t="str">
        <f>Ingresos[[#This Row],[Centro]]&amp;Ingresos[[#This Row],[Almacén]]&amp;Ingresos[[#This Row],[Codigo]]&amp;Ingresos[[#This Row],[Pedido]]&amp;Ingresos[[#This Row],[Posición]]</f>
        <v>Agricola del Chira PlantaLa Huaca70043537451156994410</v>
      </c>
      <c r="B46" s="32" t="s">
        <v>12</v>
      </c>
      <c r="C46" s="43" t="s">
        <v>811</v>
      </c>
      <c r="D46" s="43">
        <v>70043537</v>
      </c>
      <c r="E46" s="33" t="s">
        <v>1003</v>
      </c>
      <c r="F46" s="43">
        <v>1</v>
      </c>
      <c r="G46" s="33" t="s">
        <v>13</v>
      </c>
      <c r="H46" s="43">
        <v>101</v>
      </c>
      <c r="I46" s="43">
        <v>10</v>
      </c>
      <c r="J46" s="43">
        <v>4511569944</v>
      </c>
      <c r="K46" s="44">
        <v>45663</v>
      </c>
      <c r="L46" s="33" t="s">
        <v>1004</v>
      </c>
      <c r="M46" s="45">
        <v>5053387210</v>
      </c>
      <c r="N46" s="33" t="s">
        <v>866</v>
      </c>
      <c r="O46" s="46" t="s">
        <v>30</v>
      </c>
      <c r="P46" s="46" t="s">
        <v>50</v>
      </c>
      <c r="Q46" s="46" t="s">
        <v>1184</v>
      </c>
      <c r="R46" s="47">
        <v>45684</v>
      </c>
      <c r="S46" s="46" t="s">
        <v>16</v>
      </c>
      <c r="T46" s="48" t="s">
        <v>17</v>
      </c>
    </row>
    <row r="47" spans="1:20" x14ac:dyDescent="0.3">
      <c r="A47" s="29" t="str">
        <f>Ingresos[[#This Row],[Centro]]&amp;Ingresos[[#This Row],[Almacén]]&amp;Ingresos[[#This Row],[Codigo]]&amp;Ingresos[[#This Row],[Pedido]]&amp;Ingresos[[#This Row],[Posición]]</f>
        <v>Agricola del Chira PlantaLa Huaca70113596451157352810</v>
      </c>
      <c r="B47" s="30" t="s">
        <v>12</v>
      </c>
      <c r="C47" s="37" t="s">
        <v>811</v>
      </c>
      <c r="D47" s="37">
        <v>70113596</v>
      </c>
      <c r="E47" s="31" t="s">
        <v>1008</v>
      </c>
      <c r="F47" s="37">
        <v>2</v>
      </c>
      <c r="G47" s="31" t="s">
        <v>888</v>
      </c>
      <c r="H47" s="37">
        <v>101</v>
      </c>
      <c r="I47" s="37">
        <v>10</v>
      </c>
      <c r="J47" s="37">
        <v>4511573528</v>
      </c>
      <c r="K47" s="38">
        <v>45663</v>
      </c>
      <c r="L47" s="31" t="s">
        <v>1009</v>
      </c>
      <c r="M47" s="39">
        <v>5053386753</v>
      </c>
      <c r="N47" s="31" t="s">
        <v>866</v>
      </c>
      <c r="O47" s="40" t="s">
        <v>18</v>
      </c>
      <c r="P47" s="40" t="s">
        <v>26</v>
      </c>
      <c r="Q47" s="40" t="s">
        <v>44</v>
      </c>
      <c r="R47" s="41">
        <v>45667</v>
      </c>
      <c r="S47" s="40" t="s">
        <v>16</v>
      </c>
      <c r="T47" s="42" t="s">
        <v>17</v>
      </c>
    </row>
    <row r="48" spans="1:20" x14ac:dyDescent="0.3">
      <c r="A48" s="29" t="str">
        <f>Ingresos[[#This Row],[Centro]]&amp;Ingresos[[#This Row],[Almacén]]&amp;Ingresos[[#This Row],[Codigo]]&amp;Ingresos[[#This Row],[Pedido]]&amp;Ingresos[[#This Row],[Posición]]</f>
        <v>Agricola del Chira PlantaLa Huaca745473451157108310</v>
      </c>
      <c r="B48" s="32" t="s">
        <v>12</v>
      </c>
      <c r="C48" s="43" t="s">
        <v>811</v>
      </c>
      <c r="D48" s="43">
        <v>745473</v>
      </c>
      <c r="E48" s="33" t="s">
        <v>1014</v>
      </c>
      <c r="F48" s="43">
        <v>1</v>
      </c>
      <c r="G48" s="33" t="s">
        <v>13</v>
      </c>
      <c r="H48" s="43">
        <v>101</v>
      </c>
      <c r="I48" s="43">
        <v>10</v>
      </c>
      <c r="J48" s="43">
        <v>4511571083</v>
      </c>
      <c r="K48" s="44">
        <v>45660</v>
      </c>
      <c r="L48" s="33" t="s">
        <v>1015</v>
      </c>
      <c r="M48" s="45">
        <v>5053385650</v>
      </c>
      <c r="N48" s="33" t="s">
        <v>866</v>
      </c>
      <c r="O48" s="46" t="s">
        <v>20</v>
      </c>
      <c r="P48" s="46" t="s">
        <v>50</v>
      </c>
      <c r="Q48" s="46" t="s">
        <v>22</v>
      </c>
      <c r="R48" s="47">
        <v>45632</v>
      </c>
      <c r="S48" s="46" t="s">
        <v>16</v>
      </c>
      <c r="T48" s="48" t="s">
        <v>23</v>
      </c>
    </row>
    <row r="49" spans="1:20" x14ac:dyDescent="0.3">
      <c r="A49" s="29" t="str">
        <f>Ingresos[[#This Row],[Centro]]&amp;Ingresos[[#This Row],[Almacén]]&amp;Ingresos[[#This Row],[Codigo]]&amp;Ingresos[[#This Row],[Pedido]]&amp;Ingresos[[#This Row],[Posición]]</f>
        <v>Agricola del Chira PlantaLa Huaca808835451157267960</v>
      </c>
      <c r="B49" s="30" t="s">
        <v>12</v>
      </c>
      <c r="C49" s="37" t="s">
        <v>811</v>
      </c>
      <c r="D49" s="37">
        <v>808835</v>
      </c>
      <c r="E49" s="31" t="s">
        <v>961</v>
      </c>
      <c r="F49" s="37">
        <v>4</v>
      </c>
      <c r="G49" s="31" t="s">
        <v>45</v>
      </c>
      <c r="H49" s="37">
        <v>101</v>
      </c>
      <c r="I49" s="37">
        <v>60</v>
      </c>
      <c r="J49" s="37">
        <v>4511572679</v>
      </c>
      <c r="K49" s="38">
        <v>45660</v>
      </c>
      <c r="L49" s="31" t="s">
        <v>1016</v>
      </c>
      <c r="M49" s="39">
        <v>5053385651</v>
      </c>
      <c r="N49" s="31" t="s">
        <v>866</v>
      </c>
      <c r="O49" s="40" t="s">
        <v>20</v>
      </c>
      <c r="P49" s="40" t="s">
        <v>15</v>
      </c>
      <c r="Q49" s="40" t="s">
        <v>22</v>
      </c>
      <c r="R49" s="41">
        <v>45656</v>
      </c>
      <c r="S49" s="40" t="s">
        <v>16</v>
      </c>
      <c r="T49" s="42" t="s">
        <v>23</v>
      </c>
    </row>
    <row r="50" spans="1:20" x14ac:dyDescent="0.3">
      <c r="A50" s="29" t="str">
        <f>Ingresos[[#This Row],[Centro]]&amp;Ingresos[[#This Row],[Almacén]]&amp;Ingresos[[#This Row],[Codigo]]&amp;Ingresos[[#This Row],[Pedido]]&amp;Ingresos[[#This Row],[Posición]]</f>
        <v>Agricola del Chira PlantaLa Huaca70100392550002475120</v>
      </c>
      <c r="B50" s="32" t="s">
        <v>12</v>
      </c>
      <c r="C50" s="43" t="s">
        <v>811</v>
      </c>
      <c r="D50" s="43">
        <v>70100392</v>
      </c>
      <c r="E50" s="33" t="s">
        <v>53</v>
      </c>
      <c r="F50" s="43">
        <v>35</v>
      </c>
      <c r="G50" s="33" t="s">
        <v>13</v>
      </c>
      <c r="H50" s="43">
        <v>101</v>
      </c>
      <c r="I50" s="43">
        <v>20</v>
      </c>
      <c r="J50" s="43">
        <v>5500024751</v>
      </c>
      <c r="K50" s="44">
        <v>45657</v>
      </c>
      <c r="L50" s="33" t="s">
        <v>1021</v>
      </c>
      <c r="M50" s="45">
        <v>5053381888</v>
      </c>
      <c r="N50" s="33" t="s">
        <v>866</v>
      </c>
      <c r="O50" s="46" t="s">
        <v>17</v>
      </c>
      <c r="P50" s="46" t="s">
        <v>28</v>
      </c>
      <c r="Q50" s="46" t="s">
        <v>54</v>
      </c>
      <c r="R50" s="47">
        <v>45670</v>
      </c>
      <c r="S50" s="46" t="s">
        <v>16</v>
      </c>
      <c r="T50" s="48" t="s">
        <v>17</v>
      </c>
    </row>
    <row r="51" spans="1:20" x14ac:dyDescent="0.3">
      <c r="A51" s="29" t="str">
        <f>Ingresos[[#This Row],[Centro]]&amp;Ingresos[[#This Row],[Almacén]]&amp;Ingresos[[#This Row],[Codigo]]&amp;Ingresos[[#This Row],[Pedido]]&amp;Ingresos[[#This Row],[Posición]]</f>
        <v>Agricola del Chira PlantaLa Huaca70043958451156994420</v>
      </c>
      <c r="B51" s="30" t="s">
        <v>12</v>
      </c>
      <c r="C51" s="37" t="s">
        <v>811</v>
      </c>
      <c r="D51" s="37">
        <v>70043958</v>
      </c>
      <c r="E51" s="31" t="s">
        <v>1032</v>
      </c>
      <c r="F51" s="37">
        <v>1</v>
      </c>
      <c r="G51" s="31" t="s">
        <v>13</v>
      </c>
      <c r="H51" s="37">
        <v>101</v>
      </c>
      <c r="I51" s="37">
        <v>20</v>
      </c>
      <c r="J51" s="37">
        <v>4511569944</v>
      </c>
      <c r="K51" s="38">
        <v>45649</v>
      </c>
      <c r="L51" s="31" t="s">
        <v>1033</v>
      </c>
      <c r="M51" s="39">
        <v>5053376643</v>
      </c>
      <c r="N51" s="31" t="s">
        <v>866</v>
      </c>
      <c r="O51" s="40" t="s">
        <v>30</v>
      </c>
      <c r="P51" s="40" t="s">
        <v>50</v>
      </c>
      <c r="Q51" s="40" t="s">
        <v>1184</v>
      </c>
      <c r="R51" s="41">
        <v>45642</v>
      </c>
      <c r="S51" s="40" t="s">
        <v>16</v>
      </c>
      <c r="T51" s="42" t="s">
        <v>23</v>
      </c>
    </row>
    <row r="52" spans="1:20" x14ac:dyDescent="0.3">
      <c r="A52" s="29" t="str">
        <f>Ingresos[[#This Row],[Centro]]&amp;Ingresos[[#This Row],[Almacén]]&amp;Ingresos[[#This Row],[Codigo]]&amp;Ingresos[[#This Row],[Pedido]]&amp;Ingresos[[#This Row],[Posición]]</f>
        <v>Agricola del Chira PlantaLa Huaca70061692451156994430</v>
      </c>
      <c r="B52" s="32" t="s">
        <v>12</v>
      </c>
      <c r="C52" s="43" t="s">
        <v>811</v>
      </c>
      <c r="D52" s="43">
        <v>70061692</v>
      </c>
      <c r="E52" s="33" t="s">
        <v>1034</v>
      </c>
      <c r="F52" s="43">
        <v>1</v>
      </c>
      <c r="G52" s="33" t="s">
        <v>13</v>
      </c>
      <c r="H52" s="43">
        <v>101</v>
      </c>
      <c r="I52" s="43">
        <v>30</v>
      </c>
      <c r="J52" s="43">
        <v>4511569944</v>
      </c>
      <c r="K52" s="44">
        <v>45649</v>
      </c>
      <c r="L52" s="33" t="s">
        <v>1033</v>
      </c>
      <c r="M52" s="45">
        <v>5053376643</v>
      </c>
      <c r="N52" s="33" t="s">
        <v>866</v>
      </c>
      <c r="O52" s="46" t="s">
        <v>30</v>
      </c>
      <c r="P52" s="46" t="s">
        <v>50</v>
      </c>
      <c r="Q52" s="46" t="s">
        <v>1184</v>
      </c>
      <c r="R52" s="47">
        <v>45642</v>
      </c>
      <c r="S52" s="46" t="s">
        <v>16</v>
      </c>
      <c r="T52" s="48" t="s">
        <v>23</v>
      </c>
    </row>
    <row r="53" spans="1:20" x14ac:dyDescent="0.3">
      <c r="A53" s="29" t="str">
        <f>Ingresos[[#This Row],[Centro]]&amp;Ingresos[[#This Row],[Almacén]]&amp;Ingresos[[#This Row],[Codigo]]&amp;Ingresos[[#This Row],[Pedido]]&amp;Ingresos[[#This Row],[Posición]]</f>
        <v>Agricola del Chira PlantaLa Huaca70061693451156994440</v>
      </c>
      <c r="B53" s="31" t="s">
        <v>12</v>
      </c>
      <c r="C53" s="37" t="s">
        <v>811</v>
      </c>
      <c r="D53" s="37">
        <v>70061693</v>
      </c>
      <c r="E53" s="31" t="s">
        <v>1035</v>
      </c>
      <c r="F53" s="37">
        <v>1</v>
      </c>
      <c r="G53" s="31" t="s">
        <v>13</v>
      </c>
      <c r="H53" s="37">
        <v>101</v>
      </c>
      <c r="I53" s="37">
        <v>40</v>
      </c>
      <c r="J53" s="37">
        <v>4511569944</v>
      </c>
      <c r="K53" s="38">
        <v>45649</v>
      </c>
      <c r="L53" s="31" t="s">
        <v>1033</v>
      </c>
      <c r="M53" s="39">
        <v>5053376643</v>
      </c>
      <c r="N53" s="31" t="s">
        <v>866</v>
      </c>
      <c r="O53" s="40" t="s">
        <v>30</v>
      </c>
      <c r="P53" s="40" t="s">
        <v>50</v>
      </c>
      <c r="Q53" s="40" t="s">
        <v>1184</v>
      </c>
      <c r="R53" s="41">
        <v>45642</v>
      </c>
      <c r="S53" s="40" t="s">
        <v>16</v>
      </c>
      <c r="T53" s="42" t="s">
        <v>23</v>
      </c>
    </row>
    <row r="54" spans="1:20" x14ac:dyDescent="0.3">
      <c r="A54" s="29" t="str">
        <f>Ingresos[[#This Row],[Centro]]&amp;Ingresos[[#This Row],[Almacén]]&amp;Ingresos[[#This Row],[Codigo]]&amp;Ingresos[[#This Row],[Pedido]]&amp;Ingresos[[#This Row],[Posición]]</f>
        <v>Agricola del Chira PlantaLa Huaca70100392550002475120</v>
      </c>
      <c r="B54" s="32" t="s">
        <v>12</v>
      </c>
      <c r="C54" s="43" t="s">
        <v>811</v>
      </c>
      <c r="D54" s="43">
        <v>70100392</v>
      </c>
      <c r="E54" s="33" t="s">
        <v>53</v>
      </c>
      <c r="F54" s="43">
        <v>35</v>
      </c>
      <c r="G54" s="33" t="s">
        <v>13</v>
      </c>
      <c r="H54" s="43">
        <v>101</v>
      </c>
      <c r="I54" s="43">
        <v>20</v>
      </c>
      <c r="J54" s="43">
        <v>5500024751</v>
      </c>
      <c r="K54" s="44">
        <v>45643</v>
      </c>
      <c r="L54" s="33" t="s">
        <v>1046</v>
      </c>
      <c r="M54" s="45">
        <v>5053371121</v>
      </c>
      <c r="N54" s="33" t="s">
        <v>866</v>
      </c>
      <c r="O54" s="46" t="s">
        <v>17</v>
      </c>
      <c r="P54" s="46" t="s">
        <v>28</v>
      </c>
      <c r="Q54" s="46" t="s">
        <v>54</v>
      </c>
      <c r="R54" s="47">
        <v>45670</v>
      </c>
      <c r="S54" s="46" t="s">
        <v>16</v>
      </c>
      <c r="T54" s="48" t="s">
        <v>17</v>
      </c>
    </row>
    <row r="55" spans="1:20" x14ac:dyDescent="0.3">
      <c r="A55" s="29" t="str">
        <f>Ingresos[[#This Row],[Centro]]&amp;Ingresos[[#This Row],[Almacén]]&amp;Ingresos[[#This Row],[Codigo]]&amp;Ingresos[[#This Row],[Pedido]]&amp;Ingresos[[#This Row],[Posición]]</f>
        <v>Agricola del Chira PlantaLa Huaca894559451157167920</v>
      </c>
      <c r="B55" s="30" t="s">
        <v>12</v>
      </c>
      <c r="C55" s="37" t="s">
        <v>811</v>
      </c>
      <c r="D55" s="37">
        <v>894559</v>
      </c>
      <c r="E55" s="31" t="s">
        <v>1053</v>
      </c>
      <c r="F55" s="37">
        <v>2500</v>
      </c>
      <c r="G55" s="31" t="s">
        <v>918</v>
      </c>
      <c r="H55" s="37">
        <v>101</v>
      </c>
      <c r="I55" s="37">
        <v>20</v>
      </c>
      <c r="J55" s="37">
        <v>4511571679</v>
      </c>
      <c r="K55" s="38">
        <v>45642</v>
      </c>
      <c r="L55" s="31" t="s">
        <v>1054</v>
      </c>
      <c r="M55" s="39">
        <v>5053370471</v>
      </c>
      <c r="N55" s="31" t="s">
        <v>866</v>
      </c>
      <c r="O55" s="40" t="s">
        <v>30</v>
      </c>
      <c r="P55" s="40" t="s">
        <v>148</v>
      </c>
      <c r="Q55" s="40" t="s">
        <v>237</v>
      </c>
      <c r="R55" s="41">
        <v>45646</v>
      </c>
      <c r="S55" s="40" t="s">
        <v>16</v>
      </c>
      <c r="T55" s="42" t="s">
        <v>17</v>
      </c>
    </row>
    <row r="56" spans="1:20" x14ac:dyDescent="0.3">
      <c r="A56" s="29" t="str">
        <f>Ingresos[[#This Row],[Centro]]&amp;Ingresos[[#This Row],[Almacén]]&amp;Ingresos[[#This Row],[Codigo]]&amp;Ingresos[[#This Row],[Pedido]]&amp;Ingresos[[#This Row],[Posición]]</f>
        <v>Agricola del Chira PlantaLa Huaca894561451157167950</v>
      </c>
      <c r="B56" s="32" t="s">
        <v>12</v>
      </c>
      <c r="C56" s="43" t="s">
        <v>811</v>
      </c>
      <c r="D56" s="43">
        <v>894561</v>
      </c>
      <c r="E56" s="33" t="s">
        <v>1055</v>
      </c>
      <c r="F56" s="43">
        <v>1000</v>
      </c>
      <c r="G56" s="33" t="s">
        <v>918</v>
      </c>
      <c r="H56" s="43">
        <v>101</v>
      </c>
      <c r="I56" s="43">
        <v>50</v>
      </c>
      <c r="J56" s="43">
        <v>4511571679</v>
      </c>
      <c r="K56" s="44">
        <v>45642</v>
      </c>
      <c r="L56" s="33" t="s">
        <v>1054</v>
      </c>
      <c r="M56" s="45">
        <v>5053370471</v>
      </c>
      <c r="N56" s="33" t="s">
        <v>866</v>
      </c>
      <c r="O56" s="46" t="s">
        <v>30</v>
      </c>
      <c r="P56" s="46" t="s">
        <v>148</v>
      </c>
      <c r="Q56" s="46" t="s">
        <v>237</v>
      </c>
      <c r="R56" s="47">
        <v>45646</v>
      </c>
      <c r="S56" s="46" t="s">
        <v>16</v>
      </c>
      <c r="T56" s="48" t="s">
        <v>17</v>
      </c>
    </row>
    <row r="57" spans="1:20" x14ac:dyDescent="0.3">
      <c r="A57" s="29" t="str">
        <f>Ingresos[[#This Row],[Centro]]&amp;Ingresos[[#This Row],[Almacén]]&amp;Ingresos[[#This Row],[Codigo]]&amp;Ingresos[[#This Row],[Pedido]]&amp;Ingresos[[#This Row],[Posición]]</f>
        <v>Agricola del Chira PlantaLa Huaca894562451157167970</v>
      </c>
      <c r="B57" s="31" t="s">
        <v>12</v>
      </c>
      <c r="C57" s="37" t="s">
        <v>811</v>
      </c>
      <c r="D57" s="37">
        <v>894562</v>
      </c>
      <c r="E57" s="31" t="s">
        <v>1056</v>
      </c>
      <c r="F57" s="37">
        <v>300</v>
      </c>
      <c r="G57" s="31" t="s">
        <v>918</v>
      </c>
      <c r="H57" s="37">
        <v>101</v>
      </c>
      <c r="I57" s="37">
        <v>70</v>
      </c>
      <c r="J57" s="37">
        <v>4511571679</v>
      </c>
      <c r="K57" s="38">
        <v>45642</v>
      </c>
      <c r="L57" s="31" t="s">
        <v>1054</v>
      </c>
      <c r="M57" s="39">
        <v>5053370471</v>
      </c>
      <c r="N57" s="31" t="s">
        <v>866</v>
      </c>
      <c r="O57" s="40" t="s">
        <v>30</v>
      </c>
      <c r="P57" s="40" t="s">
        <v>148</v>
      </c>
      <c r="Q57" s="40" t="s">
        <v>237</v>
      </c>
      <c r="R57" s="41">
        <v>45646</v>
      </c>
      <c r="S57" s="40" t="s">
        <v>16</v>
      </c>
      <c r="T57" s="42" t="s">
        <v>17</v>
      </c>
    </row>
    <row r="58" spans="1:20" x14ac:dyDescent="0.3">
      <c r="A58" s="29" t="str">
        <f>Ingresos[[#This Row],[Centro]]&amp;Ingresos[[#This Row],[Almacén]]&amp;Ingresos[[#This Row],[Codigo]]&amp;Ingresos[[#This Row],[Pedido]]&amp;Ingresos[[#This Row],[Posición]]</f>
        <v>Agricola del Chira PlantaLa Huaca70052954451157042910</v>
      </c>
      <c r="B58" s="32" t="s">
        <v>12</v>
      </c>
      <c r="C58" s="43" t="s">
        <v>811</v>
      </c>
      <c r="D58" s="43">
        <v>70052954</v>
      </c>
      <c r="E58" s="33" t="s">
        <v>1059</v>
      </c>
      <c r="F58" s="43">
        <v>6</v>
      </c>
      <c r="G58" s="33" t="s">
        <v>13</v>
      </c>
      <c r="H58" s="43">
        <v>101</v>
      </c>
      <c r="I58" s="43">
        <v>10</v>
      </c>
      <c r="J58" s="43">
        <v>4511570429</v>
      </c>
      <c r="K58" s="44">
        <v>45642</v>
      </c>
      <c r="L58" s="33" t="s">
        <v>1060</v>
      </c>
      <c r="M58" s="45">
        <v>5053370464</v>
      </c>
      <c r="N58" s="33" t="s">
        <v>866</v>
      </c>
      <c r="O58" s="46" t="s">
        <v>20</v>
      </c>
      <c r="P58" s="46" t="s">
        <v>26</v>
      </c>
      <c r="Q58" s="46" t="s">
        <v>168</v>
      </c>
      <c r="R58" s="47">
        <v>45644</v>
      </c>
      <c r="S58" s="46" t="s">
        <v>16</v>
      </c>
      <c r="T58" s="48" t="s">
        <v>17</v>
      </c>
    </row>
    <row r="59" spans="1:20" x14ac:dyDescent="0.3">
      <c r="A59" s="29" t="str">
        <f>Ingresos[[#This Row],[Centro]]&amp;Ingresos[[#This Row],[Almacén]]&amp;Ingresos[[#This Row],[Codigo]]&amp;Ingresos[[#This Row],[Pedido]]&amp;Ingresos[[#This Row],[Posición]]</f>
        <v>Agricola del Chira PlantaLa Huaca736856451157174810</v>
      </c>
      <c r="B59" s="30" t="s">
        <v>12</v>
      </c>
      <c r="C59" s="37" t="s">
        <v>811</v>
      </c>
      <c r="D59" s="37">
        <v>736856</v>
      </c>
      <c r="E59" s="31" t="s">
        <v>916</v>
      </c>
      <c r="F59" s="37">
        <v>4</v>
      </c>
      <c r="G59" s="31" t="s">
        <v>13</v>
      </c>
      <c r="H59" s="37">
        <v>101</v>
      </c>
      <c r="I59" s="37">
        <v>10</v>
      </c>
      <c r="J59" s="37">
        <v>4511571748</v>
      </c>
      <c r="K59" s="38">
        <v>45639</v>
      </c>
      <c r="L59" s="31" t="s">
        <v>965</v>
      </c>
      <c r="M59" s="39">
        <v>5053368264</v>
      </c>
      <c r="N59" s="31" t="s">
        <v>866</v>
      </c>
      <c r="O59" s="40" t="s">
        <v>20</v>
      </c>
      <c r="P59" s="40" t="s">
        <v>15</v>
      </c>
      <c r="Q59" s="40" t="s">
        <v>14</v>
      </c>
      <c r="R59" s="41">
        <v>45642</v>
      </c>
      <c r="S59" s="40" t="s">
        <v>16</v>
      </c>
      <c r="T59" s="42" t="s">
        <v>17</v>
      </c>
    </row>
    <row r="60" spans="1:20" x14ac:dyDescent="0.3">
      <c r="A60" s="29" t="str">
        <f>Ingresos[[#This Row],[Centro]]&amp;Ingresos[[#This Row],[Almacén]]&amp;Ingresos[[#This Row],[Codigo]]&amp;Ingresos[[#This Row],[Pedido]]&amp;Ingresos[[#This Row],[Posición]]</f>
        <v>Agricola del Chira PlantaLa Huaca808346451157229520</v>
      </c>
      <c r="B60" s="32" t="s">
        <v>12</v>
      </c>
      <c r="C60" s="43" t="s">
        <v>811</v>
      </c>
      <c r="D60" s="43">
        <v>808346</v>
      </c>
      <c r="E60" s="33" t="s">
        <v>917</v>
      </c>
      <c r="F60" s="43">
        <v>5000</v>
      </c>
      <c r="G60" s="33" t="s">
        <v>918</v>
      </c>
      <c r="H60" s="43">
        <v>101</v>
      </c>
      <c r="I60" s="43">
        <v>20</v>
      </c>
      <c r="J60" s="43">
        <v>4511572295</v>
      </c>
      <c r="K60" s="44">
        <v>45639</v>
      </c>
      <c r="L60" s="33" t="s">
        <v>1066</v>
      </c>
      <c r="M60" s="45">
        <v>5053368267</v>
      </c>
      <c r="N60" s="33" t="s">
        <v>866</v>
      </c>
      <c r="O60" s="46" t="s">
        <v>18</v>
      </c>
      <c r="P60" s="46" t="s">
        <v>148</v>
      </c>
      <c r="Q60" s="46" t="s">
        <v>14</v>
      </c>
      <c r="R60" s="47">
        <v>45649</v>
      </c>
      <c r="S60" s="46" t="s">
        <v>16</v>
      </c>
      <c r="T60" s="48" t="s">
        <v>17</v>
      </c>
    </row>
    <row r="61" spans="1:20" x14ac:dyDescent="0.3">
      <c r="A61" s="29" t="str">
        <f>Ingresos[[#This Row],[Centro]]&amp;Ingresos[[#This Row],[Almacén]]&amp;Ingresos[[#This Row],[Codigo]]&amp;Ingresos[[#This Row],[Pedido]]&amp;Ingresos[[#This Row],[Posición]]</f>
        <v>Agricola del Chira PlantaLa Huaca70003837451157195610</v>
      </c>
      <c r="B61" s="30" t="s">
        <v>12</v>
      </c>
      <c r="C61" s="37" t="s">
        <v>811</v>
      </c>
      <c r="D61" s="37">
        <v>70003837</v>
      </c>
      <c r="E61" s="31" t="s">
        <v>920</v>
      </c>
      <c r="F61" s="37">
        <v>18</v>
      </c>
      <c r="G61" s="31" t="s">
        <v>13</v>
      </c>
      <c r="H61" s="37">
        <v>101</v>
      </c>
      <c r="I61" s="37">
        <v>10</v>
      </c>
      <c r="J61" s="37">
        <v>4511571956</v>
      </c>
      <c r="K61" s="38">
        <v>45639</v>
      </c>
      <c r="L61" s="31" t="s">
        <v>1069</v>
      </c>
      <c r="M61" s="39">
        <v>5053368268</v>
      </c>
      <c r="N61" s="31" t="s">
        <v>866</v>
      </c>
      <c r="O61" s="40" t="s">
        <v>20</v>
      </c>
      <c r="P61" s="40" t="s">
        <v>26</v>
      </c>
      <c r="Q61" s="40" t="s">
        <v>32</v>
      </c>
      <c r="R61" s="41">
        <v>45639</v>
      </c>
      <c r="S61" s="40" t="s">
        <v>16</v>
      </c>
      <c r="T61" s="42" t="s">
        <v>17</v>
      </c>
    </row>
    <row r="62" spans="1:20" x14ac:dyDescent="0.3">
      <c r="A62" s="29" t="str">
        <f>Ingresos[[#This Row],[Centro]]&amp;Ingresos[[#This Row],[Almacén]]&amp;Ingresos[[#This Row],[Codigo]]&amp;Ingresos[[#This Row],[Pedido]]&amp;Ingresos[[#This Row],[Posición]]</f>
        <v>Agricola del Chira PlantaLa Huaca70003844451157175610</v>
      </c>
      <c r="B62" s="33" t="s">
        <v>12</v>
      </c>
      <c r="C62" s="43" t="s">
        <v>811</v>
      </c>
      <c r="D62" s="43">
        <v>70003844</v>
      </c>
      <c r="E62" s="33" t="s">
        <v>921</v>
      </c>
      <c r="F62" s="43">
        <v>10</v>
      </c>
      <c r="G62" s="33" t="s">
        <v>13</v>
      </c>
      <c r="H62" s="43">
        <v>101</v>
      </c>
      <c r="I62" s="43">
        <v>10</v>
      </c>
      <c r="J62" s="43">
        <v>4511571756</v>
      </c>
      <c r="K62" s="44">
        <v>45639</v>
      </c>
      <c r="L62" s="33" t="s">
        <v>1070</v>
      </c>
      <c r="M62" s="45">
        <v>5053368263</v>
      </c>
      <c r="N62" s="33" t="s">
        <v>866</v>
      </c>
      <c r="O62" s="46" t="s">
        <v>20</v>
      </c>
      <c r="P62" s="46" t="s">
        <v>26</v>
      </c>
      <c r="Q62" s="46" t="s">
        <v>32</v>
      </c>
      <c r="R62" s="47">
        <v>45635</v>
      </c>
      <c r="S62" s="46" t="s">
        <v>16</v>
      </c>
      <c r="T62" s="48" t="s">
        <v>23</v>
      </c>
    </row>
    <row r="63" spans="1:20" x14ac:dyDescent="0.3">
      <c r="A63" s="29" t="str">
        <f>Ingresos[[#This Row],[Centro]]&amp;Ingresos[[#This Row],[Almacén]]&amp;Ingresos[[#This Row],[Codigo]]&amp;Ingresos[[#This Row],[Pedido]]&amp;Ingresos[[#This Row],[Posición]]</f>
        <v>Agricola del Chira PlantaLa Huaca70019150451157163910</v>
      </c>
      <c r="B63" s="31" t="s">
        <v>12</v>
      </c>
      <c r="C63" s="37" t="s">
        <v>811</v>
      </c>
      <c r="D63" s="37">
        <v>70019150</v>
      </c>
      <c r="E63" s="31" t="s">
        <v>922</v>
      </c>
      <c r="F63" s="37">
        <v>4</v>
      </c>
      <c r="G63" s="31" t="s">
        <v>19</v>
      </c>
      <c r="H63" s="37">
        <v>101</v>
      </c>
      <c r="I63" s="37">
        <v>10</v>
      </c>
      <c r="J63" s="37">
        <v>4511571639</v>
      </c>
      <c r="K63" s="38">
        <v>45639</v>
      </c>
      <c r="L63" s="31" t="s">
        <v>1071</v>
      </c>
      <c r="M63" s="39">
        <v>5053368640</v>
      </c>
      <c r="N63" s="31" t="s">
        <v>866</v>
      </c>
      <c r="O63" s="40" t="s">
        <v>20</v>
      </c>
      <c r="P63" s="40" t="s">
        <v>26</v>
      </c>
      <c r="Q63" s="40" t="s">
        <v>22</v>
      </c>
      <c r="R63" s="41">
        <v>45635</v>
      </c>
      <c r="S63" s="40" t="s">
        <v>16</v>
      </c>
      <c r="T63" s="42" t="s">
        <v>23</v>
      </c>
    </row>
    <row r="64" spans="1:20" x14ac:dyDescent="0.3">
      <c r="A64" s="29" t="str">
        <f>Ingresos[[#This Row],[Centro]]&amp;Ingresos[[#This Row],[Almacén]]&amp;Ingresos[[#This Row],[Codigo]]&amp;Ingresos[[#This Row],[Pedido]]&amp;Ingresos[[#This Row],[Posición]]</f>
        <v>Agricola del Chira PlantaLa Huaca70047475451157146150</v>
      </c>
      <c r="B64" s="33" t="s">
        <v>12</v>
      </c>
      <c r="C64" s="43" t="s">
        <v>811</v>
      </c>
      <c r="D64" s="43">
        <v>70047475</v>
      </c>
      <c r="E64" s="33" t="s">
        <v>924</v>
      </c>
      <c r="F64" s="43">
        <v>29</v>
      </c>
      <c r="G64" s="33" t="s">
        <v>13</v>
      </c>
      <c r="H64" s="43">
        <v>101</v>
      </c>
      <c r="I64" s="43">
        <v>50</v>
      </c>
      <c r="J64" s="43">
        <v>4511571461</v>
      </c>
      <c r="K64" s="44">
        <v>45639</v>
      </c>
      <c r="L64" s="33" t="s">
        <v>1072</v>
      </c>
      <c r="M64" s="45">
        <v>5053368643</v>
      </c>
      <c r="N64" s="33" t="s">
        <v>866</v>
      </c>
      <c r="O64" s="46" t="s">
        <v>20</v>
      </c>
      <c r="P64" s="46" t="s">
        <v>26</v>
      </c>
      <c r="Q64" s="46" t="s">
        <v>22</v>
      </c>
      <c r="R64" s="47">
        <v>45635</v>
      </c>
      <c r="S64" s="46" t="s">
        <v>16</v>
      </c>
      <c r="T64" s="48" t="s">
        <v>23</v>
      </c>
    </row>
    <row r="65" spans="1:20" x14ac:dyDescent="0.3">
      <c r="A65" s="29" t="str">
        <f>Ingresos[[#This Row],[Centro]]&amp;Ingresos[[#This Row],[Almacén]]&amp;Ingresos[[#This Row],[Codigo]]&amp;Ingresos[[#This Row],[Pedido]]&amp;Ingresos[[#This Row],[Posición]]</f>
        <v>Agricola del Chira PlantaLa Huaca70048323451157163920</v>
      </c>
      <c r="B65" s="31" t="s">
        <v>12</v>
      </c>
      <c r="C65" s="37" t="s">
        <v>811</v>
      </c>
      <c r="D65" s="37">
        <v>70048323</v>
      </c>
      <c r="E65" s="31" t="s">
        <v>925</v>
      </c>
      <c r="F65" s="37">
        <v>6</v>
      </c>
      <c r="G65" s="31" t="s">
        <v>13</v>
      </c>
      <c r="H65" s="37">
        <v>101</v>
      </c>
      <c r="I65" s="37">
        <v>20</v>
      </c>
      <c r="J65" s="37">
        <v>4511571639</v>
      </c>
      <c r="K65" s="38">
        <v>45639</v>
      </c>
      <c r="L65" s="31" t="s">
        <v>1071</v>
      </c>
      <c r="M65" s="39">
        <v>5053368640</v>
      </c>
      <c r="N65" s="31" t="s">
        <v>866</v>
      </c>
      <c r="O65" s="40" t="s">
        <v>20</v>
      </c>
      <c r="P65" s="40" t="s">
        <v>26</v>
      </c>
      <c r="Q65" s="40" t="s">
        <v>22</v>
      </c>
      <c r="R65" s="41">
        <v>45635</v>
      </c>
      <c r="S65" s="40" t="s">
        <v>16</v>
      </c>
      <c r="T65" s="42" t="s">
        <v>23</v>
      </c>
    </row>
    <row r="66" spans="1:20" x14ac:dyDescent="0.3">
      <c r="A66" s="29" t="str">
        <f>Ingresos[[#This Row],[Centro]]&amp;Ingresos[[#This Row],[Almacén]]&amp;Ingresos[[#This Row],[Codigo]]&amp;Ingresos[[#This Row],[Pedido]]&amp;Ingresos[[#This Row],[Posición]]</f>
        <v>Agricola del Chira PlantaLa HuacaCS310420          451157146140</v>
      </c>
      <c r="B66" s="33" t="s">
        <v>12</v>
      </c>
      <c r="C66" s="43" t="s">
        <v>811</v>
      </c>
      <c r="D66" s="43" t="s">
        <v>203</v>
      </c>
      <c r="E66" s="33" t="s">
        <v>923</v>
      </c>
      <c r="F66" s="43">
        <v>35</v>
      </c>
      <c r="G66" s="33" t="s">
        <v>13</v>
      </c>
      <c r="H66" s="43">
        <v>101</v>
      </c>
      <c r="I66" s="43">
        <v>40</v>
      </c>
      <c r="J66" s="43">
        <v>4511571461</v>
      </c>
      <c r="K66" s="44">
        <v>45639</v>
      </c>
      <c r="L66" s="33" t="s">
        <v>1072</v>
      </c>
      <c r="M66" s="45">
        <v>5053368643</v>
      </c>
      <c r="N66" s="33" t="s">
        <v>866</v>
      </c>
      <c r="O66" s="46" t="s">
        <v>20</v>
      </c>
      <c r="P66" s="46" t="s">
        <v>15</v>
      </c>
      <c r="Q66" s="46" t="s">
        <v>22</v>
      </c>
      <c r="R66" s="47">
        <v>45635</v>
      </c>
      <c r="S66" s="46" t="s">
        <v>16</v>
      </c>
      <c r="T66" s="48" t="s">
        <v>23</v>
      </c>
    </row>
    <row r="67" spans="1:20" x14ac:dyDescent="0.3">
      <c r="A67" s="29" t="str">
        <f>Ingresos[[#This Row],[Centro]]&amp;Ingresos[[#This Row],[Almacén]]&amp;Ingresos[[#This Row],[Codigo]]&amp;Ingresos[[#This Row],[Pedido]]&amp;Ingresos[[#This Row],[Posición]]</f>
        <v>Agricola del Chira PlantaLa Huaca70097146451156115310</v>
      </c>
      <c r="B67" s="30" t="s">
        <v>12</v>
      </c>
      <c r="C67" s="37" t="s">
        <v>811</v>
      </c>
      <c r="D67" s="37">
        <v>70097146</v>
      </c>
      <c r="E67" s="31" t="s">
        <v>895</v>
      </c>
      <c r="F67" s="37">
        <v>6</v>
      </c>
      <c r="G67" s="31" t="s">
        <v>13</v>
      </c>
      <c r="H67" s="37">
        <v>101</v>
      </c>
      <c r="I67" s="37">
        <v>10</v>
      </c>
      <c r="J67" s="37">
        <v>4511561153</v>
      </c>
      <c r="K67" s="38">
        <v>45637</v>
      </c>
      <c r="L67" s="31" t="s">
        <v>1078</v>
      </c>
      <c r="M67" s="39">
        <v>5053366474</v>
      </c>
      <c r="N67" s="31" t="s">
        <v>866</v>
      </c>
      <c r="O67" s="40" t="s">
        <v>20</v>
      </c>
      <c r="P67" s="40" t="s">
        <v>181</v>
      </c>
      <c r="Q67" s="40" t="s">
        <v>312</v>
      </c>
      <c r="R67" s="41">
        <v>45616</v>
      </c>
      <c r="S67" s="40" t="s">
        <v>16</v>
      </c>
      <c r="T67" s="42" t="s">
        <v>23</v>
      </c>
    </row>
    <row r="68" spans="1:20" x14ac:dyDescent="0.3">
      <c r="A68" s="29" t="str">
        <f>Ingresos[[#This Row],[Centro]]&amp;Ingresos[[#This Row],[Almacén]]&amp;Ingresos[[#This Row],[Codigo]]&amp;Ingresos[[#This Row],[Pedido]]&amp;Ingresos[[#This Row],[Posición]]</f>
        <v>Agricola del Chira PlantaLa Huaca70004306451157199020</v>
      </c>
      <c r="B68" s="32" t="s">
        <v>12</v>
      </c>
      <c r="C68" s="43" t="s">
        <v>811</v>
      </c>
      <c r="D68" s="43">
        <v>70004306</v>
      </c>
      <c r="E68" s="33" t="s">
        <v>893</v>
      </c>
      <c r="F68" s="43">
        <v>3</v>
      </c>
      <c r="G68" s="33" t="s">
        <v>13</v>
      </c>
      <c r="H68" s="43">
        <v>101</v>
      </c>
      <c r="I68" s="43">
        <v>20</v>
      </c>
      <c r="J68" s="43">
        <v>4511571990</v>
      </c>
      <c r="K68" s="44">
        <v>45636</v>
      </c>
      <c r="L68" s="33" t="s">
        <v>1082</v>
      </c>
      <c r="M68" s="45">
        <v>5053364026</v>
      </c>
      <c r="N68" s="33" t="s">
        <v>866</v>
      </c>
      <c r="O68" s="46" t="s">
        <v>30</v>
      </c>
      <c r="P68" s="46" t="s">
        <v>26</v>
      </c>
      <c r="Q68" s="46" t="s">
        <v>42</v>
      </c>
      <c r="R68" s="47">
        <v>45646</v>
      </c>
      <c r="S68" s="46" t="s">
        <v>16</v>
      </c>
      <c r="T68" s="48" t="s">
        <v>17</v>
      </c>
    </row>
    <row r="69" spans="1:20" x14ac:dyDescent="0.3">
      <c r="A69" s="29" t="str">
        <f>Ingresos[[#This Row],[Centro]]&amp;Ingresos[[#This Row],[Almacén]]&amp;Ingresos[[#This Row],[Codigo]]&amp;Ingresos[[#This Row],[Pedido]]&amp;Ingresos[[#This Row],[Posición]]</f>
        <v>Agricola del Chira PlantaLa Huaca70004310451157199010</v>
      </c>
      <c r="B69" s="30" t="s">
        <v>12</v>
      </c>
      <c r="C69" s="37" t="s">
        <v>811</v>
      </c>
      <c r="D69" s="37">
        <v>70004310</v>
      </c>
      <c r="E69" s="31" t="s">
        <v>889</v>
      </c>
      <c r="F69" s="37">
        <v>1</v>
      </c>
      <c r="G69" s="31" t="s">
        <v>13</v>
      </c>
      <c r="H69" s="37">
        <v>101</v>
      </c>
      <c r="I69" s="37">
        <v>10</v>
      </c>
      <c r="J69" s="37">
        <v>4511571990</v>
      </c>
      <c r="K69" s="38">
        <v>45636</v>
      </c>
      <c r="L69" s="31" t="s">
        <v>1082</v>
      </c>
      <c r="M69" s="39">
        <v>5053364026</v>
      </c>
      <c r="N69" s="31" t="s">
        <v>866</v>
      </c>
      <c r="O69" s="40" t="s">
        <v>30</v>
      </c>
      <c r="P69" s="40" t="s">
        <v>26</v>
      </c>
      <c r="Q69" s="40" t="s">
        <v>42</v>
      </c>
      <c r="R69" s="41">
        <v>45646</v>
      </c>
      <c r="S69" s="40" t="s">
        <v>16</v>
      </c>
      <c r="T69" s="42" t="s">
        <v>17</v>
      </c>
    </row>
    <row r="70" spans="1:20" x14ac:dyDescent="0.3">
      <c r="A70" s="29" t="str">
        <f>Ingresos[[#This Row],[Centro]]&amp;Ingresos[[#This Row],[Almacén]]&amp;Ingresos[[#This Row],[Codigo]]&amp;Ingresos[[#This Row],[Pedido]]&amp;Ingresos[[#This Row],[Posición]]</f>
        <v>Agricola del Chira PlantaLa Huaca70099880451157203220</v>
      </c>
      <c r="B70" s="32" t="s">
        <v>12</v>
      </c>
      <c r="C70" s="43" t="s">
        <v>811</v>
      </c>
      <c r="D70" s="43">
        <v>70099880</v>
      </c>
      <c r="E70" s="33" t="s">
        <v>890</v>
      </c>
      <c r="F70" s="43">
        <v>10</v>
      </c>
      <c r="G70" s="33" t="s">
        <v>13</v>
      </c>
      <c r="H70" s="43">
        <v>101</v>
      </c>
      <c r="I70" s="43">
        <v>20</v>
      </c>
      <c r="J70" s="43">
        <v>4511572032</v>
      </c>
      <c r="K70" s="44">
        <v>45636</v>
      </c>
      <c r="L70" s="33" t="s">
        <v>1083</v>
      </c>
      <c r="M70" s="45">
        <v>5053364207</v>
      </c>
      <c r="N70" s="33" t="s">
        <v>866</v>
      </c>
      <c r="O70" s="46" t="s">
        <v>20</v>
      </c>
      <c r="P70" s="46" t="s">
        <v>26</v>
      </c>
      <c r="Q70" s="46" t="s">
        <v>42</v>
      </c>
      <c r="R70" s="47">
        <v>45639</v>
      </c>
      <c r="S70" s="46" t="s">
        <v>16</v>
      </c>
      <c r="T70" s="48" t="s">
        <v>17</v>
      </c>
    </row>
    <row r="71" spans="1:20" x14ac:dyDescent="0.3">
      <c r="A71" s="29" t="str">
        <f>Ingresos[[#This Row],[Centro]]&amp;Ingresos[[#This Row],[Almacén]]&amp;Ingresos[[#This Row],[Codigo]]&amp;Ingresos[[#This Row],[Pedido]]&amp;Ingresos[[#This Row],[Posición]]</f>
        <v>Agricola del Chira PlantaLa Huaca70112201451156700310</v>
      </c>
      <c r="B71" s="30" t="s">
        <v>12</v>
      </c>
      <c r="C71" s="37" t="s">
        <v>811</v>
      </c>
      <c r="D71" s="37">
        <v>70112201</v>
      </c>
      <c r="E71" s="31" t="s">
        <v>891</v>
      </c>
      <c r="F71" s="37">
        <v>8</v>
      </c>
      <c r="G71" s="31" t="s">
        <v>13</v>
      </c>
      <c r="H71" s="37">
        <v>101</v>
      </c>
      <c r="I71" s="37">
        <v>10</v>
      </c>
      <c r="J71" s="37">
        <v>4511567003</v>
      </c>
      <c r="K71" s="38">
        <v>45636</v>
      </c>
      <c r="L71" s="31" t="s">
        <v>1084</v>
      </c>
      <c r="M71" s="39">
        <v>5053364019</v>
      </c>
      <c r="N71" s="31" t="s">
        <v>866</v>
      </c>
      <c r="O71" s="40" t="s">
        <v>20</v>
      </c>
      <c r="P71" s="40" t="s">
        <v>50</v>
      </c>
      <c r="Q71" s="40" t="s">
        <v>42</v>
      </c>
      <c r="R71" s="41">
        <v>45586</v>
      </c>
      <c r="S71" s="40" t="s">
        <v>16</v>
      </c>
      <c r="T71" s="42" t="s">
        <v>23</v>
      </c>
    </row>
    <row r="72" spans="1:20" x14ac:dyDescent="0.3">
      <c r="A72" s="29" t="str">
        <f>Ingresos[[#This Row],[Centro]]&amp;Ingresos[[#This Row],[Almacén]]&amp;Ingresos[[#This Row],[Codigo]]&amp;Ingresos[[#This Row],[Pedido]]&amp;Ingresos[[#This Row],[Posición]]</f>
        <v>Agricola del Chira PlantaLa Huaca70061481451156614620</v>
      </c>
      <c r="B72" s="32" t="s">
        <v>12</v>
      </c>
      <c r="C72" s="43" t="s">
        <v>811</v>
      </c>
      <c r="D72" s="43">
        <v>70061481</v>
      </c>
      <c r="E72" s="33" t="s">
        <v>884</v>
      </c>
      <c r="F72" s="43">
        <v>13200</v>
      </c>
      <c r="G72" s="33" t="s">
        <v>56</v>
      </c>
      <c r="H72" s="43">
        <v>101</v>
      </c>
      <c r="I72" s="43">
        <v>20</v>
      </c>
      <c r="J72" s="43">
        <v>4511566146</v>
      </c>
      <c r="K72" s="44">
        <v>45632</v>
      </c>
      <c r="L72" s="33" t="s">
        <v>1089</v>
      </c>
      <c r="M72" s="45">
        <v>5053362776</v>
      </c>
      <c r="N72" s="33" t="s">
        <v>866</v>
      </c>
      <c r="O72" s="46" t="s">
        <v>30</v>
      </c>
      <c r="P72" s="46" t="s">
        <v>17</v>
      </c>
      <c r="Q72" s="46" t="s">
        <v>17</v>
      </c>
      <c r="R72" s="47" t="s">
        <v>17</v>
      </c>
      <c r="S72" s="46" t="s">
        <v>17</v>
      </c>
      <c r="T72" s="48" t="s">
        <v>17</v>
      </c>
    </row>
    <row r="73" spans="1:20" x14ac:dyDescent="0.3">
      <c r="A73" s="29" t="str">
        <f>Ingresos[[#This Row],[Centro]]&amp;Ingresos[[#This Row],[Almacén]]&amp;Ingresos[[#This Row],[Codigo]]&amp;Ingresos[[#This Row],[Pedido]]&amp;Ingresos[[#This Row],[Posición]]</f>
        <v>Agricola del Chira PlantaLa Huaca70061481451156614610</v>
      </c>
      <c r="B73" s="30" t="s">
        <v>12</v>
      </c>
      <c r="C73" s="37" t="s">
        <v>811</v>
      </c>
      <c r="D73" s="37">
        <v>70061481</v>
      </c>
      <c r="E73" s="31" t="s">
        <v>884</v>
      </c>
      <c r="F73" s="37">
        <v>748800</v>
      </c>
      <c r="G73" s="31" t="s">
        <v>56</v>
      </c>
      <c r="H73" s="37">
        <v>101</v>
      </c>
      <c r="I73" s="37">
        <v>10</v>
      </c>
      <c r="J73" s="37">
        <v>4511566146</v>
      </c>
      <c r="K73" s="38">
        <v>45632</v>
      </c>
      <c r="L73" s="31" t="s">
        <v>1089</v>
      </c>
      <c r="M73" s="39">
        <v>5053362776</v>
      </c>
      <c r="N73" s="31" t="s">
        <v>866</v>
      </c>
      <c r="O73" s="40" t="s">
        <v>30</v>
      </c>
      <c r="P73" s="40" t="s">
        <v>17</v>
      </c>
      <c r="Q73" s="40" t="s">
        <v>17</v>
      </c>
      <c r="R73" s="41" t="s">
        <v>17</v>
      </c>
      <c r="S73" s="40" t="s">
        <v>17</v>
      </c>
      <c r="T73" s="42" t="s">
        <v>17</v>
      </c>
    </row>
    <row r="74" spans="1:20" x14ac:dyDescent="0.3">
      <c r="A74" s="29" t="str">
        <f>Ingresos[[#This Row],[Centro]]&amp;Ingresos[[#This Row],[Almacén]]&amp;Ingresos[[#This Row],[Codigo]]&amp;Ingresos[[#This Row],[Pedido]]&amp;Ingresos[[#This Row],[Posición]]</f>
        <v>Agricola del Chira PlantaLa Huaca70108070451157165010</v>
      </c>
      <c r="B74" s="32" t="s">
        <v>12</v>
      </c>
      <c r="C74" s="43" t="s">
        <v>811</v>
      </c>
      <c r="D74" s="43">
        <v>70108070</v>
      </c>
      <c r="E74" s="33" t="s">
        <v>875</v>
      </c>
      <c r="F74" s="43">
        <v>3</v>
      </c>
      <c r="G74" s="33" t="s">
        <v>13</v>
      </c>
      <c r="H74" s="43">
        <v>101</v>
      </c>
      <c r="I74" s="43">
        <v>10</v>
      </c>
      <c r="J74" s="43">
        <v>4511571650</v>
      </c>
      <c r="K74" s="44">
        <v>45630</v>
      </c>
      <c r="L74" s="33" t="s">
        <v>1095</v>
      </c>
      <c r="M74" s="45">
        <v>5053360506</v>
      </c>
      <c r="N74" s="33" t="s">
        <v>866</v>
      </c>
      <c r="O74" s="46" t="s">
        <v>30</v>
      </c>
      <c r="P74" s="46" t="s">
        <v>26</v>
      </c>
      <c r="Q74" s="46" t="s">
        <v>42</v>
      </c>
      <c r="R74" s="47">
        <v>45646</v>
      </c>
      <c r="S74" s="46" t="s">
        <v>16</v>
      </c>
      <c r="T74" s="48" t="s">
        <v>17</v>
      </c>
    </row>
    <row r="75" spans="1:20" x14ac:dyDescent="0.3">
      <c r="A75" s="29" t="str">
        <f>Ingresos[[#This Row],[Centro]]&amp;Ingresos[[#This Row],[Almacén]]&amp;Ingresos[[#This Row],[Codigo]]&amp;Ingresos[[#This Row],[Pedido]]&amp;Ingresos[[#This Row],[Posición]]</f>
        <v>Agricola del Chira PlantaLa HuacaCB03285           451157092620</v>
      </c>
      <c r="B75" s="30" t="s">
        <v>12</v>
      </c>
      <c r="C75" s="37" t="s">
        <v>811</v>
      </c>
      <c r="D75" s="37" t="s">
        <v>1103</v>
      </c>
      <c r="E75" s="31" t="s">
        <v>868</v>
      </c>
      <c r="F75" s="37">
        <v>4</v>
      </c>
      <c r="G75" s="31" t="s">
        <v>13</v>
      </c>
      <c r="H75" s="37">
        <v>101</v>
      </c>
      <c r="I75" s="37">
        <v>20</v>
      </c>
      <c r="J75" s="37">
        <v>4511570926</v>
      </c>
      <c r="K75" s="38">
        <v>45628</v>
      </c>
      <c r="L75" s="31" t="s">
        <v>1104</v>
      </c>
      <c r="M75" s="39">
        <v>5053357658</v>
      </c>
      <c r="N75" s="31" t="s">
        <v>866</v>
      </c>
      <c r="O75" s="40" t="s">
        <v>20</v>
      </c>
      <c r="P75" s="40" t="s">
        <v>26</v>
      </c>
      <c r="Q75" s="40" t="s">
        <v>161</v>
      </c>
      <c r="R75" s="41">
        <v>45628</v>
      </c>
      <c r="S75" s="40" t="s">
        <v>16</v>
      </c>
      <c r="T75" s="42" t="s">
        <v>17</v>
      </c>
    </row>
    <row r="76" spans="1:20" x14ac:dyDescent="0.3">
      <c r="A76" s="29" t="str">
        <f>Ingresos[[#This Row],[Centro]]&amp;Ingresos[[#This Row],[Almacén]]&amp;Ingresos[[#This Row],[Codigo]]&amp;Ingresos[[#This Row],[Pedido]]&amp;Ingresos[[#This Row],[Posición]]</f>
        <v>Agricola del Chira PlantaLa Huaca70100392550002475120</v>
      </c>
      <c r="B76" s="32" t="s">
        <v>12</v>
      </c>
      <c r="C76" s="43" t="s">
        <v>811</v>
      </c>
      <c r="D76" s="43">
        <v>70100392</v>
      </c>
      <c r="E76" s="33" t="s">
        <v>53</v>
      </c>
      <c r="F76" s="43">
        <v>19</v>
      </c>
      <c r="G76" s="33" t="s">
        <v>13</v>
      </c>
      <c r="H76" s="43">
        <v>101</v>
      </c>
      <c r="I76" s="43">
        <v>20</v>
      </c>
      <c r="J76" s="43">
        <v>5500024751</v>
      </c>
      <c r="K76" s="44">
        <v>45650</v>
      </c>
      <c r="L76" s="33" t="s">
        <v>1030</v>
      </c>
      <c r="M76" s="45">
        <v>5053377270</v>
      </c>
      <c r="N76" s="33" t="s">
        <v>863</v>
      </c>
      <c r="O76" s="46" t="s">
        <v>17</v>
      </c>
      <c r="P76" s="46" t="s">
        <v>28</v>
      </c>
      <c r="Q76" s="46" t="s">
        <v>54</v>
      </c>
      <c r="R76" s="47">
        <v>45670</v>
      </c>
      <c r="S76" s="46" t="s">
        <v>16</v>
      </c>
      <c r="T76" s="48" t="s">
        <v>17</v>
      </c>
    </row>
    <row r="77" spans="1:20" x14ac:dyDescent="0.3">
      <c r="A77" s="29" t="str">
        <f>Ingresos[[#This Row],[Centro]]&amp;Ingresos[[#This Row],[Almacén]]&amp;Ingresos[[#This Row],[Codigo]]&amp;Ingresos[[#This Row],[Pedido]]&amp;Ingresos[[#This Row],[Posición]]</f>
        <v>Agricola del Chira PlantaLa Huaca70047878451157271410</v>
      </c>
      <c r="B77" s="30" t="s">
        <v>12</v>
      </c>
      <c r="C77" s="37" t="s">
        <v>811</v>
      </c>
      <c r="D77" s="37">
        <v>70047878</v>
      </c>
      <c r="E77" s="31" t="s">
        <v>1040</v>
      </c>
      <c r="F77" s="37">
        <v>2</v>
      </c>
      <c r="G77" s="31" t="s">
        <v>13</v>
      </c>
      <c r="H77" s="37">
        <v>101</v>
      </c>
      <c r="I77" s="37">
        <v>10</v>
      </c>
      <c r="J77" s="37">
        <v>4511572714</v>
      </c>
      <c r="K77" s="38">
        <v>45645</v>
      </c>
      <c r="L77" s="31" t="s">
        <v>1041</v>
      </c>
      <c r="M77" s="39">
        <v>5053373508</v>
      </c>
      <c r="N77" s="31" t="s">
        <v>863</v>
      </c>
      <c r="O77" s="40" t="s">
        <v>30</v>
      </c>
      <c r="P77" s="40" t="s">
        <v>50</v>
      </c>
      <c r="Q77" s="40" t="s">
        <v>161</v>
      </c>
      <c r="R77" s="41">
        <v>45665</v>
      </c>
      <c r="S77" s="40" t="s">
        <v>16</v>
      </c>
      <c r="T77" s="42" t="s">
        <v>17</v>
      </c>
    </row>
    <row r="78" spans="1:20" x14ac:dyDescent="0.3">
      <c r="A78" s="29" t="str">
        <f>Ingresos[[#This Row],[Centro]]&amp;Ingresos[[#This Row],[Almacén]]&amp;Ingresos[[#This Row],[Codigo]]&amp;Ingresos[[#This Row],[Pedido]]&amp;Ingresos[[#This Row],[Posición]]</f>
        <v>Agricola del Chira PlantaLa Huaca744716451157228440</v>
      </c>
      <c r="B78" s="32" t="s">
        <v>12</v>
      </c>
      <c r="C78" s="43" t="s">
        <v>811</v>
      </c>
      <c r="D78" s="43">
        <v>744716</v>
      </c>
      <c r="E78" s="33" t="s">
        <v>1048</v>
      </c>
      <c r="F78" s="43">
        <v>65</v>
      </c>
      <c r="G78" s="33" t="s">
        <v>21</v>
      </c>
      <c r="H78" s="43">
        <v>101</v>
      </c>
      <c r="I78" s="43">
        <v>40</v>
      </c>
      <c r="J78" s="43">
        <v>4511572284</v>
      </c>
      <c r="K78" s="44">
        <v>45642</v>
      </c>
      <c r="L78" s="33" t="s">
        <v>1049</v>
      </c>
      <c r="M78" s="45">
        <v>5053370572</v>
      </c>
      <c r="N78" s="33" t="s">
        <v>863</v>
      </c>
      <c r="O78" s="46" t="s">
        <v>18</v>
      </c>
      <c r="P78" s="46" t="s">
        <v>148</v>
      </c>
      <c r="Q78" s="46" t="s">
        <v>44</v>
      </c>
      <c r="R78" s="47">
        <v>45667</v>
      </c>
      <c r="S78" s="46" t="s">
        <v>16</v>
      </c>
      <c r="T78" s="48" t="s">
        <v>17</v>
      </c>
    </row>
    <row r="79" spans="1:20" x14ac:dyDescent="0.3">
      <c r="A79" s="29" t="str">
        <f>Ingresos[[#This Row],[Centro]]&amp;Ingresos[[#This Row],[Almacén]]&amp;Ingresos[[#This Row],[Codigo]]&amp;Ingresos[[#This Row],[Pedido]]&amp;Ingresos[[#This Row],[Posición]]</f>
        <v>Agricola del Chira PlantaLa Huaca70004704451157195110</v>
      </c>
      <c r="B79" s="30" t="s">
        <v>12</v>
      </c>
      <c r="C79" s="37" t="s">
        <v>811</v>
      </c>
      <c r="D79" s="37">
        <v>70004704</v>
      </c>
      <c r="E79" s="31" t="s">
        <v>1057</v>
      </c>
      <c r="F79" s="37">
        <v>12</v>
      </c>
      <c r="G79" s="31" t="s">
        <v>13</v>
      </c>
      <c r="H79" s="37">
        <v>101</v>
      </c>
      <c r="I79" s="37">
        <v>10</v>
      </c>
      <c r="J79" s="37">
        <v>4511571951</v>
      </c>
      <c r="K79" s="38">
        <v>45642</v>
      </c>
      <c r="L79" s="31" t="s">
        <v>1058</v>
      </c>
      <c r="M79" s="39">
        <v>5053371387</v>
      </c>
      <c r="N79" s="31" t="s">
        <v>863</v>
      </c>
      <c r="O79" s="40" t="s">
        <v>20</v>
      </c>
      <c r="P79" s="40" t="s">
        <v>26</v>
      </c>
      <c r="Q79" s="40" t="s">
        <v>240</v>
      </c>
      <c r="R79" s="41">
        <v>45656</v>
      </c>
      <c r="S79" s="40" t="s">
        <v>16</v>
      </c>
      <c r="T79" s="42" t="s">
        <v>17</v>
      </c>
    </row>
    <row r="80" spans="1:20" x14ac:dyDescent="0.3">
      <c r="A80" s="29" t="str">
        <f>Ingresos[[#This Row],[Centro]]&amp;Ingresos[[#This Row],[Almacén]]&amp;Ingresos[[#This Row],[Codigo]]&amp;Ingresos[[#This Row],[Pedido]]&amp;Ingresos[[#This Row],[Posición]]</f>
        <v>Agricola del Chira PlantaLa Huaca895421451157252120</v>
      </c>
      <c r="B80" s="32" t="s">
        <v>12</v>
      </c>
      <c r="C80" s="43" t="s">
        <v>811</v>
      </c>
      <c r="D80" s="43">
        <v>895421</v>
      </c>
      <c r="E80" s="33" t="s">
        <v>919</v>
      </c>
      <c r="F80" s="43">
        <v>100</v>
      </c>
      <c r="G80" s="33" t="s">
        <v>896</v>
      </c>
      <c r="H80" s="43">
        <v>101</v>
      </c>
      <c r="I80" s="43">
        <v>20</v>
      </c>
      <c r="J80" s="43">
        <v>4511572521</v>
      </c>
      <c r="K80" s="44">
        <v>45639</v>
      </c>
      <c r="L80" s="33" t="s">
        <v>1067</v>
      </c>
      <c r="M80" s="45">
        <v>5053368201</v>
      </c>
      <c r="N80" s="33" t="s">
        <v>863</v>
      </c>
      <c r="O80" s="46" t="s">
        <v>18</v>
      </c>
      <c r="P80" s="46" t="s">
        <v>148</v>
      </c>
      <c r="Q80" s="46" t="s">
        <v>96</v>
      </c>
      <c r="R80" s="47">
        <v>45646</v>
      </c>
      <c r="S80" s="46" t="s">
        <v>16</v>
      </c>
      <c r="T80" s="48" t="s">
        <v>17</v>
      </c>
    </row>
    <row r="81" spans="1:20" x14ac:dyDescent="0.3">
      <c r="A81" s="29" t="str">
        <f>Ingresos[[#This Row],[Centro]]&amp;Ingresos[[#This Row],[Almacén]]&amp;Ingresos[[#This Row],[Codigo]]&amp;Ingresos[[#This Row],[Pedido]]&amp;Ingresos[[#This Row],[Posición]]</f>
        <v>Agricola del Chira PlantaLa Huaca70003837451157246010</v>
      </c>
      <c r="B81" s="30" t="s">
        <v>12</v>
      </c>
      <c r="C81" s="37" t="s">
        <v>811</v>
      </c>
      <c r="D81" s="37">
        <v>70003837</v>
      </c>
      <c r="E81" s="31" t="s">
        <v>920</v>
      </c>
      <c r="F81" s="37">
        <v>6</v>
      </c>
      <c r="G81" s="31" t="s">
        <v>13</v>
      </c>
      <c r="H81" s="37">
        <v>101</v>
      </c>
      <c r="I81" s="37">
        <v>10</v>
      </c>
      <c r="J81" s="37">
        <v>4511572460</v>
      </c>
      <c r="K81" s="38">
        <v>45639</v>
      </c>
      <c r="L81" s="31" t="s">
        <v>1068</v>
      </c>
      <c r="M81" s="39">
        <v>5053368650</v>
      </c>
      <c r="N81" s="31" t="s">
        <v>863</v>
      </c>
      <c r="O81" s="40" t="s">
        <v>20</v>
      </c>
      <c r="P81" s="40" t="s">
        <v>50</v>
      </c>
      <c r="Q81" s="40" t="s">
        <v>42</v>
      </c>
      <c r="R81" s="41">
        <v>45642</v>
      </c>
      <c r="S81" s="40" t="s">
        <v>16</v>
      </c>
      <c r="T81" s="42" t="s">
        <v>17</v>
      </c>
    </row>
    <row r="82" spans="1:20" x14ac:dyDescent="0.3">
      <c r="A82" s="29" t="str">
        <f>Ingresos[[#This Row],[Centro]]&amp;Ingresos[[#This Row],[Almacén]]&amp;Ingresos[[#This Row],[Codigo]]&amp;Ingresos[[#This Row],[Pedido]]&amp;Ingresos[[#This Row],[Posición]]</f>
        <v>Agricola del Chira PlantaLa Huaca70061785451157246020</v>
      </c>
      <c r="B82" s="33" t="s">
        <v>12</v>
      </c>
      <c r="C82" s="43" t="s">
        <v>811</v>
      </c>
      <c r="D82" s="43">
        <v>70061785</v>
      </c>
      <c r="E82" s="33" t="s">
        <v>926</v>
      </c>
      <c r="F82" s="43">
        <v>4</v>
      </c>
      <c r="G82" s="33" t="s">
        <v>13</v>
      </c>
      <c r="H82" s="43">
        <v>101</v>
      </c>
      <c r="I82" s="43">
        <v>20</v>
      </c>
      <c r="J82" s="43">
        <v>4511572460</v>
      </c>
      <c r="K82" s="44">
        <v>45639</v>
      </c>
      <c r="L82" s="33" t="s">
        <v>1068</v>
      </c>
      <c r="M82" s="45">
        <v>5053368650</v>
      </c>
      <c r="N82" s="33" t="s">
        <v>863</v>
      </c>
      <c r="O82" s="46" t="s">
        <v>20</v>
      </c>
      <c r="P82" s="46" t="s">
        <v>50</v>
      </c>
      <c r="Q82" s="46" t="s">
        <v>42</v>
      </c>
      <c r="R82" s="47">
        <v>45642</v>
      </c>
      <c r="S82" s="46" t="s">
        <v>16</v>
      </c>
      <c r="T82" s="48" t="s">
        <v>17</v>
      </c>
    </row>
    <row r="83" spans="1:20" x14ac:dyDescent="0.3">
      <c r="A83" s="29" t="str">
        <f>Ingresos[[#This Row],[Centro]]&amp;Ingresos[[#This Row],[Almacén]]&amp;Ingresos[[#This Row],[Codigo]]&amp;Ingresos[[#This Row],[Pedido]]&amp;Ingresos[[#This Row],[Posición]]</f>
        <v>Agricola del Chira PlantaLa Huaca70061786451157246030</v>
      </c>
      <c r="B83" s="31" t="s">
        <v>12</v>
      </c>
      <c r="C83" s="37" t="s">
        <v>811</v>
      </c>
      <c r="D83" s="37">
        <v>70061786</v>
      </c>
      <c r="E83" s="31" t="s">
        <v>927</v>
      </c>
      <c r="F83" s="37">
        <v>4</v>
      </c>
      <c r="G83" s="31" t="s">
        <v>13</v>
      </c>
      <c r="H83" s="37">
        <v>101</v>
      </c>
      <c r="I83" s="37">
        <v>30</v>
      </c>
      <c r="J83" s="37">
        <v>4511572460</v>
      </c>
      <c r="K83" s="38">
        <v>45639</v>
      </c>
      <c r="L83" s="31" t="s">
        <v>1068</v>
      </c>
      <c r="M83" s="39">
        <v>5053368650</v>
      </c>
      <c r="N83" s="31" t="s">
        <v>863</v>
      </c>
      <c r="O83" s="40" t="s">
        <v>20</v>
      </c>
      <c r="P83" s="40" t="s">
        <v>50</v>
      </c>
      <c r="Q83" s="40" t="s">
        <v>42</v>
      </c>
      <c r="R83" s="41">
        <v>45642</v>
      </c>
      <c r="S83" s="40" t="s">
        <v>16</v>
      </c>
      <c r="T83" s="42" t="s">
        <v>17</v>
      </c>
    </row>
    <row r="84" spans="1:20" x14ac:dyDescent="0.3">
      <c r="A84" s="29" t="str">
        <f>Ingresos[[#This Row],[Centro]]&amp;Ingresos[[#This Row],[Almacén]]&amp;Ingresos[[#This Row],[Codigo]]&amp;Ingresos[[#This Row],[Pedido]]&amp;Ingresos[[#This Row],[Posición]]</f>
        <v>Agricola del Chira PlantaLa Huaca70082928451157246040</v>
      </c>
      <c r="B84" s="32" t="s">
        <v>12</v>
      </c>
      <c r="C84" s="43" t="s">
        <v>811</v>
      </c>
      <c r="D84" s="43">
        <v>70082928</v>
      </c>
      <c r="E84" s="33" t="s">
        <v>928</v>
      </c>
      <c r="F84" s="43">
        <v>6</v>
      </c>
      <c r="G84" s="33" t="s">
        <v>13</v>
      </c>
      <c r="H84" s="43">
        <v>101</v>
      </c>
      <c r="I84" s="43">
        <v>40</v>
      </c>
      <c r="J84" s="43">
        <v>4511572460</v>
      </c>
      <c r="K84" s="44">
        <v>45639</v>
      </c>
      <c r="L84" s="33" t="s">
        <v>1068</v>
      </c>
      <c r="M84" s="45">
        <v>5053368650</v>
      </c>
      <c r="N84" s="33" t="s">
        <v>863</v>
      </c>
      <c r="O84" s="46" t="s">
        <v>20</v>
      </c>
      <c r="P84" s="46" t="s">
        <v>50</v>
      </c>
      <c r="Q84" s="46" t="s">
        <v>42</v>
      </c>
      <c r="R84" s="47">
        <v>45642</v>
      </c>
      <c r="S84" s="46" t="s">
        <v>16</v>
      </c>
      <c r="T84" s="48" t="s">
        <v>17</v>
      </c>
    </row>
    <row r="85" spans="1:20" x14ac:dyDescent="0.3">
      <c r="A85" s="29" t="str">
        <f>Ingresos[[#This Row],[Centro]]&amp;Ingresos[[#This Row],[Almacén]]&amp;Ingresos[[#This Row],[Codigo]]&amp;Ingresos[[#This Row],[Pedido]]&amp;Ingresos[[#This Row],[Posición]]</f>
        <v>Agricola del Chira PlantaLa Huaca70098846451157246050</v>
      </c>
      <c r="B85" s="30" t="s">
        <v>12</v>
      </c>
      <c r="C85" s="37" t="s">
        <v>811</v>
      </c>
      <c r="D85" s="37">
        <v>70098846</v>
      </c>
      <c r="E85" s="31" t="s">
        <v>929</v>
      </c>
      <c r="F85" s="37">
        <v>6</v>
      </c>
      <c r="G85" s="31" t="s">
        <v>13</v>
      </c>
      <c r="H85" s="37">
        <v>101</v>
      </c>
      <c r="I85" s="37">
        <v>50</v>
      </c>
      <c r="J85" s="37">
        <v>4511572460</v>
      </c>
      <c r="K85" s="38">
        <v>45639</v>
      </c>
      <c r="L85" s="31" t="s">
        <v>1068</v>
      </c>
      <c r="M85" s="39">
        <v>5053368650</v>
      </c>
      <c r="N85" s="31" t="s">
        <v>863</v>
      </c>
      <c r="O85" s="40" t="s">
        <v>20</v>
      </c>
      <c r="P85" s="40" t="s">
        <v>50</v>
      </c>
      <c r="Q85" s="40" t="s">
        <v>42</v>
      </c>
      <c r="R85" s="41">
        <v>45642</v>
      </c>
      <c r="S85" s="40" t="s">
        <v>16</v>
      </c>
      <c r="T85" s="42" t="s">
        <v>17</v>
      </c>
    </row>
    <row r="86" spans="1:20" x14ac:dyDescent="0.3">
      <c r="A86" s="29" t="str">
        <f>Ingresos[[#This Row],[Centro]]&amp;Ingresos[[#This Row],[Almacén]]&amp;Ingresos[[#This Row],[Codigo]]&amp;Ingresos[[#This Row],[Pedido]]&amp;Ingresos[[#This Row],[Posición]]</f>
        <v>Agricola del Chira PlantaLa HuacaCA0770006625      451157246060</v>
      </c>
      <c r="B86" s="32" t="s">
        <v>12</v>
      </c>
      <c r="C86" s="43" t="s">
        <v>811</v>
      </c>
      <c r="D86" s="43" t="s">
        <v>1073</v>
      </c>
      <c r="E86" s="33" t="s">
        <v>930</v>
      </c>
      <c r="F86" s="43">
        <v>12</v>
      </c>
      <c r="G86" s="33" t="s">
        <v>13</v>
      </c>
      <c r="H86" s="43">
        <v>101</v>
      </c>
      <c r="I86" s="43">
        <v>60</v>
      </c>
      <c r="J86" s="43">
        <v>4511572460</v>
      </c>
      <c r="K86" s="44">
        <v>45639</v>
      </c>
      <c r="L86" s="33" t="s">
        <v>1068</v>
      </c>
      <c r="M86" s="45">
        <v>5053368650</v>
      </c>
      <c r="N86" s="33" t="s">
        <v>863</v>
      </c>
      <c r="O86" s="46" t="s">
        <v>20</v>
      </c>
      <c r="P86" s="46" t="s">
        <v>50</v>
      </c>
      <c r="Q86" s="46" t="s">
        <v>42</v>
      </c>
      <c r="R86" s="47">
        <v>45642</v>
      </c>
      <c r="S86" s="46" t="s">
        <v>16</v>
      </c>
      <c r="T86" s="48" t="s">
        <v>17</v>
      </c>
    </row>
    <row r="87" spans="1:20" x14ac:dyDescent="0.3">
      <c r="A87" s="29" t="str">
        <f>Ingresos[[#This Row],[Centro]]&amp;Ingresos[[#This Row],[Almacén]]&amp;Ingresos[[#This Row],[Codigo]]&amp;Ingresos[[#This Row],[Pedido]]&amp;Ingresos[[#This Row],[Posición]]</f>
        <v>Agricola del Chira PlantaLa Huaca748341451157073410</v>
      </c>
      <c r="B87" s="30" t="s">
        <v>12</v>
      </c>
      <c r="C87" s="37" t="s">
        <v>811</v>
      </c>
      <c r="D87" s="37">
        <v>748341</v>
      </c>
      <c r="E87" s="31" t="s">
        <v>882</v>
      </c>
      <c r="F87" s="37">
        <v>5.2</v>
      </c>
      <c r="G87" s="31" t="s">
        <v>21</v>
      </c>
      <c r="H87" s="37">
        <v>101</v>
      </c>
      <c r="I87" s="37">
        <v>10</v>
      </c>
      <c r="J87" s="37">
        <v>4511570734</v>
      </c>
      <c r="K87" s="38">
        <v>45632</v>
      </c>
      <c r="L87" s="31" t="s">
        <v>1087</v>
      </c>
      <c r="M87" s="39">
        <v>5053362636</v>
      </c>
      <c r="N87" s="31" t="s">
        <v>863</v>
      </c>
      <c r="O87" s="40" t="s">
        <v>30</v>
      </c>
      <c r="P87" s="40" t="s">
        <v>26</v>
      </c>
      <c r="Q87" s="40" t="s">
        <v>173</v>
      </c>
      <c r="R87" s="41">
        <v>45635</v>
      </c>
      <c r="S87" s="40" t="s">
        <v>16</v>
      </c>
      <c r="T87" s="42" t="s">
        <v>17</v>
      </c>
    </row>
    <row r="88" spans="1:20" x14ac:dyDescent="0.3">
      <c r="A88" s="29" t="str">
        <f>Ingresos[[#This Row],[Centro]]&amp;Ingresos[[#This Row],[Almacén]]&amp;Ingresos[[#This Row],[Codigo]]&amp;Ingresos[[#This Row],[Pedido]]&amp;Ingresos[[#This Row],[Posición]]</f>
        <v>Agricola del Chira PlantaLa Huaca760364451157025710</v>
      </c>
      <c r="B88" s="32" t="s">
        <v>12</v>
      </c>
      <c r="C88" s="43" t="s">
        <v>811</v>
      </c>
      <c r="D88" s="43">
        <v>760364</v>
      </c>
      <c r="E88" s="33" t="s">
        <v>883</v>
      </c>
      <c r="F88" s="43">
        <v>1</v>
      </c>
      <c r="G88" s="33" t="s">
        <v>13</v>
      </c>
      <c r="H88" s="43">
        <v>101</v>
      </c>
      <c r="I88" s="43">
        <v>10</v>
      </c>
      <c r="J88" s="43">
        <v>4511570257</v>
      </c>
      <c r="K88" s="44">
        <v>45632</v>
      </c>
      <c r="L88" s="33" t="s">
        <v>1088</v>
      </c>
      <c r="M88" s="45">
        <v>5053362631</v>
      </c>
      <c r="N88" s="33" t="s">
        <v>863</v>
      </c>
      <c r="O88" s="46" t="s">
        <v>30</v>
      </c>
      <c r="P88" s="46" t="s">
        <v>26</v>
      </c>
      <c r="Q88" s="46" t="s">
        <v>240</v>
      </c>
      <c r="R88" s="47">
        <v>45637</v>
      </c>
      <c r="S88" s="46" t="s">
        <v>16</v>
      </c>
      <c r="T88" s="48" t="s">
        <v>17</v>
      </c>
    </row>
    <row r="89" spans="1:20" x14ac:dyDescent="0.3">
      <c r="A89" s="29" t="str">
        <f>Ingresos[[#This Row],[Centro]]&amp;Ingresos[[#This Row],[Almacén]]&amp;Ingresos[[#This Row],[Codigo]]&amp;Ingresos[[#This Row],[Pedido]]&amp;Ingresos[[#This Row],[Posición]]</f>
        <v>Agricola del Chira PlantaLa Huaca70135105451157035640</v>
      </c>
      <c r="B89" s="30" t="s">
        <v>12</v>
      </c>
      <c r="C89" s="37" t="s">
        <v>811</v>
      </c>
      <c r="D89" s="37">
        <v>70135105</v>
      </c>
      <c r="E89" s="31" t="s">
        <v>878</v>
      </c>
      <c r="F89" s="37">
        <v>2</v>
      </c>
      <c r="G89" s="31" t="s">
        <v>43</v>
      </c>
      <c r="H89" s="37">
        <v>101</v>
      </c>
      <c r="I89" s="37">
        <v>40</v>
      </c>
      <c r="J89" s="37">
        <v>4511570356</v>
      </c>
      <c r="K89" s="38">
        <v>45632</v>
      </c>
      <c r="L89" s="31" t="s">
        <v>1090</v>
      </c>
      <c r="M89" s="39">
        <v>5053362617</v>
      </c>
      <c r="N89" s="31" t="s">
        <v>863</v>
      </c>
      <c r="O89" s="40" t="s">
        <v>20</v>
      </c>
      <c r="P89" s="40" t="s">
        <v>306</v>
      </c>
      <c r="Q89" s="40" t="s">
        <v>1180</v>
      </c>
      <c r="R89" s="41">
        <v>45625</v>
      </c>
      <c r="S89" s="40" t="s">
        <v>16</v>
      </c>
      <c r="T89" s="42" t="s">
        <v>23</v>
      </c>
    </row>
    <row r="90" spans="1:20" x14ac:dyDescent="0.3">
      <c r="A90" s="29" t="str">
        <f>Ingresos[[#This Row],[Centro]]&amp;Ingresos[[#This Row],[Almacén]]&amp;Ingresos[[#This Row],[Codigo]]&amp;Ingresos[[#This Row],[Pedido]]&amp;Ingresos[[#This Row],[Posición]]</f>
        <v>Agricola del Chira PlantaLa Huaca70135106451157035650</v>
      </c>
      <c r="B90" s="32" t="s">
        <v>12</v>
      </c>
      <c r="C90" s="43" t="s">
        <v>811</v>
      </c>
      <c r="D90" s="43">
        <v>70135106</v>
      </c>
      <c r="E90" s="33" t="s">
        <v>879</v>
      </c>
      <c r="F90" s="43">
        <v>2</v>
      </c>
      <c r="G90" s="33" t="s">
        <v>43</v>
      </c>
      <c r="H90" s="43">
        <v>101</v>
      </c>
      <c r="I90" s="43">
        <v>50</v>
      </c>
      <c r="J90" s="43">
        <v>4511570356</v>
      </c>
      <c r="K90" s="44">
        <v>45632</v>
      </c>
      <c r="L90" s="33" t="s">
        <v>1090</v>
      </c>
      <c r="M90" s="45">
        <v>5053362617</v>
      </c>
      <c r="N90" s="33" t="s">
        <v>863</v>
      </c>
      <c r="O90" s="46" t="s">
        <v>20</v>
      </c>
      <c r="P90" s="46" t="s">
        <v>306</v>
      </c>
      <c r="Q90" s="46" t="s">
        <v>1180</v>
      </c>
      <c r="R90" s="47">
        <v>45625</v>
      </c>
      <c r="S90" s="46" t="s">
        <v>16</v>
      </c>
      <c r="T90" s="48" t="s">
        <v>23</v>
      </c>
    </row>
    <row r="91" spans="1:20" x14ac:dyDescent="0.3">
      <c r="A91" s="29" t="str">
        <f>Ingresos[[#This Row],[Centro]]&amp;Ingresos[[#This Row],[Almacén]]&amp;Ingresos[[#This Row],[Codigo]]&amp;Ingresos[[#This Row],[Pedido]]&amp;Ingresos[[#This Row],[Posición]]</f>
        <v>Agricola del Chira PlantaLa Huaca70135107451157035660</v>
      </c>
      <c r="B91" s="30" t="s">
        <v>12</v>
      </c>
      <c r="C91" s="37" t="s">
        <v>811</v>
      </c>
      <c r="D91" s="37">
        <v>70135107</v>
      </c>
      <c r="E91" s="31" t="s">
        <v>880</v>
      </c>
      <c r="F91" s="37">
        <v>1</v>
      </c>
      <c r="G91" s="31" t="s">
        <v>43</v>
      </c>
      <c r="H91" s="37">
        <v>101</v>
      </c>
      <c r="I91" s="37">
        <v>60</v>
      </c>
      <c r="J91" s="37">
        <v>4511570356</v>
      </c>
      <c r="K91" s="38">
        <v>45632</v>
      </c>
      <c r="L91" s="31" t="s">
        <v>1090</v>
      </c>
      <c r="M91" s="39">
        <v>5053362617</v>
      </c>
      <c r="N91" s="31" t="s">
        <v>863</v>
      </c>
      <c r="O91" s="40" t="s">
        <v>20</v>
      </c>
      <c r="P91" s="40" t="s">
        <v>306</v>
      </c>
      <c r="Q91" s="40" t="s">
        <v>1180</v>
      </c>
      <c r="R91" s="41">
        <v>45625</v>
      </c>
      <c r="S91" s="40" t="s">
        <v>16</v>
      </c>
      <c r="T91" s="42" t="s">
        <v>23</v>
      </c>
    </row>
    <row r="92" spans="1:20" x14ac:dyDescent="0.3">
      <c r="A92" s="29" t="str">
        <f>Ingresos[[#This Row],[Centro]]&amp;Ingresos[[#This Row],[Almacén]]&amp;Ingresos[[#This Row],[Codigo]]&amp;Ingresos[[#This Row],[Pedido]]&amp;Ingresos[[#This Row],[Posición]]</f>
        <v>Agricola del Chira PlantaLa Huaca873339451157131910</v>
      </c>
      <c r="B92" s="32" t="s">
        <v>12</v>
      </c>
      <c r="C92" s="43" t="s">
        <v>811</v>
      </c>
      <c r="D92" s="43">
        <v>873339</v>
      </c>
      <c r="E92" s="33" t="s">
        <v>874</v>
      </c>
      <c r="F92" s="43">
        <v>4</v>
      </c>
      <c r="G92" s="33" t="s">
        <v>13</v>
      </c>
      <c r="H92" s="43">
        <v>101</v>
      </c>
      <c r="I92" s="43">
        <v>10</v>
      </c>
      <c r="J92" s="43">
        <v>4511571319</v>
      </c>
      <c r="K92" s="44">
        <v>45630</v>
      </c>
      <c r="L92" s="33" t="s">
        <v>1093</v>
      </c>
      <c r="M92" s="45">
        <v>5053359403</v>
      </c>
      <c r="N92" s="33" t="s">
        <v>863</v>
      </c>
      <c r="O92" s="46" t="s">
        <v>20</v>
      </c>
      <c r="P92" s="46" t="s">
        <v>26</v>
      </c>
      <c r="Q92" s="46" t="s">
        <v>84</v>
      </c>
      <c r="R92" s="47">
        <v>45632</v>
      </c>
      <c r="S92" s="46" t="s">
        <v>16</v>
      </c>
      <c r="T92" s="48" t="s">
        <v>17</v>
      </c>
    </row>
    <row r="93" spans="1:20" x14ac:dyDescent="0.3">
      <c r="A93" s="29" t="str">
        <f>Ingresos[[#This Row],[Centro]]&amp;Ingresos[[#This Row],[Almacén]]&amp;Ingresos[[#This Row],[Codigo]]&amp;Ingresos[[#This Row],[Pedido]]&amp;Ingresos[[#This Row],[Posición]]</f>
        <v>Agricola del Chira PlantaLa Huaca70011440451157131920</v>
      </c>
      <c r="B93" s="30" t="s">
        <v>12</v>
      </c>
      <c r="C93" s="37" t="s">
        <v>811</v>
      </c>
      <c r="D93" s="37">
        <v>70011440</v>
      </c>
      <c r="E93" s="31" t="s">
        <v>876</v>
      </c>
      <c r="F93" s="37">
        <v>2</v>
      </c>
      <c r="G93" s="31" t="s">
        <v>13</v>
      </c>
      <c r="H93" s="37">
        <v>101</v>
      </c>
      <c r="I93" s="37">
        <v>20</v>
      </c>
      <c r="J93" s="37">
        <v>4511571319</v>
      </c>
      <c r="K93" s="38">
        <v>45630</v>
      </c>
      <c r="L93" s="31" t="s">
        <v>1093</v>
      </c>
      <c r="M93" s="39">
        <v>5053359403</v>
      </c>
      <c r="N93" s="31" t="s">
        <v>863</v>
      </c>
      <c r="O93" s="40" t="s">
        <v>20</v>
      </c>
      <c r="P93" s="40" t="s">
        <v>26</v>
      </c>
      <c r="Q93" s="40" t="s">
        <v>84</v>
      </c>
      <c r="R93" s="41">
        <v>45632</v>
      </c>
      <c r="S93" s="40" t="s">
        <v>16</v>
      </c>
      <c r="T93" s="42" t="s">
        <v>17</v>
      </c>
    </row>
    <row r="94" spans="1:20" x14ac:dyDescent="0.3">
      <c r="A94" s="29" t="str">
        <f>Ingresos[[#This Row],[Centro]]&amp;Ingresos[[#This Row],[Almacén]]&amp;Ingresos[[#This Row],[Codigo]]&amp;Ingresos[[#This Row],[Pedido]]&amp;Ingresos[[#This Row],[Posición]]</f>
        <v>Agricola del Chira PlantaLa Huaca724696451157146610</v>
      </c>
      <c r="B94" s="32" t="s">
        <v>12</v>
      </c>
      <c r="C94" s="43" t="s">
        <v>811</v>
      </c>
      <c r="D94" s="43">
        <v>724696</v>
      </c>
      <c r="E94" s="33" t="s">
        <v>862</v>
      </c>
      <c r="F94" s="43">
        <v>10</v>
      </c>
      <c r="G94" s="33" t="s">
        <v>13</v>
      </c>
      <c r="H94" s="43">
        <v>101</v>
      </c>
      <c r="I94" s="43">
        <v>10</v>
      </c>
      <c r="J94" s="43">
        <v>4511571466</v>
      </c>
      <c r="K94" s="44">
        <v>45628</v>
      </c>
      <c r="L94" s="33" t="s">
        <v>1098</v>
      </c>
      <c r="M94" s="45">
        <v>5053357657</v>
      </c>
      <c r="N94" s="33" t="s">
        <v>863</v>
      </c>
      <c r="O94" s="46" t="s">
        <v>20</v>
      </c>
      <c r="P94" s="46" t="s">
        <v>26</v>
      </c>
      <c r="Q94" s="46" t="s">
        <v>272</v>
      </c>
      <c r="R94" s="47">
        <v>45632</v>
      </c>
      <c r="S94" s="46" t="s">
        <v>16</v>
      </c>
      <c r="T94" s="48" t="s">
        <v>17</v>
      </c>
    </row>
    <row r="95" spans="1:20" x14ac:dyDescent="0.3">
      <c r="A95" s="29" t="str">
        <f>Ingresos[[#This Row],[Centro]]&amp;Ingresos[[#This Row],[Almacén]]&amp;Ingresos[[#This Row],[Codigo]]&amp;Ingresos[[#This Row],[Pedido]]&amp;Ingresos[[#This Row],[Posición]]</f>
        <v>Agricola del Chira PlantaLa Huaca724696451157146530</v>
      </c>
      <c r="B95" s="30" t="s">
        <v>12</v>
      </c>
      <c r="C95" s="37" t="s">
        <v>811</v>
      </c>
      <c r="D95" s="37">
        <v>724696</v>
      </c>
      <c r="E95" s="31" t="s">
        <v>862</v>
      </c>
      <c r="F95" s="37">
        <v>10</v>
      </c>
      <c r="G95" s="31" t="s">
        <v>13</v>
      </c>
      <c r="H95" s="37">
        <v>101</v>
      </c>
      <c r="I95" s="37">
        <v>30</v>
      </c>
      <c r="J95" s="37">
        <v>4511571465</v>
      </c>
      <c r="K95" s="38">
        <v>45628</v>
      </c>
      <c r="L95" s="31" t="s">
        <v>1099</v>
      </c>
      <c r="M95" s="39">
        <v>5053357659</v>
      </c>
      <c r="N95" s="31" t="s">
        <v>863</v>
      </c>
      <c r="O95" s="40" t="s">
        <v>20</v>
      </c>
      <c r="P95" s="40" t="s">
        <v>26</v>
      </c>
      <c r="Q95" s="40" t="s">
        <v>272</v>
      </c>
      <c r="R95" s="41">
        <v>45630</v>
      </c>
      <c r="S95" s="40" t="s">
        <v>16</v>
      </c>
      <c r="T95" s="42" t="s">
        <v>17</v>
      </c>
    </row>
    <row r="96" spans="1:20" x14ac:dyDescent="0.3">
      <c r="A96" s="29" t="str">
        <f>Ingresos[[#This Row],[Centro]]&amp;Ingresos[[#This Row],[Almacén]]&amp;Ingresos[[#This Row],[Codigo]]&amp;Ingresos[[#This Row],[Pedido]]&amp;Ingresos[[#This Row],[Posición]]</f>
        <v>Agricola del Chira PlantaLa Huaca724696451157146530</v>
      </c>
      <c r="B96" s="32" t="s">
        <v>12</v>
      </c>
      <c r="C96" s="43" t="s">
        <v>811</v>
      </c>
      <c r="D96" s="43">
        <v>724696</v>
      </c>
      <c r="E96" s="33" t="s">
        <v>862</v>
      </c>
      <c r="F96" s="43">
        <v>10</v>
      </c>
      <c r="G96" s="33" t="s">
        <v>13</v>
      </c>
      <c r="H96" s="43">
        <v>101</v>
      </c>
      <c r="I96" s="43">
        <v>30</v>
      </c>
      <c r="J96" s="43">
        <v>4511571465</v>
      </c>
      <c r="K96" s="44">
        <v>45628</v>
      </c>
      <c r="L96" s="33" t="s">
        <v>1100</v>
      </c>
      <c r="M96" s="45">
        <v>5053369291</v>
      </c>
      <c r="N96" s="33" t="s">
        <v>863</v>
      </c>
      <c r="O96" s="46" t="s">
        <v>20</v>
      </c>
      <c r="P96" s="46" t="s">
        <v>26</v>
      </c>
      <c r="Q96" s="46" t="s">
        <v>272</v>
      </c>
      <c r="R96" s="47">
        <v>45630</v>
      </c>
      <c r="S96" s="46" t="s">
        <v>16</v>
      </c>
      <c r="T96" s="48" t="s">
        <v>17</v>
      </c>
    </row>
    <row r="97" spans="1:20" x14ac:dyDescent="0.3">
      <c r="A97" s="29" t="str">
        <f>Ingresos[[#This Row],[Centro]]&amp;Ingresos[[#This Row],[Almacén]]&amp;Ingresos[[#This Row],[Codigo]]&amp;Ingresos[[#This Row],[Pedido]]&amp;Ingresos[[#This Row],[Posición]]</f>
        <v>Agricola del Chira PlantaLa Huaca724696451157146530</v>
      </c>
      <c r="B97" s="30" t="s">
        <v>12</v>
      </c>
      <c r="C97" s="37" t="s">
        <v>811</v>
      </c>
      <c r="D97" s="37">
        <v>724696</v>
      </c>
      <c r="E97" s="31" t="s">
        <v>862</v>
      </c>
      <c r="F97" s="37">
        <v>-10</v>
      </c>
      <c r="G97" s="31" t="s">
        <v>13</v>
      </c>
      <c r="H97" s="37">
        <v>102</v>
      </c>
      <c r="I97" s="37">
        <v>30</v>
      </c>
      <c r="J97" s="37">
        <v>4511571465</v>
      </c>
      <c r="K97" s="38">
        <v>45628</v>
      </c>
      <c r="L97" s="31" t="s">
        <v>1099</v>
      </c>
      <c r="M97" s="39">
        <v>5053369289</v>
      </c>
      <c r="N97" s="31" t="s">
        <v>863</v>
      </c>
      <c r="O97" s="40" t="s">
        <v>20</v>
      </c>
      <c r="P97" s="40" t="s">
        <v>26</v>
      </c>
      <c r="Q97" s="40" t="s">
        <v>272</v>
      </c>
      <c r="R97" s="41">
        <v>45630</v>
      </c>
      <c r="S97" s="40" t="s">
        <v>16</v>
      </c>
      <c r="T97" s="42" t="s">
        <v>17</v>
      </c>
    </row>
    <row r="98" spans="1:20" x14ac:dyDescent="0.3">
      <c r="A98" s="29" t="str">
        <f>Ingresos[[#This Row],[Centro]]&amp;Ingresos[[#This Row],[Almacén]]&amp;Ingresos[[#This Row],[Codigo]]&amp;Ingresos[[#This Row],[Pedido]]&amp;Ingresos[[#This Row],[Posición]]</f>
        <v>Agricola del Chira PlantaLa Huaca724828451157146540</v>
      </c>
      <c r="B98" s="32" t="s">
        <v>12</v>
      </c>
      <c r="C98" s="43" t="s">
        <v>811</v>
      </c>
      <c r="D98" s="43">
        <v>724828</v>
      </c>
      <c r="E98" s="33" t="s">
        <v>869</v>
      </c>
      <c r="F98" s="43">
        <v>-11</v>
      </c>
      <c r="G98" s="33" t="s">
        <v>13</v>
      </c>
      <c r="H98" s="43">
        <v>102</v>
      </c>
      <c r="I98" s="43">
        <v>40</v>
      </c>
      <c r="J98" s="43">
        <v>4511571465</v>
      </c>
      <c r="K98" s="44">
        <v>45628</v>
      </c>
      <c r="L98" s="33" t="s">
        <v>1099</v>
      </c>
      <c r="M98" s="45">
        <v>5053369289</v>
      </c>
      <c r="N98" s="33" t="s">
        <v>863</v>
      </c>
      <c r="O98" s="46" t="s">
        <v>20</v>
      </c>
      <c r="P98" s="46" t="s">
        <v>26</v>
      </c>
      <c r="Q98" s="46" t="s">
        <v>272</v>
      </c>
      <c r="R98" s="47">
        <v>45630</v>
      </c>
      <c r="S98" s="46" t="s">
        <v>16</v>
      </c>
      <c r="T98" s="48" t="s">
        <v>17</v>
      </c>
    </row>
    <row r="99" spans="1:20" x14ac:dyDescent="0.3">
      <c r="A99" s="29" t="str">
        <f>Ingresos[[#This Row],[Centro]]&amp;Ingresos[[#This Row],[Almacén]]&amp;Ingresos[[#This Row],[Codigo]]&amp;Ingresos[[#This Row],[Pedido]]&amp;Ingresos[[#This Row],[Posición]]</f>
        <v>Agricola del Chira PlantaLa Huaca724828451157146540</v>
      </c>
      <c r="B99" s="30" t="s">
        <v>12</v>
      </c>
      <c r="C99" s="37" t="s">
        <v>811</v>
      </c>
      <c r="D99" s="37">
        <v>724828</v>
      </c>
      <c r="E99" s="31" t="s">
        <v>869</v>
      </c>
      <c r="F99" s="37">
        <v>11</v>
      </c>
      <c r="G99" s="31" t="s">
        <v>13</v>
      </c>
      <c r="H99" s="37">
        <v>101</v>
      </c>
      <c r="I99" s="37">
        <v>40</v>
      </c>
      <c r="J99" s="37">
        <v>4511571465</v>
      </c>
      <c r="K99" s="38">
        <v>45628</v>
      </c>
      <c r="L99" s="31" t="s">
        <v>1099</v>
      </c>
      <c r="M99" s="39">
        <v>5053357659</v>
      </c>
      <c r="N99" s="31" t="s">
        <v>863</v>
      </c>
      <c r="O99" s="40" t="s">
        <v>20</v>
      </c>
      <c r="P99" s="40" t="s">
        <v>26</v>
      </c>
      <c r="Q99" s="40" t="s">
        <v>272</v>
      </c>
      <c r="R99" s="41">
        <v>45630</v>
      </c>
      <c r="S99" s="40" t="s">
        <v>16</v>
      </c>
      <c r="T99" s="42" t="s">
        <v>17</v>
      </c>
    </row>
    <row r="100" spans="1:20" x14ac:dyDescent="0.3">
      <c r="A100" s="29" t="str">
        <f>Ingresos[[#This Row],[Centro]]&amp;Ingresos[[#This Row],[Almacén]]&amp;Ingresos[[#This Row],[Codigo]]&amp;Ingresos[[#This Row],[Pedido]]&amp;Ingresos[[#This Row],[Posición]]</f>
        <v>Agricola del Chira PlantaLa Huaca724828451157146540</v>
      </c>
      <c r="B100" s="32" t="s">
        <v>12</v>
      </c>
      <c r="C100" s="43" t="s">
        <v>811</v>
      </c>
      <c r="D100" s="43">
        <v>724828</v>
      </c>
      <c r="E100" s="33" t="s">
        <v>869</v>
      </c>
      <c r="F100" s="43">
        <v>11</v>
      </c>
      <c r="G100" s="33" t="s">
        <v>13</v>
      </c>
      <c r="H100" s="43">
        <v>101</v>
      </c>
      <c r="I100" s="43">
        <v>40</v>
      </c>
      <c r="J100" s="43">
        <v>4511571465</v>
      </c>
      <c r="K100" s="44">
        <v>45628</v>
      </c>
      <c r="L100" s="33" t="s">
        <v>1100</v>
      </c>
      <c r="M100" s="45">
        <v>5053369291</v>
      </c>
      <c r="N100" s="33" t="s">
        <v>863</v>
      </c>
      <c r="O100" s="46" t="s">
        <v>20</v>
      </c>
      <c r="P100" s="46" t="s">
        <v>26</v>
      </c>
      <c r="Q100" s="46" t="s">
        <v>272</v>
      </c>
      <c r="R100" s="47">
        <v>45630</v>
      </c>
      <c r="S100" s="46" t="s">
        <v>16</v>
      </c>
      <c r="T100" s="48" t="s">
        <v>17</v>
      </c>
    </row>
    <row r="101" spans="1:20" x14ac:dyDescent="0.3">
      <c r="A101" s="29" t="str">
        <f>Ingresos[[#This Row],[Centro]]&amp;Ingresos[[#This Row],[Almacén]]&amp;Ingresos[[#This Row],[Codigo]]&amp;Ingresos[[#This Row],[Pedido]]&amp;Ingresos[[#This Row],[Posición]]</f>
        <v>Agricola del Chira PlantaLa Huaca844106451157093230</v>
      </c>
      <c r="B101" s="26" t="s">
        <v>12</v>
      </c>
      <c r="C101" s="49" t="s">
        <v>811</v>
      </c>
      <c r="D101" s="49">
        <v>844106</v>
      </c>
      <c r="E101" s="27" t="s">
        <v>865</v>
      </c>
      <c r="F101" s="49">
        <v>16</v>
      </c>
      <c r="G101" s="27" t="s">
        <v>13</v>
      </c>
      <c r="H101" s="49">
        <v>101</v>
      </c>
      <c r="I101" s="49">
        <v>30</v>
      </c>
      <c r="J101" s="49">
        <v>4511570932</v>
      </c>
      <c r="K101" s="50">
        <v>45628</v>
      </c>
      <c r="L101" s="27" t="s">
        <v>1101</v>
      </c>
      <c r="M101" s="51">
        <v>5053357513</v>
      </c>
      <c r="N101" s="27" t="s">
        <v>863</v>
      </c>
      <c r="O101" s="52" t="s">
        <v>20</v>
      </c>
      <c r="P101" s="52" t="s">
        <v>26</v>
      </c>
      <c r="Q101" s="52" t="s">
        <v>32</v>
      </c>
      <c r="R101" s="53">
        <v>45628</v>
      </c>
      <c r="S101" s="52" t="s">
        <v>16</v>
      </c>
      <c r="T101" s="54" t="s">
        <v>17</v>
      </c>
    </row>
  </sheetData>
  <conditionalFormatting sqref="T7:T101">
    <cfRule type="expression" dxfId="19" priority="1">
      <formula>T7="Entrega Tarde"</formula>
    </cfRule>
  </conditionalFormatting>
  <dataValidations count="1">
    <dataValidation type="list" allowBlank="1" showInputMessage="1" showErrorMessage="1" sqref="C4" xr:uid="{00000000-0002-0000-0200-000000000000}">
      <formula1>"0001,0002,0003,0007"</formula1>
    </dataValidation>
  </dataValidations>
  <pageMargins left="0.25" right="0.25" top="0.75" bottom="0.75" header="0.3" footer="0.3"/>
  <pageSetup paperSize="9" scale="42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1027" r:id="rId4" name="Limpiar">
          <controlPr defaultSize="0" autoLine="0" r:id="rId5">
            <anchor moveWithCells="1">
              <from>
                <xdr:col>4</xdr:col>
                <xdr:colOff>1859280</xdr:colOff>
                <xdr:row>0</xdr:row>
                <xdr:rowOff>160020</xdr:rowOff>
              </from>
              <to>
                <xdr:col>4</xdr:col>
                <xdr:colOff>2903220</xdr:colOff>
                <xdr:row>3</xdr:row>
                <xdr:rowOff>175260</xdr:rowOff>
              </to>
            </anchor>
          </controlPr>
        </control>
      </mc:Choice>
      <mc:Fallback>
        <control shapeId="1027" r:id="rId4" name="Limpiar"/>
      </mc:Fallback>
    </mc:AlternateContent>
    <mc:AlternateContent xmlns:mc="http://schemas.openxmlformats.org/markup-compatibility/2006">
      <mc:Choice Requires="x14">
        <control shapeId="1026" r:id="rId6" name="Actualizar">
          <controlPr defaultSize="0" autoLine="0" r:id="rId7">
            <anchor moveWithCells="1" sizeWithCells="1">
              <from>
                <xdr:col>4</xdr:col>
                <xdr:colOff>144780</xdr:colOff>
                <xdr:row>1</xdr:row>
                <xdr:rowOff>0</xdr:rowOff>
              </from>
              <to>
                <xdr:col>4</xdr:col>
                <xdr:colOff>1744980</xdr:colOff>
                <xdr:row>4</xdr:row>
                <xdr:rowOff>22860</xdr:rowOff>
              </to>
            </anchor>
          </controlPr>
        </control>
      </mc:Choice>
      <mc:Fallback>
        <control shapeId="1026" r:id="rId6" name="Actualizar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99958-7D0E-41DD-A0B3-98D190E83809}">
  <sheetPr>
    <tabColor rgb="FF92D050"/>
  </sheetPr>
  <dimension ref="A6:S101"/>
  <sheetViews>
    <sheetView topLeftCell="C76" workbookViewId="0">
      <selection activeCell="A7" sqref="A7:S101"/>
    </sheetView>
  </sheetViews>
  <sheetFormatPr baseColWidth="10" defaultRowHeight="14.4" x14ac:dyDescent="0.3"/>
  <sheetData>
    <row r="6" spans="1:19" ht="15" thickBot="1" x14ac:dyDescent="0.35">
      <c r="A6" s="24" t="s">
        <v>0</v>
      </c>
      <c r="B6" s="35" t="s">
        <v>64</v>
      </c>
      <c r="C6" s="25" t="s">
        <v>1</v>
      </c>
      <c r="D6" s="25" t="s">
        <v>2</v>
      </c>
      <c r="E6" s="35" t="s">
        <v>65</v>
      </c>
      <c r="F6" s="25" t="s">
        <v>3</v>
      </c>
      <c r="G6" s="35" t="s">
        <v>66</v>
      </c>
      <c r="H6" s="35" t="s">
        <v>67</v>
      </c>
      <c r="I6" s="25" t="s">
        <v>8</v>
      </c>
      <c r="J6" s="25" t="s">
        <v>68</v>
      </c>
      <c r="K6" s="25" t="s">
        <v>5</v>
      </c>
      <c r="L6" s="36" t="s">
        <v>69</v>
      </c>
      <c r="M6" s="25" t="s">
        <v>70</v>
      </c>
      <c r="N6" s="25" t="s">
        <v>10</v>
      </c>
      <c r="O6" s="25" t="s">
        <v>6</v>
      </c>
      <c r="P6" s="25" t="s">
        <v>4</v>
      </c>
      <c r="Q6" s="25" t="s">
        <v>71</v>
      </c>
      <c r="R6" s="25" t="s">
        <v>7</v>
      </c>
      <c r="S6" s="28" t="s">
        <v>9</v>
      </c>
    </row>
    <row r="7" spans="1:19" ht="15" thickTop="1" x14ac:dyDescent="0.3">
      <c r="A7" s="30" t="s">
        <v>12</v>
      </c>
      <c r="B7" s="37" t="s">
        <v>811</v>
      </c>
      <c r="C7" s="37">
        <v>721426</v>
      </c>
      <c r="D7" s="31" t="s">
        <v>934</v>
      </c>
      <c r="E7" s="37">
        <v>30000</v>
      </c>
      <c r="F7" s="31" t="s">
        <v>21</v>
      </c>
      <c r="G7" s="37">
        <v>101</v>
      </c>
      <c r="H7" s="37">
        <v>10</v>
      </c>
      <c r="I7" s="37">
        <v>5500024939</v>
      </c>
      <c r="J7" s="38">
        <v>45670</v>
      </c>
      <c r="K7" s="31" t="s">
        <v>936</v>
      </c>
      <c r="L7" s="39">
        <v>5053390554</v>
      </c>
      <c r="M7" s="31" t="s">
        <v>864</v>
      </c>
      <c r="N7" s="40" t="s">
        <v>17</v>
      </c>
      <c r="O7" s="40" t="s">
        <v>28</v>
      </c>
      <c r="P7" s="40" t="s">
        <v>1108</v>
      </c>
      <c r="Q7" s="41">
        <v>45670</v>
      </c>
      <c r="R7" s="40" t="s">
        <v>16</v>
      </c>
      <c r="S7" s="42" t="s">
        <v>17</v>
      </c>
    </row>
    <row r="8" spans="1:19" x14ac:dyDescent="0.3">
      <c r="A8" s="32" t="s">
        <v>12</v>
      </c>
      <c r="B8" s="43" t="s">
        <v>811</v>
      </c>
      <c r="C8" s="43">
        <v>70100392</v>
      </c>
      <c r="D8" s="33" t="s">
        <v>53</v>
      </c>
      <c r="E8" s="43">
        <v>26</v>
      </c>
      <c r="F8" s="33" t="s">
        <v>13</v>
      </c>
      <c r="G8" s="43">
        <v>101</v>
      </c>
      <c r="H8" s="43">
        <v>20</v>
      </c>
      <c r="I8" s="43">
        <v>5500024751</v>
      </c>
      <c r="J8" s="44">
        <v>45670</v>
      </c>
      <c r="K8" s="33" t="s">
        <v>947</v>
      </c>
      <c r="L8" s="45">
        <v>5053390545</v>
      </c>
      <c r="M8" s="33" t="s">
        <v>864</v>
      </c>
      <c r="N8" s="46" t="s">
        <v>17</v>
      </c>
      <c r="O8" s="46" t="s">
        <v>28</v>
      </c>
      <c r="P8" s="46" t="s">
        <v>54</v>
      </c>
      <c r="Q8" s="47">
        <v>45670</v>
      </c>
      <c r="R8" s="46" t="s">
        <v>16</v>
      </c>
      <c r="S8" s="48" t="s">
        <v>17</v>
      </c>
    </row>
    <row r="9" spans="1:19" x14ac:dyDescent="0.3">
      <c r="A9" s="30" t="s">
        <v>12</v>
      </c>
      <c r="B9" s="37" t="s">
        <v>811</v>
      </c>
      <c r="C9" s="37">
        <v>814781</v>
      </c>
      <c r="D9" s="31" t="s">
        <v>955</v>
      </c>
      <c r="E9" s="37">
        <v>250</v>
      </c>
      <c r="F9" s="31" t="s">
        <v>21</v>
      </c>
      <c r="G9" s="37">
        <v>101</v>
      </c>
      <c r="H9" s="37">
        <v>10</v>
      </c>
      <c r="I9" s="37">
        <v>4511573914</v>
      </c>
      <c r="J9" s="38">
        <v>45668</v>
      </c>
      <c r="K9" s="31" t="s">
        <v>956</v>
      </c>
      <c r="L9" s="39">
        <v>5053389928</v>
      </c>
      <c r="M9" s="31" t="s">
        <v>864</v>
      </c>
      <c r="N9" s="40" t="s">
        <v>20</v>
      </c>
      <c r="O9" s="40" t="s">
        <v>34</v>
      </c>
      <c r="P9" s="40" t="s">
        <v>103</v>
      </c>
      <c r="Q9" s="41">
        <v>45670</v>
      </c>
      <c r="R9" s="40" t="s">
        <v>16</v>
      </c>
      <c r="S9" s="42" t="s">
        <v>17</v>
      </c>
    </row>
    <row r="10" spans="1:19" x14ac:dyDescent="0.3">
      <c r="A10" s="32" t="s">
        <v>12</v>
      </c>
      <c r="B10" s="43" t="s">
        <v>811</v>
      </c>
      <c r="C10" s="43">
        <v>70069179</v>
      </c>
      <c r="D10" s="33" t="s">
        <v>1005</v>
      </c>
      <c r="E10" s="43">
        <v>10</v>
      </c>
      <c r="F10" s="33" t="s">
        <v>13</v>
      </c>
      <c r="G10" s="43">
        <v>101</v>
      </c>
      <c r="H10" s="43">
        <v>160</v>
      </c>
      <c r="I10" s="43">
        <v>5500024855</v>
      </c>
      <c r="J10" s="44">
        <v>45663</v>
      </c>
      <c r="K10" s="33" t="s">
        <v>1006</v>
      </c>
      <c r="L10" s="45">
        <v>5053386743</v>
      </c>
      <c r="M10" s="33" t="s">
        <v>864</v>
      </c>
      <c r="N10" s="46" t="s">
        <v>17</v>
      </c>
      <c r="O10" s="46" t="s">
        <v>28</v>
      </c>
      <c r="P10" s="46" t="s">
        <v>96</v>
      </c>
      <c r="Q10" s="47">
        <v>45663</v>
      </c>
      <c r="R10" s="46" t="s">
        <v>16</v>
      </c>
      <c r="S10" s="48" t="s">
        <v>17</v>
      </c>
    </row>
    <row r="11" spans="1:19" x14ac:dyDescent="0.3">
      <c r="A11" s="30" t="s">
        <v>12</v>
      </c>
      <c r="B11" s="37" t="s">
        <v>811</v>
      </c>
      <c r="C11" s="37">
        <v>70069183</v>
      </c>
      <c r="D11" s="31" t="s">
        <v>1007</v>
      </c>
      <c r="E11" s="37">
        <v>30</v>
      </c>
      <c r="F11" s="31" t="s">
        <v>13</v>
      </c>
      <c r="G11" s="37">
        <v>101</v>
      </c>
      <c r="H11" s="37">
        <v>310</v>
      </c>
      <c r="I11" s="37">
        <v>5500024855</v>
      </c>
      <c r="J11" s="38">
        <v>45663</v>
      </c>
      <c r="K11" s="31" t="s">
        <v>1006</v>
      </c>
      <c r="L11" s="39">
        <v>5053386743</v>
      </c>
      <c r="M11" s="31" t="s">
        <v>864</v>
      </c>
      <c r="N11" s="40" t="s">
        <v>17</v>
      </c>
      <c r="O11" s="40" t="s">
        <v>28</v>
      </c>
      <c r="P11" s="40" t="s">
        <v>96</v>
      </c>
      <c r="Q11" s="41">
        <v>45663</v>
      </c>
      <c r="R11" s="40" t="s">
        <v>16</v>
      </c>
      <c r="S11" s="42" t="s">
        <v>17</v>
      </c>
    </row>
    <row r="12" spans="1:19" x14ac:dyDescent="0.3">
      <c r="A12" s="32" t="s">
        <v>12</v>
      </c>
      <c r="B12" s="43" t="s">
        <v>811</v>
      </c>
      <c r="C12" s="43">
        <v>70128403</v>
      </c>
      <c r="D12" s="33" t="s">
        <v>867</v>
      </c>
      <c r="E12" s="43">
        <v>1600</v>
      </c>
      <c r="F12" s="33" t="s">
        <v>21</v>
      </c>
      <c r="G12" s="43">
        <v>101</v>
      </c>
      <c r="H12" s="43">
        <v>50</v>
      </c>
      <c r="I12" s="43">
        <v>5500024888</v>
      </c>
      <c r="J12" s="44">
        <v>45646</v>
      </c>
      <c r="K12" s="33" t="s">
        <v>1038</v>
      </c>
      <c r="L12" s="45">
        <v>5053374801</v>
      </c>
      <c r="M12" s="33" t="s">
        <v>864</v>
      </c>
      <c r="N12" s="46" t="s">
        <v>17</v>
      </c>
      <c r="O12" s="46" t="s">
        <v>17</v>
      </c>
      <c r="P12" s="46" t="s">
        <v>17</v>
      </c>
      <c r="Q12" s="47" t="s">
        <v>17</v>
      </c>
      <c r="R12" s="46" t="s">
        <v>17</v>
      </c>
      <c r="S12" s="48" t="s">
        <v>17</v>
      </c>
    </row>
    <row r="13" spans="1:19" x14ac:dyDescent="0.3">
      <c r="A13" s="30" t="s">
        <v>12</v>
      </c>
      <c r="B13" s="37" t="s">
        <v>811</v>
      </c>
      <c r="C13" s="37">
        <v>70077698</v>
      </c>
      <c r="D13" s="31" t="s">
        <v>1043</v>
      </c>
      <c r="E13" s="37">
        <v>1</v>
      </c>
      <c r="F13" s="31" t="s">
        <v>13</v>
      </c>
      <c r="G13" s="37">
        <v>101</v>
      </c>
      <c r="H13" s="37">
        <v>10</v>
      </c>
      <c r="I13" s="37">
        <v>4511538552</v>
      </c>
      <c r="J13" s="38">
        <v>45644</v>
      </c>
      <c r="K13" s="31" t="s">
        <v>1044</v>
      </c>
      <c r="L13" s="39">
        <v>5053372810</v>
      </c>
      <c r="M13" s="31" t="s">
        <v>864</v>
      </c>
      <c r="N13" s="40" t="s">
        <v>30</v>
      </c>
      <c r="O13" s="40" t="s">
        <v>181</v>
      </c>
      <c r="P13" s="40" t="s">
        <v>312</v>
      </c>
      <c r="Q13" s="41">
        <v>45523</v>
      </c>
      <c r="R13" s="40" t="s">
        <v>16</v>
      </c>
      <c r="S13" s="42" t="s">
        <v>23</v>
      </c>
    </row>
    <row r="14" spans="1:19" x14ac:dyDescent="0.3">
      <c r="A14" s="32" t="s">
        <v>12</v>
      </c>
      <c r="B14" s="43" t="s">
        <v>811</v>
      </c>
      <c r="C14" s="43">
        <v>868331</v>
      </c>
      <c r="D14" s="33" t="s">
        <v>1051</v>
      </c>
      <c r="E14" s="43">
        <v>4</v>
      </c>
      <c r="F14" s="33" t="s">
        <v>1052</v>
      </c>
      <c r="G14" s="43">
        <v>101</v>
      </c>
      <c r="H14" s="43">
        <v>30</v>
      </c>
      <c r="I14" s="43">
        <v>4511572171</v>
      </c>
      <c r="J14" s="44">
        <v>45642</v>
      </c>
      <c r="K14" s="33" t="s">
        <v>1050</v>
      </c>
      <c r="L14" s="45">
        <v>5053371154</v>
      </c>
      <c r="M14" s="33" t="s">
        <v>864</v>
      </c>
      <c r="N14" s="46" t="s">
        <v>20</v>
      </c>
      <c r="O14" s="46" t="s">
        <v>26</v>
      </c>
      <c r="P14" s="46" t="s">
        <v>161</v>
      </c>
      <c r="Q14" s="47">
        <v>45646</v>
      </c>
      <c r="R14" s="46" t="s">
        <v>16</v>
      </c>
      <c r="S14" s="48" t="s">
        <v>17</v>
      </c>
    </row>
    <row r="15" spans="1:19" x14ac:dyDescent="0.3">
      <c r="A15" s="30" t="s">
        <v>12</v>
      </c>
      <c r="B15" s="37" t="s">
        <v>811</v>
      </c>
      <c r="C15" s="37">
        <v>70128403</v>
      </c>
      <c r="D15" s="31" t="s">
        <v>867</v>
      </c>
      <c r="E15" s="37">
        <v>1000</v>
      </c>
      <c r="F15" s="31" t="s">
        <v>21</v>
      </c>
      <c r="G15" s="37">
        <v>101</v>
      </c>
      <c r="H15" s="37">
        <v>50</v>
      </c>
      <c r="I15" s="37">
        <v>5500024888</v>
      </c>
      <c r="J15" s="38">
        <v>45637</v>
      </c>
      <c r="K15" s="31" t="s">
        <v>1079</v>
      </c>
      <c r="L15" s="39">
        <v>5053365430</v>
      </c>
      <c r="M15" s="31" t="s">
        <v>864</v>
      </c>
      <c r="N15" s="40" t="s">
        <v>17</v>
      </c>
      <c r="O15" s="40" t="s">
        <v>17</v>
      </c>
      <c r="P15" s="40" t="s">
        <v>17</v>
      </c>
      <c r="Q15" s="41" t="s">
        <v>17</v>
      </c>
      <c r="R15" s="40" t="s">
        <v>17</v>
      </c>
      <c r="S15" s="42" t="s">
        <v>17</v>
      </c>
    </row>
    <row r="16" spans="1:19" x14ac:dyDescent="0.3">
      <c r="A16" s="32" t="s">
        <v>12</v>
      </c>
      <c r="B16" s="43" t="s">
        <v>811</v>
      </c>
      <c r="C16" s="43">
        <v>70100392</v>
      </c>
      <c r="D16" s="33" t="s">
        <v>53</v>
      </c>
      <c r="E16" s="43">
        <v>41</v>
      </c>
      <c r="F16" s="33" t="s">
        <v>13</v>
      </c>
      <c r="G16" s="43">
        <v>101</v>
      </c>
      <c r="H16" s="43">
        <v>20</v>
      </c>
      <c r="I16" s="43">
        <v>5500024751</v>
      </c>
      <c r="J16" s="44">
        <v>45630</v>
      </c>
      <c r="K16" s="33" t="s">
        <v>1094</v>
      </c>
      <c r="L16" s="45">
        <v>5053359340</v>
      </c>
      <c r="M16" s="33" t="s">
        <v>864</v>
      </c>
      <c r="N16" s="46" t="s">
        <v>17</v>
      </c>
      <c r="O16" s="46" t="s">
        <v>28</v>
      </c>
      <c r="P16" s="46" t="s">
        <v>54</v>
      </c>
      <c r="Q16" s="47">
        <v>45670</v>
      </c>
      <c r="R16" s="46" t="s">
        <v>16</v>
      </c>
      <c r="S16" s="48" t="s">
        <v>17</v>
      </c>
    </row>
    <row r="17" spans="1:19" x14ac:dyDescent="0.3">
      <c r="A17" s="30" t="s">
        <v>12</v>
      </c>
      <c r="B17" s="37" t="s">
        <v>811</v>
      </c>
      <c r="C17" s="37">
        <v>70128403</v>
      </c>
      <c r="D17" s="31" t="s">
        <v>867</v>
      </c>
      <c r="E17" s="37">
        <v>2000</v>
      </c>
      <c r="F17" s="31" t="s">
        <v>21</v>
      </c>
      <c r="G17" s="37">
        <v>101</v>
      </c>
      <c r="H17" s="37">
        <v>50</v>
      </c>
      <c r="I17" s="37">
        <v>5500024888</v>
      </c>
      <c r="J17" s="38">
        <v>45628</v>
      </c>
      <c r="K17" s="31" t="s">
        <v>1102</v>
      </c>
      <c r="L17" s="39">
        <v>5053357514</v>
      </c>
      <c r="M17" s="31" t="s">
        <v>864</v>
      </c>
      <c r="N17" s="40" t="s">
        <v>17</v>
      </c>
      <c r="O17" s="40" t="s">
        <v>17</v>
      </c>
      <c r="P17" s="40" t="s">
        <v>17</v>
      </c>
      <c r="Q17" s="41" t="s">
        <v>17</v>
      </c>
      <c r="R17" s="40" t="s">
        <v>17</v>
      </c>
      <c r="S17" s="42" t="s">
        <v>17</v>
      </c>
    </row>
    <row r="18" spans="1:19" x14ac:dyDescent="0.3">
      <c r="A18" s="32" t="s">
        <v>12</v>
      </c>
      <c r="B18" s="43" t="s">
        <v>811</v>
      </c>
      <c r="C18" s="43">
        <v>70118374</v>
      </c>
      <c r="D18" s="33" t="s">
        <v>932</v>
      </c>
      <c r="E18" s="43">
        <v>8</v>
      </c>
      <c r="F18" s="33" t="s">
        <v>13</v>
      </c>
      <c r="G18" s="43">
        <v>101</v>
      </c>
      <c r="H18" s="43">
        <v>10</v>
      </c>
      <c r="I18" s="43">
        <v>4511573592</v>
      </c>
      <c r="J18" s="44">
        <v>45671</v>
      </c>
      <c r="K18" s="33" t="s">
        <v>933</v>
      </c>
      <c r="L18" s="45">
        <v>5053391237</v>
      </c>
      <c r="M18" s="33" t="s">
        <v>866</v>
      </c>
      <c r="N18" s="46" t="s">
        <v>30</v>
      </c>
      <c r="O18" s="46" t="s">
        <v>26</v>
      </c>
      <c r="P18" s="46" t="s">
        <v>316</v>
      </c>
      <c r="Q18" s="47">
        <v>45308</v>
      </c>
      <c r="R18" s="46" t="s">
        <v>16</v>
      </c>
      <c r="S18" s="48" t="s">
        <v>23</v>
      </c>
    </row>
    <row r="19" spans="1:19" x14ac:dyDescent="0.3">
      <c r="A19" s="30" t="s">
        <v>12</v>
      </c>
      <c r="B19" s="37" t="s">
        <v>811</v>
      </c>
      <c r="C19" s="37">
        <v>804894</v>
      </c>
      <c r="D19" s="31" t="s">
        <v>937</v>
      </c>
      <c r="E19" s="37">
        <v>2</v>
      </c>
      <c r="F19" s="31" t="s">
        <v>13</v>
      </c>
      <c r="G19" s="37">
        <v>101</v>
      </c>
      <c r="H19" s="37">
        <v>20</v>
      </c>
      <c r="I19" s="37">
        <v>4511573785</v>
      </c>
      <c r="J19" s="38">
        <v>45670</v>
      </c>
      <c r="K19" s="31" t="s">
        <v>938</v>
      </c>
      <c r="L19" s="39">
        <v>5053391176</v>
      </c>
      <c r="M19" s="31" t="s">
        <v>866</v>
      </c>
      <c r="N19" s="40" t="s">
        <v>20</v>
      </c>
      <c r="O19" s="40" t="s">
        <v>26</v>
      </c>
      <c r="P19" s="40" t="s">
        <v>32</v>
      </c>
      <c r="Q19" s="41">
        <v>45677</v>
      </c>
      <c r="R19" s="40" t="s">
        <v>16</v>
      </c>
      <c r="S19" s="42" t="s">
        <v>17</v>
      </c>
    </row>
    <row r="20" spans="1:19" x14ac:dyDescent="0.3">
      <c r="A20" s="32" t="s">
        <v>12</v>
      </c>
      <c r="B20" s="43" t="s">
        <v>811</v>
      </c>
      <c r="C20" s="43">
        <v>884090</v>
      </c>
      <c r="D20" s="33" t="s">
        <v>939</v>
      </c>
      <c r="E20" s="43">
        <v>16</v>
      </c>
      <c r="F20" s="33" t="s">
        <v>13</v>
      </c>
      <c r="G20" s="43">
        <v>101</v>
      </c>
      <c r="H20" s="43">
        <v>100</v>
      </c>
      <c r="I20" s="43">
        <v>4511573761</v>
      </c>
      <c r="J20" s="44">
        <v>45670</v>
      </c>
      <c r="K20" s="33" t="s">
        <v>940</v>
      </c>
      <c r="L20" s="45">
        <v>5053391166</v>
      </c>
      <c r="M20" s="33" t="s">
        <v>866</v>
      </c>
      <c r="N20" s="46" t="s">
        <v>20</v>
      </c>
      <c r="O20" s="46" t="s">
        <v>26</v>
      </c>
      <c r="P20" s="46" t="s">
        <v>32</v>
      </c>
      <c r="Q20" s="47">
        <v>45677</v>
      </c>
      <c r="R20" s="46" t="s">
        <v>16</v>
      </c>
      <c r="S20" s="48" t="s">
        <v>17</v>
      </c>
    </row>
    <row r="21" spans="1:19" x14ac:dyDescent="0.3">
      <c r="A21" s="31" t="s">
        <v>12</v>
      </c>
      <c r="B21" s="37" t="s">
        <v>811</v>
      </c>
      <c r="C21" s="37">
        <v>884098</v>
      </c>
      <c r="D21" s="31" t="s">
        <v>941</v>
      </c>
      <c r="E21" s="37">
        <v>12</v>
      </c>
      <c r="F21" s="31" t="s">
        <v>13</v>
      </c>
      <c r="G21" s="37">
        <v>101</v>
      </c>
      <c r="H21" s="37">
        <v>110</v>
      </c>
      <c r="I21" s="37">
        <v>4511573761</v>
      </c>
      <c r="J21" s="38">
        <v>45670</v>
      </c>
      <c r="K21" s="31" t="s">
        <v>940</v>
      </c>
      <c r="L21" s="39">
        <v>5053391166</v>
      </c>
      <c r="M21" s="31" t="s">
        <v>866</v>
      </c>
      <c r="N21" s="40" t="s">
        <v>20</v>
      </c>
      <c r="O21" s="40" t="s">
        <v>26</v>
      </c>
      <c r="P21" s="40" t="s">
        <v>32</v>
      </c>
      <c r="Q21" s="41">
        <v>45677</v>
      </c>
      <c r="R21" s="40" t="s">
        <v>16</v>
      </c>
      <c r="S21" s="42" t="s">
        <v>17</v>
      </c>
    </row>
    <row r="22" spans="1:19" x14ac:dyDescent="0.3">
      <c r="A22" s="33" t="s">
        <v>12</v>
      </c>
      <c r="B22" s="43" t="s">
        <v>811</v>
      </c>
      <c r="C22" s="43">
        <v>887595</v>
      </c>
      <c r="D22" s="33" t="s">
        <v>942</v>
      </c>
      <c r="E22" s="43">
        <v>1</v>
      </c>
      <c r="F22" s="33" t="s">
        <v>13</v>
      </c>
      <c r="G22" s="43">
        <v>101</v>
      </c>
      <c r="H22" s="43">
        <v>120</v>
      </c>
      <c r="I22" s="43">
        <v>4511573761</v>
      </c>
      <c r="J22" s="44">
        <v>45670</v>
      </c>
      <c r="K22" s="33" t="s">
        <v>940</v>
      </c>
      <c r="L22" s="45">
        <v>5053391166</v>
      </c>
      <c r="M22" s="33" t="s">
        <v>866</v>
      </c>
      <c r="N22" s="46" t="s">
        <v>20</v>
      </c>
      <c r="O22" s="46" t="s">
        <v>26</v>
      </c>
      <c r="P22" s="46" t="s">
        <v>32</v>
      </c>
      <c r="Q22" s="47">
        <v>45677</v>
      </c>
      <c r="R22" s="46" t="s">
        <v>16</v>
      </c>
      <c r="S22" s="48" t="s">
        <v>17</v>
      </c>
    </row>
    <row r="23" spans="1:19" x14ac:dyDescent="0.3">
      <c r="A23" s="31" t="s">
        <v>12</v>
      </c>
      <c r="B23" s="37" t="s">
        <v>811</v>
      </c>
      <c r="C23" s="37">
        <v>893851</v>
      </c>
      <c r="D23" s="31" t="s">
        <v>943</v>
      </c>
      <c r="E23" s="37">
        <v>12</v>
      </c>
      <c r="F23" s="31" t="s">
        <v>13</v>
      </c>
      <c r="G23" s="37">
        <v>101</v>
      </c>
      <c r="H23" s="37">
        <v>130</v>
      </c>
      <c r="I23" s="37">
        <v>4511573761</v>
      </c>
      <c r="J23" s="38">
        <v>45670</v>
      </c>
      <c r="K23" s="31" t="s">
        <v>940</v>
      </c>
      <c r="L23" s="39">
        <v>5053391166</v>
      </c>
      <c r="M23" s="31" t="s">
        <v>866</v>
      </c>
      <c r="N23" s="40" t="s">
        <v>20</v>
      </c>
      <c r="O23" s="40" t="s">
        <v>26</v>
      </c>
      <c r="P23" s="40" t="s">
        <v>32</v>
      </c>
      <c r="Q23" s="41">
        <v>45677</v>
      </c>
      <c r="R23" s="40" t="s">
        <v>16</v>
      </c>
      <c r="S23" s="42" t="s">
        <v>17</v>
      </c>
    </row>
    <row r="24" spans="1:19" x14ac:dyDescent="0.3">
      <c r="A24" s="33" t="s">
        <v>12</v>
      </c>
      <c r="B24" s="43" t="s">
        <v>811</v>
      </c>
      <c r="C24" s="43">
        <v>893854</v>
      </c>
      <c r="D24" s="33" t="s">
        <v>944</v>
      </c>
      <c r="E24" s="43">
        <v>6</v>
      </c>
      <c r="F24" s="33" t="s">
        <v>13</v>
      </c>
      <c r="G24" s="43">
        <v>101</v>
      </c>
      <c r="H24" s="43">
        <v>140</v>
      </c>
      <c r="I24" s="43">
        <v>4511573761</v>
      </c>
      <c r="J24" s="44">
        <v>45670</v>
      </c>
      <c r="K24" s="33" t="s">
        <v>940</v>
      </c>
      <c r="L24" s="45">
        <v>5053391166</v>
      </c>
      <c r="M24" s="33" t="s">
        <v>866</v>
      </c>
      <c r="N24" s="46" t="s">
        <v>20</v>
      </c>
      <c r="O24" s="46" t="s">
        <v>26</v>
      </c>
      <c r="P24" s="46" t="s">
        <v>32</v>
      </c>
      <c r="Q24" s="47">
        <v>45677</v>
      </c>
      <c r="R24" s="46" t="s">
        <v>16</v>
      </c>
      <c r="S24" s="48" t="s">
        <v>17</v>
      </c>
    </row>
    <row r="25" spans="1:19" x14ac:dyDescent="0.3">
      <c r="A25" s="31" t="s">
        <v>12</v>
      </c>
      <c r="B25" s="37" t="s">
        <v>811</v>
      </c>
      <c r="C25" s="37">
        <v>70017132</v>
      </c>
      <c r="D25" s="31" t="s">
        <v>945</v>
      </c>
      <c r="E25" s="37">
        <v>12</v>
      </c>
      <c r="F25" s="31" t="s">
        <v>13</v>
      </c>
      <c r="G25" s="37">
        <v>101</v>
      </c>
      <c r="H25" s="37">
        <v>150</v>
      </c>
      <c r="I25" s="37">
        <v>4511573761</v>
      </c>
      <c r="J25" s="38">
        <v>45670</v>
      </c>
      <c r="K25" s="31" t="s">
        <v>940</v>
      </c>
      <c r="L25" s="39">
        <v>5053391166</v>
      </c>
      <c r="M25" s="31" t="s">
        <v>866</v>
      </c>
      <c r="N25" s="40" t="s">
        <v>20</v>
      </c>
      <c r="O25" s="40" t="s">
        <v>26</v>
      </c>
      <c r="P25" s="40" t="s">
        <v>32</v>
      </c>
      <c r="Q25" s="41">
        <v>45677</v>
      </c>
      <c r="R25" s="40" t="s">
        <v>16</v>
      </c>
      <c r="S25" s="42" t="s">
        <v>17</v>
      </c>
    </row>
    <row r="26" spans="1:19" x14ac:dyDescent="0.3">
      <c r="A26" s="32" t="s">
        <v>12</v>
      </c>
      <c r="B26" s="43" t="s">
        <v>811</v>
      </c>
      <c r="C26" s="43">
        <v>70061350</v>
      </c>
      <c r="D26" s="33" t="s">
        <v>946</v>
      </c>
      <c r="E26" s="43">
        <v>24</v>
      </c>
      <c r="F26" s="33" t="s">
        <v>13</v>
      </c>
      <c r="G26" s="43">
        <v>101</v>
      </c>
      <c r="H26" s="43">
        <v>160</v>
      </c>
      <c r="I26" s="43">
        <v>4511573761</v>
      </c>
      <c r="J26" s="44">
        <v>45670</v>
      </c>
      <c r="K26" s="33" t="s">
        <v>940</v>
      </c>
      <c r="L26" s="45">
        <v>5053391166</v>
      </c>
      <c r="M26" s="33" t="s">
        <v>866</v>
      </c>
      <c r="N26" s="46" t="s">
        <v>20</v>
      </c>
      <c r="O26" s="46" t="s">
        <v>26</v>
      </c>
      <c r="P26" s="46" t="s">
        <v>32</v>
      </c>
      <c r="Q26" s="47">
        <v>45677</v>
      </c>
      <c r="R26" s="46" t="s">
        <v>16</v>
      </c>
      <c r="S26" s="48" t="s">
        <v>17</v>
      </c>
    </row>
    <row r="27" spans="1:19" x14ac:dyDescent="0.3">
      <c r="A27" s="30" t="s">
        <v>12</v>
      </c>
      <c r="B27" s="37" t="s">
        <v>811</v>
      </c>
      <c r="C27" s="37" t="s">
        <v>948</v>
      </c>
      <c r="D27" s="31" t="s">
        <v>949</v>
      </c>
      <c r="E27" s="37">
        <v>100</v>
      </c>
      <c r="F27" s="31" t="s">
        <v>21</v>
      </c>
      <c r="G27" s="37">
        <v>101</v>
      </c>
      <c r="H27" s="37">
        <v>30</v>
      </c>
      <c r="I27" s="37">
        <v>4511574160</v>
      </c>
      <c r="J27" s="38">
        <v>45670</v>
      </c>
      <c r="K27" s="31" t="s">
        <v>950</v>
      </c>
      <c r="L27" s="39">
        <v>5053390360</v>
      </c>
      <c r="M27" s="31" t="s">
        <v>866</v>
      </c>
      <c r="N27" s="40" t="s">
        <v>20</v>
      </c>
      <c r="O27" s="40" t="s">
        <v>326</v>
      </c>
      <c r="P27" s="40" t="s">
        <v>89</v>
      </c>
      <c r="Q27" s="41">
        <v>45670</v>
      </c>
      <c r="R27" s="40" t="s">
        <v>16</v>
      </c>
      <c r="S27" s="42" t="s">
        <v>17</v>
      </c>
    </row>
    <row r="28" spans="1:19" x14ac:dyDescent="0.3">
      <c r="A28" s="32" t="s">
        <v>12</v>
      </c>
      <c r="B28" s="43" t="s">
        <v>811</v>
      </c>
      <c r="C28" s="43" t="s">
        <v>951</v>
      </c>
      <c r="D28" s="33" t="s">
        <v>952</v>
      </c>
      <c r="E28" s="43">
        <v>680</v>
      </c>
      <c r="F28" s="33" t="s">
        <v>31</v>
      </c>
      <c r="G28" s="43">
        <v>101</v>
      </c>
      <c r="H28" s="43">
        <v>20</v>
      </c>
      <c r="I28" s="43">
        <v>4511574248</v>
      </c>
      <c r="J28" s="44">
        <v>45670</v>
      </c>
      <c r="K28" s="33" t="s">
        <v>953</v>
      </c>
      <c r="L28" s="45">
        <v>5053390558</v>
      </c>
      <c r="M28" s="33" t="s">
        <v>866</v>
      </c>
      <c r="N28" s="46" t="s">
        <v>20</v>
      </c>
      <c r="O28" s="46" t="s">
        <v>326</v>
      </c>
      <c r="P28" s="46" t="s">
        <v>1110</v>
      </c>
      <c r="Q28" s="47">
        <v>45672</v>
      </c>
      <c r="R28" s="46" t="s">
        <v>16</v>
      </c>
      <c r="S28" s="48" t="s">
        <v>17</v>
      </c>
    </row>
    <row r="29" spans="1:19" x14ac:dyDescent="0.3">
      <c r="A29" s="30" t="s">
        <v>12</v>
      </c>
      <c r="B29" s="37" t="s">
        <v>811</v>
      </c>
      <c r="C29" s="37">
        <v>802317</v>
      </c>
      <c r="D29" s="31" t="s">
        <v>35</v>
      </c>
      <c r="E29" s="37">
        <v>10</v>
      </c>
      <c r="F29" s="31" t="s">
        <v>13</v>
      </c>
      <c r="G29" s="37">
        <v>101</v>
      </c>
      <c r="H29" s="37">
        <v>20</v>
      </c>
      <c r="I29" s="37">
        <v>4511573901</v>
      </c>
      <c r="J29" s="38">
        <v>45667</v>
      </c>
      <c r="K29" s="31" t="s">
        <v>960</v>
      </c>
      <c r="L29" s="39">
        <v>5053389585</v>
      </c>
      <c r="M29" s="31" t="s">
        <v>866</v>
      </c>
      <c r="N29" s="40" t="s">
        <v>20</v>
      </c>
      <c r="O29" s="40" t="s">
        <v>15</v>
      </c>
      <c r="P29" s="40" t="s">
        <v>22</v>
      </c>
      <c r="Q29" s="41">
        <v>45677</v>
      </c>
      <c r="R29" s="40" t="s">
        <v>16</v>
      </c>
      <c r="S29" s="42" t="s">
        <v>17</v>
      </c>
    </row>
    <row r="30" spans="1:19" x14ac:dyDescent="0.3">
      <c r="A30" s="32" t="s">
        <v>12</v>
      </c>
      <c r="B30" s="43" t="s">
        <v>811</v>
      </c>
      <c r="C30" s="43">
        <v>868096</v>
      </c>
      <c r="D30" s="33" t="s">
        <v>962</v>
      </c>
      <c r="E30" s="43">
        <v>6</v>
      </c>
      <c r="F30" s="33" t="s">
        <v>13</v>
      </c>
      <c r="G30" s="43">
        <v>101</v>
      </c>
      <c r="H30" s="43">
        <v>10</v>
      </c>
      <c r="I30" s="43">
        <v>4511572702</v>
      </c>
      <c r="J30" s="44">
        <v>45667</v>
      </c>
      <c r="K30" s="33" t="s">
        <v>963</v>
      </c>
      <c r="L30" s="45">
        <v>5053389571</v>
      </c>
      <c r="M30" s="33" t="s">
        <v>866</v>
      </c>
      <c r="N30" s="46" t="s">
        <v>20</v>
      </c>
      <c r="O30" s="46" t="s">
        <v>26</v>
      </c>
      <c r="P30" s="46" t="s">
        <v>161</v>
      </c>
      <c r="Q30" s="47">
        <v>45657</v>
      </c>
      <c r="R30" s="46" t="s">
        <v>16</v>
      </c>
      <c r="S30" s="48" t="s">
        <v>23</v>
      </c>
    </row>
    <row r="31" spans="1:19" x14ac:dyDescent="0.3">
      <c r="A31" s="31" t="s">
        <v>12</v>
      </c>
      <c r="B31" s="37" t="s">
        <v>811</v>
      </c>
      <c r="C31" s="37">
        <v>872860</v>
      </c>
      <c r="D31" s="31" t="s">
        <v>964</v>
      </c>
      <c r="E31" s="37">
        <v>8</v>
      </c>
      <c r="F31" s="31" t="s">
        <v>13</v>
      </c>
      <c r="G31" s="37">
        <v>101</v>
      </c>
      <c r="H31" s="37">
        <v>30</v>
      </c>
      <c r="I31" s="37">
        <v>4511573901</v>
      </c>
      <c r="J31" s="38">
        <v>45667</v>
      </c>
      <c r="K31" s="31" t="s">
        <v>960</v>
      </c>
      <c r="L31" s="39">
        <v>5053389585</v>
      </c>
      <c r="M31" s="31" t="s">
        <v>866</v>
      </c>
      <c r="N31" s="40" t="s">
        <v>20</v>
      </c>
      <c r="O31" s="40" t="s">
        <v>26</v>
      </c>
      <c r="P31" s="40" t="s">
        <v>22</v>
      </c>
      <c r="Q31" s="41">
        <v>45677</v>
      </c>
      <c r="R31" s="40" t="s">
        <v>16</v>
      </c>
      <c r="S31" s="42" t="s">
        <v>17</v>
      </c>
    </row>
    <row r="32" spans="1:19" x14ac:dyDescent="0.3">
      <c r="A32" s="32" t="s">
        <v>12</v>
      </c>
      <c r="B32" s="43" t="s">
        <v>811</v>
      </c>
      <c r="C32" s="43" t="s">
        <v>970</v>
      </c>
      <c r="D32" s="33" t="s">
        <v>971</v>
      </c>
      <c r="E32" s="43">
        <v>1</v>
      </c>
      <c r="F32" s="33" t="s">
        <v>21</v>
      </c>
      <c r="G32" s="43">
        <v>101</v>
      </c>
      <c r="H32" s="43">
        <v>40</v>
      </c>
      <c r="I32" s="43">
        <v>4511573901</v>
      </c>
      <c r="J32" s="44">
        <v>45667</v>
      </c>
      <c r="K32" s="33" t="s">
        <v>960</v>
      </c>
      <c r="L32" s="45">
        <v>5053389585</v>
      </c>
      <c r="M32" s="33" t="s">
        <v>866</v>
      </c>
      <c r="N32" s="46" t="s">
        <v>20</v>
      </c>
      <c r="O32" s="46" t="s">
        <v>50</v>
      </c>
      <c r="P32" s="46" t="s">
        <v>22</v>
      </c>
      <c r="Q32" s="47">
        <v>45677</v>
      </c>
      <c r="R32" s="46" t="s">
        <v>16</v>
      </c>
      <c r="S32" s="48" t="s">
        <v>17</v>
      </c>
    </row>
    <row r="33" spans="1:19" x14ac:dyDescent="0.3">
      <c r="A33" s="30" t="s">
        <v>12</v>
      </c>
      <c r="B33" s="37" t="s">
        <v>811</v>
      </c>
      <c r="C33" s="37" t="s">
        <v>57</v>
      </c>
      <c r="D33" s="31" t="s">
        <v>58</v>
      </c>
      <c r="E33" s="37">
        <v>10</v>
      </c>
      <c r="F33" s="31" t="s">
        <v>19</v>
      </c>
      <c r="G33" s="37">
        <v>101</v>
      </c>
      <c r="H33" s="37">
        <v>240</v>
      </c>
      <c r="I33" s="37">
        <v>4511573901</v>
      </c>
      <c r="J33" s="38">
        <v>45667</v>
      </c>
      <c r="K33" s="31" t="s">
        <v>960</v>
      </c>
      <c r="L33" s="39">
        <v>5053389585</v>
      </c>
      <c r="M33" s="31" t="s">
        <v>866</v>
      </c>
      <c r="N33" s="40" t="s">
        <v>20</v>
      </c>
      <c r="O33" s="40" t="s">
        <v>15</v>
      </c>
      <c r="P33" s="40" t="s">
        <v>22</v>
      </c>
      <c r="Q33" s="41">
        <v>45677</v>
      </c>
      <c r="R33" s="40" t="s">
        <v>16</v>
      </c>
      <c r="S33" s="42" t="s">
        <v>17</v>
      </c>
    </row>
    <row r="34" spans="1:19" x14ac:dyDescent="0.3">
      <c r="A34" s="32" t="s">
        <v>12</v>
      </c>
      <c r="B34" s="43" t="s">
        <v>811</v>
      </c>
      <c r="C34" s="43" t="s">
        <v>92</v>
      </c>
      <c r="D34" s="33" t="s">
        <v>885</v>
      </c>
      <c r="E34" s="43">
        <v>10000</v>
      </c>
      <c r="F34" s="33" t="s">
        <v>31</v>
      </c>
      <c r="G34" s="43">
        <v>101</v>
      </c>
      <c r="H34" s="43">
        <v>10</v>
      </c>
      <c r="I34" s="43">
        <v>4511573749</v>
      </c>
      <c r="J34" s="44">
        <v>45667</v>
      </c>
      <c r="K34" s="33" t="s">
        <v>975</v>
      </c>
      <c r="L34" s="45">
        <v>5053389617</v>
      </c>
      <c r="M34" s="33" t="s">
        <v>866</v>
      </c>
      <c r="N34" s="46" t="s">
        <v>20</v>
      </c>
      <c r="O34" s="46" t="s">
        <v>1114</v>
      </c>
      <c r="P34" s="46" t="s">
        <v>91</v>
      </c>
      <c r="Q34" s="47">
        <v>45670</v>
      </c>
      <c r="R34" s="46" t="s">
        <v>16</v>
      </c>
      <c r="S34" s="48" t="s">
        <v>17</v>
      </c>
    </row>
    <row r="35" spans="1:19" x14ac:dyDescent="0.3">
      <c r="A35" s="31" t="s">
        <v>12</v>
      </c>
      <c r="B35" s="37" t="s">
        <v>811</v>
      </c>
      <c r="C35" s="37" t="s">
        <v>92</v>
      </c>
      <c r="D35" s="31" t="s">
        <v>885</v>
      </c>
      <c r="E35" s="37">
        <v>10000</v>
      </c>
      <c r="F35" s="31" t="s">
        <v>31</v>
      </c>
      <c r="G35" s="37">
        <v>101</v>
      </c>
      <c r="H35" s="37">
        <v>10</v>
      </c>
      <c r="I35" s="37">
        <v>4511573749</v>
      </c>
      <c r="J35" s="38">
        <v>45667</v>
      </c>
      <c r="K35" s="31" t="s">
        <v>976</v>
      </c>
      <c r="L35" s="39">
        <v>5053389616</v>
      </c>
      <c r="M35" s="31" t="s">
        <v>866</v>
      </c>
      <c r="N35" s="40" t="s">
        <v>20</v>
      </c>
      <c r="O35" s="40" t="s">
        <v>1114</v>
      </c>
      <c r="P35" s="40" t="s">
        <v>91</v>
      </c>
      <c r="Q35" s="41">
        <v>45670</v>
      </c>
      <c r="R35" s="40" t="s">
        <v>16</v>
      </c>
      <c r="S35" s="42" t="s">
        <v>17</v>
      </c>
    </row>
    <row r="36" spans="1:19" x14ac:dyDescent="0.3">
      <c r="A36" s="32" t="s">
        <v>12</v>
      </c>
      <c r="B36" s="43" t="s">
        <v>811</v>
      </c>
      <c r="C36" s="43">
        <v>70003825</v>
      </c>
      <c r="D36" s="33" t="s">
        <v>978</v>
      </c>
      <c r="E36" s="43">
        <v>6</v>
      </c>
      <c r="F36" s="33" t="s">
        <v>13</v>
      </c>
      <c r="G36" s="43">
        <v>101</v>
      </c>
      <c r="H36" s="43">
        <v>10</v>
      </c>
      <c r="I36" s="43">
        <v>4511572652</v>
      </c>
      <c r="J36" s="44">
        <v>45666</v>
      </c>
      <c r="K36" s="33" t="s">
        <v>979</v>
      </c>
      <c r="L36" s="45">
        <v>5053388482</v>
      </c>
      <c r="M36" s="33" t="s">
        <v>866</v>
      </c>
      <c r="N36" s="46" t="s">
        <v>20</v>
      </c>
      <c r="O36" s="46" t="s">
        <v>26</v>
      </c>
      <c r="P36" s="46" t="s">
        <v>49</v>
      </c>
      <c r="Q36" s="47">
        <v>45657</v>
      </c>
      <c r="R36" s="46" t="s">
        <v>16</v>
      </c>
      <c r="S36" s="48" t="s">
        <v>23</v>
      </c>
    </row>
    <row r="37" spans="1:19" x14ac:dyDescent="0.3">
      <c r="A37" s="30" t="s">
        <v>12</v>
      </c>
      <c r="B37" s="37" t="s">
        <v>811</v>
      </c>
      <c r="C37" s="37">
        <v>70004950</v>
      </c>
      <c r="D37" s="31" t="s">
        <v>980</v>
      </c>
      <c r="E37" s="37">
        <v>1</v>
      </c>
      <c r="F37" s="31" t="s">
        <v>13</v>
      </c>
      <c r="G37" s="37">
        <v>101</v>
      </c>
      <c r="H37" s="37">
        <v>10</v>
      </c>
      <c r="I37" s="37">
        <v>4511571950</v>
      </c>
      <c r="J37" s="38">
        <v>45666</v>
      </c>
      <c r="K37" s="31" t="s">
        <v>981</v>
      </c>
      <c r="L37" s="39">
        <v>5053388481</v>
      </c>
      <c r="M37" s="31" t="s">
        <v>866</v>
      </c>
      <c r="N37" s="40" t="s">
        <v>20</v>
      </c>
      <c r="O37" s="40" t="s">
        <v>26</v>
      </c>
      <c r="P37" s="40" t="s">
        <v>49</v>
      </c>
      <c r="Q37" s="41">
        <v>45639</v>
      </c>
      <c r="R37" s="40" t="s">
        <v>16</v>
      </c>
      <c r="S37" s="42" t="s">
        <v>23</v>
      </c>
    </row>
    <row r="38" spans="1:19" x14ac:dyDescent="0.3">
      <c r="A38" s="32" t="s">
        <v>12</v>
      </c>
      <c r="B38" s="43" t="s">
        <v>811</v>
      </c>
      <c r="C38" s="43">
        <v>867439</v>
      </c>
      <c r="D38" s="33" t="s">
        <v>983</v>
      </c>
      <c r="E38" s="43">
        <v>10</v>
      </c>
      <c r="F38" s="33" t="s">
        <v>19</v>
      </c>
      <c r="G38" s="43">
        <v>101</v>
      </c>
      <c r="H38" s="43">
        <v>10</v>
      </c>
      <c r="I38" s="43">
        <v>4511573782</v>
      </c>
      <c r="J38" s="44">
        <v>45665</v>
      </c>
      <c r="K38" s="33" t="s">
        <v>984</v>
      </c>
      <c r="L38" s="45">
        <v>5053388265</v>
      </c>
      <c r="M38" s="33" t="s">
        <v>866</v>
      </c>
      <c r="N38" s="46" t="s">
        <v>20</v>
      </c>
      <c r="O38" s="46" t="s">
        <v>26</v>
      </c>
      <c r="P38" s="46" t="s">
        <v>42</v>
      </c>
      <c r="Q38" s="47">
        <v>45670</v>
      </c>
      <c r="R38" s="46" t="s">
        <v>16</v>
      </c>
      <c r="S38" s="48" t="s">
        <v>17</v>
      </c>
    </row>
    <row r="39" spans="1:19" x14ac:dyDescent="0.3">
      <c r="A39" s="30" t="s">
        <v>12</v>
      </c>
      <c r="B39" s="37" t="s">
        <v>811</v>
      </c>
      <c r="C39" s="37">
        <v>70004310</v>
      </c>
      <c r="D39" s="31" t="s">
        <v>889</v>
      </c>
      <c r="E39" s="37">
        <v>1</v>
      </c>
      <c r="F39" s="31" t="s">
        <v>13</v>
      </c>
      <c r="G39" s="37">
        <v>101</v>
      </c>
      <c r="H39" s="37">
        <v>10</v>
      </c>
      <c r="I39" s="37">
        <v>4511573566</v>
      </c>
      <c r="J39" s="38">
        <v>45665</v>
      </c>
      <c r="K39" s="31" t="s">
        <v>985</v>
      </c>
      <c r="L39" s="39">
        <v>5053388263</v>
      </c>
      <c r="M39" s="31" t="s">
        <v>866</v>
      </c>
      <c r="N39" s="40" t="s">
        <v>30</v>
      </c>
      <c r="O39" s="40" t="s">
        <v>26</v>
      </c>
      <c r="P39" s="40" t="s">
        <v>42</v>
      </c>
      <c r="Q39" s="41">
        <v>45674</v>
      </c>
      <c r="R39" s="40" t="s">
        <v>16</v>
      </c>
      <c r="S39" s="42" t="s">
        <v>17</v>
      </c>
    </row>
    <row r="40" spans="1:19" x14ac:dyDescent="0.3">
      <c r="A40" s="32" t="s">
        <v>12</v>
      </c>
      <c r="B40" s="43" t="s">
        <v>811</v>
      </c>
      <c r="C40" s="43">
        <v>70100392</v>
      </c>
      <c r="D40" s="33" t="s">
        <v>53</v>
      </c>
      <c r="E40" s="43">
        <v>31</v>
      </c>
      <c r="F40" s="33" t="s">
        <v>13</v>
      </c>
      <c r="G40" s="43">
        <v>101</v>
      </c>
      <c r="H40" s="43">
        <v>20</v>
      </c>
      <c r="I40" s="43">
        <v>5500024751</v>
      </c>
      <c r="J40" s="44">
        <v>45665</v>
      </c>
      <c r="K40" s="33" t="s">
        <v>986</v>
      </c>
      <c r="L40" s="45">
        <v>5053387842</v>
      </c>
      <c r="M40" s="33" t="s">
        <v>866</v>
      </c>
      <c r="N40" s="46" t="s">
        <v>17</v>
      </c>
      <c r="O40" s="46" t="s">
        <v>28</v>
      </c>
      <c r="P40" s="46" t="s">
        <v>54</v>
      </c>
      <c r="Q40" s="47">
        <v>45670</v>
      </c>
      <c r="R40" s="46" t="s">
        <v>16</v>
      </c>
      <c r="S40" s="48" t="s">
        <v>17</v>
      </c>
    </row>
    <row r="41" spans="1:19" x14ac:dyDescent="0.3">
      <c r="A41" s="30" t="s">
        <v>12</v>
      </c>
      <c r="B41" s="37" t="s">
        <v>811</v>
      </c>
      <c r="C41" s="37">
        <v>70135249</v>
      </c>
      <c r="D41" s="31" t="s">
        <v>990</v>
      </c>
      <c r="E41" s="37">
        <v>1</v>
      </c>
      <c r="F41" s="31" t="s">
        <v>13</v>
      </c>
      <c r="G41" s="37">
        <v>101</v>
      </c>
      <c r="H41" s="37">
        <v>10</v>
      </c>
      <c r="I41" s="37">
        <v>4511572837</v>
      </c>
      <c r="J41" s="38">
        <v>45664</v>
      </c>
      <c r="K41" s="31" t="s">
        <v>991</v>
      </c>
      <c r="L41" s="39">
        <v>5053387209</v>
      </c>
      <c r="M41" s="31" t="s">
        <v>866</v>
      </c>
      <c r="N41" s="40" t="s">
        <v>20</v>
      </c>
      <c r="O41" s="40" t="s">
        <v>17</v>
      </c>
      <c r="P41" s="40" t="s">
        <v>17</v>
      </c>
      <c r="Q41" s="41" t="s">
        <v>17</v>
      </c>
      <c r="R41" s="40" t="s">
        <v>17</v>
      </c>
      <c r="S41" s="42" t="s">
        <v>17</v>
      </c>
    </row>
    <row r="42" spans="1:19" x14ac:dyDescent="0.3">
      <c r="A42" s="33" t="s">
        <v>12</v>
      </c>
      <c r="B42" s="43" t="s">
        <v>811</v>
      </c>
      <c r="C42" s="43">
        <v>748268</v>
      </c>
      <c r="D42" s="33" t="s">
        <v>994</v>
      </c>
      <c r="E42" s="43">
        <v>5.6</v>
      </c>
      <c r="F42" s="33" t="s">
        <v>21</v>
      </c>
      <c r="G42" s="43">
        <v>101</v>
      </c>
      <c r="H42" s="43">
        <v>10</v>
      </c>
      <c r="I42" s="43">
        <v>4511572899</v>
      </c>
      <c r="J42" s="44">
        <v>45663</v>
      </c>
      <c r="K42" s="33" t="s">
        <v>995</v>
      </c>
      <c r="L42" s="45">
        <v>5053386747</v>
      </c>
      <c r="M42" s="33" t="s">
        <v>866</v>
      </c>
      <c r="N42" s="46" t="s">
        <v>30</v>
      </c>
      <c r="O42" s="46" t="s">
        <v>26</v>
      </c>
      <c r="P42" s="46" t="s">
        <v>173</v>
      </c>
      <c r="Q42" s="47">
        <v>45670</v>
      </c>
      <c r="R42" s="46" t="s">
        <v>16</v>
      </c>
      <c r="S42" s="48" t="s">
        <v>17</v>
      </c>
    </row>
    <row r="43" spans="1:19" x14ac:dyDescent="0.3">
      <c r="A43" s="31" t="s">
        <v>12</v>
      </c>
      <c r="B43" s="37" t="s">
        <v>811</v>
      </c>
      <c r="C43" s="37">
        <v>755674</v>
      </c>
      <c r="D43" s="31" t="s">
        <v>996</v>
      </c>
      <c r="E43" s="37">
        <v>3</v>
      </c>
      <c r="F43" s="31" t="s">
        <v>13</v>
      </c>
      <c r="G43" s="37">
        <v>101</v>
      </c>
      <c r="H43" s="37">
        <v>30</v>
      </c>
      <c r="I43" s="37">
        <v>4511572148</v>
      </c>
      <c r="J43" s="38">
        <v>45663</v>
      </c>
      <c r="K43" s="31" t="s">
        <v>997</v>
      </c>
      <c r="L43" s="39">
        <v>5053386750</v>
      </c>
      <c r="M43" s="31" t="s">
        <v>866</v>
      </c>
      <c r="N43" s="40" t="s">
        <v>30</v>
      </c>
      <c r="O43" s="40" t="s">
        <v>26</v>
      </c>
      <c r="P43" s="40" t="s">
        <v>240</v>
      </c>
      <c r="Q43" s="41">
        <v>45670</v>
      </c>
      <c r="R43" s="40" t="s">
        <v>16</v>
      </c>
      <c r="S43" s="42" t="s">
        <v>17</v>
      </c>
    </row>
    <row r="44" spans="1:19" x14ac:dyDescent="0.3">
      <c r="A44" s="32" t="s">
        <v>12</v>
      </c>
      <c r="B44" s="43" t="s">
        <v>811</v>
      </c>
      <c r="C44" s="43">
        <v>850829</v>
      </c>
      <c r="D44" s="33" t="s">
        <v>998</v>
      </c>
      <c r="E44" s="43">
        <v>1</v>
      </c>
      <c r="F44" s="33" t="s">
        <v>13</v>
      </c>
      <c r="G44" s="43">
        <v>101</v>
      </c>
      <c r="H44" s="43">
        <v>10</v>
      </c>
      <c r="I44" s="43">
        <v>4511573638</v>
      </c>
      <c r="J44" s="44">
        <v>45663</v>
      </c>
      <c r="K44" s="33" t="s">
        <v>999</v>
      </c>
      <c r="L44" s="45">
        <v>5053386731</v>
      </c>
      <c r="M44" s="33" t="s">
        <v>866</v>
      </c>
      <c r="N44" s="46" t="s">
        <v>30</v>
      </c>
      <c r="O44" s="46" t="s">
        <v>26</v>
      </c>
      <c r="P44" s="46" t="s">
        <v>310</v>
      </c>
      <c r="Q44" s="47">
        <v>45672</v>
      </c>
      <c r="R44" s="46" t="s">
        <v>16</v>
      </c>
      <c r="S44" s="48" t="s">
        <v>17</v>
      </c>
    </row>
    <row r="45" spans="1:19" x14ac:dyDescent="0.3">
      <c r="A45" s="30" t="s">
        <v>12</v>
      </c>
      <c r="B45" s="37" t="s">
        <v>811</v>
      </c>
      <c r="C45" s="37">
        <v>70004596</v>
      </c>
      <c r="D45" s="31" t="s">
        <v>1001</v>
      </c>
      <c r="E45" s="37">
        <v>6</v>
      </c>
      <c r="F45" s="31" t="s">
        <v>13</v>
      </c>
      <c r="G45" s="37">
        <v>101</v>
      </c>
      <c r="H45" s="37">
        <v>10</v>
      </c>
      <c r="I45" s="37">
        <v>4511572466</v>
      </c>
      <c r="J45" s="38">
        <v>45663</v>
      </c>
      <c r="K45" s="31" t="s">
        <v>1002</v>
      </c>
      <c r="L45" s="39">
        <v>5053386749</v>
      </c>
      <c r="M45" s="31" t="s">
        <v>866</v>
      </c>
      <c r="N45" s="40" t="s">
        <v>20</v>
      </c>
      <c r="O45" s="40" t="s">
        <v>26</v>
      </c>
      <c r="P45" s="40" t="s">
        <v>240</v>
      </c>
      <c r="Q45" s="41">
        <v>45646</v>
      </c>
      <c r="R45" s="40" t="s">
        <v>16</v>
      </c>
      <c r="S45" s="42" t="s">
        <v>23</v>
      </c>
    </row>
    <row r="46" spans="1:19" x14ac:dyDescent="0.3">
      <c r="A46" s="32" t="s">
        <v>12</v>
      </c>
      <c r="B46" s="43" t="s">
        <v>811</v>
      </c>
      <c r="C46" s="43">
        <v>70043537</v>
      </c>
      <c r="D46" s="33" t="s">
        <v>1003</v>
      </c>
      <c r="E46" s="43">
        <v>1</v>
      </c>
      <c r="F46" s="33" t="s">
        <v>13</v>
      </c>
      <c r="G46" s="43">
        <v>101</v>
      </c>
      <c r="H46" s="43">
        <v>10</v>
      </c>
      <c r="I46" s="43">
        <v>4511569944</v>
      </c>
      <c r="J46" s="44">
        <v>45663</v>
      </c>
      <c r="K46" s="33" t="s">
        <v>1004</v>
      </c>
      <c r="L46" s="45">
        <v>5053387210</v>
      </c>
      <c r="M46" s="33" t="s">
        <v>866</v>
      </c>
      <c r="N46" s="46" t="s">
        <v>30</v>
      </c>
      <c r="O46" s="46" t="s">
        <v>50</v>
      </c>
      <c r="P46" s="46" t="s">
        <v>1184</v>
      </c>
      <c r="Q46" s="47">
        <v>45684</v>
      </c>
      <c r="R46" s="46" t="s">
        <v>16</v>
      </c>
      <c r="S46" s="48" t="s">
        <v>17</v>
      </c>
    </row>
    <row r="47" spans="1:19" x14ac:dyDescent="0.3">
      <c r="A47" s="30" t="s">
        <v>12</v>
      </c>
      <c r="B47" s="37" t="s">
        <v>811</v>
      </c>
      <c r="C47" s="37">
        <v>70113596</v>
      </c>
      <c r="D47" s="31" t="s">
        <v>1008</v>
      </c>
      <c r="E47" s="37">
        <v>2</v>
      </c>
      <c r="F47" s="31" t="s">
        <v>888</v>
      </c>
      <c r="G47" s="37">
        <v>101</v>
      </c>
      <c r="H47" s="37">
        <v>10</v>
      </c>
      <c r="I47" s="37">
        <v>4511573528</v>
      </c>
      <c r="J47" s="38">
        <v>45663</v>
      </c>
      <c r="K47" s="31" t="s">
        <v>1009</v>
      </c>
      <c r="L47" s="39">
        <v>5053386753</v>
      </c>
      <c r="M47" s="31" t="s">
        <v>866</v>
      </c>
      <c r="N47" s="40" t="s">
        <v>18</v>
      </c>
      <c r="O47" s="40" t="s">
        <v>26</v>
      </c>
      <c r="P47" s="40" t="s">
        <v>44</v>
      </c>
      <c r="Q47" s="41">
        <v>45667</v>
      </c>
      <c r="R47" s="40" t="s">
        <v>16</v>
      </c>
      <c r="S47" s="42" t="s">
        <v>17</v>
      </c>
    </row>
    <row r="48" spans="1:19" x14ac:dyDescent="0.3">
      <c r="A48" s="32" t="s">
        <v>12</v>
      </c>
      <c r="B48" s="43" t="s">
        <v>811</v>
      </c>
      <c r="C48" s="43">
        <v>745473</v>
      </c>
      <c r="D48" s="33" t="s">
        <v>1014</v>
      </c>
      <c r="E48" s="43">
        <v>1</v>
      </c>
      <c r="F48" s="33" t="s">
        <v>13</v>
      </c>
      <c r="G48" s="43">
        <v>101</v>
      </c>
      <c r="H48" s="43">
        <v>10</v>
      </c>
      <c r="I48" s="43">
        <v>4511571083</v>
      </c>
      <c r="J48" s="44">
        <v>45660</v>
      </c>
      <c r="K48" s="33" t="s">
        <v>1015</v>
      </c>
      <c r="L48" s="45">
        <v>5053385650</v>
      </c>
      <c r="M48" s="33" t="s">
        <v>866</v>
      </c>
      <c r="N48" s="46" t="s">
        <v>20</v>
      </c>
      <c r="O48" s="46" t="s">
        <v>50</v>
      </c>
      <c r="P48" s="46" t="s">
        <v>22</v>
      </c>
      <c r="Q48" s="47">
        <v>45632</v>
      </c>
      <c r="R48" s="46" t="s">
        <v>16</v>
      </c>
      <c r="S48" s="48" t="s">
        <v>23</v>
      </c>
    </row>
    <row r="49" spans="1:19" x14ac:dyDescent="0.3">
      <c r="A49" s="30" t="s">
        <v>12</v>
      </c>
      <c r="B49" s="37" t="s">
        <v>811</v>
      </c>
      <c r="C49" s="37">
        <v>808835</v>
      </c>
      <c r="D49" s="31" t="s">
        <v>961</v>
      </c>
      <c r="E49" s="37">
        <v>4</v>
      </c>
      <c r="F49" s="31" t="s">
        <v>45</v>
      </c>
      <c r="G49" s="37">
        <v>101</v>
      </c>
      <c r="H49" s="37">
        <v>60</v>
      </c>
      <c r="I49" s="37">
        <v>4511572679</v>
      </c>
      <c r="J49" s="38">
        <v>45660</v>
      </c>
      <c r="K49" s="31" t="s">
        <v>1016</v>
      </c>
      <c r="L49" s="39">
        <v>5053385651</v>
      </c>
      <c r="M49" s="31" t="s">
        <v>866</v>
      </c>
      <c r="N49" s="40" t="s">
        <v>20</v>
      </c>
      <c r="O49" s="40" t="s">
        <v>15</v>
      </c>
      <c r="P49" s="40" t="s">
        <v>22</v>
      </c>
      <c r="Q49" s="41">
        <v>45656</v>
      </c>
      <c r="R49" s="40" t="s">
        <v>16</v>
      </c>
      <c r="S49" s="42" t="s">
        <v>23</v>
      </c>
    </row>
    <row r="50" spans="1:19" x14ac:dyDescent="0.3">
      <c r="A50" s="32" t="s">
        <v>12</v>
      </c>
      <c r="B50" s="43" t="s">
        <v>811</v>
      </c>
      <c r="C50" s="43">
        <v>70100392</v>
      </c>
      <c r="D50" s="33" t="s">
        <v>53</v>
      </c>
      <c r="E50" s="43">
        <v>35</v>
      </c>
      <c r="F50" s="33" t="s">
        <v>13</v>
      </c>
      <c r="G50" s="43">
        <v>101</v>
      </c>
      <c r="H50" s="43">
        <v>20</v>
      </c>
      <c r="I50" s="43">
        <v>5500024751</v>
      </c>
      <c r="J50" s="44">
        <v>45657</v>
      </c>
      <c r="K50" s="33" t="s">
        <v>1021</v>
      </c>
      <c r="L50" s="45">
        <v>5053381888</v>
      </c>
      <c r="M50" s="33" t="s">
        <v>866</v>
      </c>
      <c r="N50" s="46" t="s">
        <v>17</v>
      </c>
      <c r="O50" s="46" t="s">
        <v>28</v>
      </c>
      <c r="P50" s="46" t="s">
        <v>54</v>
      </c>
      <c r="Q50" s="47">
        <v>45670</v>
      </c>
      <c r="R50" s="46" t="s">
        <v>16</v>
      </c>
      <c r="S50" s="48" t="s">
        <v>17</v>
      </c>
    </row>
    <row r="51" spans="1:19" x14ac:dyDescent="0.3">
      <c r="A51" s="30" t="s">
        <v>12</v>
      </c>
      <c r="B51" s="37" t="s">
        <v>811</v>
      </c>
      <c r="C51" s="37">
        <v>70043958</v>
      </c>
      <c r="D51" s="31" t="s">
        <v>1032</v>
      </c>
      <c r="E51" s="37">
        <v>1</v>
      </c>
      <c r="F51" s="31" t="s">
        <v>13</v>
      </c>
      <c r="G51" s="37">
        <v>101</v>
      </c>
      <c r="H51" s="37">
        <v>20</v>
      </c>
      <c r="I51" s="37">
        <v>4511569944</v>
      </c>
      <c r="J51" s="38">
        <v>45649</v>
      </c>
      <c r="K51" s="31" t="s">
        <v>1033</v>
      </c>
      <c r="L51" s="39">
        <v>5053376643</v>
      </c>
      <c r="M51" s="31" t="s">
        <v>866</v>
      </c>
      <c r="N51" s="40" t="s">
        <v>30</v>
      </c>
      <c r="O51" s="40" t="s">
        <v>50</v>
      </c>
      <c r="P51" s="40" t="s">
        <v>1184</v>
      </c>
      <c r="Q51" s="41">
        <v>45642</v>
      </c>
      <c r="R51" s="40" t="s">
        <v>16</v>
      </c>
      <c r="S51" s="42" t="s">
        <v>23</v>
      </c>
    </row>
    <row r="52" spans="1:19" x14ac:dyDescent="0.3">
      <c r="A52" s="32" t="s">
        <v>12</v>
      </c>
      <c r="B52" s="43" t="s">
        <v>811</v>
      </c>
      <c r="C52" s="43">
        <v>70061692</v>
      </c>
      <c r="D52" s="33" t="s">
        <v>1034</v>
      </c>
      <c r="E52" s="43">
        <v>1</v>
      </c>
      <c r="F52" s="33" t="s">
        <v>13</v>
      </c>
      <c r="G52" s="43">
        <v>101</v>
      </c>
      <c r="H52" s="43">
        <v>30</v>
      </c>
      <c r="I52" s="43">
        <v>4511569944</v>
      </c>
      <c r="J52" s="44">
        <v>45649</v>
      </c>
      <c r="K52" s="33" t="s">
        <v>1033</v>
      </c>
      <c r="L52" s="45">
        <v>5053376643</v>
      </c>
      <c r="M52" s="33" t="s">
        <v>866</v>
      </c>
      <c r="N52" s="46" t="s">
        <v>30</v>
      </c>
      <c r="O52" s="46" t="s">
        <v>50</v>
      </c>
      <c r="P52" s="46" t="s">
        <v>1184</v>
      </c>
      <c r="Q52" s="47">
        <v>45642</v>
      </c>
      <c r="R52" s="46" t="s">
        <v>16</v>
      </c>
      <c r="S52" s="48" t="s">
        <v>23</v>
      </c>
    </row>
    <row r="53" spans="1:19" x14ac:dyDescent="0.3">
      <c r="A53" s="31" t="s">
        <v>12</v>
      </c>
      <c r="B53" s="37" t="s">
        <v>811</v>
      </c>
      <c r="C53" s="37">
        <v>70061693</v>
      </c>
      <c r="D53" s="31" t="s">
        <v>1035</v>
      </c>
      <c r="E53" s="37">
        <v>1</v>
      </c>
      <c r="F53" s="31" t="s">
        <v>13</v>
      </c>
      <c r="G53" s="37">
        <v>101</v>
      </c>
      <c r="H53" s="37">
        <v>40</v>
      </c>
      <c r="I53" s="37">
        <v>4511569944</v>
      </c>
      <c r="J53" s="38">
        <v>45649</v>
      </c>
      <c r="K53" s="31" t="s">
        <v>1033</v>
      </c>
      <c r="L53" s="39">
        <v>5053376643</v>
      </c>
      <c r="M53" s="31" t="s">
        <v>866</v>
      </c>
      <c r="N53" s="40" t="s">
        <v>30</v>
      </c>
      <c r="O53" s="40" t="s">
        <v>50</v>
      </c>
      <c r="P53" s="40" t="s">
        <v>1184</v>
      </c>
      <c r="Q53" s="41">
        <v>45642</v>
      </c>
      <c r="R53" s="40" t="s">
        <v>16</v>
      </c>
      <c r="S53" s="42" t="s">
        <v>23</v>
      </c>
    </row>
    <row r="54" spans="1:19" x14ac:dyDescent="0.3">
      <c r="A54" s="32" t="s">
        <v>12</v>
      </c>
      <c r="B54" s="43" t="s">
        <v>811</v>
      </c>
      <c r="C54" s="43">
        <v>70100392</v>
      </c>
      <c r="D54" s="33" t="s">
        <v>53</v>
      </c>
      <c r="E54" s="43">
        <v>35</v>
      </c>
      <c r="F54" s="33" t="s">
        <v>13</v>
      </c>
      <c r="G54" s="43">
        <v>101</v>
      </c>
      <c r="H54" s="43">
        <v>20</v>
      </c>
      <c r="I54" s="43">
        <v>5500024751</v>
      </c>
      <c r="J54" s="44">
        <v>45643</v>
      </c>
      <c r="K54" s="33" t="s">
        <v>1046</v>
      </c>
      <c r="L54" s="45">
        <v>5053371121</v>
      </c>
      <c r="M54" s="33" t="s">
        <v>866</v>
      </c>
      <c r="N54" s="46" t="s">
        <v>17</v>
      </c>
      <c r="O54" s="46" t="s">
        <v>28</v>
      </c>
      <c r="P54" s="46" t="s">
        <v>54</v>
      </c>
      <c r="Q54" s="47">
        <v>45670</v>
      </c>
      <c r="R54" s="46" t="s">
        <v>16</v>
      </c>
      <c r="S54" s="48" t="s">
        <v>17</v>
      </c>
    </row>
    <row r="55" spans="1:19" x14ac:dyDescent="0.3">
      <c r="A55" s="30" t="s">
        <v>12</v>
      </c>
      <c r="B55" s="37" t="s">
        <v>811</v>
      </c>
      <c r="C55" s="37">
        <v>894559</v>
      </c>
      <c r="D55" s="31" t="s">
        <v>1053</v>
      </c>
      <c r="E55" s="37">
        <v>2500</v>
      </c>
      <c r="F55" s="31" t="s">
        <v>918</v>
      </c>
      <c r="G55" s="37">
        <v>101</v>
      </c>
      <c r="H55" s="37">
        <v>20</v>
      </c>
      <c r="I55" s="37">
        <v>4511571679</v>
      </c>
      <c r="J55" s="38">
        <v>45642</v>
      </c>
      <c r="K55" s="31" t="s">
        <v>1054</v>
      </c>
      <c r="L55" s="39">
        <v>5053370471</v>
      </c>
      <c r="M55" s="31" t="s">
        <v>866</v>
      </c>
      <c r="N55" s="40" t="s">
        <v>30</v>
      </c>
      <c r="O55" s="40" t="s">
        <v>148</v>
      </c>
      <c r="P55" s="40" t="s">
        <v>237</v>
      </c>
      <c r="Q55" s="41">
        <v>45646</v>
      </c>
      <c r="R55" s="40" t="s">
        <v>16</v>
      </c>
      <c r="S55" s="42" t="s">
        <v>17</v>
      </c>
    </row>
    <row r="56" spans="1:19" x14ac:dyDescent="0.3">
      <c r="A56" s="32" t="s">
        <v>12</v>
      </c>
      <c r="B56" s="43" t="s">
        <v>811</v>
      </c>
      <c r="C56" s="43">
        <v>894561</v>
      </c>
      <c r="D56" s="33" t="s">
        <v>1055</v>
      </c>
      <c r="E56" s="43">
        <v>1000</v>
      </c>
      <c r="F56" s="33" t="s">
        <v>918</v>
      </c>
      <c r="G56" s="43">
        <v>101</v>
      </c>
      <c r="H56" s="43">
        <v>50</v>
      </c>
      <c r="I56" s="43">
        <v>4511571679</v>
      </c>
      <c r="J56" s="44">
        <v>45642</v>
      </c>
      <c r="K56" s="33" t="s">
        <v>1054</v>
      </c>
      <c r="L56" s="45">
        <v>5053370471</v>
      </c>
      <c r="M56" s="33" t="s">
        <v>866</v>
      </c>
      <c r="N56" s="46" t="s">
        <v>30</v>
      </c>
      <c r="O56" s="46" t="s">
        <v>148</v>
      </c>
      <c r="P56" s="46" t="s">
        <v>237</v>
      </c>
      <c r="Q56" s="47">
        <v>45646</v>
      </c>
      <c r="R56" s="46" t="s">
        <v>16</v>
      </c>
      <c r="S56" s="48" t="s">
        <v>17</v>
      </c>
    </row>
    <row r="57" spans="1:19" x14ac:dyDescent="0.3">
      <c r="A57" s="31" t="s">
        <v>12</v>
      </c>
      <c r="B57" s="37" t="s">
        <v>811</v>
      </c>
      <c r="C57" s="37">
        <v>894562</v>
      </c>
      <c r="D57" s="31" t="s">
        <v>1056</v>
      </c>
      <c r="E57" s="37">
        <v>300</v>
      </c>
      <c r="F57" s="31" t="s">
        <v>918</v>
      </c>
      <c r="G57" s="37">
        <v>101</v>
      </c>
      <c r="H57" s="37">
        <v>70</v>
      </c>
      <c r="I57" s="37">
        <v>4511571679</v>
      </c>
      <c r="J57" s="38">
        <v>45642</v>
      </c>
      <c r="K57" s="31" t="s">
        <v>1054</v>
      </c>
      <c r="L57" s="39">
        <v>5053370471</v>
      </c>
      <c r="M57" s="31" t="s">
        <v>866</v>
      </c>
      <c r="N57" s="40" t="s">
        <v>30</v>
      </c>
      <c r="O57" s="40" t="s">
        <v>148</v>
      </c>
      <c r="P57" s="40" t="s">
        <v>237</v>
      </c>
      <c r="Q57" s="41">
        <v>45646</v>
      </c>
      <c r="R57" s="40" t="s">
        <v>16</v>
      </c>
      <c r="S57" s="42" t="s">
        <v>17</v>
      </c>
    </row>
    <row r="58" spans="1:19" x14ac:dyDescent="0.3">
      <c r="A58" s="32" t="s">
        <v>12</v>
      </c>
      <c r="B58" s="43" t="s">
        <v>811</v>
      </c>
      <c r="C58" s="43">
        <v>70052954</v>
      </c>
      <c r="D58" s="33" t="s">
        <v>1059</v>
      </c>
      <c r="E58" s="43">
        <v>6</v>
      </c>
      <c r="F58" s="33" t="s">
        <v>13</v>
      </c>
      <c r="G58" s="43">
        <v>101</v>
      </c>
      <c r="H58" s="43">
        <v>10</v>
      </c>
      <c r="I58" s="43">
        <v>4511570429</v>
      </c>
      <c r="J58" s="44">
        <v>45642</v>
      </c>
      <c r="K58" s="33" t="s">
        <v>1060</v>
      </c>
      <c r="L58" s="45">
        <v>5053370464</v>
      </c>
      <c r="M58" s="33" t="s">
        <v>866</v>
      </c>
      <c r="N58" s="46" t="s">
        <v>20</v>
      </c>
      <c r="O58" s="46" t="s">
        <v>26</v>
      </c>
      <c r="P58" s="46" t="s">
        <v>168</v>
      </c>
      <c r="Q58" s="47">
        <v>45644</v>
      </c>
      <c r="R58" s="46" t="s">
        <v>16</v>
      </c>
      <c r="S58" s="48" t="s">
        <v>17</v>
      </c>
    </row>
    <row r="59" spans="1:19" x14ac:dyDescent="0.3">
      <c r="A59" s="30" t="s">
        <v>12</v>
      </c>
      <c r="B59" s="37" t="s">
        <v>811</v>
      </c>
      <c r="C59" s="37">
        <v>736856</v>
      </c>
      <c r="D59" s="31" t="s">
        <v>916</v>
      </c>
      <c r="E59" s="37">
        <v>4</v>
      </c>
      <c r="F59" s="31" t="s">
        <v>13</v>
      </c>
      <c r="G59" s="37">
        <v>101</v>
      </c>
      <c r="H59" s="37">
        <v>10</v>
      </c>
      <c r="I59" s="37">
        <v>4511571748</v>
      </c>
      <c r="J59" s="38">
        <v>45639</v>
      </c>
      <c r="K59" s="31" t="s">
        <v>965</v>
      </c>
      <c r="L59" s="39">
        <v>5053368264</v>
      </c>
      <c r="M59" s="31" t="s">
        <v>866</v>
      </c>
      <c r="N59" s="40" t="s">
        <v>20</v>
      </c>
      <c r="O59" s="40" t="s">
        <v>15</v>
      </c>
      <c r="P59" s="40" t="s">
        <v>14</v>
      </c>
      <c r="Q59" s="41">
        <v>45642</v>
      </c>
      <c r="R59" s="40" t="s">
        <v>16</v>
      </c>
      <c r="S59" s="42" t="s">
        <v>17</v>
      </c>
    </row>
    <row r="60" spans="1:19" x14ac:dyDescent="0.3">
      <c r="A60" s="32" t="s">
        <v>12</v>
      </c>
      <c r="B60" s="43" t="s">
        <v>811</v>
      </c>
      <c r="C60" s="43">
        <v>808346</v>
      </c>
      <c r="D60" s="33" t="s">
        <v>917</v>
      </c>
      <c r="E60" s="43">
        <v>5000</v>
      </c>
      <c r="F60" s="33" t="s">
        <v>918</v>
      </c>
      <c r="G60" s="43">
        <v>101</v>
      </c>
      <c r="H60" s="43">
        <v>20</v>
      </c>
      <c r="I60" s="43">
        <v>4511572295</v>
      </c>
      <c r="J60" s="44">
        <v>45639</v>
      </c>
      <c r="K60" s="33" t="s">
        <v>1066</v>
      </c>
      <c r="L60" s="45">
        <v>5053368267</v>
      </c>
      <c r="M60" s="33" t="s">
        <v>866</v>
      </c>
      <c r="N60" s="46" t="s">
        <v>18</v>
      </c>
      <c r="O60" s="46" t="s">
        <v>148</v>
      </c>
      <c r="P60" s="46" t="s">
        <v>14</v>
      </c>
      <c r="Q60" s="47">
        <v>45649</v>
      </c>
      <c r="R60" s="46" t="s">
        <v>16</v>
      </c>
      <c r="S60" s="48" t="s">
        <v>17</v>
      </c>
    </row>
    <row r="61" spans="1:19" x14ac:dyDescent="0.3">
      <c r="A61" s="30" t="s">
        <v>12</v>
      </c>
      <c r="B61" s="37" t="s">
        <v>811</v>
      </c>
      <c r="C61" s="37">
        <v>70003837</v>
      </c>
      <c r="D61" s="31" t="s">
        <v>920</v>
      </c>
      <c r="E61" s="37">
        <v>18</v>
      </c>
      <c r="F61" s="31" t="s">
        <v>13</v>
      </c>
      <c r="G61" s="37">
        <v>101</v>
      </c>
      <c r="H61" s="37">
        <v>10</v>
      </c>
      <c r="I61" s="37">
        <v>4511571956</v>
      </c>
      <c r="J61" s="38">
        <v>45639</v>
      </c>
      <c r="K61" s="31" t="s">
        <v>1069</v>
      </c>
      <c r="L61" s="39">
        <v>5053368268</v>
      </c>
      <c r="M61" s="31" t="s">
        <v>866</v>
      </c>
      <c r="N61" s="40" t="s">
        <v>20</v>
      </c>
      <c r="O61" s="40" t="s">
        <v>26</v>
      </c>
      <c r="P61" s="40" t="s">
        <v>32</v>
      </c>
      <c r="Q61" s="41">
        <v>45639</v>
      </c>
      <c r="R61" s="40" t="s">
        <v>16</v>
      </c>
      <c r="S61" s="42" t="s">
        <v>17</v>
      </c>
    </row>
    <row r="62" spans="1:19" x14ac:dyDescent="0.3">
      <c r="A62" s="33" t="s">
        <v>12</v>
      </c>
      <c r="B62" s="43" t="s">
        <v>811</v>
      </c>
      <c r="C62" s="43">
        <v>70003844</v>
      </c>
      <c r="D62" s="33" t="s">
        <v>921</v>
      </c>
      <c r="E62" s="43">
        <v>10</v>
      </c>
      <c r="F62" s="33" t="s">
        <v>13</v>
      </c>
      <c r="G62" s="43">
        <v>101</v>
      </c>
      <c r="H62" s="43">
        <v>10</v>
      </c>
      <c r="I62" s="43">
        <v>4511571756</v>
      </c>
      <c r="J62" s="44">
        <v>45639</v>
      </c>
      <c r="K62" s="33" t="s">
        <v>1070</v>
      </c>
      <c r="L62" s="45">
        <v>5053368263</v>
      </c>
      <c r="M62" s="33" t="s">
        <v>866</v>
      </c>
      <c r="N62" s="46" t="s">
        <v>20</v>
      </c>
      <c r="O62" s="46" t="s">
        <v>26</v>
      </c>
      <c r="P62" s="46" t="s">
        <v>32</v>
      </c>
      <c r="Q62" s="47">
        <v>45635</v>
      </c>
      <c r="R62" s="46" t="s">
        <v>16</v>
      </c>
      <c r="S62" s="48" t="s">
        <v>23</v>
      </c>
    </row>
    <row r="63" spans="1:19" x14ac:dyDescent="0.3">
      <c r="A63" s="31" t="s">
        <v>12</v>
      </c>
      <c r="B63" s="37" t="s">
        <v>811</v>
      </c>
      <c r="C63" s="37">
        <v>70019150</v>
      </c>
      <c r="D63" s="31" t="s">
        <v>922</v>
      </c>
      <c r="E63" s="37">
        <v>4</v>
      </c>
      <c r="F63" s="31" t="s">
        <v>19</v>
      </c>
      <c r="G63" s="37">
        <v>101</v>
      </c>
      <c r="H63" s="37">
        <v>10</v>
      </c>
      <c r="I63" s="37">
        <v>4511571639</v>
      </c>
      <c r="J63" s="38">
        <v>45639</v>
      </c>
      <c r="K63" s="31" t="s">
        <v>1071</v>
      </c>
      <c r="L63" s="39">
        <v>5053368640</v>
      </c>
      <c r="M63" s="31" t="s">
        <v>866</v>
      </c>
      <c r="N63" s="40" t="s">
        <v>20</v>
      </c>
      <c r="O63" s="40" t="s">
        <v>26</v>
      </c>
      <c r="P63" s="40" t="s">
        <v>22</v>
      </c>
      <c r="Q63" s="41">
        <v>45635</v>
      </c>
      <c r="R63" s="40" t="s">
        <v>16</v>
      </c>
      <c r="S63" s="42" t="s">
        <v>23</v>
      </c>
    </row>
    <row r="64" spans="1:19" x14ac:dyDescent="0.3">
      <c r="A64" s="33" t="s">
        <v>12</v>
      </c>
      <c r="B64" s="43" t="s">
        <v>811</v>
      </c>
      <c r="C64" s="43">
        <v>70047475</v>
      </c>
      <c r="D64" s="33" t="s">
        <v>924</v>
      </c>
      <c r="E64" s="43">
        <v>29</v>
      </c>
      <c r="F64" s="33" t="s">
        <v>13</v>
      </c>
      <c r="G64" s="43">
        <v>101</v>
      </c>
      <c r="H64" s="43">
        <v>50</v>
      </c>
      <c r="I64" s="43">
        <v>4511571461</v>
      </c>
      <c r="J64" s="44">
        <v>45639</v>
      </c>
      <c r="K64" s="33" t="s">
        <v>1072</v>
      </c>
      <c r="L64" s="45">
        <v>5053368643</v>
      </c>
      <c r="M64" s="33" t="s">
        <v>866</v>
      </c>
      <c r="N64" s="46" t="s">
        <v>20</v>
      </c>
      <c r="O64" s="46" t="s">
        <v>26</v>
      </c>
      <c r="P64" s="46" t="s">
        <v>22</v>
      </c>
      <c r="Q64" s="47">
        <v>45635</v>
      </c>
      <c r="R64" s="46" t="s">
        <v>16</v>
      </c>
      <c r="S64" s="48" t="s">
        <v>23</v>
      </c>
    </row>
    <row r="65" spans="1:19" x14ac:dyDescent="0.3">
      <c r="A65" s="31" t="s">
        <v>12</v>
      </c>
      <c r="B65" s="37" t="s">
        <v>811</v>
      </c>
      <c r="C65" s="37">
        <v>70048323</v>
      </c>
      <c r="D65" s="31" t="s">
        <v>925</v>
      </c>
      <c r="E65" s="37">
        <v>6</v>
      </c>
      <c r="F65" s="31" t="s">
        <v>13</v>
      </c>
      <c r="G65" s="37">
        <v>101</v>
      </c>
      <c r="H65" s="37">
        <v>20</v>
      </c>
      <c r="I65" s="37">
        <v>4511571639</v>
      </c>
      <c r="J65" s="38">
        <v>45639</v>
      </c>
      <c r="K65" s="31" t="s">
        <v>1071</v>
      </c>
      <c r="L65" s="39">
        <v>5053368640</v>
      </c>
      <c r="M65" s="31" t="s">
        <v>866</v>
      </c>
      <c r="N65" s="40" t="s">
        <v>20</v>
      </c>
      <c r="O65" s="40" t="s">
        <v>26</v>
      </c>
      <c r="P65" s="40" t="s">
        <v>22</v>
      </c>
      <c r="Q65" s="41">
        <v>45635</v>
      </c>
      <c r="R65" s="40" t="s">
        <v>16</v>
      </c>
      <c r="S65" s="42" t="s">
        <v>23</v>
      </c>
    </row>
    <row r="66" spans="1:19" x14ac:dyDescent="0.3">
      <c r="A66" s="33" t="s">
        <v>12</v>
      </c>
      <c r="B66" s="43" t="s">
        <v>811</v>
      </c>
      <c r="C66" s="43" t="s">
        <v>203</v>
      </c>
      <c r="D66" s="33" t="s">
        <v>923</v>
      </c>
      <c r="E66" s="43">
        <v>35</v>
      </c>
      <c r="F66" s="33" t="s">
        <v>13</v>
      </c>
      <c r="G66" s="43">
        <v>101</v>
      </c>
      <c r="H66" s="43">
        <v>40</v>
      </c>
      <c r="I66" s="43">
        <v>4511571461</v>
      </c>
      <c r="J66" s="44">
        <v>45639</v>
      </c>
      <c r="K66" s="33" t="s">
        <v>1072</v>
      </c>
      <c r="L66" s="45">
        <v>5053368643</v>
      </c>
      <c r="M66" s="33" t="s">
        <v>866</v>
      </c>
      <c r="N66" s="46" t="s">
        <v>20</v>
      </c>
      <c r="O66" s="46" t="s">
        <v>15</v>
      </c>
      <c r="P66" s="46" t="s">
        <v>22</v>
      </c>
      <c r="Q66" s="47">
        <v>45635</v>
      </c>
      <c r="R66" s="46" t="s">
        <v>16</v>
      </c>
      <c r="S66" s="48" t="s">
        <v>23</v>
      </c>
    </row>
    <row r="67" spans="1:19" x14ac:dyDescent="0.3">
      <c r="A67" s="30" t="s">
        <v>12</v>
      </c>
      <c r="B67" s="37" t="s">
        <v>811</v>
      </c>
      <c r="C67" s="37">
        <v>70097146</v>
      </c>
      <c r="D67" s="31" t="s">
        <v>895</v>
      </c>
      <c r="E67" s="37">
        <v>6</v>
      </c>
      <c r="F67" s="31" t="s">
        <v>13</v>
      </c>
      <c r="G67" s="37">
        <v>101</v>
      </c>
      <c r="H67" s="37">
        <v>10</v>
      </c>
      <c r="I67" s="37">
        <v>4511561153</v>
      </c>
      <c r="J67" s="38">
        <v>45637</v>
      </c>
      <c r="K67" s="31" t="s">
        <v>1078</v>
      </c>
      <c r="L67" s="39">
        <v>5053366474</v>
      </c>
      <c r="M67" s="31" t="s">
        <v>866</v>
      </c>
      <c r="N67" s="40" t="s">
        <v>20</v>
      </c>
      <c r="O67" s="40" t="s">
        <v>181</v>
      </c>
      <c r="P67" s="40" t="s">
        <v>312</v>
      </c>
      <c r="Q67" s="41">
        <v>45616</v>
      </c>
      <c r="R67" s="40" t="s">
        <v>16</v>
      </c>
      <c r="S67" s="42" t="s">
        <v>23</v>
      </c>
    </row>
    <row r="68" spans="1:19" x14ac:dyDescent="0.3">
      <c r="A68" s="32" t="s">
        <v>12</v>
      </c>
      <c r="B68" s="43" t="s">
        <v>811</v>
      </c>
      <c r="C68" s="43">
        <v>70004306</v>
      </c>
      <c r="D68" s="33" t="s">
        <v>893</v>
      </c>
      <c r="E68" s="43">
        <v>3</v>
      </c>
      <c r="F68" s="33" t="s">
        <v>13</v>
      </c>
      <c r="G68" s="43">
        <v>101</v>
      </c>
      <c r="H68" s="43">
        <v>20</v>
      </c>
      <c r="I68" s="43">
        <v>4511571990</v>
      </c>
      <c r="J68" s="44">
        <v>45636</v>
      </c>
      <c r="K68" s="33" t="s">
        <v>1082</v>
      </c>
      <c r="L68" s="45">
        <v>5053364026</v>
      </c>
      <c r="M68" s="33" t="s">
        <v>866</v>
      </c>
      <c r="N68" s="46" t="s">
        <v>30</v>
      </c>
      <c r="O68" s="46" t="s">
        <v>26</v>
      </c>
      <c r="P68" s="46" t="s">
        <v>42</v>
      </c>
      <c r="Q68" s="47">
        <v>45646</v>
      </c>
      <c r="R68" s="46" t="s">
        <v>16</v>
      </c>
      <c r="S68" s="48" t="s">
        <v>17</v>
      </c>
    </row>
    <row r="69" spans="1:19" x14ac:dyDescent="0.3">
      <c r="A69" s="30" t="s">
        <v>12</v>
      </c>
      <c r="B69" s="37" t="s">
        <v>811</v>
      </c>
      <c r="C69" s="37">
        <v>70004310</v>
      </c>
      <c r="D69" s="31" t="s">
        <v>889</v>
      </c>
      <c r="E69" s="37">
        <v>1</v>
      </c>
      <c r="F69" s="31" t="s">
        <v>13</v>
      </c>
      <c r="G69" s="37">
        <v>101</v>
      </c>
      <c r="H69" s="37">
        <v>10</v>
      </c>
      <c r="I69" s="37">
        <v>4511571990</v>
      </c>
      <c r="J69" s="38">
        <v>45636</v>
      </c>
      <c r="K69" s="31" t="s">
        <v>1082</v>
      </c>
      <c r="L69" s="39">
        <v>5053364026</v>
      </c>
      <c r="M69" s="31" t="s">
        <v>866</v>
      </c>
      <c r="N69" s="40" t="s">
        <v>30</v>
      </c>
      <c r="O69" s="40" t="s">
        <v>26</v>
      </c>
      <c r="P69" s="40" t="s">
        <v>42</v>
      </c>
      <c r="Q69" s="41">
        <v>45646</v>
      </c>
      <c r="R69" s="40" t="s">
        <v>16</v>
      </c>
      <c r="S69" s="42" t="s">
        <v>17</v>
      </c>
    </row>
    <row r="70" spans="1:19" x14ac:dyDescent="0.3">
      <c r="A70" s="32" t="s">
        <v>12</v>
      </c>
      <c r="B70" s="43" t="s">
        <v>811</v>
      </c>
      <c r="C70" s="43">
        <v>70099880</v>
      </c>
      <c r="D70" s="33" t="s">
        <v>890</v>
      </c>
      <c r="E70" s="43">
        <v>10</v>
      </c>
      <c r="F70" s="33" t="s">
        <v>13</v>
      </c>
      <c r="G70" s="43">
        <v>101</v>
      </c>
      <c r="H70" s="43">
        <v>20</v>
      </c>
      <c r="I70" s="43">
        <v>4511572032</v>
      </c>
      <c r="J70" s="44">
        <v>45636</v>
      </c>
      <c r="K70" s="33" t="s">
        <v>1083</v>
      </c>
      <c r="L70" s="45">
        <v>5053364207</v>
      </c>
      <c r="M70" s="33" t="s">
        <v>866</v>
      </c>
      <c r="N70" s="46" t="s">
        <v>20</v>
      </c>
      <c r="O70" s="46" t="s">
        <v>26</v>
      </c>
      <c r="P70" s="46" t="s">
        <v>42</v>
      </c>
      <c r="Q70" s="47">
        <v>45639</v>
      </c>
      <c r="R70" s="46" t="s">
        <v>16</v>
      </c>
      <c r="S70" s="48" t="s">
        <v>17</v>
      </c>
    </row>
    <row r="71" spans="1:19" x14ac:dyDescent="0.3">
      <c r="A71" s="30" t="s">
        <v>12</v>
      </c>
      <c r="B71" s="37" t="s">
        <v>811</v>
      </c>
      <c r="C71" s="37">
        <v>70112201</v>
      </c>
      <c r="D71" s="31" t="s">
        <v>891</v>
      </c>
      <c r="E71" s="37">
        <v>8</v>
      </c>
      <c r="F71" s="31" t="s">
        <v>13</v>
      </c>
      <c r="G71" s="37">
        <v>101</v>
      </c>
      <c r="H71" s="37">
        <v>10</v>
      </c>
      <c r="I71" s="37">
        <v>4511567003</v>
      </c>
      <c r="J71" s="38">
        <v>45636</v>
      </c>
      <c r="K71" s="31" t="s">
        <v>1084</v>
      </c>
      <c r="L71" s="39">
        <v>5053364019</v>
      </c>
      <c r="M71" s="31" t="s">
        <v>866</v>
      </c>
      <c r="N71" s="40" t="s">
        <v>20</v>
      </c>
      <c r="O71" s="40" t="s">
        <v>50</v>
      </c>
      <c r="P71" s="40" t="s">
        <v>42</v>
      </c>
      <c r="Q71" s="41">
        <v>45586</v>
      </c>
      <c r="R71" s="40" t="s">
        <v>16</v>
      </c>
      <c r="S71" s="42" t="s">
        <v>23</v>
      </c>
    </row>
    <row r="72" spans="1:19" x14ac:dyDescent="0.3">
      <c r="A72" s="32" t="s">
        <v>12</v>
      </c>
      <c r="B72" s="43" t="s">
        <v>811</v>
      </c>
      <c r="C72" s="43">
        <v>70061481</v>
      </c>
      <c r="D72" s="33" t="s">
        <v>884</v>
      </c>
      <c r="E72" s="43">
        <v>13200</v>
      </c>
      <c r="F72" s="33" t="s">
        <v>56</v>
      </c>
      <c r="G72" s="43">
        <v>101</v>
      </c>
      <c r="H72" s="43">
        <v>20</v>
      </c>
      <c r="I72" s="43">
        <v>4511566146</v>
      </c>
      <c r="J72" s="44">
        <v>45632</v>
      </c>
      <c r="K72" s="33" t="s">
        <v>1089</v>
      </c>
      <c r="L72" s="45">
        <v>5053362776</v>
      </c>
      <c r="M72" s="33" t="s">
        <v>866</v>
      </c>
      <c r="N72" s="46" t="s">
        <v>30</v>
      </c>
      <c r="O72" s="46" t="s">
        <v>17</v>
      </c>
      <c r="P72" s="46" t="s">
        <v>17</v>
      </c>
      <c r="Q72" s="47" t="s">
        <v>17</v>
      </c>
      <c r="R72" s="46" t="s">
        <v>17</v>
      </c>
      <c r="S72" s="48" t="s">
        <v>17</v>
      </c>
    </row>
    <row r="73" spans="1:19" x14ac:dyDescent="0.3">
      <c r="A73" s="30" t="s">
        <v>12</v>
      </c>
      <c r="B73" s="37" t="s">
        <v>811</v>
      </c>
      <c r="C73" s="37">
        <v>70061481</v>
      </c>
      <c r="D73" s="31" t="s">
        <v>884</v>
      </c>
      <c r="E73" s="37">
        <v>748800</v>
      </c>
      <c r="F73" s="31" t="s">
        <v>56</v>
      </c>
      <c r="G73" s="37">
        <v>101</v>
      </c>
      <c r="H73" s="37">
        <v>10</v>
      </c>
      <c r="I73" s="37">
        <v>4511566146</v>
      </c>
      <c r="J73" s="38">
        <v>45632</v>
      </c>
      <c r="K73" s="31" t="s">
        <v>1089</v>
      </c>
      <c r="L73" s="39">
        <v>5053362776</v>
      </c>
      <c r="M73" s="31" t="s">
        <v>866</v>
      </c>
      <c r="N73" s="40" t="s">
        <v>30</v>
      </c>
      <c r="O73" s="40" t="s">
        <v>17</v>
      </c>
      <c r="P73" s="40" t="s">
        <v>17</v>
      </c>
      <c r="Q73" s="41" t="s">
        <v>17</v>
      </c>
      <c r="R73" s="40" t="s">
        <v>17</v>
      </c>
      <c r="S73" s="42" t="s">
        <v>17</v>
      </c>
    </row>
    <row r="74" spans="1:19" x14ac:dyDescent="0.3">
      <c r="A74" s="32" t="s">
        <v>12</v>
      </c>
      <c r="B74" s="43" t="s">
        <v>811</v>
      </c>
      <c r="C74" s="43">
        <v>70108070</v>
      </c>
      <c r="D74" s="33" t="s">
        <v>875</v>
      </c>
      <c r="E74" s="43">
        <v>3</v>
      </c>
      <c r="F74" s="33" t="s">
        <v>13</v>
      </c>
      <c r="G74" s="43">
        <v>101</v>
      </c>
      <c r="H74" s="43">
        <v>10</v>
      </c>
      <c r="I74" s="43">
        <v>4511571650</v>
      </c>
      <c r="J74" s="44">
        <v>45630</v>
      </c>
      <c r="K74" s="33" t="s">
        <v>1095</v>
      </c>
      <c r="L74" s="45">
        <v>5053360506</v>
      </c>
      <c r="M74" s="33" t="s">
        <v>866</v>
      </c>
      <c r="N74" s="46" t="s">
        <v>30</v>
      </c>
      <c r="O74" s="46" t="s">
        <v>26</v>
      </c>
      <c r="P74" s="46" t="s">
        <v>42</v>
      </c>
      <c r="Q74" s="47">
        <v>45646</v>
      </c>
      <c r="R74" s="46" t="s">
        <v>16</v>
      </c>
      <c r="S74" s="48" t="s">
        <v>17</v>
      </c>
    </row>
    <row r="75" spans="1:19" x14ac:dyDescent="0.3">
      <c r="A75" s="30" t="s">
        <v>12</v>
      </c>
      <c r="B75" s="37" t="s">
        <v>811</v>
      </c>
      <c r="C75" s="37" t="s">
        <v>1103</v>
      </c>
      <c r="D75" s="31" t="s">
        <v>868</v>
      </c>
      <c r="E75" s="37">
        <v>4</v>
      </c>
      <c r="F75" s="31" t="s">
        <v>13</v>
      </c>
      <c r="G75" s="37">
        <v>101</v>
      </c>
      <c r="H75" s="37">
        <v>20</v>
      </c>
      <c r="I75" s="37">
        <v>4511570926</v>
      </c>
      <c r="J75" s="38">
        <v>45628</v>
      </c>
      <c r="K75" s="31" t="s">
        <v>1104</v>
      </c>
      <c r="L75" s="39">
        <v>5053357658</v>
      </c>
      <c r="M75" s="31" t="s">
        <v>866</v>
      </c>
      <c r="N75" s="40" t="s">
        <v>20</v>
      </c>
      <c r="O75" s="40" t="s">
        <v>26</v>
      </c>
      <c r="P75" s="40" t="s">
        <v>161</v>
      </c>
      <c r="Q75" s="41">
        <v>45628</v>
      </c>
      <c r="R75" s="40" t="s">
        <v>16</v>
      </c>
      <c r="S75" s="42" t="s">
        <v>17</v>
      </c>
    </row>
    <row r="76" spans="1:19" x14ac:dyDescent="0.3">
      <c r="A76" s="32" t="s">
        <v>12</v>
      </c>
      <c r="B76" s="43" t="s">
        <v>811</v>
      </c>
      <c r="C76" s="43">
        <v>70100392</v>
      </c>
      <c r="D76" s="33" t="s">
        <v>53</v>
      </c>
      <c r="E76" s="43">
        <v>19</v>
      </c>
      <c r="F76" s="33" t="s">
        <v>13</v>
      </c>
      <c r="G76" s="43">
        <v>101</v>
      </c>
      <c r="H76" s="43">
        <v>20</v>
      </c>
      <c r="I76" s="43">
        <v>5500024751</v>
      </c>
      <c r="J76" s="44">
        <v>45650</v>
      </c>
      <c r="K76" s="33" t="s">
        <v>1030</v>
      </c>
      <c r="L76" s="45">
        <v>5053377270</v>
      </c>
      <c r="M76" s="33" t="s">
        <v>863</v>
      </c>
      <c r="N76" s="46" t="s">
        <v>17</v>
      </c>
      <c r="O76" s="46" t="s">
        <v>28</v>
      </c>
      <c r="P76" s="46" t="s">
        <v>54</v>
      </c>
      <c r="Q76" s="47">
        <v>45670</v>
      </c>
      <c r="R76" s="46" t="s">
        <v>16</v>
      </c>
      <c r="S76" s="48" t="s">
        <v>17</v>
      </c>
    </row>
    <row r="77" spans="1:19" x14ac:dyDescent="0.3">
      <c r="A77" s="30" t="s">
        <v>12</v>
      </c>
      <c r="B77" s="37" t="s">
        <v>811</v>
      </c>
      <c r="C77" s="37">
        <v>70047878</v>
      </c>
      <c r="D77" s="31" t="s">
        <v>1040</v>
      </c>
      <c r="E77" s="37">
        <v>2</v>
      </c>
      <c r="F77" s="31" t="s">
        <v>13</v>
      </c>
      <c r="G77" s="37">
        <v>101</v>
      </c>
      <c r="H77" s="37">
        <v>10</v>
      </c>
      <c r="I77" s="37">
        <v>4511572714</v>
      </c>
      <c r="J77" s="38">
        <v>45645</v>
      </c>
      <c r="K77" s="31" t="s">
        <v>1041</v>
      </c>
      <c r="L77" s="39">
        <v>5053373508</v>
      </c>
      <c r="M77" s="31" t="s">
        <v>863</v>
      </c>
      <c r="N77" s="40" t="s">
        <v>30</v>
      </c>
      <c r="O77" s="40" t="s">
        <v>50</v>
      </c>
      <c r="P77" s="40" t="s">
        <v>161</v>
      </c>
      <c r="Q77" s="41">
        <v>45665</v>
      </c>
      <c r="R77" s="40" t="s">
        <v>16</v>
      </c>
      <c r="S77" s="42" t="s">
        <v>17</v>
      </c>
    </row>
    <row r="78" spans="1:19" x14ac:dyDescent="0.3">
      <c r="A78" s="32" t="s">
        <v>12</v>
      </c>
      <c r="B78" s="43" t="s">
        <v>811</v>
      </c>
      <c r="C78" s="43">
        <v>744716</v>
      </c>
      <c r="D78" s="33" t="s">
        <v>1048</v>
      </c>
      <c r="E78" s="43">
        <v>65</v>
      </c>
      <c r="F78" s="33" t="s">
        <v>21</v>
      </c>
      <c r="G78" s="43">
        <v>101</v>
      </c>
      <c r="H78" s="43">
        <v>40</v>
      </c>
      <c r="I78" s="43">
        <v>4511572284</v>
      </c>
      <c r="J78" s="44">
        <v>45642</v>
      </c>
      <c r="K78" s="33" t="s">
        <v>1049</v>
      </c>
      <c r="L78" s="45">
        <v>5053370572</v>
      </c>
      <c r="M78" s="33" t="s">
        <v>863</v>
      </c>
      <c r="N78" s="46" t="s">
        <v>18</v>
      </c>
      <c r="O78" s="46" t="s">
        <v>148</v>
      </c>
      <c r="P78" s="46" t="s">
        <v>44</v>
      </c>
      <c r="Q78" s="47">
        <v>45667</v>
      </c>
      <c r="R78" s="46" t="s">
        <v>16</v>
      </c>
      <c r="S78" s="48" t="s">
        <v>17</v>
      </c>
    </row>
    <row r="79" spans="1:19" x14ac:dyDescent="0.3">
      <c r="A79" s="30" t="s">
        <v>12</v>
      </c>
      <c r="B79" s="37" t="s">
        <v>811</v>
      </c>
      <c r="C79" s="37">
        <v>70004704</v>
      </c>
      <c r="D79" s="31" t="s">
        <v>1057</v>
      </c>
      <c r="E79" s="37">
        <v>12</v>
      </c>
      <c r="F79" s="31" t="s">
        <v>13</v>
      </c>
      <c r="G79" s="37">
        <v>101</v>
      </c>
      <c r="H79" s="37">
        <v>10</v>
      </c>
      <c r="I79" s="37">
        <v>4511571951</v>
      </c>
      <c r="J79" s="38">
        <v>45642</v>
      </c>
      <c r="K79" s="31" t="s">
        <v>1058</v>
      </c>
      <c r="L79" s="39">
        <v>5053371387</v>
      </c>
      <c r="M79" s="31" t="s">
        <v>863</v>
      </c>
      <c r="N79" s="40" t="s">
        <v>20</v>
      </c>
      <c r="O79" s="40" t="s">
        <v>26</v>
      </c>
      <c r="P79" s="40" t="s">
        <v>240</v>
      </c>
      <c r="Q79" s="41">
        <v>45656</v>
      </c>
      <c r="R79" s="40" t="s">
        <v>16</v>
      </c>
      <c r="S79" s="42" t="s">
        <v>17</v>
      </c>
    </row>
    <row r="80" spans="1:19" x14ac:dyDescent="0.3">
      <c r="A80" s="32" t="s">
        <v>12</v>
      </c>
      <c r="B80" s="43" t="s">
        <v>811</v>
      </c>
      <c r="C80" s="43">
        <v>895421</v>
      </c>
      <c r="D80" s="33" t="s">
        <v>919</v>
      </c>
      <c r="E80" s="43">
        <v>100</v>
      </c>
      <c r="F80" s="33" t="s">
        <v>896</v>
      </c>
      <c r="G80" s="43">
        <v>101</v>
      </c>
      <c r="H80" s="43">
        <v>20</v>
      </c>
      <c r="I80" s="43">
        <v>4511572521</v>
      </c>
      <c r="J80" s="44">
        <v>45639</v>
      </c>
      <c r="K80" s="33" t="s">
        <v>1067</v>
      </c>
      <c r="L80" s="45">
        <v>5053368201</v>
      </c>
      <c r="M80" s="33" t="s">
        <v>863</v>
      </c>
      <c r="N80" s="46" t="s">
        <v>18</v>
      </c>
      <c r="O80" s="46" t="s">
        <v>148</v>
      </c>
      <c r="P80" s="46" t="s">
        <v>96</v>
      </c>
      <c r="Q80" s="47">
        <v>45646</v>
      </c>
      <c r="R80" s="46" t="s">
        <v>16</v>
      </c>
      <c r="S80" s="48" t="s">
        <v>17</v>
      </c>
    </row>
    <row r="81" spans="1:19" x14ac:dyDescent="0.3">
      <c r="A81" s="30" t="s">
        <v>12</v>
      </c>
      <c r="B81" s="37" t="s">
        <v>811</v>
      </c>
      <c r="C81" s="37">
        <v>70003837</v>
      </c>
      <c r="D81" s="31" t="s">
        <v>920</v>
      </c>
      <c r="E81" s="37">
        <v>6</v>
      </c>
      <c r="F81" s="31" t="s">
        <v>13</v>
      </c>
      <c r="G81" s="37">
        <v>101</v>
      </c>
      <c r="H81" s="37">
        <v>10</v>
      </c>
      <c r="I81" s="37">
        <v>4511572460</v>
      </c>
      <c r="J81" s="38">
        <v>45639</v>
      </c>
      <c r="K81" s="31" t="s">
        <v>1068</v>
      </c>
      <c r="L81" s="39">
        <v>5053368650</v>
      </c>
      <c r="M81" s="31" t="s">
        <v>863</v>
      </c>
      <c r="N81" s="40" t="s">
        <v>20</v>
      </c>
      <c r="O81" s="40" t="s">
        <v>50</v>
      </c>
      <c r="P81" s="40" t="s">
        <v>42</v>
      </c>
      <c r="Q81" s="41">
        <v>45642</v>
      </c>
      <c r="R81" s="40" t="s">
        <v>16</v>
      </c>
      <c r="S81" s="42" t="s">
        <v>17</v>
      </c>
    </row>
    <row r="82" spans="1:19" x14ac:dyDescent="0.3">
      <c r="A82" s="33" t="s">
        <v>12</v>
      </c>
      <c r="B82" s="43" t="s">
        <v>811</v>
      </c>
      <c r="C82" s="43">
        <v>70061785</v>
      </c>
      <c r="D82" s="33" t="s">
        <v>926</v>
      </c>
      <c r="E82" s="43">
        <v>4</v>
      </c>
      <c r="F82" s="33" t="s">
        <v>13</v>
      </c>
      <c r="G82" s="43">
        <v>101</v>
      </c>
      <c r="H82" s="43">
        <v>20</v>
      </c>
      <c r="I82" s="43">
        <v>4511572460</v>
      </c>
      <c r="J82" s="44">
        <v>45639</v>
      </c>
      <c r="K82" s="33" t="s">
        <v>1068</v>
      </c>
      <c r="L82" s="45">
        <v>5053368650</v>
      </c>
      <c r="M82" s="33" t="s">
        <v>863</v>
      </c>
      <c r="N82" s="46" t="s">
        <v>20</v>
      </c>
      <c r="O82" s="46" t="s">
        <v>50</v>
      </c>
      <c r="P82" s="46" t="s">
        <v>42</v>
      </c>
      <c r="Q82" s="47">
        <v>45642</v>
      </c>
      <c r="R82" s="46" t="s">
        <v>16</v>
      </c>
      <c r="S82" s="48" t="s">
        <v>17</v>
      </c>
    </row>
    <row r="83" spans="1:19" x14ac:dyDescent="0.3">
      <c r="A83" s="31" t="s">
        <v>12</v>
      </c>
      <c r="B83" s="37" t="s">
        <v>811</v>
      </c>
      <c r="C83" s="37">
        <v>70061786</v>
      </c>
      <c r="D83" s="31" t="s">
        <v>927</v>
      </c>
      <c r="E83" s="37">
        <v>4</v>
      </c>
      <c r="F83" s="31" t="s">
        <v>13</v>
      </c>
      <c r="G83" s="37">
        <v>101</v>
      </c>
      <c r="H83" s="37">
        <v>30</v>
      </c>
      <c r="I83" s="37">
        <v>4511572460</v>
      </c>
      <c r="J83" s="38">
        <v>45639</v>
      </c>
      <c r="K83" s="31" t="s">
        <v>1068</v>
      </c>
      <c r="L83" s="39">
        <v>5053368650</v>
      </c>
      <c r="M83" s="31" t="s">
        <v>863</v>
      </c>
      <c r="N83" s="40" t="s">
        <v>20</v>
      </c>
      <c r="O83" s="40" t="s">
        <v>50</v>
      </c>
      <c r="P83" s="40" t="s">
        <v>42</v>
      </c>
      <c r="Q83" s="41">
        <v>45642</v>
      </c>
      <c r="R83" s="40" t="s">
        <v>16</v>
      </c>
      <c r="S83" s="42" t="s">
        <v>17</v>
      </c>
    </row>
    <row r="84" spans="1:19" x14ac:dyDescent="0.3">
      <c r="A84" s="32" t="s">
        <v>12</v>
      </c>
      <c r="B84" s="43" t="s">
        <v>811</v>
      </c>
      <c r="C84" s="43">
        <v>70082928</v>
      </c>
      <c r="D84" s="33" t="s">
        <v>928</v>
      </c>
      <c r="E84" s="43">
        <v>6</v>
      </c>
      <c r="F84" s="33" t="s">
        <v>13</v>
      </c>
      <c r="G84" s="43">
        <v>101</v>
      </c>
      <c r="H84" s="43">
        <v>40</v>
      </c>
      <c r="I84" s="43">
        <v>4511572460</v>
      </c>
      <c r="J84" s="44">
        <v>45639</v>
      </c>
      <c r="K84" s="33" t="s">
        <v>1068</v>
      </c>
      <c r="L84" s="45">
        <v>5053368650</v>
      </c>
      <c r="M84" s="33" t="s">
        <v>863</v>
      </c>
      <c r="N84" s="46" t="s">
        <v>20</v>
      </c>
      <c r="O84" s="46" t="s">
        <v>50</v>
      </c>
      <c r="P84" s="46" t="s">
        <v>42</v>
      </c>
      <c r="Q84" s="47">
        <v>45642</v>
      </c>
      <c r="R84" s="46" t="s">
        <v>16</v>
      </c>
      <c r="S84" s="48" t="s">
        <v>17</v>
      </c>
    </row>
    <row r="85" spans="1:19" x14ac:dyDescent="0.3">
      <c r="A85" s="30" t="s">
        <v>12</v>
      </c>
      <c r="B85" s="37" t="s">
        <v>811</v>
      </c>
      <c r="C85" s="37">
        <v>70098846</v>
      </c>
      <c r="D85" s="31" t="s">
        <v>929</v>
      </c>
      <c r="E85" s="37">
        <v>6</v>
      </c>
      <c r="F85" s="31" t="s">
        <v>13</v>
      </c>
      <c r="G85" s="37">
        <v>101</v>
      </c>
      <c r="H85" s="37">
        <v>50</v>
      </c>
      <c r="I85" s="37">
        <v>4511572460</v>
      </c>
      <c r="J85" s="38">
        <v>45639</v>
      </c>
      <c r="K85" s="31" t="s">
        <v>1068</v>
      </c>
      <c r="L85" s="39">
        <v>5053368650</v>
      </c>
      <c r="M85" s="31" t="s">
        <v>863</v>
      </c>
      <c r="N85" s="40" t="s">
        <v>20</v>
      </c>
      <c r="O85" s="40" t="s">
        <v>50</v>
      </c>
      <c r="P85" s="40" t="s">
        <v>42</v>
      </c>
      <c r="Q85" s="41">
        <v>45642</v>
      </c>
      <c r="R85" s="40" t="s">
        <v>16</v>
      </c>
      <c r="S85" s="42" t="s">
        <v>17</v>
      </c>
    </row>
    <row r="86" spans="1:19" x14ac:dyDescent="0.3">
      <c r="A86" s="32" t="s">
        <v>12</v>
      </c>
      <c r="B86" s="43" t="s">
        <v>811</v>
      </c>
      <c r="C86" s="43" t="s">
        <v>1073</v>
      </c>
      <c r="D86" s="33" t="s">
        <v>930</v>
      </c>
      <c r="E86" s="43">
        <v>12</v>
      </c>
      <c r="F86" s="33" t="s">
        <v>13</v>
      </c>
      <c r="G86" s="43">
        <v>101</v>
      </c>
      <c r="H86" s="43">
        <v>60</v>
      </c>
      <c r="I86" s="43">
        <v>4511572460</v>
      </c>
      <c r="J86" s="44">
        <v>45639</v>
      </c>
      <c r="K86" s="33" t="s">
        <v>1068</v>
      </c>
      <c r="L86" s="45">
        <v>5053368650</v>
      </c>
      <c r="M86" s="33" t="s">
        <v>863</v>
      </c>
      <c r="N86" s="46" t="s">
        <v>20</v>
      </c>
      <c r="O86" s="46" t="s">
        <v>50</v>
      </c>
      <c r="P86" s="46" t="s">
        <v>42</v>
      </c>
      <c r="Q86" s="47">
        <v>45642</v>
      </c>
      <c r="R86" s="46" t="s">
        <v>16</v>
      </c>
      <c r="S86" s="48" t="s">
        <v>17</v>
      </c>
    </row>
    <row r="87" spans="1:19" x14ac:dyDescent="0.3">
      <c r="A87" s="30" t="s">
        <v>12</v>
      </c>
      <c r="B87" s="37" t="s">
        <v>811</v>
      </c>
      <c r="C87" s="37">
        <v>748341</v>
      </c>
      <c r="D87" s="31" t="s">
        <v>882</v>
      </c>
      <c r="E87" s="37">
        <v>5.2</v>
      </c>
      <c r="F87" s="31" t="s">
        <v>21</v>
      </c>
      <c r="G87" s="37">
        <v>101</v>
      </c>
      <c r="H87" s="37">
        <v>10</v>
      </c>
      <c r="I87" s="37">
        <v>4511570734</v>
      </c>
      <c r="J87" s="38">
        <v>45632</v>
      </c>
      <c r="K87" s="31" t="s">
        <v>1087</v>
      </c>
      <c r="L87" s="39">
        <v>5053362636</v>
      </c>
      <c r="M87" s="31" t="s">
        <v>863</v>
      </c>
      <c r="N87" s="40" t="s">
        <v>30</v>
      </c>
      <c r="O87" s="40" t="s">
        <v>26</v>
      </c>
      <c r="P87" s="40" t="s">
        <v>173</v>
      </c>
      <c r="Q87" s="41">
        <v>45635</v>
      </c>
      <c r="R87" s="40" t="s">
        <v>16</v>
      </c>
      <c r="S87" s="42" t="s">
        <v>17</v>
      </c>
    </row>
    <row r="88" spans="1:19" x14ac:dyDescent="0.3">
      <c r="A88" s="32" t="s">
        <v>12</v>
      </c>
      <c r="B88" s="43" t="s">
        <v>811</v>
      </c>
      <c r="C88" s="43">
        <v>760364</v>
      </c>
      <c r="D88" s="33" t="s">
        <v>883</v>
      </c>
      <c r="E88" s="43">
        <v>1</v>
      </c>
      <c r="F88" s="33" t="s">
        <v>13</v>
      </c>
      <c r="G88" s="43">
        <v>101</v>
      </c>
      <c r="H88" s="43">
        <v>10</v>
      </c>
      <c r="I88" s="43">
        <v>4511570257</v>
      </c>
      <c r="J88" s="44">
        <v>45632</v>
      </c>
      <c r="K88" s="33" t="s">
        <v>1088</v>
      </c>
      <c r="L88" s="45">
        <v>5053362631</v>
      </c>
      <c r="M88" s="33" t="s">
        <v>863</v>
      </c>
      <c r="N88" s="46" t="s">
        <v>30</v>
      </c>
      <c r="O88" s="46" t="s">
        <v>26</v>
      </c>
      <c r="P88" s="46" t="s">
        <v>240</v>
      </c>
      <c r="Q88" s="47">
        <v>45637</v>
      </c>
      <c r="R88" s="46" t="s">
        <v>16</v>
      </c>
      <c r="S88" s="48" t="s">
        <v>17</v>
      </c>
    </row>
    <row r="89" spans="1:19" x14ac:dyDescent="0.3">
      <c r="A89" s="30" t="s">
        <v>12</v>
      </c>
      <c r="B89" s="37" t="s">
        <v>811</v>
      </c>
      <c r="C89" s="37">
        <v>70135105</v>
      </c>
      <c r="D89" s="31" t="s">
        <v>878</v>
      </c>
      <c r="E89" s="37">
        <v>2</v>
      </c>
      <c r="F89" s="31" t="s">
        <v>43</v>
      </c>
      <c r="G89" s="37">
        <v>101</v>
      </c>
      <c r="H89" s="37">
        <v>40</v>
      </c>
      <c r="I89" s="37">
        <v>4511570356</v>
      </c>
      <c r="J89" s="38">
        <v>45632</v>
      </c>
      <c r="K89" s="31" t="s">
        <v>1090</v>
      </c>
      <c r="L89" s="39">
        <v>5053362617</v>
      </c>
      <c r="M89" s="31" t="s">
        <v>863</v>
      </c>
      <c r="N89" s="40" t="s">
        <v>20</v>
      </c>
      <c r="O89" s="40" t="s">
        <v>306</v>
      </c>
      <c r="P89" s="40" t="s">
        <v>1180</v>
      </c>
      <c r="Q89" s="41">
        <v>45625</v>
      </c>
      <c r="R89" s="40" t="s">
        <v>16</v>
      </c>
      <c r="S89" s="42" t="s">
        <v>23</v>
      </c>
    </row>
    <row r="90" spans="1:19" x14ac:dyDescent="0.3">
      <c r="A90" s="32" t="s">
        <v>12</v>
      </c>
      <c r="B90" s="43" t="s">
        <v>811</v>
      </c>
      <c r="C90" s="43">
        <v>70135106</v>
      </c>
      <c r="D90" s="33" t="s">
        <v>879</v>
      </c>
      <c r="E90" s="43">
        <v>2</v>
      </c>
      <c r="F90" s="33" t="s">
        <v>43</v>
      </c>
      <c r="G90" s="43">
        <v>101</v>
      </c>
      <c r="H90" s="43">
        <v>50</v>
      </c>
      <c r="I90" s="43">
        <v>4511570356</v>
      </c>
      <c r="J90" s="44">
        <v>45632</v>
      </c>
      <c r="K90" s="33" t="s">
        <v>1090</v>
      </c>
      <c r="L90" s="45">
        <v>5053362617</v>
      </c>
      <c r="M90" s="33" t="s">
        <v>863</v>
      </c>
      <c r="N90" s="46" t="s">
        <v>20</v>
      </c>
      <c r="O90" s="46" t="s">
        <v>306</v>
      </c>
      <c r="P90" s="46" t="s">
        <v>1180</v>
      </c>
      <c r="Q90" s="47">
        <v>45625</v>
      </c>
      <c r="R90" s="46" t="s">
        <v>16</v>
      </c>
      <c r="S90" s="48" t="s">
        <v>23</v>
      </c>
    </row>
    <row r="91" spans="1:19" x14ac:dyDescent="0.3">
      <c r="A91" s="30" t="s">
        <v>12</v>
      </c>
      <c r="B91" s="37" t="s">
        <v>811</v>
      </c>
      <c r="C91" s="37">
        <v>70135107</v>
      </c>
      <c r="D91" s="31" t="s">
        <v>880</v>
      </c>
      <c r="E91" s="37">
        <v>1</v>
      </c>
      <c r="F91" s="31" t="s">
        <v>43</v>
      </c>
      <c r="G91" s="37">
        <v>101</v>
      </c>
      <c r="H91" s="37">
        <v>60</v>
      </c>
      <c r="I91" s="37">
        <v>4511570356</v>
      </c>
      <c r="J91" s="38">
        <v>45632</v>
      </c>
      <c r="K91" s="31" t="s">
        <v>1090</v>
      </c>
      <c r="L91" s="39">
        <v>5053362617</v>
      </c>
      <c r="M91" s="31" t="s">
        <v>863</v>
      </c>
      <c r="N91" s="40" t="s">
        <v>20</v>
      </c>
      <c r="O91" s="40" t="s">
        <v>306</v>
      </c>
      <c r="P91" s="40" t="s">
        <v>1180</v>
      </c>
      <c r="Q91" s="41">
        <v>45625</v>
      </c>
      <c r="R91" s="40" t="s">
        <v>16</v>
      </c>
      <c r="S91" s="42" t="s">
        <v>23</v>
      </c>
    </row>
    <row r="92" spans="1:19" x14ac:dyDescent="0.3">
      <c r="A92" s="32" t="s">
        <v>12</v>
      </c>
      <c r="B92" s="43" t="s">
        <v>811</v>
      </c>
      <c r="C92" s="43">
        <v>873339</v>
      </c>
      <c r="D92" s="33" t="s">
        <v>874</v>
      </c>
      <c r="E92" s="43">
        <v>4</v>
      </c>
      <c r="F92" s="33" t="s">
        <v>13</v>
      </c>
      <c r="G92" s="43">
        <v>101</v>
      </c>
      <c r="H92" s="43">
        <v>10</v>
      </c>
      <c r="I92" s="43">
        <v>4511571319</v>
      </c>
      <c r="J92" s="44">
        <v>45630</v>
      </c>
      <c r="K92" s="33" t="s">
        <v>1093</v>
      </c>
      <c r="L92" s="45">
        <v>5053359403</v>
      </c>
      <c r="M92" s="33" t="s">
        <v>863</v>
      </c>
      <c r="N92" s="46" t="s">
        <v>20</v>
      </c>
      <c r="O92" s="46" t="s">
        <v>26</v>
      </c>
      <c r="P92" s="46" t="s">
        <v>84</v>
      </c>
      <c r="Q92" s="47">
        <v>45632</v>
      </c>
      <c r="R92" s="46" t="s">
        <v>16</v>
      </c>
      <c r="S92" s="48" t="s">
        <v>17</v>
      </c>
    </row>
    <row r="93" spans="1:19" x14ac:dyDescent="0.3">
      <c r="A93" s="30" t="s">
        <v>12</v>
      </c>
      <c r="B93" s="37" t="s">
        <v>811</v>
      </c>
      <c r="C93" s="37">
        <v>70011440</v>
      </c>
      <c r="D93" s="31" t="s">
        <v>876</v>
      </c>
      <c r="E93" s="37">
        <v>2</v>
      </c>
      <c r="F93" s="31" t="s">
        <v>13</v>
      </c>
      <c r="G93" s="37">
        <v>101</v>
      </c>
      <c r="H93" s="37">
        <v>20</v>
      </c>
      <c r="I93" s="37">
        <v>4511571319</v>
      </c>
      <c r="J93" s="38">
        <v>45630</v>
      </c>
      <c r="K93" s="31" t="s">
        <v>1093</v>
      </c>
      <c r="L93" s="39">
        <v>5053359403</v>
      </c>
      <c r="M93" s="31" t="s">
        <v>863</v>
      </c>
      <c r="N93" s="40" t="s">
        <v>20</v>
      </c>
      <c r="O93" s="40" t="s">
        <v>26</v>
      </c>
      <c r="P93" s="40" t="s">
        <v>84</v>
      </c>
      <c r="Q93" s="41">
        <v>45632</v>
      </c>
      <c r="R93" s="40" t="s">
        <v>16</v>
      </c>
      <c r="S93" s="42" t="s">
        <v>17</v>
      </c>
    </row>
    <row r="94" spans="1:19" x14ac:dyDescent="0.3">
      <c r="A94" s="32" t="s">
        <v>12</v>
      </c>
      <c r="B94" s="43" t="s">
        <v>811</v>
      </c>
      <c r="C94" s="43">
        <v>724696</v>
      </c>
      <c r="D94" s="33" t="s">
        <v>862</v>
      </c>
      <c r="E94" s="43">
        <v>10</v>
      </c>
      <c r="F94" s="33" t="s">
        <v>13</v>
      </c>
      <c r="G94" s="43">
        <v>101</v>
      </c>
      <c r="H94" s="43">
        <v>10</v>
      </c>
      <c r="I94" s="43">
        <v>4511571466</v>
      </c>
      <c r="J94" s="44">
        <v>45628</v>
      </c>
      <c r="K94" s="33" t="s">
        <v>1098</v>
      </c>
      <c r="L94" s="45">
        <v>5053357657</v>
      </c>
      <c r="M94" s="33" t="s">
        <v>863</v>
      </c>
      <c r="N94" s="46" t="s">
        <v>20</v>
      </c>
      <c r="O94" s="46" t="s">
        <v>26</v>
      </c>
      <c r="P94" s="46" t="s">
        <v>272</v>
      </c>
      <c r="Q94" s="47">
        <v>45632</v>
      </c>
      <c r="R94" s="46" t="s">
        <v>16</v>
      </c>
      <c r="S94" s="48" t="s">
        <v>17</v>
      </c>
    </row>
    <row r="95" spans="1:19" x14ac:dyDescent="0.3">
      <c r="A95" s="30" t="s">
        <v>12</v>
      </c>
      <c r="B95" s="37" t="s">
        <v>811</v>
      </c>
      <c r="C95" s="37">
        <v>724696</v>
      </c>
      <c r="D95" s="31" t="s">
        <v>862</v>
      </c>
      <c r="E95" s="37">
        <v>10</v>
      </c>
      <c r="F95" s="31" t="s">
        <v>13</v>
      </c>
      <c r="G95" s="37">
        <v>101</v>
      </c>
      <c r="H95" s="37">
        <v>30</v>
      </c>
      <c r="I95" s="37">
        <v>4511571465</v>
      </c>
      <c r="J95" s="38">
        <v>45628</v>
      </c>
      <c r="K95" s="31" t="s">
        <v>1099</v>
      </c>
      <c r="L95" s="39">
        <v>5053357659</v>
      </c>
      <c r="M95" s="31" t="s">
        <v>863</v>
      </c>
      <c r="N95" s="40" t="s">
        <v>20</v>
      </c>
      <c r="O95" s="40" t="s">
        <v>26</v>
      </c>
      <c r="P95" s="40" t="s">
        <v>272</v>
      </c>
      <c r="Q95" s="41">
        <v>45630</v>
      </c>
      <c r="R95" s="40" t="s">
        <v>16</v>
      </c>
      <c r="S95" s="42" t="s">
        <v>17</v>
      </c>
    </row>
    <row r="96" spans="1:19" x14ac:dyDescent="0.3">
      <c r="A96" s="32" t="s">
        <v>12</v>
      </c>
      <c r="B96" s="43" t="s">
        <v>811</v>
      </c>
      <c r="C96" s="43">
        <v>724696</v>
      </c>
      <c r="D96" s="33" t="s">
        <v>862</v>
      </c>
      <c r="E96" s="43">
        <v>10</v>
      </c>
      <c r="F96" s="33" t="s">
        <v>13</v>
      </c>
      <c r="G96" s="43">
        <v>101</v>
      </c>
      <c r="H96" s="43">
        <v>30</v>
      </c>
      <c r="I96" s="43">
        <v>4511571465</v>
      </c>
      <c r="J96" s="44">
        <v>45628</v>
      </c>
      <c r="K96" s="33" t="s">
        <v>1100</v>
      </c>
      <c r="L96" s="45">
        <v>5053369291</v>
      </c>
      <c r="M96" s="33" t="s">
        <v>863</v>
      </c>
      <c r="N96" s="46" t="s">
        <v>20</v>
      </c>
      <c r="O96" s="46" t="s">
        <v>26</v>
      </c>
      <c r="P96" s="46" t="s">
        <v>272</v>
      </c>
      <c r="Q96" s="47">
        <v>45630</v>
      </c>
      <c r="R96" s="46" t="s">
        <v>16</v>
      </c>
      <c r="S96" s="48" t="s">
        <v>17</v>
      </c>
    </row>
    <row r="97" spans="1:19" x14ac:dyDescent="0.3">
      <c r="A97" s="30" t="s">
        <v>12</v>
      </c>
      <c r="B97" s="37" t="s">
        <v>811</v>
      </c>
      <c r="C97" s="37">
        <v>724696</v>
      </c>
      <c r="D97" s="31" t="s">
        <v>862</v>
      </c>
      <c r="E97" s="37">
        <v>-10</v>
      </c>
      <c r="F97" s="31" t="s">
        <v>13</v>
      </c>
      <c r="G97" s="37">
        <v>102</v>
      </c>
      <c r="H97" s="37">
        <v>30</v>
      </c>
      <c r="I97" s="37">
        <v>4511571465</v>
      </c>
      <c r="J97" s="38">
        <v>45628</v>
      </c>
      <c r="K97" s="31" t="s">
        <v>1099</v>
      </c>
      <c r="L97" s="39">
        <v>5053369289</v>
      </c>
      <c r="M97" s="31" t="s">
        <v>863</v>
      </c>
      <c r="N97" s="40" t="s">
        <v>20</v>
      </c>
      <c r="O97" s="40" t="s">
        <v>26</v>
      </c>
      <c r="P97" s="40" t="s">
        <v>272</v>
      </c>
      <c r="Q97" s="41">
        <v>45630</v>
      </c>
      <c r="R97" s="40" t="s">
        <v>16</v>
      </c>
      <c r="S97" s="42" t="s">
        <v>17</v>
      </c>
    </row>
    <row r="98" spans="1:19" x14ac:dyDescent="0.3">
      <c r="A98" s="32" t="s">
        <v>12</v>
      </c>
      <c r="B98" s="43" t="s">
        <v>811</v>
      </c>
      <c r="C98" s="43">
        <v>724828</v>
      </c>
      <c r="D98" s="33" t="s">
        <v>869</v>
      </c>
      <c r="E98" s="43">
        <v>-11</v>
      </c>
      <c r="F98" s="33" t="s">
        <v>13</v>
      </c>
      <c r="G98" s="43">
        <v>102</v>
      </c>
      <c r="H98" s="43">
        <v>40</v>
      </c>
      <c r="I98" s="43">
        <v>4511571465</v>
      </c>
      <c r="J98" s="44">
        <v>45628</v>
      </c>
      <c r="K98" s="33" t="s">
        <v>1099</v>
      </c>
      <c r="L98" s="45">
        <v>5053369289</v>
      </c>
      <c r="M98" s="33" t="s">
        <v>863</v>
      </c>
      <c r="N98" s="46" t="s">
        <v>20</v>
      </c>
      <c r="O98" s="46" t="s">
        <v>26</v>
      </c>
      <c r="P98" s="46" t="s">
        <v>272</v>
      </c>
      <c r="Q98" s="47">
        <v>45630</v>
      </c>
      <c r="R98" s="46" t="s">
        <v>16</v>
      </c>
      <c r="S98" s="48" t="s">
        <v>17</v>
      </c>
    </row>
    <row r="99" spans="1:19" x14ac:dyDescent="0.3">
      <c r="A99" s="30" t="s">
        <v>12</v>
      </c>
      <c r="B99" s="37" t="s">
        <v>811</v>
      </c>
      <c r="C99" s="37">
        <v>724828</v>
      </c>
      <c r="D99" s="31" t="s">
        <v>869</v>
      </c>
      <c r="E99" s="37">
        <v>11</v>
      </c>
      <c r="F99" s="31" t="s">
        <v>13</v>
      </c>
      <c r="G99" s="37">
        <v>101</v>
      </c>
      <c r="H99" s="37">
        <v>40</v>
      </c>
      <c r="I99" s="37">
        <v>4511571465</v>
      </c>
      <c r="J99" s="38">
        <v>45628</v>
      </c>
      <c r="K99" s="31" t="s">
        <v>1099</v>
      </c>
      <c r="L99" s="39">
        <v>5053357659</v>
      </c>
      <c r="M99" s="31" t="s">
        <v>863</v>
      </c>
      <c r="N99" s="40" t="s">
        <v>20</v>
      </c>
      <c r="O99" s="40" t="s">
        <v>26</v>
      </c>
      <c r="P99" s="40" t="s">
        <v>272</v>
      </c>
      <c r="Q99" s="41">
        <v>45630</v>
      </c>
      <c r="R99" s="40" t="s">
        <v>16</v>
      </c>
      <c r="S99" s="42" t="s">
        <v>17</v>
      </c>
    </row>
    <row r="100" spans="1:19" x14ac:dyDescent="0.3">
      <c r="A100" s="32" t="s">
        <v>12</v>
      </c>
      <c r="B100" s="43" t="s">
        <v>811</v>
      </c>
      <c r="C100" s="43">
        <v>724828</v>
      </c>
      <c r="D100" s="33" t="s">
        <v>869</v>
      </c>
      <c r="E100" s="43">
        <v>11</v>
      </c>
      <c r="F100" s="33" t="s">
        <v>13</v>
      </c>
      <c r="G100" s="43">
        <v>101</v>
      </c>
      <c r="H100" s="43">
        <v>40</v>
      </c>
      <c r="I100" s="43">
        <v>4511571465</v>
      </c>
      <c r="J100" s="44">
        <v>45628</v>
      </c>
      <c r="K100" s="33" t="s">
        <v>1100</v>
      </c>
      <c r="L100" s="45">
        <v>5053369291</v>
      </c>
      <c r="M100" s="33" t="s">
        <v>863</v>
      </c>
      <c r="N100" s="46" t="s">
        <v>20</v>
      </c>
      <c r="O100" s="46" t="s">
        <v>26</v>
      </c>
      <c r="P100" s="46" t="s">
        <v>272</v>
      </c>
      <c r="Q100" s="47">
        <v>45630</v>
      </c>
      <c r="R100" s="46" t="s">
        <v>16</v>
      </c>
      <c r="S100" s="48" t="s">
        <v>17</v>
      </c>
    </row>
    <row r="101" spans="1:19" x14ac:dyDescent="0.3">
      <c r="A101" s="26" t="s">
        <v>12</v>
      </c>
      <c r="B101" s="49" t="s">
        <v>811</v>
      </c>
      <c r="C101" s="49">
        <v>844106</v>
      </c>
      <c r="D101" s="27" t="s">
        <v>865</v>
      </c>
      <c r="E101" s="49">
        <v>16</v>
      </c>
      <c r="F101" s="27" t="s">
        <v>13</v>
      </c>
      <c r="G101" s="49">
        <v>101</v>
      </c>
      <c r="H101" s="49">
        <v>30</v>
      </c>
      <c r="I101" s="49">
        <v>4511570932</v>
      </c>
      <c r="J101" s="50">
        <v>45628</v>
      </c>
      <c r="K101" s="27" t="s">
        <v>1101</v>
      </c>
      <c r="L101" s="51">
        <v>5053357513</v>
      </c>
      <c r="M101" s="27" t="s">
        <v>863</v>
      </c>
      <c r="N101" s="52" t="s">
        <v>20</v>
      </c>
      <c r="O101" s="52" t="s">
        <v>26</v>
      </c>
      <c r="P101" s="52" t="s">
        <v>32</v>
      </c>
      <c r="Q101" s="53">
        <v>45628</v>
      </c>
      <c r="R101" s="52" t="s">
        <v>16</v>
      </c>
      <c r="S101" s="54" t="s">
        <v>17</v>
      </c>
    </row>
  </sheetData>
  <conditionalFormatting sqref="S7:S101">
    <cfRule type="expression" dxfId="21" priority="1">
      <formula>S7="Entrega Tarde"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6AB32-E7FC-4407-8870-356670065273}">
  <sheetPr>
    <tabColor theme="7" tint="0.79998168889431442"/>
  </sheetPr>
  <dimension ref="A3:S109"/>
  <sheetViews>
    <sheetView tabSelected="1" topLeftCell="A48" workbookViewId="0">
      <selection activeCell="J4" sqref="J4:J109"/>
    </sheetView>
  </sheetViews>
  <sheetFormatPr baseColWidth="10" defaultRowHeight="14.4" x14ac:dyDescent="0.3"/>
  <sheetData>
    <row r="3" spans="1:19" ht="15" thickBot="1" x14ac:dyDescent="0.35">
      <c r="A3" s="24" t="s">
        <v>0</v>
      </c>
      <c r="B3" s="35" t="s">
        <v>64</v>
      </c>
      <c r="C3" s="25" t="s">
        <v>1</v>
      </c>
      <c r="D3" s="25" t="s">
        <v>2</v>
      </c>
      <c r="E3" s="35" t="s">
        <v>65</v>
      </c>
      <c r="F3" s="25" t="s">
        <v>3</v>
      </c>
      <c r="G3" s="35" t="s">
        <v>66</v>
      </c>
      <c r="H3" s="35" t="s">
        <v>67</v>
      </c>
      <c r="I3" s="25" t="s">
        <v>8</v>
      </c>
      <c r="J3" s="25" t="s">
        <v>68</v>
      </c>
      <c r="K3" s="25" t="s">
        <v>5</v>
      </c>
      <c r="L3" s="36" t="s">
        <v>69</v>
      </c>
      <c r="M3" s="25" t="s">
        <v>70</v>
      </c>
      <c r="N3" s="25" t="s">
        <v>10</v>
      </c>
      <c r="O3" s="25" t="s">
        <v>6</v>
      </c>
      <c r="P3" s="25" t="s">
        <v>4</v>
      </c>
      <c r="Q3" s="25" t="s">
        <v>71</v>
      </c>
      <c r="R3" s="25" t="s">
        <v>7</v>
      </c>
      <c r="S3" s="28" t="s">
        <v>9</v>
      </c>
    </row>
    <row r="4" spans="1:19" ht="15" thickTop="1" x14ac:dyDescent="0.3">
      <c r="A4" s="30" t="s">
        <v>12</v>
      </c>
      <c r="B4" s="37" t="s">
        <v>816</v>
      </c>
      <c r="C4" s="37">
        <v>70074657</v>
      </c>
      <c r="D4" s="31" t="s">
        <v>899</v>
      </c>
      <c r="E4" s="37">
        <v>456</v>
      </c>
      <c r="F4" s="31" t="s">
        <v>871</v>
      </c>
      <c r="G4" s="37">
        <v>101</v>
      </c>
      <c r="H4" s="37">
        <v>110</v>
      </c>
      <c r="I4" s="37">
        <v>4511566008</v>
      </c>
      <c r="J4" s="38">
        <v>45638</v>
      </c>
      <c r="K4" s="31" t="s">
        <v>1075</v>
      </c>
      <c r="L4" s="39">
        <v>5053367159</v>
      </c>
      <c r="M4" s="31" t="s">
        <v>864</v>
      </c>
      <c r="N4" s="40" t="s">
        <v>18</v>
      </c>
      <c r="O4" s="40" t="s">
        <v>17</v>
      </c>
      <c r="P4" s="40" t="s">
        <v>17</v>
      </c>
      <c r="Q4" s="41" t="s">
        <v>17</v>
      </c>
      <c r="R4" s="40" t="s">
        <v>17</v>
      </c>
      <c r="S4" s="42" t="s">
        <v>17</v>
      </c>
    </row>
    <row r="5" spans="1:19" x14ac:dyDescent="0.3">
      <c r="A5" s="32" t="s">
        <v>12</v>
      </c>
      <c r="B5" s="43" t="s">
        <v>816</v>
      </c>
      <c r="C5" s="43">
        <v>70074662</v>
      </c>
      <c r="D5" s="33" t="s">
        <v>902</v>
      </c>
      <c r="E5" s="43">
        <v>456</v>
      </c>
      <c r="F5" s="33" t="s">
        <v>13</v>
      </c>
      <c r="G5" s="43">
        <v>101</v>
      </c>
      <c r="H5" s="43">
        <v>170</v>
      </c>
      <c r="I5" s="43">
        <v>4511566008</v>
      </c>
      <c r="J5" s="44">
        <v>45638</v>
      </c>
      <c r="K5" s="33" t="s">
        <v>1075</v>
      </c>
      <c r="L5" s="45">
        <v>5053367159</v>
      </c>
      <c r="M5" s="33" t="s">
        <v>864</v>
      </c>
      <c r="N5" s="46" t="s">
        <v>18</v>
      </c>
      <c r="O5" s="46" t="s">
        <v>17</v>
      </c>
      <c r="P5" s="46" t="s">
        <v>17</v>
      </c>
      <c r="Q5" s="47" t="s">
        <v>17</v>
      </c>
      <c r="R5" s="46" t="s">
        <v>17</v>
      </c>
      <c r="S5" s="48" t="s">
        <v>17</v>
      </c>
    </row>
    <row r="6" spans="1:19" x14ac:dyDescent="0.3">
      <c r="A6" s="31" t="s">
        <v>12</v>
      </c>
      <c r="B6" s="37" t="s">
        <v>816</v>
      </c>
      <c r="C6" s="37">
        <v>70074665</v>
      </c>
      <c r="D6" s="31" t="s">
        <v>903</v>
      </c>
      <c r="E6" s="37">
        <v>456</v>
      </c>
      <c r="F6" s="31" t="s">
        <v>896</v>
      </c>
      <c r="G6" s="37">
        <v>101</v>
      </c>
      <c r="H6" s="37">
        <v>290</v>
      </c>
      <c r="I6" s="37">
        <v>4511566008</v>
      </c>
      <c r="J6" s="38">
        <v>45638</v>
      </c>
      <c r="K6" s="31" t="s">
        <v>1075</v>
      </c>
      <c r="L6" s="39">
        <v>5053367159</v>
      </c>
      <c r="M6" s="31" t="s">
        <v>864</v>
      </c>
      <c r="N6" s="40" t="s">
        <v>18</v>
      </c>
      <c r="O6" s="40" t="s">
        <v>17</v>
      </c>
      <c r="P6" s="40" t="s">
        <v>17</v>
      </c>
      <c r="Q6" s="41" t="s">
        <v>17</v>
      </c>
      <c r="R6" s="40" t="s">
        <v>17</v>
      </c>
      <c r="S6" s="42" t="s">
        <v>17</v>
      </c>
    </row>
    <row r="7" spans="1:19" x14ac:dyDescent="0.3">
      <c r="A7" s="33" t="s">
        <v>12</v>
      </c>
      <c r="B7" s="43" t="s">
        <v>816</v>
      </c>
      <c r="C7" s="43">
        <v>70074793</v>
      </c>
      <c r="D7" s="33" t="s">
        <v>904</v>
      </c>
      <c r="E7" s="43">
        <v>456</v>
      </c>
      <c r="F7" s="33" t="s">
        <v>13</v>
      </c>
      <c r="G7" s="43">
        <v>101</v>
      </c>
      <c r="H7" s="43">
        <v>350</v>
      </c>
      <c r="I7" s="43">
        <v>4511566008</v>
      </c>
      <c r="J7" s="44">
        <v>45638</v>
      </c>
      <c r="K7" s="33" t="s">
        <v>1075</v>
      </c>
      <c r="L7" s="45">
        <v>5053367159</v>
      </c>
      <c r="M7" s="33" t="s">
        <v>864</v>
      </c>
      <c r="N7" s="46" t="s">
        <v>18</v>
      </c>
      <c r="O7" s="46" t="s">
        <v>17</v>
      </c>
      <c r="P7" s="46" t="s">
        <v>17</v>
      </c>
      <c r="Q7" s="47" t="s">
        <v>17</v>
      </c>
      <c r="R7" s="46" t="s">
        <v>17</v>
      </c>
      <c r="S7" s="48" t="s">
        <v>17</v>
      </c>
    </row>
    <row r="8" spans="1:19" x14ac:dyDescent="0.3">
      <c r="A8" s="31" t="s">
        <v>12</v>
      </c>
      <c r="B8" s="37" t="s">
        <v>816</v>
      </c>
      <c r="C8" s="37">
        <v>70074794</v>
      </c>
      <c r="D8" s="31" t="s">
        <v>905</v>
      </c>
      <c r="E8" s="37">
        <v>456</v>
      </c>
      <c r="F8" s="31" t="s">
        <v>13</v>
      </c>
      <c r="G8" s="37">
        <v>101</v>
      </c>
      <c r="H8" s="37">
        <v>410</v>
      </c>
      <c r="I8" s="37">
        <v>4511566008</v>
      </c>
      <c r="J8" s="38">
        <v>45638</v>
      </c>
      <c r="K8" s="31" t="s">
        <v>1075</v>
      </c>
      <c r="L8" s="39">
        <v>5053367159</v>
      </c>
      <c r="M8" s="31" t="s">
        <v>864</v>
      </c>
      <c r="N8" s="40" t="s">
        <v>18</v>
      </c>
      <c r="O8" s="40" t="s">
        <v>17</v>
      </c>
      <c r="P8" s="40" t="s">
        <v>17</v>
      </c>
      <c r="Q8" s="41" t="s">
        <v>17</v>
      </c>
      <c r="R8" s="40" t="s">
        <v>17</v>
      </c>
      <c r="S8" s="42" t="s">
        <v>17</v>
      </c>
    </row>
    <row r="9" spans="1:19" x14ac:dyDescent="0.3">
      <c r="A9" s="33" t="s">
        <v>12</v>
      </c>
      <c r="B9" s="43" t="s">
        <v>816</v>
      </c>
      <c r="C9" s="43">
        <v>70075794</v>
      </c>
      <c r="D9" s="33" t="s">
        <v>901</v>
      </c>
      <c r="E9" s="43">
        <v>456</v>
      </c>
      <c r="F9" s="33" t="s">
        <v>13</v>
      </c>
      <c r="G9" s="43">
        <v>101</v>
      </c>
      <c r="H9" s="43">
        <v>470</v>
      </c>
      <c r="I9" s="43">
        <v>4511566008</v>
      </c>
      <c r="J9" s="44">
        <v>45638</v>
      </c>
      <c r="K9" s="33" t="s">
        <v>1075</v>
      </c>
      <c r="L9" s="45">
        <v>5053367159</v>
      </c>
      <c r="M9" s="33" t="s">
        <v>864</v>
      </c>
      <c r="N9" s="46" t="s">
        <v>18</v>
      </c>
      <c r="O9" s="46" t="s">
        <v>17</v>
      </c>
      <c r="P9" s="46" t="s">
        <v>17</v>
      </c>
      <c r="Q9" s="47" t="s">
        <v>17</v>
      </c>
      <c r="R9" s="46" t="s">
        <v>17</v>
      </c>
      <c r="S9" s="48" t="s">
        <v>17</v>
      </c>
    </row>
    <row r="10" spans="1:19" x14ac:dyDescent="0.3">
      <c r="A10" s="31" t="s">
        <v>12</v>
      </c>
      <c r="B10" s="37" t="s">
        <v>816</v>
      </c>
      <c r="C10" s="37">
        <v>70075796</v>
      </c>
      <c r="D10" s="31" t="s">
        <v>906</v>
      </c>
      <c r="E10" s="37">
        <v>456</v>
      </c>
      <c r="F10" s="31" t="s">
        <v>13</v>
      </c>
      <c r="G10" s="37">
        <v>101</v>
      </c>
      <c r="H10" s="37">
        <v>530</v>
      </c>
      <c r="I10" s="37">
        <v>4511566008</v>
      </c>
      <c r="J10" s="38">
        <v>45638</v>
      </c>
      <c r="K10" s="31" t="s">
        <v>1075</v>
      </c>
      <c r="L10" s="39">
        <v>5053367159</v>
      </c>
      <c r="M10" s="31" t="s">
        <v>864</v>
      </c>
      <c r="N10" s="40" t="s">
        <v>18</v>
      </c>
      <c r="O10" s="40" t="s">
        <v>17</v>
      </c>
      <c r="P10" s="40" t="s">
        <v>17</v>
      </c>
      <c r="Q10" s="41" t="s">
        <v>17</v>
      </c>
      <c r="R10" s="40" t="s">
        <v>17</v>
      </c>
      <c r="S10" s="42" t="s">
        <v>17</v>
      </c>
    </row>
    <row r="11" spans="1:19" x14ac:dyDescent="0.3">
      <c r="A11" s="33" t="s">
        <v>12</v>
      </c>
      <c r="B11" s="43" t="s">
        <v>816</v>
      </c>
      <c r="C11" s="43">
        <v>70075797</v>
      </c>
      <c r="D11" s="33" t="s">
        <v>907</v>
      </c>
      <c r="E11" s="43">
        <v>456</v>
      </c>
      <c r="F11" s="33" t="s">
        <v>13</v>
      </c>
      <c r="G11" s="43">
        <v>101</v>
      </c>
      <c r="H11" s="43">
        <v>590</v>
      </c>
      <c r="I11" s="43">
        <v>4511566008</v>
      </c>
      <c r="J11" s="44">
        <v>45638</v>
      </c>
      <c r="K11" s="33" t="s">
        <v>1075</v>
      </c>
      <c r="L11" s="45">
        <v>5053367159</v>
      </c>
      <c r="M11" s="33" t="s">
        <v>864</v>
      </c>
      <c r="N11" s="46" t="s">
        <v>18</v>
      </c>
      <c r="O11" s="46" t="s">
        <v>17</v>
      </c>
      <c r="P11" s="46" t="s">
        <v>17</v>
      </c>
      <c r="Q11" s="47" t="s">
        <v>17</v>
      </c>
      <c r="R11" s="46" t="s">
        <v>17</v>
      </c>
      <c r="S11" s="48" t="s">
        <v>17</v>
      </c>
    </row>
    <row r="12" spans="1:19" x14ac:dyDescent="0.3">
      <c r="A12" s="31" t="s">
        <v>12</v>
      </c>
      <c r="B12" s="37" t="s">
        <v>816</v>
      </c>
      <c r="C12" s="37">
        <v>70091212</v>
      </c>
      <c r="D12" s="31" t="s">
        <v>908</v>
      </c>
      <c r="E12" s="37">
        <v>912</v>
      </c>
      <c r="F12" s="31" t="s">
        <v>13</v>
      </c>
      <c r="G12" s="37">
        <v>101</v>
      </c>
      <c r="H12" s="37">
        <v>650</v>
      </c>
      <c r="I12" s="37">
        <v>4511566008</v>
      </c>
      <c r="J12" s="38">
        <v>45638</v>
      </c>
      <c r="K12" s="31" t="s">
        <v>1075</v>
      </c>
      <c r="L12" s="39">
        <v>5053367159</v>
      </c>
      <c r="M12" s="31" t="s">
        <v>864</v>
      </c>
      <c r="N12" s="40" t="s">
        <v>18</v>
      </c>
      <c r="O12" s="40" t="s">
        <v>17</v>
      </c>
      <c r="P12" s="40" t="s">
        <v>17</v>
      </c>
      <c r="Q12" s="41" t="s">
        <v>17</v>
      </c>
      <c r="R12" s="40" t="s">
        <v>17</v>
      </c>
      <c r="S12" s="42" t="s">
        <v>17</v>
      </c>
    </row>
    <row r="13" spans="1:19" x14ac:dyDescent="0.3">
      <c r="A13" s="33" t="s">
        <v>12</v>
      </c>
      <c r="B13" s="43" t="s">
        <v>816</v>
      </c>
      <c r="C13" s="43">
        <v>70094260</v>
      </c>
      <c r="D13" s="33" t="s">
        <v>909</v>
      </c>
      <c r="E13" s="43">
        <v>912</v>
      </c>
      <c r="F13" s="33" t="s">
        <v>13</v>
      </c>
      <c r="G13" s="43">
        <v>101</v>
      </c>
      <c r="H13" s="43">
        <v>710</v>
      </c>
      <c r="I13" s="43">
        <v>4511566008</v>
      </c>
      <c r="J13" s="44">
        <v>45638</v>
      </c>
      <c r="K13" s="33" t="s">
        <v>1075</v>
      </c>
      <c r="L13" s="45">
        <v>5053367159</v>
      </c>
      <c r="M13" s="33" t="s">
        <v>864</v>
      </c>
      <c r="N13" s="46" t="s">
        <v>18</v>
      </c>
      <c r="O13" s="46" t="s">
        <v>17</v>
      </c>
      <c r="P13" s="46" t="s">
        <v>17</v>
      </c>
      <c r="Q13" s="47" t="s">
        <v>17</v>
      </c>
      <c r="R13" s="46" t="s">
        <v>17</v>
      </c>
      <c r="S13" s="48" t="s">
        <v>17</v>
      </c>
    </row>
    <row r="14" spans="1:19" x14ac:dyDescent="0.3">
      <c r="A14" s="31" t="s">
        <v>12</v>
      </c>
      <c r="B14" s="37" t="s">
        <v>816</v>
      </c>
      <c r="C14" s="37">
        <v>70108258</v>
      </c>
      <c r="D14" s="31" t="s">
        <v>911</v>
      </c>
      <c r="E14" s="37">
        <v>456</v>
      </c>
      <c r="F14" s="31" t="s">
        <v>13</v>
      </c>
      <c r="G14" s="37">
        <v>101</v>
      </c>
      <c r="H14" s="37">
        <v>770</v>
      </c>
      <c r="I14" s="37">
        <v>4511566008</v>
      </c>
      <c r="J14" s="38">
        <v>45638</v>
      </c>
      <c r="K14" s="31" t="s">
        <v>1075</v>
      </c>
      <c r="L14" s="39">
        <v>5053367159</v>
      </c>
      <c r="M14" s="31" t="s">
        <v>864</v>
      </c>
      <c r="N14" s="40" t="s">
        <v>18</v>
      </c>
      <c r="O14" s="40" t="s">
        <v>17</v>
      </c>
      <c r="P14" s="40" t="s">
        <v>17</v>
      </c>
      <c r="Q14" s="41" t="s">
        <v>17</v>
      </c>
      <c r="R14" s="40" t="s">
        <v>17</v>
      </c>
      <c r="S14" s="42" t="s">
        <v>17</v>
      </c>
    </row>
    <row r="15" spans="1:19" x14ac:dyDescent="0.3">
      <c r="A15" s="33" t="s">
        <v>12</v>
      </c>
      <c r="B15" s="43" t="s">
        <v>816</v>
      </c>
      <c r="C15" s="43">
        <v>70108274</v>
      </c>
      <c r="D15" s="33" t="s">
        <v>912</v>
      </c>
      <c r="E15" s="43">
        <v>456</v>
      </c>
      <c r="F15" s="33" t="s">
        <v>13</v>
      </c>
      <c r="G15" s="43">
        <v>101</v>
      </c>
      <c r="H15" s="43">
        <v>830</v>
      </c>
      <c r="I15" s="43">
        <v>4511566008</v>
      </c>
      <c r="J15" s="44">
        <v>45638</v>
      </c>
      <c r="K15" s="33" t="s">
        <v>1075</v>
      </c>
      <c r="L15" s="45">
        <v>5053367159</v>
      </c>
      <c r="M15" s="33" t="s">
        <v>864</v>
      </c>
      <c r="N15" s="46" t="s">
        <v>18</v>
      </c>
      <c r="O15" s="46" t="s">
        <v>17</v>
      </c>
      <c r="P15" s="46" t="s">
        <v>17</v>
      </c>
      <c r="Q15" s="47" t="s">
        <v>17</v>
      </c>
      <c r="R15" s="46" t="s">
        <v>17</v>
      </c>
      <c r="S15" s="48" t="s">
        <v>17</v>
      </c>
    </row>
    <row r="16" spans="1:19" x14ac:dyDescent="0.3">
      <c r="A16" s="31" t="s">
        <v>12</v>
      </c>
      <c r="B16" s="37" t="s">
        <v>816</v>
      </c>
      <c r="C16" s="37">
        <v>70108276</v>
      </c>
      <c r="D16" s="31" t="s">
        <v>913</v>
      </c>
      <c r="E16" s="37">
        <v>456</v>
      </c>
      <c r="F16" s="31" t="s">
        <v>13</v>
      </c>
      <c r="G16" s="37">
        <v>101</v>
      </c>
      <c r="H16" s="37">
        <v>900</v>
      </c>
      <c r="I16" s="37">
        <v>4511566008</v>
      </c>
      <c r="J16" s="38">
        <v>45638</v>
      </c>
      <c r="K16" s="31" t="s">
        <v>1075</v>
      </c>
      <c r="L16" s="39">
        <v>5053367159</v>
      </c>
      <c r="M16" s="31" t="s">
        <v>864</v>
      </c>
      <c r="N16" s="40" t="s">
        <v>18</v>
      </c>
      <c r="O16" s="40" t="s">
        <v>17</v>
      </c>
      <c r="P16" s="40" t="s">
        <v>17</v>
      </c>
      <c r="Q16" s="41" t="s">
        <v>17</v>
      </c>
      <c r="R16" s="40" t="s">
        <v>17</v>
      </c>
      <c r="S16" s="42" t="s">
        <v>17</v>
      </c>
    </row>
    <row r="17" spans="1:19" x14ac:dyDescent="0.3">
      <c r="A17" s="33" t="s">
        <v>12</v>
      </c>
      <c r="B17" s="43" t="s">
        <v>816</v>
      </c>
      <c r="C17" s="43">
        <v>70108331</v>
      </c>
      <c r="D17" s="33" t="s">
        <v>910</v>
      </c>
      <c r="E17" s="43">
        <v>456</v>
      </c>
      <c r="F17" s="33" t="s">
        <v>13</v>
      </c>
      <c r="G17" s="43">
        <v>101</v>
      </c>
      <c r="H17" s="43">
        <v>960</v>
      </c>
      <c r="I17" s="43">
        <v>4511566008</v>
      </c>
      <c r="J17" s="44">
        <v>45638</v>
      </c>
      <c r="K17" s="33" t="s">
        <v>1075</v>
      </c>
      <c r="L17" s="45">
        <v>5053367159</v>
      </c>
      <c r="M17" s="33" t="s">
        <v>864</v>
      </c>
      <c r="N17" s="46" t="s">
        <v>18</v>
      </c>
      <c r="O17" s="46" t="s">
        <v>17</v>
      </c>
      <c r="P17" s="46" t="s">
        <v>17</v>
      </c>
      <c r="Q17" s="47" t="s">
        <v>17</v>
      </c>
      <c r="R17" s="46" t="s">
        <v>17</v>
      </c>
      <c r="S17" s="48" t="s">
        <v>17</v>
      </c>
    </row>
    <row r="18" spans="1:19" x14ac:dyDescent="0.3">
      <c r="A18" s="31" t="s">
        <v>12</v>
      </c>
      <c r="B18" s="37" t="s">
        <v>816</v>
      </c>
      <c r="C18" s="37">
        <v>70108379</v>
      </c>
      <c r="D18" s="31" t="s">
        <v>914</v>
      </c>
      <c r="E18" s="37">
        <v>912</v>
      </c>
      <c r="F18" s="31" t="s">
        <v>13</v>
      </c>
      <c r="G18" s="37">
        <v>101</v>
      </c>
      <c r="H18" s="37">
        <v>1020</v>
      </c>
      <c r="I18" s="37">
        <v>4511566008</v>
      </c>
      <c r="J18" s="38">
        <v>45638</v>
      </c>
      <c r="K18" s="31" t="s">
        <v>1075</v>
      </c>
      <c r="L18" s="39">
        <v>5053367159</v>
      </c>
      <c r="M18" s="31" t="s">
        <v>864</v>
      </c>
      <c r="N18" s="40" t="s">
        <v>18</v>
      </c>
      <c r="O18" s="40" t="s">
        <v>17</v>
      </c>
      <c r="P18" s="40" t="s">
        <v>17</v>
      </c>
      <c r="Q18" s="41" t="s">
        <v>17</v>
      </c>
      <c r="R18" s="40" t="s">
        <v>17</v>
      </c>
      <c r="S18" s="42" t="s">
        <v>17</v>
      </c>
    </row>
    <row r="19" spans="1:19" x14ac:dyDescent="0.3">
      <c r="A19" s="33" t="s">
        <v>12</v>
      </c>
      <c r="B19" s="43" t="s">
        <v>816</v>
      </c>
      <c r="C19" s="43">
        <v>70135731</v>
      </c>
      <c r="D19" s="33" t="s">
        <v>900</v>
      </c>
      <c r="E19" s="43">
        <v>-360</v>
      </c>
      <c r="F19" s="33" t="s">
        <v>13</v>
      </c>
      <c r="G19" s="43">
        <v>102</v>
      </c>
      <c r="H19" s="43">
        <v>50</v>
      </c>
      <c r="I19" s="43">
        <v>4511572241</v>
      </c>
      <c r="J19" s="44">
        <v>45638</v>
      </c>
      <c r="K19" s="33" t="s">
        <v>1076</v>
      </c>
      <c r="L19" s="45">
        <v>5053368337</v>
      </c>
      <c r="M19" s="33" t="s">
        <v>864</v>
      </c>
      <c r="N19" s="46" t="s">
        <v>18</v>
      </c>
      <c r="O19" s="46" t="s">
        <v>17</v>
      </c>
      <c r="P19" s="46" t="s">
        <v>17</v>
      </c>
      <c r="Q19" s="47" t="s">
        <v>17</v>
      </c>
      <c r="R19" s="46" t="s">
        <v>17</v>
      </c>
      <c r="S19" s="48" t="s">
        <v>17</v>
      </c>
    </row>
    <row r="20" spans="1:19" x14ac:dyDescent="0.3">
      <c r="A20" s="31" t="s">
        <v>12</v>
      </c>
      <c r="B20" s="37" t="s">
        <v>816</v>
      </c>
      <c r="C20" s="37">
        <v>70135731</v>
      </c>
      <c r="D20" s="31" t="s">
        <v>900</v>
      </c>
      <c r="E20" s="37">
        <v>360</v>
      </c>
      <c r="F20" s="31" t="s">
        <v>13</v>
      </c>
      <c r="G20" s="37">
        <v>101</v>
      </c>
      <c r="H20" s="37">
        <v>50</v>
      </c>
      <c r="I20" s="37">
        <v>4511572241</v>
      </c>
      <c r="J20" s="38">
        <v>45638</v>
      </c>
      <c r="K20" s="31" t="s">
        <v>1077</v>
      </c>
      <c r="L20" s="39">
        <v>5053368339</v>
      </c>
      <c r="M20" s="31" t="s">
        <v>864</v>
      </c>
      <c r="N20" s="40" t="s">
        <v>18</v>
      </c>
      <c r="O20" s="40" t="s">
        <v>17</v>
      </c>
      <c r="P20" s="40" t="s">
        <v>17</v>
      </c>
      <c r="Q20" s="41" t="s">
        <v>17</v>
      </c>
      <c r="R20" s="40" t="s">
        <v>17</v>
      </c>
      <c r="S20" s="42" t="s">
        <v>17</v>
      </c>
    </row>
    <row r="21" spans="1:19" x14ac:dyDescent="0.3">
      <c r="A21" s="33" t="s">
        <v>12</v>
      </c>
      <c r="B21" s="43" t="s">
        <v>816</v>
      </c>
      <c r="C21" s="43">
        <v>70135731</v>
      </c>
      <c r="D21" s="33" t="s">
        <v>900</v>
      </c>
      <c r="E21" s="43">
        <v>360</v>
      </c>
      <c r="F21" s="33" t="s">
        <v>13</v>
      </c>
      <c r="G21" s="43">
        <v>101</v>
      </c>
      <c r="H21" s="43">
        <v>50</v>
      </c>
      <c r="I21" s="43">
        <v>4511572241</v>
      </c>
      <c r="J21" s="44">
        <v>45638</v>
      </c>
      <c r="K21" s="33" t="s">
        <v>1076</v>
      </c>
      <c r="L21" s="45">
        <v>5053367180</v>
      </c>
      <c r="M21" s="33" t="s">
        <v>864</v>
      </c>
      <c r="N21" s="46" t="s">
        <v>18</v>
      </c>
      <c r="O21" s="46" t="s">
        <v>17</v>
      </c>
      <c r="P21" s="46" t="s">
        <v>17</v>
      </c>
      <c r="Q21" s="47" t="s">
        <v>17</v>
      </c>
      <c r="R21" s="46" t="s">
        <v>17</v>
      </c>
      <c r="S21" s="48" t="s">
        <v>17</v>
      </c>
    </row>
    <row r="22" spans="1:19" x14ac:dyDescent="0.3">
      <c r="A22" s="30" t="s">
        <v>12</v>
      </c>
      <c r="B22" s="37" t="s">
        <v>816</v>
      </c>
      <c r="C22" s="37">
        <v>70119603</v>
      </c>
      <c r="D22" s="31" t="s">
        <v>892</v>
      </c>
      <c r="E22" s="37">
        <v>1</v>
      </c>
      <c r="F22" s="31" t="s">
        <v>13</v>
      </c>
      <c r="G22" s="37">
        <v>101</v>
      </c>
      <c r="H22" s="37">
        <v>20</v>
      </c>
      <c r="I22" s="37">
        <v>4511569095</v>
      </c>
      <c r="J22" s="38">
        <v>45636</v>
      </c>
      <c r="K22" s="31" t="s">
        <v>1085</v>
      </c>
      <c r="L22" s="39">
        <v>5053364265</v>
      </c>
      <c r="M22" s="31" t="s">
        <v>864</v>
      </c>
      <c r="N22" s="40" t="s">
        <v>30</v>
      </c>
      <c r="O22" s="40" t="s">
        <v>17</v>
      </c>
      <c r="P22" s="40" t="s">
        <v>17</v>
      </c>
      <c r="Q22" s="41" t="s">
        <v>17</v>
      </c>
      <c r="R22" s="40" t="s">
        <v>17</v>
      </c>
      <c r="S22" s="42" t="s">
        <v>17</v>
      </c>
    </row>
    <row r="23" spans="1:19" x14ac:dyDescent="0.3">
      <c r="A23" s="32" t="s">
        <v>12</v>
      </c>
      <c r="B23" s="43" t="s">
        <v>816</v>
      </c>
      <c r="C23" s="43">
        <v>70119603</v>
      </c>
      <c r="D23" s="33" t="s">
        <v>892</v>
      </c>
      <c r="E23" s="43">
        <v>1</v>
      </c>
      <c r="F23" s="33" t="s">
        <v>13</v>
      </c>
      <c r="G23" s="43">
        <v>101</v>
      </c>
      <c r="H23" s="43">
        <v>10</v>
      </c>
      <c r="I23" s="43">
        <v>4511569095</v>
      </c>
      <c r="J23" s="44">
        <v>45636</v>
      </c>
      <c r="K23" s="33" t="s">
        <v>1086</v>
      </c>
      <c r="L23" s="45">
        <v>5053364261</v>
      </c>
      <c r="M23" s="33" t="s">
        <v>864</v>
      </c>
      <c r="N23" s="46" t="s">
        <v>30</v>
      </c>
      <c r="O23" s="46" t="s">
        <v>306</v>
      </c>
      <c r="P23" s="46" t="s">
        <v>1180</v>
      </c>
      <c r="Q23" s="47">
        <v>45616</v>
      </c>
      <c r="R23" s="46" t="s">
        <v>51</v>
      </c>
      <c r="S23" s="48" t="s">
        <v>23</v>
      </c>
    </row>
    <row r="24" spans="1:19" x14ac:dyDescent="0.3">
      <c r="A24" s="30" t="s">
        <v>12</v>
      </c>
      <c r="B24" s="37" t="s">
        <v>816</v>
      </c>
      <c r="C24" s="37">
        <v>70074657</v>
      </c>
      <c r="D24" s="31" t="s">
        <v>899</v>
      </c>
      <c r="E24" s="37">
        <v>-56</v>
      </c>
      <c r="F24" s="31" t="s">
        <v>871</v>
      </c>
      <c r="G24" s="37">
        <v>102</v>
      </c>
      <c r="H24" s="37">
        <v>70</v>
      </c>
      <c r="I24" s="37">
        <v>4511566008</v>
      </c>
      <c r="J24" s="38">
        <v>45638</v>
      </c>
      <c r="K24" s="31" t="s">
        <v>1107</v>
      </c>
      <c r="L24" s="39">
        <v>5053367172</v>
      </c>
      <c r="M24" s="31" t="s">
        <v>864</v>
      </c>
      <c r="N24" s="40" t="s">
        <v>18</v>
      </c>
      <c r="O24" s="40" t="s">
        <v>17</v>
      </c>
      <c r="P24" s="40" t="s">
        <v>17</v>
      </c>
      <c r="Q24" s="41" t="s">
        <v>17</v>
      </c>
      <c r="R24" s="40" t="s">
        <v>17</v>
      </c>
      <c r="S24" s="42" t="s">
        <v>17</v>
      </c>
    </row>
    <row r="25" spans="1:19" x14ac:dyDescent="0.3">
      <c r="A25" s="32" t="s">
        <v>12</v>
      </c>
      <c r="B25" s="43" t="s">
        <v>816</v>
      </c>
      <c r="C25" s="43">
        <v>70074657</v>
      </c>
      <c r="D25" s="33" t="s">
        <v>899</v>
      </c>
      <c r="E25" s="43">
        <v>-200</v>
      </c>
      <c r="F25" s="33" t="s">
        <v>871</v>
      </c>
      <c r="G25" s="43">
        <v>102</v>
      </c>
      <c r="H25" s="43">
        <v>80</v>
      </c>
      <c r="I25" s="43">
        <v>4511566008</v>
      </c>
      <c r="J25" s="44">
        <v>45638</v>
      </c>
      <c r="K25" s="33" t="s">
        <v>1107</v>
      </c>
      <c r="L25" s="45">
        <v>5053367172</v>
      </c>
      <c r="M25" s="33" t="s">
        <v>864</v>
      </c>
      <c r="N25" s="46" t="s">
        <v>18</v>
      </c>
      <c r="O25" s="46" t="s">
        <v>17</v>
      </c>
      <c r="P25" s="46" t="s">
        <v>17</v>
      </c>
      <c r="Q25" s="47" t="s">
        <v>17</v>
      </c>
      <c r="R25" s="46" t="s">
        <v>17</v>
      </c>
      <c r="S25" s="48" t="s">
        <v>17</v>
      </c>
    </row>
    <row r="26" spans="1:19" x14ac:dyDescent="0.3">
      <c r="A26" s="31" t="s">
        <v>12</v>
      </c>
      <c r="B26" s="37" t="s">
        <v>816</v>
      </c>
      <c r="C26" s="37">
        <v>70074657</v>
      </c>
      <c r="D26" s="31" t="s">
        <v>899</v>
      </c>
      <c r="E26" s="37">
        <v>-200</v>
      </c>
      <c r="F26" s="31" t="s">
        <v>871</v>
      </c>
      <c r="G26" s="37">
        <v>102</v>
      </c>
      <c r="H26" s="37">
        <v>90</v>
      </c>
      <c r="I26" s="37">
        <v>4511566008</v>
      </c>
      <c r="J26" s="38">
        <v>45638</v>
      </c>
      <c r="K26" s="31" t="s">
        <v>1107</v>
      </c>
      <c r="L26" s="39">
        <v>5053367172</v>
      </c>
      <c r="M26" s="31" t="s">
        <v>864</v>
      </c>
      <c r="N26" s="40" t="s">
        <v>18</v>
      </c>
      <c r="O26" s="40" t="s">
        <v>17</v>
      </c>
      <c r="P26" s="40" t="s">
        <v>17</v>
      </c>
      <c r="Q26" s="41" t="s">
        <v>17</v>
      </c>
      <c r="R26" s="40" t="s">
        <v>17</v>
      </c>
      <c r="S26" s="42" t="s">
        <v>17</v>
      </c>
    </row>
    <row r="27" spans="1:19" x14ac:dyDescent="0.3">
      <c r="A27" s="33" t="s">
        <v>12</v>
      </c>
      <c r="B27" s="43" t="s">
        <v>816</v>
      </c>
      <c r="C27" s="43">
        <v>70074662</v>
      </c>
      <c r="D27" s="33" t="s">
        <v>902</v>
      </c>
      <c r="E27" s="43">
        <v>-200</v>
      </c>
      <c r="F27" s="33" t="s">
        <v>13</v>
      </c>
      <c r="G27" s="43">
        <v>102</v>
      </c>
      <c r="H27" s="43">
        <v>150</v>
      </c>
      <c r="I27" s="43">
        <v>4511566008</v>
      </c>
      <c r="J27" s="44">
        <v>45638</v>
      </c>
      <c r="K27" s="33" t="s">
        <v>1107</v>
      </c>
      <c r="L27" s="45">
        <v>5053367172</v>
      </c>
      <c r="M27" s="33" t="s">
        <v>864</v>
      </c>
      <c r="N27" s="46" t="s">
        <v>18</v>
      </c>
      <c r="O27" s="46" t="s">
        <v>17</v>
      </c>
      <c r="P27" s="46" t="s">
        <v>17</v>
      </c>
      <c r="Q27" s="47" t="s">
        <v>17</v>
      </c>
      <c r="R27" s="46" t="s">
        <v>17</v>
      </c>
      <c r="S27" s="48" t="s">
        <v>17</v>
      </c>
    </row>
    <row r="28" spans="1:19" x14ac:dyDescent="0.3">
      <c r="A28" s="31" t="s">
        <v>12</v>
      </c>
      <c r="B28" s="37" t="s">
        <v>816</v>
      </c>
      <c r="C28" s="37">
        <v>70074662</v>
      </c>
      <c r="D28" s="31" t="s">
        <v>902</v>
      </c>
      <c r="E28" s="37">
        <v>-200</v>
      </c>
      <c r="F28" s="31" t="s">
        <v>13</v>
      </c>
      <c r="G28" s="37">
        <v>102</v>
      </c>
      <c r="H28" s="37">
        <v>140</v>
      </c>
      <c r="I28" s="37">
        <v>4511566008</v>
      </c>
      <c r="J28" s="38">
        <v>45638</v>
      </c>
      <c r="K28" s="31" t="s">
        <v>1107</v>
      </c>
      <c r="L28" s="39">
        <v>5053367172</v>
      </c>
      <c r="M28" s="31" t="s">
        <v>864</v>
      </c>
      <c r="N28" s="40" t="s">
        <v>18</v>
      </c>
      <c r="O28" s="40" t="s">
        <v>17</v>
      </c>
      <c r="P28" s="40" t="s">
        <v>17</v>
      </c>
      <c r="Q28" s="41" t="s">
        <v>17</v>
      </c>
      <c r="R28" s="40" t="s">
        <v>17</v>
      </c>
      <c r="S28" s="42" t="s">
        <v>17</v>
      </c>
    </row>
    <row r="29" spans="1:19" x14ac:dyDescent="0.3">
      <c r="A29" s="33" t="s">
        <v>12</v>
      </c>
      <c r="B29" s="43" t="s">
        <v>816</v>
      </c>
      <c r="C29" s="43">
        <v>70074662</v>
      </c>
      <c r="D29" s="33" t="s">
        <v>902</v>
      </c>
      <c r="E29" s="43">
        <v>-56</v>
      </c>
      <c r="F29" s="33" t="s">
        <v>13</v>
      </c>
      <c r="G29" s="43">
        <v>102</v>
      </c>
      <c r="H29" s="43">
        <v>130</v>
      </c>
      <c r="I29" s="43">
        <v>4511566008</v>
      </c>
      <c r="J29" s="44">
        <v>45638</v>
      </c>
      <c r="K29" s="33" t="s">
        <v>1107</v>
      </c>
      <c r="L29" s="45">
        <v>5053367172</v>
      </c>
      <c r="M29" s="33" t="s">
        <v>864</v>
      </c>
      <c r="N29" s="46" t="s">
        <v>18</v>
      </c>
      <c r="O29" s="46" t="s">
        <v>17</v>
      </c>
      <c r="P29" s="46" t="s">
        <v>17</v>
      </c>
      <c r="Q29" s="47" t="s">
        <v>17</v>
      </c>
      <c r="R29" s="46" t="s">
        <v>17</v>
      </c>
      <c r="S29" s="48" t="s">
        <v>17</v>
      </c>
    </row>
    <row r="30" spans="1:19" x14ac:dyDescent="0.3">
      <c r="A30" s="31" t="s">
        <v>12</v>
      </c>
      <c r="B30" s="37" t="s">
        <v>816</v>
      </c>
      <c r="C30" s="37">
        <v>70074665</v>
      </c>
      <c r="D30" s="31" t="s">
        <v>903</v>
      </c>
      <c r="E30" s="37">
        <v>-200</v>
      </c>
      <c r="F30" s="31" t="s">
        <v>896</v>
      </c>
      <c r="G30" s="37">
        <v>102</v>
      </c>
      <c r="H30" s="37">
        <v>270</v>
      </c>
      <c r="I30" s="37">
        <v>4511566008</v>
      </c>
      <c r="J30" s="38">
        <v>45638</v>
      </c>
      <c r="K30" s="31" t="s">
        <v>1107</v>
      </c>
      <c r="L30" s="39">
        <v>5053367172</v>
      </c>
      <c r="M30" s="31" t="s">
        <v>864</v>
      </c>
      <c r="N30" s="40" t="s">
        <v>18</v>
      </c>
      <c r="O30" s="40" t="s">
        <v>17</v>
      </c>
      <c r="P30" s="40" t="s">
        <v>17</v>
      </c>
      <c r="Q30" s="41" t="s">
        <v>17</v>
      </c>
      <c r="R30" s="40" t="s">
        <v>17</v>
      </c>
      <c r="S30" s="42" t="s">
        <v>17</v>
      </c>
    </row>
    <row r="31" spans="1:19" x14ac:dyDescent="0.3">
      <c r="A31" s="33" t="s">
        <v>12</v>
      </c>
      <c r="B31" s="43" t="s">
        <v>816</v>
      </c>
      <c r="C31" s="43">
        <v>70074665</v>
      </c>
      <c r="D31" s="33" t="s">
        <v>903</v>
      </c>
      <c r="E31" s="43">
        <v>-56</v>
      </c>
      <c r="F31" s="33" t="s">
        <v>896</v>
      </c>
      <c r="G31" s="43">
        <v>102</v>
      </c>
      <c r="H31" s="43">
        <v>250</v>
      </c>
      <c r="I31" s="43">
        <v>4511566008</v>
      </c>
      <c r="J31" s="44">
        <v>45638</v>
      </c>
      <c r="K31" s="33" t="s">
        <v>1107</v>
      </c>
      <c r="L31" s="45">
        <v>5053367172</v>
      </c>
      <c r="M31" s="33" t="s">
        <v>864</v>
      </c>
      <c r="N31" s="46" t="s">
        <v>18</v>
      </c>
      <c r="O31" s="46" t="s">
        <v>17</v>
      </c>
      <c r="P31" s="46" t="s">
        <v>17</v>
      </c>
      <c r="Q31" s="47" t="s">
        <v>17</v>
      </c>
      <c r="R31" s="46" t="s">
        <v>17</v>
      </c>
      <c r="S31" s="48" t="s">
        <v>17</v>
      </c>
    </row>
    <row r="32" spans="1:19" x14ac:dyDescent="0.3">
      <c r="A32" s="31" t="s">
        <v>12</v>
      </c>
      <c r="B32" s="37" t="s">
        <v>816</v>
      </c>
      <c r="C32" s="37">
        <v>70074665</v>
      </c>
      <c r="D32" s="31" t="s">
        <v>903</v>
      </c>
      <c r="E32" s="37">
        <v>-200</v>
      </c>
      <c r="F32" s="31" t="s">
        <v>896</v>
      </c>
      <c r="G32" s="37">
        <v>102</v>
      </c>
      <c r="H32" s="37">
        <v>260</v>
      </c>
      <c r="I32" s="37">
        <v>4511566008</v>
      </c>
      <c r="J32" s="38">
        <v>45638</v>
      </c>
      <c r="K32" s="31" t="s">
        <v>1107</v>
      </c>
      <c r="L32" s="39">
        <v>5053367172</v>
      </c>
      <c r="M32" s="31" t="s">
        <v>864</v>
      </c>
      <c r="N32" s="40" t="s">
        <v>18</v>
      </c>
      <c r="O32" s="40" t="s">
        <v>17</v>
      </c>
      <c r="P32" s="40" t="s">
        <v>17</v>
      </c>
      <c r="Q32" s="41" t="s">
        <v>17</v>
      </c>
      <c r="R32" s="40" t="s">
        <v>17</v>
      </c>
      <c r="S32" s="42" t="s">
        <v>17</v>
      </c>
    </row>
    <row r="33" spans="1:19" x14ac:dyDescent="0.3">
      <c r="A33" s="33" t="s">
        <v>12</v>
      </c>
      <c r="B33" s="43" t="s">
        <v>816</v>
      </c>
      <c r="C33" s="43">
        <v>70074793</v>
      </c>
      <c r="D33" s="33" t="s">
        <v>904</v>
      </c>
      <c r="E33" s="43">
        <v>-200</v>
      </c>
      <c r="F33" s="33" t="s">
        <v>13</v>
      </c>
      <c r="G33" s="43">
        <v>102</v>
      </c>
      <c r="H33" s="43">
        <v>330</v>
      </c>
      <c r="I33" s="43">
        <v>4511566008</v>
      </c>
      <c r="J33" s="44">
        <v>45638</v>
      </c>
      <c r="K33" s="33" t="s">
        <v>1107</v>
      </c>
      <c r="L33" s="45">
        <v>5053367172</v>
      </c>
      <c r="M33" s="33" t="s">
        <v>864</v>
      </c>
      <c r="N33" s="46" t="s">
        <v>18</v>
      </c>
      <c r="O33" s="46" t="s">
        <v>17</v>
      </c>
      <c r="P33" s="46" t="s">
        <v>17</v>
      </c>
      <c r="Q33" s="47" t="s">
        <v>17</v>
      </c>
      <c r="R33" s="46" t="s">
        <v>17</v>
      </c>
      <c r="S33" s="48" t="s">
        <v>17</v>
      </c>
    </row>
    <row r="34" spans="1:19" x14ac:dyDescent="0.3">
      <c r="A34" s="31" t="s">
        <v>12</v>
      </c>
      <c r="B34" s="37" t="s">
        <v>816</v>
      </c>
      <c r="C34" s="37">
        <v>70074793</v>
      </c>
      <c r="D34" s="31" t="s">
        <v>904</v>
      </c>
      <c r="E34" s="37">
        <v>-200</v>
      </c>
      <c r="F34" s="31" t="s">
        <v>13</v>
      </c>
      <c r="G34" s="37">
        <v>102</v>
      </c>
      <c r="H34" s="37">
        <v>320</v>
      </c>
      <c r="I34" s="37">
        <v>4511566008</v>
      </c>
      <c r="J34" s="38">
        <v>45638</v>
      </c>
      <c r="K34" s="31" t="s">
        <v>1107</v>
      </c>
      <c r="L34" s="39">
        <v>5053367172</v>
      </c>
      <c r="M34" s="31" t="s">
        <v>864</v>
      </c>
      <c r="N34" s="40" t="s">
        <v>18</v>
      </c>
      <c r="O34" s="40" t="s">
        <v>17</v>
      </c>
      <c r="P34" s="40" t="s">
        <v>17</v>
      </c>
      <c r="Q34" s="41" t="s">
        <v>17</v>
      </c>
      <c r="R34" s="40" t="s">
        <v>17</v>
      </c>
      <c r="S34" s="42" t="s">
        <v>17</v>
      </c>
    </row>
    <row r="35" spans="1:19" x14ac:dyDescent="0.3">
      <c r="A35" s="33" t="s">
        <v>12</v>
      </c>
      <c r="B35" s="43" t="s">
        <v>816</v>
      </c>
      <c r="C35" s="43">
        <v>70074793</v>
      </c>
      <c r="D35" s="33" t="s">
        <v>904</v>
      </c>
      <c r="E35" s="43">
        <v>-56</v>
      </c>
      <c r="F35" s="33" t="s">
        <v>13</v>
      </c>
      <c r="G35" s="43">
        <v>102</v>
      </c>
      <c r="H35" s="43">
        <v>310</v>
      </c>
      <c r="I35" s="43">
        <v>4511566008</v>
      </c>
      <c r="J35" s="44">
        <v>45638</v>
      </c>
      <c r="K35" s="33" t="s">
        <v>1107</v>
      </c>
      <c r="L35" s="45">
        <v>5053367172</v>
      </c>
      <c r="M35" s="33" t="s">
        <v>864</v>
      </c>
      <c r="N35" s="46" t="s">
        <v>18</v>
      </c>
      <c r="O35" s="46" t="s">
        <v>17</v>
      </c>
      <c r="P35" s="46" t="s">
        <v>17</v>
      </c>
      <c r="Q35" s="47" t="s">
        <v>17</v>
      </c>
      <c r="R35" s="46" t="s">
        <v>17</v>
      </c>
      <c r="S35" s="48" t="s">
        <v>17</v>
      </c>
    </row>
    <row r="36" spans="1:19" x14ac:dyDescent="0.3">
      <c r="A36" s="31" t="s">
        <v>12</v>
      </c>
      <c r="B36" s="37" t="s">
        <v>816</v>
      </c>
      <c r="C36" s="37">
        <v>70074794</v>
      </c>
      <c r="D36" s="31" t="s">
        <v>905</v>
      </c>
      <c r="E36" s="37">
        <v>-56</v>
      </c>
      <c r="F36" s="31" t="s">
        <v>13</v>
      </c>
      <c r="G36" s="37">
        <v>102</v>
      </c>
      <c r="H36" s="37">
        <v>370</v>
      </c>
      <c r="I36" s="37">
        <v>4511566008</v>
      </c>
      <c r="J36" s="38">
        <v>45638</v>
      </c>
      <c r="K36" s="31" t="s">
        <v>1107</v>
      </c>
      <c r="L36" s="39">
        <v>5053367172</v>
      </c>
      <c r="M36" s="31" t="s">
        <v>864</v>
      </c>
      <c r="N36" s="40" t="s">
        <v>18</v>
      </c>
      <c r="O36" s="40" t="s">
        <v>17</v>
      </c>
      <c r="P36" s="40" t="s">
        <v>17</v>
      </c>
      <c r="Q36" s="41" t="s">
        <v>17</v>
      </c>
      <c r="R36" s="40" t="s">
        <v>17</v>
      </c>
      <c r="S36" s="42" t="s">
        <v>17</v>
      </c>
    </row>
    <row r="37" spans="1:19" x14ac:dyDescent="0.3">
      <c r="A37" s="33" t="s">
        <v>12</v>
      </c>
      <c r="B37" s="43" t="s">
        <v>816</v>
      </c>
      <c r="C37" s="43">
        <v>70074794</v>
      </c>
      <c r="D37" s="33" t="s">
        <v>905</v>
      </c>
      <c r="E37" s="43">
        <v>-200</v>
      </c>
      <c r="F37" s="33" t="s">
        <v>13</v>
      </c>
      <c r="G37" s="43">
        <v>102</v>
      </c>
      <c r="H37" s="43">
        <v>380</v>
      </c>
      <c r="I37" s="43">
        <v>4511566008</v>
      </c>
      <c r="J37" s="44">
        <v>45638</v>
      </c>
      <c r="K37" s="33" t="s">
        <v>1107</v>
      </c>
      <c r="L37" s="45">
        <v>5053367172</v>
      </c>
      <c r="M37" s="33" t="s">
        <v>864</v>
      </c>
      <c r="N37" s="46" t="s">
        <v>18</v>
      </c>
      <c r="O37" s="46" t="s">
        <v>17</v>
      </c>
      <c r="P37" s="46" t="s">
        <v>17</v>
      </c>
      <c r="Q37" s="47" t="s">
        <v>17</v>
      </c>
      <c r="R37" s="46" t="s">
        <v>17</v>
      </c>
      <c r="S37" s="48" t="s">
        <v>17</v>
      </c>
    </row>
    <row r="38" spans="1:19" x14ac:dyDescent="0.3">
      <c r="A38" s="31" t="s">
        <v>12</v>
      </c>
      <c r="B38" s="37" t="s">
        <v>816</v>
      </c>
      <c r="C38" s="37">
        <v>70074794</v>
      </c>
      <c r="D38" s="31" t="s">
        <v>905</v>
      </c>
      <c r="E38" s="37">
        <v>-200</v>
      </c>
      <c r="F38" s="31" t="s">
        <v>13</v>
      </c>
      <c r="G38" s="37">
        <v>102</v>
      </c>
      <c r="H38" s="37">
        <v>390</v>
      </c>
      <c r="I38" s="37">
        <v>4511566008</v>
      </c>
      <c r="J38" s="38">
        <v>45638</v>
      </c>
      <c r="K38" s="31" t="s">
        <v>1107</v>
      </c>
      <c r="L38" s="39">
        <v>5053367172</v>
      </c>
      <c r="M38" s="31" t="s">
        <v>864</v>
      </c>
      <c r="N38" s="40" t="s">
        <v>18</v>
      </c>
      <c r="O38" s="40" t="s">
        <v>17</v>
      </c>
      <c r="P38" s="40" t="s">
        <v>17</v>
      </c>
      <c r="Q38" s="41" t="s">
        <v>17</v>
      </c>
      <c r="R38" s="40" t="s">
        <v>17</v>
      </c>
      <c r="S38" s="42" t="s">
        <v>17</v>
      </c>
    </row>
    <row r="39" spans="1:19" x14ac:dyDescent="0.3">
      <c r="A39" s="33" t="s">
        <v>12</v>
      </c>
      <c r="B39" s="43" t="s">
        <v>816</v>
      </c>
      <c r="C39" s="43">
        <v>70075794</v>
      </c>
      <c r="D39" s="33" t="s">
        <v>901</v>
      </c>
      <c r="E39" s="43">
        <v>-200</v>
      </c>
      <c r="F39" s="33" t="s">
        <v>13</v>
      </c>
      <c r="G39" s="43">
        <v>102</v>
      </c>
      <c r="H39" s="43">
        <v>450</v>
      </c>
      <c r="I39" s="43">
        <v>4511566008</v>
      </c>
      <c r="J39" s="44">
        <v>45638</v>
      </c>
      <c r="K39" s="33" t="s">
        <v>1107</v>
      </c>
      <c r="L39" s="45">
        <v>5053367172</v>
      </c>
      <c r="M39" s="33" t="s">
        <v>864</v>
      </c>
      <c r="N39" s="46" t="s">
        <v>18</v>
      </c>
      <c r="O39" s="46" t="s">
        <v>17</v>
      </c>
      <c r="P39" s="46" t="s">
        <v>17</v>
      </c>
      <c r="Q39" s="47" t="s">
        <v>17</v>
      </c>
      <c r="R39" s="46" t="s">
        <v>17</v>
      </c>
      <c r="S39" s="48" t="s">
        <v>17</v>
      </c>
    </row>
    <row r="40" spans="1:19" x14ac:dyDescent="0.3">
      <c r="A40" s="31" t="s">
        <v>12</v>
      </c>
      <c r="B40" s="37" t="s">
        <v>816</v>
      </c>
      <c r="C40" s="37">
        <v>70075794</v>
      </c>
      <c r="D40" s="31" t="s">
        <v>901</v>
      </c>
      <c r="E40" s="37">
        <v>-200</v>
      </c>
      <c r="F40" s="31" t="s">
        <v>13</v>
      </c>
      <c r="G40" s="37">
        <v>102</v>
      </c>
      <c r="H40" s="37">
        <v>440</v>
      </c>
      <c r="I40" s="37">
        <v>4511566008</v>
      </c>
      <c r="J40" s="38">
        <v>45638</v>
      </c>
      <c r="K40" s="31" t="s">
        <v>1107</v>
      </c>
      <c r="L40" s="39">
        <v>5053367172</v>
      </c>
      <c r="M40" s="31" t="s">
        <v>864</v>
      </c>
      <c r="N40" s="40" t="s">
        <v>18</v>
      </c>
      <c r="O40" s="40" t="s">
        <v>17</v>
      </c>
      <c r="P40" s="40" t="s">
        <v>17</v>
      </c>
      <c r="Q40" s="41" t="s">
        <v>17</v>
      </c>
      <c r="R40" s="40" t="s">
        <v>17</v>
      </c>
      <c r="S40" s="42" t="s">
        <v>17</v>
      </c>
    </row>
    <row r="41" spans="1:19" x14ac:dyDescent="0.3">
      <c r="A41" s="33" t="s">
        <v>12</v>
      </c>
      <c r="B41" s="43" t="s">
        <v>816</v>
      </c>
      <c r="C41" s="43">
        <v>70075794</v>
      </c>
      <c r="D41" s="33" t="s">
        <v>901</v>
      </c>
      <c r="E41" s="43">
        <v>-56</v>
      </c>
      <c r="F41" s="33" t="s">
        <v>13</v>
      </c>
      <c r="G41" s="43">
        <v>102</v>
      </c>
      <c r="H41" s="43">
        <v>430</v>
      </c>
      <c r="I41" s="43">
        <v>4511566008</v>
      </c>
      <c r="J41" s="44">
        <v>45638</v>
      </c>
      <c r="K41" s="33" t="s">
        <v>1107</v>
      </c>
      <c r="L41" s="45">
        <v>5053367172</v>
      </c>
      <c r="M41" s="33" t="s">
        <v>864</v>
      </c>
      <c r="N41" s="46" t="s">
        <v>18</v>
      </c>
      <c r="O41" s="46" t="s">
        <v>17</v>
      </c>
      <c r="P41" s="46" t="s">
        <v>17</v>
      </c>
      <c r="Q41" s="47" t="s">
        <v>17</v>
      </c>
      <c r="R41" s="46" t="s">
        <v>17</v>
      </c>
      <c r="S41" s="48" t="s">
        <v>17</v>
      </c>
    </row>
    <row r="42" spans="1:19" x14ac:dyDescent="0.3">
      <c r="A42" s="31" t="s">
        <v>12</v>
      </c>
      <c r="B42" s="37" t="s">
        <v>816</v>
      </c>
      <c r="C42" s="37">
        <v>70075796</v>
      </c>
      <c r="D42" s="31" t="s">
        <v>906</v>
      </c>
      <c r="E42" s="37">
        <v>-56</v>
      </c>
      <c r="F42" s="31" t="s">
        <v>13</v>
      </c>
      <c r="G42" s="37">
        <v>102</v>
      </c>
      <c r="H42" s="37">
        <v>490</v>
      </c>
      <c r="I42" s="37">
        <v>4511566008</v>
      </c>
      <c r="J42" s="38">
        <v>45638</v>
      </c>
      <c r="K42" s="31" t="s">
        <v>1107</v>
      </c>
      <c r="L42" s="39">
        <v>5053367172</v>
      </c>
      <c r="M42" s="31" t="s">
        <v>864</v>
      </c>
      <c r="N42" s="40" t="s">
        <v>18</v>
      </c>
      <c r="O42" s="40" t="s">
        <v>17</v>
      </c>
      <c r="P42" s="40" t="s">
        <v>17</v>
      </c>
      <c r="Q42" s="41" t="s">
        <v>17</v>
      </c>
      <c r="R42" s="40" t="s">
        <v>17</v>
      </c>
      <c r="S42" s="42" t="s">
        <v>17</v>
      </c>
    </row>
    <row r="43" spans="1:19" x14ac:dyDescent="0.3">
      <c r="A43" s="33" t="s">
        <v>12</v>
      </c>
      <c r="B43" s="43" t="s">
        <v>816</v>
      </c>
      <c r="C43" s="43">
        <v>70075796</v>
      </c>
      <c r="D43" s="33" t="s">
        <v>906</v>
      </c>
      <c r="E43" s="43">
        <v>-200</v>
      </c>
      <c r="F43" s="33" t="s">
        <v>13</v>
      </c>
      <c r="G43" s="43">
        <v>102</v>
      </c>
      <c r="H43" s="43">
        <v>500</v>
      </c>
      <c r="I43" s="43">
        <v>4511566008</v>
      </c>
      <c r="J43" s="44">
        <v>45638</v>
      </c>
      <c r="K43" s="33" t="s">
        <v>1107</v>
      </c>
      <c r="L43" s="45">
        <v>5053367172</v>
      </c>
      <c r="M43" s="33" t="s">
        <v>864</v>
      </c>
      <c r="N43" s="46" t="s">
        <v>18</v>
      </c>
      <c r="O43" s="46" t="s">
        <v>17</v>
      </c>
      <c r="P43" s="46" t="s">
        <v>17</v>
      </c>
      <c r="Q43" s="47" t="s">
        <v>17</v>
      </c>
      <c r="R43" s="46" t="s">
        <v>17</v>
      </c>
      <c r="S43" s="48" t="s">
        <v>17</v>
      </c>
    </row>
    <row r="44" spans="1:19" x14ac:dyDescent="0.3">
      <c r="A44" s="31" t="s">
        <v>12</v>
      </c>
      <c r="B44" s="37" t="s">
        <v>816</v>
      </c>
      <c r="C44" s="37">
        <v>70075796</v>
      </c>
      <c r="D44" s="31" t="s">
        <v>906</v>
      </c>
      <c r="E44" s="37">
        <v>-200</v>
      </c>
      <c r="F44" s="31" t="s">
        <v>13</v>
      </c>
      <c r="G44" s="37">
        <v>102</v>
      </c>
      <c r="H44" s="37">
        <v>510</v>
      </c>
      <c r="I44" s="37">
        <v>4511566008</v>
      </c>
      <c r="J44" s="38">
        <v>45638</v>
      </c>
      <c r="K44" s="31" t="s">
        <v>1107</v>
      </c>
      <c r="L44" s="39">
        <v>5053367172</v>
      </c>
      <c r="M44" s="31" t="s">
        <v>864</v>
      </c>
      <c r="N44" s="40" t="s">
        <v>18</v>
      </c>
      <c r="O44" s="40" t="s">
        <v>17</v>
      </c>
      <c r="P44" s="40" t="s">
        <v>17</v>
      </c>
      <c r="Q44" s="41" t="s">
        <v>17</v>
      </c>
      <c r="R44" s="40" t="s">
        <v>17</v>
      </c>
      <c r="S44" s="42" t="s">
        <v>17</v>
      </c>
    </row>
    <row r="45" spans="1:19" x14ac:dyDescent="0.3">
      <c r="A45" s="33" t="s">
        <v>12</v>
      </c>
      <c r="B45" s="43" t="s">
        <v>816</v>
      </c>
      <c r="C45" s="43">
        <v>70075797</v>
      </c>
      <c r="D45" s="33" t="s">
        <v>907</v>
      </c>
      <c r="E45" s="43">
        <v>-200</v>
      </c>
      <c r="F45" s="33" t="s">
        <v>13</v>
      </c>
      <c r="G45" s="43">
        <v>102</v>
      </c>
      <c r="H45" s="43">
        <v>560</v>
      </c>
      <c r="I45" s="43">
        <v>4511566008</v>
      </c>
      <c r="J45" s="44">
        <v>45638</v>
      </c>
      <c r="K45" s="33" t="s">
        <v>1107</v>
      </c>
      <c r="L45" s="45">
        <v>5053367172</v>
      </c>
      <c r="M45" s="33" t="s">
        <v>864</v>
      </c>
      <c r="N45" s="46" t="s">
        <v>18</v>
      </c>
      <c r="O45" s="46" t="s">
        <v>17</v>
      </c>
      <c r="P45" s="46" t="s">
        <v>17</v>
      </c>
      <c r="Q45" s="47" t="s">
        <v>17</v>
      </c>
      <c r="R45" s="46" t="s">
        <v>17</v>
      </c>
      <c r="S45" s="48" t="s">
        <v>17</v>
      </c>
    </row>
    <row r="46" spans="1:19" x14ac:dyDescent="0.3">
      <c r="A46" s="31" t="s">
        <v>12</v>
      </c>
      <c r="B46" s="37" t="s">
        <v>816</v>
      </c>
      <c r="C46" s="37">
        <v>70075797</v>
      </c>
      <c r="D46" s="31" t="s">
        <v>907</v>
      </c>
      <c r="E46" s="37">
        <v>-200</v>
      </c>
      <c r="F46" s="31" t="s">
        <v>13</v>
      </c>
      <c r="G46" s="37">
        <v>102</v>
      </c>
      <c r="H46" s="37">
        <v>570</v>
      </c>
      <c r="I46" s="37">
        <v>4511566008</v>
      </c>
      <c r="J46" s="38">
        <v>45638</v>
      </c>
      <c r="K46" s="31" t="s">
        <v>1107</v>
      </c>
      <c r="L46" s="39">
        <v>5053367172</v>
      </c>
      <c r="M46" s="31" t="s">
        <v>864</v>
      </c>
      <c r="N46" s="40" t="s">
        <v>18</v>
      </c>
      <c r="O46" s="40" t="s">
        <v>17</v>
      </c>
      <c r="P46" s="40" t="s">
        <v>17</v>
      </c>
      <c r="Q46" s="41" t="s">
        <v>17</v>
      </c>
      <c r="R46" s="40" t="s">
        <v>17</v>
      </c>
      <c r="S46" s="42" t="s">
        <v>17</v>
      </c>
    </row>
    <row r="47" spans="1:19" x14ac:dyDescent="0.3">
      <c r="A47" s="33" t="s">
        <v>12</v>
      </c>
      <c r="B47" s="43" t="s">
        <v>816</v>
      </c>
      <c r="C47" s="43">
        <v>70075797</v>
      </c>
      <c r="D47" s="33" t="s">
        <v>907</v>
      </c>
      <c r="E47" s="43">
        <v>-16</v>
      </c>
      <c r="F47" s="33" t="s">
        <v>13</v>
      </c>
      <c r="G47" s="43">
        <v>102</v>
      </c>
      <c r="H47" s="43">
        <v>580</v>
      </c>
      <c r="I47" s="43">
        <v>4511566008</v>
      </c>
      <c r="J47" s="44">
        <v>45638</v>
      </c>
      <c r="K47" s="33" t="s">
        <v>1107</v>
      </c>
      <c r="L47" s="45">
        <v>5053367172</v>
      </c>
      <c r="M47" s="33" t="s">
        <v>864</v>
      </c>
      <c r="N47" s="46" t="s">
        <v>18</v>
      </c>
      <c r="O47" s="46" t="s">
        <v>17</v>
      </c>
      <c r="P47" s="46" t="s">
        <v>17</v>
      </c>
      <c r="Q47" s="47" t="s">
        <v>17</v>
      </c>
      <c r="R47" s="46" t="s">
        <v>17</v>
      </c>
      <c r="S47" s="48" t="s">
        <v>17</v>
      </c>
    </row>
    <row r="48" spans="1:19" x14ac:dyDescent="0.3">
      <c r="A48" s="31" t="s">
        <v>12</v>
      </c>
      <c r="B48" s="37" t="s">
        <v>816</v>
      </c>
      <c r="C48" s="37">
        <v>70091212</v>
      </c>
      <c r="D48" s="31" t="s">
        <v>908</v>
      </c>
      <c r="E48" s="37">
        <v>-112</v>
      </c>
      <c r="F48" s="31" t="s">
        <v>13</v>
      </c>
      <c r="G48" s="37">
        <v>102</v>
      </c>
      <c r="H48" s="37">
        <v>610</v>
      </c>
      <c r="I48" s="37">
        <v>4511566008</v>
      </c>
      <c r="J48" s="38">
        <v>45638</v>
      </c>
      <c r="K48" s="31" t="s">
        <v>1107</v>
      </c>
      <c r="L48" s="39">
        <v>5053367172</v>
      </c>
      <c r="M48" s="31" t="s">
        <v>864</v>
      </c>
      <c r="N48" s="40" t="s">
        <v>18</v>
      </c>
      <c r="O48" s="40" t="s">
        <v>17</v>
      </c>
      <c r="P48" s="40" t="s">
        <v>17</v>
      </c>
      <c r="Q48" s="41" t="s">
        <v>17</v>
      </c>
      <c r="R48" s="40" t="s">
        <v>17</v>
      </c>
      <c r="S48" s="42" t="s">
        <v>17</v>
      </c>
    </row>
    <row r="49" spans="1:19" x14ac:dyDescent="0.3">
      <c r="A49" s="33" t="s">
        <v>12</v>
      </c>
      <c r="B49" s="43" t="s">
        <v>816</v>
      </c>
      <c r="C49" s="43">
        <v>70091212</v>
      </c>
      <c r="D49" s="33" t="s">
        <v>908</v>
      </c>
      <c r="E49" s="43">
        <v>-400</v>
      </c>
      <c r="F49" s="33" t="s">
        <v>13</v>
      </c>
      <c r="G49" s="43">
        <v>102</v>
      </c>
      <c r="H49" s="43">
        <v>620</v>
      </c>
      <c r="I49" s="43">
        <v>4511566008</v>
      </c>
      <c r="J49" s="44">
        <v>45638</v>
      </c>
      <c r="K49" s="33" t="s">
        <v>1107</v>
      </c>
      <c r="L49" s="45">
        <v>5053367172</v>
      </c>
      <c r="M49" s="33" t="s">
        <v>864</v>
      </c>
      <c r="N49" s="46" t="s">
        <v>18</v>
      </c>
      <c r="O49" s="46" t="s">
        <v>17</v>
      </c>
      <c r="P49" s="46" t="s">
        <v>17</v>
      </c>
      <c r="Q49" s="47" t="s">
        <v>17</v>
      </c>
      <c r="R49" s="46" t="s">
        <v>17</v>
      </c>
      <c r="S49" s="48" t="s">
        <v>17</v>
      </c>
    </row>
    <row r="50" spans="1:19" x14ac:dyDescent="0.3">
      <c r="A50" s="31" t="s">
        <v>12</v>
      </c>
      <c r="B50" s="37" t="s">
        <v>816</v>
      </c>
      <c r="C50" s="37">
        <v>70091212</v>
      </c>
      <c r="D50" s="31" t="s">
        <v>908</v>
      </c>
      <c r="E50" s="37">
        <v>-400</v>
      </c>
      <c r="F50" s="31" t="s">
        <v>13</v>
      </c>
      <c r="G50" s="37">
        <v>102</v>
      </c>
      <c r="H50" s="37">
        <v>630</v>
      </c>
      <c r="I50" s="37">
        <v>4511566008</v>
      </c>
      <c r="J50" s="38">
        <v>45638</v>
      </c>
      <c r="K50" s="31" t="s">
        <v>1107</v>
      </c>
      <c r="L50" s="39">
        <v>5053367172</v>
      </c>
      <c r="M50" s="31" t="s">
        <v>864</v>
      </c>
      <c r="N50" s="40" t="s">
        <v>18</v>
      </c>
      <c r="O50" s="40" t="s">
        <v>17</v>
      </c>
      <c r="P50" s="40" t="s">
        <v>17</v>
      </c>
      <c r="Q50" s="41" t="s">
        <v>17</v>
      </c>
      <c r="R50" s="40" t="s">
        <v>17</v>
      </c>
      <c r="S50" s="42" t="s">
        <v>17</v>
      </c>
    </row>
    <row r="51" spans="1:19" x14ac:dyDescent="0.3">
      <c r="A51" s="33" t="s">
        <v>12</v>
      </c>
      <c r="B51" s="43" t="s">
        <v>816</v>
      </c>
      <c r="C51" s="43">
        <v>70094260</v>
      </c>
      <c r="D51" s="33" t="s">
        <v>909</v>
      </c>
      <c r="E51" s="43">
        <v>-112</v>
      </c>
      <c r="F51" s="33" t="s">
        <v>13</v>
      </c>
      <c r="G51" s="43">
        <v>102</v>
      </c>
      <c r="H51" s="43">
        <v>670</v>
      </c>
      <c r="I51" s="43">
        <v>4511566008</v>
      </c>
      <c r="J51" s="44">
        <v>45638</v>
      </c>
      <c r="K51" s="33" t="s">
        <v>1107</v>
      </c>
      <c r="L51" s="45">
        <v>5053367172</v>
      </c>
      <c r="M51" s="33" t="s">
        <v>864</v>
      </c>
      <c r="N51" s="46" t="s">
        <v>18</v>
      </c>
      <c r="O51" s="46" t="s">
        <v>17</v>
      </c>
      <c r="P51" s="46" t="s">
        <v>17</v>
      </c>
      <c r="Q51" s="47" t="s">
        <v>17</v>
      </c>
      <c r="R51" s="46" t="s">
        <v>17</v>
      </c>
      <c r="S51" s="48" t="s">
        <v>17</v>
      </c>
    </row>
    <row r="52" spans="1:19" x14ac:dyDescent="0.3">
      <c r="A52" s="31" t="s">
        <v>12</v>
      </c>
      <c r="B52" s="37" t="s">
        <v>816</v>
      </c>
      <c r="C52" s="37">
        <v>70094260</v>
      </c>
      <c r="D52" s="31" t="s">
        <v>909</v>
      </c>
      <c r="E52" s="37">
        <v>-400</v>
      </c>
      <c r="F52" s="31" t="s">
        <v>13</v>
      </c>
      <c r="G52" s="37">
        <v>102</v>
      </c>
      <c r="H52" s="37">
        <v>680</v>
      </c>
      <c r="I52" s="37">
        <v>4511566008</v>
      </c>
      <c r="J52" s="38">
        <v>45638</v>
      </c>
      <c r="K52" s="31" t="s">
        <v>1107</v>
      </c>
      <c r="L52" s="39">
        <v>5053367172</v>
      </c>
      <c r="M52" s="31" t="s">
        <v>864</v>
      </c>
      <c r="N52" s="40" t="s">
        <v>18</v>
      </c>
      <c r="O52" s="40" t="s">
        <v>17</v>
      </c>
      <c r="P52" s="40" t="s">
        <v>17</v>
      </c>
      <c r="Q52" s="41" t="s">
        <v>17</v>
      </c>
      <c r="R52" s="40" t="s">
        <v>17</v>
      </c>
      <c r="S52" s="42" t="s">
        <v>17</v>
      </c>
    </row>
    <row r="53" spans="1:19" x14ac:dyDescent="0.3">
      <c r="A53" s="33" t="s">
        <v>12</v>
      </c>
      <c r="B53" s="43" t="s">
        <v>816</v>
      </c>
      <c r="C53" s="43">
        <v>70094260</v>
      </c>
      <c r="D53" s="33" t="s">
        <v>909</v>
      </c>
      <c r="E53" s="43">
        <v>-400</v>
      </c>
      <c r="F53" s="33" t="s">
        <v>13</v>
      </c>
      <c r="G53" s="43">
        <v>102</v>
      </c>
      <c r="H53" s="43">
        <v>690</v>
      </c>
      <c r="I53" s="43">
        <v>4511566008</v>
      </c>
      <c r="J53" s="44">
        <v>45638</v>
      </c>
      <c r="K53" s="33" t="s">
        <v>1107</v>
      </c>
      <c r="L53" s="45">
        <v>5053367172</v>
      </c>
      <c r="M53" s="33" t="s">
        <v>864</v>
      </c>
      <c r="N53" s="46" t="s">
        <v>18</v>
      </c>
      <c r="O53" s="46" t="s">
        <v>17</v>
      </c>
      <c r="P53" s="46" t="s">
        <v>17</v>
      </c>
      <c r="Q53" s="47" t="s">
        <v>17</v>
      </c>
      <c r="R53" s="46" t="s">
        <v>17</v>
      </c>
      <c r="S53" s="48" t="s">
        <v>17</v>
      </c>
    </row>
    <row r="54" spans="1:19" x14ac:dyDescent="0.3">
      <c r="A54" s="31" t="s">
        <v>12</v>
      </c>
      <c r="B54" s="37" t="s">
        <v>816</v>
      </c>
      <c r="C54" s="37">
        <v>70108274</v>
      </c>
      <c r="D54" s="31" t="s">
        <v>912</v>
      </c>
      <c r="E54" s="37">
        <v>-200</v>
      </c>
      <c r="F54" s="31" t="s">
        <v>13</v>
      </c>
      <c r="G54" s="37">
        <v>102</v>
      </c>
      <c r="H54" s="37">
        <v>810</v>
      </c>
      <c r="I54" s="37">
        <v>4511566008</v>
      </c>
      <c r="J54" s="38">
        <v>45638</v>
      </c>
      <c r="K54" s="31" t="s">
        <v>1107</v>
      </c>
      <c r="L54" s="39">
        <v>5053367172</v>
      </c>
      <c r="M54" s="31" t="s">
        <v>864</v>
      </c>
      <c r="N54" s="40" t="s">
        <v>18</v>
      </c>
      <c r="O54" s="40" t="s">
        <v>17</v>
      </c>
      <c r="P54" s="40" t="s">
        <v>17</v>
      </c>
      <c r="Q54" s="41" t="s">
        <v>17</v>
      </c>
      <c r="R54" s="40" t="s">
        <v>17</v>
      </c>
      <c r="S54" s="42" t="s">
        <v>17</v>
      </c>
    </row>
    <row r="55" spans="1:19" x14ac:dyDescent="0.3">
      <c r="A55" s="33" t="s">
        <v>12</v>
      </c>
      <c r="B55" s="43" t="s">
        <v>816</v>
      </c>
      <c r="C55" s="43">
        <v>70108274</v>
      </c>
      <c r="D55" s="33" t="s">
        <v>912</v>
      </c>
      <c r="E55" s="43">
        <v>-200</v>
      </c>
      <c r="F55" s="33" t="s">
        <v>13</v>
      </c>
      <c r="G55" s="43">
        <v>102</v>
      </c>
      <c r="H55" s="43">
        <v>800</v>
      </c>
      <c r="I55" s="43">
        <v>4511566008</v>
      </c>
      <c r="J55" s="44">
        <v>45638</v>
      </c>
      <c r="K55" s="33" t="s">
        <v>1107</v>
      </c>
      <c r="L55" s="45">
        <v>5053367172</v>
      </c>
      <c r="M55" s="33" t="s">
        <v>864</v>
      </c>
      <c r="N55" s="46" t="s">
        <v>18</v>
      </c>
      <c r="O55" s="46" t="s">
        <v>17</v>
      </c>
      <c r="P55" s="46" t="s">
        <v>17</v>
      </c>
      <c r="Q55" s="47" t="s">
        <v>17</v>
      </c>
      <c r="R55" s="46" t="s">
        <v>17</v>
      </c>
      <c r="S55" s="48" t="s">
        <v>17</v>
      </c>
    </row>
    <row r="56" spans="1:19" x14ac:dyDescent="0.3">
      <c r="A56" s="31" t="s">
        <v>12</v>
      </c>
      <c r="B56" s="37" t="s">
        <v>816</v>
      </c>
      <c r="C56" s="37">
        <v>70108274</v>
      </c>
      <c r="D56" s="31" t="s">
        <v>912</v>
      </c>
      <c r="E56" s="37">
        <v>-56</v>
      </c>
      <c r="F56" s="31" t="s">
        <v>13</v>
      </c>
      <c r="G56" s="37">
        <v>102</v>
      </c>
      <c r="H56" s="37">
        <v>790</v>
      </c>
      <c r="I56" s="37">
        <v>4511566008</v>
      </c>
      <c r="J56" s="38">
        <v>45638</v>
      </c>
      <c r="K56" s="31" t="s">
        <v>1107</v>
      </c>
      <c r="L56" s="39">
        <v>5053367172</v>
      </c>
      <c r="M56" s="31" t="s">
        <v>864</v>
      </c>
      <c r="N56" s="40" t="s">
        <v>18</v>
      </c>
      <c r="O56" s="40" t="s">
        <v>17</v>
      </c>
      <c r="P56" s="40" t="s">
        <v>17</v>
      </c>
      <c r="Q56" s="41" t="s">
        <v>17</v>
      </c>
      <c r="R56" s="40" t="s">
        <v>17</v>
      </c>
      <c r="S56" s="42" t="s">
        <v>17</v>
      </c>
    </row>
    <row r="57" spans="1:19" x14ac:dyDescent="0.3">
      <c r="A57" s="33" t="s">
        <v>12</v>
      </c>
      <c r="B57" s="43" t="s">
        <v>816</v>
      </c>
      <c r="C57" s="43">
        <v>70108276</v>
      </c>
      <c r="D57" s="33" t="s">
        <v>913</v>
      </c>
      <c r="E57" s="43">
        <v>-200</v>
      </c>
      <c r="F57" s="33" t="s">
        <v>13</v>
      </c>
      <c r="G57" s="43">
        <v>102</v>
      </c>
      <c r="H57" s="43">
        <v>870</v>
      </c>
      <c r="I57" s="43">
        <v>4511566008</v>
      </c>
      <c r="J57" s="44">
        <v>45638</v>
      </c>
      <c r="K57" s="33" t="s">
        <v>1107</v>
      </c>
      <c r="L57" s="45">
        <v>5053367172</v>
      </c>
      <c r="M57" s="33" t="s">
        <v>864</v>
      </c>
      <c r="N57" s="46" t="s">
        <v>18</v>
      </c>
      <c r="O57" s="46" t="s">
        <v>17</v>
      </c>
      <c r="P57" s="46" t="s">
        <v>17</v>
      </c>
      <c r="Q57" s="47" t="s">
        <v>17</v>
      </c>
      <c r="R57" s="46" t="s">
        <v>17</v>
      </c>
      <c r="S57" s="48" t="s">
        <v>17</v>
      </c>
    </row>
    <row r="58" spans="1:19" x14ac:dyDescent="0.3">
      <c r="A58" s="31" t="s">
        <v>12</v>
      </c>
      <c r="B58" s="37" t="s">
        <v>816</v>
      </c>
      <c r="C58" s="37">
        <v>70108276</v>
      </c>
      <c r="D58" s="31" t="s">
        <v>913</v>
      </c>
      <c r="E58" s="37">
        <v>-56</v>
      </c>
      <c r="F58" s="31" t="s">
        <v>13</v>
      </c>
      <c r="G58" s="37">
        <v>102</v>
      </c>
      <c r="H58" s="37">
        <v>860</v>
      </c>
      <c r="I58" s="37">
        <v>4511566008</v>
      </c>
      <c r="J58" s="38">
        <v>45638</v>
      </c>
      <c r="K58" s="31" t="s">
        <v>1107</v>
      </c>
      <c r="L58" s="39">
        <v>5053367172</v>
      </c>
      <c r="M58" s="31" t="s">
        <v>864</v>
      </c>
      <c r="N58" s="40" t="s">
        <v>18</v>
      </c>
      <c r="O58" s="40" t="s">
        <v>17</v>
      </c>
      <c r="P58" s="40" t="s">
        <v>17</v>
      </c>
      <c r="Q58" s="41" t="s">
        <v>17</v>
      </c>
      <c r="R58" s="40" t="s">
        <v>17</v>
      </c>
      <c r="S58" s="42" t="s">
        <v>17</v>
      </c>
    </row>
    <row r="59" spans="1:19" x14ac:dyDescent="0.3">
      <c r="A59" s="33" t="s">
        <v>12</v>
      </c>
      <c r="B59" s="43" t="s">
        <v>816</v>
      </c>
      <c r="C59" s="43">
        <v>70108276</v>
      </c>
      <c r="D59" s="33" t="s">
        <v>913</v>
      </c>
      <c r="E59" s="43">
        <v>-200</v>
      </c>
      <c r="F59" s="33" t="s">
        <v>13</v>
      </c>
      <c r="G59" s="43">
        <v>102</v>
      </c>
      <c r="H59" s="43">
        <v>880</v>
      </c>
      <c r="I59" s="43">
        <v>4511566008</v>
      </c>
      <c r="J59" s="44">
        <v>45638</v>
      </c>
      <c r="K59" s="33" t="s">
        <v>1107</v>
      </c>
      <c r="L59" s="45">
        <v>5053367172</v>
      </c>
      <c r="M59" s="33" t="s">
        <v>864</v>
      </c>
      <c r="N59" s="46" t="s">
        <v>18</v>
      </c>
      <c r="O59" s="46" t="s">
        <v>17</v>
      </c>
      <c r="P59" s="46" t="s">
        <v>17</v>
      </c>
      <c r="Q59" s="47" t="s">
        <v>17</v>
      </c>
      <c r="R59" s="46" t="s">
        <v>17</v>
      </c>
      <c r="S59" s="48" t="s">
        <v>17</v>
      </c>
    </row>
    <row r="60" spans="1:19" x14ac:dyDescent="0.3">
      <c r="A60" s="31" t="s">
        <v>12</v>
      </c>
      <c r="B60" s="37" t="s">
        <v>816</v>
      </c>
      <c r="C60" s="37">
        <v>70108331</v>
      </c>
      <c r="D60" s="31" t="s">
        <v>910</v>
      </c>
      <c r="E60" s="37">
        <v>-200</v>
      </c>
      <c r="F60" s="31" t="s">
        <v>13</v>
      </c>
      <c r="G60" s="37">
        <v>102</v>
      </c>
      <c r="H60" s="37">
        <v>930</v>
      </c>
      <c r="I60" s="37">
        <v>4511566008</v>
      </c>
      <c r="J60" s="38">
        <v>45638</v>
      </c>
      <c r="K60" s="31" t="s">
        <v>1107</v>
      </c>
      <c r="L60" s="39">
        <v>5053367172</v>
      </c>
      <c r="M60" s="31" t="s">
        <v>864</v>
      </c>
      <c r="N60" s="40" t="s">
        <v>18</v>
      </c>
      <c r="O60" s="40" t="s">
        <v>17</v>
      </c>
      <c r="P60" s="40" t="s">
        <v>17</v>
      </c>
      <c r="Q60" s="41" t="s">
        <v>17</v>
      </c>
      <c r="R60" s="40" t="s">
        <v>17</v>
      </c>
      <c r="S60" s="42" t="s">
        <v>17</v>
      </c>
    </row>
    <row r="61" spans="1:19" x14ac:dyDescent="0.3">
      <c r="A61" s="33" t="s">
        <v>12</v>
      </c>
      <c r="B61" s="43" t="s">
        <v>816</v>
      </c>
      <c r="C61" s="43">
        <v>70108331</v>
      </c>
      <c r="D61" s="33" t="s">
        <v>910</v>
      </c>
      <c r="E61" s="43">
        <v>-200</v>
      </c>
      <c r="F61" s="33" t="s">
        <v>13</v>
      </c>
      <c r="G61" s="43">
        <v>102</v>
      </c>
      <c r="H61" s="43">
        <v>940</v>
      </c>
      <c r="I61" s="43">
        <v>4511566008</v>
      </c>
      <c r="J61" s="44">
        <v>45638</v>
      </c>
      <c r="K61" s="33" t="s">
        <v>1107</v>
      </c>
      <c r="L61" s="45">
        <v>5053367172</v>
      </c>
      <c r="M61" s="33" t="s">
        <v>864</v>
      </c>
      <c r="N61" s="46" t="s">
        <v>18</v>
      </c>
      <c r="O61" s="46" t="s">
        <v>17</v>
      </c>
      <c r="P61" s="46" t="s">
        <v>17</v>
      </c>
      <c r="Q61" s="47" t="s">
        <v>17</v>
      </c>
      <c r="R61" s="46" t="s">
        <v>17</v>
      </c>
      <c r="S61" s="48" t="s">
        <v>17</v>
      </c>
    </row>
    <row r="62" spans="1:19" x14ac:dyDescent="0.3">
      <c r="A62" s="31" t="s">
        <v>12</v>
      </c>
      <c r="B62" s="37" t="s">
        <v>816</v>
      </c>
      <c r="C62" s="37">
        <v>70108331</v>
      </c>
      <c r="D62" s="31" t="s">
        <v>910</v>
      </c>
      <c r="E62" s="37">
        <v>-56</v>
      </c>
      <c r="F62" s="31" t="s">
        <v>13</v>
      </c>
      <c r="G62" s="37">
        <v>102</v>
      </c>
      <c r="H62" s="37">
        <v>920</v>
      </c>
      <c r="I62" s="37">
        <v>4511566008</v>
      </c>
      <c r="J62" s="38">
        <v>45638</v>
      </c>
      <c r="K62" s="31" t="s">
        <v>1107</v>
      </c>
      <c r="L62" s="39">
        <v>5053367172</v>
      </c>
      <c r="M62" s="31" t="s">
        <v>864</v>
      </c>
      <c r="N62" s="40" t="s">
        <v>18</v>
      </c>
      <c r="O62" s="40" t="s">
        <v>17</v>
      </c>
      <c r="P62" s="40" t="s">
        <v>17</v>
      </c>
      <c r="Q62" s="41" t="s">
        <v>17</v>
      </c>
      <c r="R62" s="40" t="s">
        <v>17</v>
      </c>
      <c r="S62" s="42" t="s">
        <v>17</v>
      </c>
    </row>
    <row r="63" spans="1:19" x14ac:dyDescent="0.3">
      <c r="A63" s="33" t="s">
        <v>12</v>
      </c>
      <c r="B63" s="43" t="s">
        <v>816</v>
      </c>
      <c r="C63" s="43">
        <v>70108379</v>
      </c>
      <c r="D63" s="33" t="s">
        <v>914</v>
      </c>
      <c r="E63" s="43">
        <v>-112</v>
      </c>
      <c r="F63" s="33" t="s">
        <v>13</v>
      </c>
      <c r="G63" s="43">
        <v>102</v>
      </c>
      <c r="H63" s="43">
        <v>980</v>
      </c>
      <c r="I63" s="43">
        <v>4511566008</v>
      </c>
      <c r="J63" s="44">
        <v>45638</v>
      </c>
      <c r="K63" s="33" t="s">
        <v>1107</v>
      </c>
      <c r="L63" s="45">
        <v>5053367172</v>
      </c>
      <c r="M63" s="33" t="s">
        <v>864</v>
      </c>
      <c r="N63" s="46" t="s">
        <v>18</v>
      </c>
      <c r="O63" s="46" t="s">
        <v>17</v>
      </c>
      <c r="P63" s="46" t="s">
        <v>17</v>
      </c>
      <c r="Q63" s="47" t="s">
        <v>17</v>
      </c>
      <c r="R63" s="46" t="s">
        <v>17</v>
      </c>
      <c r="S63" s="48" t="s">
        <v>17</v>
      </c>
    </row>
    <row r="64" spans="1:19" x14ac:dyDescent="0.3">
      <c r="A64" s="31" t="s">
        <v>12</v>
      </c>
      <c r="B64" s="37" t="s">
        <v>816</v>
      </c>
      <c r="C64" s="37">
        <v>70108379</v>
      </c>
      <c r="D64" s="31" t="s">
        <v>914</v>
      </c>
      <c r="E64" s="37">
        <v>-400</v>
      </c>
      <c r="F64" s="31" t="s">
        <v>13</v>
      </c>
      <c r="G64" s="37">
        <v>102</v>
      </c>
      <c r="H64" s="37">
        <v>990</v>
      </c>
      <c r="I64" s="37">
        <v>4511566008</v>
      </c>
      <c r="J64" s="38">
        <v>45638</v>
      </c>
      <c r="K64" s="31" t="s">
        <v>1107</v>
      </c>
      <c r="L64" s="39">
        <v>5053367172</v>
      </c>
      <c r="M64" s="31" t="s">
        <v>864</v>
      </c>
      <c r="N64" s="40" t="s">
        <v>18</v>
      </c>
      <c r="O64" s="40" t="s">
        <v>17</v>
      </c>
      <c r="P64" s="40" t="s">
        <v>17</v>
      </c>
      <c r="Q64" s="41" t="s">
        <v>17</v>
      </c>
      <c r="R64" s="40" t="s">
        <v>17</v>
      </c>
      <c r="S64" s="42" t="s">
        <v>17</v>
      </c>
    </row>
    <row r="65" spans="1:19" x14ac:dyDescent="0.3">
      <c r="A65" s="33" t="s">
        <v>12</v>
      </c>
      <c r="B65" s="43" t="s">
        <v>816</v>
      </c>
      <c r="C65" s="43">
        <v>70108379</v>
      </c>
      <c r="D65" s="33" t="s">
        <v>914</v>
      </c>
      <c r="E65" s="43">
        <v>-400</v>
      </c>
      <c r="F65" s="33" t="s">
        <v>13</v>
      </c>
      <c r="G65" s="43">
        <v>102</v>
      </c>
      <c r="H65" s="43">
        <v>1000</v>
      </c>
      <c r="I65" s="43">
        <v>4511566008</v>
      </c>
      <c r="J65" s="44">
        <v>45638</v>
      </c>
      <c r="K65" s="33" t="s">
        <v>1107</v>
      </c>
      <c r="L65" s="45">
        <v>5053367172</v>
      </c>
      <c r="M65" s="33" t="s">
        <v>864</v>
      </c>
      <c r="N65" s="46" t="s">
        <v>18</v>
      </c>
      <c r="O65" s="46" t="s">
        <v>17</v>
      </c>
      <c r="P65" s="46" t="s">
        <v>17</v>
      </c>
      <c r="Q65" s="47" t="s">
        <v>17</v>
      </c>
      <c r="R65" s="46" t="s">
        <v>17</v>
      </c>
      <c r="S65" s="48" t="s">
        <v>17</v>
      </c>
    </row>
    <row r="66" spans="1:19" x14ac:dyDescent="0.3">
      <c r="A66" s="30" t="s">
        <v>12</v>
      </c>
      <c r="B66" s="37" t="s">
        <v>816</v>
      </c>
      <c r="C66" s="37">
        <v>70074663</v>
      </c>
      <c r="D66" s="31" t="s">
        <v>1020</v>
      </c>
      <c r="E66" s="37">
        <v>260</v>
      </c>
      <c r="F66" s="31" t="s">
        <v>13</v>
      </c>
      <c r="G66" s="37">
        <v>101</v>
      </c>
      <c r="H66" s="37">
        <v>240</v>
      </c>
      <c r="I66" s="37">
        <v>4511566008</v>
      </c>
      <c r="J66" s="38">
        <v>45657</v>
      </c>
      <c r="K66" s="31" t="s">
        <v>1000</v>
      </c>
      <c r="L66" s="39">
        <v>5053382727</v>
      </c>
      <c r="M66" s="31" t="s">
        <v>866</v>
      </c>
      <c r="N66" s="40" t="s">
        <v>18</v>
      </c>
      <c r="O66" s="40" t="s">
        <v>17</v>
      </c>
      <c r="P66" s="40" t="s">
        <v>17</v>
      </c>
      <c r="Q66" s="41" t="s">
        <v>17</v>
      </c>
      <c r="R66" s="40" t="s">
        <v>17</v>
      </c>
      <c r="S66" s="42" t="s">
        <v>17</v>
      </c>
    </row>
    <row r="67" spans="1:19" x14ac:dyDescent="0.3">
      <c r="A67" s="32" t="s">
        <v>12</v>
      </c>
      <c r="B67" s="43" t="s">
        <v>816</v>
      </c>
      <c r="C67" s="43">
        <v>70074663</v>
      </c>
      <c r="D67" s="33" t="s">
        <v>1020</v>
      </c>
      <c r="E67" s="43">
        <v>4</v>
      </c>
      <c r="F67" s="33" t="s">
        <v>13</v>
      </c>
      <c r="G67" s="43">
        <v>101</v>
      </c>
      <c r="H67" s="43">
        <v>220</v>
      </c>
      <c r="I67" s="43">
        <v>4511566008</v>
      </c>
      <c r="J67" s="44">
        <v>45657</v>
      </c>
      <c r="K67" s="33" t="s">
        <v>1000</v>
      </c>
      <c r="L67" s="45">
        <v>5053382727</v>
      </c>
      <c r="M67" s="33" t="s">
        <v>866</v>
      </c>
      <c r="N67" s="46" t="s">
        <v>18</v>
      </c>
      <c r="O67" s="46" t="s">
        <v>17</v>
      </c>
      <c r="P67" s="46" t="s">
        <v>17</v>
      </c>
      <c r="Q67" s="47" t="s">
        <v>17</v>
      </c>
      <c r="R67" s="46" t="s">
        <v>17</v>
      </c>
      <c r="S67" s="48" t="s">
        <v>17</v>
      </c>
    </row>
    <row r="68" spans="1:19" x14ac:dyDescent="0.3">
      <c r="A68" s="30" t="s">
        <v>12</v>
      </c>
      <c r="B68" s="37" t="s">
        <v>816</v>
      </c>
      <c r="C68" s="37">
        <v>72008981</v>
      </c>
      <c r="D68" s="31" t="s">
        <v>872</v>
      </c>
      <c r="E68" s="37">
        <v>112</v>
      </c>
      <c r="F68" s="31" t="s">
        <v>13</v>
      </c>
      <c r="G68" s="37">
        <v>101</v>
      </c>
      <c r="H68" s="37">
        <v>10</v>
      </c>
      <c r="I68" s="37">
        <v>4511571485</v>
      </c>
      <c r="J68" s="38">
        <v>45629</v>
      </c>
      <c r="K68" s="31" t="s">
        <v>1097</v>
      </c>
      <c r="L68" s="39">
        <v>5053358682</v>
      </c>
      <c r="M68" s="31" t="s">
        <v>866</v>
      </c>
      <c r="N68" s="40" t="s">
        <v>37</v>
      </c>
      <c r="O68" s="40" t="s">
        <v>17</v>
      </c>
      <c r="P68" s="40" t="s">
        <v>17</v>
      </c>
      <c r="Q68" s="41" t="s">
        <v>17</v>
      </c>
      <c r="R68" s="40" t="s">
        <v>17</v>
      </c>
      <c r="S68" s="42" t="s">
        <v>17</v>
      </c>
    </row>
    <row r="69" spans="1:19" x14ac:dyDescent="0.3">
      <c r="A69" s="32" t="s">
        <v>12</v>
      </c>
      <c r="B69" s="43" t="s">
        <v>816</v>
      </c>
      <c r="C69" s="43">
        <v>72008981</v>
      </c>
      <c r="D69" s="33" t="s">
        <v>872</v>
      </c>
      <c r="E69" s="43">
        <v>400</v>
      </c>
      <c r="F69" s="33" t="s">
        <v>13</v>
      </c>
      <c r="G69" s="43">
        <v>101</v>
      </c>
      <c r="H69" s="43">
        <v>20</v>
      </c>
      <c r="I69" s="43">
        <v>4511571485</v>
      </c>
      <c r="J69" s="44">
        <v>45629</v>
      </c>
      <c r="K69" s="33" t="s">
        <v>1097</v>
      </c>
      <c r="L69" s="45">
        <v>5053358682</v>
      </c>
      <c r="M69" s="33" t="s">
        <v>866</v>
      </c>
      <c r="N69" s="46" t="s">
        <v>37</v>
      </c>
      <c r="O69" s="46" t="s">
        <v>17</v>
      </c>
      <c r="P69" s="46" t="s">
        <v>17</v>
      </c>
      <c r="Q69" s="47" t="s">
        <v>17</v>
      </c>
      <c r="R69" s="46" t="s">
        <v>17</v>
      </c>
      <c r="S69" s="48" t="s">
        <v>17</v>
      </c>
    </row>
    <row r="70" spans="1:19" x14ac:dyDescent="0.3">
      <c r="A70" s="31" t="s">
        <v>12</v>
      </c>
      <c r="B70" s="37" t="s">
        <v>816</v>
      </c>
      <c r="C70" s="37">
        <v>72008981</v>
      </c>
      <c r="D70" s="31" t="s">
        <v>872</v>
      </c>
      <c r="E70" s="37">
        <v>400</v>
      </c>
      <c r="F70" s="31" t="s">
        <v>13</v>
      </c>
      <c r="G70" s="37">
        <v>101</v>
      </c>
      <c r="H70" s="37">
        <v>30</v>
      </c>
      <c r="I70" s="37">
        <v>4511571485</v>
      </c>
      <c r="J70" s="38">
        <v>45629</v>
      </c>
      <c r="K70" s="31" t="s">
        <v>1097</v>
      </c>
      <c r="L70" s="39">
        <v>5053358682</v>
      </c>
      <c r="M70" s="31" t="s">
        <v>866</v>
      </c>
      <c r="N70" s="40" t="s">
        <v>37</v>
      </c>
      <c r="O70" s="40" t="s">
        <v>17</v>
      </c>
      <c r="P70" s="40" t="s">
        <v>17</v>
      </c>
      <c r="Q70" s="41" t="s">
        <v>17</v>
      </c>
      <c r="R70" s="40" t="s">
        <v>17</v>
      </c>
      <c r="S70" s="42" t="s">
        <v>17</v>
      </c>
    </row>
    <row r="71" spans="1:19" x14ac:dyDescent="0.3">
      <c r="A71" s="32" t="s">
        <v>12</v>
      </c>
      <c r="B71" s="43" t="s">
        <v>816</v>
      </c>
      <c r="C71" s="43">
        <v>701439</v>
      </c>
      <c r="D71" s="33" t="s">
        <v>957</v>
      </c>
      <c r="E71" s="43">
        <v>1</v>
      </c>
      <c r="F71" s="33" t="s">
        <v>13</v>
      </c>
      <c r="G71" s="43">
        <v>101</v>
      </c>
      <c r="H71" s="43">
        <v>60</v>
      </c>
      <c r="I71" s="43">
        <v>4511574235</v>
      </c>
      <c r="J71" s="44">
        <v>45667</v>
      </c>
      <c r="K71" s="33" t="s">
        <v>959</v>
      </c>
      <c r="L71" s="45">
        <v>5053389586</v>
      </c>
      <c r="M71" s="33" t="s">
        <v>863</v>
      </c>
      <c r="N71" s="46" t="s">
        <v>20</v>
      </c>
      <c r="O71" s="46" t="s">
        <v>290</v>
      </c>
      <c r="P71" s="46" t="s">
        <v>22</v>
      </c>
      <c r="Q71" s="47">
        <v>45672</v>
      </c>
      <c r="R71" s="46" t="s">
        <v>48</v>
      </c>
      <c r="S71" s="48" t="s">
        <v>17</v>
      </c>
    </row>
    <row r="72" spans="1:19" x14ac:dyDescent="0.3">
      <c r="A72" s="30" t="s">
        <v>12</v>
      </c>
      <c r="B72" s="37" t="s">
        <v>816</v>
      </c>
      <c r="C72" s="37">
        <v>887595</v>
      </c>
      <c r="D72" s="31" t="s">
        <v>942</v>
      </c>
      <c r="E72" s="37">
        <v>4</v>
      </c>
      <c r="F72" s="31" t="s">
        <v>13</v>
      </c>
      <c r="G72" s="37">
        <v>101</v>
      </c>
      <c r="H72" s="37">
        <v>40</v>
      </c>
      <c r="I72" s="37">
        <v>4511573077</v>
      </c>
      <c r="J72" s="38">
        <v>45652</v>
      </c>
      <c r="K72" s="31" t="s">
        <v>1025</v>
      </c>
      <c r="L72" s="39">
        <v>5053378204</v>
      </c>
      <c r="M72" s="31" t="s">
        <v>863</v>
      </c>
      <c r="N72" s="40" t="s">
        <v>20</v>
      </c>
      <c r="O72" s="40" t="s">
        <v>17</v>
      </c>
      <c r="P72" s="40" t="s">
        <v>17</v>
      </c>
      <c r="Q72" s="41" t="s">
        <v>17</v>
      </c>
      <c r="R72" s="40" t="s">
        <v>17</v>
      </c>
      <c r="S72" s="42" t="s">
        <v>17</v>
      </c>
    </row>
    <row r="73" spans="1:19" x14ac:dyDescent="0.3">
      <c r="A73" s="32" t="s">
        <v>12</v>
      </c>
      <c r="B73" s="43" t="s">
        <v>816</v>
      </c>
      <c r="C73" s="43">
        <v>70017132</v>
      </c>
      <c r="D73" s="33" t="s">
        <v>945</v>
      </c>
      <c r="E73" s="43">
        <v>72</v>
      </c>
      <c r="F73" s="33" t="s">
        <v>13</v>
      </c>
      <c r="G73" s="43">
        <v>101</v>
      </c>
      <c r="H73" s="43">
        <v>20</v>
      </c>
      <c r="I73" s="43">
        <v>4511573077</v>
      </c>
      <c r="J73" s="44">
        <v>45652</v>
      </c>
      <c r="K73" s="33" t="s">
        <v>1025</v>
      </c>
      <c r="L73" s="45">
        <v>5053378204</v>
      </c>
      <c r="M73" s="33" t="s">
        <v>863</v>
      </c>
      <c r="N73" s="46" t="s">
        <v>20</v>
      </c>
      <c r="O73" s="46" t="s">
        <v>17</v>
      </c>
      <c r="P73" s="46" t="s">
        <v>17</v>
      </c>
      <c r="Q73" s="47" t="s">
        <v>17</v>
      </c>
      <c r="R73" s="46" t="s">
        <v>17</v>
      </c>
      <c r="S73" s="48" t="s">
        <v>17</v>
      </c>
    </row>
    <row r="74" spans="1:19" x14ac:dyDescent="0.3">
      <c r="A74" s="31" t="s">
        <v>12</v>
      </c>
      <c r="B74" s="37" t="s">
        <v>816</v>
      </c>
      <c r="C74" s="37">
        <v>70017133</v>
      </c>
      <c r="D74" s="31" t="s">
        <v>1026</v>
      </c>
      <c r="E74" s="37">
        <v>96</v>
      </c>
      <c r="F74" s="31" t="s">
        <v>13</v>
      </c>
      <c r="G74" s="37">
        <v>101</v>
      </c>
      <c r="H74" s="37">
        <v>30</v>
      </c>
      <c r="I74" s="37">
        <v>4511573077</v>
      </c>
      <c r="J74" s="38">
        <v>45652</v>
      </c>
      <c r="K74" s="31" t="s">
        <v>1025</v>
      </c>
      <c r="L74" s="39">
        <v>5053378204</v>
      </c>
      <c r="M74" s="31" t="s">
        <v>863</v>
      </c>
      <c r="N74" s="40" t="s">
        <v>20</v>
      </c>
      <c r="O74" s="40" t="s">
        <v>17</v>
      </c>
      <c r="P74" s="40" t="s">
        <v>17</v>
      </c>
      <c r="Q74" s="41" t="s">
        <v>17</v>
      </c>
      <c r="R74" s="40" t="s">
        <v>17</v>
      </c>
      <c r="S74" s="42" t="s">
        <v>17</v>
      </c>
    </row>
    <row r="75" spans="1:19" x14ac:dyDescent="0.3">
      <c r="A75" s="33" t="s">
        <v>12</v>
      </c>
      <c r="B75" s="43" t="s">
        <v>816</v>
      </c>
      <c r="C75" s="43" t="s">
        <v>1027</v>
      </c>
      <c r="D75" s="33" t="s">
        <v>1028</v>
      </c>
      <c r="E75" s="43">
        <v>96</v>
      </c>
      <c r="F75" s="33" t="s">
        <v>13</v>
      </c>
      <c r="G75" s="43">
        <v>101</v>
      </c>
      <c r="H75" s="43">
        <v>10</v>
      </c>
      <c r="I75" s="43">
        <v>4511573077</v>
      </c>
      <c r="J75" s="44">
        <v>45652</v>
      </c>
      <c r="K75" s="33" t="s">
        <v>1025</v>
      </c>
      <c r="L75" s="45">
        <v>5053378204</v>
      </c>
      <c r="M75" s="33" t="s">
        <v>863</v>
      </c>
      <c r="N75" s="46" t="s">
        <v>20</v>
      </c>
      <c r="O75" s="46" t="s">
        <v>17</v>
      </c>
      <c r="P75" s="46" t="s">
        <v>17</v>
      </c>
      <c r="Q75" s="47" t="s">
        <v>17</v>
      </c>
      <c r="R75" s="46" t="s">
        <v>17</v>
      </c>
      <c r="S75" s="48" t="s">
        <v>17</v>
      </c>
    </row>
    <row r="76" spans="1:19" x14ac:dyDescent="0.3">
      <c r="A76" s="30" t="s">
        <v>12</v>
      </c>
      <c r="B76" s="37" t="s">
        <v>816</v>
      </c>
      <c r="C76" s="37">
        <v>70074657</v>
      </c>
      <c r="D76" s="31" t="s">
        <v>899</v>
      </c>
      <c r="E76" s="37">
        <v>456</v>
      </c>
      <c r="F76" s="31" t="s">
        <v>871</v>
      </c>
      <c r="G76" s="37">
        <v>101</v>
      </c>
      <c r="H76" s="37">
        <v>110</v>
      </c>
      <c r="I76" s="37">
        <v>4511566008</v>
      </c>
      <c r="J76" s="38">
        <v>45642</v>
      </c>
      <c r="K76" s="31" t="s">
        <v>1061</v>
      </c>
      <c r="L76" s="39">
        <v>5053371845</v>
      </c>
      <c r="M76" s="31" t="s">
        <v>863</v>
      </c>
      <c r="N76" s="40" t="s">
        <v>18</v>
      </c>
      <c r="O76" s="40" t="s">
        <v>17</v>
      </c>
      <c r="P76" s="40" t="s">
        <v>17</v>
      </c>
      <c r="Q76" s="41" t="s">
        <v>17</v>
      </c>
      <c r="R76" s="40" t="s">
        <v>17</v>
      </c>
      <c r="S76" s="42" t="s">
        <v>17</v>
      </c>
    </row>
    <row r="77" spans="1:19" x14ac:dyDescent="0.3">
      <c r="A77" s="32" t="s">
        <v>12</v>
      </c>
      <c r="B77" s="43" t="s">
        <v>816</v>
      </c>
      <c r="C77" s="43">
        <v>70074662</v>
      </c>
      <c r="D77" s="33" t="s">
        <v>902</v>
      </c>
      <c r="E77" s="43">
        <v>456</v>
      </c>
      <c r="F77" s="33" t="s">
        <v>13</v>
      </c>
      <c r="G77" s="43">
        <v>101</v>
      </c>
      <c r="H77" s="43">
        <v>170</v>
      </c>
      <c r="I77" s="43">
        <v>4511566008</v>
      </c>
      <c r="J77" s="44">
        <v>45642</v>
      </c>
      <c r="K77" s="33" t="s">
        <v>1061</v>
      </c>
      <c r="L77" s="45">
        <v>5053371845</v>
      </c>
      <c r="M77" s="33" t="s">
        <v>863</v>
      </c>
      <c r="N77" s="46" t="s">
        <v>18</v>
      </c>
      <c r="O77" s="46" t="s">
        <v>17</v>
      </c>
      <c r="P77" s="46" t="s">
        <v>17</v>
      </c>
      <c r="Q77" s="47" t="s">
        <v>17</v>
      </c>
      <c r="R77" s="46" t="s">
        <v>17</v>
      </c>
      <c r="S77" s="48" t="s">
        <v>17</v>
      </c>
    </row>
    <row r="78" spans="1:19" x14ac:dyDescent="0.3">
      <c r="A78" s="31" t="s">
        <v>12</v>
      </c>
      <c r="B78" s="37" t="s">
        <v>816</v>
      </c>
      <c r="C78" s="37">
        <v>70074665</v>
      </c>
      <c r="D78" s="31" t="s">
        <v>903</v>
      </c>
      <c r="E78" s="37">
        <v>456</v>
      </c>
      <c r="F78" s="31" t="s">
        <v>896</v>
      </c>
      <c r="G78" s="37">
        <v>101</v>
      </c>
      <c r="H78" s="37">
        <v>290</v>
      </c>
      <c r="I78" s="37">
        <v>4511566008</v>
      </c>
      <c r="J78" s="38">
        <v>45642</v>
      </c>
      <c r="K78" s="31" t="s">
        <v>1061</v>
      </c>
      <c r="L78" s="39">
        <v>5053371845</v>
      </c>
      <c r="M78" s="31" t="s">
        <v>863</v>
      </c>
      <c r="N78" s="40" t="s">
        <v>18</v>
      </c>
      <c r="O78" s="40" t="s">
        <v>17</v>
      </c>
      <c r="P78" s="40" t="s">
        <v>17</v>
      </c>
      <c r="Q78" s="41" t="s">
        <v>17</v>
      </c>
      <c r="R78" s="40" t="s">
        <v>17</v>
      </c>
      <c r="S78" s="42" t="s">
        <v>17</v>
      </c>
    </row>
    <row r="79" spans="1:19" x14ac:dyDescent="0.3">
      <c r="A79" s="33" t="s">
        <v>12</v>
      </c>
      <c r="B79" s="43" t="s">
        <v>816</v>
      </c>
      <c r="C79" s="43">
        <v>70074793</v>
      </c>
      <c r="D79" s="33" t="s">
        <v>904</v>
      </c>
      <c r="E79" s="43">
        <v>456</v>
      </c>
      <c r="F79" s="33" t="s">
        <v>13</v>
      </c>
      <c r="G79" s="43">
        <v>101</v>
      </c>
      <c r="H79" s="43">
        <v>350</v>
      </c>
      <c r="I79" s="43">
        <v>4511566008</v>
      </c>
      <c r="J79" s="44">
        <v>45642</v>
      </c>
      <c r="K79" s="33" t="s">
        <v>1061</v>
      </c>
      <c r="L79" s="45">
        <v>5053371845</v>
      </c>
      <c r="M79" s="33" t="s">
        <v>863</v>
      </c>
      <c r="N79" s="46" t="s">
        <v>18</v>
      </c>
      <c r="O79" s="46" t="s">
        <v>17</v>
      </c>
      <c r="P79" s="46" t="s">
        <v>17</v>
      </c>
      <c r="Q79" s="47" t="s">
        <v>17</v>
      </c>
      <c r="R79" s="46" t="s">
        <v>17</v>
      </c>
      <c r="S79" s="48" t="s">
        <v>17</v>
      </c>
    </row>
    <row r="80" spans="1:19" x14ac:dyDescent="0.3">
      <c r="A80" s="31" t="s">
        <v>12</v>
      </c>
      <c r="B80" s="37" t="s">
        <v>816</v>
      </c>
      <c r="C80" s="37">
        <v>70074794</v>
      </c>
      <c r="D80" s="31" t="s">
        <v>905</v>
      </c>
      <c r="E80" s="37">
        <v>456</v>
      </c>
      <c r="F80" s="31" t="s">
        <v>13</v>
      </c>
      <c r="G80" s="37">
        <v>101</v>
      </c>
      <c r="H80" s="37">
        <v>410</v>
      </c>
      <c r="I80" s="37">
        <v>4511566008</v>
      </c>
      <c r="J80" s="38">
        <v>45642</v>
      </c>
      <c r="K80" s="31" t="s">
        <v>1061</v>
      </c>
      <c r="L80" s="39">
        <v>5053371845</v>
      </c>
      <c r="M80" s="31" t="s">
        <v>863</v>
      </c>
      <c r="N80" s="40" t="s">
        <v>18</v>
      </c>
      <c r="O80" s="40" t="s">
        <v>17</v>
      </c>
      <c r="P80" s="40" t="s">
        <v>17</v>
      </c>
      <c r="Q80" s="41" t="s">
        <v>17</v>
      </c>
      <c r="R80" s="40" t="s">
        <v>17</v>
      </c>
      <c r="S80" s="42" t="s">
        <v>17</v>
      </c>
    </row>
    <row r="81" spans="1:19" x14ac:dyDescent="0.3">
      <c r="A81" s="33" t="s">
        <v>12</v>
      </c>
      <c r="B81" s="43" t="s">
        <v>816</v>
      </c>
      <c r="C81" s="43">
        <v>70075794</v>
      </c>
      <c r="D81" s="33" t="s">
        <v>901</v>
      </c>
      <c r="E81" s="43">
        <v>456</v>
      </c>
      <c r="F81" s="33" t="s">
        <v>13</v>
      </c>
      <c r="G81" s="43">
        <v>101</v>
      </c>
      <c r="H81" s="43">
        <v>470</v>
      </c>
      <c r="I81" s="43">
        <v>4511566008</v>
      </c>
      <c r="J81" s="44">
        <v>45642</v>
      </c>
      <c r="K81" s="33" t="s">
        <v>1061</v>
      </c>
      <c r="L81" s="45">
        <v>5053371845</v>
      </c>
      <c r="M81" s="33" t="s">
        <v>863</v>
      </c>
      <c r="N81" s="46" t="s">
        <v>18</v>
      </c>
      <c r="O81" s="46" t="s">
        <v>17</v>
      </c>
      <c r="P81" s="46" t="s">
        <v>17</v>
      </c>
      <c r="Q81" s="47" t="s">
        <v>17</v>
      </c>
      <c r="R81" s="46" t="s">
        <v>17</v>
      </c>
      <c r="S81" s="48" t="s">
        <v>17</v>
      </c>
    </row>
    <row r="82" spans="1:19" x14ac:dyDescent="0.3">
      <c r="A82" s="31" t="s">
        <v>12</v>
      </c>
      <c r="B82" s="37" t="s">
        <v>816</v>
      </c>
      <c r="C82" s="37">
        <v>70075796</v>
      </c>
      <c r="D82" s="31" t="s">
        <v>906</v>
      </c>
      <c r="E82" s="37">
        <v>456</v>
      </c>
      <c r="F82" s="31" t="s">
        <v>13</v>
      </c>
      <c r="G82" s="37">
        <v>101</v>
      </c>
      <c r="H82" s="37">
        <v>530</v>
      </c>
      <c r="I82" s="37">
        <v>4511566008</v>
      </c>
      <c r="J82" s="38">
        <v>45642</v>
      </c>
      <c r="K82" s="31" t="s">
        <v>1061</v>
      </c>
      <c r="L82" s="39">
        <v>5053371845</v>
      </c>
      <c r="M82" s="31" t="s">
        <v>863</v>
      </c>
      <c r="N82" s="40" t="s">
        <v>18</v>
      </c>
      <c r="O82" s="40" t="s">
        <v>17</v>
      </c>
      <c r="P82" s="40" t="s">
        <v>17</v>
      </c>
      <c r="Q82" s="41" t="s">
        <v>17</v>
      </c>
      <c r="R82" s="40" t="s">
        <v>17</v>
      </c>
      <c r="S82" s="42" t="s">
        <v>17</v>
      </c>
    </row>
    <row r="83" spans="1:19" x14ac:dyDescent="0.3">
      <c r="A83" s="33" t="s">
        <v>12</v>
      </c>
      <c r="B83" s="43" t="s">
        <v>816</v>
      </c>
      <c r="C83" s="43">
        <v>70075797</v>
      </c>
      <c r="D83" s="33" t="s">
        <v>907</v>
      </c>
      <c r="E83" s="43">
        <v>456</v>
      </c>
      <c r="F83" s="33" t="s">
        <v>13</v>
      </c>
      <c r="G83" s="43">
        <v>101</v>
      </c>
      <c r="H83" s="43">
        <v>590</v>
      </c>
      <c r="I83" s="43">
        <v>4511566008</v>
      </c>
      <c r="J83" s="44">
        <v>45642</v>
      </c>
      <c r="K83" s="33" t="s">
        <v>1061</v>
      </c>
      <c r="L83" s="45">
        <v>5053371845</v>
      </c>
      <c r="M83" s="33" t="s">
        <v>863</v>
      </c>
      <c r="N83" s="46" t="s">
        <v>18</v>
      </c>
      <c r="O83" s="46" t="s">
        <v>17</v>
      </c>
      <c r="P83" s="46" t="s">
        <v>17</v>
      </c>
      <c r="Q83" s="47" t="s">
        <v>17</v>
      </c>
      <c r="R83" s="46" t="s">
        <v>17</v>
      </c>
      <c r="S83" s="48" t="s">
        <v>17</v>
      </c>
    </row>
    <row r="84" spans="1:19" x14ac:dyDescent="0.3">
      <c r="A84" s="31" t="s">
        <v>12</v>
      </c>
      <c r="B84" s="37" t="s">
        <v>816</v>
      </c>
      <c r="C84" s="37">
        <v>70091212</v>
      </c>
      <c r="D84" s="31" t="s">
        <v>908</v>
      </c>
      <c r="E84" s="37">
        <v>912</v>
      </c>
      <c r="F84" s="31" t="s">
        <v>13</v>
      </c>
      <c r="G84" s="37">
        <v>101</v>
      </c>
      <c r="H84" s="37">
        <v>650</v>
      </c>
      <c r="I84" s="37">
        <v>4511566008</v>
      </c>
      <c r="J84" s="38">
        <v>45642</v>
      </c>
      <c r="K84" s="31" t="s">
        <v>1061</v>
      </c>
      <c r="L84" s="39">
        <v>5053371845</v>
      </c>
      <c r="M84" s="31" t="s">
        <v>863</v>
      </c>
      <c r="N84" s="40" t="s">
        <v>18</v>
      </c>
      <c r="O84" s="40" t="s">
        <v>17</v>
      </c>
      <c r="P84" s="40" t="s">
        <v>17</v>
      </c>
      <c r="Q84" s="41" t="s">
        <v>17</v>
      </c>
      <c r="R84" s="40" t="s">
        <v>17</v>
      </c>
      <c r="S84" s="42" t="s">
        <v>17</v>
      </c>
    </row>
    <row r="85" spans="1:19" x14ac:dyDescent="0.3">
      <c r="A85" s="33" t="s">
        <v>12</v>
      </c>
      <c r="B85" s="43" t="s">
        <v>816</v>
      </c>
      <c r="C85" s="43">
        <v>70094260</v>
      </c>
      <c r="D85" s="33" t="s">
        <v>909</v>
      </c>
      <c r="E85" s="43">
        <v>912</v>
      </c>
      <c r="F85" s="33" t="s">
        <v>13</v>
      </c>
      <c r="G85" s="43">
        <v>101</v>
      </c>
      <c r="H85" s="43">
        <v>710</v>
      </c>
      <c r="I85" s="43">
        <v>4511566008</v>
      </c>
      <c r="J85" s="44">
        <v>45642</v>
      </c>
      <c r="K85" s="33" t="s">
        <v>1061</v>
      </c>
      <c r="L85" s="45">
        <v>5053371845</v>
      </c>
      <c r="M85" s="33" t="s">
        <v>863</v>
      </c>
      <c r="N85" s="46" t="s">
        <v>18</v>
      </c>
      <c r="O85" s="46" t="s">
        <v>17</v>
      </c>
      <c r="P85" s="46" t="s">
        <v>17</v>
      </c>
      <c r="Q85" s="47" t="s">
        <v>17</v>
      </c>
      <c r="R85" s="46" t="s">
        <v>17</v>
      </c>
      <c r="S85" s="48" t="s">
        <v>17</v>
      </c>
    </row>
    <row r="86" spans="1:19" x14ac:dyDescent="0.3">
      <c r="A86" s="31" t="s">
        <v>12</v>
      </c>
      <c r="B86" s="37" t="s">
        <v>816</v>
      </c>
      <c r="C86" s="37">
        <v>70108258</v>
      </c>
      <c r="D86" s="31" t="s">
        <v>911</v>
      </c>
      <c r="E86" s="37">
        <v>456</v>
      </c>
      <c r="F86" s="31" t="s">
        <v>13</v>
      </c>
      <c r="G86" s="37">
        <v>101</v>
      </c>
      <c r="H86" s="37">
        <v>770</v>
      </c>
      <c r="I86" s="37">
        <v>4511566008</v>
      </c>
      <c r="J86" s="38">
        <v>45642</v>
      </c>
      <c r="K86" s="31" t="s">
        <v>1061</v>
      </c>
      <c r="L86" s="39">
        <v>5053371845</v>
      </c>
      <c r="M86" s="31" t="s">
        <v>863</v>
      </c>
      <c r="N86" s="40" t="s">
        <v>18</v>
      </c>
      <c r="O86" s="40" t="s">
        <v>17</v>
      </c>
      <c r="P86" s="40" t="s">
        <v>17</v>
      </c>
      <c r="Q86" s="41" t="s">
        <v>17</v>
      </c>
      <c r="R86" s="40" t="s">
        <v>17</v>
      </c>
      <c r="S86" s="42" t="s">
        <v>17</v>
      </c>
    </row>
    <row r="87" spans="1:19" x14ac:dyDescent="0.3">
      <c r="A87" s="33" t="s">
        <v>12</v>
      </c>
      <c r="B87" s="43" t="s">
        <v>816</v>
      </c>
      <c r="C87" s="43">
        <v>70108274</v>
      </c>
      <c r="D87" s="33" t="s">
        <v>912</v>
      </c>
      <c r="E87" s="43">
        <v>456</v>
      </c>
      <c r="F87" s="33" t="s">
        <v>13</v>
      </c>
      <c r="G87" s="43">
        <v>101</v>
      </c>
      <c r="H87" s="43">
        <v>830</v>
      </c>
      <c r="I87" s="43">
        <v>4511566008</v>
      </c>
      <c r="J87" s="44">
        <v>45642</v>
      </c>
      <c r="K87" s="33" t="s">
        <v>1061</v>
      </c>
      <c r="L87" s="45">
        <v>5053371845</v>
      </c>
      <c r="M87" s="33" t="s">
        <v>863</v>
      </c>
      <c r="N87" s="46" t="s">
        <v>18</v>
      </c>
      <c r="O87" s="46" t="s">
        <v>17</v>
      </c>
      <c r="P87" s="46" t="s">
        <v>17</v>
      </c>
      <c r="Q87" s="47" t="s">
        <v>17</v>
      </c>
      <c r="R87" s="46" t="s">
        <v>17</v>
      </c>
      <c r="S87" s="48" t="s">
        <v>17</v>
      </c>
    </row>
    <row r="88" spans="1:19" x14ac:dyDescent="0.3">
      <c r="A88" s="31" t="s">
        <v>12</v>
      </c>
      <c r="B88" s="37" t="s">
        <v>816</v>
      </c>
      <c r="C88" s="37">
        <v>70108276</v>
      </c>
      <c r="D88" s="31" t="s">
        <v>913</v>
      </c>
      <c r="E88" s="37">
        <v>456</v>
      </c>
      <c r="F88" s="31" t="s">
        <v>13</v>
      </c>
      <c r="G88" s="37">
        <v>101</v>
      </c>
      <c r="H88" s="37">
        <v>900</v>
      </c>
      <c r="I88" s="37">
        <v>4511566008</v>
      </c>
      <c r="J88" s="38">
        <v>45642</v>
      </c>
      <c r="K88" s="31" t="s">
        <v>1061</v>
      </c>
      <c r="L88" s="39">
        <v>5053371845</v>
      </c>
      <c r="M88" s="31" t="s">
        <v>863</v>
      </c>
      <c r="N88" s="40" t="s">
        <v>18</v>
      </c>
      <c r="O88" s="40" t="s">
        <v>17</v>
      </c>
      <c r="P88" s="40" t="s">
        <v>17</v>
      </c>
      <c r="Q88" s="41" t="s">
        <v>17</v>
      </c>
      <c r="R88" s="40" t="s">
        <v>17</v>
      </c>
      <c r="S88" s="42" t="s">
        <v>17</v>
      </c>
    </row>
    <row r="89" spans="1:19" x14ac:dyDescent="0.3">
      <c r="A89" s="33" t="s">
        <v>12</v>
      </c>
      <c r="B89" s="43" t="s">
        <v>816</v>
      </c>
      <c r="C89" s="43">
        <v>70108331</v>
      </c>
      <c r="D89" s="33" t="s">
        <v>910</v>
      </c>
      <c r="E89" s="43">
        <v>456</v>
      </c>
      <c r="F89" s="33" t="s">
        <v>13</v>
      </c>
      <c r="G89" s="43">
        <v>101</v>
      </c>
      <c r="H89" s="43">
        <v>960</v>
      </c>
      <c r="I89" s="43">
        <v>4511566008</v>
      </c>
      <c r="J89" s="44">
        <v>45642</v>
      </c>
      <c r="K89" s="33" t="s">
        <v>1061</v>
      </c>
      <c r="L89" s="45">
        <v>5053371845</v>
      </c>
      <c r="M89" s="33" t="s">
        <v>863</v>
      </c>
      <c r="N89" s="46" t="s">
        <v>18</v>
      </c>
      <c r="O89" s="46" t="s">
        <v>17</v>
      </c>
      <c r="P89" s="46" t="s">
        <v>17</v>
      </c>
      <c r="Q89" s="47" t="s">
        <v>17</v>
      </c>
      <c r="R89" s="46" t="s">
        <v>17</v>
      </c>
      <c r="S89" s="48" t="s">
        <v>17</v>
      </c>
    </row>
    <row r="90" spans="1:19" x14ac:dyDescent="0.3">
      <c r="A90" s="31" t="s">
        <v>12</v>
      </c>
      <c r="B90" s="37" t="s">
        <v>816</v>
      </c>
      <c r="C90" s="37">
        <v>70108379</v>
      </c>
      <c r="D90" s="31" t="s">
        <v>914</v>
      </c>
      <c r="E90" s="37">
        <v>912</v>
      </c>
      <c r="F90" s="31" t="s">
        <v>13</v>
      </c>
      <c r="G90" s="37">
        <v>101</v>
      </c>
      <c r="H90" s="37">
        <v>1020</v>
      </c>
      <c r="I90" s="37">
        <v>4511566008</v>
      </c>
      <c r="J90" s="38">
        <v>45642</v>
      </c>
      <c r="K90" s="31" t="s">
        <v>1061</v>
      </c>
      <c r="L90" s="39">
        <v>5053371845</v>
      </c>
      <c r="M90" s="31" t="s">
        <v>863</v>
      </c>
      <c r="N90" s="40" t="s">
        <v>18</v>
      </c>
      <c r="O90" s="40" t="s">
        <v>17</v>
      </c>
      <c r="P90" s="40" t="s">
        <v>17</v>
      </c>
      <c r="Q90" s="41" t="s">
        <v>17</v>
      </c>
      <c r="R90" s="40" t="s">
        <v>17</v>
      </c>
      <c r="S90" s="42" t="s">
        <v>17</v>
      </c>
    </row>
    <row r="91" spans="1:19" x14ac:dyDescent="0.3">
      <c r="A91" s="33" t="s">
        <v>12</v>
      </c>
      <c r="B91" s="43" t="s">
        <v>816</v>
      </c>
      <c r="C91" s="43">
        <v>764020</v>
      </c>
      <c r="D91" s="33" t="s">
        <v>897</v>
      </c>
      <c r="E91" s="43">
        <v>5</v>
      </c>
      <c r="F91" s="33" t="s">
        <v>13</v>
      </c>
      <c r="G91" s="43">
        <v>101</v>
      </c>
      <c r="H91" s="43">
        <v>80</v>
      </c>
      <c r="I91" s="43">
        <v>4511570016</v>
      </c>
      <c r="J91" s="44">
        <v>45640</v>
      </c>
      <c r="K91" s="33" t="s">
        <v>1065</v>
      </c>
      <c r="L91" s="45">
        <v>5053370036</v>
      </c>
      <c r="M91" s="33" t="s">
        <v>863</v>
      </c>
      <c r="N91" s="46" t="s">
        <v>37</v>
      </c>
      <c r="O91" s="46" t="s">
        <v>289</v>
      </c>
      <c r="P91" s="46" t="s">
        <v>44</v>
      </c>
      <c r="Q91" s="47">
        <v>45656</v>
      </c>
      <c r="R91" s="46" t="s">
        <v>48</v>
      </c>
      <c r="S91" s="48" t="s">
        <v>17</v>
      </c>
    </row>
    <row r="92" spans="1:19" x14ac:dyDescent="0.3">
      <c r="A92" s="30" t="s">
        <v>12</v>
      </c>
      <c r="B92" s="37" t="s">
        <v>816</v>
      </c>
      <c r="C92" s="37">
        <v>70074657</v>
      </c>
      <c r="D92" s="31" t="s">
        <v>899</v>
      </c>
      <c r="E92" s="37">
        <v>-456</v>
      </c>
      <c r="F92" s="31" t="s">
        <v>871</v>
      </c>
      <c r="G92" s="37">
        <v>102</v>
      </c>
      <c r="H92" s="37">
        <v>110</v>
      </c>
      <c r="I92" s="37">
        <v>4511566008</v>
      </c>
      <c r="J92" s="38">
        <v>45638</v>
      </c>
      <c r="K92" s="31" t="s">
        <v>1075</v>
      </c>
      <c r="L92" s="39">
        <v>5053371689</v>
      </c>
      <c r="M92" s="31" t="s">
        <v>863</v>
      </c>
      <c r="N92" s="40" t="s">
        <v>18</v>
      </c>
      <c r="O92" s="40" t="s">
        <v>17</v>
      </c>
      <c r="P92" s="40" t="s">
        <v>17</v>
      </c>
      <c r="Q92" s="41" t="s">
        <v>17</v>
      </c>
      <c r="R92" s="40" t="s">
        <v>17</v>
      </c>
      <c r="S92" s="42" t="s">
        <v>17</v>
      </c>
    </row>
    <row r="93" spans="1:19" x14ac:dyDescent="0.3">
      <c r="A93" s="32" t="s">
        <v>12</v>
      </c>
      <c r="B93" s="43" t="s">
        <v>816</v>
      </c>
      <c r="C93" s="43">
        <v>70074662</v>
      </c>
      <c r="D93" s="33" t="s">
        <v>902</v>
      </c>
      <c r="E93" s="43">
        <v>-456</v>
      </c>
      <c r="F93" s="33" t="s">
        <v>13</v>
      </c>
      <c r="G93" s="43">
        <v>102</v>
      </c>
      <c r="H93" s="43">
        <v>170</v>
      </c>
      <c r="I93" s="43">
        <v>4511566008</v>
      </c>
      <c r="J93" s="44">
        <v>45638</v>
      </c>
      <c r="K93" s="33" t="s">
        <v>1075</v>
      </c>
      <c r="L93" s="45">
        <v>5053371689</v>
      </c>
      <c r="M93" s="33" t="s">
        <v>863</v>
      </c>
      <c r="N93" s="46" t="s">
        <v>18</v>
      </c>
      <c r="O93" s="46" t="s">
        <v>17</v>
      </c>
      <c r="P93" s="46" t="s">
        <v>17</v>
      </c>
      <c r="Q93" s="47" t="s">
        <v>17</v>
      </c>
      <c r="R93" s="46" t="s">
        <v>17</v>
      </c>
      <c r="S93" s="48" t="s">
        <v>17</v>
      </c>
    </row>
    <row r="94" spans="1:19" x14ac:dyDescent="0.3">
      <c r="A94" s="31" t="s">
        <v>12</v>
      </c>
      <c r="B94" s="37" t="s">
        <v>816</v>
      </c>
      <c r="C94" s="37">
        <v>70074665</v>
      </c>
      <c r="D94" s="31" t="s">
        <v>903</v>
      </c>
      <c r="E94" s="37">
        <v>-456</v>
      </c>
      <c r="F94" s="31" t="s">
        <v>896</v>
      </c>
      <c r="G94" s="37">
        <v>102</v>
      </c>
      <c r="H94" s="37">
        <v>290</v>
      </c>
      <c r="I94" s="37">
        <v>4511566008</v>
      </c>
      <c r="J94" s="38">
        <v>45638</v>
      </c>
      <c r="K94" s="31" t="s">
        <v>1075</v>
      </c>
      <c r="L94" s="39">
        <v>5053371689</v>
      </c>
      <c r="M94" s="31" t="s">
        <v>863</v>
      </c>
      <c r="N94" s="40" t="s">
        <v>18</v>
      </c>
      <c r="O94" s="40" t="s">
        <v>17</v>
      </c>
      <c r="P94" s="40" t="s">
        <v>17</v>
      </c>
      <c r="Q94" s="41" t="s">
        <v>17</v>
      </c>
      <c r="R94" s="40" t="s">
        <v>17</v>
      </c>
      <c r="S94" s="42" t="s">
        <v>17</v>
      </c>
    </row>
    <row r="95" spans="1:19" x14ac:dyDescent="0.3">
      <c r="A95" s="33" t="s">
        <v>12</v>
      </c>
      <c r="B95" s="43" t="s">
        <v>816</v>
      </c>
      <c r="C95" s="43">
        <v>70074793</v>
      </c>
      <c r="D95" s="33" t="s">
        <v>904</v>
      </c>
      <c r="E95" s="43">
        <v>-456</v>
      </c>
      <c r="F95" s="33" t="s">
        <v>13</v>
      </c>
      <c r="G95" s="43">
        <v>102</v>
      </c>
      <c r="H95" s="43">
        <v>350</v>
      </c>
      <c r="I95" s="43">
        <v>4511566008</v>
      </c>
      <c r="J95" s="44">
        <v>45638</v>
      </c>
      <c r="K95" s="33" t="s">
        <v>1075</v>
      </c>
      <c r="L95" s="45">
        <v>5053371689</v>
      </c>
      <c r="M95" s="33" t="s">
        <v>863</v>
      </c>
      <c r="N95" s="46" t="s">
        <v>18</v>
      </c>
      <c r="O95" s="46" t="s">
        <v>17</v>
      </c>
      <c r="P95" s="46" t="s">
        <v>17</v>
      </c>
      <c r="Q95" s="47" t="s">
        <v>17</v>
      </c>
      <c r="R95" s="46" t="s">
        <v>17</v>
      </c>
      <c r="S95" s="48" t="s">
        <v>17</v>
      </c>
    </row>
    <row r="96" spans="1:19" x14ac:dyDescent="0.3">
      <c r="A96" s="31" t="s">
        <v>12</v>
      </c>
      <c r="B96" s="37" t="s">
        <v>816</v>
      </c>
      <c r="C96" s="37">
        <v>70074794</v>
      </c>
      <c r="D96" s="31" t="s">
        <v>905</v>
      </c>
      <c r="E96" s="37">
        <v>-456</v>
      </c>
      <c r="F96" s="31" t="s">
        <v>13</v>
      </c>
      <c r="G96" s="37">
        <v>102</v>
      </c>
      <c r="H96" s="37">
        <v>410</v>
      </c>
      <c r="I96" s="37">
        <v>4511566008</v>
      </c>
      <c r="J96" s="38">
        <v>45638</v>
      </c>
      <c r="K96" s="31" t="s">
        <v>1075</v>
      </c>
      <c r="L96" s="39">
        <v>5053371689</v>
      </c>
      <c r="M96" s="31" t="s">
        <v>863</v>
      </c>
      <c r="N96" s="40" t="s">
        <v>18</v>
      </c>
      <c r="O96" s="40" t="s">
        <v>17</v>
      </c>
      <c r="P96" s="40" t="s">
        <v>17</v>
      </c>
      <c r="Q96" s="41" t="s">
        <v>17</v>
      </c>
      <c r="R96" s="40" t="s">
        <v>17</v>
      </c>
      <c r="S96" s="42" t="s">
        <v>17</v>
      </c>
    </row>
    <row r="97" spans="1:19" x14ac:dyDescent="0.3">
      <c r="A97" s="33" t="s">
        <v>12</v>
      </c>
      <c r="B97" s="43" t="s">
        <v>816</v>
      </c>
      <c r="C97" s="43">
        <v>70075794</v>
      </c>
      <c r="D97" s="33" t="s">
        <v>901</v>
      </c>
      <c r="E97" s="43">
        <v>-456</v>
      </c>
      <c r="F97" s="33" t="s">
        <v>13</v>
      </c>
      <c r="G97" s="43">
        <v>102</v>
      </c>
      <c r="H97" s="43">
        <v>470</v>
      </c>
      <c r="I97" s="43">
        <v>4511566008</v>
      </c>
      <c r="J97" s="44">
        <v>45638</v>
      </c>
      <c r="K97" s="33" t="s">
        <v>1075</v>
      </c>
      <c r="L97" s="45">
        <v>5053371689</v>
      </c>
      <c r="M97" s="33" t="s">
        <v>863</v>
      </c>
      <c r="N97" s="46" t="s">
        <v>18</v>
      </c>
      <c r="O97" s="46" t="s">
        <v>17</v>
      </c>
      <c r="P97" s="46" t="s">
        <v>17</v>
      </c>
      <c r="Q97" s="47" t="s">
        <v>17</v>
      </c>
      <c r="R97" s="46" t="s">
        <v>17</v>
      </c>
      <c r="S97" s="48" t="s">
        <v>17</v>
      </c>
    </row>
    <row r="98" spans="1:19" x14ac:dyDescent="0.3">
      <c r="A98" s="31" t="s">
        <v>12</v>
      </c>
      <c r="B98" s="37" t="s">
        <v>816</v>
      </c>
      <c r="C98" s="37">
        <v>70075796</v>
      </c>
      <c r="D98" s="31" t="s">
        <v>906</v>
      </c>
      <c r="E98" s="37">
        <v>-456</v>
      </c>
      <c r="F98" s="31" t="s">
        <v>13</v>
      </c>
      <c r="G98" s="37">
        <v>102</v>
      </c>
      <c r="H98" s="37">
        <v>530</v>
      </c>
      <c r="I98" s="37">
        <v>4511566008</v>
      </c>
      <c r="J98" s="38">
        <v>45638</v>
      </c>
      <c r="K98" s="31" t="s">
        <v>1075</v>
      </c>
      <c r="L98" s="39">
        <v>5053371689</v>
      </c>
      <c r="M98" s="31" t="s">
        <v>863</v>
      </c>
      <c r="N98" s="40" t="s">
        <v>18</v>
      </c>
      <c r="O98" s="40" t="s">
        <v>17</v>
      </c>
      <c r="P98" s="40" t="s">
        <v>17</v>
      </c>
      <c r="Q98" s="41" t="s">
        <v>17</v>
      </c>
      <c r="R98" s="40" t="s">
        <v>17</v>
      </c>
      <c r="S98" s="42" t="s">
        <v>17</v>
      </c>
    </row>
    <row r="99" spans="1:19" x14ac:dyDescent="0.3">
      <c r="A99" s="33" t="s">
        <v>12</v>
      </c>
      <c r="B99" s="43" t="s">
        <v>816</v>
      </c>
      <c r="C99" s="43">
        <v>70075797</v>
      </c>
      <c r="D99" s="33" t="s">
        <v>907</v>
      </c>
      <c r="E99" s="43">
        <v>-456</v>
      </c>
      <c r="F99" s="33" t="s">
        <v>13</v>
      </c>
      <c r="G99" s="43">
        <v>102</v>
      </c>
      <c r="H99" s="43">
        <v>590</v>
      </c>
      <c r="I99" s="43">
        <v>4511566008</v>
      </c>
      <c r="J99" s="44">
        <v>45638</v>
      </c>
      <c r="K99" s="33" t="s">
        <v>1075</v>
      </c>
      <c r="L99" s="45">
        <v>5053371689</v>
      </c>
      <c r="M99" s="33" t="s">
        <v>863</v>
      </c>
      <c r="N99" s="46" t="s">
        <v>18</v>
      </c>
      <c r="O99" s="46" t="s">
        <v>17</v>
      </c>
      <c r="P99" s="46" t="s">
        <v>17</v>
      </c>
      <c r="Q99" s="47" t="s">
        <v>17</v>
      </c>
      <c r="R99" s="46" t="s">
        <v>17</v>
      </c>
      <c r="S99" s="48" t="s">
        <v>17</v>
      </c>
    </row>
    <row r="100" spans="1:19" x14ac:dyDescent="0.3">
      <c r="A100" s="31" t="s">
        <v>12</v>
      </c>
      <c r="B100" s="37" t="s">
        <v>816</v>
      </c>
      <c r="C100" s="37">
        <v>70091212</v>
      </c>
      <c r="D100" s="31" t="s">
        <v>908</v>
      </c>
      <c r="E100" s="37">
        <v>-912</v>
      </c>
      <c r="F100" s="31" t="s">
        <v>13</v>
      </c>
      <c r="G100" s="37">
        <v>102</v>
      </c>
      <c r="H100" s="37">
        <v>650</v>
      </c>
      <c r="I100" s="37">
        <v>4511566008</v>
      </c>
      <c r="J100" s="38">
        <v>45638</v>
      </c>
      <c r="K100" s="31" t="s">
        <v>1075</v>
      </c>
      <c r="L100" s="39">
        <v>5053371689</v>
      </c>
      <c r="M100" s="31" t="s">
        <v>863</v>
      </c>
      <c r="N100" s="40" t="s">
        <v>18</v>
      </c>
      <c r="O100" s="40" t="s">
        <v>17</v>
      </c>
      <c r="P100" s="40" t="s">
        <v>17</v>
      </c>
      <c r="Q100" s="41" t="s">
        <v>17</v>
      </c>
      <c r="R100" s="40" t="s">
        <v>17</v>
      </c>
      <c r="S100" s="42" t="s">
        <v>17</v>
      </c>
    </row>
    <row r="101" spans="1:19" x14ac:dyDescent="0.3">
      <c r="A101" s="33" t="s">
        <v>12</v>
      </c>
      <c r="B101" s="43" t="s">
        <v>816</v>
      </c>
      <c r="C101" s="43">
        <v>70094260</v>
      </c>
      <c r="D101" s="33" t="s">
        <v>909</v>
      </c>
      <c r="E101" s="43">
        <v>-912</v>
      </c>
      <c r="F101" s="33" t="s">
        <v>13</v>
      </c>
      <c r="G101" s="43">
        <v>102</v>
      </c>
      <c r="H101" s="43">
        <v>710</v>
      </c>
      <c r="I101" s="43">
        <v>4511566008</v>
      </c>
      <c r="J101" s="44">
        <v>45638</v>
      </c>
      <c r="K101" s="33" t="s">
        <v>1075</v>
      </c>
      <c r="L101" s="45">
        <v>5053371689</v>
      </c>
      <c r="M101" s="33" t="s">
        <v>863</v>
      </c>
      <c r="N101" s="46" t="s">
        <v>18</v>
      </c>
      <c r="O101" s="46" t="s">
        <v>17</v>
      </c>
      <c r="P101" s="46" t="s">
        <v>17</v>
      </c>
      <c r="Q101" s="47" t="s">
        <v>17</v>
      </c>
      <c r="R101" s="46" t="s">
        <v>17</v>
      </c>
      <c r="S101" s="48" t="s">
        <v>17</v>
      </c>
    </row>
    <row r="102" spans="1:19" x14ac:dyDescent="0.3">
      <c r="A102" s="31" t="s">
        <v>12</v>
      </c>
      <c r="B102" s="37" t="s">
        <v>816</v>
      </c>
      <c r="C102" s="37">
        <v>70108258</v>
      </c>
      <c r="D102" s="31" t="s">
        <v>911</v>
      </c>
      <c r="E102" s="37">
        <v>-456</v>
      </c>
      <c r="F102" s="31" t="s">
        <v>13</v>
      </c>
      <c r="G102" s="37">
        <v>102</v>
      </c>
      <c r="H102" s="37">
        <v>770</v>
      </c>
      <c r="I102" s="37">
        <v>4511566008</v>
      </c>
      <c r="J102" s="38">
        <v>45638</v>
      </c>
      <c r="K102" s="31" t="s">
        <v>1075</v>
      </c>
      <c r="L102" s="39">
        <v>5053371689</v>
      </c>
      <c r="M102" s="31" t="s">
        <v>863</v>
      </c>
      <c r="N102" s="40" t="s">
        <v>18</v>
      </c>
      <c r="O102" s="40" t="s">
        <v>17</v>
      </c>
      <c r="P102" s="40" t="s">
        <v>17</v>
      </c>
      <c r="Q102" s="41" t="s">
        <v>17</v>
      </c>
      <c r="R102" s="40" t="s">
        <v>17</v>
      </c>
      <c r="S102" s="42" t="s">
        <v>17</v>
      </c>
    </row>
    <row r="103" spans="1:19" x14ac:dyDescent="0.3">
      <c r="A103" s="33" t="s">
        <v>12</v>
      </c>
      <c r="B103" s="43" t="s">
        <v>816</v>
      </c>
      <c r="C103" s="43">
        <v>70108274</v>
      </c>
      <c r="D103" s="33" t="s">
        <v>912</v>
      </c>
      <c r="E103" s="43">
        <v>-456</v>
      </c>
      <c r="F103" s="33" t="s">
        <v>13</v>
      </c>
      <c r="G103" s="43">
        <v>102</v>
      </c>
      <c r="H103" s="43">
        <v>830</v>
      </c>
      <c r="I103" s="43">
        <v>4511566008</v>
      </c>
      <c r="J103" s="44">
        <v>45638</v>
      </c>
      <c r="K103" s="33" t="s">
        <v>1075</v>
      </c>
      <c r="L103" s="45">
        <v>5053371689</v>
      </c>
      <c r="M103" s="33" t="s">
        <v>863</v>
      </c>
      <c r="N103" s="46" t="s">
        <v>18</v>
      </c>
      <c r="O103" s="46" t="s">
        <v>17</v>
      </c>
      <c r="P103" s="46" t="s">
        <v>17</v>
      </c>
      <c r="Q103" s="47" t="s">
        <v>17</v>
      </c>
      <c r="R103" s="46" t="s">
        <v>17</v>
      </c>
      <c r="S103" s="48" t="s">
        <v>17</v>
      </c>
    </row>
    <row r="104" spans="1:19" x14ac:dyDescent="0.3">
      <c r="A104" s="31" t="s">
        <v>12</v>
      </c>
      <c r="B104" s="37" t="s">
        <v>816</v>
      </c>
      <c r="C104" s="37">
        <v>70108276</v>
      </c>
      <c r="D104" s="31" t="s">
        <v>913</v>
      </c>
      <c r="E104" s="37">
        <v>-456</v>
      </c>
      <c r="F104" s="31" t="s">
        <v>13</v>
      </c>
      <c r="G104" s="37">
        <v>102</v>
      </c>
      <c r="H104" s="37">
        <v>900</v>
      </c>
      <c r="I104" s="37">
        <v>4511566008</v>
      </c>
      <c r="J104" s="38">
        <v>45638</v>
      </c>
      <c r="K104" s="31" t="s">
        <v>1075</v>
      </c>
      <c r="L104" s="39">
        <v>5053371689</v>
      </c>
      <c r="M104" s="31" t="s">
        <v>863</v>
      </c>
      <c r="N104" s="40" t="s">
        <v>18</v>
      </c>
      <c r="O104" s="40" t="s">
        <v>17</v>
      </c>
      <c r="P104" s="40" t="s">
        <v>17</v>
      </c>
      <c r="Q104" s="41" t="s">
        <v>17</v>
      </c>
      <c r="R104" s="40" t="s">
        <v>17</v>
      </c>
      <c r="S104" s="42" t="s">
        <v>17</v>
      </c>
    </row>
    <row r="105" spans="1:19" x14ac:dyDescent="0.3">
      <c r="A105" s="33" t="s">
        <v>12</v>
      </c>
      <c r="B105" s="43" t="s">
        <v>816</v>
      </c>
      <c r="C105" s="43">
        <v>70108331</v>
      </c>
      <c r="D105" s="33" t="s">
        <v>910</v>
      </c>
      <c r="E105" s="43">
        <v>-456</v>
      </c>
      <c r="F105" s="33" t="s">
        <v>13</v>
      </c>
      <c r="G105" s="43">
        <v>102</v>
      </c>
      <c r="H105" s="43">
        <v>960</v>
      </c>
      <c r="I105" s="43">
        <v>4511566008</v>
      </c>
      <c r="J105" s="44">
        <v>45638</v>
      </c>
      <c r="K105" s="33" t="s">
        <v>1075</v>
      </c>
      <c r="L105" s="45">
        <v>5053371689</v>
      </c>
      <c r="M105" s="33" t="s">
        <v>863</v>
      </c>
      <c r="N105" s="46" t="s">
        <v>18</v>
      </c>
      <c r="O105" s="46" t="s">
        <v>17</v>
      </c>
      <c r="P105" s="46" t="s">
        <v>17</v>
      </c>
      <c r="Q105" s="47" t="s">
        <v>17</v>
      </c>
      <c r="R105" s="46" t="s">
        <v>17</v>
      </c>
      <c r="S105" s="48" t="s">
        <v>17</v>
      </c>
    </row>
    <row r="106" spans="1:19" x14ac:dyDescent="0.3">
      <c r="A106" s="31" t="s">
        <v>12</v>
      </c>
      <c r="B106" s="37" t="s">
        <v>816</v>
      </c>
      <c r="C106" s="37">
        <v>70108379</v>
      </c>
      <c r="D106" s="31" t="s">
        <v>914</v>
      </c>
      <c r="E106" s="37">
        <v>-912</v>
      </c>
      <c r="F106" s="31" t="s">
        <v>13</v>
      </c>
      <c r="G106" s="37">
        <v>102</v>
      </c>
      <c r="H106" s="37">
        <v>1020</v>
      </c>
      <c r="I106" s="37">
        <v>4511566008</v>
      </c>
      <c r="J106" s="38">
        <v>45638</v>
      </c>
      <c r="K106" s="31" t="s">
        <v>1075</v>
      </c>
      <c r="L106" s="39">
        <v>5053371689</v>
      </c>
      <c r="M106" s="31" t="s">
        <v>863</v>
      </c>
      <c r="N106" s="40" t="s">
        <v>18</v>
      </c>
      <c r="O106" s="40" t="s">
        <v>17</v>
      </c>
      <c r="P106" s="40" t="s">
        <v>17</v>
      </c>
      <c r="Q106" s="41" t="s">
        <v>17</v>
      </c>
      <c r="R106" s="40" t="s">
        <v>17</v>
      </c>
      <c r="S106" s="42" t="s">
        <v>17</v>
      </c>
    </row>
    <row r="107" spans="1:19" x14ac:dyDescent="0.3">
      <c r="A107" s="32" t="s">
        <v>12</v>
      </c>
      <c r="B107" s="43" t="s">
        <v>816</v>
      </c>
      <c r="C107" s="43">
        <v>70108258</v>
      </c>
      <c r="D107" s="33" t="s">
        <v>911</v>
      </c>
      <c r="E107" s="43">
        <v>-200</v>
      </c>
      <c r="F107" s="33" t="s">
        <v>13</v>
      </c>
      <c r="G107" s="43">
        <v>102</v>
      </c>
      <c r="H107" s="43">
        <v>740</v>
      </c>
      <c r="I107" s="43">
        <v>4511566008</v>
      </c>
      <c r="J107" s="44">
        <v>45643</v>
      </c>
      <c r="K107" s="33" t="s">
        <v>1107</v>
      </c>
      <c r="L107" s="45">
        <v>5053371659</v>
      </c>
      <c r="M107" s="33" t="s">
        <v>863</v>
      </c>
      <c r="N107" s="46" t="s">
        <v>18</v>
      </c>
      <c r="O107" s="46" t="s">
        <v>17</v>
      </c>
      <c r="P107" s="46" t="s">
        <v>17</v>
      </c>
      <c r="Q107" s="47" t="s">
        <v>17</v>
      </c>
      <c r="R107" s="46" t="s">
        <v>17</v>
      </c>
      <c r="S107" s="48" t="s">
        <v>17</v>
      </c>
    </row>
    <row r="108" spans="1:19" x14ac:dyDescent="0.3">
      <c r="A108" s="30" t="s">
        <v>12</v>
      </c>
      <c r="B108" s="37" t="s">
        <v>816</v>
      </c>
      <c r="C108" s="37">
        <v>70108258</v>
      </c>
      <c r="D108" s="31" t="s">
        <v>911</v>
      </c>
      <c r="E108" s="37">
        <v>-200</v>
      </c>
      <c r="F108" s="31" t="s">
        <v>13</v>
      </c>
      <c r="G108" s="37">
        <v>102</v>
      </c>
      <c r="H108" s="37">
        <v>750</v>
      </c>
      <c r="I108" s="37">
        <v>4511566008</v>
      </c>
      <c r="J108" s="38">
        <v>45643</v>
      </c>
      <c r="K108" s="31" t="s">
        <v>1107</v>
      </c>
      <c r="L108" s="39">
        <v>5053371659</v>
      </c>
      <c r="M108" s="31" t="s">
        <v>863</v>
      </c>
      <c r="N108" s="40" t="s">
        <v>18</v>
      </c>
      <c r="O108" s="40" t="s">
        <v>17</v>
      </c>
      <c r="P108" s="40" t="s">
        <v>17</v>
      </c>
      <c r="Q108" s="41" t="s">
        <v>17</v>
      </c>
      <c r="R108" s="40" t="s">
        <v>17</v>
      </c>
      <c r="S108" s="42" t="s">
        <v>17</v>
      </c>
    </row>
    <row r="109" spans="1:19" x14ac:dyDescent="0.3">
      <c r="A109" s="34" t="s">
        <v>12</v>
      </c>
      <c r="B109" s="55" t="s">
        <v>816</v>
      </c>
      <c r="C109" s="55">
        <v>70108258</v>
      </c>
      <c r="D109" s="34" t="s">
        <v>911</v>
      </c>
      <c r="E109" s="55">
        <v>-56</v>
      </c>
      <c r="F109" s="34" t="s">
        <v>13</v>
      </c>
      <c r="G109" s="55">
        <v>102</v>
      </c>
      <c r="H109" s="55">
        <v>730</v>
      </c>
      <c r="I109" s="55">
        <v>4511566008</v>
      </c>
      <c r="J109" s="56">
        <v>45643</v>
      </c>
      <c r="K109" s="34" t="s">
        <v>1107</v>
      </c>
      <c r="L109" s="57">
        <v>5053371659</v>
      </c>
      <c r="M109" s="34" t="s">
        <v>863</v>
      </c>
      <c r="N109" s="58" t="s">
        <v>18</v>
      </c>
      <c r="O109" s="58" t="s">
        <v>17</v>
      </c>
      <c r="P109" s="58" t="s">
        <v>17</v>
      </c>
      <c r="Q109" s="59" t="s">
        <v>17</v>
      </c>
      <c r="R109" s="58" t="s">
        <v>17</v>
      </c>
      <c r="S109" s="60" t="s">
        <v>17</v>
      </c>
    </row>
  </sheetData>
  <conditionalFormatting sqref="S4:S109">
    <cfRule type="expression" dxfId="20" priority="1">
      <formula>S4="Entrega Tarde"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89D89-8BE2-48D9-B824-2D5E2CE6F85E}">
  <sheetPr codeName="Hoja3"/>
  <dimension ref="A2:L5123"/>
  <sheetViews>
    <sheetView showGridLines="0" workbookViewId="0">
      <selection activeCell="B3" sqref="B3:K5123"/>
    </sheetView>
  </sheetViews>
  <sheetFormatPr baseColWidth="10" defaultColWidth="11.44140625" defaultRowHeight="14.4" x14ac:dyDescent="0.3"/>
  <cols>
    <col min="1" max="1" width="2.6640625" customWidth="1"/>
    <col min="2" max="2" width="12.109375" bestFit="1" customWidth="1"/>
    <col min="3" max="3" width="21.33203125" bestFit="1" customWidth="1"/>
    <col min="4" max="4" width="12.88671875" style="11" bestFit="1" customWidth="1"/>
    <col min="5" max="5" width="18.6640625" bestFit="1" customWidth="1"/>
    <col min="6" max="6" width="22.6640625" bestFit="1" customWidth="1"/>
    <col min="8" max="9" width="12.5546875" customWidth="1"/>
    <col min="10" max="10" width="16.33203125" customWidth="1"/>
    <col min="11" max="11" width="22.88671875" customWidth="1"/>
    <col min="12" max="12" width="15.109375" bestFit="1" customWidth="1"/>
  </cols>
  <sheetData>
    <row r="2" spans="1:12" x14ac:dyDescent="0.3">
      <c r="A2" t="s">
        <v>73</v>
      </c>
      <c r="B2" t="s">
        <v>74</v>
      </c>
      <c r="C2" t="s">
        <v>75</v>
      </c>
      <c r="D2" s="11" t="s">
        <v>76</v>
      </c>
      <c r="E2" t="s">
        <v>7</v>
      </c>
      <c r="F2" t="s">
        <v>0</v>
      </c>
      <c r="G2" t="s">
        <v>77</v>
      </c>
      <c r="H2" t="s">
        <v>8</v>
      </c>
      <c r="I2" t="s">
        <v>78</v>
      </c>
      <c r="J2" t="s">
        <v>79</v>
      </c>
      <c r="K2" t="s">
        <v>80</v>
      </c>
      <c r="L2" t="s">
        <v>81</v>
      </c>
    </row>
    <row r="3" spans="1:12" x14ac:dyDescent="0.3">
      <c r="A3" t="str">
        <f>Detalle_OC[[#This Row],[Centro]]&amp;Detalle_OC[[#This Row],[Nom Almacen]]&amp;Detalle_OC[[#This Row],[Material]]&amp;Detalle_OC[[#This Row],[Pedido]]&amp;Detalle_OC[[#This Row],[Posicion]]</f>
        <v>Agricola del Chira PlantaMontelima738245550001918840</v>
      </c>
      <c r="B3" t="s">
        <v>28</v>
      </c>
      <c r="C3" t="s">
        <v>82</v>
      </c>
      <c r="D3" s="11">
        <v>45678</v>
      </c>
      <c r="E3" t="s">
        <v>16</v>
      </c>
      <c r="F3" t="s">
        <v>12</v>
      </c>
      <c r="G3">
        <v>738245</v>
      </c>
      <c r="H3">
        <v>5500019188</v>
      </c>
      <c r="I3">
        <v>40</v>
      </c>
      <c r="J3">
        <v>1</v>
      </c>
      <c r="K3" t="s">
        <v>931</v>
      </c>
      <c r="L3" t="str">
        <f>IFERROR(VLOOKUP(Detalle_OC[[#This Row],[Centro]]&amp;Detalle_OC[[#This Row],[Nro Almacen]],Almacen!A:D,4,FALSE),"")</f>
        <v>Montelima</v>
      </c>
    </row>
    <row r="4" spans="1:12" x14ac:dyDescent="0.3">
      <c r="A4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4" t="s">
        <v>28</v>
      </c>
      <c r="C4" t="s">
        <v>82</v>
      </c>
      <c r="D4" s="11">
        <v>45678</v>
      </c>
      <c r="E4" t="s">
        <v>16</v>
      </c>
      <c r="F4" t="s">
        <v>12</v>
      </c>
      <c r="G4">
        <v>844522</v>
      </c>
      <c r="H4">
        <v>5500019188</v>
      </c>
      <c r="I4">
        <v>150</v>
      </c>
      <c r="J4" s="29">
        <v>1</v>
      </c>
      <c r="K4" s="29" t="s">
        <v>931</v>
      </c>
      <c r="L4" t="str">
        <f>IFERROR(VLOOKUP(Detalle_OC[[#This Row],[Centro]]&amp;Detalle_OC[[#This Row],[Nro Almacen]],Almacen!A:D,4,FALSE),"")</f>
        <v>Montelima</v>
      </c>
    </row>
    <row r="5" spans="1:12" x14ac:dyDescent="0.3">
      <c r="A5" s="29" t="str">
        <f>Detalle_OC[[#This Row],[Centro]]&amp;Detalle_OC[[#This Row],[Nom Almacen]]&amp;Detalle_OC[[#This Row],[Material]]&amp;Detalle_OC[[#This Row],[Pedido]]&amp;Detalle_OC[[#This Row],[Posicion]]</f>
        <v>Agricola del Chira PlantaMontelima8445115500019188180</v>
      </c>
      <c r="B5" t="s">
        <v>28</v>
      </c>
      <c r="C5" t="s">
        <v>82</v>
      </c>
      <c r="D5" s="11">
        <v>45678</v>
      </c>
      <c r="E5" t="s">
        <v>16</v>
      </c>
      <c r="F5" t="s">
        <v>12</v>
      </c>
      <c r="G5">
        <v>844511</v>
      </c>
      <c r="H5">
        <v>5500019188</v>
      </c>
      <c r="I5">
        <v>180</v>
      </c>
      <c r="J5" s="29">
        <v>1</v>
      </c>
      <c r="K5" s="29" t="s">
        <v>931</v>
      </c>
      <c r="L5" t="str">
        <f>IFERROR(VLOOKUP(Detalle_OC[[#This Row],[Centro]]&amp;Detalle_OC[[#This Row],[Nro Almacen]],Almacen!A:D,4,FALSE),"")</f>
        <v>Montelima</v>
      </c>
    </row>
    <row r="6" spans="1:12" x14ac:dyDescent="0.3">
      <c r="A6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6" t="s">
        <v>28</v>
      </c>
      <c r="C6" t="s">
        <v>82</v>
      </c>
      <c r="D6" s="11">
        <v>45678</v>
      </c>
      <c r="E6" t="s">
        <v>16</v>
      </c>
      <c r="F6" t="s">
        <v>12</v>
      </c>
      <c r="G6">
        <v>844516</v>
      </c>
      <c r="H6">
        <v>5500019188</v>
      </c>
      <c r="I6">
        <v>190</v>
      </c>
      <c r="J6" s="29">
        <v>1</v>
      </c>
      <c r="K6" s="29" t="s">
        <v>931</v>
      </c>
      <c r="L6" t="str">
        <f>IFERROR(VLOOKUP(Detalle_OC[[#This Row],[Centro]]&amp;Detalle_OC[[#This Row],[Nro Almacen]],Almacen!A:D,4,FALSE),"")</f>
        <v>Montelima</v>
      </c>
    </row>
    <row r="7" spans="1:12" x14ac:dyDescent="0.3">
      <c r="A7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7" t="s">
        <v>28</v>
      </c>
      <c r="C7" t="s">
        <v>82</v>
      </c>
      <c r="D7" s="11">
        <v>45678</v>
      </c>
      <c r="E7" t="s">
        <v>16</v>
      </c>
      <c r="F7" t="s">
        <v>12</v>
      </c>
      <c r="G7">
        <v>844515</v>
      </c>
      <c r="H7">
        <v>5500019188</v>
      </c>
      <c r="I7">
        <v>200</v>
      </c>
      <c r="J7" s="29">
        <v>1</v>
      </c>
      <c r="K7" s="29" t="s">
        <v>931</v>
      </c>
      <c r="L7" t="str">
        <f>IFERROR(VLOOKUP(Detalle_OC[[#This Row],[Centro]]&amp;Detalle_OC[[#This Row],[Nro Almacen]],Almacen!A:D,4,FALSE),"")</f>
        <v>Montelima</v>
      </c>
    </row>
    <row r="8" spans="1:12" x14ac:dyDescent="0.3">
      <c r="A8" s="29" t="str">
        <f>Detalle_OC[[#This Row],[Centro]]&amp;Detalle_OC[[#This Row],[Nom Almacen]]&amp;Detalle_OC[[#This Row],[Material]]&amp;Detalle_OC[[#This Row],[Pedido]]&amp;Detalle_OC[[#This Row],[Posicion]]</f>
        <v>Agricola del Chira PlantaMontelima8445245500019188210</v>
      </c>
      <c r="B8" t="s">
        <v>28</v>
      </c>
      <c r="C8" t="s">
        <v>82</v>
      </c>
      <c r="D8" s="11">
        <v>45678</v>
      </c>
      <c r="E8" t="s">
        <v>16</v>
      </c>
      <c r="F8" t="s">
        <v>12</v>
      </c>
      <c r="G8">
        <v>844524</v>
      </c>
      <c r="H8">
        <v>5500019188</v>
      </c>
      <c r="I8">
        <v>210</v>
      </c>
      <c r="J8" s="29">
        <v>1</v>
      </c>
      <c r="K8" s="29" t="s">
        <v>931</v>
      </c>
      <c r="L8" t="str">
        <f>IFERROR(VLOOKUP(Detalle_OC[[#This Row],[Centro]]&amp;Detalle_OC[[#This Row],[Nro Almacen]],Almacen!A:D,4,FALSE),"")</f>
        <v>Montelima</v>
      </c>
    </row>
    <row r="9" spans="1:12" x14ac:dyDescent="0.3">
      <c r="A9" s="29" t="str">
        <f>Detalle_OC[[#This Row],[Centro]]&amp;Detalle_OC[[#This Row],[Nom Almacen]]&amp;Detalle_OC[[#This Row],[Material]]&amp;Detalle_OC[[#This Row],[Pedido]]&amp;Detalle_OC[[#This Row],[Posicion]]</f>
        <v>Agricola del Chira PlantaMontelima8445515500019188320</v>
      </c>
      <c r="B9" t="s">
        <v>28</v>
      </c>
      <c r="C9" t="s">
        <v>82</v>
      </c>
      <c r="D9" s="11">
        <v>45678</v>
      </c>
      <c r="E9" t="s">
        <v>16</v>
      </c>
      <c r="F9" t="s">
        <v>12</v>
      </c>
      <c r="G9">
        <v>844551</v>
      </c>
      <c r="H9">
        <v>5500019188</v>
      </c>
      <c r="I9">
        <v>320</v>
      </c>
      <c r="J9" s="29">
        <v>1</v>
      </c>
      <c r="K9" s="29" t="s">
        <v>931</v>
      </c>
      <c r="L9" t="str">
        <f>IFERROR(VLOOKUP(Detalle_OC[[#This Row],[Centro]]&amp;Detalle_OC[[#This Row],[Nro Almacen]],Almacen!A:D,4,FALSE),"")</f>
        <v>Montelima</v>
      </c>
    </row>
    <row r="10" spans="1:12" x14ac:dyDescent="0.3">
      <c r="A10" s="29" t="str">
        <f>Detalle_OC[[#This Row],[Centro]]&amp;Detalle_OC[[#This Row],[Nom Almacen]]&amp;Detalle_OC[[#This Row],[Material]]&amp;Detalle_OC[[#This Row],[Pedido]]&amp;Detalle_OC[[#This Row],[Posicion]]</f>
        <v>Agricola del Chira PlantaMontelima8445385500019188560</v>
      </c>
      <c r="B10" t="s">
        <v>28</v>
      </c>
      <c r="C10" t="s">
        <v>82</v>
      </c>
      <c r="D10" s="11">
        <v>45678</v>
      </c>
      <c r="E10" t="s">
        <v>16</v>
      </c>
      <c r="F10" t="s">
        <v>12</v>
      </c>
      <c r="G10">
        <v>844538</v>
      </c>
      <c r="H10">
        <v>5500019188</v>
      </c>
      <c r="I10">
        <v>560</v>
      </c>
      <c r="J10" s="29">
        <v>1</v>
      </c>
      <c r="K10" s="29" t="s">
        <v>931</v>
      </c>
      <c r="L10" t="str">
        <f>IFERROR(VLOOKUP(Detalle_OC[[#This Row],[Centro]]&amp;Detalle_OC[[#This Row],[Nro Almacen]],Almacen!A:D,4,FALSE),"")</f>
        <v>Montelima</v>
      </c>
    </row>
    <row r="11" spans="1:12" x14ac:dyDescent="0.3">
      <c r="A11" s="29" t="str">
        <f>Detalle_OC[[#This Row],[Centro]]&amp;Detalle_OC[[#This Row],[Nom Almacen]]&amp;Detalle_OC[[#This Row],[Material]]&amp;Detalle_OC[[#This Row],[Pedido]]&amp;Detalle_OC[[#This Row],[Posicion]]</f>
        <v>Agricola del Chira PlantaMontelima8457155500019188650</v>
      </c>
      <c r="B11" t="s">
        <v>28</v>
      </c>
      <c r="C11" t="s">
        <v>82</v>
      </c>
      <c r="D11" s="11">
        <v>45678</v>
      </c>
      <c r="E11" t="s">
        <v>16</v>
      </c>
      <c r="F11" t="s">
        <v>12</v>
      </c>
      <c r="G11">
        <v>845715</v>
      </c>
      <c r="H11">
        <v>5500019188</v>
      </c>
      <c r="I11">
        <v>650</v>
      </c>
      <c r="J11" s="29">
        <v>1</v>
      </c>
      <c r="K11" s="29" t="s">
        <v>931</v>
      </c>
      <c r="L11" t="str">
        <f>IFERROR(VLOOKUP(Detalle_OC[[#This Row],[Centro]]&amp;Detalle_OC[[#This Row],[Nro Almacen]],Almacen!A:D,4,FALSE),"")</f>
        <v>Montelima</v>
      </c>
    </row>
    <row r="12" spans="1:12" x14ac:dyDescent="0.3">
      <c r="A12" s="29" t="str">
        <f>Detalle_OC[[#This Row],[Centro]]&amp;Detalle_OC[[#This Row],[Nom Almacen]]&amp;Detalle_OC[[#This Row],[Material]]&amp;Detalle_OC[[#This Row],[Pedido]]&amp;Detalle_OC[[#This Row],[Posicion]]</f>
        <v>Agricola del Chira PlantaMontelima8459045500019188720</v>
      </c>
      <c r="B12" t="s">
        <v>28</v>
      </c>
      <c r="C12" t="s">
        <v>82</v>
      </c>
      <c r="D12" s="11">
        <v>45678</v>
      </c>
      <c r="E12" t="s">
        <v>16</v>
      </c>
      <c r="F12" t="s">
        <v>12</v>
      </c>
      <c r="G12">
        <v>845904</v>
      </c>
      <c r="H12">
        <v>5500019188</v>
      </c>
      <c r="I12">
        <v>720</v>
      </c>
      <c r="J12" s="29">
        <v>1</v>
      </c>
      <c r="K12" s="29" t="s">
        <v>931</v>
      </c>
      <c r="L12" t="str">
        <f>IFERROR(VLOOKUP(Detalle_OC[[#This Row],[Centro]]&amp;Detalle_OC[[#This Row],[Nro Almacen]],Almacen!A:D,4,FALSE),"")</f>
        <v>Montelima</v>
      </c>
    </row>
    <row r="13" spans="1:12" x14ac:dyDescent="0.3">
      <c r="A13" s="29" t="str">
        <f>Detalle_OC[[#This Row],[Centro]]&amp;Detalle_OC[[#This Row],[Nom Almacen]]&amp;Detalle_OC[[#This Row],[Material]]&amp;Detalle_OC[[#This Row],[Pedido]]&amp;Detalle_OC[[#This Row],[Posicion]]</f>
        <v>Agricola del Chira PlantaMontelima8445015500019188760</v>
      </c>
      <c r="B13" t="s">
        <v>28</v>
      </c>
      <c r="C13" t="s">
        <v>82</v>
      </c>
      <c r="D13" s="11">
        <v>45678</v>
      </c>
      <c r="E13" t="s">
        <v>16</v>
      </c>
      <c r="F13" t="s">
        <v>12</v>
      </c>
      <c r="G13">
        <v>844501</v>
      </c>
      <c r="H13">
        <v>5500019188</v>
      </c>
      <c r="I13">
        <v>760</v>
      </c>
      <c r="J13" s="29">
        <v>1</v>
      </c>
      <c r="K13" s="29" t="s">
        <v>931</v>
      </c>
      <c r="L13" t="str">
        <f>IFERROR(VLOOKUP(Detalle_OC[[#This Row],[Centro]]&amp;Detalle_OC[[#This Row],[Nro Almacen]],Almacen!A:D,4,FALSE),"")</f>
        <v>Montelima</v>
      </c>
    </row>
    <row r="14" spans="1:12" x14ac:dyDescent="0.3">
      <c r="A14" s="29" t="str">
        <f>Detalle_OC[[#This Row],[Centro]]&amp;Detalle_OC[[#This Row],[Nom Almacen]]&amp;Detalle_OC[[#This Row],[Material]]&amp;Detalle_OC[[#This Row],[Pedido]]&amp;Detalle_OC[[#This Row],[Posicion]]</f>
        <v>Agricola del Chira PlantaMontelima83106655000191881040</v>
      </c>
      <c r="B14" t="s">
        <v>28</v>
      </c>
      <c r="C14" t="s">
        <v>82</v>
      </c>
      <c r="D14" s="11">
        <v>45691</v>
      </c>
      <c r="E14" t="s">
        <v>16</v>
      </c>
      <c r="F14" t="s">
        <v>12</v>
      </c>
      <c r="G14">
        <v>831066</v>
      </c>
      <c r="H14">
        <v>5500019188</v>
      </c>
      <c r="I14">
        <v>1040</v>
      </c>
      <c r="J14" s="29">
        <v>1</v>
      </c>
      <c r="K14" s="29" t="s">
        <v>931</v>
      </c>
      <c r="L14" t="str">
        <f>IFERROR(VLOOKUP(Detalle_OC[[#This Row],[Centro]]&amp;Detalle_OC[[#This Row],[Nro Almacen]],Almacen!A:D,4,FALSE),"")</f>
        <v>Montelima</v>
      </c>
    </row>
    <row r="15" spans="1:12" x14ac:dyDescent="0.3">
      <c r="A15" s="29" t="str">
        <f>Detalle_OC[[#This Row],[Centro]]&amp;Detalle_OC[[#This Row],[Nom Almacen]]&amp;Detalle_OC[[#This Row],[Material]]&amp;Detalle_OC[[#This Row],[Pedido]]&amp;Detalle_OC[[#This Row],[Posicion]]</f>
        <v>Agricola del Chira PlantaMontelima83605255000191881460</v>
      </c>
      <c r="B15" t="s">
        <v>28</v>
      </c>
      <c r="C15" t="s">
        <v>82</v>
      </c>
      <c r="D15" s="11">
        <v>45678</v>
      </c>
      <c r="E15" t="s">
        <v>16</v>
      </c>
      <c r="F15" t="s">
        <v>12</v>
      </c>
      <c r="G15">
        <v>836052</v>
      </c>
      <c r="H15">
        <v>5500019188</v>
      </c>
      <c r="I15">
        <v>1460</v>
      </c>
      <c r="J15" s="29">
        <v>1</v>
      </c>
      <c r="K15" s="29" t="s">
        <v>931</v>
      </c>
      <c r="L15" t="str">
        <f>IFERROR(VLOOKUP(Detalle_OC[[#This Row],[Centro]]&amp;Detalle_OC[[#This Row],[Nro Almacen]],Almacen!A:D,4,FALSE),"")</f>
        <v>Montelima</v>
      </c>
    </row>
    <row r="16" spans="1:12" x14ac:dyDescent="0.3">
      <c r="A16" s="29" t="str">
        <f>Detalle_OC[[#This Row],[Centro]]&amp;Detalle_OC[[#This Row],[Nom Almacen]]&amp;Detalle_OC[[#This Row],[Material]]&amp;Detalle_OC[[#This Row],[Pedido]]&amp;Detalle_OC[[#This Row],[Posicion]]</f>
        <v>Agricola del Chira PlantaMontelima709179550002233820</v>
      </c>
      <c r="B16" t="s">
        <v>28</v>
      </c>
      <c r="C16" t="s">
        <v>84</v>
      </c>
      <c r="D16" s="11">
        <v>45677</v>
      </c>
      <c r="E16" t="s">
        <v>16</v>
      </c>
      <c r="F16" t="s">
        <v>12</v>
      </c>
      <c r="G16">
        <v>709179</v>
      </c>
      <c r="H16">
        <v>5500022338</v>
      </c>
      <c r="I16">
        <v>20</v>
      </c>
      <c r="J16" s="29">
        <v>1</v>
      </c>
      <c r="K16" s="29" t="s">
        <v>931</v>
      </c>
      <c r="L16" t="str">
        <f>IFERROR(VLOOKUP(Detalle_OC[[#This Row],[Centro]]&amp;Detalle_OC[[#This Row],[Nro Almacen]],Almacen!A:D,4,FALSE),"")</f>
        <v>Montelima</v>
      </c>
    </row>
    <row r="17" spans="1:12" x14ac:dyDescent="0.3">
      <c r="A17" s="29" t="str">
        <f>Detalle_OC[[#This Row],[Centro]]&amp;Detalle_OC[[#This Row],[Nom Almacen]]&amp;Detalle_OC[[#This Row],[Material]]&amp;Detalle_OC[[#This Row],[Pedido]]&amp;Detalle_OC[[#This Row],[Posicion]]</f>
        <v>Agricola del Chira PlantaMontelima808069550002233830</v>
      </c>
      <c r="B17" t="s">
        <v>28</v>
      </c>
      <c r="C17" t="s">
        <v>84</v>
      </c>
      <c r="D17" s="11">
        <v>45677</v>
      </c>
      <c r="E17" t="s">
        <v>16</v>
      </c>
      <c r="F17" t="s">
        <v>12</v>
      </c>
      <c r="G17">
        <v>808069</v>
      </c>
      <c r="H17">
        <v>5500022338</v>
      </c>
      <c r="I17">
        <v>30</v>
      </c>
      <c r="J17" s="29">
        <v>1</v>
      </c>
      <c r="K17" s="29" t="s">
        <v>931</v>
      </c>
      <c r="L17" t="str">
        <f>IFERROR(VLOOKUP(Detalle_OC[[#This Row],[Centro]]&amp;Detalle_OC[[#This Row],[Nro Almacen]],Almacen!A:D,4,FALSE),"")</f>
        <v>Montelima</v>
      </c>
    </row>
    <row r="18" spans="1:12" x14ac:dyDescent="0.3">
      <c r="A18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18" t="s">
        <v>28</v>
      </c>
      <c r="C18" t="s">
        <v>84</v>
      </c>
      <c r="D18" s="11">
        <v>45677</v>
      </c>
      <c r="E18" t="s">
        <v>16</v>
      </c>
      <c r="F18" t="s">
        <v>12</v>
      </c>
      <c r="G18">
        <v>801846</v>
      </c>
      <c r="H18">
        <v>5500022338</v>
      </c>
      <c r="I18">
        <v>40</v>
      </c>
      <c r="J18" s="29">
        <v>1</v>
      </c>
      <c r="K18" s="29" t="s">
        <v>931</v>
      </c>
      <c r="L18" t="str">
        <f>IFERROR(VLOOKUP(Detalle_OC[[#This Row],[Centro]]&amp;Detalle_OC[[#This Row],[Nro Almacen]],Almacen!A:D,4,FALSE),"")</f>
        <v>Montelima</v>
      </c>
    </row>
    <row r="19" spans="1:12" x14ac:dyDescent="0.3">
      <c r="A19" s="29" t="str">
        <f>Detalle_OC[[#This Row],[Centro]]&amp;Detalle_OC[[#This Row],[Nom Almacen]]&amp;Detalle_OC[[#This Row],[Material]]&amp;Detalle_OC[[#This Row],[Pedido]]&amp;Detalle_OC[[#This Row],[Posicion]]</f>
        <v>Agricola del Chira PlantaMontelima708707550002233850</v>
      </c>
      <c r="B19" t="s">
        <v>28</v>
      </c>
      <c r="C19" t="s">
        <v>84</v>
      </c>
      <c r="D19" s="11">
        <v>45677</v>
      </c>
      <c r="E19" t="s">
        <v>16</v>
      </c>
      <c r="F19" t="s">
        <v>12</v>
      </c>
      <c r="G19">
        <v>708707</v>
      </c>
      <c r="H19">
        <v>5500022338</v>
      </c>
      <c r="I19">
        <v>50</v>
      </c>
      <c r="J19" s="29">
        <v>1</v>
      </c>
      <c r="K19" s="29" t="s">
        <v>931</v>
      </c>
      <c r="L19" t="str">
        <f>IFERROR(VLOOKUP(Detalle_OC[[#This Row],[Centro]]&amp;Detalle_OC[[#This Row],[Nro Almacen]],Almacen!A:D,4,FALSE),"")</f>
        <v>Montelima</v>
      </c>
    </row>
    <row r="20" spans="1:12" x14ac:dyDescent="0.3">
      <c r="A20" s="29" t="str">
        <f>Detalle_OC[[#This Row],[Centro]]&amp;Detalle_OC[[#This Row],[Nom Almacen]]&amp;Detalle_OC[[#This Row],[Material]]&amp;Detalle_OC[[#This Row],[Pedido]]&amp;Detalle_OC[[#This Row],[Posicion]]</f>
        <v>Agricola del Chira PlantaMontelima813224550002233870</v>
      </c>
      <c r="B20" t="s">
        <v>28</v>
      </c>
      <c r="C20" t="s">
        <v>84</v>
      </c>
      <c r="D20" s="11">
        <v>45677</v>
      </c>
      <c r="E20" t="s">
        <v>16</v>
      </c>
      <c r="F20" t="s">
        <v>12</v>
      </c>
      <c r="G20">
        <v>813224</v>
      </c>
      <c r="H20">
        <v>5500022338</v>
      </c>
      <c r="I20">
        <v>70</v>
      </c>
      <c r="J20" s="29">
        <v>1</v>
      </c>
      <c r="K20" s="29" t="s">
        <v>931</v>
      </c>
      <c r="L20" t="str">
        <f>IFERROR(VLOOKUP(Detalle_OC[[#This Row],[Centro]]&amp;Detalle_OC[[#This Row],[Nro Almacen]],Almacen!A:D,4,FALSE),"")</f>
        <v>Montelima</v>
      </c>
    </row>
    <row r="21" spans="1:12" x14ac:dyDescent="0.3">
      <c r="A21" s="29" t="str">
        <f>Detalle_OC[[#This Row],[Centro]]&amp;Detalle_OC[[#This Row],[Nom Almacen]]&amp;Detalle_OC[[#This Row],[Material]]&amp;Detalle_OC[[#This Row],[Pedido]]&amp;Detalle_OC[[#This Row],[Posicion]]</f>
        <v>Agricola del Chira PlantaMontelima70032053550002233880</v>
      </c>
      <c r="B21" t="s">
        <v>28</v>
      </c>
      <c r="C21" t="s">
        <v>84</v>
      </c>
      <c r="D21" s="11">
        <v>45677</v>
      </c>
      <c r="E21" t="s">
        <v>16</v>
      </c>
      <c r="F21" t="s">
        <v>12</v>
      </c>
      <c r="G21">
        <v>70032053</v>
      </c>
      <c r="H21">
        <v>5500022338</v>
      </c>
      <c r="I21">
        <v>80</v>
      </c>
      <c r="J21" s="29">
        <v>1</v>
      </c>
      <c r="K21" s="29" t="s">
        <v>931</v>
      </c>
      <c r="L21" t="str">
        <f>IFERROR(VLOOKUP(Detalle_OC[[#This Row],[Centro]]&amp;Detalle_OC[[#This Row],[Nro Almacen]],Almacen!A:D,4,FALSE),"")</f>
        <v>Montelima</v>
      </c>
    </row>
    <row r="22" spans="1:12" x14ac:dyDescent="0.3">
      <c r="A22" s="29" t="str">
        <f>Detalle_OC[[#This Row],[Centro]]&amp;Detalle_OC[[#This Row],[Nom Almacen]]&amp;Detalle_OC[[#This Row],[Material]]&amp;Detalle_OC[[#This Row],[Pedido]]&amp;Detalle_OC[[#This Row],[Posicion]]</f>
        <v>Agricola del Chira PlantaMontelima70084357550002468140</v>
      </c>
      <c r="B22" t="s">
        <v>28</v>
      </c>
      <c r="C22" t="s">
        <v>84</v>
      </c>
      <c r="D22" s="11">
        <v>45678</v>
      </c>
      <c r="E22" t="s">
        <v>16</v>
      </c>
      <c r="F22" t="s">
        <v>12</v>
      </c>
      <c r="G22">
        <v>70084357</v>
      </c>
      <c r="H22">
        <v>5500024681</v>
      </c>
      <c r="I22">
        <v>40</v>
      </c>
      <c r="J22" s="29">
        <v>1</v>
      </c>
      <c r="K22" s="29" t="s">
        <v>931</v>
      </c>
      <c r="L22" t="str">
        <f>IFERROR(VLOOKUP(Detalle_OC[[#This Row],[Centro]]&amp;Detalle_OC[[#This Row],[Nro Almacen]],Almacen!A:D,4,FALSE),"")</f>
        <v>Montelima</v>
      </c>
    </row>
    <row r="23" spans="1:12" x14ac:dyDescent="0.3">
      <c r="A23" s="29" t="str">
        <f>Detalle_OC[[#This Row],[Centro]]&amp;Detalle_OC[[#This Row],[Nom Almacen]]&amp;Detalle_OC[[#This Row],[Material]]&amp;Detalle_OC[[#This Row],[Pedido]]&amp;Detalle_OC[[#This Row],[Posicion]]</f>
        <v>Agricola del Chira PlantaMontelima70084360550002468150</v>
      </c>
      <c r="B23" t="s">
        <v>28</v>
      </c>
      <c r="C23" t="s">
        <v>84</v>
      </c>
      <c r="D23" s="11">
        <v>45678</v>
      </c>
      <c r="E23" t="s">
        <v>16</v>
      </c>
      <c r="F23" t="s">
        <v>12</v>
      </c>
      <c r="G23">
        <v>70084360</v>
      </c>
      <c r="H23">
        <v>5500024681</v>
      </c>
      <c r="I23">
        <v>50</v>
      </c>
      <c r="J23" s="29">
        <v>1</v>
      </c>
      <c r="K23" s="29" t="s">
        <v>931</v>
      </c>
      <c r="L23" t="str">
        <f>IFERROR(VLOOKUP(Detalle_OC[[#This Row],[Centro]]&amp;Detalle_OC[[#This Row],[Nro Almacen]],Almacen!A:D,4,FALSE),"")</f>
        <v>Montelima</v>
      </c>
    </row>
    <row r="24" spans="1:12" x14ac:dyDescent="0.3">
      <c r="A24" s="29" t="str">
        <f>Detalle_OC[[#This Row],[Centro]]&amp;Detalle_OC[[#This Row],[Nom Almacen]]&amp;Detalle_OC[[#This Row],[Material]]&amp;Detalle_OC[[#This Row],[Pedido]]&amp;Detalle_OC[[#This Row],[Posicion]]</f>
        <v>Agricola del Chira PlantaMontelima70084367550002468170</v>
      </c>
      <c r="B24" t="s">
        <v>28</v>
      </c>
      <c r="C24" t="s">
        <v>84</v>
      </c>
      <c r="D24" s="11">
        <v>45678</v>
      </c>
      <c r="E24" t="s">
        <v>16</v>
      </c>
      <c r="F24" t="s">
        <v>12</v>
      </c>
      <c r="G24">
        <v>70084367</v>
      </c>
      <c r="H24">
        <v>5500024681</v>
      </c>
      <c r="I24">
        <v>70</v>
      </c>
      <c r="J24" s="29">
        <v>1</v>
      </c>
      <c r="K24" s="29" t="s">
        <v>931</v>
      </c>
      <c r="L24" t="str">
        <f>IFERROR(VLOOKUP(Detalle_OC[[#This Row],[Centro]]&amp;Detalle_OC[[#This Row],[Nro Almacen]],Almacen!A:D,4,FALSE),"")</f>
        <v>Montelima</v>
      </c>
    </row>
    <row r="25" spans="1:12" x14ac:dyDescent="0.3">
      <c r="A25" s="29" t="str">
        <f>Detalle_OC[[#This Row],[Centro]]&amp;Detalle_OC[[#This Row],[Nom Almacen]]&amp;Detalle_OC[[#This Row],[Material]]&amp;Detalle_OC[[#This Row],[Pedido]]&amp;Detalle_OC[[#This Row],[Posicion]]</f>
        <v>Agricola del Chira PlantaMontelima70084371550002468180</v>
      </c>
      <c r="B25" t="s">
        <v>28</v>
      </c>
      <c r="C25" t="s">
        <v>84</v>
      </c>
      <c r="D25" s="11">
        <v>45681</v>
      </c>
      <c r="E25" t="s">
        <v>16</v>
      </c>
      <c r="F25" t="s">
        <v>12</v>
      </c>
      <c r="G25">
        <v>70084371</v>
      </c>
      <c r="H25">
        <v>5500024681</v>
      </c>
      <c r="I25">
        <v>80</v>
      </c>
      <c r="J25" s="29">
        <v>1</v>
      </c>
      <c r="K25" s="29" t="s">
        <v>931</v>
      </c>
      <c r="L25" t="str">
        <f>IFERROR(VLOOKUP(Detalle_OC[[#This Row],[Centro]]&amp;Detalle_OC[[#This Row],[Nro Almacen]],Almacen!A:D,4,FALSE),"")</f>
        <v>Montelima</v>
      </c>
    </row>
    <row r="26" spans="1:12" x14ac:dyDescent="0.3">
      <c r="A26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26" t="s">
        <v>28</v>
      </c>
      <c r="C26" t="s">
        <v>94</v>
      </c>
      <c r="D26" s="11">
        <v>45686</v>
      </c>
      <c r="E26" t="s">
        <v>16</v>
      </c>
      <c r="F26" t="s">
        <v>85</v>
      </c>
      <c r="G26" t="s">
        <v>95</v>
      </c>
      <c r="H26">
        <v>5500024746</v>
      </c>
      <c r="I26">
        <v>10</v>
      </c>
      <c r="J26" s="29">
        <v>1</v>
      </c>
      <c r="K26" s="29" t="s">
        <v>931</v>
      </c>
      <c r="L26" t="str">
        <f>IFERROR(VLOOKUP(Detalle_OC[[#This Row],[Centro]]&amp;Detalle_OC[[#This Row],[Nro Almacen]],Almacen!A:D,4,FALSE),"")</f>
        <v>Montelima</v>
      </c>
    </row>
    <row r="27" spans="1:12" x14ac:dyDescent="0.3">
      <c r="A27" s="29" t="str">
        <f>Detalle_OC[[#This Row],[Centro]]&amp;Detalle_OC[[#This Row],[Nom Almacen]]&amp;Detalle_OC[[#This Row],[Material]]&amp;Detalle_OC[[#This Row],[Pedido]]&amp;Detalle_OC[[#This Row],[Posicion]]</f>
        <v>Agricola del Chira PlantaLa HuacaMWAGR000058       550002481510</v>
      </c>
      <c r="B27" t="s">
        <v>28</v>
      </c>
      <c r="C27" t="s">
        <v>112</v>
      </c>
      <c r="D27" s="11">
        <v>45678</v>
      </c>
      <c r="E27" t="s">
        <v>16</v>
      </c>
      <c r="F27" t="s">
        <v>12</v>
      </c>
      <c r="G27" t="s">
        <v>113</v>
      </c>
      <c r="H27">
        <v>5500024815</v>
      </c>
      <c r="I27">
        <v>10</v>
      </c>
      <c r="J27" s="29">
        <v>2</v>
      </c>
      <c r="K27" s="29" t="s">
        <v>931</v>
      </c>
      <c r="L27" t="str">
        <f>IFERROR(VLOOKUP(Detalle_OC[[#This Row],[Centro]]&amp;Detalle_OC[[#This Row],[Nro Almacen]],Almacen!A:D,4,FALSE),"")</f>
        <v>La Huaca</v>
      </c>
    </row>
    <row r="28" spans="1:12" x14ac:dyDescent="0.3">
      <c r="A28" s="29" t="str">
        <f>Detalle_OC[[#This Row],[Centro]]&amp;Detalle_OC[[#This Row],[Nom Almacen]]&amp;Detalle_OC[[#This Row],[Material]]&amp;Detalle_OC[[#This Row],[Pedido]]&amp;Detalle_OC[[#This Row],[Posicion]]</f>
        <v>Agricola del Chira PlantaAlmacen LoboMWAGR000058       550002481520</v>
      </c>
      <c r="B28" t="s">
        <v>28</v>
      </c>
      <c r="C28" t="s">
        <v>112</v>
      </c>
      <c r="D28" s="11">
        <v>45678</v>
      </c>
      <c r="E28" t="s">
        <v>16</v>
      </c>
      <c r="F28" t="s">
        <v>12</v>
      </c>
      <c r="G28" t="s">
        <v>113</v>
      </c>
      <c r="H28">
        <v>5500024815</v>
      </c>
      <c r="I28">
        <v>20</v>
      </c>
      <c r="J28" s="29">
        <v>7</v>
      </c>
      <c r="K28" s="29" t="s">
        <v>931</v>
      </c>
      <c r="L28" t="str">
        <f>IFERROR(VLOOKUP(Detalle_OC[[#This Row],[Centro]]&amp;Detalle_OC[[#This Row],[Nro Almacen]],Almacen!A:D,4,FALSE),"")</f>
        <v>Almacen Lobo</v>
      </c>
    </row>
    <row r="29" spans="1:12" x14ac:dyDescent="0.3">
      <c r="A29" s="29" t="str">
        <f>Detalle_OC[[#This Row],[Centro]]&amp;Detalle_OC[[#This Row],[Nom Almacen]]&amp;Detalle_OC[[#This Row],[Material]]&amp;Detalle_OC[[#This Row],[Pedido]]&amp;Detalle_OC[[#This Row],[Posicion]]</f>
        <v>Agricola del Chira PlantaAlmacen LoboMWAGR000058       550002481520</v>
      </c>
      <c r="B29" t="s">
        <v>28</v>
      </c>
      <c r="C29" t="s">
        <v>112</v>
      </c>
      <c r="D29" s="11">
        <v>45678</v>
      </c>
      <c r="E29" t="s">
        <v>16</v>
      </c>
      <c r="F29" t="s">
        <v>12</v>
      </c>
      <c r="G29" t="s">
        <v>113</v>
      </c>
      <c r="H29">
        <v>5500024815</v>
      </c>
      <c r="I29">
        <v>20</v>
      </c>
      <c r="J29" s="29">
        <v>7</v>
      </c>
      <c r="K29" s="29" t="s">
        <v>931</v>
      </c>
      <c r="L29" t="str">
        <f>IFERROR(VLOOKUP(Detalle_OC[[#This Row],[Centro]]&amp;Detalle_OC[[#This Row],[Nro Almacen]],Almacen!A:D,4,FALSE),"")</f>
        <v>Almacen Lobo</v>
      </c>
    </row>
    <row r="30" spans="1:12" x14ac:dyDescent="0.3">
      <c r="A30" s="29" t="str">
        <f>Detalle_OC[[#This Row],[Centro]]&amp;Detalle_OC[[#This Row],[Nom Almacen]]&amp;Detalle_OC[[#This Row],[Material]]&amp;Detalle_OC[[#This Row],[Pedido]]&amp;Detalle_OC[[#This Row],[Posicion]]</f>
        <v>Agricola del Chira PlantaFERTI LOBO 2MWAGR000058       550002481530</v>
      </c>
      <c r="B30" t="s">
        <v>28</v>
      </c>
      <c r="C30" t="s">
        <v>112</v>
      </c>
      <c r="D30" s="11">
        <v>45670</v>
      </c>
      <c r="E30" t="s">
        <v>16</v>
      </c>
      <c r="F30" t="s">
        <v>12</v>
      </c>
      <c r="G30" t="s">
        <v>113</v>
      </c>
      <c r="H30">
        <v>5500024815</v>
      </c>
      <c r="I30">
        <v>30</v>
      </c>
      <c r="J30" s="29">
        <v>23</v>
      </c>
      <c r="K30" s="29" t="s">
        <v>931</v>
      </c>
      <c r="L30" t="str">
        <f>IFERROR(VLOOKUP(Detalle_OC[[#This Row],[Centro]]&amp;Detalle_OC[[#This Row],[Nro Almacen]],Almacen!A:D,4,FALSE),"")</f>
        <v>FERTI LOBO 2</v>
      </c>
    </row>
    <row r="31" spans="1:12" x14ac:dyDescent="0.3">
      <c r="A31" s="29" t="str">
        <f>Detalle_OC[[#This Row],[Centro]]&amp;Detalle_OC[[#This Row],[Nom Almacen]]&amp;Detalle_OC[[#This Row],[Material]]&amp;Detalle_OC[[#This Row],[Pedido]]&amp;Detalle_OC[[#This Row],[Posicion]]</f>
        <v>Agricola del Chira PlantaFERTI LOBO 3MWAGR000058       550002481540</v>
      </c>
      <c r="B31" t="s">
        <v>28</v>
      </c>
      <c r="C31" t="s">
        <v>112</v>
      </c>
      <c r="D31" s="11">
        <v>45670</v>
      </c>
      <c r="E31" t="s">
        <v>16</v>
      </c>
      <c r="F31" t="s">
        <v>12</v>
      </c>
      <c r="G31" t="s">
        <v>113</v>
      </c>
      <c r="H31">
        <v>5500024815</v>
      </c>
      <c r="I31">
        <v>40</v>
      </c>
      <c r="J31" s="29">
        <v>24</v>
      </c>
      <c r="K31" s="29" t="s">
        <v>931</v>
      </c>
      <c r="L31" t="str">
        <f>IFERROR(VLOOKUP(Detalle_OC[[#This Row],[Centro]]&amp;Detalle_OC[[#This Row],[Nro Almacen]],Almacen!A:D,4,FALSE),"")</f>
        <v>FERTI LOBO 3</v>
      </c>
    </row>
    <row r="32" spans="1:12" x14ac:dyDescent="0.3">
      <c r="A32" s="29" t="str">
        <f>Detalle_OC[[#This Row],[Centro]]&amp;Detalle_OC[[#This Row],[Nom Almacen]]&amp;Detalle_OC[[#This Row],[Material]]&amp;Detalle_OC[[#This Row],[Pedido]]&amp;Detalle_OC[[#This Row],[Posicion]]</f>
        <v>Agricola del Chira PlantaSan VicenteMWAGR000058       550002481560</v>
      </c>
      <c r="B32" t="s">
        <v>28</v>
      </c>
      <c r="C32" t="s">
        <v>112</v>
      </c>
      <c r="D32" s="11">
        <v>45678</v>
      </c>
      <c r="E32" t="s">
        <v>16</v>
      </c>
      <c r="F32" t="s">
        <v>12</v>
      </c>
      <c r="G32" t="s">
        <v>113</v>
      </c>
      <c r="H32">
        <v>5500024815</v>
      </c>
      <c r="I32">
        <v>60</v>
      </c>
      <c r="J32" s="29">
        <v>3</v>
      </c>
      <c r="K32" s="29" t="s">
        <v>931</v>
      </c>
      <c r="L32" t="str">
        <f>IFERROR(VLOOKUP(Detalle_OC[[#This Row],[Centro]]&amp;Detalle_OC[[#This Row],[Nro Almacen]],Almacen!A:D,4,FALSE),"")</f>
        <v>San Vicente</v>
      </c>
    </row>
    <row r="33" spans="1:12" x14ac:dyDescent="0.3">
      <c r="A33" s="29" t="str">
        <f>Detalle_OC[[#This Row],[Centro]]&amp;Detalle_OC[[#This Row],[Nom Almacen]]&amp;Detalle_OC[[#This Row],[Material]]&amp;Detalle_OC[[#This Row],[Pedido]]&amp;Detalle_OC[[#This Row],[Posicion]]</f>
        <v>Agricola del Chira PlantaMontelima721426550002484450</v>
      </c>
      <c r="B33" t="s">
        <v>28</v>
      </c>
      <c r="C33" t="s">
        <v>88</v>
      </c>
      <c r="D33" s="11">
        <v>45671</v>
      </c>
      <c r="E33" t="s">
        <v>16</v>
      </c>
      <c r="F33" t="s">
        <v>12</v>
      </c>
      <c r="G33">
        <v>721426</v>
      </c>
      <c r="H33">
        <v>5500024844</v>
      </c>
      <c r="I33">
        <v>50</v>
      </c>
      <c r="J33" s="29">
        <v>1</v>
      </c>
      <c r="K33" s="29" t="s">
        <v>931</v>
      </c>
      <c r="L33" t="str">
        <f>IFERROR(VLOOKUP(Detalle_OC[[#This Row],[Centro]]&amp;Detalle_OC[[#This Row],[Nro Almacen]],Almacen!A:D,4,FALSE),"")</f>
        <v>Montelima</v>
      </c>
    </row>
    <row r="34" spans="1:12" x14ac:dyDescent="0.3">
      <c r="A34" s="29" t="str">
        <f>Detalle_OC[[#This Row],[Centro]]&amp;Detalle_OC[[#This Row],[Nom Almacen]]&amp;Detalle_OC[[#This Row],[Material]]&amp;Detalle_OC[[#This Row],[Pedido]]&amp;Detalle_OC[[#This Row],[Posicion]]</f>
        <v>Agricola del Chira PlantaSan Vicente721426550002484460</v>
      </c>
      <c r="B34" t="s">
        <v>28</v>
      </c>
      <c r="C34" t="s">
        <v>88</v>
      </c>
      <c r="D34" s="11">
        <v>45671</v>
      </c>
      <c r="E34" t="s">
        <v>16</v>
      </c>
      <c r="F34" t="s">
        <v>12</v>
      </c>
      <c r="G34">
        <v>721426</v>
      </c>
      <c r="H34">
        <v>5500024844</v>
      </c>
      <c r="I34">
        <v>60</v>
      </c>
      <c r="J34" s="29">
        <v>3</v>
      </c>
      <c r="K34" s="29" t="s">
        <v>931</v>
      </c>
      <c r="L34" t="str">
        <f>IFERROR(VLOOKUP(Detalle_OC[[#This Row],[Centro]]&amp;Detalle_OC[[#This Row],[Nro Almacen]],Almacen!A:D,4,FALSE),"")</f>
        <v>San Vicente</v>
      </c>
    </row>
    <row r="35" spans="1:12" x14ac:dyDescent="0.3">
      <c r="A35" s="29" t="str">
        <f>Detalle_OC[[#This Row],[Centro]]&amp;Detalle_OC[[#This Row],[Nom Almacen]]&amp;Detalle_OC[[#This Row],[Material]]&amp;Detalle_OC[[#This Row],[Pedido]]&amp;Detalle_OC[[#This Row],[Posicion]]</f>
        <v>Agricola del Chira PlantaMontelima721669550002485530</v>
      </c>
      <c r="B35" t="s">
        <v>28</v>
      </c>
      <c r="C35" t="s">
        <v>96</v>
      </c>
      <c r="D35" s="11">
        <v>45678</v>
      </c>
      <c r="E35" t="s">
        <v>16</v>
      </c>
      <c r="F35" t="s">
        <v>12</v>
      </c>
      <c r="G35">
        <v>721669</v>
      </c>
      <c r="H35">
        <v>5500024855</v>
      </c>
      <c r="I35">
        <v>30</v>
      </c>
      <c r="J35" s="29">
        <v>1</v>
      </c>
      <c r="K35" s="29" t="s">
        <v>931</v>
      </c>
      <c r="L35" t="str">
        <f>IFERROR(VLOOKUP(Detalle_OC[[#This Row],[Centro]]&amp;Detalle_OC[[#This Row],[Nro Almacen]],Almacen!A:D,4,FALSE),"")</f>
        <v>Montelima</v>
      </c>
    </row>
    <row r="36" spans="1:12" x14ac:dyDescent="0.3">
      <c r="A36" s="29" t="str">
        <f>Detalle_OC[[#This Row],[Centro]]&amp;Detalle_OC[[#This Row],[Nom Almacen]]&amp;Detalle_OC[[#This Row],[Material]]&amp;Detalle_OC[[#This Row],[Pedido]]&amp;Detalle_OC[[#This Row],[Posicion]]</f>
        <v>Agricola del Chira PlantaMontelima700580015500024881160</v>
      </c>
      <c r="B36" t="s">
        <v>28</v>
      </c>
      <c r="C36" t="s">
        <v>52</v>
      </c>
      <c r="D36" s="11">
        <v>45678</v>
      </c>
      <c r="E36" t="s">
        <v>16</v>
      </c>
      <c r="F36" t="s">
        <v>12</v>
      </c>
      <c r="G36">
        <v>70058001</v>
      </c>
      <c r="H36">
        <v>5500024881</v>
      </c>
      <c r="I36">
        <v>160</v>
      </c>
      <c r="J36" s="29">
        <v>1</v>
      </c>
      <c r="K36" s="29" t="s">
        <v>931</v>
      </c>
      <c r="L36" t="str">
        <f>IFERROR(VLOOKUP(Detalle_OC[[#This Row],[Centro]]&amp;Detalle_OC[[#This Row],[Nro Almacen]],Almacen!A:D,4,FALSE),"")</f>
        <v>Montelima</v>
      </c>
    </row>
    <row r="37" spans="1:12" x14ac:dyDescent="0.3">
      <c r="A37" s="29" t="str">
        <f>Detalle_OC[[#This Row],[Centro]]&amp;Detalle_OC[[#This Row],[Nom Almacen]]&amp;Detalle_OC[[#This Row],[Material]]&amp;Detalle_OC[[#This Row],[Pedido]]&amp;Detalle_OC[[#This Row],[Posicion]]</f>
        <v>Agricola del Chira PlantaMontelima700657865500024881200</v>
      </c>
      <c r="B37" t="s">
        <v>28</v>
      </c>
      <c r="C37" t="s">
        <v>52</v>
      </c>
      <c r="D37" s="11">
        <v>45678</v>
      </c>
      <c r="E37" t="s">
        <v>16</v>
      </c>
      <c r="F37" t="s">
        <v>12</v>
      </c>
      <c r="G37">
        <v>70065786</v>
      </c>
      <c r="H37">
        <v>5500024881</v>
      </c>
      <c r="I37">
        <v>200</v>
      </c>
      <c r="J37" s="29">
        <v>1</v>
      </c>
      <c r="K37" s="29" t="s">
        <v>931</v>
      </c>
      <c r="L37" t="str">
        <f>IFERROR(VLOOKUP(Detalle_OC[[#This Row],[Centro]]&amp;Detalle_OC[[#This Row],[Nro Almacen]],Almacen!A:D,4,FALSE),"")</f>
        <v>Montelima</v>
      </c>
    </row>
    <row r="38" spans="1:12" x14ac:dyDescent="0.3">
      <c r="A38" s="29" t="str">
        <f>Detalle_OC[[#This Row],[Centro]]&amp;Detalle_OC[[#This Row],[Nom Almacen]]&amp;Detalle_OC[[#This Row],[Material]]&amp;Detalle_OC[[#This Row],[Pedido]]&amp;Detalle_OC[[#This Row],[Posicion]]</f>
        <v>Agricola del Chira PlantaAlmacen Lobo755525550002492460</v>
      </c>
      <c r="B38" t="s">
        <v>28</v>
      </c>
      <c r="C38" t="s">
        <v>302</v>
      </c>
      <c r="D38" s="11">
        <v>45670</v>
      </c>
      <c r="E38" t="s">
        <v>16</v>
      </c>
      <c r="F38" t="s">
        <v>12</v>
      </c>
      <c r="G38">
        <v>755525</v>
      </c>
      <c r="H38">
        <v>5500024924</v>
      </c>
      <c r="I38">
        <v>60</v>
      </c>
      <c r="J38" s="29">
        <v>7</v>
      </c>
      <c r="K38" s="29" t="s">
        <v>931</v>
      </c>
      <c r="L38" t="str">
        <f>IFERROR(VLOOKUP(Detalle_OC[[#This Row],[Centro]]&amp;Detalle_OC[[#This Row],[Nro Almacen]],Almacen!A:D,4,FALSE),"")</f>
        <v>Almacen Lobo</v>
      </c>
    </row>
    <row r="39" spans="1:12" x14ac:dyDescent="0.3">
      <c r="A39" s="29" t="str">
        <f>Detalle_OC[[#This Row],[Centro]]&amp;Detalle_OC[[#This Row],[Nom Almacen]]&amp;Detalle_OC[[#This Row],[Material]]&amp;Detalle_OC[[#This Row],[Pedido]]&amp;Detalle_OC[[#This Row],[Posicion]]</f>
        <v>Agricola del Chira PlantaMontelima721426550002493960</v>
      </c>
      <c r="B39" t="s">
        <v>28</v>
      </c>
      <c r="C39" t="s">
        <v>1108</v>
      </c>
      <c r="D39" s="11">
        <v>45671</v>
      </c>
      <c r="E39" t="s">
        <v>16</v>
      </c>
      <c r="F39" t="s">
        <v>12</v>
      </c>
      <c r="G39">
        <v>721426</v>
      </c>
      <c r="H39">
        <v>5500024939</v>
      </c>
      <c r="I39">
        <v>60</v>
      </c>
      <c r="J39" s="29">
        <v>1</v>
      </c>
      <c r="K39" s="29" t="s">
        <v>931</v>
      </c>
      <c r="L39" t="str">
        <f>IFERROR(VLOOKUP(Detalle_OC[[#This Row],[Centro]]&amp;Detalle_OC[[#This Row],[Nro Almacen]],Almacen!A:D,4,FALSE),"")</f>
        <v>Montelima</v>
      </c>
    </row>
    <row r="40" spans="1:12" x14ac:dyDescent="0.3">
      <c r="A40" s="29" t="str">
        <f>Detalle_OC[[#This Row],[Centro]]&amp;Detalle_OC[[#This Row],[Nom Almacen]]&amp;Detalle_OC[[#This Row],[Material]]&amp;Detalle_OC[[#This Row],[Pedido]]&amp;Detalle_OC[[#This Row],[Posicion]]</f>
        <v>Agricola del Chira PlantaAlmacen Lobo70113159451157442910</v>
      </c>
      <c r="B40" t="s">
        <v>33</v>
      </c>
      <c r="C40" t="s">
        <v>44</v>
      </c>
      <c r="D40" s="11">
        <v>45681</v>
      </c>
      <c r="E40" t="s">
        <v>16</v>
      </c>
      <c r="F40" t="s">
        <v>12</v>
      </c>
      <c r="G40">
        <v>70113159</v>
      </c>
      <c r="H40">
        <v>4511574429</v>
      </c>
      <c r="I40">
        <v>10</v>
      </c>
      <c r="J40" s="29">
        <v>7</v>
      </c>
      <c r="K40" s="29" t="s">
        <v>935</v>
      </c>
      <c r="L40" t="str">
        <f>IFERROR(VLOOKUP(Detalle_OC[[#This Row],[Centro]]&amp;Detalle_OC[[#This Row],[Nro Almacen]],Almacen!A:D,4,FALSE),"")</f>
        <v>Almacen Lobo</v>
      </c>
    </row>
    <row r="41" spans="1:12" x14ac:dyDescent="0.3">
      <c r="A41" s="29" t="str">
        <f>Detalle_OC[[#This Row],[Centro]]&amp;Detalle_OC[[#This Row],[Nom Almacen]]&amp;Detalle_OC[[#This Row],[Material]]&amp;Detalle_OC[[#This Row],[Pedido]]&amp;Detalle_OC[[#This Row],[Posicion]]</f>
        <v>Agricola del Chira PlantaMontelima725201550001918830</v>
      </c>
      <c r="B41" t="s">
        <v>28</v>
      </c>
      <c r="C41" t="s">
        <v>82</v>
      </c>
      <c r="D41" s="11">
        <v>45677</v>
      </c>
      <c r="E41" t="s">
        <v>16</v>
      </c>
      <c r="F41" t="s">
        <v>12</v>
      </c>
      <c r="G41">
        <v>725201</v>
      </c>
      <c r="H41">
        <v>5500019188</v>
      </c>
      <c r="I41">
        <v>30</v>
      </c>
      <c r="J41" s="29">
        <v>1</v>
      </c>
      <c r="K41" s="29" t="s">
        <v>935</v>
      </c>
      <c r="L41" t="str">
        <f>IFERROR(VLOOKUP(Detalle_OC[[#This Row],[Centro]]&amp;Detalle_OC[[#This Row],[Nro Almacen]],Almacen!A:D,4,FALSE),"")</f>
        <v>Montelima</v>
      </c>
    </row>
    <row r="42" spans="1:12" x14ac:dyDescent="0.3">
      <c r="A42" s="29" t="str">
        <f>Detalle_OC[[#This Row],[Centro]]&amp;Detalle_OC[[#This Row],[Nom Almacen]]&amp;Detalle_OC[[#This Row],[Material]]&amp;Detalle_OC[[#This Row],[Pedido]]&amp;Detalle_OC[[#This Row],[Posicion]]</f>
        <v>Agricola del Chira PlantaMontelima725201550001918830</v>
      </c>
      <c r="B42" t="s">
        <v>28</v>
      </c>
      <c r="C42" t="s">
        <v>82</v>
      </c>
      <c r="D42" s="11">
        <v>45670</v>
      </c>
      <c r="E42" t="s">
        <v>16</v>
      </c>
      <c r="F42" t="s">
        <v>12</v>
      </c>
      <c r="G42">
        <v>725201</v>
      </c>
      <c r="H42">
        <v>5500019188</v>
      </c>
      <c r="I42">
        <v>30</v>
      </c>
      <c r="J42" s="29">
        <v>1</v>
      </c>
      <c r="K42" s="29" t="s">
        <v>935</v>
      </c>
      <c r="L42" t="str">
        <f>IFERROR(VLOOKUP(Detalle_OC[[#This Row],[Centro]]&amp;Detalle_OC[[#This Row],[Nro Almacen]],Almacen!A:D,4,FALSE),"")</f>
        <v>Montelima</v>
      </c>
    </row>
    <row r="43" spans="1:12" x14ac:dyDescent="0.3">
      <c r="A43" s="29" t="str">
        <f>Detalle_OC[[#This Row],[Centro]]&amp;Detalle_OC[[#This Row],[Nom Almacen]]&amp;Detalle_OC[[#This Row],[Material]]&amp;Detalle_OC[[#This Row],[Pedido]]&amp;Detalle_OC[[#This Row],[Posicion]]</f>
        <v>Agricola del Chira PlantaMontelima738245550001918840</v>
      </c>
      <c r="B43" t="s">
        <v>28</v>
      </c>
      <c r="C43" t="s">
        <v>82</v>
      </c>
      <c r="D43" s="11">
        <v>45677</v>
      </c>
      <c r="E43" t="s">
        <v>16</v>
      </c>
      <c r="F43" t="s">
        <v>12</v>
      </c>
      <c r="G43">
        <v>738245</v>
      </c>
      <c r="H43">
        <v>5500019188</v>
      </c>
      <c r="I43">
        <v>40</v>
      </c>
      <c r="J43" s="29">
        <v>1</v>
      </c>
      <c r="K43" s="29" t="s">
        <v>935</v>
      </c>
      <c r="L43" t="str">
        <f>IFERROR(VLOOKUP(Detalle_OC[[#This Row],[Centro]]&amp;Detalle_OC[[#This Row],[Nro Almacen]],Almacen!A:D,4,FALSE),"")</f>
        <v>Montelima</v>
      </c>
    </row>
    <row r="44" spans="1:12" x14ac:dyDescent="0.3">
      <c r="A44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44" t="s">
        <v>28</v>
      </c>
      <c r="C44" t="s">
        <v>82</v>
      </c>
      <c r="D44" s="11">
        <v>45677</v>
      </c>
      <c r="E44" t="s">
        <v>16</v>
      </c>
      <c r="F44" t="s">
        <v>12</v>
      </c>
      <c r="G44">
        <v>844522</v>
      </c>
      <c r="H44">
        <v>5500019188</v>
      </c>
      <c r="I44">
        <v>150</v>
      </c>
      <c r="J44" s="29">
        <v>1</v>
      </c>
      <c r="K44" s="29" t="s">
        <v>935</v>
      </c>
      <c r="L44" t="str">
        <f>IFERROR(VLOOKUP(Detalle_OC[[#This Row],[Centro]]&amp;Detalle_OC[[#This Row],[Nro Almacen]],Almacen!A:D,4,FALSE),"")</f>
        <v>Montelima</v>
      </c>
    </row>
    <row r="45" spans="1:12" x14ac:dyDescent="0.3">
      <c r="A45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45" t="s">
        <v>28</v>
      </c>
      <c r="C45" t="s">
        <v>82</v>
      </c>
      <c r="D45" s="11">
        <v>45677</v>
      </c>
      <c r="E45" t="s">
        <v>16</v>
      </c>
      <c r="F45" t="s">
        <v>12</v>
      </c>
      <c r="G45">
        <v>844516</v>
      </c>
      <c r="H45">
        <v>5500019188</v>
      </c>
      <c r="I45">
        <v>190</v>
      </c>
      <c r="J45" s="29">
        <v>1</v>
      </c>
      <c r="K45" s="29" t="s">
        <v>935</v>
      </c>
      <c r="L45" t="str">
        <f>IFERROR(VLOOKUP(Detalle_OC[[#This Row],[Centro]]&amp;Detalle_OC[[#This Row],[Nro Almacen]],Almacen!A:D,4,FALSE),"")</f>
        <v>Montelima</v>
      </c>
    </row>
    <row r="46" spans="1:12" x14ac:dyDescent="0.3">
      <c r="A46" s="29" t="str">
        <f>Detalle_OC[[#This Row],[Centro]]&amp;Detalle_OC[[#This Row],[Nom Almacen]]&amp;Detalle_OC[[#This Row],[Material]]&amp;Detalle_OC[[#This Row],[Pedido]]&amp;Detalle_OC[[#This Row],[Posicion]]</f>
        <v>Agricola del Chira PlantaMontelima8445245500019188210</v>
      </c>
      <c r="B46" t="s">
        <v>28</v>
      </c>
      <c r="C46" t="s">
        <v>82</v>
      </c>
      <c r="D46" s="11">
        <v>45677</v>
      </c>
      <c r="E46" t="s">
        <v>16</v>
      </c>
      <c r="F46" t="s">
        <v>12</v>
      </c>
      <c r="G46">
        <v>844524</v>
      </c>
      <c r="H46">
        <v>5500019188</v>
      </c>
      <c r="I46">
        <v>210</v>
      </c>
      <c r="J46" s="29">
        <v>1</v>
      </c>
      <c r="K46" s="29" t="s">
        <v>935</v>
      </c>
      <c r="L46" t="str">
        <f>IFERROR(VLOOKUP(Detalle_OC[[#This Row],[Centro]]&amp;Detalle_OC[[#This Row],[Nro Almacen]],Almacen!A:D,4,FALSE),"")</f>
        <v>Montelima</v>
      </c>
    </row>
    <row r="47" spans="1:12" x14ac:dyDescent="0.3">
      <c r="A47" s="29" t="str">
        <f>Detalle_OC[[#This Row],[Centro]]&amp;Detalle_OC[[#This Row],[Nom Almacen]]&amp;Detalle_OC[[#This Row],[Material]]&amp;Detalle_OC[[#This Row],[Pedido]]&amp;Detalle_OC[[#This Row],[Posicion]]</f>
        <v>Agricola del Chira PlantaMontelima8445185500019188270</v>
      </c>
      <c r="B47" t="s">
        <v>28</v>
      </c>
      <c r="C47" t="s">
        <v>82</v>
      </c>
      <c r="D47" s="11">
        <v>45677</v>
      </c>
      <c r="E47" t="s">
        <v>16</v>
      </c>
      <c r="F47" t="s">
        <v>12</v>
      </c>
      <c r="G47">
        <v>844518</v>
      </c>
      <c r="H47">
        <v>5500019188</v>
      </c>
      <c r="I47">
        <v>270</v>
      </c>
      <c r="J47" s="29">
        <v>1</v>
      </c>
      <c r="K47" s="29" t="s">
        <v>935</v>
      </c>
      <c r="L47" t="str">
        <f>IFERROR(VLOOKUP(Detalle_OC[[#This Row],[Centro]]&amp;Detalle_OC[[#This Row],[Nro Almacen]],Almacen!A:D,4,FALSE),"")</f>
        <v>Montelima</v>
      </c>
    </row>
    <row r="48" spans="1:12" x14ac:dyDescent="0.3">
      <c r="A48" s="29" t="str">
        <f>Detalle_OC[[#This Row],[Centro]]&amp;Detalle_OC[[#This Row],[Nom Almacen]]&amp;Detalle_OC[[#This Row],[Material]]&amp;Detalle_OC[[#This Row],[Pedido]]&amp;Detalle_OC[[#This Row],[Posicion]]</f>
        <v>Agricola del Chira PlantaMontelima8445185500019188270</v>
      </c>
      <c r="B48" t="s">
        <v>28</v>
      </c>
      <c r="C48" t="s">
        <v>82</v>
      </c>
      <c r="D48" s="11">
        <v>45670</v>
      </c>
      <c r="E48" t="s">
        <v>16</v>
      </c>
      <c r="F48" t="s">
        <v>12</v>
      </c>
      <c r="G48">
        <v>844518</v>
      </c>
      <c r="H48">
        <v>5500019188</v>
      </c>
      <c r="I48">
        <v>270</v>
      </c>
      <c r="J48" s="29">
        <v>1</v>
      </c>
      <c r="K48" s="29" t="s">
        <v>935</v>
      </c>
      <c r="L48" t="str">
        <f>IFERROR(VLOOKUP(Detalle_OC[[#This Row],[Centro]]&amp;Detalle_OC[[#This Row],[Nro Almacen]],Almacen!A:D,4,FALSE),"")</f>
        <v>Montelima</v>
      </c>
    </row>
    <row r="49" spans="1:12" x14ac:dyDescent="0.3">
      <c r="A49" s="29" t="str">
        <f>Detalle_OC[[#This Row],[Centro]]&amp;Detalle_OC[[#This Row],[Nom Almacen]]&amp;Detalle_OC[[#This Row],[Material]]&amp;Detalle_OC[[#This Row],[Pedido]]&amp;Detalle_OC[[#This Row],[Posicion]]</f>
        <v>Agricola del Chira PlantaMontelima8445515500019188320</v>
      </c>
      <c r="B49" t="s">
        <v>28</v>
      </c>
      <c r="C49" t="s">
        <v>82</v>
      </c>
      <c r="D49" s="11">
        <v>45677</v>
      </c>
      <c r="E49" t="s">
        <v>16</v>
      </c>
      <c r="F49" t="s">
        <v>12</v>
      </c>
      <c r="G49">
        <v>844551</v>
      </c>
      <c r="H49">
        <v>5500019188</v>
      </c>
      <c r="I49">
        <v>320</v>
      </c>
      <c r="J49" s="29">
        <v>1</v>
      </c>
      <c r="K49" s="29" t="s">
        <v>935</v>
      </c>
      <c r="L49" t="str">
        <f>IFERROR(VLOOKUP(Detalle_OC[[#This Row],[Centro]]&amp;Detalle_OC[[#This Row],[Nro Almacen]],Almacen!A:D,4,FALSE),"")</f>
        <v>Montelima</v>
      </c>
    </row>
    <row r="50" spans="1:12" x14ac:dyDescent="0.3">
      <c r="A50" s="29" t="str">
        <f>Detalle_OC[[#This Row],[Centro]]&amp;Detalle_OC[[#This Row],[Nom Almacen]]&amp;Detalle_OC[[#This Row],[Material]]&amp;Detalle_OC[[#This Row],[Pedido]]&amp;Detalle_OC[[#This Row],[Posicion]]</f>
        <v>Agricola del Chira PlantaMontelima8445135500019188450</v>
      </c>
      <c r="B50" t="s">
        <v>28</v>
      </c>
      <c r="C50" t="s">
        <v>82</v>
      </c>
      <c r="D50" s="11">
        <v>45677</v>
      </c>
      <c r="E50" t="s">
        <v>16</v>
      </c>
      <c r="F50" t="s">
        <v>12</v>
      </c>
      <c r="G50">
        <v>844513</v>
      </c>
      <c r="H50">
        <v>5500019188</v>
      </c>
      <c r="I50">
        <v>450</v>
      </c>
      <c r="J50" s="29">
        <v>1</v>
      </c>
      <c r="K50" s="29" t="s">
        <v>935</v>
      </c>
      <c r="L50" t="str">
        <f>IFERROR(VLOOKUP(Detalle_OC[[#This Row],[Centro]]&amp;Detalle_OC[[#This Row],[Nro Almacen]],Almacen!A:D,4,FALSE),"")</f>
        <v>Montelima</v>
      </c>
    </row>
    <row r="51" spans="1:12" x14ac:dyDescent="0.3">
      <c r="A51" s="29" t="str">
        <f>Detalle_OC[[#This Row],[Centro]]&amp;Detalle_OC[[#This Row],[Nom Almacen]]&amp;Detalle_OC[[#This Row],[Material]]&amp;Detalle_OC[[#This Row],[Pedido]]&amp;Detalle_OC[[#This Row],[Posicion]]</f>
        <v>Agricola del Chira PlantaMontelima8445135500019188450</v>
      </c>
      <c r="B51" t="s">
        <v>28</v>
      </c>
      <c r="C51" t="s">
        <v>82</v>
      </c>
      <c r="D51" s="11">
        <v>45670</v>
      </c>
      <c r="E51" t="s">
        <v>16</v>
      </c>
      <c r="F51" t="s">
        <v>12</v>
      </c>
      <c r="G51">
        <v>844513</v>
      </c>
      <c r="H51">
        <v>5500019188</v>
      </c>
      <c r="I51">
        <v>450</v>
      </c>
      <c r="J51" s="29">
        <v>1</v>
      </c>
      <c r="K51" s="29" t="s">
        <v>935</v>
      </c>
      <c r="L51" t="str">
        <f>IFERROR(VLOOKUP(Detalle_OC[[#This Row],[Centro]]&amp;Detalle_OC[[#This Row],[Nro Almacen]],Almacen!A:D,4,FALSE),"")</f>
        <v>Montelima</v>
      </c>
    </row>
    <row r="52" spans="1:12" x14ac:dyDescent="0.3">
      <c r="A52" s="29" t="str">
        <f>Detalle_OC[[#This Row],[Centro]]&amp;Detalle_OC[[#This Row],[Nom Almacen]]&amp;Detalle_OC[[#This Row],[Material]]&amp;Detalle_OC[[#This Row],[Pedido]]&amp;Detalle_OC[[#This Row],[Posicion]]</f>
        <v>Agricola del Chira PlantaMontelima8445385500019188560</v>
      </c>
      <c r="B52" t="s">
        <v>28</v>
      </c>
      <c r="C52" t="s">
        <v>82</v>
      </c>
      <c r="D52" s="11">
        <v>45677</v>
      </c>
      <c r="E52" t="s">
        <v>16</v>
      </c>
      <c r="F52" t="s">
        <v>12</v>
      </c>
      <c r="G52">
        <v>844538</v>
      </c>
      <c r="H52">
        <v>5500019188</v>
      </c>
      <c r="I52">
        <v>560</v>
      </c>
      <c r="J52" s="29">
        <v>1</v>
      </c>
      <c r="K52" s="29" t="s">
        <v>935</v>
      </c>
      <c r="L52" t="str">
        <f>IFERROR(VLOOKUP(Detalle_OC[[#This Row],[Centro]]&amp;Detalle_OC[[#This Row],[Nro Almacen]],Almacen!A:D,4,FALSE),"")</f>
        <v>Montelima</v>
      </c>
    </row>
    <row r="53" spans="1:12" x14ac:dyDescent="0.3">
      <c r="A53" s="29" t="str">
        <f>Detalle_OC[[#This Row],[Centro]]&amp;Detalle_OC[[#This Row],[Nom Almacen]]&amp;Detalle_OC[[#This Row],[Material]]&amp;Detalle_OC[[#This Row],[Pedido]]&amp;Detalle_OC[[#This Row],[Posicion]]</f>
        <v>Agricola del Chira PlantaMontelima8457155500019188650</v>
      </c>
      <c r="B53" t="s">
        <v>28</v>
      </c>
      <c r="C53" t="s">
        <v>82</v>
      </c>
      <c r="D53" s="11">
        <v>45677</v>
      </c>
      <c r="E53" t="s">
        <v>16</v>
      </c>
      <c r="F53" t="s">
        <v>12</v>
      </c>
      <c r="G53">
        <v>845715</v>
      </c>
      <c r="H53">
        <v>5500019188</v>
      </c>
      <c r="I53">
        <v>650</v>
      </c>
      <c r="J53" s="29">
        <v>1</v>
      </c>
      <c r="K53" s="29" t="s">
        <v>935</v>
      </c>
      <c r="L53" t="str">
        <f>IFERROR(VLOOKUP(Detalle_OC[[#This Row],[Centro]]&amp;Detalle_OC[[#This Row],[Nro Almacen]],Almacen!A:D,4,FALSE),"")</f>
        <v>Montelima</v>
      </c>
    </row>
    <row r="54" spans="1:12" x14ac:dyDescent="0.3">
      <c r="A54" s="29" t="str">
        <f>Detalle_OC[[#This Row],[Centro]]&amp;Detalle_OC[[#This Row],[Nom Almacen]]&amp;Detalle_OC[[#This Row],[Material]]&amp;Detalle_OC[[#This Row],[Pedido]]&amp;Detalle_OC[[#This Row],[Posicion]]</f>
        <v>Agricola del Chira PlantaMontelima8459045500019188720</v>
      </c>
      <c r="B54" t="s">
        <v>28</v>
      </c>
      <c r="C54" t="s">
        <v>82</v>
      </c>
      <c r="D54" s="11">
        <v>45677</v>
      </c>
      <c r="E54" t="s">
        <v>16</v>
      </c>
      <c r="F54" t="s">
        <v>12</v>
      </c>
      <c r="G54">
        <v>845904</v>
      </c>
      <c r="H54">
        <v>5500019188</v>
      </c>
      <c r="I54">
        <v>720</v>
      </c>
      <c r="J54" s="29">
        <v>1</v>
      </c>
      <c r="K54" s="29" t="s">
        <v>935</v>
      </c>
      <c r="L54" t="str">
        <f>IFERROR(VLOOKUP(Detalle_OC[[#This Row],[Centro]]&amp;Detalle_OC[[#This Row],[Nro Almacen]],Almacen!A:D,4,FALSE),"")</f>
        <v>Montelima</v>
      </c>
    </row>
    <row r="55" spans="1:12" x14ac:dyDescent="0.3">
      <c r="A55" s="29" t="str">
        <f>Detalle_OC[[#This Row],[Centro]]&amp;Detalle_OC[[#This Row],[Nom Almacen]]&amp;Detalle_OC[[#This Row],[Material]]&amp;Detalle_OC[[#This Row],[Pedido]]&amp;Detalle_OC[[#This Row],[Posicion]]</f>
        <v>Agricola del Chira PlantaMontelima8445015500019188760</v>
      </c>
      <c r="B55" t="s">
        <v>28</v>
      </c>
      <c r="C55" t="s">
        <v>82</v>
      </c>
      <c r="D55" s="11">
        <v>45677</v>
      </c>
      <c r="E55" t="s">
        <v>16</v>
      </c>
      <c r="F55" t="s">
        <v>12</v>
      </c>
      <c r="G55">
        <v>844501</v>
      </c>
      <c r="H55">
        <v>5500019188</v>
      </c>
      <c r="I55">
        <v>760</v>
      </c>
      <c r="J55" s="29">
        <v>1</v>
      </c>
      <c r="K55" s="29" t="s">
        <v>935</v>
      </c>
      <c r="L55" t="str">
        <f>IFERROR(VLOOKUP(Detalle_OC[[#This Row],[Centro]]&amp;Detalle_OC[[#This Row],[Nro Almacen]],Almacen!A:D,4,FALSE),"")</f>
        <v>Montelima</v>
      </c>
    </row>
    <row r="56" spans="1:12" x14ac:dyDescent="0.3">
      <c r="A56" s="29" t="str">
        <f>Detalle_OC[[#This Row],[Centro]]&amp;Detalle_OC[[#This Row],[Nom Almacen]]&amp;Detalle_OC[[#This Row],[Material]]&amp;Detalle_OC[[#This Row],[Pedido]]&amp;Detalle_OC[[#This Row],[Posicion]]</f>
        <v>Agricola del Chira PlantaMontelima83106655000191881040</v>
      </c>
      <c r="B56" t="s">
        <v>28</v>
      </c>
      <c r="C56" t="s">
        <v>82</v>
      </c>
      <c r="D56" s="11">
        <v>45691</v>
      </c>
      <c r="E56" t="s">
        <v>16</v>
      </c>
      <c r="F56" t="s">
        <v>12</v>
      </c>
      <c r="G56">
        <v>831066</v>
      </c>
      <c r="H56">
        <v>5500019188</v>
      </c>
      <c r="I56">
        <v>1040</v>
      </c>
      <c r="J56" s="29">
        <v>1</v>
      </c>
      <c r="K56" s="29" t="s">
        <v>935</v>
      </c>
      <c r="L56" t="str">
        <f>IFERROR(VLOOKUP(Detalle_OC[[#This Row],[Centro]]&amp;Detalle_OC[[#This Row],[Nro Almacen]],Almacen!A:D,4,FALSE),"")</f>
        <v>Montelima</v>
      </c>
    </row>
    <row r="57" spans="1:12" x14ac:dyDescent="0.3">
      <c r="A57" s="29" t="str">
        <f>Detalle_OC[[#This Row],[Centro]]&amp;Detalle_OC[[#This Row],[Nom Almacen]]&amp;Detalle_OC[[#This Row],[Material]]&amp;Detalle_OC[[#This Row],[Pedido]]&amp;Detalle_OC[[#This Row],[Posicion]]</f>
        <v>Agricola del Chira PlantaMontelima83605255000191881460</v>
      </c>
      <c r="B57" t="s">
        <v>28</v>
      </c>
      <c r="C57" t="s">
        <v>82</v>
      </c>
      <c r="D57" s="11">
        <v>45677</v>
      </c>
      <c r="E57" t="s">
        <v>16</v>
      </c>
      <c r="F57" t="s">
        <v>12</v>
      </c>
      <c r="G57">
        <v>836052</v>
      </c>
      <c r="H57">
        <v>5500019188</v>
      </c>
      <c r="I57">
        <v>1460</v>
      </c>
      <c r="J57" s="29">
        <v>1</v>
      </c>
      <c r="K57" s="29" t="s">
        <v>935</v>
      </c>
      <c r="L57" t="str">
        <f>IFERROR(VLOOKUP(Detalle_OC[[#This Row],[Centro]]&amp;Detalle_OC[[#This Row],[Nro Almacen]],Almacen!A:D,4,FALSE),"")</f>
        <v>Montelima</v>
      </c>
    </row>
    <row r="58" spans="1:12" x14ac:dyDescent="0.3">
      <c r="A58" s="29" t="str">
        <f>Detalle_OC[[#This Row],[Centro]]&amp;Detalle_OC[[#This Row],[Nom Almacen]]&amp;Detalle_OC[[#This Row],[Material]]&amp;Detalle_OC[[#This Row],[Pedido]]&amp;Detalle_OC[[#This Row],[Posicion]]</f>
        <v>Agricola del Chira PlantaMontelima709179550002233820</v>
      </c>
      <c r="B58" t="s">
        <v>28</v>
      </c>
      <c r="C58" t="s">
        <v>84</v>
      </c>
      <c r="D58" s="11">
        <v>45675</v>
      </c>
      <c r="E58" t="s">
        <v>16</v>
      </c>
      <c r="F58" t="s">
        <v>12</v>
      </c>
      <c r="G58">
        <v>709179</v>
      </c>
      <c r="H58">
        <v>5500022338</v>
      </c>
      <c r="I58">
        <v>20</v>
      </c>
      <c r="J58" s="29">
        <v>1</v>
      </c>
      <c r="K58" s="29" t="s">
        <v>935</v>
      </c>
      <c r="L58" t="str">
        <f>IFERROR(VLOOKUP(Detalle_OC[[#This Row],[Centro]]&amp;Detalle_OC[[#This Row],[Nro Almacen]],Almacen!A:D,4,FALSE),"")</f>
        <v>Montelima</v>
      </c>
    </row>
    <row r="59" spans="1:12" x14ac:dyDescent="0.3">
      <c r="A59" s="29" t="str">
        <f>Detalle_OC[[#This Row],[Centro]]&amp;Detalle_OC[[#This Row],[Nom Almacen]]&amp;Detalle_OC[[#This Row],[Material]]&amp;Detalle_OC[[#This Row],[Pedido]]&amp;Detalle_OC[[#This Row],[Posicion]]</f>
        <v>Agricola del Chira PlantaMontelima808069550002233830</v>
      </c>
      <c r="B59" t="s">
        <v>28</v>
      </c>
      <c r="C59" t="s">
        <v>84</v>
      </c>
      <c r="D59" s="11">
        <v>45675</v>
      </c>
      <c r="E59" t="s">
        <v>16</v>
      </c>
      <c r="F59" t="s">
        <v>12</v>
      </c>
      <c r="G59">
        <v>808069</v>
      </c>
      <c r="H59">
        <v>5500022338</v>
      </c>
      <c r="I59">
        <v>30</v>
      </c>
      <c r="J59" s="29">
        <v>1</v>
      </c>
      <c r="K59" s="29" t="s">
        <v>935</v>
      </c>
      <c r="L59" t="str">
        <f>IFERROR(VLOOKUP(Detalle_OC[[#This Row],[Centro]]&amp;Detalle_OC[[#This Row],[Nro Almacen]],Almacen!A:D,4,FALSE),"")</f>
        <v>Montelima</v>
      </c>
    </row>
    <row r="60" spans="1:12" x14ac:dyDescent="0.3">
      <c r="A60" s="29" t="str">
        <f>Detalle_OC[[#This Row],[Centro]]&amp;Detalle_OC[[#This Row],[Nom Almacen]]&amp;Detalle_OC[[#This Row],[Material]]&amp;Detalle_OC[[#This Row],[Pedido]]&amp;Detalle_OC[[#This Row],[Posicion]]</f>
        <v>Agricola del Chira PlantaMontelima708707550002233850</v>
      </c>
      <c r="B60" t="s">
        <v>28</v>
      </c>
      <c r="C60" t="s">
        <v>84</v>
      </c>
      <c r="D60" s="11">
        <v>45675</v>
      </c>
      <c r="E60" t="s">
        <v>16</v>
      </c>
      <c r="F60" t="s">
        <v>12</v>
      </c>
      <c r="G60">
        <v>708707</v>
      </c>
      <c r="H60">
        <v>5500022338</v>
      </c>
      <c r="I60">
        <v>50</v>
      </c>
      <c r="J60" s="29">
        <v>1</v>
      </c>
      <c r="K60" s="29" t="s">
        <v>935</v>
      </c>
      <c r="L60" t="str">
        <f>IFERROR(VLOOKUP(Detalle_OC[[#This Row],[Centro]]&amp;Detalle_OC[[#This Row],[Nro Almacen]],Almacen!A:D,4,FALSE),"")</f>
        <v>Montelima</v>
      </c>
    </row>
    <row r="61" spans="1:12" x14ac:dyDescent="0.3">
      <c r="A61" s="29" t="str">
        <f>Detalle_OC[[#This Row],[Centro]]&amp;Detalle_OC[[#This Row],[Nom Almacen]]&amp;Detalle_OC[[#This Row],[Material]]&amp;Detalle_OC[[#This Row],[Pedido]]&amp;Detalle_OC[[#This Row],[Posicion]]</f>
        <v>Agricola del Chira PlantaMontelima813224550002233870</v>
      </c>
      <c r="B61" t="s">
        <v>28</v>
      </c>
      <c r="C61" t="s">
        <v>84</v>
      </c>
      <c r="D61" s="11">
        <v>45675</v>
      </c>
      <c r="E61" t="s">
        <v>16</v>
      </c>
      <c r="F61" t="s">
        <v>12</v>
      </c>
      <c r="G61">
        <v>813224</v>
      </c>
      <c r="H61">
        <v>5500022338</v>
      </c>
      <c r="I61">
        <v>70</v>
      </c>
      <c r="J61" s="29">
        <v>1</v>
      </c>
      <c r="K61" s="29" t="s">
        <v>935</v>
      </c>
      <c r="L61" t="str">
        <f>IFERROR(VLOOKUP(Detalle_OC[[#This Row],[Centro]]&amp;Detalle_OC[[#This Row],[Nro Almacen]],Almacen!A:D,4,FALSE),"")</f>
        <v>Montelima</v>
      </c>
    </row>
    <row r="62" spans="1:12" x14ac:dyDescent="0.3">
      <c r="A62" s="29" t="str">
        <f>Detalle_OC[[#This Row],[Centro]]&amp;Detalle_OC[[#This Row],[Nom Almacen]]&amp;Detalle_OC[[#This Row],[Material]]&amp;Detalle_OC[[#This Row],[Pedido]]&amp;Detalle_OC[[#This Row],[Posicion]]</f>
        <v>Agricola del Chira PlantaMontelima70032053550002233880</v>
      </c>
      <c r="B62" t="s">
        <v>28</v>
      </c>
      <c r="C62" t="s">
        <v>84</v>
      </c>
      <c r="D62" s="11">
        <v>45675</v>
      </c>
      <c r="E62" t="s">
        <v>16</v>
      </c>
      <c r="F62" t="s">
        <v>12</v>
      </c>
      <c r="G62">
        <v>70032053</v>
      </c>
      <c r="H62">
        <v>5500022338</v>
      </c>
      <c r="I62">
        <v>80</v>
      </c>
      <c r="J62" s="29">
        <v>1</v>
      </c>
      <c r="K62" s="29" t="s">
        <v>935</v>
      </c>
      <c r="L62" t="str">
        <f>IFERROR(VLOOKUP(Detalle_OC[[#This Row],[Centro]]&amp;Detalle_OC[[#This Row],[Nro Almacen]],Almacen!A:D,4,FALSE),"")</f>
        <v>Montelima</v>
      </c>
    </row>
    <row r="63" spans="1:12" x14ac:dyDescent="0.3">
      <c r="A63" s="29" t="str">
        <f>Detalle_OC[[#This Row],[Centro]]&amp;Detalle_OC[[#This Row],[Nom Almacen]]&amp;Detalle_OC[[#This Row],[Material]]&amp;Detalle_OC[[#This Row],[Pedido]]&amp;Detalle_OC[[#This Row],[Posicion]]</f>
        <v>Agricola del Chira PlantaMontelima70084357550002468140</v>
      </c>
      <c r="B63" t="s">
        <v>28</v>
      </c>
      <c r="C63" t="s">
        <v>84</v>
      </c>
      <c r="D63" s="11">
        <v>45677</v>
      </c>
      <c r="E63" t="s">
        <v>16</v>
      </c>
      <c r="F63" t="s">
        <v>12</v>
      </c>
      <c r="G63">
        <v>70084357</v>
      </c>
      <c r="H63">
        <v>5500024681</v>
      </c>
      <c r="I63">
        <v>40</v>
      </c>
      <c r="J63" s="29">
        <v>1</v>
      </c>
      <c r="K63" s="29" t="s">
        <v>935</v>
      </c>
      <c r="L63" t="str">
        <f>IFERROR(VLOOKUP(Detalle_OC[[#This Row],[Centro]]&amp;Detalle_OC[[#This Row],[Nro Almacen]],Almacen!A:D,4,FALSE),"")</f>
        <v>Montelima</v>
      </c>
    </row>
    <row r="64" spans="1:12" x14ac:dyDescent="0.3">
      <c r="A64" s="29" t="str">
        <f>Detalle_OC[[#This Row],[Centro]]&amp;Detalle_OC[[#This Row],[Nom Almacen]]&amp;Detalle_OC[[#This Row],[Material]]&amp;Detalle_OC[[#This Row],[Pedido]]&amp;Detalle_OC[[#This Row],[Posicion]]</f>
        <v>Agricola del Chira PlantaMontelima70084360550002468150</v>
      </c>
      <c r="B64" t="s">
        <v>28</v>
      </c>
      <c r="C64" t="s">
        <v>84</v>
      </c>
      <c r="D64" s="11">
        <v>45677</v>
      </c>
      <c r="E64" t="s">
        <v>16</v>
      </c>
      <c r="F64" t="s">
        <v>12</v>
      </c>
      <c r="G64">
        <v>70084360</v>
      </c>
      <c r="H64">
        <v>5500024681</v>
      </c>
      <c r="I64">
        <v>50</v>
      </c>
      <c r="J64" s="29">
        <v>1</v>
      </c>
      <c r="K64" s="29" t="s">
        <v>935</v>
      </c>
      <c r="L64" t="str">
        <f>IFERROR(VLOOKUP(Detalle_OC[[#This Row],[Centro]]&amp;Detalle_OC[[#This Row],[Nro Almacen]],Almacen!A:D,4,FALSE),"")</f>
        <v>Montelima</v>
      </c>
    </row>
    <row r="65" spans="1:12" x14ac:dyDescent="0.3">
      <c r="A65" s="29" t="str">
        <f>Detalle_OC[[#This Row],[Centro]]&amp;Detalle_OC[[#This Row],[Nom Almacen]]&amp;Detalle_OC[[#This Row],[Material]]&amp;Detalle_OC[[#This Row],[Pedido]]&amp;Detalle_OC[[#This Row],[Posicion]]</f>
        <v>Agricola del Chira PlantaMontelima70084367550002468170</v>
      </c>
      <c r="B65" t="s">
        <v>28</v>
      </c>
      <c r="C65" t="s">
        <v>84</v>
      </c>
      <c r="D65" s="11">
        <v>45677</v>
      </c>
      <c r="E65" t="s">
        <v>16</v>
      </c>
      <c r="F65" t="s">
        <v>12</v>
      </c>
      <c r="G65">
        <v>70084367</v>
      </c>
      <c r="H65">
        <v>5500024681</v>
      </c>
      <c r="I65">
        <v>70</v>
      </c>
      <c r="J65" s="29">
        <v>1</v>
      </c>
      <c r="K65" s="29" t="s">
        <v>935</v>
      </c>
      <c r="L65" t="str">
        <f>IFERROR(VLOOKUP(Detalle_OC[[#This Row],[Centro]]&amp;Detalle_OC[[#This Row],[Nro Almacen]],Almacen!A:D,4,FALSE),"")</f>
        <v>Montelima</v>
      </c>
    </row>
    <row r="66" spans="1:12" x14ac:dyDescent="0.3">
      <c r="A66" s="29" t="str">
        <f>Detalle_OC[[#This Row],[Centro]]&amp;Detalle_OC[[#This Row],[Nom Almacen]]&amp;Detalle_OC[[#This Row],[Material]]&amp;Detalle_OC[[#This Row],[Pedido]]&amp;Detalle_OC[[#This Row],[Posicion]]</f>
        <v>Agricola del Chira PlantaMontelima70084371550002468180</v>
      </c>
      <c r="B66" t="s">
        <v>28</v>
      </c>
      <c r="C66" t="s">
        <v>84</v>
      </c>
      <c r="D66" s="11">
        <v>45680</v>
      </c>
      <c r="E66" t="s">
        <v>16</v>
      </c>
      <c r="F66" t="s">
        <v>12</v>
      </c>
      <c r="G66">
        <v>70084371</v>
      </c>
      <c r="H66">
        <v>5500024681</v>
      </c>
      <c r="I66">
        <v>80</v>
      </c>
      <c r="J66" s="29">
        <v>1</v>
      </c>
      <c r="K66" s="29" t="s">
        <v>935</v>
      </c>
      <c r="L66" t="str">
        <f>IFERROR(VLOOKUP(Detalle_OC[[#This Row],[Centro]]&amp;Detalle_OC[[#This Row],[Nro Almacen]],Almacen!A:D,4,FALSE),"")</f>
        <v>Montelima</v>
      </c>
    </row>
    <row r="67" spans="1:12" x14ac:dyDescent="0.3">
      <c r="A67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67" t="s">
        <v>28</v>
      </c>
      <c r="C67" t="s">
        <v>94</v>
      </c>
      <c r="D67" s="11">
        <v>45685</v>
      </c>
      <c r="E67" t="s">
        <v>16</v>
      </c>
      <c r="F67" t="s">
        <v>85</v>
      </c>
      <c r="G67" t="s">
        <v>95</v>
      </c>
      <c r="H67">
        <v>5500024746</v>
      </c>
      <c r="I67">
        <v>10</v>
      </c>
      <c r="J67" s="29">
        <v>1</v>
      </c>
      <c r="K67" s="29" t="s">
        <v>935</v>
      </c>
      <c r="L67" t="str">
        <f>IFERROR(VLOOKUP(Detalle_OC[[#This Row],[Centro]]&amp;Detalle_OC[[#This Row],[Nro Almacen]],Almacen!A:D,4,FALSE),"")</f>
        <v>Montelima</v>
      </c>
    </row>
    <row r="68" spans="1:12" x14ac:dyDescent="0.3">
      <c r="A68" s="29" t="str">
        <f>Detalle_OC[[#This Row],[Centro]]&amp;Detalle_OC[[#This Row],[Nom Almacen]]&amp;Detalle_OC[[#This Row],[Material]]&amp;Detalle_OC[[#This Row],[Pedido]]&amp;Detalle_OC[[#This Row],[Posicion]]</f>
        <v>Agricola del Chira PlantaMontelima70100392550002475110</v>
      </c>
      <c r="B68" t="s">
        <v>28</v>
      </c>
      <c r="C68" t="s">
        <v>54</v>
      </c>
      <c r="D68" s="11">
        <v>45670</v>
      </c>
      <c r="E68" t="s">
        <v>16</v>
      </c>
      <c r="F68" t="s">
        <v>12</v>
      </c>
      <c r="G68">
        <v>70100392</v>
      </c>
      <c r="H68">
        <v>5500024751</v>
      </c>
      <c r="I68">
        <v>10</v>
      </c>
      <c r="J68" s="29">
        <v>1</v>
      </c>
      <c r="K68" s="29" t="s">
        <v>935</v>
      </c>
      <c r="L68" t="str">
        <f>IFERROR(VLOOKUP(Detalle_OC[[#This Row],[Centro]]&amp;Detalle_OC[[#This Row],[Nro Almacen]],Almacen!A:D,4,FALSE),"")</f>
        <v>Montelima</v>
      </c>
    </row>
    <row r="69" spans="1:12" x14ac:dyDescent="0.3">
      <c r="A69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69" t="s">
        <v>28</v>
      </c>
      <c r="C69" t="s">
        <v>54</v>
      </c>
      <c r="D69" s="11">
        <v>45670</v>
      </c>
      <c r="E69" t="s">
        <v>16</v>
      </c>
      <c r="F69" t="s">
        <v>12</v>
      </c>
      <c r="G69">
        <v>70100392</v>
      </c>
      <c r="H69">
        <v>5500024751</v>
      </c>
      <c r="I69">
        <v>20</v>
      </c>
      <c r="J69" s="29">
        <v>2</v>
      </c>
      <c r="K69" s="29" t="s">
        <v>935</v>
      </c>
      <c r="L69" t="str">
        <f>IFERROR(VLOOKUP(Detalle_OC[[#This Row],[Centro]]&amp;Detalle_OC[[#This Row],[Nro Almacen]],Almacen!A:D,4,FALSE),"")</f>
        <v>La Huaca</v>
      </c>
    </row>
    <row r="70" spans="1:12" x14ac:dyDescent="0.3">
      <c r="A70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70" t="s">
        <v>28</v>
      </c>
      <c r="C70" t="s">
        <v>54</v>
      </c>
      <c r="D70" s="11">
        <v>45670</v>
      </c>
      <c r="E70" t="s">
        <v>16</v>
      </c>
      <c r="F70" t="s">
        <v>12</v>
      </c>
      <c r="G70">
        <v>70100392</v>
      </c>
      <c r="H70">
        <v>5500024751</v>
      </c>
      <c r="I70">
        <v>40</v>
      </c>
      <c r="J70" s="29">
        <v>7</v>
      </c>
      <c r="K70" s="29" t="s">
        <v>935</v>
      </c>
      <c r="L70" t="str">
        <f>IFERROR(VLOOKUP(Detalle_OC[[#This Row],[Centro]]&amp;Detalle_OC[[#This Row],[Nro Almacen]],Almacen!A:D,4,FALSE),"")</f>
        <v>Almacen Lobo</v>
      </c>
    </row>
    <row r="71" spans="1:12" x14ac:dyDescent="0.3">
      <c r="A71" s="29" t="str">
        <f>Detalle_OC[[#This Row],[Centro]]&amp;Detalle_OC[[#This Row],[Nom Almacen]]&amp;Detalle_OC[[#This Row],[Material]]&amp;Detalle_OC[[#This Row],[Pedido]]&amp;Detalle_OC[[#This Row],[Posicion]]</f>
        <v>Agricola del Chira PlantaAlmacen LoboMWAGR000058       550002481520</v>
      </c>
      <c r="B71" t="s">
        <v>28</v>
      </c>
      <c r="C71" t="s">
        <v>112</v>
      </c>
      <c r="D71" s="11">
        <v>45670</v>
      </c>
      <c r="E71" t="s">
        <v>16</v>
      </c>
      <c r="F71" t="s">
        <v>12</v>
      </c>
      <c r="G71" t="s">
        <v>113</v>
      </c>
      <c r="H71">
        <v>5500024815</v>
      </c>
      <c r="I71">
        <v>20</v>
      </c>
      <c r="J71" s="29">
        <v>7</v>
      </c>
      <c r="K71" s="29" t="s">
        <v>935</v>
      </c>
      <c r="L71" t="str">
        <f>IFERROR(VLOOKUP(Detalle_OC[[#This Row],[Centro]]&amp;Detalle_OC[[#This Row],[Nro Almacen]],Almacen!A:D,4,FALSE),"")</f>
        <v>Almacen Lobo</v>
      </c>
    </row>
    <row r="72" spans="1:12" x14ac:dyDescent="0.3">
      <c r="A72" s="29" t="str">
        <f>Detalle_OC[[#This Row],[Centro]]&amp;Detalle_OC[[#This Row],[Nom Almacen]]&amp;Detalle_OC[[#This Row],[Material]]&amp;Detalle_OC[[#This Row],[Pedido]]&amp;Detalle_OC[[#This Row],[Posicion]]</f>
        <v>Agricola del Chira PlantaMontelima721669550002485530</v>
      </c>
      <c r="B72" t="s">
        <v>28</v>
      </c>
      <c r="C72" t="s">
        <v>96</v>
      </c>
      <c r="D72" s="11">
        <v>45677</v>
      </c>
      <c r="E72" t="s">
        <v>16</v>
      </c>
      <c r="F72" t="s">
        <v>12</v>
      </c>
      <c r="G72">
        <v>721669</v>
      </c>
      <c r="H72">
        <v>5500024855</v>
      </c>
      <c r="I72">
        <v>30</v>
      </c>
      <c r="J72" s="29">
        <v>1</v>
      </c>
      <c r="K72" s="29" t="s">
        <v>935</v>
      </c>
      <c r="L72" t="str">
        <f>IFERROR(VLOOKUP(Detalle_OC[[#This Row],[Centro]]&amp;Detalle_OC[[#This Row],[Nro Almacen]],Almacen!A:D,4,FALSE),"")</f>
        <v>Montelima</v>
      </c>
    </row>
    <row r="73" spans="1:12" x14ac:dyDescent="0.3">
      <c r="A73" s="29" t="str">
        <f>Detalle_OC[[#This Row],[Centro]]&amp;Detalle_OC[[#This Row],[Nom Almacen]]&amp;Detalle_OC[[#This Row],[Material]]&amp;Detalle_OC[[#This Row],[Pedido]]&amp;Detalle_OC[[#This Row],[Posicion]]</f>
        <v>Agricola del Chira PlantaMontelima700691795500024855110</v>
      </c>
      <c r="B73" t="s">
        <v>28</v>
      </c>
      <c r="C73" t="s">
        <v>96</v>
      </c>
      <c r="D73" s="11">
        <v>45677</v>
      </c>
      <c r="E73" t="s">
        <v>16</v>
      </c>
      <c r="F73" t="s">
        <v>12</v>
      </c>
      <c r="G73">
        <v>70069179</v>
      </c>
      <c r="H73">
        <v>5500024855</v>
      </c>
      <c r="I73">
        <v>110</v>
      </c>
      <c r="J73" s="29">
        <v>1</v>
      </c>
      <c r="K73" s="29" t="s">
        <v>935</v>
      </c>
      <c r="L73" t="str">
        <f>IFERROR(VLOOKUP(Detalle_OC[[#This Row],[Centro]]&amp;Detalle_OC[[#This Row],[Nro Almacen]],Almacen!A:D,4,FALSE),"")</f>
        <v>Montelima</v>
      </c>
    </row>
    <row r="74" spans="1:12" x14ac:dyDescent="0.3">
      <c r="A74" s="29" t="str">
        <f>Detalle_OC[[#This Row],[Centro]]&amp;Detalle_OC[[#This Row],[Nom Almacen]]&amp;Detalle_OC[[#This Row],[Material]]&amp;Detalle_OC[[#This Row],[Pedido]]&amp;Detalle_OC[[#This Row],[Posicion]]</f>
        <v>Agricola del Chira PlantaMontelima7773055500024855280</v>
      </c>
      <c r="B74" t="s">
        <v>28</v>
      </c>
      <c r="C74" t="s">
        <v>96</v>
      </c>
      <c r="D74" s="11">
        <v>45677</v>
      </c>
      <c r="E74" t="s">
        <v>16</v>
      </c>
      <c r="F74" t="s">
        <v>12</v>
      </c>
      <c r="G74">
        <v>777305</v>
      </c>
      <c r="H74">
        <v>5500024855</v>
      </c>
      <c r="I74">
        <v>280</v>
      </c>
      <c r="J74" s="29">
        <v>1</v>
      </c>
      <c r="K74" s="29" t="s">
        <v>935</v>
      </c>
      <c r="L74" t="str">
        <f>IFERROR(VLOOKUP(Detalle_OC[[#This Row],[Centro]]&amp;Detalle_OC[[#This Row],[Nro Almacen]],Almacen!A:D,4,FALSE),"")</f>
        <v>Montelima</v>
      </c>
    </row>
    <row r="75" spans="1:12" x14ac:dyDescent="0.3">
      <c r="A75" s="29" t="str">
        <f>Detalle_OC[[#This Row],[Centro]]&amp;Detalle_OC[[#This Row],[Nom Almacen]]&amp;Detalle_OC[[#This Row],[Material]]&amp;Detalle_OC[[#This Row],[Pedido]]&amp;Detalle_OC[[#This Row],[Posicion]]</f>
        <v>Agricola del Chira PlantaMontelima70050498550002488140</v>
      </c>
      <c r="B75" t="s">
        <v>28</v>
      </c>
      <c r="C75" t="s">
        <v>52</v>
      </c>
      <c r="D75" s="11">
        <v>45670</v>
      </c>
      <c r="E75" t="s">
        <v>16</v>
      </c>
      <c r="F75" t="s">
        <v>12</v>
      </c>
      <c r="G75">
        <v>70050498</v>
      </c>
      <c r="H75">
        <v>5500024881</v>
      </c>
      <c r="I75">
        <v>40</v>
      </c>
      <c r="J75" s="29">
        <v>1</v>
      </c>
      <c r="K75" s="29" t="s">
        <v>935</v>
      </c>
      <c r="L75" t="str">
        <f>IFERROR(VLOOKUP(Detalle_OC[[#This Row],[Centro]]&amp;Detalle_OC[[#This Row],[Nro Almacen]],Almacen!A:D,4,FALSE),"")</f>
        <v>Montelima</v>
      </c>
    </row>
    <row r="76" spans="1:12" x14ac:dyDescent="0.3">
      <c r="A76" s="29" t="str">
        <f>Detalle_OC[[#This Row],[Centro]]&amp;Detalle_OC[[#This Row],[Nom Almacen]]&amp;Detalle_OC[[#This Row],[Material]]&amp;Detalle_OC[[#This Row],[Pedido]]&amp;Detalle_OC[[#This Row],[Posicion]]</f>
        <v>Agricola del Chira PlantaMontelima700580015500024881160</v>
      </c>
      <c r="B76" t="s">
        <v>28</v>
      </c>
      <c r="C76" t="s">
        <v>52</v>
      </c>
      <c r="D76" s="11">
        <v>45670</v>
      </c>
      <c r="E76" t="s">
        <v>16</v>
      </c>
      <c r="F76" t="s">
        <v>12</v>
      </c>
      <c r="G76">
        <v>70058001</v>
      </c>
      <c r="H76">
        <v>5500024881</v>
      </c>
      <c r="I76">
        <v>160</v>
      </c>
      <c r="J76" s="29">
        <v>1</v>
      </c>
      <c r="K76" s="29" t="s">
        <v>935</v>
      </c>
      <c r="L76" t="str">
        <f>IFERROR(VLOOKUP(Detalle_OC[[#This Row],[Centro]]&amp;Detalle_OC[[#This Row],[Nro Almacen]],Almacen!A:D,4,FALSE),"")</f>
        <v>Montelima</v>
      </c>
    </row>
    <row r="77" spans="1:12" x14ac:dyDescent="0.3">
      <c r="A77" s="29" t="str">
        <f>Detalle_OC[[#This Row],[Centro]]&amp;Detalle_OC[[#This Row],[Nom Almacen]]&amp;Detalle_OC[[#This Row],[Material]]&amp;Detalle_OC[[#This Row],[Pedido]]&amp;Detalle_OC[[#This Row],[Posicion]]</f>
        <v>Agricola del Chira PlantaMontelima700657865500024881200</v>
      </c>
      <c r="B77" t="s">
        <v>28</v>
      </c>
      <c r="C77" t="s">
        <v>52</v>
      </c>
      <c r="D77" s="11">
        <v>45677</v>
      </c>
      <c r="E77" t="s">
        <v>16</v>
      </c>
      <c r="F77" t="s">
        <v>12</v>
      </c>
      <c r="G77">
        <v>70065786</v>
      </c>
      <c r="H77">
        <v>5500024881</v>
      </c>
      <c r="I77">
        <v>200</v>
      </c>
      <c r="J77" s="29">
        <v>1</v>
      </c>
      <c r="K77" s="29" t="s">
        <v>935</v>
      </c>
      <c r="L77" t="str">
        <f>IFERROR(VLOOKUP(Detalle_OC[[#This Row],[Centro]]&amp;Detalle_OC[[#This Row],[Nro Almacen]],Almacen!A:D,4,FALSE),"")</f>
        <v>Montelima</v>
      </c>
    </row>
    <row r="78" spans="1:12" x14ac:dyDescent="0.3">
      <c r="A78" s="29" t="str">
        <f>Detalle_OC[[#This Row],[Centro]]&amp;Detalle_OC[[#This Row],[Nom Almacen]]&amp;Detalle_OC[[#This Row],[Material]]&amp;Detalle_OC[[#This Row],[Pedido]]&amp;Detalle_OC[[#This Row],[Posicion]]</f>
        <v>Agricola del Chira PlantaMontelima701322935500024881230</v>
      </c>
      <c r="B78" t="s">
        <v>28</v>
      </c>
      <c r="C78" t="s">
        <v>52</v>
      </c>
      <c r="D78" s="11">
        <v>45670</v>
      </c>
      <c r="E78" t="s">
        <v>16</v>
      </c>
      <c r="F78" t="s">
        <v>12</v>
      </c>
      <c r="G78">
        <v>70132293</v>
      </c>
      <c r="H78">
        <v>5500024881</v>
      </c>
      <c r="I78">
        <v>230</v>
      </c>
      <c r="J78" s="29">
        <v>1</v>
      </c>
      <c r="K78" s="29" t="s">
        <v>935</v>
      </c>
      <c r="L78" t="str">
        <f>IFERROR(VLOOKUP(Detalle_OC[[#This Row],[Centro]]&amp;Detalle_OC[[#This Row],[Nro Almacen]],Almacen!A:D,4,FALSE),"")</f>
        <v>Montelima</v>
      </c>
    </row>
    <row r="79" spans="1:12" x14ac:dyDescent="0.3">
      <c r="A79" s="29" t="str">
        <f>Detalle_OC[[#This Row],[Centro]]&amp;Detalle_OC[[#This Row],[Nom Almacen]]&amp;Detalle_OC[[#This Row],[Material]]&amp;Detalle_OC[[#This Row],[Pedido]]&amp;Detalle_OC[[#This Row],[Posicion]]</f>
        <v>Agricola del Chira PlantaSan Vicente755526550002492440</v>
      </c>
      <c r="B79" t="s">
        <v>28</v>
      </c>
      <c r="C79" t="s">
        <v>302</v>
      </c>
      <c r="D79" s="11">
        <v>45304</v>
      </c>
      <c r="E79" t="s">
        <v>16</v>
      </c>
      <c r="F79" t="s">
        <v>12</v>
      </c>
      <c r="G79">
        <v>755526</v>
      </c>
      <c r="H79">
        <v>5500024924</v>
      </c>
      <c r="I79">
        <v>40</v>
      </c>
      <c r="J79" s="29">
        <v>3</v>
      </c>
      <c r="K79" s="29" t="s">
        <v>935</v>
      </c>
      <c r="L79" t="str">
        <f>IFERROR(VLOOKUP(Detalle_OC[[#This Row],[Centro]]&amp;Detalle_OC[[#This Row],[Nro Almacen]],Almacen!A:D,4,FALSE),"")</f>
        <v>San Vicente</v>
      </c>
    </row>
    <row r="80" spans="1:12" x14ac:dyDescent="0.3">
      <c r="A80" s="29" t="str">
        <f>Detalle_OC[[#This Row],[Centro]]&amp;Detalle_OC[[#This Row],[Nom Almacen]]&amp;Detalle_OC[[#This Row],[Material]]&amp;Detalle_OC[[#This Row],[Pedido]]&amp;Detalle_OC[[#This Row],[Posicion]]</f>
        <v>Agricola del Chira PlantaSan Vicente755525550002492470</v>
      </c>
      <c r="B80" t="s">
        <v>28</v>
      </c>
      <c r="C80" t="s">
        <v>302</v>
      </c>
      <c r="D80" s="11">
        <v>45304</v>
      </c>
      <c r="E80" t="s">
        <v>16</v>
      </c>
      <c r="F80" t="s">
        <v>12</v>
      </c>
      <c r="G80">
        <v>755525</v>
      </c>
      <c r="H80">
        <v>5500024924</v>
      </c>
      <c r="I80">
        <v>70</v>
      </c>
      <c r="J80" s="29">
        <v>3</v>
      </c>
      <c r="K80" s="29" t="s">
        <v>935</v>
      </c>
      <c r="L80" t="str">
        <f>IFERROR(VLOOKUP(Detalle_OC[[#This Row],[Centro]]&amp;Detalle_OC[[#This Row],[Nro Almacen]],Almacen!A:D,4,FALSE),"")</f>
        <v>San Vicente</v>
      </c>
    </row>
    <row r="81" spans="1:12" x14ac:dyDescent="0.3">
      <c r="A81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fábrica70072372550002493120</v>
      </c>
      <c r="B81" t="s">
        <v>28</v>
      </c>
      <c r="C81" t="s">
        <v>235</v>
      </c>
      <c r="D81" s="11">
        <v>45670</v>
      </c>
      <c r="E81" t="s">
        <v>16</v>
      </c>
      <c r="F81" t="s">
        <v>85</v>
      </c>
      <c r="G81">
        <v>70072372</v>
      </c>
      <c r="H81">
        <v>5500024931</v>
      </c>
      <c r="I81">
        <v>20</v>
      </c>
      <c r="J81" s="29">
        <v>9</v>
      </c>
      <c r="K81" s="29" t="s">
        <v>935</v>
      </c>
      <c r="L81" t="str">
        <f>IFERROR(VLOOKUP(Detalle_OC[[#This Row],[Centro]]&amp;Detalle_OC[[#This Row],[Nro Almacen]],Almacen!A:D,4,FALSE),"")</f>
        <v>Parada fábrica</v>
      </c>
    </row>
    <row r="82" spans="1:12" x14ac:dyDescent="0.3">
      <c r="A82" s="29" t="str">
        <f>Detalle_OC[[#This Row],[Centro]]&amp;Detalle_OC[[#This Row],[Nom Almacen]]&amp;Detalle_OC[[#This Row],[Material]]&amp;Detalle_OC[[#This Row],[Pedido]]&amp;Detalle_OC[[#This Row],[Posicion]]</f>
        <v>Agricola del Chira PlantaLa Huaca721426550002493910</v>
      </c>
      <c r="B82" t="s">
        <v>28</v>
      </c>
      <c r="C82" t="s">
        <v>1108</v>
      </c>
      <c r="D82" s="11">
        <v>45670</v>
      </c>
      <c r="E82" t="s">
        <v>16</v>
      </c>
      <c r="F82" t="s">
        <v>12</v>
      </c>
      <c r="G82">
        <v>721426</v>
      </c>
      <c r="H82">
        <v>5500024939</v>
      </c>
      <c r="I82">
        <v>10</v>
      </c>
      <c r="J82" s="29">
        <v>2</v>
      </c>
      <c r="K82" s="29" t="s">
        <v>935</v>
      </c>
      <c r="L82" t="str">
        <f>IFERROR(VLOOKUP(Detalle_OC[[#This Row],[Centro]]&amp;Detalle_OC[[#This Row],[Nro Almacen]],Almacen!A:D,4,FALSE),"")</f>
        <v>La Huaca</v>
      </c>
    </row>
    <row r="83" spans="1:12" x14ac:dyDescent="0.3">
      <c r="A83" s="29" t="str">
        <f>Detalle_OC[[#This Row],[Centro]]&amp;Detalle_OC[[#This Row],[Nom Almacen]]&amp;Detalle_OC[[#This Row],[Material]]&amp;Detalle_OC[[#This Row],[Pedido]]&amp;Detalle_OC[[#This Row],[Posicion]]</f>
        <v>Agricola del Chira PlantaFERTI LOBO 3721426550002493940</v>
      </c>
      <c r="B83" t="s">
        <v>28</v>
      </c>
      <c r="C83" t="s">
        <v>1108</v>
      </c>
      <c r="D83" s="11">
        <v>45670</v>
      </c>
      <c r="E83" t="s">
        <v>16</v>
      </c>
      <c r="F83" t="s">
        <v>12</v>
      </c>
      <c r="G83">
        <v>721426</v>
      </c>
      <c r="H83">
        <v>5500024939</v>
      </c>
      <c r="I83">
        <v>40</v>
      </c>
      <c r="J83" s="29">
        <v>24</v>
      </c>
      <c r="K83" s="29" t="s">
        <v>935</v>
      </c>
      <c r="L83" t="str">
        <f>IFERROR(VLOOKUP(Detalle_OC[[#This Row],[Centro]]&amp;Detalle_OC[[#This Row],[Nro Almacen]],Almacen!A:D,4,FALSE),"")</f>
        <v>FERTI LOBO 3</v>
      </c>
    </row>
    <row r="84" spans="1:12" x14ac:dyDescent="0.3">
      <c r="A84" s="29" t="str">
        <f>Detalle_OC[[#This Row],[Centro]]&amp;Detalle_OC[[#This Row],[Nom Almacen]]&amp;Detalle_OC[[#This Row],[Material]]&amp;Detalle_OC[[#This Row],[Pedido]]&amp;Detalle_OC[[#This Row],[Posicion]]</f>
        <v>Agricola del Chira PlantaAlmacen Lobo701226550002476610</v>
      </c>
      <c r="B84" t="s">
        <v>28</v>
      </c>
      <c r="C84" t="s">
        <v>112</v>
      </c>
      <c r="D84" s="11">
        <v>45668</v>
      </c>
      <c r="E84" t="s">
        <v>16</v>
      </c>
      <c r="F84" t="s">
        <v>12</v>
      </c>
      <c r="G84">
        <v>701226</v>
      </c>
      <c r="H84">
        <v>5500024766</v>
      </c>
      <c r="I84">
        <v>10</v>
      </c>
      <c r="J84" s="29">
        <v>7</v>
      </c>
      <c r="K84" s="29" t="s">
        <v>954</v>
      </c>
      <c r="L84" t="str">
        <f>IFERROR(VLOOKUP(Detalle_OC[[#This Row],[Centro]]&amp;Detalle_OC[[#This Row],[Nro Almacen]],Almacen!A:D,4,FALSE),"")</f>
        <v>Almacen Lobo</v>
      </c>
    </row>
    <row r="85" spans="1:12" x14ac:dyDescent="0.3">
      <c r="A85" s="29" t="str">
        <f>Detalle_OC[[#This Row],[Centro]]&amp;Detalle_OC[[#This Row],[Nom Almacen]]&amp;Detalle_OC[[#This Row],[Material]]&amp;Detalle_OC[[#This Row],[Pedido]]&amp;Detalle_OC[[#This Row],[Posicion]]</f>
        <v>Sucroalcolera del Chira PlantaParada fábricaCC11333200        550002492780</v>
      </c>
      <c r="B85" t="s">
        <v>28</v>
      </c>
      <c r="C85" t="s">
        <v>22</v>
      </c>
      <c r="D85" s="11">
        <v>45668</v>
      </c>
      <c r="E85" t="s">
        <v>16</v>
      </c>
      <c r="F85" t="s">
        <v>85</v>
      </c>
      <c r="G85" t="s">
        <v>988</v>
      </c>
      <c r="H85">
        <v>5500024927</v>
      </c>
      <c r="I85">
        <v>80</v>
      </c>
      <c r="J85" s="29">
        <v>9</v>
      </c>
      <c r="K85" s="29" t="s">
        <v>954</v>
      </c>
      <c r="L85" t="str">
        <f>IFERROR(VLOOKUP(Detalle_OC[[#This Row],[Centro]]&amp;Detalle_OC[[#This Row],[Nro Almacen]],Almacen!A:D,4,FALSE),"")</f>
        <v>Parada fábrica</v>
      </c>
    </row>
    <row r="86" spans="1:12" x14ac:dyDescent="0.3">
      <c r="A86" s="29" t="str">
        <f>Detalle_OC[[#This Row],[Centro]]&amp;Detalle_OC[[#This Row],[Nom Almacen]]&amp;Detalle_OC[[#This Row],[Material]]&amp;Detalle_OC[[#This Row],[Pedido]]&amp;Detalle_OC[[#This Row],[Posicion]]</f>
        <v>Agricola del Chira PlantaAlmacen Lobo849010451157332440</v>
      </c>
      <c r="B86" t="s">
        <v>39</v>
      </c>
      <c r="C86" t="s">
        <v>38</v>
      </c>
      <c r="D86" s="11">
        <v>45688</v>
      </c>
      <c r="E86" t="s">
        <v>16</v>
      </c>
      <c r="F86" t="s">
        <v>12</v>
      </c>
      <c r="G86">
        <v>849010</v>
      </c>
      <c r="H86">
        <v>4511573324</v>
      </c>
      <c r="I86">
        <v>40</v>
      </c>
      <c r="J86" s="29">
        <v>7</v>
      </c>
      <c r="K86" s="29" t="s">
        <v>958</v>
      </c>
      <c r="L86" t="str">
        <f>IFERROR(VLOOKUP(Detalle_OC[[#This Row],[Centro]]&amp;Detalle_OC[[#This Row],[Nro Almacen]],Almacen!A:D,4,FALSE),"")</f>
        <v>Almacen Lobo</v>
      </c>
    </row>
    <row r="87" spans="1:12" x14ac:dyDescent="0.3">
      <c r="A87" s="29" t="str">
        <f>Detalle_OC[[#This Row],[Centro]]&amp;Detalle_OC[[#This Row],[Nom Almacen]]&amp;Detalle_OC[[#This Row],[Material]]&amp;Detalle_OC[[#This Row],[Pedido]]&amp;Detalle_OC[[#This Row],[Posicion]]</f>
        <v>Bioenergía del Chira PlantaMontelima70032805451157427110</v>
      </c>
      <c r="B87" t="s">
        <v>180</v>
      </c>
      <c r="C87" t="s">
        <v>167</v>
      </c>
      <c r="D87" s="11">
        <v>45681</v>
      </c>
      <c r="E87" t="s">
        <v>16</v>
      </c>
      <c r="F87" t="s">
        <v>86</v>
      </c>
      <c r="G87">
        <v>70032805</v>
      </c>
      <c r="H87">
        <v>4511574271</v>
      </c>
      <c r="I87">
        <v>10</v>
      </c>
      <c r="J87" s="29">
        <v>1</v>
      </c>
      <c r="K87" s="29" t="s">
        <v>958</v>
      </c>
      <c r="L87" t="str">
        <f>IFERROR(VLOOKUP(Detalle_OC[[#This Row],[Centro]]&amp;Detalle_OC[[#This Row],[Nro Almacen]],Almacen!A:D,4,FALSE),"")</f>
        <v>Montelima</v>
      </c>
    </row>
    <row r="88" spans="1:12" x14ac:dyDescent="0.3">
      <c r="A88" s="29" t="str">
        <f>Detalle_OC[[#This Row],[Centro]]&amp;Detalle_OC[[#This Row],[Nom Almacen]]&amp;Detalle_OC[[#This Row],[Material]]&amp;Detalle_OC[[#This Row],[Pedido]]&amp;Detalle_OC[[#This Row],[Posicion]]</f>
        <v>Agricola del Chira PlantaMontelima70099680451157427710</v>
      </c>
      <c r="B88" t="s">
        <v>178</v>
      </c>
      <c r="C88" t="s">
        <v>305</v>
      </c>
      <c r="D88" s="11">
        <v>45670</v>
      </c>
      <c r="E88" t="s">
        <v>16</v>
      </c>
      <c r="F88" t="s">
        <v>12</v>
      </c>
      <c r="G88">
        <v>70099680</v>
      </c>
      <c r="H88">
        <v>4511574277</v>
      </c>
      <c r="I88">
        <v>10</v>
      </c>
      <c r="J88" s="29">
        <v>1</v>
      </c>
      <c r="K88" s="29" t="s">
        <v>958</v>
      </c>
      <c r="L88" t="str">
        <f>IFERROR(VLOOKUP(Detalle_OC[[#This Row],[Centro]]&amp;Detalle_OC[[#This Row],[Nro Almacen]],Almacen!A:D,4,FALSE),"")</f>
        <v>Montelima</v>
      </c>
    </row>
    <row r="89" spans="1:12" x14ac:dyDescent="0.3">
      <c r="A89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89" t="s">
        <v>28</v>
      </c>
      <c r="C89" t="s">
        <v>82</v>
      </c>
      <c r="D89" s="11">
        <v>45667</v>
      </c>
      <c r="E89" t="s">
        <v>16</v>
      </c>
      <c r="F89" t="s">
        <v>12</v>
      </c>
      <c r="G89">
        <v>844516</v>
      </c>
      <c r="H89">
        <v>5500019188</v>
      </c>
      <c r="I89">
        <v>190</v>
      </c>
      <c r="J89" s="29">
        <v>1</v>
      </c>
      <c r="K89" s="29" t="s">
        <v>958</v>
      </c>
      <c r="L89" t="str">
        <f>IFERROR(VLOOKUP(Detalle_OC[[#This Row],[Centro]]&amp;Detalle_OC[[#This Row],[Nro Almacen]],Almacen!A:D,4,FALSE),"")</f>
        <v>Montelima</v>
      </c>
    </row>
    <row r="90" spans="1:12" x14ac:dyDescent="0.3">
      <c r="A90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90" t="s">
        <v>28</v>
      </c>
      <c r="C90" t="s">
        <v>82</v>
      </c>
      <c r="D90" s="11">
        <v>45667</v>
      </c>
      <c r="E90" t="s">
        <v>16</v>
      </c>
      <c r="F90" t="s">
        <v>12</v>
      </c>
      <c r="G90">
        <v>844515</v>
      </c>
      <c r="H90">
        <v>5500019188</v>
      </c>
      <c r="I90">
        <v>200</v>
      </c>
      <c r="J90" s="29">
        <v>1</v>
      </c>
      <c r="K90" s="29" t="s">
        <v>958</v>
      </c>
      <c r="L90" t="str">
        <f>IFERROR(VLOOKUP(Detalle_OC[[#This Row],[Centro]]&amp;Detalle_OC[[#This Row],[Nro Almacen]],Almacen!A:D,4,FALSE),"")</f>
        <v>Montelima</v>
      </c>
    </row>
    <row r="91" spans="1:12" x14ac:dyDescent="0.3">
      <c r="A91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91" t="s">
        <v>28</v>
      </c>
      <c r="C91" t="s">
        <v>82</v>
      </c>
      <c r="D91" s="11">
        <v>45667</v>
      </c>
      <c r="E91" t="s">
        <v>16</v>
      </c>
      <c r="F91" t="s">
        <v>12</v>
      </c>
      <c r="G91">
        <v>844508</v>
      </c>
      <c r="H91">
        <v>5500019188</v>
      </c>
      <c r="I91">
        <v>220</v>
      </c>
      <c r="J91" s="29">
        <v>1</v>
      </c>
      <c r="K91" s="29" t="s">
        <v>958</v>
      </c>
      <c r="L91" t="str">
        <f>IFERROR(VLOOKUP(Detalle_OC[[#This Row],[Centro]]&amp;Detalle_OC[[#This Row],[Nro Almacen]],Almacen!A:D,4,FALSE),"")</f>
        <v>Montelima</v>
      </c>
    </row>
    <row r="92" spans="1:12" x14ac:dyDescent="0.3">
      <c r="A92" s="29" t="str">
        <f>Detalle_OC[[#This Row],[Centro]]&amp;Detalle_OC[[#This Row],[Nom Almacen]]&amp;Detalle_OC[[#This Row],[Material]]&amp;Detalle_OC[[#This Row],[Pedido]]&amp;Detalle_OC[[#This Row],[Posicion]]</f>
        <v>Agricola del Chira PlantaMontelima8445405500019188230</v>
      </c>
      <c r="B92" t="s">
        <v>28</v>
      </c>
      <c r="C92" t="s">
        <v>82</v>
      </c>
      <c r="D92" s="11">
        <v>45667</v>
      </c>
      <c r="E92" t="s">
        <v>16</v>
      </c>
      <c r="F92" t="s">
        <v>12</v>
      </c>
      <c r="G92">
        <v>844540</v>
      </c>
      <c r="H92">
        <v>5500019188</v>
      </c>
      <c r="I92">
        <v>230</v>
      </c>
      <c r="J92" s="29">
        <v>1</v>
      </c>
      <c r="K92" s="29" t="s">
        <v>958</v>
      </c>
      <c r="L92" t="str">
        <f>IFERROR(VLOOKUP(Detalle_OC[[#This Row],[Centro]]&amp;Detalle_OC[[#This Row],[Nro Almacen]],Almacen!A:D,4,FALSE),"")</f>
        <v>Montelima</v>
      </c>
    </row>
    <row r="93" spans="1:12" x14ac:dyDescent="0.3">
      <c r="A93" s="29" t="str">
        <f>Detalle_OC[[#This Row],[Centro]]&amp;Detalle_OC[[#This Row],[Nom Almacen]]&amp;Detalle_OC[[#This Row],[Material]]&amp;Detalle_OC[[#This Row],[Pedido]]&amp;Detalle_OC[[#This Row],[Posicion]]</f>
        <v>Agricola del Chira PlantaMontelima8445265500019188390</v>
      </c>
      <c r="B93" t="s">
        <v>28</v>
      </c>
      <c r="C93" t="s">
        <v>82</v>
      </c>
      <c r="D93" s="11">
        <v>45667</v>
      </c>
      <c r="E93" t="s">
        <v>16</v>
      </c>
      <c r="F93" t="s">
        <v>12</v>
      </c>
      <c r="G93">
        <v>844526</v>
      </c>
      <c r="H93">
        <v>5500019188</v>
      </c>
      <c r="I93">
        <v>390</v>
      </c>
      <c r="J93" s="29">
        <v>1</v>
      </c>
      <c r="K93" s="29" t="s">
        <v>958</v>
      </c>
      <c r="L93" t="str">
        <f>IFERROR(VLOOKUP(Detalle_OC[[#This Row],[Centro]]&amp;Detalle_OC[[#This Row],[Nro Almacen]],Almacen!A:D,4,FALSE),"")</f>
        <v>Montelima</v>
      </c>
    </row>
    <row r="94" spans="1:12" x14ac:dyDescent="0.3">
      <c r="A94" s="29" t="str">
        <f>Detalle_OC[[#This Row],[Centro]]&amp;Detalle_OC[[#This Row],[Nom Almacen]]&amp;Detalle_OC[[#This Row],[Material]]&amp;Detalle_OC[[#This Row],[Pedido]]&amp;Detalle_OC[[#This Row],[Posicion]]</f>
        <v>Agricola del Chira PlantaMontelima8445325500019188440</v>
      </c>
      <c r="B94" t="s">
        <v>28</v>
      </c>
      <c r="C94" t="s">
        <v>82</v>
      </c>
      <c r="D94" s="11">
        <v>45667</v>
      </c>
      <c r="E94" t="s">
        <v>16</v>
      </c>
      <c r="F94" t="s">
        <v>12</v>
      </c>
      <c r="G94">
        <v>844532</v>
      </c>
      <c r="H94">
        <v>5500019188</v>
      </c>
      <c r="I94">
        <v>440</v>
      </c>
      <c r="J94" s="29">
        <v>1</v>
      </c>
      <c r="K94" s="29" t="s">
        <v>958</v>
      </c>
      <c r="L94" t="str">
        <f>IFERROR(VLOOKUP(Detalle_OC[[#This Row],[Centro]]&amp;Detalle_OC[[#This Row],[Nro Almacen]],Almacen!A:D,4,FALSE),"")</f>
        <v>Montelima</v>
      </c>
    </row>
    <row r="95" spans="1:12" x14ac:dyDescent="0.3">
      <c r="A95" s="29" t="str">
        <f>Detalle_OC[[#This Row],[Centro]]&amp;Detalle_OC[[#This Row],[Nom Almacen]]&amp;Detalle_OC[[#This Row],[Material]]&amp;Detalle_OC[[#This Row],[Pedido]]&amp;Detalle_OC[[#This Row],[Posicion]]</f>
        <v>Agricola del Chira PlantaMontelima8445415500019188460</v>
      </c>
      <c r="B95" t="s">
        <v>28</v>
      </c>
      <c r="C95" t="s">
        <v>82</v>
      </c>
      <c r="D95" s="11">
        <v>45667</v>
      </c>
      <c r="E95" t="s">
        <v>16</v>
      </c>
      <c r="F95" t="s">
        <v>12</v>
      </c>
      <c r="G95">
        <v>844541</v>
      </c>
      <c r="H95">
        <v>5500019188</v>
      </c>
      <c r="I95">
        <v>460</v>
      </c>
      <c r="J95" s="29">
        <v>1</v>
      </c>
      <c r="K95" s="29" t="s">
        <v>958</v>
      </c>
      <c r="L95" t="str">
        <f>IFERROR(VLOOKUP(Detalle_OC[[#This Row],[Centro]]&amp;Detalle_OC[[#This Row],[Nro Almacen]],Almacen!A:D,4,FALSE),"")</f>
        <v>Montelima</v>
      </c>
    </row>
    <row r="96" spans="1:12" x14ac:dyDescent="0.3">
      <c r="A96" s="29" t="str">
        <f>Detalle_OC[[#This Row],[Centro]]&amp;Detalle_OC[[#This Row],[Nom Almacen]]&amp;Detalle_OC[[#This Row],[Material]]&amp;Detalle_OC[[#This Row],[Pedido]]&amp;Detalle_OC[[#This Row],[Posicion]]</f>
        <v>Agricola del Chira PlantaMontelima82719955000191881020</v>
      </c>
      <c r="B96" t="s">
        <v>28</v>
      </c>
      <c r="C96" t="s">
        <v>82</v>
      </c>
      <c r="D96" s="11">
        <v>45667</v>
      </c>
      <c r="E96" t="s">
        <v>16</v>
      </c>
      <c r="F96" t="s">
        <v>12</v>
      </c>
      <c r="G96">
        <v>827199</v>
      </c>
      <c r="H96">
        <v>5500019188</v>
      </c>
      <c r="I96">
        <v>1020</v>
      </c>
      <c r="J96" s="29">
        <v>1</v>
      </c>
      <c r="K96" s="29" t="s">
        <v>958</v>
      </c>
      <c r="L96" t="str">
        <f>IFERROR(VLOOKUP(Detalle_OC[[#This Row],[Centro]]&amp;Detalle_OC[[#This Row],[Nro Almacen]],Almacen!A:D,4,FALSE),"")</f>
        <v>Montelima</v>
      </c>
    </row>
    <row r="97" spans="1:12" x14ac:dyDescent="0.3">
      <c r="A97" s="29" t="str">
        <f>Detalle_OC[[#This Row],[Centro]]&amp;Detalle_OC[[#This Row],[Nom Almacen]]&amp;Detalle_OC[[#This Row],[Material]]&amp;Detalle_OC[[#This Row],[Pedido]]&amp;Detalle_OC[[#This Row],[Posicion]]</f>
        <v>Agricola del Chira PlantaMontelima83106655000191881040</v>
      </c>
      <c r="B97" t="s">
        <v>28</v>
      </c>
      <c r="C97" t="s">
        <v>82</v>
      </c>
      <c r="D97" s="11">
        <v>45667</v>
      </c>
      <c r="E97" t="s">
        <v>16</v>
      </c>
      <c r="F97" t="s">
        <v>12</v>
      </c>
      <c r="G97">
        <v>831066</v>
      </c>
      <c r="H97">
        <v>5500019188</v>
      </c>
      <c r="I97">
        <v>1040</v>
      </c>
      <c r="J97" s="29">
        <v>1</v>
      </c>
      <c r="K97" s="29" t="s">
        <v>958</v>
      </c>
      <c r="L97" t="str">
        <f>IFERROR(VLOOKUP(Detalle_OC[[#This Row],[Centro]]&amp;Detalle_OC[[#This Row],[Nro Almacen]],Almacen!A:D,4,FALSE),"")</f>
        <v>Montelima</v>
      </c>
    </row>
    <row r="98" spans="1:12" x14ac:dyDescent="0.3">
      <c r="A98" s="29" t="str">
        <f>Detalle_OC[[#This Row],[Centro]]&amp;Detalle_OC[[#This Row],[Nom Almacen]]&amp;Detalle_OC[[#This Row],[Material]]&amp;Detalle_OC[[#This Row],[Pedido]]&amp;Detalle_OC[[#This Row],[Posicion]]</f>
        <v>Agricola del Chira PlantaMontelima82639755000191881080</v>
      </c>
      <c r="B98" t="s">
        <v>28</v>
      </c>
      <c r="C98" t="s">
        <v>82</v>
      </c>
      <c r="D98" s="11">
        <v>45667</v>
      </c>
      <c r="E98" t="s">
        <v>16</v>
      </c>
      <c r="F98" t="s">
        <v>12</v>
      </c>
      <c r="G98">
        <v>826397</v>
      </c>
      <c r="H98">
        <v>5500019188</v>
      </c>
      <c r="I98">
        <v>1080</v>
      </c>
      <c r="J98" s="29">
        <v>1</v>
      </c>
      <c r="K98" s="29" t="s">
        <v>958</v>
      </c>
      <c r="L98" t="str">
        <f>IFERROR(VLOOKUP(Detalle_OC[[#This Row],[Centro]]&amp;Detalle_OC[[#This Row],[Nro Almacen]],Almacen!A:D,4,FALSE),"")</f>
        <v>Montelima</v>
      </c>
    </row>
    <row r="99" spans="1:12" x14ac:dyDescent="0.3">
      <c r="A99" s="29" t="str">
        <f>Detalle_OC[[#This Row],[Centro]]&amp;Detalle_OC[[#This Row],[Nom Almacen]]&amp;Detalle_OC[[#This Row],[Material]]&amp;Detalle_OC[[#This Row],[Pedido]]&amp;Detalle_OC[[#This Row],[Posicion]]</f>
        <v>Agricola del Chira PlantaMontelima70100392550002475110</v>
      </c>
      <c r="B99" t="s">
        <v>28</v>
      </c>
      <c r="C99" t="s">
        <v>54</v>
      </c>
      <c r="D99" s="11">
        <v>45667</v>
      </c>
      <c r="E99" t="s">
        <v>16</v>
      </c>
      <c r="F99" t="s">
        <v>12</v>
      </c>
      <c r="G99">
        <v>70100392</v>
      </c>
      <c r="H99">
        <v>5500024751</v>
      </c>
      <c r="I99">
        <v>10</v>
      </c>
      <c r="J99" s="29">
        <v>1</v>
      </c>
      <c r="K99" s="29" t="s">
        <v>958</v>
      </c>
      <c r="L99" t="str">
        <f>IFERROR(VLOOKUP(Detalle_OC[[#This Row],[Centro]]&amp;Detalle_OC[[#This Row],[Nro Almacen]],Almacen!A:D,4,FALSE),"")</f>
        <v>Montelima</v>
      </c>
    </row>
    <row r="100" spans="1:12" x14ac:dyDescent="0.3">
      <c r="A100" s="29" t="str">
        <f>Detalle_OC[[#This Row],[Centro]]&amp;Detalle_OC[[#This Row],[Nom Almacen]]&amp;Detalle_OC[[#This Row],[Material]]&amp;Detalle_OC[[#This Row],[Pedido]]&amp;Detalle_OC[[#This Row],[Posicion]]</f>
        <v>Agricola del Chira PlantaLa Huaca7773055500024855300</v>
      </c>
      <c r="B100" t="s">
        <v>28</v>
      </c>
      <c r="C100" t="s">
        <v>96</v>
      </c>
      <c r="D100" s="11">
        <v>45674</v>
      </c>
      <c r="E100" t="s">
        <v>16</v>
      </c>
      <c r="F100" t="s">
        <v>12</v>
      </c>
      <c r="G100">
        <v>777305</v>
      </c>
      <c r="H100">
        <v>5500024855</v>
      </c>
      <c r="I100">
        <v>300</v>
      </c>
      <c r="J100" s="29">
        <v>2</v>
      </c>
      <c r="K100" s="29" t="s">
        <v>958</v>
      </c>
      <c r="L100" t="str">
        <f>IFERROR(VLOOKUP(Detalle_OC[[#This Row],[Centro]]&amp;Detalle_OC[[#This Row],[Nro Almacen]],Almacen!A:D,4,FALSE),"")</f>
        <v>La Huaca</v>
      </c>
    </row>
    <row r="101" spans="1:12" x14ac:dyDescent="0.3">
      <c r="A101" s="29" t="str">
        <f>Detalle_OC[[#This Row],[Centro]]&amp;Detalle_OC[[#This Row],[Nom Almacen]]&amp;Detalle_OC[[#This Row],[Material]]&amp;Detalle_OC[[#This Row],[Pedido]]&amp;Detalle_OC[[#This Row],[Posicion]]</f>
        <v>Sucroalcolera del Chira PlantaMontelima70069187550002485690</v>
      </c>
      <c r="B101" t="s">
        <v>28</v>
      </c>
      <c r="C101" t="s">
        <v>96</v>
      </c>
      <c r="D101" s="11">
        <v>45677</v>
      </c>
      <c r="E101" t="s">
        <v>16</v>
      </c>
      <c r="F101" t="s">
        <v>85</v>
      </c>
      <c r="G101">
        <v>70069187</v>
      </c>
      <c r="H101">
        <v>5500024856</v>
      </c>
      <c r="I101">
        <v>90</v>
      </c>
      <c r="J101" s="29">
        <v>1</v>
      </c>
      <c r="K101" s="29" t="s">
        <v>958</v>
      </c>
      <c r="L101" t="str">
        <f>IFERROR(VLOOKUP(Detalle_OC[[#This Row],[Centro]]&amp;Detalle_OC[[#This Row],[Nro Almacen]],Almacen!A:D,4,FALSE),"")</f>
        <v>Montelima</v>
      </c>
    </row>
    <row r="102" spans="1:12" x14ac:dyDescent="0.3">
      <c r="A102" s="29" t="str">
        <f>Detalle_OC[[#This Row],[Centro]]&amp;Detalle_OC[[#This Row],[Nom Almacen]]&amp;Detalle_OC[[#This Row],[Material]]&amp;Detalle_OC[[#This Row],[Pedido]]&amp;Detalle_OC[[#This Row],[Posicion]]</f>
        <v>Agricola del Chira PlantaFERTI LOBO 2721426550002493930</v>
      </c>
      <c r="B102" t="s">
        <v>28</v>
      </c>
      <c r="C102" t="s">
        <v>1108</v>
      </c>
      <c r="D102" s="11">
        <v>45667</v>
      </c>
      <c r="E102" t="s">
        <v>16</v>
      </c>
      <c r="F102" t="s">
        <v>12</v>
      </c>
      <c r="G102">
        <v>721426</v>
      </c>
      <c r="H102">
        <v>5500024939</v>
      </c>
      <c r="I102">
        <v>30</v>
      </c>
      <c r="J102" s="29">
        <v>23</v>
      </c>
      <c r="K102" s="29" t="s">
        <v>958</v>
      </c>
      <c r="L102" t="str">
        <f>IFERROR(VLOOKUP(Detalle_OC[[#This Row],[Centro]]&amp;Detalle_OC[[#This Row],[Nro Almacen]],Almacen!A:D,4,FALSE),"")</f>
        <v>FERTI LOBO 2</v>
      </c>
    </row>
    <row r="103" spans="1:12" x14ac:dyDescent="0.3">
      <c r="A103" s="29" t="str">
        <f>Detalle_OC[[#This Row],[Centro]]&amp;Detalle_OC[[#This Row],[Nom Almacen]]&amp;Detalle_OC[[#This Row],[Material]]&amp;Detalle_OC[[#This Row],[Pedido]]&amp;Detalle_OC[[#This Row],[Posicion]]</f>
        <v>Agricola del Chira PlantaSan Vicente763905451157380940</v>
      </c>
      <c r="B103" t="s">
        <v>192</v>
      </c>
      <c r="C103" t="s">
        <v>44</v>
      </c>
      <c r="D103" s="11">
        <v>45667</v>
      </c>
      <c r="E103" t="s">
        <v>16</v>
      </c>
      <c r="F103" t="s">
        <v>12</v>
      </c>
      <c r="G103">
        <v>763905</v>
      </c>
      <c r="H103">
        <v>4511573809</v>
      </c>
      <c r="I103">
        <v>40</v>
      </c>
      <c r="J103" s="29">
        <v>3</v>
      </c>
      <c r="K103" s="29" t="s">
        <v>977</v>
      </c>
      <c r="L103" t="str">
        <f>IFERROR(VLOOKUP(Detalle_OC[[#This Row],[Centro]]&amp;Detalle_OC[[#This Row],[Nro Almacen]],Almacen!A:D,4,FALSE),"")</f>
        <v>San Vicente</v>
      </c>
    </row>
    <row r="104" spans="1:12" x14ac:dyDescent="0.3">
      <c r="A104" s="29" t="str">
        <f>Detalle_OC[[#This Row],[Centro]]&amp;Detalle_OC[[#This Row],[Nom Almacen]]&amp;Detalle_OC[[#This Row],[Material]]&amp;Detalle_OC[[#This Row],[Pedido]]&amp;Detalle_OC[[#This Row],[Posicion]]</f>
        <v>Sucroalcolera del Chira PlantaMontelima869826451157413410</v>
      </c>
      <c r="B104" t="s">
        <v>138</v>
      </c>
      <c r="C104" t="s">
        <v>368</v>
      </c>
      <c r="D104" s="11">
        <v>45677</v>
      </c>
      <c r="E104" t="s">
        <v>16</v>
      </c>
      <c r="F104" t="s">
        <v>85</v>
      </c>
      <c r="G104">
        <v>869826</v>
      </c>
      <c r="H104">
        <v>4511574134</v>
      </c>
      <c r="I104">
        <v>10</v>
      </c>
      <c r="J104" s="29">
        <v>1</v>
      </c>
      <c r="K104" s="29" t="s">
        <v>977</v>
      </c>
      <c r="L104" t="str">
        <f>IFERROR(VLOOKUP(Detalle_OC[[#This Row],[Centro]]&amp;Detalle_OC[[#This Row],[Nro Almacen]],Almacen!A:D,4,FALSE),"")</f>
        <v>Montelima</v>
      </c>
    </row>
    <row r="105" spans="1:12" x14ac:dyDescent="0.3">
      <c r="A105" s="29" t="str">
        <f>Detalle_OC[[#This Row],[Centro]]&amp;Detalle_OC[[#This Row],[Nom Almacen]]&amp;Detalle_OC[[#This Row],[Material]]&amp;Detalle_OC[[#This Row],[Pedido]]&amp;Detalle_OC[[#This Row],[Posicion]]</f>
        <v>Agricola del Chira PlantaAlmacen LoboMWAGR000072       451157416010</v>
      </c>
      <c r="B105" t="s">
        <v>326</v>
      </c>
      <c r="C105" t="s">
        <v>89</v>
      </c>
      <c r="D105" s="11">
        <v>45670</v>
      </c>
      <c r="E105" t="s">
        <v>16</v>
      </c>
      <c r="F105" t="s">
        <v>12</v>
      </c>
      <c r="G105" t="s">
        <v>948</v>
      </c>
      <c r="H105">
        <v>4511574160</v>
      </c>
      <c r="I105">
        <v>10</v>
      </c>
      <c r="J105" s="29">
        <v>7</v>
      </c>
      <c r="K105" s="29" t="s">
        <v>977</v>
      </c>
      <c r="L105" t="str">
        <f>IFERROR(VLOOKUP(Detalle_OC[[#This Row],[Centro]]&amp;Detalle_OC[[#This Row],[Nro Almacen]],Almacen!A:D,4,FALSE),"")</f>
        <v>Almacen Lobo</v>
      </c>
    </row>
    <row r="106" spans="1:12" x14ac:dyDescent="0.3">
      <c r="A106" s="29" t="str">
        <f>Detalle_OC[[#This Row],[Centro]]&amp;Detalle_OC[[#This Row],[Nom Almacen]]&amp;Detalle_OC[[#This Row],[Material]]&amp;Detalle_OC[[#This Row],[Pedido]]&amp;Detalle_OC[[#This Row],[Posicion]]</f>
        <v>Agricola del Chira PlantaAlmacen LoboMWAGR000072       451157416020</v>
      </c>
      <c r="B106" t="s">
        <v>326</v>
      </c>
      <c r="C106" t="s">
        <v>89</v>
      </c>
      <c r="D106" s="11">
        <v>45670</v>
      </c>
      <c r="E106" t="s">
        <v>16</v>
      </c>
      <c r="F106" t="s">
        <v>12</v>
      </c>
      <c r="G106" t="s">
        <v>948</v>
      </c>
      <c r="H106">
        <v>4511574160</v>
      </c>
      <c r="I106">
        <v>20</v>
      </c>
      <c r="J106" s="29">
        <v>7</v>
      </c>
      <c r="K106" s="29" t="s">
        <v>977</v>
      </c>
      <c r="L106" t="str">
        <f>IFERROR(VLOOKUP(Detalle_OC[[#This Row],[Centro]]&amp;Detalle_OC[[#This Row],[Nro Almacen]],Almacen!A:D,4,FALSE),"")</f>
        <v>Almacen Lobo</v>
      </c>
    </row>
    <row r="107" spans="1:12" x14ac:dyDescent="0.3">
      <c r="A107" s="29" t="str">
        <f>Detalle_OC[[#This Row],[Centro]]&amp;Detalle_OC[[#This Row],[Nom Almacen]]&amp;Detalle_OC[[#This Row],[Material]]&amp;Detalle_OC[[#This Row],[Pedido]]&amp;Detalle_OC[[#This Row],[Posicion]]</f>
        <v>Agricola del Chira PlantaLa HuacaMWAGR000072       451157416030</v>
      </c>
      <c r="B107" t="s">
        <v>326</v>
      </c>
      <c r="C107" t="s">
        <v>89</v>
      </c>
      <c r="D107" s="11">
        <v>45670</v>
      </c>
      <c r="E107" t="s">
        <v>16</v>
      </c>
      <c r="F107" t="s">
        <v>12</v>
      </c>
      <c r="G107" t="s">
        <v>948</v>
      </c>
      <c r="H107">
        <v>4511574160</v>
      </c>
      <c r="I107">
        <v>30</v>
      </c>
      <c r="J107" s="29">
        <v>2</v>
      </c>
      <c r="K107" s="29" t="s">
        <v>977</v>
      </c>
      <c r="L107" t="str">
        <f>IFERROR(VLOOKUP(Detalle_OC[[#This Row],[Centro]]&amp;Detalle_OC[[#This Row],[Nro Almacen]],Almacen!A:D,4,FALSE),"")</f>
        <v>La Huaca</v>
      </c>
    </row>
    <row r="108" spans="1:12" x14ac:dyDescent="0.3">
      <c r="A108" s="29" t="str">
        <f>Detalle_OC[[#This Row],[Centro]]&amp;Detalle_OC[[#This Row],[Nom Almacen]]&amp;Detalle_OC[[#This Row],[Material]]&amp;Detalle_OC[[#This Row],[Pedido]]&amp;Detalle_OC[[#This Row],[Posicion]]</f>
        <v>Agricola del Chira PlantaMontelima70136352451157417010</v>
      </c>
      <c r="B108" t="s">
        <v>188</v>
      </c>
      <c r="C108" t="s">
        <v>44</v>
      </c>
      <c r="D108" s="11">
        <v>45672</v>
      </c>
      <c r="E108" t="s">
        <v>16</v>
      </c>
      <c r="F108" t="s">
        <v>12</v>
      </c>
      <c r="G108">
        <v>70136352</v>
      </c>
      <c r="H108">
        <v>4511574170</v>
      </c>
      <c r="I108">
        <v>10</v>
      </c>
      <c r="J108" s="29">
        <v>1</v>
      </c>
      <c r="K108" s="29" t="s">
        <v>977</v>
      </c>
      <c r="L108" t="str">
        <f>IFERROR(VLOOKUP(Detalle_OC[[#This Row],[Centro]]&amp;Detalle_OC[[#This Row],[Nro Almacen]],Almacen!A:D,4,FALSE),"")</f>
        <v>Montelima</v>
      </c>
    </row>
    <row r="109" spans="1:12" x14ac:dyDescent="0.3">
      <c r="A109" s="29" t="str">
        <f>Detalle_OC[[#This Row],[Centro]]&amp;Detalle_OC[[#This Row],[Nom Almacen]]&amp;Detalle_OC[[#This Row],[Material]]&amp;Detalle_OC[[#This Row],[Pedido]]&amp;Detalle_OC[[#This Row],[Posicion]]</f>
        <v>Agricola del Chira PlantaMontelima735204451157418610</v>
      </c>
      <c r="B109" t="s">
        <v>200</v>
      </c>
      <c r="C109" t="s">
        <v>212</v>
      </c>
      <c r="D109" s="11">
        <v>45688</v>
      </c>
      <c r="E109" t="s">
        <v>48</v>
      </c>
      <c r="F109" t="s">
        <v>12</v>
      </c>
      <c r="G109">
        <v>735204</v>
      </c>
      <c r="H109">
        <v>4511574186</v>
      </c>
      <c r="I109">
        <v>10</v>
      </c>
      <c r="J109" s="29">
        <v>1</v>
      </c>
      <c r="K109" s="29" t="s">
        <v>977</v>
      </c>
      <c r="L109" t="str">
        <f>IFERROR(VLOOKUP(Detalle_OC[[#This Row],[Centro]]&amp;Detalle_OC[[#This Row],[Nro Almacen]],Almacen!A:D,4,FALSE),"")</f>
        <v>Montelima</v>
      </c>
    </row>
    <row r="110" spans="1:12" x14ac:dyDescent="0.3">
      <c r="A110" s="29" t="str">
        <f>Detalle_OC[[#This Row],[Centro]]&amp;Detalle_OC[[#This Row],[Nom Almacen]]&amp;Detalle_OC[[#This Row],[Material]]&amp;Detalle_OC[[#This Row],[Pedido]]&amp;Detalle_OC[[#This Row],[Posicion]]</f>
        <v>Agricola del Chira PlantaMontelima798918451157423410</v>
      </c>
      <c r="B110" t="s">
        <v>50</v>
      </c>
      <c r="C110" t="s">
        <v>272</v>
      </c>
      <c r="D110" s="11">
        <v>45672</v>
      </c>
      <c r="E110" t="s">
        <v>16</v>
      </c>
      <c r="F110" t="s">
        <v>12</v>
      </c>
      <c r="G110">
        <v>798918</v>
      </c>
      <c r="H110">
        <v>4511574234</v>
      </c>
      <c r="I110">
        <v>10</v>
      </c>
      <c r="J110" s="29">
        <v>1</v>
      </c>
      <c r="K110" s="29" t="s">
        <v>977</v>
      </c>
      <c r="L110" t="str">
        <f>IFERROR(VLOOKUP(Detalle_OC[[#This Row],[Centro]]&amp;Detalle_OC[[#This Row],[Nro Almacen]],Almacen!A:D,4,FALSE),"")</f>
        <v>Montelima</v>
      </c>
    </row>
    <row r="111" spans="1:12" x14ac:dyDescent="0.3">
      <c r="A111" s="29" t="str">
        <f>Detalle_OC[[#This Row],[Centro]]&amp;Detalle_OC[[#This Row],[Nom Almacen]]&amp;Detalle_OC[[#This Row],[Material]]&amp;Detalle_OC[[#This Row],[Pedido]]&amp;Detalle_OC[[#This Row],[Posicion]]</f>
        <v>Agricola del Chira PlantaMontelima833504451157423420</v>
      </c>
      <c r="B111" t="s">
        <v>50</v>
      </c>
      <c r="C111" t="s">
        <v>272</v>
      </c>
      <c r="D111" s="11">
        <v>45672</v>
      </c>
      <c r="E111" t="s">
        <v>16</v>
      </c>
      <c r="F111" t="s">
        <v>12</v>
      </c>
      <c r="G111">
        <v>833504</v>
      </c>
      <c r="H111">
        <v>4511574234</v>
      </c>
      <c r="I111">
        <v>20</v>
      </c>
      <c r="J111" s="29">
        <v>1</v>
      </c>
      <c r="K111" s="29" t="s">
        <v>977</v>
      </c>
      <c r="L111" t="str">
        <f>IFERROR(VLOOKUP(Detalle_OC[[#This Row],[Centro]]&amp;Detalle_OC[[#This Row],[Nro Almacen]],Almacen!A:D,4,FALSE),"")</f>
        <v>Montelima</v>
      </c>
    </row>
    <row r="112" spans="1:12" x14ac:dyDescent="0.3">
      <c r="A112" s="29" t="str">
        <f>Detalle_OC[[#This Row],[Centro]]&amp;Detalle_OC[[#This Row],[Nom Almacen]]&amp;Detalle_OC[[#This Row],[Material]]&amp;Detalle_OC[[#This Row],[Pedido]]&amp;Detalle_OC[[#This Row],[Posicion]]</f>
        <v>Agricola del Chira PlantaAlmacen Lobo701439451157423560</v>
      </c>
      <c r="B112" t="s">
        <v>290</v>
      </c>
      <c r="C112" t="s">
        <v>22</v>
      </c>
      <c r="D112" s="11">
        <v>45672</v>
      </c>
      <c r="E112" t="s">
        <v>48</v>
      </c>
      <c r="F112" t="s">
        <v>12</v>
      </c>
      <c r="G112">
        <v>701439</v>
      </c>
      <c r="H112">
        <v>4511574235</v>
      </c>
      <c r="I112">
        <v>60</v>
      </c>
      <c r="J112" s="29">
        <v>7</v>
      </c>
      <c r="K112" s="29" t="s">
        <v>977</v>
      </c>
      <c r="L112" t="str">
        <f>IFERROR(VLOOKUP(Detalle_OC[[#This Row],[Centro]]&amp;Detalle_OC[[#This Row],[Nro Almacen]],Almacen!A:D,4,FALSE),"")</f>
        <v>Almacen Lobo</v>
      </c>
    </row>
    <row r="113" spans="1:12" x14ac:dyDescent="0.3">
      <c r="A113" s="29" t="str">
        <f>Detalle_OC[[#This Row],[Centro]]&amp;Detalle_OC[[#This Row],[Nom Almacen]]&amp;Detalle_OC[[#This Row],[Material]]&amp;Detalle_OC[[#This Row],[Pedido]]&amp;Detalle_OC[[#This Row],[Posicion]]</f>
        <v>Sucroalcolera del Chira PlantaMontelima721557451157423920</v>
      </c>
      <c r="B113" t="s">
        <v>138</v>
      </c>
      <c r="C113" t="s">
        <v>22</v>
      </c>
      <c r="D113" s="11">
        <v>45672</v>
      </c>
      <c r="E113" t="s">
        <v>16</v>
      </c>
      <c r="F113" t="s">
        <v>85</v>
      </c>
      <c r="G113">
        <v>721557</v>
      </c>
      <c r="H113">
        <v>4511574239</v>
      </c>
      <c r="I113">
        <v>20</v>
      </c>
      <c r="J113" s="29">
        <v>1</v>
      </c>
      <c r="K113" s="29" t="s">
        <v>977</v>
      </c>
      <c r="L113" t="str">
        <f>IFERROR(VLOOKUP(Detalle_OC[[#This Row],[Centro]]&amp;Detalle_OC[[#This Row],[Nro Almacen]],Almacen!A:D,4,FALSE),"")</f>
        <v>Montelima</v>
      </c>
    </row>
    <row r="114" spans="1:12" x14ac:dyDescent="0.3">
      <c r="A114" s="29" t="str">
        <f>Detalle_OC[[#This Row],[Centro]]&amp;Detalle_OC[[#This Row],[Nom Almacen]]&amp;Detalle_OC[[#This Row],[Material]]&amp;Detalle_OC[[#This Row],[Pedido]]&amp;Detalle_OC[[#This Row],[Posicion]]</f>
        <v>Sucroalcolera del Chira PlantaMontelima721764451157423930</v>
      </c>
      <c r="B114" t="s">
        <v>138</v>
      </c>
      <c r="C114" t="s">
        <v>22</v>
      </c>
      <c r="D114" s="11">
        <v>45672</v>
      </c>
      <c r="E114" t="s">
        <v>16</v>
      </c>
      <c r="F114" t="s">
        <v>85</v>
      </c>
      <c r="G114">
        <v>721764</v>
      </c>
      <c r="H114">
        <v>4511574239</v>
      </c>
      <c r="I114">
        <v>30</v>
      </c>
      <c r="J114" s="29">
        <v>1</v>
      </c>
      <c r="K114" s="29" t="s">
        <v>977</v>
      </c>
      <c r="L114" t="str">
        <f>IFERROR(VLOOKUP(Detalle_OC[[#This Row],[Centro]]&amp;Detalle_OC[[#This Row],[Nro Almacen]],Almacen!A:D,4,FALSE),"")</f>
        <v>Montelima</v>
      </c>
    </row>
    <row r="115" spans="1:12" x14ac:dyDescent="0.3">
      <c r="A115" s="29" t="str">
        <f>Detalle_OC[[#This Row],[Centro]]&amp;Detalle_OC[[#This Row],[Nom Almacen]]&amp;Detalle_OC[[#This Row],[Material]]&amp;Detalle_OC[[#This Row],[Pedido]]&amp;Detalle_OC[[#This Row],[Posicion]]</f>
        <v>Sucroalcolera del Chira PlantaMontelima771770451157423940</v>
      </c>
      <c r="B115" t="s">
        <v>138</v>
      </c>
      <c r="C115" t="s">
        <v>22</v>
      </c>
      <c r="D115" s="11">
        <v>45672</v>
      </c>
      <c r="E115" t="s">
        <v>16</v>
      </c>
      <c r="F115" t="s">
        <v>85</v>
      </c>
      <c r="G115">
        <v>771770</v>
      </c>
      <c r="H115">
        <v>4511574239</v>
      </c>
      <c r="I115">
        <v>40</v>
      </c>
      <c r="J115" s="29">
        <v>1</v>
      </c>
      <c r="K115" s="29" t="s">
        <v>977</v>
      </c>
      <c r="L115" t="str">
        <f>IFERROR(VLOOKUP(Detalle_OC[[#This Row],[Centro]]&amp;Detalle_OC[[#This Row],[Nro Almacen]],Almacen!A:D,4,FALSE),"")</f>
        <v>Montelima</v>
      </c>
    </row>
    <row r="116" spans="1:12" x14ac:dyDescent="0.3">
      <c r="A116" s="29" t="str">
        <f>Detalle_OC[[#This Row],[Centro]]&amp;Detalle_OC[[#This Row],[Nom Almacen]]&amp;Detalle_OC[[#This Row],[Material]]&amp;Detalle_OC[[#This Row],[Pedido]]&amp;Detalle_OC[[#This Row],[Posicion]]</f>
        <v>Sucroalcolera del Chira PlantaMontelima70062773451157423950</v>
      </c>
      <c r="B116" t="s">
        <v>138</v>
      </c>
      <c r="C116" t="s">
        <v>22</v>
      </c>
      <c r="D116" s="11">
        <v>45672</v>
      </c>
      <c r="E116" t="s">
        <v>16</v>
      </c>
      <c r="F116" t="s">
        <v>85</v>
      </c>
      <c r="G116">
        <v>70062773</v>
      </c>
      <c r="H116">
        <v>4511574239</v>
      </c>
      <c r="I116">
        <v>50</v>
      </c>
      <c r="J116" s="29">
        <v>1</v>
      </c>
      <c r="K116" s="29" t="s">
        <v>977</v>
      </c>
      <c r="L116" t="str">
        <f>IFERROR(VLOOKUP(Detalle_OC[[#This Row],[Centro]]&amp;Detalle_OC[[#This Row],[Nro Almacen]],Almacen!A:D,4,FALSE),"")</f>
        <v>Montelima</v>
      </c>
    </row>
    <row r="117" spans="1:12" x14ac:dyDescent="0.3">
      <c r="A117" s="29" t="str">
        <f>Detalle_OC[[#This Row],[Centro]]&amp;Detalle_OC[[#This Row],[Nom Almacen]]&amp;Detalle_OC[[#This Row],[Material]]&amp;Detalle_OC[[#This Row],[Pedido]]&amp;Detalle_OC[[#This Row],[Posicion]]</f>
        <v>Sucroalcolera del Chira PlantaMontelimaCK00000399        451157423970</v>
      </c>
      <c r="B117" t="s">
        <v>138</v>
      </c>
      <c r="C117" t="s">
        <v>22</v>
      </c>
      <c r="D117" s="11">
        <v>45672</v>
      </c>
      <c r="E117" t="s">
        <v>16</v>
      </c>
      <c r="F117" t="s">
        <v>85</v>
      </c>
      <c r="G117" t="s">
        <v>320</v>
      </c>
      <c r="H117">
        <v>4511574239</v>
      </c>
      <c r="I117">
        <v>70</v>
      </c>
      <c r="J117" s="29">
        <v>1</v>
      </c>
      <c r="K117" s="29" t="s">
        <v>977</v>
      </c>
      <c r="L117" t="str">
        <f>IFERROR(VLOOKUP(Detalle_OC[[#This Row],[Centro]]&amp;Detalle_OC[[#This Row],[Nro Almacen]],Almacen!A:D,4,FALSE),"")</f>
        <v>Montelima</v>
      </c>
    </row>
    <row r="118" spans="1:12" x14ac:dyDescent="0.3">
      <c r="A118" s="29" t="str">
        <f>Detalle_OC[[#This Row],[Centro]]&amp;Detalle_OC[[#This Row],[Nom Almacen]]&amp;Detalle_OC[[#This Row],[Material]]&amp;Detalle_OC[[#This Row],[Pedido]]&amp;Detalle_OC[[#This Row],[Posicion]]</f>
        <v>Sucroalcolera del Chira PlantaMontelimaCP190038          451157423980</v>
      </c>
      <c r="B118" t="s">
        <v>138</v>
      </c>
      <c r="C118" t="s">
        <v>22</v>
      </c>
      <c r="D118" s="11">
        <v>45672</v>
      </c>
      <c r="E118" t="s">
        <v>16</v>
      </c>
      <c r="F118" t="s">
        <v>85</v>
      </c>
      <c r="G118" t="s">
        <v>218</v>
      </c>
      <c r="H118">
        <v>4511574239</v>
      </c>
      <c r="I118">
        <v>80</v>
      </c>
      <c r="J118" s="29">
        <v>1</v>
      </c>
      <c r="K118" s="29" t="s">
        <v>977</v>
      </c>
      <c r="L118" t="str">
        <f>IFERROR(VLOOKUP(Detalle_OC[[#This Row],[Centro]]&amp;Detalle_OC[[#This Row],[Nro Almacen]],Almacen!A:D,4,FALSE),"")</f>
        <v>Montelima</v>
      </c>
    </row>
    <row r="119" spans="1:12" x14ac:dyDescent="0.3">
      <c r="A119" s="29" t="str">
        <f>Detalle_OC[[#This Row],[Centro]]&amp;Detalle_OC[[#This Row],[Nom Almacen]]&amp;Detalle_OC[[#This Row],[Material]]&amp;Detalle_OC[[#This Row],[Pedido]]&amp;Detalle_OC[[#This Row],[Posicion]]</f>
        <v>Sucroalcolera del Chira PlantaMontelima70044368451157424510</v>
      </c>
      <c r="B119" t="s">
        <v>138</v>
      </c>
      <c r="C119" t="s">
        <v>212</v>
      </c>
      <c r="D119" s="11">
        <v>45677</v>
      </c>
      <c r="E119" t="s">
        <v>16</v>
      </c>
      <c r="F119" t="s">
        <v>85</v>
      </c>
      <c r="G119">
        <v>70044368</v>
      </c>
      <c r="H119">
        <v>4511574245</v>
      </c>
      <c r="I119">
        <v>10</v>
      </c>
      <c r="J119" s="29">
        <v>1</v>
      </c>
      <c r="K119" s="29" t="s">
        <v>977</v>
      </c>
      <c r="L119" t="str">
        <f>IFERROR(VLOOKUP(Detalle_OC[[#This Row],[Centro]]&amp;Detalle_OC[[#This Row],[Nro Almacen]],Almacen!A:D,4,FALSE),"")</f>
        <v>Montelima</v>
      </c>
    </row>
    <row r="120" spans="1:12" x14ac:dyDescent="0.3">
      <c r="A120" s="29" t="str">
        <f>Detalle_OC[[#This Row],[Centro]]&amp;Detalle_OC[[#This Row],[Nom Almacen]]&amp;Detalle_OC[[#This Row],[Material]]&amp;Detalle_OC[[#This Row],[Pedido]]&amp;Detalle_OC[[#This Row],[Posicion]]</f>
        <v>Sucroalcolera del Chira PlantaMontelima70052506451157424520</v>
      </c>
      <c r="B120" t="s">
        <v>138</v>
      </c>
      <c r="C120" t="s">
        <v>212</v>
      </c>
      <c r="D120" s="11">
        <v>45677</v>
      </c>
      <c r="E120" t="s">
        <v>16</v>
      </c>
      <c r="F120" t="s">
        <v>85</v>
      </c>
      <c r="G120">
        <v>70052506</v>
      </c>
      <c r="H120">
        <v>4511574245</v>
      </c>
      <c r="I120">
        <v>20</v>
      </c>
      <c r="J120" s="29">
        <v>1</v>
      </c>
      <c r="K120" s="29" t="s">
        <v>977</v>
      </c>
      <c r="L120" t="str">
        <f>IFERROR(VLOOKUP(Detalle_OC[[#This Row],[Centro]]&amp;Detalle_OC[[#This Row],[Nro Almacen]],Almacen!A:D,4,FALSE),"")</f>
        <v>Montelima</v>
      </c>
    </row>
    <row r="121" spans="1:12" x14ac:dyDescent="0.3">
      <c r="A121" s="29" t="str">
        <f>Detalle_OC[[#This Row],[Centro]]&amp;Detalle_OC[[#This Row],[Nom Almacen]]&amp;Detalle_OC[[#This Row],[Material]]&amp;Detalle_OC[[#This Row],[Pedido]]&amp;Detalle_OC[[#This Row],[Posicion]]</f>
        <v>Agricola del Chira PlantaAlmacen LoboMWAGR00042        451157424810</v>
      </c>
      <c r="B121" t="s">
        <v>326</v>
      </c>
      <c r="C121" t="s">
        <v>1110</v>
      </c>
      <c r="D121" s="11">
        <v>45672</v>
      </c>
      <c r="E121" t="s">
        <v>16</v>
      </c>
      <c r="F121" t="s">
        <v>12</v>
      </c>
      <c r="G121" t="s">
        <v>951</v>
      </c>
      <c r="H121">
        <v>4511574248</v>
      </c>
      <c r="I121">
        <v>10</v>
      </c>
      <c r="J121" s="29">
        <v>7</v>
      </c>
      <c r="K121" s="29" t="s">
        <v>977</v>
      </c>
      <c r="L121" t="str">
        <f>IFERROR(VLOOKUP(Detalle_OC[[#This Row],[Centro]]&amp;Detalle_OC[[#This Row],[Nro Almacen]],Almacen!A:D,4,FALSE),"")</f>
        <v>Almacen Lobo</v>
      </c>
    </row>
    <row r="122" spans="1:12" x14ac:dyDescent="0.3">
      <c r="A122" s="29" t="str">
        <f>Detalle_OC[[#This Row],[Centro]]&amp;Detalle_OC[[#This Row],[Nom Almacen]]&amp;Detalle_OC[[#This Row],[Material]]&amp;Detalle_OC[[#This Row],[Pedido]]&amp;Detalle_OC[[#This Row],[Posicion]]</f>
        <v>Agricola del Chira PlantaLa HuacaMWAGR00042        451157424820</v>
      </c>
      <c r="B122" t="s">
        <v>326</v>
      </c>
      <c r="C122" t="s">
        <v>1110</v>
      </c>
      <c r="D122" s="11">
        <v>45672</v>
      </c>
      <c r="E122" t="s">
        <v>16</v>
      </c>
      <c r="F122" t="s">
        <v>12</v>
      </c>
      <c r="G122" t="s">
        <v>951</v>
      </c>
      <c r="H122">
        <v>4511574248</v>
      </c>
      <c r="I122">
        <v>20</v>
      </c>
      <c r="J122" s="29">
        <v>2</v>
      </c>
      <c r="K122" s="29" t="s">
        <v>977</v>
      </c>
      <c r="L122" t="str">
        <f>IFERROR(VLOOKUP(Detalle_OC[[#This Row],[Centro]]&amp;Detalle_OC[[#This Row],[Nro Almacen]],Almacen!A:D,4,FALSE),"")</f>
        <v>La Huaca</v>
      </c>
    </row>
    <row r="123" spans="1:12" x14ac:dyDescent="0.3">
      <c r="A123" s="29" t="str">
        <f>Detalle_OC[[#This Row],[Centro]]&amp;Detalle_OC[[#This Row],[Nom Almacen]]&amp;Detalle_OC[[#This Row],[Material]]&amp;Detalle_OC[[#This Row],[Pedido]]&amp;Detalle_OC[[#This Row],[Posicion]]</f>
        <v>Sucroalcolera del Chira PlantaMontelima70047943451157425610</v>
      </c>
      <c r="B123" t="s">
        <v>138</v>
      </c>
      <c r="C123" t="s">
        <v>167</v>
      </c>
      <c r="D123" s="11">
        <v>45677</v>
      </c>
      <c r="E123" t="s">
        <v>16</v>
      </c>
      <c r="F123" t="s">
        <v>85</v>
      </c>
      <c r="G123">
        <v>70047943</v>
      </c>
      <c r="H123">
        <v>4511574256</v>
      </c>
      <c r="I123">
        <v>10</v>
      </c>
      <c r="J123" s="29">
        <v>1</v>
      </c>
      <c r="K123" s="29" t="s">
        <v>977</v>
      </c>
      <c r="L123" t="str">
        <f>IFERROR(VLOOKUP(Detalle_OC[[#This Row],[Centro]]&amp;Detalle_OC[[#This Row],[Nro Almacen]],Almacen!A:D,4,FALSE),"")</f>
        <v>Montelima</v>
      </c>
    </row>
    <row r="124" spans="1:12" x14ac:dyDescent="0.3">
      <c r="A124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124" t="s">
        <v>28</v>
      </c>
      <c r="C124" t="s">
        <v>94</v>
      </c>
      <c r="D124" s="11">
        <v>45665</v>
      </c>
      <c r="E124" t="s">
        <v>16</v>
      </c>
      <c r="F124" t="s">
        <v>85</v>
      </c>
      <c r="G124" t="s">
        <v>95</v>
      </c>
      <c r="H124">
        <v>5500024746</v>
      </c>
      <c r="I124">
        <v>10</v>
      </c>
      <c r="J124" s="29">
        <v>1</v>
      </c>
      <c r="K124" s="29" t="s">
        <v>977</v>
      </c>
      <c r="L124" t="str">
        <f>IFERROR(VLOOKUP(Detalle_OC[[#This Row],[Centro]]&amp;Detalle_OC[[#This Row],[Nro Almacen]],Almacen!A:D,4,FALSE),"")</f>
        <v>Montelima</v>
      </c>
    </row>
    <row r="125" spans="1:12" x14ac:dyDescent="0.3">
      <c r="A125" s="29" t="str">
        <f>Detalle_OC[[#This Row],[Centro]]&amp;Detalle_OC[[#This Row],[Nom Almacen]]&amp;Detalle_OC[[#This Row],[Material]]&amp;Detalle_OC[[#This Row],[Pedido]]&amp;Detalle_OC[[#This Row],[Posicion]]</f>
        <v>Agricola del Chira PlantaAlmacen Lobo70050498550002488160</v>
      </c>
      <c r="B125" t="s">
        <v>28</v>
      </c>
      <c r="C125" t="s">
        <v>52</v>
      </c>
      <c r="D125" s="11">
        <v>45666</v>
      </c>
      <c r="E125" t="s">
        <v>16</v>
      </c>
      <c r="F125" t="s">
        <v>12</v>
      </c>
      <c r="G125">
        <v>70050498</v>
      </c>
      <c r="H125">
        <v>5500024881</v>
      </c>
      <c r="I125">
        <v>60</v>
      </c>
      <c r="J125" s="29">
        <v>7</v>
      </c>
      <c r="K125" s="29" t="s">
        <v>977</v>
      </c>
      <c r="L125" t="str">
        <f>IFERROR(VLOOKUP(Detalle_OC[[#This Row],[Centro]]&amp;Detalle_OC[[#This Row],[Nro Almacen]],Almacen!A:D,4,FALSE),"")</f>
        <v>Almacen Lobo</v>
      </c>
    </row>
    <row r="126" spans="1:12" x14ac:dyDescent="0.3">
      <c r="A126" s="29" t="str">
        <f>Detalle_OC[[#This Row],[Centro]]&amp;Detalle_OC[[#This Row],[Nom Almacen]]&amp;Detalle_OC[[#This Row],[Material]]&amp;Detalle_OC[[#This Row],[Pedido]]&amp;Detalle_OC[[#This Row],[Posicion]]</f>
        <v>Agricola del Chira PlantaSan Vicente70057749550002488180</v>
      </c>
      <c r="B126" t="s">
        <v>28</v>
      </c>
      <c r="C126" t="s">
        <v>52</v>
      </c>
      <c r="D126" s="11">
        <v>45666</v>
      </c>
      <c r="E126" t="s">
        <v>16</v>
      </c>
      <c r="F126" t="s">
        <v>12</v>
      </c>
      <c r="G126">
        <v>70057749</v>
      </c>
      <c r="H126">
        <v>5500024881</v>
      </c>
      <c r="I126">
        <v>80</v>
      </c>
      <c r="J126" s="29">
        <v>3</v>
      </c>
      <c r="K126" s="29" t="s">
        <v>977</v>
      </c>
      <c r="L126" t="str">
        <f>IFERROR(VLOOKUP(Detalle_OC[[#This Row],[Centro]]&amp;Detalle_OC[[#This Row],[Nro Almacen]],Almacen!A:D,4,FALSE),"")</f>
        <v>San Vicente</v>
      </c>
    </row>
    <row r="127" spans="1:12" x14ac:dyDescent="0.3">
      <c r="A127" s="29" t="str">
        <f>Detalle_OC[[#This Row],[Centro]]&amp;Detalle_OC[[#This Row],[Nom Almacen]]&amp;Detalle_OC[[#This Row],[Material]]&amp;Detalle_OC[[#This Row],[Pedido]]&amp;Detalle_OC[[#This Row],[Posicion]]</f>
        <v>Sucroalcolera del Chira PlantaMontelima70132900550002489220</v>
      </c>
      <c r="B127" t="s">
        <v>28</v>
      </c>
      <c r="C127" t="s">
        <v>52</v>
      </c>
      <c r="D127" s="11">
        <v>45666</v>
      </c>
      <c r="E127" t="s">
        <v>16</v>
      </c>
      <c r="F127" t="s">
        <v>85</v>
      </c>
      <c r="G127">
        <v>70132900</v>
      </c>
      <c r="H127">
        <v>5500024892</v>
      </c>
      <c r="I127">
        <v>20</v>
      </c>
      <c r="J127" s="29">
        <v>1</v>
      </c>
      <c r="K127" s="29" t="s">
        <v>977</v>
      </c>
      <c r="L127" t="str">
        <f>IFERROR(VLOOKUP(Detalle_OC[[#This Row],[Centro]]&amp;Detalle_OC[[#This Row],[Nro Almacen]],Almacen!A:D,4,FALSE),"")</f>
        <v>Montelima</v>
      </c>
    </row>
    <row r="128" spans="1:12" x14ac:dyDescent="0.3">
      <c r="A128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fábrica8424465500024925390</v>
      </c>
      <c r="B128" t="s">
        <v>28</v>
      </c>
      <c r="C128" t="s">
        <v>32</v>
      </c>
      <c r="D128" s="11">
        <v>45666</v>
      </c>
      <c r="E128" t="s">
        <v>16</v>
      </c>
      <c r="F128" t="s">
        <v>85</v>
      </c>
      <c r="G128">
        <v>842446</v>
      </c>
      <c r="H128">
        <v>5500024925</v>
      </c>
      <c r="I128">
        <v>390</v>
      </c>
      <c r="J128" s="29">
        <v>9</v>
      </c>
      <c r="K128" s="29" t="s">
        <v>977</v>
      </c>
      <c r="L128" t="str">
        <f>IFERROR(VLOOKUP(Detalle_OC[[#This Row],[Centro]]&amp;Detalle_OC[[#This Row],[Nro Almacen]],Almacen!A:D,4,FALSE),"")</f>
        <v>Parada fábrica</v>
      </c>
    </row>
    <row r="129" spans="1:12" x14ac:dyDescent="0.3">
      <c r="A129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fábrica8151825500024925490</v>
      </c>
      <c r="B129" t="s">
        <v>28</v>
      </c>
      <c r="C129" t="s">
        <v>32</v>
      </c>
      <c r="D129" s="11">
        <v>45666</v>
      </c>
      <c r="E129" t="s">
        <v>16</v>
      </c>
      <c r="F129" t="s">
        <v>85</v>
      </c>
      <c r="G129">
        <v>815182</v>
      </c>
      <c r="H129">
        <v>5500024925</v>
      </c>
      <c r="I129">
        <v>490</v>
      </c>
      <c r="J129" s="29">
        <v>9</v>
      </c>
      <c r="K129" s="29" t="s">
        <v>977</v>
      </c>
      <c r="L129" t="str">
        <f>IFERROR(VLOOKUP(Detalle_OC[[#This Row],[Centro]]&amp;Detalle_OC[[#This Row],[Nro Almacen]],Almacen!A:D,4,FALSE),"")</f>
        <v>Parada fábrica</v>
      </c>
    </row>
    <row r="130" spans="1:12" x14ac:dyDescent="0.3">
      <c r="A130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fábrica700117005500024925700</v>
      </c>
      <c r="B130" t="s">
        <v>28</v>
      </c>
      <c r="C130" t="s">
        <v>32</v>
      </c>
      <c r="D130" s="11">
        <v>45666</v>
      </c>
      <c r="E130" t="s">
        <v>16</v>
      </c>
      <c r="F130" t="s">
        <v>85</v>
      </c>
      <c r="G130">
        <v>70011700</v>
      </c>
      <c r="H130">
        <v>5500024925</v>
      </c>
      <c r="I130">
        <v>700</v>
      </c>
      <c r="J130" s="29">
        <v>9</v>
      </c>
      <c r="K130" s="29" t="s">
        <v>977</v>
      </c>
      <c r="L130" t="str">
        <f>IFERROR(VLOOKUP(Detalle_OC[[#This Row],[Centro]]&amp;Detalle_OC[[#This Row],[Nro Almacen]],Almacen!A:D,4,FALSE),"")</f>
        <v>Parada fábrica</v>
      </c>
    </row>
    <row r="131" spans="1:12" x14ac:dyDescent="0.3">
      <c r="A131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fábrica8021965500024925720</v>
      </c>
      <c r="B131" t="s">
        <v>28</v>
      </c>
      <c r="C131" t="s">
        <v>32</v>
      </c>
      <c r="D131" s="11">
        <v>45666</v>
      </c>
      <c r="E131" t="s">
        <v>16</v>
      </c>
      <c r="F131" t="s">
        <v>85</v>
      </c>
      <c r="G131">
        <v>802196</v>
      </c>
      <c r="H131">
        <v>5500024925</v>
      </c>
      <c r="I131">
        <v>720</v>
      </c>
      <c r="J131" s="29">
        <v>9</v>
      </c>
      <c r="K131" s="29" t="s">
        <v>977</v>
      </c>
      <c r="L131" t="str">
        <f>IFERROR(VLOOKUP(Detalle_OC[[#This Row],[Centro]]&amp;Detalle_OC[[#This Row],[Nro Almacen]],Almacen!A:D,4,FALSE),"")</f>
        <v>Parada fábrica</v>
      </c>
    </row>
    <row r="132" spans="1:12" x14ac:dyDescent="0.3">
      <c r="A132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fábrica7590695500024925740</v>
      </c>
      <c r="B132" t="s">
        <v>28</v>
      </c>
      <c r="C132" t="s">
        <v>32</v>
      </c>
      <c r="D132" s="11">
        <v>45666</v>
      </c>
      <c r="E132" t="s">
        <v>16</v>
      </c>
      <c r="F132" t="s">
        <v>85</v>
      </c>
      <c r="G132">
        <v>759069</v>
      </c>
      <c r="H132">
        <v>5500024925</v>
      </c>
      <c r="I132">
        <v>740</v>
      </c>
      <c r="J132" s="29">
        <v>9</v>
      </c>
      <c r="K132" s="29" t="s">
        <v>977</v>
      </c>
      <c r="L132" t="str">
        <f>IFERROR(VLOOKUP(Detalle_OC[[#This Row],[Centro]]&amp;Detalle_OC[[#This Row],[Nro Almacen]],Almacen!A:D,4,FALSE),"")</f>
        <v>Parada fábrica</v>
      </c>
    </row>
    <row r="133" spans="1:12" x14ac:dyDescent="0.3">
      <c r="A133" s="29" t="str">
        <f>Detalle_OC[[#This Row],[Centro]]&amp;Detalle_OC[[#This Row],[Nom Almacen]]&amp;Detalle_OC[[#This Row],[Material]]&amp;Detalle_OC[[#This Row],[Pedido]]&amp;Detalle_OC[[#This Row],[Posicion]]</f>
        <v>Agricola del Chira PlantaMontelima722951451157402610</v>
      </c>
      <c r="B133" t="s">
        <v>33</v>
      </c>
      <c r="C133" t="s">
        <v>1111</v>
      </c>
      <c r="D133" s="11">
        <v>45670</v>
      </c>
      <c r="E133" t="s">
        <v>16</v>
      </c>
      <c r="F133" t="s">
        <v>12</v>
      </c>
      <c r="G133">
        <v>722951</v>
      </c>
      <c r="H133">
        <v>4511574026</v>
      </c>
      <c r="I133">
        <v>10</v>
      </c>
      <c r="J133" s="29">
        <v>1</v>
      </c>
      <c r="K133" s="29" t="s">
        <v>982</v>
      </c>
      <c r="L133" t="str">
        <f>IFERROR(VLOOKUP(Detalle_OC[[#This Row],[Centro]]&amp;Detalle_OC[[#This Row],[Nro Almacen]],Almacen!A:D,4,FALSE),"")</f>
        <v>Montelima</v>
      </c>
    </row>
    <row r="134" spans="1:12" x14ac:dyDescent="0.3">
      <c r="A134" s="29" t="str">
        <f>Detalle_OC[[#This Row],[Centro]]&amp;Detalle_OC[[#This Row],[Nom Almacen]]&amp;Detalle_OC[[#This Row],[Material]]&amp;Detalle_OC[[#This Row],[Pedido]]&amp;Detalle_OC[[#This Row],[Posicion]]</f>
        <v>Agricola del Chira PlantaAlmacen Lobo788878451157409810</v>
      </c>
      <c r="B134" t="s">
        <v>149</v>
      </c>
      <c r="C134" t="s">
        <v>368</v>
      </c>
      <c r="D134" s="11">
        <v>45677</v>
      </c>
      <c r="E134" t="s">
        <v>16</v>
      </c>
      <c r="F134" t="s">
        <v>12</v>
      </c>
      <c r="G134">
        <v>788878</v>
      </c>
      <c r="H134">
        <v>4511574098</v>
      </c>
      <c r="I134">
        <v>10</v>
      </c>
      <c r="J134" s="29">
        <v>7</v>
      </c>
      <c r="K134" s="29" t="s">
        <v>982</v>
      </c>
      <c r="L134" t="str">
        <f>IFERROR(VLOOKUP(Detalle_OC[[#This Row],[Centro]]&amp;Detalle_OC[[#This Row],[Nro Almacen]],Almacen!A:D,4,FALSE),"")</f>
        <v>Almacen Lobo</v>
      </c>
    </row>
    <row r="135" spans="1:12" x14ac:dyDescent="0.3">
      <c r="A135" s="29" t="str">
        <f>Detalle_OC[[#This Row],[Centro]]&amp;Detalle_OC[[#This Row],[Nom Almacen]]&amp;Detalle_OC[[#This Row],[Material]]&amp;Detalle_OC[[#This Row],[Pedido]]&amp;Detalle_OC[[#This Row],[Posicion]]</f>
        <v>Agricola del Chira PlantaAlmacen Lobo788878451157409820</v>
      </c>
      <c r="B135" t="s">
        <v>149</v>
      </c>
      <c r="C135" t="s">
        <v>368</v>
      </c>
      <c r="D135" s="11">
        <v>45677</v>
      </c>
      <c r="E135" t="s">
        <v>16</v>
      </c>
      <c r="F135" t="s">
        <v>12</v>
      </c>
      <c r="G135">
        <v>788878</v>
      </c>
      <c r="H135">
        <v>4511574098</v>
      </c>
      <c r="I135">
        <v>20</v>
      </c>
      <c r="J135" s="29">
        <v>7</v>
      </c>
      <c r="K135" s="29" t="s">
        <v>982</v>
      </c>
      <c r="L135" t="str">
        <f>IFERROR(VLOOKUP(Detalle_OC[[#This Row],[Centro]]&amp;Detalle_OC[[#This Row],[Nro Almacen]],Almacen!A:D,4,FALSE),"")</f>
        <v>Almacen Lobo</v>
      </c>
    </row>
    <row r="136" spans="1:12" x14ac:dyDescent="0.3">
      <c r="A136" s="29" t="str">
        <f>Detalle_OC[[#This Row],[Centro]]&amp;Detalle_OC[[#This Row],[Nom Almacen]]&amp;Detalle_OC[[#This Row],[Material]]&amp;Detalle_OC[[#This Row],[Pedido]]&amp;Detalle_OC[[#This Row],[Posicion]]</f>
        <v>Agricola del Chira PlantaMontelima812333451157409830</v>
      </c>
      <c r="B136" t="s">
        <v>149</v>
      </c>
      <c r="C136" t="s">
        <v>368</v>
      </c>
      <c r="D136" s="11">
        <v>45677</v>
      </c>
      <c r="E136" t="s">
        <v>16</v>
      </c>
      <c r="F136" t="s">
        <v>12</v>
      </c>
      <c r="G136">
        <v>812333</v>
      </c>
      <c r="H136">
        <v>4511574098</v>
      </c>
      <c r="I136">
        <v>30</v>
      </c>
      <c r="J136" s="29">
        <v>1</v>
      </c>
      <c r="K136" s="29" t="s">
        <v>982</v>
      </c>
      <c r="L136" t="str">
        <f>IFERROR(VLOOKUP(Detalle_OC[[#This Row],[Centro]]&amp;Detalle_OC[[#This Row],[Nro Almacen]],Almacen!A:D,4,FALSE),"")</f>
        <v>Montelima</v>
      </c>
    </row>
    <row r="137" spans="1:12" x14ac:dyDescent="0.3">
      <c r="A137" s="29" t="str">
        <f>Detalle_OC[[#This Row],[Centro]]&amp;Detalle_OC[[#This Row],[Nom Almacen]]&amp;Detalle_OC[[#This Row],[Material]]&amp;Detalle_OC[[#This Row],[Pedido]]&amp;Detalle_OC[[#This Row],[Posicion]]</f>
        <v>Sucroalcolera del Chira PlantaMontelima707757451157410510</v>
      </c>
      <c r="B137" t="s">
        <v>15</v>
      </c>
      <c r="C137" t="s">
        <v>212</v>
      </c>
      <c r="D137" s="11">
        <v>45677</v>
      </c>
      <c r="E137" t="s">
        <v>16</v>
      </c>
      <c r="F137" t="s">
        <v>85</v>
      </c>
      <c r="G137">
        <v>707757</v>
      </c>
      <c r="H137">
        <v>4511574105</v>
      </c>
      <c r="I137">
        <v>10</v>
      </c>
      <c r="J137" s="29">
        <v>1</v>
      </c>
      <c r="K137" s="29" t="s">
        <v>982</v>
      </c>
      <c r="L137" t="str">
        <f>IFERROR(VLOOKUP(Detalle_OC[[#This Row],[Centro]]&amp;Detalle_OC[[#This Row],[Nro Almacen]],Almacen!A:D,4,FALSE),"")</f>
        <v>Montelima</v>
      </c>
    </row>
    <row r="138" spans="1:12" x14ac:dyDescent="0.3">
      <c r="A138" s="29" t="str">
        <f>Detalle_OC[[#This Row],[Centro]]&amp;Detalle_OC[[#This Row],[Nom Almacen]]&amp;Detalle_OC[[#This Row],[Material]]&amp;Detalle_OC[[#This Row],[Pedido]]&amp;Detalle_OC[[#This Row],[Posicion]]</f>
        <v>Sucroalcolera del Chira PlantaMontelima888968451157410520</v>
      </c>
      <c r="B138" t="s">
        <v>15</v>
      </c>
      <c r="C138" t="s">
        <v>212</v>
      </c>
      <c r="D138" s="11">
        <v>45677</v>
      </c>
      <c r="E138" t="s">
        <v>16</v>
      </c>
      <c r="F138" t="s">
        <v>85</v>
      </c>
      <c r="G138">
        <v>888968</v>
      </c>
      <c r="H138">
        <v>4511574105</v>
      </c>
      <c r="I138">
        <v>20</v>
      </c>
      <c r="J138" s="29">
        <v>1</v>
      </c>
      <c r="K138" s="29" t="s">
        <v>982</v>
      </c>
      <c r="L138" t="str">
        <f>IFERROR(VLOOKUP(Detalle_OC[[#This Row],[Centro]]&amp;Detalle_OC[[#This Row],[Nro Almacen]],Almacen!A:D,4,FALSE),"")</f>
        <v>Montelima</v>
      </c>
    </row>
    <row r="139" spans="1:12" x14ac:dyDescent="0.3">
      <c r="A139" s="29" t="str">
        <f>Detalle_OC[[#This Row],[Centro]]&amp;Detalle_OC[[#This Row],[Nom Almacen]]&amp;Detalle_OC[[#This Row],[Material]]&amp;Detalle_OC[[#This Row],[Pedido]]&amp;Detalle_OC[[#This Row],[Posicion]]</f>
        <v>Agricola del Chira PlantaAlmacen Lobo70028472451157411520</v>
      </c>
      <c r="B139" t="s">
        <v>149</v>
      </c>
      <c r="C139" t="s">
        <v>262</v>
      </c>
      <c r="D139" s="11">
        <v>45679</v>
      </c>
      <c r="E139" t="s">
        <v>16</v>
      </c>
      <c r="F139" t="s">
        <v>12</v>
      </c>
      <c r="G139">
        <v>70028472</v>
      </c>
      <c r="H139">
        <v>4511574115</v>
      </c>
      <c r="I139">
        <v>20</v>
      </c>
      <c r="J139" s="29">
        <v>7</v>
      </c>
      <c r="K139" s="29" t="s">
        <v>982</v>
      </c>
      <c r="L139" t="str">
        <f>IFERROR(VLOOKUP(Detalle_OC[[#This Row],[Centro]]&amp;Detalle_OC[[#This Row],[Nro Almacen]],Almacen!A:D,4,FALSE),"")</f>
        <v>Almacen Lobo</v>
      </c>
    </row>
    <row r="140" spans="1:12" x14ac:dyDescent="0.3">
      <c r="A140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140" t="s">
        <v>28</v>
      </c>
      <c r="C140" t="s">
        <v>54</v>
      </c>
      <c r="D140" s="11">
        <v>45665</v>
      </c>
      <c r="E140" t="s">
        <v>16</v>
      </c>
      <c r="F140" t="s">
        <v>12</v>
      </c>
      <c r="G140">
        <v>70100392</v>
      </c>
      <c r="H140">
        <v>5500024751</v>
      </c>
      <c r="I140">
        <v>20</v>
      </c>
      <c r="J140" s="29">
        <v>2</v>
      </c>
      <c r="K140" s="29" t="s">
        <v>982</v>
      </c>
      <c r="L140" t="str">
        <f>IFERROR(VLOOKUP(Detalle_OC[[#This Row],[Centro]]&amp;Detalle_OC[[#This Row],[Nro Almacen]],Almacen!A:D,4,FALSE),"")</f>
        <v>La Huaca</v>
      </c>
    </row>
    <row r="141" spans="1:12" x14ac:dyDescent="0.3">
      <c r="A141" s="29" t="str">
        <f>Detalle_OC[[#This Row],[Centro]]&amp;Detalle_OC[[#This Row],[Nom Almacen]]&amp;Detalle_OC[[#This Row],[Material]]&amp;Detalle_OC[[#This Row],[Pedido]]&amp;Detalle_OC[[#This Row],[Posicion]]</f>
        <v>Agricola del Chira PlantaSan Vicente70100392550002475130</v>
      </c>
      <c r="B141" t="s">
        <v>28</v>
      </c>
      <c r="C141" t="s">
        <v>54</v>
      </c>
      <c r="D141" s="11">
        <v>45665</v>
      </c>
      <c r="E141" t="s">
        <v>16</v>
      </c>
      <c r="F141" t="s">
        <v>12</v>
      </c>
      <c r="G141">
        <v>70100392</v>
      </c>
      <c r="H141">
        <v>5500024751</v>
      </c>
      <c r="I141">
        <v>30</v>
      </c>
      <c r="J141" s="29">
        <v>3</v>
      </c>
      <c r="K141" s="29" t="s">
        <v>982</v>
      </c>
      <c r="L141" t="str">
        <f>IFERROR(VLOOKUP(Detalle_OC[[#This Row],[Centro]]&amp;Detalle_OC[[#This Row],[Nro Almacen]],Almacen!A:D,4,FALSE),"")</f>
        <v>San Vicente</v>
      </c>
    </row>
    <row r="142" spans="1:12" x14ac:dyDescent="0.3">
      <c r="A142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142" t="s">
        <v>28</v>
      </c>
      <c r="C142" t="s">
        <v>54</v>
      </c>
      <c r="D142" s="11">
        <v>45665</v>
      </c>
      <c r="E142" t="s">
        <v>16</v>
      </c>
      <c r="F142" t="s">
        <v>12</v>
      </c>
      <c r="G142">
        <v>70100392</v>
      </c>
      <c r="H142">
        <v>5500024751</v>
      </c>
      <c r="I142">
        <v>40</v>
      </c>
      <c r="J142" s="29">
        <v>7</v>
      </c>
      <c r="K142" s="29" t="s">
        <v>982</v>
      </c>
      <c r="L142" t="str">
        <f>IFERROR(VLOOKUP(Detalle_OC[[#This Row],[Centro]]&amp;Detalle_OC[[#This Row],[Nro Almacen]],Almacen!A:D,4,FALSE),"")</f>
        <v>Almacen Lobo</v>
      </c>
    </row>
    <row r="143" spans="1:12" x14ac:dyDescent="0.3">
      <c r="A143" s="29" t="str">
        <f>Detalle_OC[[#This Row],[Centro]]&amp;Detalle_OC[[#This Row],[Nom Almacen]]&amp;Detalle_OC[[#This Row],[Material]]&amp;Detalle_OC[[#This Row],[Pedido]]&amp;Detalle_OC[[#This Row],[Posicion]]</f>
        <v>Agricola del Chira PlantaMontelima70004459550002489630</v>
      </c>
      <c r="B143" t="s">
        <v>28</v>
      </c>
      <c r="C143" t="s">
        <v>27</v>
      </c>
      <c r="D143" s="11">
        <v>45665</v>
      </c>
      <c r="E143" t="s">
        <v>16</v>
      </c>
      <c r="F143" t="s">
        <v>12</v>
      </c>
      <c r="G143">
        <v>70004459</v>
      </c>
      <c r="H143">
        <v>5500024896</v>
      </c>
      <c r="I143">
        <v>30</v>
      </c>
      <c r="J143" s="29">
        <v>1</v>
      </c>
      <c r="K143" s="29" t="s">
        <v>982</v>
      </c>
      <c r="L143" t="str">
        <f>IFERROR(VLOOKUP(Detalle_OC[[#This Row],[Centro]]&amp;Detalle_OC[[#This Row],[Nro Almacen]],Almacen!A:D,4,FALSE),"")</f>
        <v>Montelima</v>
      </c>
    </row>
    <row r="144" spans="1:12" x14ac:dyDescent="0.3">
      <c r="A144" s="29" t="str">
        <f>Detalle_OC[[#This Row],[Centro]]&amp;Detalle_OC[[#This Row],[Nom Almacen]]&amp;Detalle_OC[[#This Row],[Material]]&amp;Detalle_OC[[#This Row],[Pedido]]&amp;Detalle_OC[[#This Row],[Posicion]]</f>
        <v>Agricola del Chira PlantaMontelima892843550002489640</v>
      </c>
      <c r="B144" t="s">
        <v>28</v>
      </c>
      <c r="C144" t="s">
        <v>27</v>
      </c>
      <c r="D144" s="11">
        <v>45665</v>
      </c>
      <c r="E144" t="s">
        <v>16</v>
      </c>
      <c r="F144" t="s">
        <v>12</v>
      </c>
      <c r="G144">
        <v>892843</v>
      </c>
      <c r="H144">
        <v>5500024896</v>
      </c>
      <c r="I144">
        <v>40</v>
      </c>
      <c r="J144" s="29">
        <v>1</v>
      </c>
      <c r="K144" s="29" t="s">
        <v>982</v>
      </c>
      <c r="L144" t="str">
        <f>IFERROR(VLOOKUP(Detalle_OC[[#This Row],[Centro]]&amp;Detalle_OC[[#This Row],[Nro Almacen]],Almacen!A:D,4,FALSE),"")</f>
        <v>Montelima</v>
      </c>
    </row>
    <row r="145" spans="1:12" x14ac:dyDescent="0.3">
      <c r="A145" s="29" t="str">
        <f>Detalle_OC[[#This Row],[Centro]]&amp;Detalle_OC[[#This Row],[Nom Almacen]]&amp;Detalle_OC[[#This Row],[Material]]&amp;Detalle_OC[[#This Row],[Pedido]]&amp;Detalle_OC[[#This Row],[Posicion]]</f>
        <v>Agricola del Chira PlantaMontelima885066550002489660</v>
      </c>
      <c r="B145" t="s">
        <v>28</v>
      </c>
      <c r="C145" t="s">
        <v>27</v>
      </c>
      <c r="D145" s="11">
        <v>45665</v>
      </c>
      <c r="E145" t="s">
        <v>16</v>
      </c>
      <c r="F145" t="s">
        <v>12</v>
      </c>
      <c r="G145">
        <v>885066</v>
      </c>
      <c r="H145">
        <v>5500024896</v>
      </c>
      <c r="I145">
        <v>60</v>
      </c>
      <c r="J145" s="29">
        <v>1</v>
      </c>
      <c r="K145" s="29" t="s">
        <v>982</v>
      </c>
      <c r="L145" t="str">
        <f>IFERROR(VLOOKUP(Detalle_OC[[#This Row],[Centro]]&amp;Detalle_OC[[#This Row],[Nro Almacen]],Almacen!A:D,4,FALSE),"")</f>
        <v>Montelima</v>
      </c>
    </row>
    <row r="146" spans="1:12" x14ac:dyDescent="0.3">
      <c r="A146" s="29" t="str">
        <f>Detalle_OC[[#This Row],[Centro]]&amp;Detalle_OC[[#This Row],[Nom Almacen]]&amp;Detalle_OC[[#This Row],[Material]]&amp;Detalle_OC[[#This Row],[Pedido]]&amp;Detalle_OC[[#This Row],[Posicion]]</f>
        <v>Agricola del Chira PlantaAlmacen Lobo849010451157332430</v>
      </c>
      <c r="B146" t="s">
        <v>39</v>
      </c>
      <c r="C146" t="s">
        <v>38</v>
      </c>
      <c r="D146" s="11">
        <v>45688</v>
      </c>
      <c r="E146" t="s">
        <v>16</v>
      </c>
      <c r="F146" t="s">
        <v>12</v>
      </c>
      <c r="G146">
        <v>849010</v>
      </c>
      <c r="H146">
        <v>4511573324</v>
      </c>
      <c r="I146">
        <v>30</v>
      </c>
      <c r="J146" s="29">
        <v>7</v>
      </c>
      <c r="K146" s="29" t="s">
        <v>989</v>
      </c>
      <c r="L146" t="str">
        <f>IFERROR(VLOOKUP(Detalle_OC[[#This Row],[Centro]]&amp;Detalle_OC[[#This Row],[Nro Almacen]],Almacen!A:D,4,FALSE),"")</f>
        <v>Almacen Lobo</v>
      </c>
    </row>
    <row r="147" spans="1:12" x14ac:dyDescent="0.3">
      <c r="A147" s="29" t="str">
        <f>Detalle_OC[[#This Row],[Centro]]&amp;Detalle_OC[[#This Row],[Nom Almacen]]&amp;Detalle_OC[[#This Row],[Material]]&amp;Detalle_OC[[#This Row],[Pedido]]&amp;Detalle_OC[[#This Row],[Posicion]]</f>
        <v>Agricola del Chira PlantaMontelima733906451157391810</v>
      </c>
      <c r="B147" t="s">
        <v>182</v>
      </c>
      <c r="C147" t="s">
        <v>272</v>
      </c>
      <c r="D147" s="11">
        <v>45677</v>
      </c>
      <c r="E147" t="s">
        <v>16</v>
      </c>
      <c r="F147" t="s">
        <v>12</v>
      </c>
      <c r="G147">
        <v>733906</v>
      </c>
      <c r="H147">
        <v>4511573918</v>
      </c>
      <c r="I147">
        <v>10</v>
      </c>
      <c r="J147" s="29">
        <v>1</v>
      </c>
      <c r="K147" s="29" t="s">
        <v>989</v>
      </c>
      <c r="L147" t="str">
        <f>IFERROR(VLOOKUP(Detalle_OC[[#This Row],[Centro]]&amp;Detalle_OC[[#This Row],[Nro Almacen]],Almacen!A:D,4,FALSE),"")</f>
        <v>Montelima</v>
      </c>
    </row>
    <row r="148" spans="1:12" x14ac:dyDescent="0.3">
      <c r="A148" s="29" t="str">
        <f>Detalle_OC[[#This Row],[Centro]]&amp;Detalle_OC[[#This Row],[Nom Almacen]]&amp;Detalle_OC[[#This Row],[Material]]&amp;Detalle_OC[[#This Row],[Pedido]]&amp;Detalle_OC[[#This Row],[Posicion]]</f>
        <v>Agricola del Chira PlantaMontelima821603451157391820</v>
      </c>
      <c r="B148" t="s">
        <v>202</v>
      </c>
      <c r="C148" t="s">
        <v>272</v>
      </c>
      <c r="D148" s="11">
        <v>45677</v>
      </c>
      <c r="E148" t="s">
        <v>16</v>
      </c>
      <c r="F148" t="s">
        <v>12</v>
      </c>
      <c r="G148">
        <v>821603</v>
      </c>
      <c r="H148">
        <v>4511573918</v>
      </c>
      <c r="I148">
        <v>20</v>
      </c>
      <c r="J148" s="29">
        <v>1</v>
      </c>
      <c r="K148" s="29" t="s">
        <v>989</v>
      </c>
      <c r="L148" t="str">
        <f>IFERROR(VLOOKUP(Detalle_OC[[#This Row],[Centro]]&amp;Detalle_OC[[#This Row],[Nro Almacen]],Almacen!A:D,4,FALSE),"")</f>
        <v>Montelima</v>
      </c>
    </row>
    <row r="149" spans="1:12" x14ac:dyDescent="0.3">
      <c r="A149" s="29" t="str">
        <f>Detalle_OC[[#This Row],[Centro]]&amp;Detalle_OC[[#This Row],[Nom Almacen]]&amp;Detalle_OC[[#This Row],[Material]]&amp;Detalle_OC[[#This Row],[Pedido]]&amp;Detalle_OC[[#This Row],[Posicion]]</f>
        <v>Agricola del Chira PlantaMontelima721781451157393710</v>
      </c>
      <c r="B149" t="s">
        <v>15</v>
      </c>
      <c r="C149" t="s">
        <v>231</v>
      </c>
      <c r="D149" s="11">
        <v>45677</v>
      </c>
      <c r="E149" t="s">
        <v>16</v>
      </c>
      <c r="F149" t="s">
        <v>12</v>
      </c>
      <c r="G149">
        <v>721781</v>
      </c>
      <c r="H149">
        <v>4511573937</v>
      </c>
      <c r="I149">
        <v>10</v>
      </c>
      <c r="J149" s="29">
        <v>1</v>
      </c>
      <c r="K149" s="29" t="s">
        <v>989</v>
      </c>
      <c r="L149" t="str">
        <f>IFERROR(VLOOKUP(Detalle_OC[[#This Row],[Centro]]&amp;Detalle_OC[[#This Row],[Nro Almacen]],Almacen!A:D,4,FALSE),"")</f>
        <v>Montelima</v>
      </c>
    </row>
    <row r="150" spans="1:12" x14ac:dyDescent="0.3">
      <c r="A150" s="29" t="str">
        <f>Detalle_OC[[#This Row],[Centro]]&amp;Detalle_OC[[#This Row],[Nom Almacen]]&amp;Detalle_OC[[#This Row],[Material]]&amp;Detalle_OC[[#This Row],[Pedido]]&amp;Detalle_OC[[#This Row],[Posicion]]</f>
        <v>Agricola del Chira PlantaAlmacen Lobo70067202451157393730</v>
      </c>
      <c r="B150" t="s">
        <v>15</v>
      </c>
      <c r="C150" t="s">
        <v>231</v>
      </c>
      <c r="D150" s="11">
        <v>45677</v>
      </c>
      <c r="E150" t="s">
        <v>16</v>
      </c>
      <c r="F150" t="s">
        <v>12</v>
      </c>
      <c r="G150">
        <v>70067202</v>
      </c>
      <c r="H150">
        <v>4511573937</v>
      </c>
      <c r="I150">
        <v>30</v>
      </c>
      <c r="J150" s="29">
        <v>7</v>
      </c>
      <c r="K150" s="29" t="s">
        <v>989</v>
      </c>
      <c r="L150" t="str">
        <f>IFERROR(VLOOKUP(Detalle_OC[[#This Row],[Centro]]&amp;Detalle_OC[[#This Row],[Nro Almacen]],Almacen!A:D,4,FALSE),"")</f>
        <v>Almacen Lobo</v>
      </c>
    </row>
    <row r="151" spans="1:12" x14ac:dyDescent="0.3">
      <c r="A151" s="29" t="str">
        <f>Detalle_OC[[#This Row],[Centro]]&amp;Detalle_OC[[#This Row],[Nom Almacen]]&amp;Detalle_OC[[#This Row],[Material]]&amp;Detalle_OC[[#This Row],[Pedido]]&amp;Detalle_OC[[#This Row],[Posicion]]</f>
        <v>Sucroalcolera del Chira PlantaMontelima808068451157393810</v>
      </c>
      <c r="B151" t="s">
        <v>15</v>
      </c>
      <c r="C151" t="s">
        <v>231</v>
      </c>
      <c r="D151" s="11">
        <v>45677</v>
      </c>
      <c r="E151" t="s">
        <v>16</v>
      </c>
      <c r="F151" t="s">
        <v>85</v>
      </c>
      <c r="G151">
        <v>808068</v>
      </c>
      <c r="H151">
        <v>4511573938</v>
      </c>
      <c r="I151">
        <v>10</v>
      </c>
      <c r="J151" s="29">
        <v>1</v>
      </c>
      <c r="K151" s="29" t="s">
        <v>989</v>
      </c>
      <c r="L151" t="str">
        <f>IFERROR(VLOOKUP(Detalle_OC[[#This Row],[Centro]]&amp;Detalle_OC[[#This Row],[Nro Almacen]],Almacen!A:D,4,FALSE),"")</f>
        <v>Montelima</v>
      </c>
    </row>
    <row r="152" spans="1:12" x14ac:dyDescent="0.3">
      <c r="A152" s="29" t="str">
        <f>Detalle_OC[[#This Row],[Centro]]&amp;Detalle_OC[[#This Row],[Nom Almacen]]&amp;Detalle_OC[[#This Row],[Material]]&amp;Detalle_OC[[#This Row],[Pedido]]&amp;Detalle_OC[[#This Row],[Posicion]]</f>
        <v>Sucroalcolera del Chira PlantaMontelima70069177451157393820</v>
      </c>
      <c r="B152" t="s">
        <v>15</v>
      </c>
      <c r="C152" t="s">
        <v>231</v>
      </c>
      <c r="D152" s="11">
        <v>45677</v>
      </c>
      <c r="E152" t="s">
        <v>16</v>
      </c>
      <c r="F152" t="s">
        <v>85</v>
      </c>
      <c r="G152">
        <v>70069177</v>
      </c>
      <c r="H152">
        <v>4511573938</v>
      </c>
      <c r="I152">
        <v>20</v>
      </c>
      <c r="J152" s="29">
        <v>1</v>
      </c>
      <c r="K152" s="29" t="s">
        <v>989</v>
      </c>
      <c r="L152" t="str">
        <f>IFERROR(VLOOKUP(Detalle_OC[[#This Row],[Centro]]&amp;Detalle_OC[[#This Row],[Nro Almacen]],Almacen!A:D,4,FALSE),"")</f>
        <v>Montelima</v>
      </c>
    </row>
    <row r="153" spans="1:12" x14ac:dyDescent="0.3">
      <c r="A153" s="29" t="str">
        <f>Detalle_OC[[#This Row],[Centro]]&amp;Detalle_OC[[#This Row],[Nom Almacen]]&amp;Detalle_OC[[#This Row],[Material]]&amp;Detalle_OC[[#This Row],[Pedido]]&amp;Detalle_OC[[#This Row],[Posicion]]</f>
        <v>Bioenergía del Chira PlantaMontelima70069177451157393910</v>
      </c>
      <c r="B153" t="s">
        <v>15</v>
      </c>
      <c r="C153" t="s">
        <v>231</v>
      </c>
      <c r="D153" s="11">
        <v>45677</v>
      </c>
      <c r="E153" t="s">
        <v>16</v>
      </c>
      <c r="F153" t="s">
        <v>86</v>
      </c>
      <c r="G153">
        <v>70069177</v>
      </c>
      <c r="H153">
        <v>4511573939</v>
      </c>
      <c r="I153">
        <v>10</v>
      </c>
      <c r="J153" s="29">
        <v>1</v>
      </c>
      <c r="K153" s="29" t="s">
        <v>989</v>
      </c>
      <c r="L153" t="str">
        <f>IFERROR(VLOOKUP(Detalle_OC[[#This Row],[Centro]]&amp;Detalle_OC[[#This Row],[Nro Almacen]],Almacen!A:D,4,FALSE),"")</f>
        <v>Montelima</v>
      </c>
    </row>
    <row r="154" spans="1:12" x14ac:dyDescent="0.3">
      <c r="A154" s="29" t="str">
        <f>Detalle_OC[[#This Row],[Centro]]&amp;Detalle_OC[[#This Row],[Nom Almacen]]&amp;Detalle_OC[[#This Row],[Material]]&amp;Detalle_OC[[#This Row],[Pedido]]&amp;Detalle_OC[[#This Row],[Posicion]]</f>
        <v>Agricola del Chira PlantaMontelima721676451157394810</v>
      </c>
      <c r="B154" t="s">
        <v>15</v>
      </c>
      <c r="C154" t="s">
        <v>36</v>
      </c>
      <c r="D154" s="11">
        <v>45679</v>
      </c>
      <c r="E154" t="s">
        <v>16</v>
      </c>
      <c r="F154" t="s">
        <v>12</v>
      </c>
      <c r="G154">
        <v>721676</v>
      </c>
      <c r="H154">
        <v>4511573948</v>
      </c>
      <c r="I154">
        <v>10</v>
      </c>
      <c r="J154" s="29">
        <v>1</v>
      </c>
      <c r="K154" s="29" t="s">
        <v>989</v>
      </c>
      <c r="L154" t="str">
        <f>IFERROR(VLOOKUP(Detalle_OC[[#This Row],[Centro]]&amp;Detalle_OC[[#This Row],[Nro Almacen]],Almacen!A:D,4,FALSE),"")</f>
        <v>Montelima</v>
      </c>
    </row>
    <row r="155" spans="1:12" x14ac:dyDescent="0.3">
      <c r="A155" s="29" t="str">
        <f>Detalle_OC[[#This Row],[Centro]]&amp;Detalle_OC[[#This Row],[Nom Almacen]]&amp;Detalle_OC[[#This Row],[Material]]&amp;Detalle_OC[[#This Row],[Pedido]]&amp;Detalle_OC[[#This Row],[Posicion]]</f>
        <v>Agricola del Chira PlantaMontelima728974451157394820</v>
      </c>
      <c r="B155" t="s">
        <v>15</v>
      </c>
      <c r="C155" t="s">
        <v>36</v>
      </c>
      <c r="D155" s="11">
        <v>45679</v>
      </c>
      <c r="E155" t="s">
        <v>16</v>
      </c>
      <c r="F155" t="s">
        <v>12</v>
      </c>
      <c r="G155">
        <v>728974</v>
      </c>
      <c r="H155">
        <v>4511573948</v>
      </c>
      <c r="I155">
        <v>20</v>
      </c>
      <c r="J155" s="29">
        <v>1</v>
      </c>
      <c r="K155" s="29" t="s">
        <v>989</v>
      </c>
      <c r="L155" t="str">
        <f>IFERROR(VLOOKUP(Detalle_OC[[#This Row],[Centro]]&amp;Detalle_OC[[#This Row],[Nro Almacen]],Almacen!A:D,4,FALSE),"")</f>
        <v>Montelima</v>
      </c>
    </row>
    <row r="156" spans="1:12" x14ac:dyDescent="0.3">
      <c r="A156" s="29" t="str">
        <f>Detalle_OC[[#This Row],[Centro]]&amp;Detalle_OC[[#This Row],[Nom Almacen]]&amp;Detalle_OC[[#This Row],[Material]]&amp;Detalle_OC[[#This Row],[Pedido]]&amp;Detalle_OC[[#This Row],[Posicion]]</f>
        <v>Agricola del Chira PlantaMontelima847760451157394840</v>
      </c>
      <c r="B156" t="s">
        <v>15</v>
      </c>
      <c r="C156" t="s">
        <v>36</v>
      </c>
      <c r="D156" s="11">
        <v>45679</v>
      </c>
      <c r="E156" t="s">
        <v>16</v>
      </c>
      <c r="F156" t="s">
        <v>12</v>
      </c>
      <c r="G156">
        <v>847760</v>
      </c>
      <c r="H156">
        <v>4511573948</v>
      </c>
      <c r="I156">
        <v>40</v>
      </c>
      <c r="J156" s="29">
        <v>1</v>
      </c>
      <c r="K156" s="29" t="s">
        <v>989</v>
      </c>
      <c r="L156" t="str">
        <f>IFERROR(VLOOKUP(Detalle_OC[[#This Row],[Centro]]&amp;Detalle_OC[[#This Row],[Nro Almacen]],Almacen!A:D,4,FALSE),"")</f>
        <v>Montelima</v>
      </c>
    </row>
    <row r="157" spans="1:12" x14ac:dyDescent="0.3">
      <c r="A157" s="29" t="str">
        <f>Detalle_OC[[#This Row],[Centro]]&amp;Detalle_OC[[#This Row],[Nom Almacen]]&amp;Detalle_OC[[#This Row],[Material]]&amp;Detalle_OC[[#This Row],[Pedido]]&amp;Detalle_OC[[#This Row],[Posicion]]</f>
        <v>Sucroalcolera del Chira PlantaMontelima70010960451157394930</v>
      </c>
      <c r="B157" t="s">
        <v>15</v>
      </c>
      <c r="C157" t="s">
        <v>36</v>
      </c>
      <c r="D157" s="11">
        <v>45679</v>
      </c>
      <c r="E157" t="s">
        <v>16</v>
      </c>
      <c r="F157" t="s">
        <v>85</v>
      </c>
      <c r="G157">
        <v>70010960</v>
      </c>
      <c r="H157">
        <v>4511573949</v>
      </c>
      <c r="I157">
        <v>30</v>
      </c>
      <c r="J157" s="29">
        <v>1</v>
      </c>
      <c r="K157" s="29" t="s">
        <v>989</v>
      </c>
      <c r="L157" t="str">
        <f>IFERROR(VLOOKUP(Detalle_OC[[#This Row],[Centro]]&amp;Detalle_OC[[#This Row],[Nro Almacen]],Almacen!A:D,4,FALSE),"")</f>
        <v>Montelima</v>
      </c>
    </row>
    <row r="158" spans="1:12" x14ac:dyDescent="0.3">
      <c r="A158" s="29" t="str">
        <f>Detalle_OC[[#This Row],[Centro]]&amp;Detalle_OC[[#This Row],[Nom Almacen]]&amp;Detalle_OC[[#This Row],[Material]]&amp;Detalle_OC[[#This Row],[Pedido]]&amp;Detalle_OC[[#This Row],[Posicion]]</f>
        <v>Bioenergía del Chira PlantaParada fábrica70036501451157395710</v>
      </c>
      <c r="B158" t="s">
        <v>196</v>
      </c>
      <c r="C158" t="s">
        <v>272</v>
      </c>
      <c r="D158" s="11">
        <v>45677</v>
      </c>
      <c r="E158" t="s">
        <v>16</v>
      </c>
      <c r="F158" t="s">
        <v>86</v>
      </c>
      <c r="G158">
        <v>70036501</v>
      </c>
      <c r="H158">
        <v>4511573957</v>
      </c>
      <c r="I158">
        <v>10</v>
      </c>
      <c r="J158" s="29">
        <v>4</v>
      </c>
      <c r="K158" s="29" t="s">
        <v>989</v>
      </c>
      <c r="L158" t="str">
        <f>IFERROR(VLOOKUP(Detalle_OC[[#This Row],[Centro]]&amp;Detalle_OC[[#This Row],[Nro Almacen]],Almacen!A:D,4,FALSE),"")</f>
        <v>Parada fábrica</v>
      </c>
    </row>
    <row r="159" spans="1:12" x14ac:dyDescent="0.3">
      <c r="A159" s="29" t="str">
        <f>Detalle_OC[[#This Row],[Centro]]&amp;Detalle_OC[[#This Row],[Nom Almacen]]&amp;Detalle_OC[[#This Row],[Material]]&amp;Detalle_OC[[#This Row],[Pedido]]&amp;Detalle_OC[[#This Row],[Posicion]]</f>
        <v>Sucroalcolera del Chira PlantaMontelimaCM501503          451157395820</v>
      </c>
      <c r="B159" t="s">
        <v>156</v>
      </c>
      <c r="C159" t="s">
        <v>272</v>
      </c>
      <c r="D159" s="11">
        <v>45677</v>
      </c>
      <c r="E159" t="s">
        <v>16</v>
      </c>
      <c r="F159" t="s">
        <v>85</v>
      </c>
      <c r="G159" t="s">
        <v>973</v>
      </c>
      <c r="H159">
        <v>4511573958</v>
      </c>
      <c r="I159">
        <v>20</v>
      </c>
      <c r="J159" s="29">
        <v>1</v>
      </c>
      <c r="K159" s="29" t="s">
        <v>989</v>
      </c>
      <c r="L159" t="str">
        <f>IFERROR(VLOOKUP(Detalle_OC[[#This Row],[Centro]]&amp;Detalle_OC[[#This Row],[Nro Almacen]],Almacen!A:D,4,FALSE),"")</f>
        <v>Montelima</v>
      </c>
    </row>
    <row r="160" spans="1:12" x14ac:dyDescent="0.3">
      <c r="A160" s="29" t="str">
        <f>Detalle_OC[[#This Row],[Centro]]&amp;Detalle_OC[[#This Row],[Nom Almacen]]&amp;Detalle_OC[[#This Row],[Material]]&amp;Detalle_OC[[#This Row],[Pedido]]&amp;Detalle_OC[[#This Row],[Posicion]]</f>
        <v>Sucroalcolera del Chira PlantaMontelima810347451157396020</v>
      </c>
      <c r="B160" t="s">
        <v>15</v>
      </c>
      <c r="C160" t="s">
        <v>36</v>
      </c>
      <c r="D160" s="11">
        <v>45679</v>
      </c>
      <c r="E160" t="s">
        <v>16</v>
      </c>
      <c r="F160" t="s">
        <v>85</v>
      </c>
      <c r="G160">
        <v>810347</v>
      </c>
      <c r="H160">
        <v>4511573960</v>
      </c>
      <c r="I160">
        <v>20</v>
      </c>
      <c r="J160" s="29">
        <v>1</v>
      </c>
      <c r="K160" s="29" t="s">
        <v>989</v>
      </c>
      <c r="L160" t="str">
        <f>IFERROR(VLOOKUP(Detalle_OC[[#This Row],[Centro]]&amp;Detalle_OC[[#This Row],[Nro Almacen]],Almacen!A:D,4,FALSE),"")</f>
        <v>Montelima</v>
      </c>
    </row>
    <row r="161" spans="1:12" x14ac:dyDescent="0.3">
      <c r="A161" s="29" t="str">
        <f>Detalle_OC[[#This Row],[Centro]]&amp;Detalle_OC[[#This Row],[Nom Almacen]]&amp;Detalle_OC[[#This Row],[Material]]&amp;Detalle_OC[[#This Row],[Pedido]]&amp;Detalle_OC[[#This Row],[Posicion]]</f>
        <v>Sucroalcolera del Chira PlantaMontelima70030983451157396030</v>
      </c>
      <c r="B161" t="s">
        <v>15</v>
      </c>
      <c r="C161" t="s">
        <v>36</v>
      </c>
      <c r="D161" s="11">
        <v>45679</v>
      </c>
      <c r="E161" t="s">
        <v>16</v>
      </c>
      <c r="F161" t="s">
        <v>85</v>
      </c>
      <c r="G161">
        <v>70030983</v>
      </c>
      <c r="H161">
        <v>4511573960</v>
      </c>
      <c r="I161">
        <v>30</v>
      </c>
      <c r="J161" s="29">
        <v>1</v>
      </c>
      <c r="K161" s="29" t="s">
        <v>989</v>
      </c>
      <c r="L161" t="str">
        <f>IFERROR(VLOOKUP(Detalle_OC[[#This Row],[Centro]]&amp;Detalle_OC[[#This Row],[Nro Almacen]],Almacen!A:D,4,FALSE),"")</f>
        <v>Montelima</v>
      </c>
    </row>
    <row r="162" spans="1:12" x14ac:dyDescent="0.3">
      <c r="A162" s="29" t="str">
        <f>Detalle_OC[[#This Row],[Centro]]&amp;Detalle_OC[[#This Row],[Nom Almacen]]&amp;Detalle_OC[[#This Row],[Material]]&amp;Detalle_OC[[#This Row],[Pedido]]&amp;Detalle_OC[[#This Row],[Posicion]]</f>
        <v>Sucroalcolera del Chira PlantaMontelima70047596451157396050</v>
      </c>
      <c r="B162" t="s">
        <v>15</v>
      </c>
      <c r="C162" t="s">
        <v>36</v>
      </c>
      <c r="D162" s="11">
        <v>45679</v>
      </c>
      <c r="E162" t="s">
        <v>16</v>
      </c>
      <c r="F162" t="s">
        <v>85</v>
      </c>
      <c r="G162">
        <v>70047596</v>
      </c>
      <c r="H162">
        <v>4511573960</v>
      </c>
      <c r="I162">
        <v>50</v>
      </c>
      <c r="J162" s="29">
        <v>1</v>
      </c>
      <c r="K162" s="29" t="s">
        <v>989</v>
      </c>
      <c r="L162" t="str">
        <f>IFERROR(VLOOKUP(Detalle_OC[[#This Row],[Centro]]&amp;Detalle_OC[[#This Row],[Nro Almacen]],Almacen!A:D,4,FALSE),"")</f>
        <v>Montelima</v>
      </c>
    </row>
    <row r="163" spans="1:12" x14ac:dyDescent="0.3">
      <c r="A163" s="29" t="str">
        <f>Detalle_OC[[#This Row],[Centro]]&amp;Detalle_OC[[#This Row],[Nom Almacen]]&amp;Detalle_OC[[#This Row],[Material]]&amp;Detalle_OC[[#This Row],[Pedido]]&amp;Detalle_OC[[#This Row],[Posicion]]</f>
        <v>Sucroalcolera del Chira PlantaMontelima70047597451157396060</v>
      </c>
      <c r="B163" t="s">
        <v>15</v>
      </c>
      <c r="C163" t="s">
        <v>36</v>
      </c>
      <c r="D163" s="11">
        <v>45679</v>
      </c>
      <c r="E163" t="s">
        <v>16</v>
      </c>
      <c r="F163" t="s">
        <v>85</v>
      </c>
      <c r="G163">
        <v>70047597</v>
      </c>
      <c r="H163">
        <v>4511573960</v>
      </c>
      <c r="I163">
        <v>60</v>
      </c>
      <c r="J163" s="29">
        <v>1</v>
      </c>
      <c r="K163" s="29" t="s">
        <v>989</v>
      </c>
      <c r="L163" t="str">
        <f>IFERROR(VLOOKUP(Detalle_OC[[#This Row],[Centro]]&amp;Detalle_OC[[#This Row],[Nro Almacen]],Almacen!A:D,4,FALSE),"")</f>
        <v>Montelima</v>
      </c>
    </row>
    <row r="164" spans="1:12" x14ac:dyDescent="0.3">
      <c r="A164" s="29" t="str">
        <f>Detalle_OC[[#This Row],[Centro]]&amp;Detalle_OC[[#This Row],[Nom Almacen]]&amp;Detalle_OC[[#This Row],[Material]]&amp;Detalle_OC[[#This Row],[Pedido]]&amp;Detalle_OC[[#This Row],[Posicion]]</f>
        <v>Agricola del Chira PlantaMontelima730419451157396610</v>
      </c>
      <c r="B164" t="s">
        <v>148</v>
      </c>
      <c r="C164" t="s">
        <v>368</v>
      </c>
      <c r="D164" s="11">
        <v>45677</v>
      </c>
      <c r="E164" t="s">
        <v>16</v>
      </c>
      <c r="F164" t="s">
        <v>12</v>
      </c>
      <c r="G164">
        <v>730419</v>
      </c>
      <c r="H164">
        <v>4511573966</v>
      </c>
      <c r="I164">
        <v>10</v>
      </c>
      <c r="J164" s="29">
        <v>1</v>
      </c>
      <c r="K164" s="29" t="s">
        <v>989</v>
      </c>
      <c r="L164" t="str">
        <f>IFERROR(VLOOKUP(Detalle_OC[[#This Row],[Centro]]&amp;Detalle_OC[[#This Row],[Nro Almacen]],Almacen!A:D,4,FALSE),"")</f>
        <v>Montelima</v>
      </c>
    </row>
    <row r="165" spans="1:12" x14ac:dyDescent="0.3">
      <c r="A165" s="29" t="str">
        <f>Detalle_OC[[#This Row],[Centro]]&amp;Detalle_OC[[#This Row],[Nom Almacen]]&amp;Detalle_OC[[#This Row],[Material]]&amp;Detalle_OC[[#This Row],[Pedido]]&amp;Detalle_OC[[#This Row],[Posicion]]</f>
        <v>Agricola del Chira PlantaAlmacen Lobo849010451157332420</v>
      </c>
      <c r="B165" t="s">
        <v>39</v>
      </c>
      <c r="C165" t="s">
        <v>38</v>
      </c>
      <c r="D165" s="11">
        <v>45688</v>
      </c>
      <c r="E165" t="s">
        <v>16</v>
      </c>
      <c r="F165" t="s">
        <v>12</v>
      </c>
      <c r="G165">
        <v>849010</v>
      </c>
      <c r="H165">
        <v>4511573324</v>
      </c>
      <c r="I165">
        <v>20</v>
      </c>
      <c r="J165" s="29">
        <v>7</v>
      </c>
      <c r="K165" s="29" t="s">
        <v>993</v>
      </c>
      <c r="L165" t="str">
        <f>IFERROR(VLOOKUP(Detalle_OC[[#This Row],[Centro]]&amp;Detalle_OC[[#This Row],[Nro Almacen]],Almacen!A:D,4,FALSE),"")</f>
        <v>Almacen Lobo</v>
      </c>
    </row>
    <row r="166" spans="1:12" x14ac:dyDescent="0.3">
      <c r="A166" s="29" t="str">
        <f>Detalle_OC[[#This Row],[Centro]]&amp;Detalle_OC[[#This Row],[Nom Almacen]]&amp;Detalle_OC[[#This Row],[Material]]&amp;Detalle_OC[[#This Row],[Pedido]]&amp;Detalle_OC[[#This Row],[Posicion]]</f>
        <v>Agricola del Chira PlantaMontelima818110451157382010</v>
      </c>
      <c r="B166" t="s">
        <v>149</v>
      </c>
      <c r="C166" t="s">
        <v>272</v>
      </c>
      <c r="D166" s="11">
        <v>45677</v>
      </c>
      <c r="E166" t="s">
        <v>16</v>
      </c>
      <c r="F166" t="s">
        <v>12</v>
      </c>
      <c r="G166">
        <v>818110</v>
      </c>
      <c r="H166">
        <v>4511573820</v>
      </c>
      <c r="I166">
        <v>10</v>
      </c>
      <c r="J166" s="29">
        <v>1</v>
      </c>
      <c r="K166" s="29" t="s">
        <v>993</v>
      </c>
      <c r="L166" t="str">
        <f>IFERROR(VLOOKUP(Detalle_OC[[#This Row],[Centro]]&amp;Detalle_OC[[#This Row],[Nro Almacen]],Almacen!A:D,4,FALSE),"")</f>
        <v>Montelima</v>
      </c>
    </row>
    <row r="167" spans="1:12" x14ac:dyDescent="0.3">
      <c r="A167" s="29" t="str">
        <f>Detalle_OC[[#This Row],[Centro]]&amp;Detalle_OC[[#This Row],[Nom Almacen]]&amp;Detalle_OC[[#This Row],[Material]]&amp;Detalle_OC[[#This Row],[Pedido]]&amp;Detalle_OC[[#This Row],[Posicion]]</f>
        <v>Agricola del Chira PlantaMontelima818935451157382020</v>
      </c>
      <c r="B167" t="s">
        <v>188</v>
      </c>
      <c r="C167" t="s">
        <v>272</v>
      </c>
      <c r="D167" s="11">
        <v>45677</v>
      </c>
      <c r="E167" t="s">
        <v>16</v>
      </c>
      <c r="F167" t="s">
        <v>12</v>
      </c>
      <c r="G167">
        <v>818935</v>
      </c>
      <c r="H167">
        <v>4511573820</v>
      </c>
      <c r="I167">
        <v>20</v>
      </c>
      <c r="J167" s="29">
        <v>1</v>
      </c>
      <c r="K167" s="29" t="s">
        <v>993</v>
      </c>
      <c r="L167" t="str">
        <f>IFERROR(VLOOKUP(Detalle_OC[[#This Row],[Centro]]&amp;Detalle_OC[[#This Row],[Nro Almacen]],Almacen!A:D,4,FALSE),"")</f>
        <v>Montelima</v>
      </c>
    </row>
    <row r="168" spans="1:12" x14ac:dyDescent="0.3">
      <c r="A168" s="29" t="str">
        <f>Detalle_OC[[#This Row],[Centro]]&amp;Detalle_OC[[#This Row],[Nom Almacen]]&amp;Detalle_OC[[#This Row],[Material]]&amp;Detalle_OC[[#This Row],[Pedido]]&amp;Detalle_OC[[#This Row],[Posicion]]</f>
        <v>Agricola del Chira PlantaMontelima791419451157382050</v>
      </c>
      <c r="B168" t="s">
        <v>202</v>
      </c>
      <c r="C168" t="s">
        <v>272</v>
      </c>
      <c r="D168" s="11">
        <v>45677</v>
      </c>
      <c r="E168" t="s">
        <v>16</v>
      </c>
      <c r="F168" t="s">
        <v>12</v>
      </c>
      <c r="G168">
        <v>791419</v>
      </c>
      <c r="H168">
        <v>4511573820</v>
      </c>
      <c r="I168">
        <v>50</v>
      </c>
      <c r="J168" s="29">
        <v>1</v>
      </c>
      <c r="K168" s="29" t="s">
        <v>993</v>
      </c>
      <c r="L168" t="str">
        <f>IFERROR(VLOOKUP(Detalle_OC[[#This Row],[Centro]]&amp;Detalle_OC[[#This Row],[Nro Almacen]],Almacen!A:D,4,FALSE),"")</f>
        <v>Montelima</v>
      </c>
    </row>
    <row r="169" spans="1:12" x14ac:dyDescent="0.3">
      <c r="A169" s="29" t="str">
        <f>Detalle_OC[[#This Row],[Centro]]&amp;Detalle_OC[[#This Row],[Nom Almacen]]&amp;Detalle_OC[[#This Row],[Material]]&amp;Detalle_OC[[#This Row],[Pedido]]&amp;Detalle_OC[[#This Row],[Posicion]]</f>
        <v>Sucroalcolera del Chira PlantaMontelima70053781451157382510</v>
      </c>
      <c r="B169" t="s">
        <v>138</v>
      </c>
      <c r="C169" t="s">
        <v>212</v>
      </c>
      <c r="D169" s="11">
        <v>45674</v>
      </c>
      <c r="E169" t="s">
        <v>16</v>
      </c>
      <c r="F169" t="s">
        <v>85</v>
      </c>
      <c r="G169">
        <v>70053781</v>
      </c>
      <c r="H169">
        <v>4511573825</v>
      </c>
      <c r="I169">
        <v>10</v>
      </c>
      <c r="J169" s="29">
        <v>1</v>
      </c>
      <c r="K169" s="29" t="s">
        <v>993</v>
      </c>
      <c r="L169" t="str">
        <f>IFERROR(VLOOKUP(Detalle_OC[[#This Row],[Centro]]&amp;Detalle_OC[[#This Row],[Nro Almacen]],Almacen!A:D,4,FALSE),"")</f>
        <v>Montelima</v>
      </c>
    </row>
    <row r="170" spans="1:12" x14ac:dyDescent="0.3">
      <c r="A170" s="29" t="str">
        <f>Detalle_OC[[#This Row],[Centro]]&amp;Detalle_OC[[#This Row],[Nom Almacen]]&amp;Detalle_OC[[#This Row],[Material]]&amp;Detalle_OC[[#This Row],[Pedido]]&amp;Detalle_OC[[#This Row],[Posicion]]</f>
        <v>Bioenergía del Chira PlantaParada fábrica70022916451157382710</v>
      </c>
      <c r="B170" t="s">
        <v>196</v>
      </c>
      <c r="C170" t="s">
        <v>212</v>
      </c>
      <c r="D170" s="11">
        <v>45674</v>
      </c>
      <c r="E170" t="s">
        <v>16</v>
      </c>
      <c r="F170" t="s">
        <v>86</v>
      </c>
      <c r="G170">
        <v>70022916</v>
      </c>
      <c r="H170">
        <v>4511573827</v>
      </c>
      <c r="I170">
        <v>10</v>
      </c>
      <c r="J170" s="29">
        <v>4</v>
      </c>
      <c r="K170" s="29" t="s">
        <v>993</v>
      </c>
      <c r="L170" t="str">
        <f>IFERROR(VLOOKUP(Detalle_OC[[#This Row],[Centro]]&amp;Detalle_OC[[#This Row],[Nro Almacen]],Almacen!A:D,4,FALSE),"")</f>
        <v>Parada fábrica</v>
      </c>
    </row>
    <row r="171" spans="1:12" x14ac:dyDescent="0.3">
      <c r="A171" s="29" t="str">
        <f>Detalle_OC[[#This Row],[Centro]]&amp;Detalle_OC[[#This Row],[Nom Almacen]]&amp;Detalle_OC[[#This Row],[Material]]&amp;Detalle_OC[[#This Row],[Pedido]]&amp;Detalle_OC[[#This Row],[Posicion]]</f>
        <v>Agricola del Chira PlantaAlmacen Lobo70053033451157384310</v>
      </c>
      <c r="B171" t="s">
        <v>149</v>
      </c>
      <c r="C171" t="s">
        <v>262</v>
      </c>
      <c r="D171" s="11">
        <v>45679</v>
      </c>
      <c r="E171" t="s">
        <v>16</v>
      </c>
      <c r="F171" t="s">
        <v>12</v>
      </c>
      <c r="G171">
        <v>70053033</v>
      </c>
      <c r="H171">
        <v>4511573843</v>
      </c>
      <c r="I171">
        <v>10</v>
      </c>
      <c r="J171" s="29">
        <v>7</v>
      </c>
      <c r="K171" s="29" t="s">
        <v>993</v>
      </c>
      <c r="L171" t="str">
        <f>IFERROR(VLOOKUP(Detalle_OC[[#This Row],[Centro]]&amp;Detalle_OC[[#This Row],[Nro Almacen]],Almacen!A:D,4,FALSE),"")</f>
        <v>Almacen Lobo</v>
      </c>
    </row>
    <row r="172" spans="1:12" x14ac:dyDescent="0.3">
      <c r="A172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fábrica70011638451157385710</v>
      </c>
      <c r="B172" t="s">
        <v>142</v>
      </c>
      <c r="C172" t="s">
        <v>49</v>
      </c>
      <c r="D172" s="11">
        <v>45679</v>
      </c>
      <c r="E172" t="s">
        <v>16</v>
      </c>
      <c r="F172" t="s">
        <v>85</v>
      </c>
      <c r="G172">
        <v>70011638</v>
      </c>
      <c r="H172">
        <v>4511573857</v>
      </c>
      <c r="I172">
        <v>10</v>
      </c>
      <c r="J172" s="29">
        <v>9</v>
      </c>
      <c r="K172" s="29" t="s">
        <v>993</v>
      </c>
      <c r="L172" t="str">
        <f>IFERROR(VLOOKUP(Detalle_OC[[#This Row],[Centro]]&amp;Detalle_OC[[#This Row],[Nro Almacen]],Almacen!A:D,4,FALSE),"")</f>
        <v>Parada fábrica</v>
      </c>
    </row>
    <row r="173" spans="1:12" x14ac:dyDescent="0.3">
      <c r="A173" s="29" t="str">
        <f>Detalle_OC[[#This Row],[Centro]]&amp;Detalle_OC[[#This Row],[Nom Almacen]]&amp;Detalle_OC[[#This Row],[Material]]&amp;Detalle_OC[[#This Row],[Pedido]]&amp;Detalle_OC[[#This Row],[Posicion]]</f>
        <v>Agricola del Chira PlantaMontelima721753451157385820</v>
      </c>
      <c r="B173" t="s">
        <v>149</v>
      </c>
      <c r="C173" t="s">
        <v>161</v>
      </c>
      <c r="D173" s="11">
        <v>45677</v>
      </c>
      <c r="E173" t="s">
        <v>16</v>
      </c>
      <c r="F173" t="s">
        <v>12</v>
      </c>
      <c r="G173">
        <v>721753</v>
      </c>
      <c r="H173">
        <v>4511573858</v>
      </c>
      <c r="I173">
        <v>20</v>
      </c>
      <c r="J173" s="29">
        <v>1</v>
      </c>
      <c r="K173" s="29" t="s">
        <v>993</v>
      </c>
      <c r="L173" t="str">
        <f>IFERROR(VLOOKUP(Detalle_OC[[#This Row],[Centro]]&amp;Detalle_OC[[#This Row],[Nro Almacen]],Almacen!A:D,4,FALSE),"")</f>
        <v>Montelima</v>
      </c>
    </row>
    <row r="174" spans="1:12" x14ac:dyDescent="0.3">
      <c r="A174" s="29" t="str">
        <f>Detalle_OC[[#This Row],[Centro]]&amp;Detalle_OC[[#This Row],[Nom Almacen]]&amp;Detalle_OC[[#This Row],[Material]]&amp;Detalle_OC[[#This Row],[Pedido]]&amp;Detalle_OC[[#This Row],[Posicion]]</f>
        <v>Agricola del Chira PlantaMontelima70005004451157387310</v>
      </c>
      <c r="B174" t="s">
        <v>182</v>
      </c>
      <c r="C174" t="s">
        <v>44</v>
      </c>
      <c r="D174" s="11">
        <v>45684</v>
      </c>
      <c r="E174" t="s">
        <v>16</v>
      </c>
      <c r="F174" t="s">
        <v>12</v>
      </c>
      <c r="G174">
        <v>70005004</v>
      </c>
      <c r="H174">
        <v>4511573873</v>
      </c>
      <c r="I174">
        <v>10</v>
      </c>
      <c r="J174" s="29">
        <v>1</v>
      </c>
      <c r="K174" s="29" t="s">
        <v>993</v>
      </c>
      <c r="L174" t="str">
        <f>IFERROR(VLOOKUP(Detalle_OC[[#This Row],[Centro]]&amp;Detalle_OC[[#This Row],[Nro Almacen]],Almacen!A:D,4,FALSE),"")</f>
        <v>Montelima</v>
      </c>
    </row>
    <row r="175" spans="1:12" x14ac:dyDescent="0.3">
      <c r="A175" s="29" t="str">
        <f>Detalle_OC[[#This Row],[Centro]]&amp;Detalle_OC[[#This Row],[Nom Almacen]]&amp;Detalle_OC[[#This Row],[Material]]&amp;Detalle_OC[[#This Row],[Pedido]]&amp;Detalle_OC[[#This Row],[Posicion]]</f>
        <v>Agricola del Chira PlantaMontelima70005004451157387320</v>
      </c>
      <c r="B175" t="s">
        <v>182</v>
      </c>
      <c r="C175" t="s">
        <v>44</v>
      </c>
      <c r="D175" s="11">
        <v>45684</v>
      </c>
      <c r="E175" t="s">
        <v>16</v>
      </c>
      <c r="F175" t="s">
        <v>12</v>
      </c>
      <c r="G175">
        <v>70005004</v>
      </c>
      <c r="H175">
        <v>4511573873</v>
      </c>
      <c r="I175">
        <v>20</v>
      </c>
      <c r="J175" s="29">
        <v>1</v>
      </c>
      <c r="K175" s="29" t="s">
        <v>993</v>
      </c>
      <c r="L175" t="str">
        <f>IFERROR(VLOOKUP(Detalle_OC[[#This Row],[Centro]]&amp;Detalle_OC[[#This Row],[Nro Almacen]],Almacen!A:D,4,FALSE),"")</f>
        <v>Montelima</v>
      </c>
    </row>
    <row r="176" spans="1:12" x14ac:dyDescent="0.3">
      <c r="A176" s="29" t="str">
        <f>Detalle_OC[[#This Row],[Centro]]&amp;Detalle_OC[[#This Row],[Nom Almacen]]&amp;Detalle_OC[[#This Row],[Material]]&amp;Detalle_OC[[#This Row],[Pedido]]&amp;Detalle_OC[[#This Row],[Posicion]]</f>
        <v>Agricola del Chira PlantaSan Vicente810158451157387760</v>
      </c>
      <c r="B176" t="s">
        <v>33</v>
      </c>
      <c r="C176" t="s">
        <v>32</v>
      </c>
      <c r="D176" s="11">
        <v>45677</v>
      </c>
      <c r="E176" t="s">
        <v>16</v>
      </c>
      <c r="F176" t="s">
        <v>12</v>
      </c>
      <c r="G176">
        <v>810158</v>
      </c>
      <c r="H176">
        <v>4511573877</v>
      </c>
      <c r="I176">
        <v>60</v>
      </c>
      <c r="J176" s="29">
        <v>3</v>
      </c>
      <c r="K176" s="29" t="s">
        <v>993</v>
      </c>
      <c r="L176" t="str">
        <f>IFERROR(VLOOKUP(Detalle_OC[[#This Row],[Centro]]&amp;Detalle_OC[[#This Row],[Nro Almacen]],Almacen!A:D,4,FALSE),"")</f>
        <v>San Vicente</v>
      </c>
    </row>
    <row r="177" spans="1:12" x14ac:dyDescent="0.3">
      <c r="A177" s="29" t="str">
        <f>Detalle_OC[[#This Row],[Centro]]&amp;Detalle_OC[[#This Row],[Nom Almacen]]&amp;Detalle_OC[[#This Row],[Material]]&amp;Detalle_OC[[#This Row],[Pedido]]&amp;Detalle_OC[[#This Row],[Posicion]]</f>
        <v>Agricola del Chira PlantaMontelima834979451157388420</v>
      </c>
      <c r="B177" t="s">
        <v>149</v>
      </c>
      <c r="C177" t="s">
        <v>166</v>
      </c>
      <c r="D177" s="11">
        <v>45677</v>
      </c>
      <c r="E177" t="s">
        <v>16</v>
      </c>
      <c r="F177" t="s">
        <v>12</v>
      </c>
      <c r="G177">
        <v>834979</v>
      </c>
      <c r="H177">
        <v>4511573884</v>
      </c>
      <c r="I177">
        <v>20</v>
      </c>
      <c r="J177" s="29">
        <v>1</v>
      </c>
      <c r="K177" s="29" t="s">
        <v>993</v>
      </c>
      <c r="L177" t="str">
        <f>IFERROR(VLOOKUP(Detalle_OC[[#This Row],[Centro]]&amp;Detalle_OC[[#This Row],[Nro Almacen]],Almacen!A:D,4,FALSE),"")</f>
        <v>Montelima</v>
      </c>
    </row>
    <row r="178" spans="1:12" x14ac:dyDescent="0.3">
      <c r="A178" s="29" t="str">
        <f>Detalle_OC[[#This Row],[Centro]]&amp;Detalle_OC[[#This Row],[Nom Almacen]]&amp;Detalle_OC[[#This Row],[Material]]&amp;Detalle_OC[[#This Row],[Pedido]]&amp;Detalle_OC[[#This Row],[Posicion]]</f>
        <v>Agricola del Chira PlantaMontelima70013865451157388430</v>
      </c>
      <c r="B178" t="s">
        <v>149</v>
      </c>
      <c r="C178" t="s">
        <v>166</v>
      </c>
      <c r="D178" s="11">
        <v>45677</v>
      </c>
      <c r="E178" t="s">
        <v>16</v>
      </c>
      <c r="F178" t="s">
        <v>12</v>
      </c>
      <c r="G178">
        <v>70013865</v>
      </c>
      <c r="H178">
        <v>4511573884</v>
      </c>
      <c r="I178">
        <v>30</v>
      </c>
      <c r="J178" s="29">
        <v>1</v>
      </c>
      <c r="K178" s="29" t="s">
        <v>993</v>
      </c>
      <c r="L178" t="str">
        <f>IFERROR(VLOOKUP(Detalle_OC[[#This Row],[Centro]]&amp;Detalle_OC[[#This Row],[Nro Almacen]],Almacen!A:D,4,FALSE),"")</f>
        <v>Montelima</v>
      </c>
    </row>
    <row r="179" spans="1:12" x14ac:dyDescent="0.3">
      <c r="A179" s="29" t="str">
        <f>Detalle_OC[[#This Row],[Centro]]&amp;Detalle_OC[[#This Row],[Nom Almacen]]&amp;Detalle_OC[[#This Row],[Material]]&amp;Detalle_OC[[#This Row],[Pedido]]&amp;Detalle_OC[[#This Row],[Posicion]]</f>
        <v>Agricola del Chira PlantaMontelima70022355451157388440</v>
      </c>
      <c r="B179" t="s">
        <v>149</v>
      </c>
      <c r="C179" t="s">
        <v>166</v>
      </c>
      <c r="D179" s="11">
        <v>45677</v>
      </c>
      <c r="E179" t="s">
        <v>16</v>
      </c>
      <c r="F179" t="s">
        <v>12</v>
      </c>
      <c r="G179">
        <v>70022355</v>
      </c>
      <c r="H179">
        <v>4511573884</v>
      </c>
      <c r="I179">
        <v>40</v>
      </c>
      <c r="J179" s="29">
        <v>1</v>
      </c>
      <c r="K179" s="29" t="s">
        <v>993</v>
      </c>
      <c r="L179" t="str">
        <f>IFERROR(VLOOKUP(Detalle_OC[[#This Row],[Centro]]&amp;Detalle_OC[[#This Row],[Nro Almacen]],Almacen!A:D,4,FALSE),"")</f>
        <v>Montelima</v>
      </c>
    </row>
    <row r="180" spans="1:12" x14ac:dyDescent="0.3">
      <c r="A180" s="29" t="str">
        <f>Detalle_OC[[#This Row],[Centro]]&amp;Detalle_OC[[#This Row],[Nom Almacen]]&amp;Detalle_OC[[#This Row],[Material]]&amp;Detalle_OC[[#This Row],[Pedido]]&amp;Detalle_OC[[#This Row],[Posicion]]</f>
        <v>Agricola del Chira PlantaMontelima70032578451157388450</v>
      </c>
      <c r="B180" t="s">
        <v>149</v>
      </c>
      <c r="C180" t="s">
        <v>166</v>
      </c>
      <c r="D180" s="11">
        <v>45677</v>
      </c>
      <c r="E180" t="s">
        <v>16</v>
      </c>
      <c r="F180" t="s">
        <v>12</v>
      </c>
      <c r="G180">
        <v>70032578</v>
      </c>
      <c r="H180">
        <v>4511573884</v>
      </c>
      <c r="I180">
        <v>50</v>
      </c>
      <c r="J180" s="29">
        <v>1</v>
      </c>
      <c r="K180" s="29" t="s">
        <v>993</v>
      </c>
      <c r="L180" t="str">
        <f>IFERROR(VLOOKUP(Detalle_OC[[#This Row],[Centro]]&amp;Detalle_OC[[#This Row],[Nro Almacen]],Almacen!A:D,4,FALSE),"")</f>
        <v>Montelima</v>
      </c>
    </row>
    <row r="181" spans="1:12" x14ac:dyDescent="0.3">
      <c r="A181" s="29" t="str">
        <f>Detalle_OC[[#This Row],[Centro]]&amp;Detalle_OC[[#This Row],[Nom Almacen]]&amp;Detalle_OC[[#This Row],[Material]]&amp;Detalle_OC[[#This Row],[Pedido]]&amp;Detalle_OC[[#This Row],[Posicion]]</f>
        <v>Agricola del Chira PlantaMontelima70047418451157388480</v>
      </c>
      <c r="B181" t="s">
        <v>149</v>
      </c>
      <c r="C181" t="s">
        <v>166</v>
      </c>
      <c r="D181" s="11">
        <v>45677</v>
      </c>
      <c r="E181" t="s">
        <v>16</v>
      </c>
      <c r="F181" t="s">
        <v>12</v>
      </c>
      <c r="G181">
        <v>70047418</v>
      </c>
      <c r="H181">
        <v>4511573884</v>
      </c>
      <c r="I181">
        <v>80</v>
      </c>
      <c r="J181" s="29">
        <v>1</v>
      </c>
      <c r="K181" s="29" t="s">
        <v>993</v>
      </c>
      <c r="L181" t="str">
        <f>IFERROR(VLOOKUP(Detalle_OC[[#This Row],[Centro]]&amp;Detalle_OC[[#This Row],[Nro Almacen]],Almacen!A:D,4,FALSE),"")</f>
        <v>Montelima</v>
      </c>
    </row>
    <row r="182" spans="1:12" x14ac:dyDescent="0.3">
      <c r="A182" s="29" t="str">
        <f>Detalle_OC[[#This Row],[Centro]]&amp;Detalle_OC[[#This Row],[Nom Almacen]]&amp;Detalle_OC[[#This Row],[Material]]&amp;Detalle_OC[[#This Row],[Pedido]]&amp;Detalle_OC[[#This Row],[Posicion]]</f>
        <v>Agricola del Chira PlantaMontelima70055883451157388490</v>
      </c>
      <c r="B182" t="s">
        <v>149</v>
      </c>
      <c r="C182" t="s">
        <v>166</v>
      </c>
      <c r="D182" s="11">
        <v>45677</v>
      </c>
      <c r="E182" t="s">
        <v>16</v>
      </c>
      <c r="F182" t="s">
        <v>12</v>
      </c>
      <c r="G182">
        <v>70055883</v>
      </c>
      <c r="H182">
        <v>4511573884</v>
      </c>
      <c r="I182">
        <v>90</v>
      </c>
      <c r="J182" s="29">
        <v>1</v>
      </c>
      <c r="K182" s="29" t="s">
        <v>993</v>
      </c>
      <c r="L182" t="str">
        <f>IFERROR(VLOOKUP(Detalle_OC[[#This Row],[Centro]]&amp;Detalle_OC[[#This Row],[Nro Almacen]],Almacen!A:D,4,FALSE),"")</f>
        <v>Montelima</v>
      </c>
    </row>
    <row r="183" spans="1:12" x14ac:dyDescent="0.3">
      <c r="A183" s="29" t="str">
        <f>Detalle_OC[[#This Row],[Centro]]&amp;Detalle_OC[[#This Row],[Nom Almacen]]&amp;Detalle_OC[[#This Row],[Material]]&amp;Detalle_OC[[#This Row],[Pedido]]&amp;Detalle_OC[[#This Row],[Posicion]]</f>
        <v>Agricola del Chira PlantaMontelima700988304511573884100</v>
      </c>
      <c r="B183" t="s">
        <v>149</v>
      </c>
      <c r="C183" t="s">
        <v>166</v>
      </c>
      <c r="D183" s="11">
        <v>45677</v>
      </c>
      <c r="E183" t="s">
        <v>16</v>
      </c>
      <c r="F183" t="s">
        <v>12</v>
      </c>
      <c r="G183">
        <v>70098830</v>
      </c>
      <c r="H183">
        <v>4511573884</v>
      </c>
      <c r="I183">
        <v>100</v>
      </c>
      <c r="J183" s="29">
        <v>1</v>
      </c>
      <c r="K183" s="29" t="s">
        <v>993</v>
      </c>
      <c r="L183" t="str">
        <f>IFERROR(VLOOKUP(Detalle_OC[[#This Row],[Centro]]&amp;Detalle_OC[[#This Row],[Nro Almacen]],Almacen!A:D,4,FALSE),"")</f>
        <v>Montelima</v>
      </c>
    </row>
    <row r="184" spans="1:12" x14ac:dyDescent="0.3">
      <c r="A184" s="29" t="str">
        <f>Detalle_OC[[#This Row],[Centro]]&amp;Detalle_OC[[#This Row],[Nom Almacen]]&amp;Detalle_OC[[#This Row],[Material]]&amp;Detalle_OC[[#This Row],[Pedido]]&amp;Detalle_OC[[#This Row],[Posicion]]</f>
        <v>Agricola del Chira PlantaMontelima700988334511573884110</v>
      </c>
      <c r="B184" t="s">
        <v>149</v>
      </c>
      <c r="C184" t="s">
        <v>166</v>
      </c>
      <c r="D184" s="11">
        <v>45677</v>
      </c>
      <c r="E184" t="s">
        <v>16</v>
      </c>
      <c r="F184" t="s">
        <v>12</v>
      </c>
      <c r="G184">
        <v>70098833</v>
      </c>
      <c r="H184">
        <v>4511573884</v>
      </c>
      <c r="I184">
        <v>110</v>
      </c>
      <c r="J184" s="29">
        <v>1</v>
      </c>
      <c r="K184" s="29" t="s">
        <v>993</v>
      </c>
      <c r="L184" t="str">
        <f>IFERROR(VLOOKUP(Detalle_OC[[#This Row],[Centro]]&amp;Detalle_OC[[#This Row],[Nro Almacen]],Almacen!A:D,4,FALSE),"")</f>
        <v>Montelima</v>
      </c>
    </row>
    <row r="185" spans="1:12" x14ac:dyDescent="0.3">
      <c r="A185" s="29" t="str">
        <f>Detalle_OC[[#This Row],[Centro]]&amp;Detalle_OC[[#This Row],[Nom Almacen]]&amp;Detalle_OC[[#This Row],[Material]]&amp;Detalle_OC[[#This Row],[Pedido]]&amp;Detalle_OC[[#This Row],[Posicion]]</f>
        <v>Agricola del Chira PlantaMontelimaCB230B1401988     4511573884140</v>
      </c>
      <c r="B185" t="s">
        <v>149</v>
      </c>
      <c r="C185" t="s">
        <v>166</v>
      </c>
      <c r="D185" s="11">
        <v>45677</v>
      </c>
      <c r="E185" t="s">
        <v>16</v>
      </c>
      <c r="F185" t="s">
        <v>12</v>
      </c>
      <c r="G185" t="s">
        <v>966</v>
      </c>
      <c r="H185">
        <v>4511573884</v>
      </c>
      <c r="I185">
        <v>140</v>
      </c>
      <c r="J185" s="29">
        <v>1</v>
      </c>
      <c r="K185" s="29" t="s">
        <v>993</v>
      </c>
      <c r="L185" t="str">
        <f>IFERROR(VLOOKUP(Detalle_OC[[#This Row],[Centro]]&amp;Detalle_OC[[#This Row],[Nro Almacen]],Almacen!A:D,4,FALSE),"")</f>
        <v>Montelima</v>
      </c>
    </row>
    <row r="186" spans="1:12" x14ac:dyDescent="0.3">
      <c r="A186" s="29" t="str">
        <f>Detalle_OC[[#This Row],[Centro]]&amp;Detalle_OC[[#This Row],[Nom Almacen]]&amp;Detalle_OC[[#This Row],[Material]]&amp;Detalle_OC[[#This Row],[Pedido]]&amp;Detalle_OC[[#This Row],[Posicion]]</f>
        <v>Agricola del Chira PlantaMontelima850593451157388610</v>
      </c>
      <c r="B186" t="s">
        <v>145</v>
      </c>
      <c r="C186" t="s">
        <v>49</v>
      </c>
      <c r="D186" s="11">
        <v>45670</v>
      </c>
      <c r="E186" t="s">
        <v>16</v>
      </c>
      <c r="F186" t="s">
        <v>12</v>
      </c>
      <c r="G186">
        <v>850593</v>
      </c>
      <c r="H186">
        <v>4511573886</v>
      </c>
      <c r="I186">
        <v>10</v>
      </c>
      <c r="J186" s="29">
        <v>1</v>
      </c>
      <c r="K186" s="29" t="s">
        <v>993</v>
      </c>
      <c r="L186" t="str">
        <f>IFERROR(VLOOKUP(Detalle_OC[[#This Row],[Centro]]&amp;Detalle_OC[[#This Row],[Nro Almacen]],Almacen!A:D,4,FALSE),"")</f>
        <v>Montelima</v>
      </c>
    </row>
    <row r="187" spans="1:12" x14ac:dyDescent="0.3">
      <c r="A187" s="29" t="str">
        <f>Detalle_OC[[#This Row],[Centro]]&amp;Detalle_OC[[#This Row],[Nom Almacen]]&amp;Detalle_OC[[#This Row],[Material]]&amp;Detalle_OC[[#This Row],[Pedido]]&amp;Detalle_OC[[#This Row],[Posicion]]</f>
        <v>Agricola del Chira PlantaMontelima70042956451157388620</v>
      </c>
      <c r="B187" t="s">
        <v>149</v>
      </c>
      <c r="C187" t="s">
        <v>49</v>
      </c>
      <c r="D187" s="11">
        <v>45670</v>
      </c>
      <c r="E187" t="s">
        <v>16</v>
      </c>
      <c r="F187" t="s">
        <v>12</v>
      </c>
      <c r="G187">
        <v>70042956</v>
      </c>
      <c r="H187">
        <v>4511573886</v>
      </c>
      <c r="I187">
        <v>20</v>
      </c>
      <c r="J187" s="29">
        <v>1</v>
      </c>
      <c r="K187" s="29" t="s">
        <v>993</v>
      </c>
      <c r="L187" t="str">
        <f>IFERROR(VLOOKUP(Detalle_OC[[#This Row],[Centro]]&amp;Detalle_OC[[#This Row],[Nro Almacen]],Almacen!A:D,4,FALSE),"")</f>
        <v>Montelima</v>
      </c>
    </row>
    <row r="188" spans="1:12" x14ac:dyDescent="0.3">
      <c r="A188" s="29" t="str">
        <f>Detalle_OC[[#This Row],[Centro]]&amp;Detalle_OC[[#This Row],[Nom Almacen]]&amp;Detalle_OC[[#This Row],[Material]]&amp;Detalle_OC[[#This Row],[Pedido]]&amp;Detalle_OC[[#This Row],[Posicion]]</f>
        <v>Agricola del Chira PlantaMontelima724673451157389740</v>
      </c>
      <c r="B188" t="s">
        <v>149</v>
      </c>
      <c r="C188" t="s">
        <v>272</v>
      </c>
      <c r="D188" s="11">
        <v>45677</v>
      </c>
      <c r="E188" t="s">
        <v>16</v>
      </c>
      <c r="F188" t="s">
        <v>12</v>
      </c>
      <c r="G188">
        <v>724673</v>
      </c>
      <c r="H188">
        <v>4511573897</v>
      </c>
      <c r="I188">
        <v>40</v>
      </c>
      <c r="J188" s="29">
        <v>1</v>
      </c>
      <c r="K188" s="29" t="s">
        <v>993</v>
      </c>
      <c r="L188" t="str">
        <f>IFERROR(VLOOKUP(Detalle_OC[[#This Row],[Centro]]&amp;Detalle_OC[[#This Row],[Nro Almacen]],Almacen!A:D,4,FALSE),"")</f>
        <v>Montelima</v>
      </c>
    </row>
    <row r="189" spans="1:12" x14ac:dyDescent="0.3">
      <c r="A189" s="29" t="str">
        <f>Detalle_OC[[#This Row],[Centro]]&amp;Detalle_OC[[#This Row],[Nom Almacen]]&amp;Detalle_OC[[#This Row],[Material]]&amp;Detalle_OC[[#This Row],[Pedido]]&amp;Detalle_OC[[#This Row],[Posicion]]</f>
        <v>Agricola del Chira PlantaMontelima808835451157389750</v>
      </c>
      <c r="B189" t="s">
        <v>149</v>
      </c>
      <c r="C189" t="s">
        <v>272</v>
      </c>
      <c r="D189" s="11">
        <v>45677</v>
      </c>
      <c r="E189" t="s">
        <v>16</v>
      </c>
      <c r="F189" t="s">
        <v>12</v>
      </c>
      <c r="G189">
        <v>808835</v>
      </c>
      <c r="H189">
        <v>4511573897</v>
      </c>
      <c r="I189">
        <v>50</v>
      </c>
      <c r="J189" s="29">
        <v>1</v>
      </c>
      <c r="K189" s="29" t="s">
        <v>993</v>
      </c>
      <c r="L189" t="str">
        <f>IFERROR(VLOOKUP(Detalle_OC[[#This Row],[Centro]]&amp;Detalle_OC[[#This Row],[Nro Almacen]],Almacen!A:D,4,FALSE),"")</f>
        <v>Montelima</v>
      </c>
    </row>
    <row r="190" spans="1:12" x14ac:dyDescent="0.3">
      <c r="A190" s="29" t="str">
        <f>Detalle_OC[[#This Row],[Centro]]&amp;Detalle_OC[[#This Row],[Nom Almacen]]&amp;Detalle_OC[[#This Row],[Material]]&amp;Detalle_OC[[#This Row],[Pedido]]&amp;Detalle_OC[[#This Row],[Posicion]]</f>
        <v>Agricola del Chira PlantaMontelima70043837451157389760</v>
      </c>
      <c r="B190" t="s">
        <v>149</v>
      </c>
      <c r="C190" t="s">
        <v>272</v>
      </c>
      <c r="D190" s="11">
        <v>45677</v>
      </c>
      <c r="E190" t="s">
        <v>16</v>
      </c>
      <c r="F190" t="s">
        <v>12</v>
      </c>
      <c r="G190">
        <v>70043837</v>
      </c>
      <c r="H190">
        <v>4511573897</v>
      </c>
      <c r="I190">
        <v>60</v>
      </c>
      <c r="J190" s="29">
        <v>1</v>
      </c>
      <c r="K190" s="29" t="s">
        <v>993</v>
      </c>
      <c r="L190" t="str">
        <f>IFERROR(VLOOKUP(Detalle_OC[[#This Row],[Centro]]&amp;Detalle_OC[[#This Row],[Nro Almacen]],Almacen!A:D,4,FALSE),"")</f>
        <v>Montelima</v>
      </c>
    </row>
    <row r="191" spans="1:12" x14ac:dyDescent="0.3">
      <c r="A191" s="29" t="str">
        <f>Detalle_OC[[#This Row],[Centro]]&amp;Detalle_OC[[#This Row],[Nom Almacen]]&amp;Detalle_OC[[#This Row],[Material]]&amp;Detalle_OC[[#This Row],[Pedido]]&amp;Detalle_OC[[#This Row],[Posicion]]</f>
        <v>Agricola del Chira PlantaMontelima70058228451157389770</v>
      </c>
      <c r="B191" t="s">
        <v>200</v>
      </c>
      <c r="C191" t="s">
        <v>272</v>
      </c>
      <c r="D191" s="11">
        <v>45677</v>
      </c>
      <c r="E191" t="s">
        <v>48</v>
      </c>
      <c r="F191" t="s">
        <v>12</v>
      </c>
      <c r="G191">
        <v>70058228</v>
      </c>
      <c r="H191">
        <v>4511573897</v>
      </c>
      <c r="I191">
        <v>70</v>
      </c>
      <c r="J191" s="29">
        <v>1</v>
      </c>
      <c r="K191" s="29" t="s">
        <v>993</v>
      </c>
      <c r="L191" t="str">
        <f>IFERROR(VLOOKUP(Detalle_OC[[#This Row],[Centro]]&amp;Detalle_OC[[#This Row],[Nro Almacen]],Almacen!A:D,4,FALSE),"")</f>
        <v>Montelima</v>
      </c>
    </row>
    <row r="192" spans="1:12" x14ac:dyDescent="0.3">
      <c r="A192" s="29" t="str">
        <f>Detalle_OC[[#This Row],[Centro]]&amp;Detalle_OC[[#This Row],[Nom Almacen]]&amp;Detalle_OC[[#This Row],[Material]]&amp;Detalle_OC[[#This Row],[Pedido]]&amp;Detalle_OC[[#This Row],[Posicion]]</f>
        <v>Agricola del Chira PlantaMontelima70058228451157389780</v>
      </c>
      <c r="B192" t="s">
        <v>306</v>
      </c>
      <c r="C192" t="s">
        <v>272</v>
      </c>
      <c r="D192" s="11">
        <v>45677</v>
      </c>
      <c r="E192" t="s">
        <v>48</v>
      </c>
      <c r="F192" t="s">
        <v>12</v>
      </c>
      <c r="G192">
        <v>70058228</v>
      </c>
      <c r="H192">
        <v>4511573897</v>
      </c>
      <c r="I192">
        <v>80</v>
      </c>
      <c r="J192" s="29">
        <v>1</v>
      </c>
      <c r="K192" s="29" t="s">
        <v>993</v>
      </c>
      <c r="L192" t="str">
        <f>IFERROR(VLOOKUP(Detalle_OC[[#This Row],[Centro]]&amp;Detalle_OC[[#This Row],[Nro Almacen]],Almacen!A:D,4,FALSE),"")</f>
        <v>Montelima</v>
      </c>
    </row>
    <row r="193" spans="1:12" x14ac:dyDescent="0.3">
      <c r="A193" s="29" t="str">
        <f>Detalle_OC[[#This Row],[Centro]]&amp;Detalle_OC[[#This Row],[Nom Almacen]]&amp;Detalle_OC[[#This Row],[Material]]&amp;Detalle_OC[[#This Row],[Pedido]]&amp;Detalle_OC[[#This Row],[Posicion]]</f>
        <v>Agricola del Chira PlantaMontelima717352451157390110</v>
      </c>
      <c r="B193" t="s">
        <v>149</v>
      </c>
      <c r="C193" t="s">
        <v>22</v>
      </c>
      <c r="D193" s="11">
        <v>45677</v>
      </c>
      <c r="E193" t="s">
        <v>16</v>
      </c>
      <c r="F193" t="s">
        <v>12</v>
      </c>
      <c r="G193">
        <v>717352</v>
      </c>
      <c r="H193">
        <v>4511573901</v>
      </c>
      <c r="I193">
        <v>10</v>
      </c>
      <c r="J193" s="29">
        <v>1</v>
      </c>
      <c r="K193" s="29" t="s">
        <v>993</v>
      </c>
      <c r="L193" t="str">
        <f>IFERROR(VLOOKUP(Detalle_OC[[#This Row],[Centro]]&amp;Detalle_OC[[#This Row],[Nro Almacen]],Almacen!A:D,4,FALSE),"")</f>
        <v>Montelima</v>
      </c>
    </row>
    <row r="194" spans="1:12" x14ac:dyDescent="0.3">
      <c r="A194" s="29" t="str">
        <f>Detalle_OC[[#This Row],[Centro]]&amp;Detalle_OC[[#This Row],[Nom Almacen]]&amp;Detalle_OC[[#This Row],[Material]]&amp;Detalle_OC[[#This Row],[Pedido]]&amp;Detalle_OC[[#This Row],[Posicion]]</f>
        <v>Agricola del Chira PlantaLa Huaca802317451157390120</v>
      </c>
      <c r="B194" t="s">
        <v>15</v>
      </c>
      <c r="C194" t="s">
        <v>22</v>
      </c>
      <c r="D194" s="11">
        <v>45677</v>
      </c>
      <c r="E194" t="s">
        <v>16</v>
      </c>
      <c r="F194" t="s">
        <v>12</v>
      </c>
      <c r="G194">
        <v>802317</v>
      </c>
      <c r="H194">
        <v>4511573901</v>
      </c>
      <c r="I194">
        <v>20</v>
      </c>
      <c r="J194" s="29">
        <v>2</v>
      </c>
      <c r="K194" s="29" t="s">
        <v>993</v>
      </c>
      <c r="L194" t="str">
        <f>IFERROR(VLOOKUP(Detalle_OC[[#This Row],[Centro]]&amp;Detalle_OC[[#This Row],[Nro Almacen]],Almacen!A:D,4,FALSE),"")</f>
        <v>La Huaca</v>
      </c>
    </row>
    <row r="195" spans="1:12" x14ac:dyDescent="0.3">
      <c r="A195" s="29" t="str">
        <f>Detalle_OC[[#This Row],[Centro]]&amp;Detalle_OC[[#This Row],[Nom Almacen]]&amp;Detalle_OC[[#This Row],[Material]]&amp;Detalle_OC[[#This Row],[Pedido]]&amp;Detalle_OC[[#This Row],[Posicion]]</f>
        <v>Agricola del Chira PlantaLa Huaca872860451157390130</v>
      </c>
      <c r="B195" t="s">
        <v>26</v>
      </c>
      <c r="C195" t="s">
        <v>22</v>
      </c>
      <c r="D195" s="11">
        <v>45677</v>
      </c>
      <c r="E195" t="s">
        <v>16</v>
      </c>
      <c r="F195" t="s">
        <v>12</v>
      </c>
      <c r="G195">
        <v>872860</v>
      </c>
      <c r="H195">
        <v>4511573901</v>
      </c>
      <c r="I195">
        <v>30</v>
      </c>
      <c r="J195" s="29">
        <v>2</v>
      </c>
      <c r="K195" s="29" t="s">
        <v>993</v>
      </c>
      <c r="L195" t="str">
        <f>IFERROR(VLOOKUP(Detalle_OC[[#This Row],[Centro]]&amp;Detalle_OC[[#This Row],[Nro Almacen]],Almacen!A:D,4,FALSE),"")</f>
        <v>La Huaca</v>
      </c>
    </row>
    <row r="196" spans="1:12" x14ac:dyDescent="0.3">
      <c r="A196" s="29" t="str">
        <f>Detalle_OC[[#This Row],[Centro]]&amp;Detalle_OC[[#This Row],[Nom Almacen]]&amp;Detalle_OC[[#This Row],[Material]]&amp;Detalle_OC[[#This Row],[Pedido]]&amp;Detalle_OC[[#This Row],[Posicion]]</f>
        <v>Agricola del Chira PlantaLa HuacaCC11011935        451157390140</v>
      </c>
      <c r="B196" t="s">
        <v>50</v>
      </c>
      <c r="C196" t="s">
        <v>22</v>
      </c>
      <c r="D196" s="11">
        <v>45677</v>
      </c>
      <c r="E196" t="s">
        <v>16</v>
      </c>
      <c r="F196" t="s">
        <v>12</v>
      </c>
      <c r="G196" t="s">
        <v>970</v>
      </c>
      <c r="H196">
        <v>4511573901</v>
      </c>
      <c r="I196">
        <v>40</v>
      </c>
      <c r="J196" s="29">
        <v>2</v>
      </c>
      <c r="K196" s="29" t="s">
        <v>993</v>
      </c>
      <c r="L196" t="str">
        <f>IFERROR(VLOOKUP(Detalle_OC[[#This Row],[Centro]]&amp;Detalle_OC[[#This Row],[Nro Almacen]],Almacen!A:D,4,FALSE),"")</f>
        <v>La Huaca</v>
      </c>
    </row>
    <row r="197" spans="1:12" x14ac:dyDescent="0.3">
      <c r="A197" s="29" t="str">
        <f>Detalle_OC[[#This Row],[Centro]]&amp;Detalle_OC[[#This Row],[Nom Almacen]]&amp;Detalle_OC[[#This Row],[Material]]&amp;Detalle_OC[[#This Row],[Pedido]]&amp;Detalle_OC[[#This Row],[Posicion]]</f>
        <v>Agricola del Chira PlantaMontelima8322224511573901110</v>
      </c>
      <c r="B197" t="s">
        <v>145</v>
      </c>
      <c r="C197" t="s">
        <v>22</v>
      </c>
      <c r="D197" s="11">
        <v>45677</v>
      </c>
      <c r="E197" t="s">
        <v>16</v>
      </c>
      <c r="F197" t="s">
        <v>12</v>
      </c>
      <c r="G197">
        <v>832222</v>
      </c>
      <c r="H197">
        <v>4511573901</v>
      </c>
      <c r="I197">
        <v>110</v>
      </c>
      <c r="J197" s="29">
        <v>1</v>
      </c>
      <c r="K197" s="29" t="s">
        <v>993</v>
      </c>
      <c r="L197" t="str">
        <f>IFERROR(VLOOKUP(Detalle_OC[[#This Row],[Centro]]&amp;Detalle_OC[[#This Row],[Nro Almacen]],Almacen!A:D,4,FALSE),"")</f>
        <v>Montelima</v>
      </c>
    </row>
    <row r="198" spans="1:12" x14ac:dyDescent="0.3">
      <c r="A198" s="29" t="str">
        <f>Detalle_OC[[#This Row],[Centro]]&amp;Detalle_OC[[#This Row],[Nom Almacen]]&amp;Detalle_OC[[#This Row],[Material]]&amp;Detalle_OC[[#This Row],[Pedido]]&amp;Detalle_OC[[#This Row],[Posicion]]</f>
        <v>Agricola del Chira PlantaAlmacen Lobo700767524511573901130</v>
      </c>
      <c r="B198" t="s">
        <v>33</v>
      </c>
      <c r="C198" t="s">
        <v>22</v>
      </c>
      <c r="D198" s="11">
        <v>45677</v>
      </c>
      <c r="E198" t="s">
        <v>16</v>
      </c>
      <c r="F198" t="s">
        <v>12</v>
      </c>
      <c r="G198">
        <v>70076752</v>
      </c>
      <c r="H198">
        <v>4511573901</v>
      </c>
      <c r="I198">
        <v>130</v>
      </c>
      <c r="J198" s="29">
        <v>7</v>
      </c>
      <c r="K198" s="29" t="s">
        <v>993</v>
      </c>
      <c r="L198" t="str">
        <f>IFERROR(VLOOKUP(Detalle_OC[[#This Row],[Centro]]&amp;Detalle_OC[[#This Row],[Nro Almacen]],Almacen!A:D,4,FALSE),"")</f>
        <v>Almacen Lobo</v>
      </c>
    </row>
    <row r="199" spans="1:12" x14ac:dyDescent="0.3">
      <c r="A199" s="29" t="str">
        <f>Detalle_OC[[#This Row],[Centro]]&amp;Detalle_OC[[#This Row],[Nom Almacen]]&amp;Detalle_OC[[#This Row],[Material]]&amp;Detalle_OC[[#This Row],[Pedido]]&amp;Detalle_OC[[#This Row],[Posicion]]</f>
        <v>Agricola del Chira PlantaMontelima701017474511573901140</v>
      </c>
      <c r="B199" t="s">
        <v>149</v>
      </c>
      <c r="C199" t="s">
        <v>22</v>
      </c>
      <c r="D199" s="11">
        <v>45677</v>
      </c>
      <c r="E199" t="s">
        <v>16</v>
      </c>
      <c r="F199" t="s">
        <v>12</v>
      </c>
      <c r="G199">
        <v>70101747</v>
      </c>
      <c r="H199">
        <v>4511573901</v>
      </c>
      <c r="I199">
        <v>140</v>
      </c>
      <c r="J199" s="29">
        <v>1</v>
      </c>
      <c r="K199" s="29" t="s">
        <v>993</v>
      </c>
      <c r="L199" t="str">
        <f>IFERROR(VLOOKUP(Detalle_OC[[#This Row],[Centro]]&amp;Detalle_OC[[#This Row],[Nro Almacen]],Almacen!A:D,4,FALSE),"")</f>
        <v>Montelima</v>
      </c>
    </row>
    <row r="200" spans="1:12" x14ac:dyDescent="0.3">
      <c r="A200" s="29" t="str">
        <f>Detalle_OC[[#This Row],[Centro]]&amp;Detalle_OC[[#This Row],[Nom Almacen]]&amp;Detalle_OC[[#This Row],[Material]]&amp;Detalle_OC[[#This Row],[Pedido]]&amp;Detalle_OC[[#This Row],[Posicion]]</f>
        <v>Agricola del Chira PlantaMontelimaCM310273          4511573901150</v>
      </c>
      <c r="B200" t="s">
        <v>149</v>
      </c>
      <c r="C200" t="s">
        <v>22</v>
      </c>
      <c r="D200" s="11">
        <v>45677</v>
      </c>
      <c r="E200" t="s">
        <v>16</v>
      </c>
      <c r="F200" t="s">
        <v>12</v>
      </c>
      <c r="G200" t="s">
        <v>972</v>
      </c>
      <c r="H200">
        <v>4511573901</v>
      </c>
      <c r="I200">
        <v>150</v>
      </c>
      <c r="J200" s="29">
        <v>1</v>
      </c>
      <c r="K200" s="29" t="s">
        <v>993</v>
      </c>
      <c r="L200" t="str">
        <f>IFERROR(VLOOKUP(Detalle_OC[[#This Row],[Centro]]&amp;Detalle_OC[[#This Row],[Nro Almacen]],Almacen!A:D,4,FALSE),"")</f>
        <v>Montelima</v>
      </c>
    </row>
    <row r="201" spans="1:12" x14ac:dyDescent="0.3">
      <c r="A201" s="29" t="str">
        <f>Detalle_OC[[#This Row],[Centro]]&amp;Detalle_OC[[#This Row],[Nom Almacen]]&amp;Detalle_OC[[#This Row],[Material]]&amp;Detalle_OC[[#This Row],[Pedido]]&amp;Detalle_OC[[#This Row],[Posicion]]</f>
        <v>Agricola del Chira PlantaAlmacen LoboCP190038          4511573901170</v>
      </c>
      <c r="B201" t="s">
        <v>149</v>
      </c>
      <c r="C201" t="s">
        <v>22</v>
      </c>
      <c r="D201" s="11">
        <v>45677</v>
      </c>
      <c r="E201" t="s">
        <v>16</v>
      </c>
      <c r="F201" t="s">
        <v>12</v>
      </c>
      <c r="G201" t="s">
        <v>218</v>
      </c>
      <c r="H201">
        <v>4511573901</v>
      </c>
      <c r="I201">
        <v>170</v>
      </c>
      <c r="J201" s="29">
        <v>7</v>
      </c>
      <c r="K201" s="29" t="s">
        <v>993</v>
      </c>
      <c r="L201" t="str">
        <f>IFERROR(VLOOKUP(Detalle_OC[[#This Row],[Centro]]&amp;Detalle_OC[[#This Row],[Nro Almacen]],Almacen!A:D,4,FALSE),"")</f>
        <v>Almacen Lobo</v>
      </c>
    </row>
    <row r="202" spans="1:12" x14ac:dyDescent="0.3">
      <c r="A202" s="29" t="str">
        <f>Detalle_OC[[#This Row],[Centro]]&amp;Detalle_OC[[#This Row],[Nom Almacen]]&amp;Detalle_OC[[#This Row],[Material]]&amp;Detalle_OC[[#This Row],[Pedido]]&amp;Detalle_OC[[#This Row],[Posicion]]</f>
        <v>Agricola del Chira PlantaMontelima7215474511573901200</v>
      </c>
      <c r="B202" t="s">
        <v>15</v>
      </c>
      <c r="C202" t="s">
        <v>22</v>
      </c>
      <c r="D202" s="11">
        <v>45677</v>
      </c>
      <c r="E202" t="s">
        <v>16</v>
      </c>
      <c r="F202" t="s">
        <v>12</v>
      </c>
      <c r="G202">
        <v>721547</v>
      </c>
      <c r="H202">
        <v>4511573901</v>
      </c>
      <c r="I202">
        <v>200</v>
      </c>
      <c r="J202" s="29">
        <v>1</v>
      </c>
      <c r="K202" s="29" t="s">
        <v>993</v>
      </c>
      <c r="L202" t="str">
        <f>IFERROR(VLOOKUP(Detalle_OC[[#This Row],[Centro]]&amp;Detalle_OC[[#This Row],[Nro Almacen]],Almacen!A:D,4,FALSE),"")</f>
        <v>Montelima</v>
      </c>
    </row>
    <row r="203" spans="1:12" x14ac:dyDescent="0.3">
      <c r="A203" s="29" t="str">
        <f>Detalle_OC[[#This Row],[Centro]]&amp;Detalle_OC[[#This Row],[Nom Almacen]]&amp;Detalle_OC[[#This Row],[Material]]&amp;Detalle_OC[[#This Row],[Pedido]]&amp;Detalle_OC[[#This Row],[Posicion]]</f>
        <v>Agricola del Chira PlantaAlmacen Lobo7215474511573901210</v>
      </c>
      <c r="B203" t="s">
        <v>15</v>
      </c>
      <c r="C203" t="s">
        <v>22</v>
      </c>
      <c r="D203" s="11">
        <v>45677</v>
      </c>
      <c r="E203" t="s">
        <v>16</v>
      </c>
      <c r="F203" t="s">
        <v>12</v>
      </c>
      <c r="G203">
        <v>721547</v>
      </c>
      <c r="H203">
        <v>4511573901</v>
      </c>
      <c r="I203">
        <v>210</v>
      </c>
      <c r="J203" s="29">
        <v>7</v>
      </c>
      <c r="K203" s="29" t="s">
        <v>993</v>
      </c>
      <c r="L203" t="str">
        <f>IFERROR(VLOOKUP(Detalle_OC[[#This Row],[Centro]]&amp;Detalle_OC[[#This Row],[Nro Almacen]],Almacen!A:D,4,FALSE),"")</f>
        <v>Almacen Lobo</v>
      </c>
    </row>
    <row r="204" spans="1:12" x14ac:dyDescent="0.3">
      <c r="A204" s="29" t="str">
        <f>Detalle_OC[[#This Row],[Centro]]&amp;Detalle_OC[[#This Row],[Nom Almacen]]&amp;Detalle_OC[[#This Row],[Material]]&amp;Detalle_OC[[#This Row],[Pedido]]&amp;Detalle_OC[[#This Row],[Posicion]]</f>
        <v>Agricola del Chira PlantaMontelimaCM310428          4511573901230</v>
      </c>
      <c r="B204" t="s">
        <v>15</v>
      </c>
      <c r="C204" t="s">
        <v>22</v>
      </c>
      <c r="D204" s="11">
        <v>45677</v>
      </c>
      <c r="E204" t="s">
        <v>16</v>
      </c>
      <c r="F204" t="s">
        <v>12</v>
      </c>
      <c r="G204" t="s">
        <v>276</v>
      </c>
      <c r="H204">
        <v>4511573901</v>
      </c>
      <c r="I204">
        <v>230</v>
      </c>
      <c r="J204" s="29">
        <v>1</v>
      </c>
      <c r="K204" s="29" t="s">
        <v>993</v>
      </c>
      <c r="L204" t="str">
        <f>IFERROR(VLOOKUP(Detalle_OC[[#This Row],[Centro]]&amp;Detalle_OC[[#This Row],[Nro Almacen]],Almacen!A:D,4,FALSE),"")</f>
        <v>Montelima</v>
      </c>
    </row>
    <row r="205" spans="1:12" x14ac:dyDescent="0.3">
      <c r="A205" s="29" t="str">
        <f>Detalle_OC[[#This Row],[Centro]]&amp;Detalle_OC[[#This Row],[Nom Almacen]]&amp;Detalle_OC[[#This Row],[Material]]&amp;Detalle_OC[[#This Row],[Pedido]]&amp;Detalle_OC[[#This Row],[Posicion]]</f>
        <v>Agricola del Chira PlantaLa HuacaCS34015030        4511573901240</v>
      </c>
      <c r="B205" t="s">
        <v>15</v>
      </c>
      <c r="C205" t="s">
        <v>22</v>
      </c>
      <c r="D205" s="11">
        <v>45677</v>
      </c>
      <c r="E205" t="s">
        <v>16</v>
      </c>
      <c r="F205" t="s">
        <v>12</v>
      </c>
      <c r="G205" t="s">
        <v>57</v>
      </c>
      <c r="H205">
        <v>4511573901</v>
      </c>
      <c r="I205">
        <v>240</v>
      </c>
      <c r="J205" s="29">
        <v>2</v>
      </c>
      <c r="K205" s="29" t="s">
        <v>993</v>
      </c>
      <c r="L205" t="str">
        <f>IFERROR(VLOOKUP(Detalle_OC[[#This Row],[Centro]]&amp;Detalle_OC[[#This Row],[Nro Almacen]],Almacen!A:D,4,FALSE),"")</f>
        <v>La Huaca</v>
      </c>
    </row>
    <row r="206" spans="1:12" x14ac:dyDescent="0.3">
      <c r="A206" s="29" t="str">
        <f>Detalle_OC[[#This Row],[Centro]]&amp;Detalle_OC[[#This Row],[Nom Almacen]]&amp;Detalle_OC[[#This Row],[Material]]&amp;Detalle_OC[[#This Row],[Pedido]]&amp;Detalle_OC[[#This Row],[Posicion]]</f>
        <v>Agricola del Chira PlantaMontelima7014394511573901250</v>
      </c>
      <c r="B206" t="s">
        <v>200</v>
      </c>
      <c r="C206" t="s">
        <v>22</v>
      </c>
      <c r="D206" s="11">
        <v>45688</v>
      </c>
      <c r="E206" t="s">
        <v>48</v>
      </c>
      <c r="F206" t="s">
        <v>12</v>
      </c>
      <c r="G206">
        <v>701439</v>
      </c>
      <c r="H206">
        <v>4511573901</v>
      </c>
      <c r="I206">
        <v>250</v>
      </c>
      <c r="J206" s="29">
        <v>1</v>
      </c>
      <c r="K206" s="29" t="s">
        <v>993</v>
      </c>
      <c r="L206" t="str">
        <f>IFERROR(VLOOKUP(Detalle_OC[[#This Row],[Centro]]&amp;Detalle_OC[[#This Row],[Nro Almacen]],Almacen!A:D,4,FALSE),"")</f>
        <v>Montelima</v>
      </c>
    </row>
    <row r="207" spans="1:12" x14ac:dyDescent="0.3">
      <c r="A207" s="29" t="str">
        <f>Detalle_OC[[#This Row],[Centro]]&amp;Detalle_OC[[#This Row],[Nom Almacen]]&amp;Detalle_OC[[#This Row],[Material]]&amp;Detalle_OC[[#This Row],[Pedido]]&amp;Detalle_OC[[#This Row],[Posicion]]</f>
        <v>Agricola del Chira PlantaMontelima7014394511573901260</v>
      </c>
      <c r="B207" t="s">
        <v>306</v>
      </c>
      <c r="C207" t="s">
        <v>22</v>
      </c>
      <c r="D207" s="11">
        <v>45688</v>
      </c>
      <c r="E207" t="s">
        <v>48</v>
      </c>
      <c r="F207" t="s">
        <v>12</v>
      </c>
      <c r="G207">
        <v>701439</v>
      </c>
      <c r="H207">
        <v>4511573901</v>
      </c>
      <c r="I207">
        <v>260</v>
      </c>
      <c r="J207" s="29">
        <v>1</v>
      </c>
      <c r="K207" s="29" t="s">
        <v>993</v>
      </c>
      <c r="L207" t="str">
        <f>IFERROR(VLOOKUP(Detalle_OC[[#This Row],[Centro]]&amp;Detalle_OC[[#This Row],[Nro Almacen]],Almacen!A:D,4,FALSE),"")</f>
        <v>Montelima</v>
      </c>
    </row>
    <row r="208" spans="1:12" x14ac:dyDescent="0.3">
      <c r="A208" s="29" t="str">
        <f>Detalle_OC[[#This Row],[Centro]]&amp;Detalle_OC[[#This Row],[Nom Almacen]]&amp;Detalle_OC[[#This Row],[Material]]&amp;Detalle_OC[[#This Row],[Pedido]]&amp;Detalle_OC[[#This Row],[Posicion]]</f>
        <v>Agricola del Chira PlantaAlmacen Lobo722592451157391010</v>
      </c>
      <c r="B208" t="s">
        <v>33</v>
      </c>
      <c r="C208" t="s">
        <v>44</v>
      </c>
      <c r="D208" s="11">
        <v>45677</v>
      </c>
      <c r="E208" t="s">
        <v>16</v>
      </c>
      <c r="F208" t="s">
        <v>12</v>
      </c>
      <c r="G208">
        <v>722592</v>
      </c>
      <c r="H208">
        <v>4511573910</v>
      </c>
      <c r="I208">
        <v>10</v>
      </c>
      <c r="J208" s="29">
        <v>7</v>
      </c>
      <c r="K208" s="29" t="s">
        <v>993</v>
      </c>
      <c r="L208" t="str">
        <f>IFERROR(VLOOKUP(Detalle_OC[[#This Row],[Centro]]&amp;Detalle_OC[[#This Row],[Nro Almacen]],Almacen!A:D,4,FALSE),"")</f>
        <v>Almacen Lobo</v>
      </c>
    </row>
    <row r="209" spans="1:12" x14ac:dyDescent="0.3">
      <c r="A209" s="29" t="str">
        <f>Detalle_OC[[#This Row],[Centro]]&amp;Detalle_OC[[#This Row],[Nom Almacen]]&amp;Detalle_OC[[#This Row],[Material]]&amp;Detalle_OC[[#This Row],[Pedido]]&amp;Detalle_OC[[#This Row],[Posicion]]</f>
        <v>Agricola del Chira PlantaMontelima70130534451157391050</v>
      </c>
      <c r="B209" t="s">
        <v>145</v>
      </c>
      <c r="C209" t="s">
        <v>44</v>
      </c>
      <c r="D209" s="11">
        <v>45677</v>
      </c>
      <c r="E209" t="s">
        <v>16</v>
      </c>
      <c r="F209" t="s">
        <v>12</v>
      </c>
      <c r="G209">
        <v>70130534</v>
      </c>
      <c r="H209">
        <v>4511573910</v>
      </c>
      <c r="I209">
        <v>50</v>
      </c>
      <c r="J209" s="29">
        <v>1</v>
      </c>
      <c r="K209" s="29" t="s">
        <v>993</v>
      </c>
      <c r="L209" t="str">
        <f>IFERROR(VLOOKUP(Detalle_OC[[#This Row],[Centro]]&amp;Detalle_OC[[#This Row],[Nro Almacen]],Almacen!A:D,4,FALSE),"")</f>
        <v>Montelima</v>
      </c>
    </row>
    <row r="210" spans="1:12" x14ac:dyDescent="0.3">
      <c r="A210" s="29" t="str">
        <f>Detalle_OC[[#This Row],[Centro]]&amp;Detalle_OC[[#This Row],[Nom Almacen]]&amp;Detalle_OC[[#This Row],[Material]]&amp;Detalle_OC[[#This Row],[Pedido]]&amp;Detalle_OC[[#This Row],[Posicion]]</f>
        <v>Agricola del Chira PlantaSan Vicente70121950451157391310</v>
      </c>
      <c r="B210" t="s">
        <v>263</v>
      </c>
      <c r="C210" t="s">
        <v>1112</v>
      </c>
      <c r="D210" s="11">
        <v>45677</v>
      </c>
      <c r="E210" t="s">
        <v>16</v>
      </c>
      <c r="F210" t="s">
        <v>12</v>
      </c>
      <c r="G210">
        <v>70121950</v>
      </c>
      <c r="H210">
        <v>4511573913</v>
      </c>
      <c r="I210">
        <v>10</v>
      </c>
      <c r="J210" s="29">
        <v>3</v>
      </c>
      <c r="K210" s="29" t="s">
        <v>993</v>
      </c>
      <c r="L210" t="str">
        <f>IFERROR(VLOOKUP(Detalle_OC[[#This Row],[Centro]]&amp;Detalle_OC[[#This Row],[Nro Almacen]],Almacen!A:D,4,FALSE),"")</f>
        <v>San Vicente</v>
      </c>
    </row>
    <row r="211" spans="1:12" x14ac:dyDescent="0.3">
      <c r="A211" s="29" t="str">
        <f>Detalle_OC[[#This Row],[Centro]]&amp;Detalle_OC[[#This Row],[Nom Almacen]]&amp;Detalle_OC[[#This Row],[Material]]&amp;Detalle_OC[[#This Row],[Pedido]]&amp;Detalle_OC[[#This Row],[Posicion]]</f>
        <v>Agricola del Chira PlantaLa Huaca814781451157391410</v>
      </c>
      <c r="B211" t="s">
        <v>34</v>
      </c>
      <c r="C211" t="s">
        <v>103</v>
      </c>
      <c r="D211" s="11">
        <v>45670</v>
      </c>
      <c r="E211" t="s">
        <v>16</v>
      </c>
      <c r="F211" t="s">
        <v>12</v>
      </c>
      <c r="G211">
        <v>814781</v>
      </c>
      <c r="H211">
        <v>4511573914</v>
      </c>
      <c r="I211">
        <v>10</v>
      </c>
      <c r="J211" s="29">
        <v>2</v>
      </c>
      <c r="K211" s="29" t="s">
        <v>993</v>
      </c>
      <c r="L211" t="str">
        <f>IFERROR(VLOOKUP(Detalle_OC[[#This Row],[Centro]]&amp;Detalle_OC[[#This Row],[Nro Almacen]],Almacen!A:D,4,FALSE),"")</f>
        <v>La Huaca</v>
      </c>
    </row>
    <row r="212" spans="1:12" x14ac:dyDescent="0.3">
      <c r="A212" s="29" t="str">
        <f>Detalle_OC[[#This Row],[Centro]]&amp;Detalle_OC[[#This Row],[Nom Almacen]]&amp;Detalle_OC[[#This Row],[Material]]&amp;Detalle_OC[[#This Row],[Pedido]]&amp;Detalle_OC[[#This Row],[Posicion]]</f>
        <v>Agricola del Chira PlantaAlmacen Lobo814781451157391420</v>
      </c>
      <c r="B212" t="s">
        <v>34</v>
      </c>
      <c r="C212" t="s">
        <v>103</v>
      </c>
      <c r="D212" s="11">
        <v>45670</v>
      </c>
      <c r="E212" t="s">
        <v>16</v>
      </c>
      <c r="F212" t="s">
        <v>12</v>
      </c>
      <c r="G212">
        <v>814781</v>
      </c>
      <c r="H212">
        <v>4511573914</v>
      </c>
      <c r="I212">
        <v>20</v>
      </c>
      <c r="J212" s="29">
        <v>7</v>
      </c>
      <c r="K212" s="29" t="s">
        <v>993</v>
      </c>
      <c r="L212" t="str">
        <f>IFERROR(VLOOKUP(Detalle_OC[[#This Row],[Centro]]&amp;Detalle_OC[[#This Row],[Nro Almacen]],Almacen!A:D,4,FALSE),"")</f>
        <v>Almacen Lobo</v>
      </c>
    </row>
    <row r="213" spans="1:12" x14ac:dyDescent="0.3">
      <c r="A213" s="29" t="str">
        <f>Detalle_OC[[#This Row],[Centro]]&amp;Detalle_OC[[#This Row],[Nom Almacen]]&amp;Detalle_OC[[#This Row],[Material]]&amp;Detalle_OC[[#This Row],[Pedido]]&amp;Detalle_OC[[#This Row],[Posicion]]</f>
        <v>Agricola del Chira PlantaSan Vicente814781451157391430</v>
      </c>
      <c r="B213" t="s">
        <v>34</v>
      </c>
      <c r="C213" t="s">
        <v>103</v>
      </c>
      <c r="D213" s="11">
        <v>45670</v>
      </c>
      <c r="E213" t="s">
        <v>16</v>
      </c>
      <c r="F213" t="s">
        <v>12</v>
      </c>
      <c r="G213">
        <v>814781</v>
      </c>
      <c r="H213">
        <v>4511573914</v>
      </c>
      <c r="I213">
        <v>30</v>
      </c>
      <c r="J213" s="29">
        <v>3</v>
      </c>
      <c r="K213" s="29" t="s">
        <v>993</v>
      </c>
      <c r="L213" t="str">
        <f>IFERROR(VLOOKUP(Detalle_OC[[#This Row],[Centro]]&amp;Detalle_OC[[#This Row],[Nro Almacen]],Almacen!A:D,4,FALSE),"")</f>
        <v>San Vicente</v>
      </c>
    </row>
    <row r="214" spans="1:12" x14ac:dyDescent="0.3">
      <c r="A214" s="29" t="str">
        <f>Detalle_OC[[#This Row],[Centro]]&amp;Detalle_OC[[#This Row],[Nom Almacen]]&amp;Detalle_OC[[#This Row],[Material]]&amp;Detalle_OC[[#This Row],[Pedido]]&amp;Detalle_OC[[#This Row],[Posicion]]</f>
        <v>Agricola del Chira PlantaFERTI LOBO 2701226550002476620</v>
      </c>
      <c r="B214" t="s">
        <v>28</v>
      </c>
      <c r="C214" t="s">
        <v>112</v>
      </c>
      <c r="D214" s="11">
        <v>45663</v>
      </c>
      <c r="E214" t="s">
        <v>16</v>
      </c>
      <c r="F214" t="s">
        <v>12</v>
      </c>
      <c r="G214">
        <v>701226</v>
      </c>
      <c r="H214">
        <v>5500024766</v>
      </c>
      <c r="I214">
        <v>20</v>
      </c>
      <c r="J214" s="29">
        <v>23</v>
      </c>
      <c r="K214" s="29" t="s">
        <v>993</v>
      </c>
      <c r="L214" t="str">
        <f>IFERROR(VLOOKUP(Detalle_OC[[#This Row],[Centro]]&amp;Detalle_OC[[#This Row],[Nro Almacen]],Almacen!A:D,4,FALSE),"")</f>
        <v>FERTI LOBO 2</v>
      </c>
    </row>
    <row r="215" spans="1:12" x14ac:dyDescent="0.3">
      <c r="A215" s="29" t="str">
        <f>Detalle_OC[[#This Row],[Centro]]&amp;Detalle_OC[[#This Row],[Nom Almacen]]&amp;Detalle_OC[[#This Row],[Material]]&amp;Detalle_OC[[#This Row],[Pedido]]&amp;Detalle_OC[[#This Row],[Posicion]]</f>
        <v>Agricola del Chira PlantaFERTI LOBO 3701226550002476630</v>
      </c>
      <c r="B215" t="s">
        <v>28</v>
      </c>
      <c r="C215" t="s">
        <v>112</v>
      </c>
      <c r="D215" s="11">
        <v>45661</v>
      </c>
      <c r="E215" t="s">
        <v>16</v>
      </c>
      <c r="F215" t="s">
        <v>12</v>
      </c>
      <c r="G215">
        <v>701226</v>
      </c>
      <c r="H215">
        <v>5500024766</v>
      </c>
      <c r="I215">
        <v>30</v>
      </c>
      <c r="J215" s="29">
        <v>24</v>
      </c>
      <c r="K215" s="29" t="s">
        <v>993</v>
      </c>
      <c r="L215" t="str">
        <f>IFERROR(VLOOKUP(Detalle_OC[[#This Row],[Centro]]&amp;Detalle_OC[[#This Row],[Nro Almacen]],Almacen!A:D,4,FALSE),"")</f>
        <v>FERTI LOBO 3</v>
      </c>
    </row>
    <row r="216" spans="1:12" x14ac:dyDescent="0.3">
      <c r="A216" s="29" t="str">
        <f>Detalle_OC[[#This Row],[Centro]]&amp;Detalle_OC[[#This Row],[Nom Almacen]]&amp;Detalle_OC[[#This Row],[Material]]&amp;Detalle_OC[[#This Row],[Pedido]]&amp;Detalle_OC[[#This Row],[Posicion]]</f>
        <v>Sucroalcolera del Chira PlantaMontelimaMWSODACAUSTICA    550002478030</v>
      </c>
      <c r="B216" t="s">
        <v>28</v>
      </c>
      <c r="C216" t="s">
        <v>94</v>
      </c>
      <c r="D216" s="11">
        <v>45297</v>
      </c>
      <c r="E216" t="s">
        <v>16</v>
      </c>
      <c r="F216" t="s">
        <v>85</v>
      </c>
      <c r="G216" t="s">
        <v>1010</v>
      </c>
      <c r="H216">
        <v>5500024780</v>
      </c>
      <c r="I216">
        <v>30</v>
      </c>
      <c r="J216" s="29">
        <v>1</v>
      </c>
      <c r="K216" s="29" t="s">
        <v>993</v>
      </c>
      <c r="L216" t="str">
        <f>IFERROR(VLOOKUP(Detalle_OC[[#This Row],[Centro]]&amp;Detalle_OC[[#This Row],[Nro Almacen]],Almacen!A:D,4,FALSE),"")</f>
        <v>Montelima</v>
      </c>
    </row>
    <row r="217" spans="1:12" x14ac:dyDescent="0.3">
      <c r="A217" s="29" t="str">
        <f>Detalle_OC[[#This Row],[Centro]]&amp;Detalle_OC[[#This Row],[Nom Almacen]]&amp;Detalle_OC[[#This Row],[Material]]&amp;Detalle_OC[[#This Row],[Pedido]]&amp;Detalle_OC[[#This Row],[Posicion]]</f>
        <v>Agricola del Chira PlantaAlmacen Lobo721426550002493920</v>
      </c>
      <c r="B217" t="s">
        <v>28</v>
      </c>
      <c r="C217" t="s">
        <v>1108</v>
      </c>
      <c r="D217" s="11">
        <v>45663</v>
      </c>
      <c r="E217" t="s">
        <v>16</v>
      </c>
      <c r="F217" t="s">
        <v>12</v>
      </c>
      <c r="G217">
        <v>721426</v>
      </c>
      <c r="H217">
        <v>5500024939</v>
      </c>
      <c r="I217">
        <v>20</v>
      </c>
      <c r="J217" s="29">
        <v>7</v>
      </c>
      <c r="K217" s="29" t="s">
        <v>993</v>
      </c>
      <c r="L217" t="str">
        <f>IFERROR(VLOOKUP(Detalle_OC[[#This Row],[Centro]]&amp;Detalle_OC[[#This Row],[Nro Almacen]],Almacen!A:D,4,FALSE),"")</f>
        <v>Almacen Lobo</v>
      </c>
    </row>
    <row r="218" spans="1:12" x14ac:dyDescent="0.3">
      <c r="A218" s="29" t="str">
        <f>Detalle_OC[[#This Row],[Centro]]&amp;Detalle_OC[[#This Row],[Nom Almacen]]&amp;Detalle_OC[[#This Row],[Material]]&amp;Detalle_OC[[#This Row],[Pedido]]&amp;Detalle_OC[[#This Row],[Posicion]]</f>
        <v>Agricola del Chira PlantaSan Vicente721426550002493950</v>
      </c>
      <c r="B218" t="s">
        <v>28</v>
      </c>
      <c r="C218" t="s">
        <v>1108</v>
      </c>
      <c r="D218" s="11">
        <v>45663</v>
      </c>
      <c r="E218" t="s">
        <v>16</v>
      </c>
      <c r="F218" t="s">
        <v>12</v>
      </c>
      <c r="G218">
        <v>721426</v>
      </c>
      <c r="H218">
        <v>5500024939</v>
      </c>
      <c r="I218">
        <v>50</v>
      </c>
      <c r="J218" s="29">
        <v>3</v>
      </c>
      <c r="K218" s="29" t="s">
        <v>993</v>
      </c>
      <c r="L218" t="str">
        <f>IFERROR(VLOOKUP(Detalle_OC[[#This Row],[Centro]]&amp;Detalle_OC[[#This Row],[Nro Almacen]],Almacen!A:D,4,FALSE),"")</f>
        <v>San Vicente</v>
      </c>
    </row>
    <row r="219" spans="1:12" x14ac:dyDescent="0.3">
      <c r="A219" s="29" t="str">
        <f>Detalle_OC[[#This Row],[Centro]]&amp;Detalle_OC[[#This Row],[Nom Almacen]]&amp;Detalle_OC[[#This Row],[Material]]&amp;Detalle_OC[[#This Row],[Pedido]]&amp;Detalle_OC[[#This Row],[Posicion]]</f>
        <v>Agricola del Chira PlantaMontelima721426550002493960</v>
      </c>
      <c r="B219" t="s">
        <v>28</v>
      </c>
      <c r="C219" t="s">
        <v>1108</v>
      </c>
      <c r="D219" s="11">
        <v>45663</v>
      </c>
      <c r="E219" t="s">
        <v>16</v>
      </c>
      <c r="F219" t="s">
        <v>12</v>
      </c>
      <c r="G219">
        <v>721426</v>
      </c>
      <c r="H219">
        <v>5500024939</v>
      </c>
      <c r="I219">
        <v>60</v>
      </c>
      <c r="J219" s="29">
        <v>1</v>
      </c>
      <c r="K219" s="29" t="s">
        <v>993</v>
      </c>
      <c r="L219" t="str">
        <f>IFERROR(VLOOKUP(Detalle_OC[[#This Row],[Centro]]&amp;Detalle_OC[[#This Row],[Nro Almacen]],Almacen!A:D,4,FALSE),"")</f>
        <v>Montelima</v>
      </c>
    </row>
    <row r="220" spans="1:12" x14ac:dyDescent="0.3">
      <c r="A220" s="29" t="str">
        <f>Detalle_OC[[#This Row],[Centro]]&amp;Detalle_OC[[#This Row],[Nom Almacen]]&amp;Detalle_OC[[#This Row],[Material]]&amp;Detalle_OC[[#This Row],[Pedido]]&amp;Detalle_OC[[#This Row],[Posicion]]</f>
        <v>Agricola del Chira PlantaMontelima813005451157379710</v>
      </c>
      <c r="B220" t="s">
        <v>149</v>
      </c>
      <c r="C220" t="s">
        <v>166</v>
      </c>
      <c r="D220" s="11">
        <v>45672</v>
      </c>
      <c r="E220" t="s">
        <v>16</v>
      </c>
      <c r="F220" t="s">
        <v>12</v>
      </c>
      <c r="G220">
        <v>813005</v>
      </c>
      <c r="H220">
        <v>4511573797</v>
      </c>
      <c r="I220">
        <v>10</v>
      </c>
      <c r="J220" s="29">
        <v>1</v>
      </c>
      <c r="K220" s="29" t="s">
        <v>1113</v>
      </c>
      <c r="L220" t="str">
        <f>IFERROR(VLOOKUP(Detalle_OC[[#This Row],[Centro]]&amp;Detalle_OC[[#This Row],[Nro Almacen]],Almacen!A:D,4,FALSE),"")</f>
        <v>Montelima</v>
      </c>
    </row>
    <row r="221" spans="1:12" x14ac:dyDescent="0.3">
      <c r="A221" s="29" t="str">
        <f>Detalle_OC[[#This Row],[Centro]]&amp;Detalle_OC[[#This Row],[Nom Almacen]]&amp;Detalle_OC[[#This Row],[Material]]&amp;Detalle_OC[[#This Row],[Pedido]]&amp;Detalle_OC[[#This Row],[Posicion]]</f>
        <v>Agricola del Chira PlantaMontelima70006293451157379720</v>
      </c>
      <c r="B221" t="s">
        <v>149</v>
      </c>
      <c r="C221" t="s">
        <v>166</v>
      </c>
      <c r="D221" s="11">
        <v>45672</v>
      </c>
      <c r="E221" t="s">
        <v>16</v>
      </c>
      <c r="F221" t="s">
        <v>12</v>
      </c>
      <c r="G221">
        <v>70006293</v>
      </c>
      <c r="H221">
        <v>4511573797</v>
      </c>
      <c r="I221">
        <v>20</v>
      </c>
      <c r="J221" s="29">
        <v>1</v>
      </c>
      <c r="K221" s="29" t="s">
        <v>1113</v>
      </c>
      <c r="L221" t="str">
        <f>IFERROR(VLOOKUP(Detalle_OC[[#This Row],[Centro]]&amp;Detalle_OC[[#This Row],[Nro Almacen]],Almacen!A:D,4,FALSE),"")</f>
        <v>Montelima</v>
      </c>
    </row>
    <row r="222" spans="1:12" x14ac:dyDescent="0.3">
      <c r="A222" s="29" t="str">
        <f>Detalle_OC[[#This Row],[Centro]]&amp;Detalle_OC[[#This Row],[Nom Almacen]]&amp;Detalle_OC[[#This Row],[Material]]&amp;Detalle_OC[[#This Row],[Pedido]]&amp;Detalle_OC[[#This Row],[Posicion]]</f>
        <v>Agricola del Chira PlantaMontelima70039473451157379730</v>
      </c>
      <c r="B222" t="s">
        <v>149</v>
      </c>
      <c r="C222" t="s">
        <v>166</v>
      </c>
      <c r="D222" s="11">
        <v>45672</v>
      </c>
      <c r="E222" t="s">
        <v>16</v>
      </c>
      <c r="F222" t="s">
        <v>12</v>
      </c>
      <c r="G222">
        <v>70039473</v>
      </c>
      <c r="H222">
        <v>4511573797</v>
      </c>
      <c r="I222">
        <v>30</v>
      </c>
      <c r="J222" s="29">
        <v>1</v>
      </c>
      <c r="K222" s="29" t="s">
        <v>1113</v>
      </c>
      <c r="L222" t="str">
        <f>IFERROR(VLOOKUP(Detalle_OC[[#This Row],[Centro]]&amp;Detalle_OC[[#This Row],[Nro Almacen]],Almacen!A:D,4,FALSE),"")</f>
        <v>Montelima</v>
      </c>
    </row>
    <row r="223" spans="1:12" x14ac:dyDescent="0.3">
      <c r="A223" s="29" t="str">
        <f>Detalle_OC[[#This Row],[Centro]]&amp;Detalle_OC[[#This Row],[Nom Almacen]]&amp;Detalle_OC[[#This Row],[Material]]&amp;Detalle_OC[[#This Row],[Pedido]]&amp;Detalle_OC[[#This Row],[Posicion]]</f>
        <v>Agricola del Chira PlantaMontelima70075912451157379740</v>
      </c>
      <c r="B223" t="s">
        <v>149</v>
      </c>
      <c r="C223" t="s">
        <v>166</v>
      </c>
      <c r="D223" s="11">
        <v>45672</v>
      </c>
      <c r="E223" t="s">
        <v>16</v>
      </c>
      <c r="F223" t="s">
        <v>12</v>
      </c>
      <c r="G223">
        <v>70075912</v>
      </c>
      <c r="H223">
        <v>4511573797</v>
      </c>
      <c r="I223">
        <v>40</v>
      </c>
      <c r="J223" s="29">
        <v>1</v>
      </c>
      <c r="K223" s="29" t="s">
        <v>1113</v>
      </c>
      <c r="L223" t="str">
        <f>IFERROR(VLOOKUP(Detalle_OC[[#This Row],[Centro]]&amp;Detalle_OC[[#This Row],[Nro Almacen]],Almacen!A:D,4,FALSE),"")</f>
        <v>Montelima</v>
      </c>
    </row>
    <row r="224" spans="1:12" x14ac:dyDescent="0.3">
      <c r="A224" s="29" t="str">
        <f>Detalle_OC[[#This Row],[Centro]]&amp;Detalle_OC[[#This Row],[Nom Almacen]]&amp;Detalle_OC[[#This Row],[Material]]&amp;Detalle_OC[[#This Row],[Pedido]]&amp;Detalle_OC[[#This Row],[Posicion]]</f>
        <v>Agricola del Chira PlantaMontelima70039112451157379750</v>
      </c>
      <c r="B224" t="s">
        <v>149</v>
      </c>
      <c r="C224" t="s">
        <v>166</v>
      </c>
      <c r="D224" s="11">
        <v>45693</v>
      </c>
      <c r="E224" t="s">
        <v>16</v>
      </c>
      <c r="F224" t="s">
        <v>12</v>
      </c>
      <c r="G224">
        <v>70039112</v>
      </c>
      <c r="H224">
        <v>4511573797</v>
      </c>
      <c r="I224">
        <v>50</v>
      </c>
      <c r="J224" s="29">
        <v>1</v>
      </c>
      <c r="K224" s="29" t="s">
        <v>1113</v>
      </c>
      <c r="L224" t="str">
        <f>IFERROR(VLOOKUP(Detalle_OC[[#This Row],[Centro]]&amp;Detalle_OC[[#This Row],[Nro Almacen]],Almacen!A:D,4,FALSE),"")</f>
        <v>Montelima</v>
      </c>
    </row>
    <row r="225" spans="1:12" x14ac:dyDescent="0.3">
      <c r="A225" s="29" t="str">
        <f>Detalle_OC[[#This Row],[Centro]]&amp;Detalle_OC[[#This Row],[Nom Almacen]]&amp;Detalle_OC[[#This Row],[Material]]&amp;Detalle_OC[[#This Row],[Pedido]]&amp;Detalle_OC[[#This Row],[Posicion]]</f>
        <v>Agricola del Chira PlantaMontelima813003451157379810</v>
      </c>
      <c r="B225" t="s">
        <v>149</v>
      </c>
      <c r="C225" t="s">
        <v>166</v>
      </c>
      <c r="D225" s="11">
        <v>45672</v>
      </c>
      <c r="E225" t="s">
        <v>16</v>
      </c>
      <c r="F225" t="s">
        <v>12</v>
      </c>
      <c r="G225">
        <v>813003</v>
      </c>
      <c r="H225">
        <v>4511573798</v>
      </c>
      <c r="I225">
        <v>10</v>
      </c>
      <c r="J225" s="29">
        <v>1</v>
      </c>
      <c r="K225" s="29" t="s">
        <v>1113</v>
      </c>
      <c r="L225" t="str">
        <f>IFERROR(VLOOKUP(Detalle_OC[[#This Row],[Centro]]&amp;Detalle_OC[[#This Row],[Nro Almacen]],Almacen!A:D,4,FALSE),"")</f>
        <v>Montelima</v>
      </c>
    </row>
    <row r="226" spans="1:12" x14ac:dyDescent="0.3">
      <c r="A226" s="29" t="str">
        <f>Detalle_OC[[#This Row],[Centro]]&amp;Detalle_OC[[#This Row],[Nom Almacen]]&amp;Detalle_OC[[#This Row],[Material]]&amp;Detalle_OC[[#This Row],[Pedido]]&amp;Detalle_OC[[#This Row],[Posicion]]</f>
        <v>Agricola del Chira PlantaMontelima813056451157379820</v>
      </c>
      <c r="B226" t="s">
        <v>149</v>
      </c>
      <c r="C226" t="s">
        <v>166</v>
      </c>
      <c r="D226" s="11">
        <v>45672</v>
      </c>
      <c r="E226" t="s">
        <v>16</v>
      </c>
      <c r="F226" t="s">
        <v>12</v>
      </c>
      <c r="G226">
        <v>813056</v>
      </c>
      <c r="H226">
        <v>4511573798</v>
      </c>
      <c r="I226">
        <v>20</v>
      </c>
      <c r="J226" s="29">
        <v>1</v>
      </c>
      <c r="K226" s="29" t="s">
        <v>1113</v>
      </c>
      <c r="L226" t="str">
        <f>IFERROR(VLOOKUP(Detalle_OC[[#This Row],[Centro]]&amp;Detalle_OC[[#This Row],[Nro Almacen]],Almacen!A:D,4,FALSE),"")</f>
        <v>Montelima</v>
      </c>
    </row>
    <row r="227" spans="1:12" x14ac:dyDescent="0.3">
      <c r="A227" s="29" t="str">
        <f>Detalle_OC[[#This Row],[Centro]]&amp;Detalle_OC[[#This Row],[Nom Almacen]]&amp;Detalle_OC[[#This Row],[Material]]&amp;Detalle_OC[[#This Row],[Pedido]]&amp;Detalle_OC[[#This Row],[Posicion]]</f>
        <v>Agricola del Chira PlantaMontelima822730451157379830</v>
      </c>
      <c r="B227" t="s">
        <v>149</v>
      </c>
      <c r="C227" t="s">
        <v>166</v>
      </c>
      <c r="D227" s="11">
        <v>45672</v>
      </c>
      <c r="E227" t="s">
        <v>16</v>
      </c>
      <c r="F227" t="s">
        <v>12</v>
      </c>
      <c r="G227">
        <v>822730</v>
      </c>
      <c r="H227">
        <v>4511573798</v>
      </c>
      <c r="I227">
        <v>30</v>
      </c>
      <c r="J227" s="29">
        <v>1</v>
      </c>
      <c r="K227" s="29" t="s">
        <v>1113</v>
      </c>
      <c r="L227" t="str">
        <f>IFERROR(VLOOKUP(Detalle_OC[[#This Row],[Centro]]&amp;Detalle_OC[[#This Row],[Nro Almacen]],Almacen!A:D,4,FALSE),"")</f>
        <v>Montelima</v>
      </c>
    </row>
    <row r="228" spans="1:12" x14ac:dyDescent="0.3">
      <c r="A228" s="29" t="str">
        <f>Detalle_OC[[#This Row],[Centro]]&amp;Detalle_OC[[#This Row],[Nom Almacen]]&amp;Detalle_OC[[#This Row],[Material]]&amp;Detalle_OC[[#This Row],[Pedido]]&amp;Detalle_OC[[#This Row],[Posicion]]</f>
        <v>Agricola del Chira PlantaMontelima828045451157379860</v>
      </c>
      <c r="B228" t="s">
        <v>149</v>
      </c>
      <c r="C228" t="s">
        <v>166</v>
      </c>
      <c r="D228" s="11">
        <v>45672</v>
      </c>
      <c r="E228" t="s">
        <v>16</v>
      </c>
      <c r="F228" t="s">
        <v>12</v>
      </c>
      <c r="G228">
        <v>828045</v>
      </c>
      <c r="H228">
        <v>4511573798</v>
      </c>
      <c r="I228">
        <v>60</v>
      </c>
      <c r="J228" s="29">
        <v>1</v>
      </c>
      <c r="K228" s="29" t="s">
        <v>1113</v>
      </c>
      <c r="L228" t="str">
        <f>IFERROR(VLOOKUP(Detalle_OC[[#This Row],[Centro]]&amp;Detalle_OC[[#This Row],[Nro Almacen]],Almacen!A:D,4,FALSE),"")</f>
        <v>Montelima</v>
      </c>
    </row>
    <row r="229" spans="1:12" x14ac:dyDescent="0.3">
      <c r="A229" s="29" t="str">
        <f>Detalle_OC[[#This Row],[Centro]]&amp;Detalle_OC[[#This Row],[Nom Almacen]]&amp;Detalle_OC[[#This Row],[Material]]&amp;Detalle_OC[[#This Row],[Pedido]]&amp;Detalle_OC[[#This Row],[Posicion]]</f>
        <v>Agricola del Chira PlantaMontelima860875451157379880</v>
      </c>
      <c r="B229" t="s">
        <v>149</v>
      </c>
      <c r="C229" t="s">
        <v>166</v>
      </c>
      <c r="D229" s="11">
        <v>45672</v>
      </c>
      <c r="E229" t="s">
        <v>16</v>
      </c>
      <c r="F229" t="s">
        <v>12</v>
      </c>
      <c r="G229">
        <v>860875</v>
      </c>
      <c r="H229">
        <v>4511573798</v>
      </c>
      <c r="I229">
        <v>80</v>
      </c>
      <c r="J229" s="29">
        <v>1</v>
      </c>
      <c r="K229" s="29" t="s">
        <v>1113</v>
      </c>
      <c r="L229" t="str">
        <f>IFERROR(VLOOKUP(Detalle_OC[[#This Row],[Centro]]&amp;Detalle_OC[[#This Row],[Nro Almacen]],Almacen!A:D,4,FALSE),"")</f>
        <v>Montelima</v>
      </c>
    </row>
    <row r="230" spans="1:12" x14ac:dyDescent="0.3">
      <c r="A230" s="29" t="str">
        <f>Detalle_OC[[#This Row],[Centro]]&amp;Detalle_OC[[#This Row],[Nom Almacen]]&amp;Detalle_OC[[#This Row],[Material]]&amp;Detalle_OC[[#This Row],[Pedido]]&amp;Detalle_OC[[#This Row],[Posicion]]</f>
        <v>Agricola del Chira PlantaMontelima873100451157379890</v>
      </c>
      <c r="B230" t="s">
        <v>149</v>
      </c>
      <c r="C230" t="s">
        <v>166</v>
      </c>
      <c r="D230" s="11">
        <v>45672</v>
      </c>
      <c r="E230" t="s">
        <v>16</v>
      </c>
      <c r="F230" t="s">
        <v>12</v>
      </c>
      <c r="G230">
        <v>873100</v>
      </c>
      <c r="H230">
        <v>4511573798</v>
      </c>
      <c r="I230">
        <v>90</v>
      </c>
      <c r="J230" s="29">
        <v>1</v>
      </c>
      <c r="K230" s="29" t="s">
        <v>1113</v>
      </c>
      <c r="L230" t="str">
        <f>IFERROR(VLOOKUP(Detalle_OC[[#This Row],[Centro]]&amp;Detalle_OC[[#This Row],[Nro Almacen]],Almacen!A:D,4,FALSE),"")</f>
        <v>Montelima</v>
      </c>
    </row>
    <row r="231" spans="1:12" x14ac:dyDescent="0.3">
      <c r="A231" s="29" t="str">
        <f>Detalle_OC[[#This Row],[Centro]]&amp;Detalle_OC[[#This Row],[Nom Almacen]]&amp;Detalle_OC[[#This Row],[Material]]&amp;Detalle_OC[[#This Row],[Pedido]]&amp;Detalle_OC[[#This Row],[Posicion]]</f>
        <v>Agricola del Chira PlantaMontelima8856044511573798100</v>
      </c>
      <c r="B231" t="s">
        <v>149</v>
      </c>
      <c r="C231" t="s">
        <v>166</v>
      </c>
      <c r="D231" s="11">
        <v>45672</v>
      </c>
      <c r="E231" t="s">
        <v>16</v>
      </c>
      <c r="F231" t="s">
        <v>12</v>
      </c>
      <c r="G231">
        <v>885604</v>
      </c>
      <c r="H231">
        <v>4511573798</v>
      </c>
      <c r="I231">
        <v>100</v>
      </c>
      <c r="J231" s="29">
        <v>1</v>
      </c>
      <c r="K231" s="29" t="s">
        <v>1113</v>
      </c>
      <c r="L231" t="str">
        <f>IFERROR(VLOOKUP(Detalle_OC[[#This Row],[Centro]]&amp;Detalle_OC[[#This Row],[Nro Almacen]],Almacen!A:D,4,FALSE),"")</f>
        <v>Montelima</v>
      </c>
    </row>
    <row r="232" spans="1:12" x14ac:dyDescent="0.3">
      <c r="A232" s="29" t="str">
        <f>Detalle_OC[[#This Row],[Centro]]&amp;Detalle_OC[[#This Row],[Nom Almacen]]&amp;Detalle_OC[[#This Row],[Material]]&amp;Detalle_OC[[#This Row],[Pedido]]&amp;Detalle_OC[[#This Row],[Posicion]]</f>
        <v>Agricola del Chira PlantaMontelima8862624511573798120</v>
      </c>
      <c r="B232" t="s">
        <v>149</v>
      </c>
      <c r="C232" t="s">
        <v>166</v>
      </c>
      <c r="D232" s="11">
        <v>45672</v>
      </c>
      <c r="E232" t="s">
        <v>16</v>
      </c>
      <c r="F232" t="s">
        <v>12</v>
      </c>
      <c r="G232">
        <v>886262</v>
      </c>
      <c r="H232">
        <v>4511573798</v>
      </c>
      <c r="I232">
        <v>120</v>
      </c>
      <c r="J232" s="29">
        <v>1</v>
      </c>
      <c r="K232" s="29" t="s">
        <v>1113</v>
      </c>
      <c r="L232" t="str">
        <f>IFERROR(VLOOKUP(Detalle_OC[[#This Row],[Centro]]&amp;Detalle_OC[[#This Row],[Nro Almacen]],Almacen!A:D,4,FALSE),"")</f>
        <v>Montelima</v>
      </c>
    </row>
    <row r="233" spans="1:12" x14ac:dyDescent="0.3">
      <c r="A233" s="29" t="str">
        <f>Detalle_OC[[#This Row],[Centro]]&amp;Detalle_OC[[#This Row],[Nom Almacen]]&amp;Detalle_OC[[#This Row],[Material]]&amp;Detalle_OC[[#This Row],[Pedido]]&amp;Detalle_OC[[#This Row],[Posicion]]</f>
        <v>Agricola del Chira PlantaMontelima8979344511573798130</v>
      </c>
      <c r="B233" t="s">
        <v>149</v>
      </c>
      <c r="C233" t="s">
        <v>166</v>
      </c>
      <c r="D233" s="11">
        <v>45672</v>
      </c>
      <c r="E233" t="s">
        <v>16</v>
      </c>
      <c r="F233" t="s">
        <v>12</v>
      </c>
      <c r="G233">
        <v>897934</v>
      </c>
      <c r="H233">
        <v>4511573798</v>
      </c>
      <c r="I233">
        <v>130</v>
      </c>
      <c r="J233" s="29">
        <v>1</v>
      </c>
      <c r="K233" s="29" t="s">
        <v>1113</v>
      </c>
      <c r="L233" t="str">
        <f>IFERROR(VLOOKUP(Detalle_OC[[#This Row],[Centro]]&amp;Detalle_OC[[#This Row],[Nro Almacen]],Almacen!A:D,4,FALSE),"")</f>
        <v>Montelima</v>
      </c>
    </row>
    <row r="234" spans="1:12" x14ac:dyDescent="0.3">
      <c r="A234" s="29" t="str">
        <f>Detalle_OC[[#This Row],[Centro]]&amp;Detalle_OC[[#This Row],[Nom Almacen]]&amp;Detalle_OC[[#This Row],[Material]]&amp;Detalle_OC[[#This Row],[Pedido]]&amp;Detalle_OC[[#This Row],[Posicion]]</f>
        <v>Agricola del Chira PlantaMontelima700002524511573798140</v>
      </c>
      <c r="B234" t="s">
        <v>149</v>
      </c>
      <c r="C234" t="s">
        <v>166</v>
      </c>
      <c r="D234" s="11">
        <v>45672</v>
      </c>
      <c r="E234" t="s">
        <v>16</v>
      </c>
      <c r="F234" t="s">
        <v>12</v>
      </c>
      <c r="G234">
        <v>70000252</v>
      </c>
      <c r="H234">
        <v>4511573798</v>
      </c>
      <c r="I234">
        <v>140</v>
      </c>
      <c r="J234" s="29">
        <v>1</v>
      </c>
      <c r="K234" s="29" t="s">
        <v>1113</v>
      </c>
      <c r="L234" t="str">
        <f>IFERROR(VLOOKUP(Detalle_OC[[#This Row],[Centro]]&amp;Detalle_OC[[#This Row],[Nro Almacen]],Almacen!A:D,4,FALSE),"")</f>
        <v>Montelima</v>
      </c>
    </row>
    <row r="235" spans="1:12" x14ac:dyDescent="0.3">
      <c r="A235" s="29" t="str">
        <f>Detalle_OC[[#This Row],[Centro]]&amp;Detalle_OC[[#This Row],[Nom Almacen]]&amp;Detalle_OC[[#This Row],[Material]]&amp;Detalle_OC[[#This Row],[Pedido]]&amp;Detalle_OC[[#This Row],[Posicion]]</f>
        <v>Agricola del Chira PlantaMontelima700058794511573798150</v>
      </c>
      <c r="B235" t="s">
        <v>149</v>
      </c>
      <c r="C235" t="s">
        <v>166</v>
      </c>
      <c r="D235" s="11">
        <v>45672</v>
      </c>
      <c r="E235" t="s">
        <v>16</v>
      </c>
      <c r="F235" t="s">
        <v>12</v>
      </c>
      <c r="G235">
        <v>70005879</v>
      </c>
      <c r="H235">
        <v>4511573798</v>
      </c>
      <c r="I235">
        <v>150</v>
      </c>
      <c r="J235" s="29">
        <v>1</v>
      </c>
      <c r="K235" s="29" t="s">
        <v>1113</v>
      </c>
      <c r="L235" t="str">
        <f>IFERROR(VLOOKUP(Detalle_OC[[#This Row],[Centro]]&amp;Detalle_OC[[#This Row],[Nro Almacen]],Almacen!A:D,4,FALSE),"")</f>
        <v>Montelima</v>
      </c>
    </row>
    <row r="236" spans="1:12" x14ac:dyDescent="0.3">
      <c r="A236" s="29" t="str">
        <f>Detalle_OC[[#This Row],[Centro]]&amp;Detalle_OC[[#This Row],[Nom Almacen]]&amp;Detalle_OC[[#This Row],[Material]]&amp;Detalle_OC[[#This Row],[Pedido]]&amp;Detalle_OC[[#This Row],[Posicion]]</f>
        <v>Agricola del Chira PlantaMontelima700061434511573798160</v>
      </c>
      <c r="B236" t="s">
        <v>149</v>
      </c>
      <c r="C236" t="s">
        <v>166</v>
      </c>
      <c r="D236" s="11">
        <v>45672</v>
      </c>
      <c r="E236" t="s">
        <v>16</v>
      </c>
      <c r="F236" t="s">
        <v>12</v>
      </c>
      <c r="G236">
        <v>70006143</v>
      </c>
      <c r="H236">
        <v>4511573798</v>
      </c>
      <c r="I236">
        <v>160</v>
      </c>
      <c r="J236" s="29">
        <v>1</v>
      </c>
      <c r="K236" s="29" t="s">
        <v>1113</v>
      </c>
      <c r="L236" t="str">
        <f>IFERROR(VLOOKUP(Detalle_OC[[#This Row],[Centro]]&amp;Detalle_OC[[#This Row],[Nro Almacen]],Almacen!A:D,4,FALSE),"")</f>
        <v>Montelima</v>
      </c>
    </row>
    <row r="237" spans="1:12" x14ac:dyDescent="0.3">
      <c r="A237" s="29" t="str">
        <f>Detalle_OC[[#This Row],[Centro]]&amp;Detalle_OC[[#This Row],[Nom Almacen]]&amp;Detalle_OC[[#This Row],[Material]]&amp;Detalle_OC[[#This Row],[Pedido]]&amp;Detalle_OC[[#This Row],[Posicion]]</f>
        <v>Agricola del Chira PlantaMontelima700062924511573798170</v>
      </c>
      <c r="B237" t="s">
        <v>149</v>
      </c>
      <c r="C237" t="s">
        <v>166</v>
      </c>
      <c r="D237" s="11">
        <v>45672</v>
      </c>
      <c r="E237" t="s">
        <v>16</v>
      </c>
      <c r="F237" t="s">
        <v>12</v>
      </c>
      <c r="G237">
        <v>70006292</v>
      </c>
      <c r="H237">
        <v>4511573798</v>
      </c>
      <c r="I237">
        <v>170</v>
      </c>
      <c r="J237" s="29">
        <v>1</v>
      </c>
      <c r="K237" s="29" t="s">
        <v>1113</v>
      </c>
      <c r="L237" t="str">
        <f>IFERROR(VLOOKUP(Detalle_OC[[#This Row],[Centro]]&amp;Detalle_OC[[#This Row],[Nro Almacen]],Almacen!A:D,4,FALSE),"")</f>
        <v>Montelima</v>
      </c>
    </row>
    <row r="238" spans="1:12" x14ac:dyDescent="0.3">
      <c r="A238" s="29" t="str">
        <f>Detalle_OC[[#This Row],[Centro]]&amp;Detalle_OC[[#This Row],[Nom Almacen]]&amp;Detalle_OC[[#This Row],[Material]]&amp;Detalle_OC[[#This Row],[Pedido]]&amp;Detalle_OC[[#This Row],[Posicion]]</f>
        <v>Agricola del Chira PlantaMontelima700062954511573798190</v>
      </c>
      <c r="B238" t="s">
        <v>149</v>
      </c>
      <c r="C238" t="s">
        <v>166</v>
      </c>
      <c r="D238" s="11">
        <v>45672</v>
      </c>
      <c r="E238" t="s">
        <v>16</v>
      </c>
      <c r="F238" t="s">
        <v>12</v>
      </c>
      <c r="G238">
        <v>70006295</v>
      </c>
      <c r="H238">
        <v>4511573798</v>
      </c>
      <c r="I238">
        <v>190</v>
      </c>
      <c r="J238" s="29">
        <v>1</v>
      </c>
      <c r="K238" s="29" t="s">
        <v>1113</v>
      </c>
      <c r="L238" t="str">
        <f>IFERROR(VLOOKUP(Detalle_OC[[#This Row],[Centro]]&amp;Detalle_OC[[#This Row],[Nro Almacen]],Almacen!A:D,4,FALSE),"")</f>
        <v>Montelima</v>
      </c>
    </row>
    <row r="239" spans="1:12" x14ac:dyDescent="0.3">
      <c r="A239" s="29" t="str">
        <f>Detalle_OC[[#This Row],[Centro]]&amp;Detalle_OC[[#This Row],[Nom Almacen]]&amp;Detalle_OC[[#This Row],[Material]]&amp;Detalle_OC[[#This Row],[Pedido]]&amp;Detalle_OC[[#This Row],[Posicion]]</f>
        <v>Agricola del Chira PlantaMontelima700115634511573798200</v>
      </c>
      <c r="B239" t="s">
        <v>149</v>
      </c>
      <c r="C239" t="s">
        <v>166</v>
      </c>
      <c r="D239" s="11">
        <v>45672</v>
      </c>
      <c r="E239" t="s">
        <v>16</v>
      </c>
      <c r="F239" t="s">
        <v>12</v>
      </c>
      <c r="G239">
        <v>70011563</v>
      </c>
      <c r="H239">
        <v>4511573798</v>
      </c>
      <c r="I239">
        <v>200</v>
      </c>
      <c r="J239" s="29">
        <v>1</v>
      </c>
      <c r="K239" s="29" t="s">
        <v>1113</v>
      </c>
      <c r="L239" t="str">
        <f>IFERROR(VLOOKUP(Detalle_OC[[#This Row],[Centro]]&amp;Detalle_OC[[#This Row],[Nro Almacen]],Almacen!A:D,4,FALSE),"")</f>
        <v>Montelima</v>
      </c>
    </row>
    <row r="240" spans="1:12" x14ac:dyDescent="0.3">
      <c r="A240" s="29" t="str">
        <f>Detalle_OC[[#This Row],[Centro]]&amp;Detalle_OC[[#This Row],[Nom Almacen]]&amp;Detalle_OC[[#This Row],[Material]]&amp;Detalle_OC[[#This Row],[Pedido]]&amp;Detalle_OC[[#This Row],[Posicion]]</f>
        <v>Agricola del Chira PlantaMontelima700152934511573798210</v>
      </c>
      <c r="B240" t="s">
        <v>149</v>
      </c>
      <c r="C240" t="s">
        <v>166</v>
      </c>
      <c r="D240" s="11">
        <v>45672</v>
      </c>
      <c r="E240" t="s">
        <v>16</v>
      </c>
      <c r="F240" t="s">
        <v>12</v>
      </c>
      <c r="G240">
        <v>70015293</v>
      </c>
      <c r="H240">
        <v>4511573798</v>
      </c>
      <c r="I240">
        <v>210</v>
      </c>
      <c r="J240" s="29">
        <v>1</v>
      </c>
      <c r="K240" s="29" t="s">
        <v>1113</v>
      </c>
      <c r="L240" t="str">
        <f>IFERROR(VLOOKUP(Detalle_OC[[#This Row],[Centro]]&amp;Detalle_OC[[#This Row],[Nro Almacen]],Almacen!A:D,4,FALSE),"")</f>
        <v>Montelima</v>
      </c>
    </row>
    <row r="241" spans="1:12" x14ac:dyDescent="0.3">
      <c r="A241" s="29" t="str">
        <f>Detalle_OC[[#This Row],[Centro]]&amp;Detalle_OC[[#This Row],[Nom Almacen]]&amp;Detalle_OC[[#This Row],[Material]]&amp;Detalle_OC[[#This Row],[Pedido]]&amp;Detalle_OC[[#This Row],[Posicion]]</f>
        <v>Agricola del Chira PlantaMontelima700225204511573798220</v>
      </c>
      <c r="B241" t="s">
        <v>149</v>
      </c>
      <c r="C241" t="s">
        <v>166</v>
      </c>
      <c r="D241" s="11">
        <v>45672</v>
      </c>
      <c r="E241" t="s">
        <v>16</v>
      </c>
      <c r="F241" t="s">
        <v>12</v>
      </c>
      <c r="G241">
        <v>70022520</v>
      </c>
      <c r="H241">
        <v>4511573798</v>
      </c>
      <c r="I241">
        <v>220</v>
      </c>
      <c r="J241" s="29">
        <v>1</v>
      </c>
      <c r="K241" s="29" t="s">
        <v>1113</v>
      </c>
      <c r="L241" t="str">
        <f>IFERROR(VLOOKUP(Detalle_OC[[#This Row],[Centro]]&amp;Detalle_OC[[#This Row],[Nro Almacen]],Almacen!A:D,4,FALSE),"")</f>
        <v>Montelima</v>
      </c>
    </row>
    <row r="242" spans="1:12" x14ac:dyDescent="0.3">
      <c r="A242" s="29" t="str">
        <f>Detalle_OC[[#This Row],[Centro]]&amp;Detalle_OC[[#This Row],[Nom Almacen]]&amp;Detalle_OC[[#This Row],[Material]]&amp;Detalle_OC[[#This Row],[Pedido]]&amp;Detalle_OC[[#This Row],[Posicion]]</f>
        <v>Agricola del Chira PlantaMontelima700234044511573798230</v>
      </c>
      <c r="B242" t="s">
        <v>149</v>
      </c>
      <c r="C242" t="s">
        <v>166</v>
      </c>
      <c r="D242" s="11">
        <v>45672</v>
      </c>
      <c r="E242" t="s">
        <v>16</v>
      </c>
      <c r="F242" t="s">
        <v>12</v>
      </c>
      <c r="G242">
        <v>70023404</v>
      </c>
      <c r="H242">
        <v>4511573798</v>
      </c>
      <c r="I242">
        <v>230</v>
      </c>
      <c r="J242" s="29">
        <v>1</v>
      </c>
      <c r="K242" s="29" t="s">
        <v>1113</v>
      </c>
      <c r="L242" t="str">
        <f>IFERROR(VLOOKUP(Detalle_OC[[#This Row],[Centro]]&amp;Detalle_OC[[#This Row],[Nro Almacen]],Almacen!A:D,4,FALSE),"")</f>
        <v>Montelima</v>
      </c>
    </row>
    <row r="243" spans="1:12" x14ac:dyDescent="0.3">
      <c r="A243" s="29" t="str">
        <f>Detalle_OC[[#This Row],[Centro]]&amp;Detalle_OC[[#This Row],[Nom Almacen]]&amp;Detalle_OC[[#This Row],[Material]]&amp;Detalle_OC[[#This Row],[Pedido]]&amp;Detalle_OC[[#This Row],[Posicion]]</f>
        <v>Agricola del Chira PlantaMontelima700468734511573798240</v>
      </c>
      <c r="B243" t="s">
        <v>149</v>
      </c>
      <c r="C243" t="s">
        <v>166</v>
      </c>
      <c r="D243" s="11">
        <v>45672</v>
      </c>
      <c r="E243" t="s">
        <v>16</v>
      </c>
      <c r="F243" t="s">
        <v>12</v>
      </c>
      <c r="G243">
        <v>70046873</v>
      </c>
      <c r="H243">
        <v>4511573798</v>
      </c>
      <c r="I243">
        <v>240</v>
      </c>
      <c r="J243" s="29">
        <v>1</v>
      </c>
      <c r="K243" s="29" t="s">
        <v>1113</v>
      </c>
      <c r="L243" t="str">
        <f>IFERROR(VLOOKUP(Detalle_OC[[#This Row],[Centro]]&amp;Detalle_OC[[#This Row],[Nro Almacen]],Almacen!A:D,4,FALSE),"")</f>
        <v>Montelima</v>
      </c>
    </row>
    <row r="244" spans="1:12" x14ac:dyDescent="0.3">
      <c r="A244" s="29" t="str">
        <f>Detalle_OC[[#This Row],[Centro]]&amp;Detalle_OC[[#This Row],[Nom Almacen]]&amp;Detalle_OC[[#This Row],[Material]]&amp;Detalle_OC[[#This Row],[Pedido]]&amp;Detalle_OC[[#This Row],[Posicion]]</f>
        <v>Agricola del Chira PlantaMontelimaCB230BCC00208     4511573798280</v>
      </c>
      <c r="B244" t="s">
        <v>149</v>
      </c>
      <c r="C244" t="s">
        <v>166</v>
      </c>
      <c r="D244" s="11">
        <v>45672</v>
      </c>
      <c r="E244" t="s">
        <v>16</v>
      </c>
      <c r="F244" t="s">
        <v>12</v>
      </c>
      <c r="G244" t="s">
        <v>968</v>
      </c>
      <c r="H244">
        <v>4511573798</v>
      </c>
      <c r="I244">
        <v>280</v>
      </c>
      <c r="J244" s="29">
        <v>1</v>
      </c>
      <c r="K244" s="29" t="s">
        <v>1113</v>
      </c>
      <c r="L244" t="str">
        <f>IFERROR(VLOOKUP(Detalle_OC[[#This Row],[Centro]]&amp;Detalle_OC[[#This Row],[Nro Almacen]],Almacen!A:D,4,FALSE),"")</f>
        <v>Montelima</v>
      </c>
    </row>
    <row r="245" spans="1:12" x14ac:dyDescent="0.3">
      <c r="A245" s="29" t="str">
        <f>Detalle_OC[[#This Row],[Centro]]&amp;Detalle_OC[[#This Row],[Nom Almacen]]&amp;Detalle_OC[[#This Row],[Material]]&amp;Detalle_OC[[#This Row],[Pedido]]&amp;Detalle_OC[[#This Row],[Posicion]]</f>
        <v>Agricola del Chira PlantaMontelima700234044511573798300</v>
      </c>
      <c r="B245" t="s">
        <v>149</v>
      </c>
      <c r="C245" t="s">
        <v>166</v>
      </c>
      <c r="D245" s="11">
        <v>45672</v>
      </c>
      <c r="E245" t="s">
        <v>16</v>
      </c>
      <c r="F245" t="s">
        <v>12</v>
      </c>
      <c r="G245">
        <v>70023404</v>
      </c>
      <c r="H245">
        <v>4511573798</v>
      </c>
      <c r="I245">
        <v>300</v>
      </c>
      <c r="J245" s="29">
        <v>1</v>
      </c>
      <c r="K245" s="29" t="s">
        <v>1113</v>
      </c>
      <c r="L245" t="str">
        <f>IFERROR(VLOOKUP(Detalle_OC[[#This Row],[Centro]]&amp;Detalle_OC[[#This Row],[Nro Almacen]],Almacen!A:D,4,FALSE),"")</f>
        <v>Montelima</v>
      </c>
    </row>
    <row r="246" spans="1:12" x14ac:dyDescent="0.3">
      <c r="A246" s="29" t="str">
        <f>Detalle_OC[[#This Row],[Centro]]&amp;Detalle_OC[[#This Row],[Nom Almacen]]&amp;Detalle_OC[[#This Row],[Material]]&amp;Detalle_OC[[#This Row],[Pedido]]&amp;Detalle_OC[[#This Row],[Posicion]]</f>
        <v>Agricola del Chira PlantaMontelima848021451157380010</v>
      </c>
      <c r="B246" t="s">
        <v>234</v>
      </c>
      <c r="C246" t="s">
        <v>166</v>
      </c>
      <c r="D246" s="11">
        <v>45693</v>
      </c>
      <c r="E246" t="s">
        <v>16</v>
      </c>
      <c r="F246" t="s">
        <v>12</v>
      </c>
      <c r="G246">
        <v>848021</v>
      </c>
      <c r="H246">
        <v>4511573800</v>
      </c>
      <c r="I246">
        <v>10</v>
      </c>
      <c r="J246" s="29">
        <v>1</v>
      </c>
      <c r="K246" s="29" t="s">
        <v>1113</v>
      </c>
      <c r="L246" t="str">
        <f>IFERROR(VLOOKUP(Detalle_OC[[#This Row],[Centro]]&amp;Detalle_OC[[#This Row],[Nro Almacen]],Almacen!A:D,4,FALSE),"")</f>
        <v>Montelima</v>
      </c>
    </row>
    <row r="247" spans="1:12" x14ac:dyDescent="0.3">
      <c r="A247" s="29" t="str">
        <f>Detalle_OC[[#This Row],[Centro]]&amp;Detalle_OC[[#This Row],[Nom Almacen]]&amp;Detalle_OC[[#This Row],[Material]]&amp;Detalle_OC[[#This Row],[Pedido]]&amp;Detalle_OC[[#This Row],[Posicion]]</f>
        <v>Agricola del Chira PlantaMontelima70023407451157380020</v>
      </c>
      <c r="B247" t="s">
        <v>234</v>
      </c>
      <c r="C247" t="s">
        <v>166</v>
      </c>
      <c r="D247" s="11">
        <v>45693</v>
      </c>
      <c r="E247" t="s">
        <v>16</v>
      </c>
      <c r="F247" t="s">
        <v>12</v>
      </c>
      <c r="G247">
        <v>70023407</v>
      </c>
      <c r="H247">
        <v>4511573800</v>
      </c>
      <c r="I247">
        <v>20</v>
      </c>
      <c r="J247" s="29">
        <v>1</v>
      </c>
      <c r="K247" s="29" t="s">
        <v>1113</v>
      </c>
      <c r="L247" t="str">
        <f>IFERROR(VLOOKUP(Detalle_OC[[#This Row],[Centro]]&amp;Detalle_OC[[#This Row],[Nro Almacen]],Almacen!A:D,4,FALSE),"")</f>
        <v>Montelima</v>
      </c>
    </row>
    <row r="248" spans="1:12" x14ac:dyDescent="0.3">
      <c r="A248" s="29" t="str">
        <f>Detalle_OC[[#This Row],[Centro]]&amp;Detalle_OC[[#This Row],[Nom Almacen]]&amp;Detalle_OC[[#This Row],[Material]]&amp;Detalle_OC[[#This Row],[Pedido]]&amp;Detalle_OC[[#This Row],[Posicion]]</f>
        <v>Agricola del Chira PlantaMontelima70026724451157380040</v>
      </c>
      <c r="B248" t="s">
        <v>234</v>
      </c>
      <c r="C248" t="s">
        <v>166</v>
      </c>
      <c r="D248" s="11">
        <v>45693</v>
      </c>
      <c r="E248" t="s">
        <v>16</v>
      </c>
      <c r="F248" t="s">
        <v>12</v>
      </c>
      <c r="G248">
        <v>70026724</v>
      </c>
      <c r="H248">
        <v>4511573800</v>
      </c>
      <c r="I248">
        <v>40</v>
      </c>
      <c r="J248" s="29">
        <v>1</v>
      </c>
      <c r="K248" s="29" t="s">
        <v>1113</v>
      </c>
      <c r="L248" t="str">
        <f>IFERROR(VLOOKUP(Detalle_OC[[#This Row],[Centro]]&amp;Detalle_OC[[#This Row],[Nro Almacen]],Almacen!A:D,4,FALSE),"")</f>
        <v>Montelima</v>
      </c>
    </row>
    <row r="249" spans="1:12" x14ac:dyDescent="0.3">
      <c r="A249" s="29" t="str">
        <f>Detalle_OC[[#This Row],[Centro]]&amp;Detalle_OC[[#This Row],[Nom Almacen]]&amp;Detalle_OC[[#This Row],[Material]]&amp;Detalle_OC[[#This Row],[Pedido]]&amp;Detalle_OC[[#This Row],[Posicion]]</f>
        <v>Agricola del Chira PlantaMontelima763905451157380920</v>
      </c>
      <c r="B249" t="s">
        <v>149</v>
      </c>
      <c r="C249" t="s">
        <v>44</v>
      </c>
      <c r="D249" s="11">
        <v>45667</v>
      </c>
      <c r="E249" t="s">
        <v>16</v>
      </c>
      <c r="F249" t="s">
        <v>12</v>
      </c>
      <c r="G249">
        <v>763905</v>
      </c>
      <c r="H249">
        <v>4511573809</v>
      </c>
      <c r="I249">
        <v>20</v>
      </c>
      <c r="J249" s="29">
        <v>1</v>
      </c>
      <c r="K249" s="29" t="s">
        <v>1113</v>
      </c>
      <c r="L249" t="str">
        <f>IFERROR(VLOOKUP(Detalle_OC[[#This Row],[Centro]]&amp;Detalle_OC[[#This Row],[Nro Almacen]],Almacen!A:D,4,FALSE),"")</f>
        <v>Montelima</v>
      </c>
    </row>
    <row r="250" spans="1:12" x14ac:dyDescent="0.3">
      <c r="A250" s="29" t="str">
        <f>Detalle_OC[[#This Row],[Centro]]&amp;Detalle_OC[[#This Row],[Nom Almacen]]&amp;Detalle_OC[[#This Row],[Material]]&amp;Detalle_OC[[#This Row],[Pedido]]&amp;Detalle_OC[[#This Row],[Posicion]]</f>
        <v>Agricola del Chira PlantaMontelima70108592451157380930</v>
      </c>
      <c r="B250" t="s">
        <v>149</v>
      </c>
      <c r="C250" t="s">
        <v>44</v>
      </c>
      <c r="D250" s="11">
        <v>45667</v>
      </c>
      <c r="E250" t="s">
        <v>16</v>
      </c>
      <c r="F250" t="s">
        <v>12</v>
      </c>
      <c r="G250">
        <v>70108592</v>
      </c>
      <c r="H250">
        <v>4511573809</v>
      </c>
      <c r="I250">
        <v>30</v>
      </c>
      <c r="J250" s="29">
        <v>1</v>
      </c>
      <c r="K250" s="29" t="s">
        <v>1113</v>
      </c>
      <c r="L250" t="str">
        <f>IFERROR(VLOOKUP(Detalle_OC[[#This Row],[Centro]]&amp;Detalle_OC[[#This Row],[Nro Almacen]],Almacen!A:D,4,FALSE),"")</f>
        <v>Montelima</v>
      </c>
    </row>
    <row r="251" spans="1:12" x14ac:dyDescent="0.3">
      <c r="A251" s="29" t="str">
        <f>Detalle_OC[[#This Row],[Centro]]&amp;Detalle_OC[[#This Row],[Nom Almacen]]&amp;Detalle_OC[[#This Row],[Material]]&amp;Detalle_OC[[#This Row],[Pedido]]&amp;Detalle_OC[[#This Row],[Posicion]]</f>
        <v>Sucroalcolera del Chira PlantaMontelima70118260550002491110</v>
      </c>
      <c r="B251" t="s">
        <v>28</v>
      </c>
      <c r="C251" t="s">
        <v>112</v>
      </c>
      <c r="D251" s="11">
        <v>45670</v>
      </c>
      <c r="E251" t="s">
        <v>16</v>
      </c>
      <c r="F251" t="s">
        <v>85</v>
      </c>
      <c r="G251">
        <v>70118260</v>
      </c>
      <c r="H251">
        <v>5500024911</v>
      </c>
      <c r="I251">
        <v>10</v>
      </c>
      <c r="J251" s="29">
        <v>1</v>
      </c>
      <c r="K251" s="29" t="s">
        <v>1113</v>
      </c>
      <c r="L251" t="str">
        <f>IFERROR(VLOOKUP(Detalle_OC[[#This Row],[Centro]]&amp;Detalle_OC[[#This Row],[Nro Almacen]],Almacen!A:D,4,FALSE),"")</f>
        <v>Montelima</v>
      </c>
    </row>
    <row r="252" spans="1:12" x14ac:dyDescent="0.3">
      <c r="A252" s="29" t="str">
        <f>Detalle_OC[[#This Row],[Centro]]&amp;Detalle_OC[[#This Row],[Nom Almacen]]&amp;Detalle_OC[[#This Row],[Material]]&amp;Detalle_OC[[#This Row],[Pedido]]&amp;Detalle_OC[[#This Row],[Posicion]]</f>
        <v>Sucroalcolera del Chira PlantaMontelima70118260550002491110</v>
      </c>
      <c r="B252" t="s">
        <v>28</v>
      </c>
      <c r="C252" t="s">
        <v>112</v>
      </c>
      <c r="D252" s="11">
        <v>45661</v>
      </c>
      <c r="E252" t="s">
        <v>16</v>
      </c>
      <c r="F252" t="s">
        <v>85</v>
      </c>
      <c r="G252">
        <v>70118260</v>
      </c>
      <c r="H252">
        <v>5500024911</v>
      </c>
      <c r="I252">
        <v>10</v>
      </c>
      <c r="J252" s="29">
        <v>1</v>
      </c>
      <c r="K252" s="29" t="s">
        <v>1113</v>
      </c>
      <c r="L252" t="str">
        <f>IFERROR(VLOOKUP(Detalle_OC[[#This Row],[Centro]]&amp;Detalle_OC[[#This Row],[Nro Almacen]],Almacen!A:D,4,FALSE),"")</f>
        <v>Montelima</v>
      </c>
    </row>
    <row r="253" spans="1:12" x14ac:dyDescent="0.3">
      <c r="A253" s="29" t="str">
        <f>Detalle_OC[[#This Row],[Centro]]&amp;Detalle_OC[[#This Row],[Nom Almacen]]&amp;Detalle_OC[[#This Row],[Material]]&amp;Detalle_OC[[#This Row],[Pedido]]&amp;Detalle_OC[[#This Row],[Posicion]]</f>
        <v>Agricola del Chira PlantaMontelima70135486451157379410</v>
      </c>
      <c r="B253" t="s">
        <v>145</v>
      </c>
      <c r="C253" t="s">
        <v>44</v>
      </c>
      <c r="D253" s="11">
        <v>45672</v>
      </c>
      <c r="E253" t="s">
        <v>16</v>
      </c>
      <c r="F253" t="s">
        <v>12</v>
      </c>
      <c r="G253">
        <v>70135486</v>
      </c>
      <c r="H253">
        <v>4511573794</v>
      </c>
      <c r="I253">
        <v>10</v>
      </c>
      <c r="J253" s="29">
        <v>1</v>
      </c>
      <c r="K253" s="29" t="s">
        <v>1011</v>
      </c>
      <c r="L253" t="str">
        <f>IFERROR(VLOOKUP(Detalle_OC[[#This Row],[Centro]]&amp;Detalle_OC[[#This Row],[Nro Almacen]],Almacen!A:D,4,FALSE),"")</f>
        <v>Montelima</v>
      </c>
    </row>
    <row r="254" spans="1:12" x14ac:dyDescent="0.3">
      <c r="A254" s="29" t="str">
        <f>Detalle_OC[[#This Row],[Centro]]&amp;Detalle_OC[[#This Row],[Nom Almacen]]&amp;Detalle_OC[[#This Row],[Material]]&amp;Detalle_OC[[#This Row],[Pedido]]&amp;Detalle_OC[[#This Row],[Posicion]]</f>
        <v>Agricola del Chira PlantaMontelima70135646451157379420</v>
      </c>
      <c r="B254" t="s">
        <v>145</v>
      </c>
      <c r="C254" t="s">
        <v>44</v>
      </c>
      <c r="D254" s="11">
        <v>45672</v>
      </c>
      <c r="E254" t="s">
        <v>16</v>
      </c>
      <c r="F254" t="s">
        <v>12</v>
      </c>
      <c r="G254">
        <v>70135646</v>
      </c>
      <c r="H254">
        <v>4511573794</v>
      </c>
      <c r="I254">
        <v>20</v>
      </c>
      <c r="J254" s="29">
        <v>1</v>
      </c>
      <c r="K254" s="29" t="s">
        <v>1011</v>
      </c>
      <c r="L254" t="str">
        <f>IFERROR(VLOOKUP(Detalle_OC[[#This Row],[Centro]]&amp;Detalle_OC[[#This Row],[Nro Almacen]],Almacen!A:D,4,FALSE),"")</f>
        <v>Montelima</v>
      </c>
    </row>
    <row r="255" spans="1:12" x14ac:dyDescent="0.3">
      <c r="A255" s="29" t="str">
        <f>Detalle_OC[[#This Row],[Centro]]&amp;Detalle_OC[[#This Row],[Nom Almacen]]&amp;Detalle_OC[[#This Row],[Material]]&amp;Detalle_OC[[#This Row],[Pedido]]&amp;Detalle_OC[[#This Row],[Posicion]]</f>
        <v>Agricola del Chira PlantaMontelima722908451157379430</v>
      </c>
      <c r="B255" t="s">
        <v>33</v>
      </c>
      <c r="C255" t="s">
        <v>44</v>
      </c>
      <c r="D255" s="11">
        <v>45672</v>
      </c>
      <c r="E255" t="s">
        <v>16</v>
      </c>
      <c r="F255" t="s">
        <v>12</v>
      </c>
      <c r="G255">
        <v>722908</v>
      </c>
      <c r="H255">
        <v>4511573794</v>
      </c>
      <c r="I255">
        <v>30</v>
      </c>
      <c r="J255" s="29">
        <v>1</v>
      </c>
      <c r="K255" s="29" t="s">
        <v>1011</v>
      </c>
      <c r="L255" t="str">
        <f>IFERROR(VLOOKUP(Detalle_OC[[#This Row],[Centro]]&amp;Detalle_OC[[#This Row],[Nro Almacen]],Almacen!A:D,4,FALSE),"")</f>
        <v>Montelima</v>
      </c>
    </row>
    <row r="256" spans="1:12" x14ac:dyDescent="0.3">
      <c r="A256" s="29" t="str">
        <f>Detalle_OC[[#This Row],[Centro]]&amp;Detalle_OC[[#This Row],[Nom Almacen]]&amp;Detalle_OC[[#This Row],[Material]]&amp;Detalle_OC[[#This Row],[Pedido]]&amp;Detalle_OC[[#This Row],[Posicion]]</f>
        <v>Agricola del Chira PlantaSan Vicente880205451157379440</v>
      </c>
      <c r="B256" t="s">
        <v>15</v>
      </c>
      <c r="C256" t="s">
        <v>44</v>
      </c>
      <c r="D256" s="11">
        <v>45672</v>
      </c>
      <c r="E256" t="s">
        <v>16</v>
      </c>
      <c r="F256" t="s">
        <v>12</v>
      </c>
      <c r="G256">
        <v>880205</v>
      </c>
      <c r="H256">
        <v>4511573794</v>
      </c>
      <c r="I256">
        <v>40</v>
      </c>
      <c r="J256" s="29">
        <v>3</v>
      </c>
      <c r="K256" s="29" t="s">
        <v>1011</v>
      </c>
      <c r="L256" t="str">
        <f>IFERROR(VLOOKUP(Detalle_OC[[#This Row],[Centro]]&amp;Detalle_OC[[#This Row],[Nro Almacen]],Almacen!A:D,4,FALSE),"")</f>
        <v>San Vicente</v>
      </c>
    </row>
    <row r="257" spans="1:12" x14ac:dyDescent="0.3">
      <c r="A257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fábrica70130638451157373710</v>
      </c>
      <c r="B257" t="s">
        <v>142</v>
      </c>
      <c r="C257" t="s">
        <v>44</v>
      </c>
      <c r="D257" s="11">
        <v>45670</v>
      </c>
      <c r="E257" t="s">
        <v>16</v>
      </c>
      <c r="F257" t="s">
        <v>85</v>
      </c>
      <c r="G257">
        <v>70130638</v>
      </c>
      <c r="H257">
        <v>4511573737</v>
      </c>
      <c r="I257">
        <v>10</v>
      </c>
      <c r="J257" s="29">
        <v>9</v>
      </c>
      <c r="K257" s="29" t="s">
        <v>1013</v>
      </c>
      <c r="L257" t="str">
        <f>IFERROR(VLOOKUP(Detalle_OC[[#This Row],[Centro]]&amp;Detalle_OC[[#This Row],[Nro Almacen]],Almacen!A:D,4,FALSE),"")</f>
        <v>Parada fábrica</v>
      </c>
    </row>
    <row r="258" spans="1:12" x14ac:dyDescent="0.3">
      <c r="A258" s="29" t="str">
        <f>Detalle_OC[[#This Row],[Centro]]&amp;Detalle_OC[[#This Row],[Nom Almacen]]&amp;Detalle_OC[[#This Row],[Material]]&amp;Detalle_OC[[#This Row],[Pedido]]&amp;Detalle_OC[[#This Row],[Posicion]]</f>
        <v>Agricola del Chira PlantaMontelima70038269451157373810</v>
      </c>
      <c r="B258" t="s">
        <v>145</v>
      </c>
      <c r="C258" t="s">
        <v>44</v>
      </c>
      <c r="D258" s="11">
        <v>45646</v>
      </c>
      <c r="E258" t="s">
        <v>16</v>
      </c>
      <c r="F258" t="s">
        <v>12</v>
      </c>
      <c r="G258">
        <v>70038269</v>
      </c>
      <c r="H258">
        <v>4511573738</v>
      </c>
      <c r="I258">
        <v>10</v>
      </c>
      <c r="J258" s="29">
        <v>1</v>
      </c>
      <c r="K258" s="29" t="s">
        <v>1013</v>
      </c>
      <c r="L258" t="str">
        <f>IFERROR(VLOOKUP(Detalle_OC[[#This Row],[Centro]]&amp;Detalle_OC[[#This Row],[Nro Almacen]],Almacen!A:D,4,FALSE),"")</f>
        <v>Montelima</v>
      </c>
    </row>
    <row r="259" spans="1:12" x14ac:dyDescent="0.3">
      <c r="A259" s="29" t="str">
        <f>Detalle_OC[[#This Row],[Centro]]&amp;Detalle_OC[[#This Row],[Nom Almacen]]&amp;Detalle_OC[[#This Row],[Material]]&amp;Detalle_OC[[#This Row],[Pedido]]&amp;Detalle_OC[[#This Row],[Posicion]]</f>
        <v>Bioenergía del Chira PlantaParada fábrica807336451157374010</v>
      </c>
      <c r="B259" t="s">
        <v>156</v>
      </c>
      <c r="C259" t="s">
        <v>195</v>
      </c>
      <c r="D259" s="11">
        <v>45688</v>
      </c>
      <c r="E259" t="s">
        <v>16</v>
      </c>
      <c r="F259" t="s">
        <v>86</v>
      </c>
      <c r="G259">
        <v>807336</v>
      </c>
      <c r="H259">
        <v>4511573740</v>
      </c>
      <c r="I259">
        <v>10</v>
      </c>
      <c r="J259" s="29">
        <v>4</v>
      </c>
      <c r="K259" s="29" t="s">
        <v>1013</v>
      </c>
      <c r="L259" t="str">
        <f>IFERROR(VLOOKUP(Detalle_OC[[#This Row],[Centro]]&amp;Detalle_OC[[#This Row],[Nro Almacen]],Almacen!A:D,4,FALSE),"")</f>
        <v>Parada fábrica</v>
      </c>
    </row>
    <row r="260" spans="1:12" x14ac:dyDescent="0.3">
      <c r="A260" s="29" t="str">
        <f>Detalle_OC[[#This Row],[Centro]]&amp;Detalle_OC[[#This Row],[Nom Almacen]]&amp;Detalle_OC[[#This Row],[Material]]&amp;Detalle_OC[[#This Row],[Pedido]]&amp;Detalle_OC[[#This Row],[Posicion]]</f>
        <v>Bioenergía del Chira PlantaMontelima811219451157374110</v>
      </c>
      <c r="B260" t="s">
        <v>142</v>
      </c>
      <c r="C260" t="s">
        <v>195</v>
      </c>
      <c r="D260" s="11">
        <v>45688</v>
      </c>
      <c r="E260" t="s">
        <v>16</v>
      </c>
      <c r="F260" t="s">
        <v>86</v>
      </c>
      <c r="G260">
        <v>811219</v>
      </c>
      <c r="H260">
        <v>4511573741</v>
      </c>
      <c r="I260">
        <v>10</v>
      </c>
      <c r="J260" s="29">
        <v>1</v>
      </c>
      <c r="K260" s="29" t="s">
        <v>1013</v>
      </c>
      <c r="L260" t="str">
        <f>IFERROR(VLOOKUP(Detalle_OC[[#This Row],[Centro]]&amp;Detalle_OC[[#This Row],[Nro Almacen]],Almacen!A:D,4,FALSE),"")</f>
        <v>Montelima</v>
      </c>
    </row>
    <row r="261" spans="1:12" x14ac:dyDescent="0.3">
      <c r="A261" s="29" t="str">
        <f>Detalle_OC[[#This Row],[Centro]]&amp;Detalle_OC[[#This Row],[Nom Almacen]]&amp;Detalle_OC[[#This Row],[Material]]&amp;Detalle_OC[[#This Row],[Pedido]]&amp;Detalle_OC[[#This Row],[Posicion]]</f>
        <v>Agricola del Chira PlantaMontelima778701451157374410</v>
      </c>
      <c r="B261" t="s">
        <v>145</v>
      </c>
      <c r="C261" t="s">
        <v>22</v>
      </c>
      <c r="D261" s="11">
        <v>45670</v>
      </c>
      <c r="E261" t="s">
        <v>16</v>
      </c>
      <c r="F261" t="s">
        <v>12</v>
      </c>
      <c r="G261">
        <v>778701</v>
      </c>
      <c r="H261">
        <v>4511573744</v>
      </c>
      <c r="I261">
        <v>10</v>
      </c>
      <c r="J261" s="29">
        <v>1</v>
      </c>
      <c r="K261" s="29" t="s">
        <v>1013</v>
      </c>
      <c r="L261" t="str">
        <f>IFERROR(VLOOKUP(Detalle_OC[[#This Row],[Centro]]&amp;Detalle_OC[[#This Row],[Nro Almacen]],Almacen!A:D,4,FALSE),"")</f>
        <v>Montelima</v>
      </c>
    </row>
    <row r="262" spans="1:12" x14ac:dyDescent="0.3">
      <c r="A262" s="29" t="str">
        <f>Detalle_OC[[#This Row],[Centro]]&amp;Detalle_OC[[#This Row],[Nom Almacen]]&amp;Detalle_OC[[#This Row],[Material]]&amp;Detalle_OC[[#This Row],[Pedido]]&amp;Detalle_OC[[#This Row],[Posicion]]</f>
        <v>Agricola del Chira PlantaMontelima721905451157374420</v>
      </c>
      <c r="B262" t="s">
        <v>15</v>
      </c>
      <c r="C262" t="s">
        <v>22</v>
      </c>
      <c r="D262" s="11">
        <v>45670</v>
      </c>
      <c r="E262" t="s">
        <v>16</v>
      </c>
      <c r="F262" t="s">
        <v>12</v>
      </c>
      <c r="G262">
        <v>721905</v>
      </c>
      <c r="H262">
        <v>4511573744</v>
      </c>
      <c r="I262">
        <v>20</v>
      </c>
      <c r="J262" s="29">
        <v>1</v>
      </c>
      <c r="K262" s="29" t="s">
        <v>1013</v>
      </c>
      <c r="L262" t="str">
        <f>IFERROR(VLOOKUP(Detalle_OC[[#This Row],[Centro]]&amp;Detalle_OC[[#This Row],[Nro Almacen]],Almacen!A:D,4,FALSE),"")</f>
        <v>Montelima</v>
      </c>
    </row>
    <row r="263" spans="1:12" x14ac:dyDescent="0.3">
      <c r="A263" s="29" t="str">
        <f>Detalle_OC[[#This Row],[Centro]]&amp;Detalle_OC[[#This Row],[Nom Almacen]]&amp;Detalle_OC[[#This Row],[Material]]&amp;Detalle_OC[[#This Row],[Pedido]]&amp;Detalle_OC[[#This Row],[Posicion]]</f>
        <v>Agricola del Chira PlantaMontelima778764451157374430</v>
      </c>
      <c r="B263" t="s">
        <v>159</v>
      </c>
      <c r="C263" t="s">
        <v>22</v>
      </c>
      <c r="D263" s="11">
        <v>45670</v>
      </c>
      <c r="E263" t="s">
        <v>16</v>
      </c>
      <c r="F263" t="s">
        <v>12</v>
      </c>
      <c r="G263">
        <v>778764</v>
      </c>
      <c r="H263">
        <v>4511573744</v>
      </c>
      <c r="I263">
        <v>30</v>
      </c>
      <c r="J263" s="29">
        <v>1</v>
      </c>
      <c r="K263" s="29" t="s">
        <v>1013</v>
      </c>
      <c r="L263" t="str">
        <f>IFERROR(VLOOKUP(Detalle_OC[[#This Row],[Centro]]&amp;Detalle_OC[[#This Row],[Nro Almacen]],Almacen!A:D,4,FALSE),"")</f>
        <v>Montelima</v>
      </c>
    </row>
    <row r="264" spans="1:12" x14ac:dyDescent="0.3">
      <c r="A264" s="29" t="str">
        <f>Detalle_OC[[#This Row],[Centro]]&amp;Detalle_OC[[#This Row],[Nom Almacen]]&amp;Detalle_OC[[#This Row],[Material]]&amp;Detalle_OC[[#This Row],[Pedido]]&amp;Detalle_OC[[#This Row],[Posicion]]</f>
        <v>Agricola del Chira PlantaLa HuacaMWAGR00013        451157374910</v>
      </c>
      <c r="B264" t="s">
        <v>1114</v>
      </c>
      <c r="C264" t="s">
        <v>91</v>
      </c>
      <c r="D264" s="11">
        <v>45670</v>
      </c>
      <c r="E264" t="s">
        <v>16</v>
      </c>
      <c r="F264" t="s">
        <v>12</v>
      </c>
      <c r="G264" t="s">
        <v>92</v>
      </c>
      <c r="H264">
        <v>4511573749</v>
      </c>
      <c r="I264">
        <v>10</v>
      </c>
      <c r="J264" s="29">
        <v>2</v>
      </c>
      <c r="K264" s="29" t="s">
        <v>1013</v>
      </c>
      <c r="L264" t="str">
        <f>IFERROR(VLOOKUP(Detalle_OC[[#This Row],[Centro]]&amp;Detalle_OC[[#This Row],[Nro Almacen]],Almacen!A:D,4,FALSE),"")</f>
        <v>La Huaca</v>
      </c>
    </row>
    <row r="265" spans="1:12" x14ac:dyDescent="0.3">
      <c r="A265" s="29" t="str">
        <f>Detalle_OC[[#This Row],[Centro]]&amp;Detalle_OC[[#This Row],[Nom Almacen]]&amp;Detalle_OC[[#This Row],[Material]]&amp;Detalle_OC[[#This Row],[Pedido]]&amp;Detalle_OC[[#This Row],[Posicion]]</f>
        <v>Agricola del Chira PlantaMontelimaMWAGR00013        451157374920</v>
      </c>
      <c r="B265" t="s">
        <v>199</v>
      </c>
      <c r="C265" t="s">
        <v>91</v>
      </c>
      <c r="D265" s="11">
        <v>45670</v>
      </c>
      <c r="E265" t="s">
        <v>16</v>
      </c>
      <c r="F265" t="s">
        <v>12</v>
      </c>
      <c r="G265" t="s">
        <v>92</v>
      </c>
      <c r="H265">
        <v>4511573749</v>
      </c>
      <c r="I265">
        <v>20</v>
      </c>
      <c r="J265" s="29">
        <v>1</v>
      </c>
      <c r="K265" s="29" t="s">
        <v>1013</v>
      </c>
      <c r="L265" t="str">
        <f>IFERROR(VLOOKUP(Detalle_OC[[#This Row],[Centro]]&amp;Detalle_OC[[#This Row],[Nro Almacen]],Almacen!A:D,4,FALSE),"")</f>
        <v>Montelima</v>
      </c>
    </row>
    <row r="266" spans="1:12" x14ac:dyDescent="0.3">
      <c r="A266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fábrica882719451157375010</v>
      </c>
      <c r="B266" t="s">
        <v>142</v>
      </c>
      <c r="C266" t="s">
        <v>1115</v>
      </c>
      <c r="D266" s="11">
        <v>45677</v>
      </c>
      <c r="E266" t="s">
        <v>16</v>
      </c>
      <c r="F266" t="s">
        <v>85</v>
      </c>
      <c r="G266">
        <v>882719</v>
      </c>
      <c r="H266">
        <v>4511573750</v>
      </c>
      <c r="I266">
        <v>10</v>
      </c>
      <c r="J266" s="29">
        <v>9</v>
      </c>
      <c r="K266" s="29" t="s">
        <v>1013</v>
      </c>
      <c r="L266" t="str">
        <f>IFERROR(VLOOKUP(Detalle_OC[[#This Row],[Centro]]&amp;Detalle_OC[[#This Row],[Nro Almacen]],Almacen!A:D,4,FALSE),"")</f>
        <v>Parada fábrica</v>
      </c>
    </row>
    <row r="267" spans="1:12" x14ac:dyDescent="0.3">
      <c r="A267" s="29" t="str">
        <f>Detalle_OC[[#This Row],[Centro]]&amp;Detalle_OC[[#This Row],[Nom Almacen]]&amp;Detalle_OC[[#This Row],[Material]]&amp;Detalle_OC[[#This Row],[Pedido]]&amp;Detalle_OC[[#This Row],[Posicion]]</f>
        <v>Agricola del Chira PlantaMontelima793935451157375210</v>
      </c>
      <c r="B267" t="s">
        <v>149</v>
      </c>
      <c r="C267" t="s">
        <v>166</v>
      </c>
      <c r="D267" s="11">
        <v>45677</v>
      </c>
      <c r="E267" t="s">
        <v>16</v>
      </c>
      <c r="F267" t="s">
        <v>12</v>
      </c>
      <c r="G267">
        <v>793935</v>
      </c>
      <c r="H267">
        <v>4511573752</v>
      </c>
      <c r="I267">
        <v>10</v>
      </c>
      <c r="J267" s="29">
        <v>1</v>
      </c>
      <c r="K267" s="29" t="s">
        <v>1013</v>
      </c>
      <c r="L267" t="str">
        <f>IFERROR(VLOOKUP(Detalle_OC[[#This Row],[Centro]]&amp;Detalle_OC[[#This Row],[Nro Almacen]],Almacen!A:D,4,FALSE),"")</f>
        <v>Montelima</v>
      </c>
    </row>
    <row r="268" spans="1:12" x14ac:dyDescent="0.3">
      <c r="A268" s="29" t="str">
        <f>Detalle_OC[[#This Row],[Centro]]&amp;Detalle_OC[[#This Row],[Nom Almacen]]&amp;Detalle_OC[[#This Row],[Material]]&amp;Detalle_OC[[#This Row],[Pedido]]&amp;Detalle_OC[[#This Row],[Posicion]]</f>
        <v>Agricola del Chira PlantaMontelima810136451157375220</v>
      </c>
      <c r="B268" t="s">
        <v>149</v>
      </c>
      <c r="C268" t="s">
        <v>166</v>
      </c>
      <c r="D268" s="11">
        <v>45677</v>
      </c>
      <c r="E268" t="s">
        <v>16</v>
      </c>
      <c r="F268" t="s">
        <v>12</v>
      </c>
      <c r="G268">
        <v>810136</v>
      </c>
      <c r="H268">
        <v>4511573752</v>
      </c>
      <c r="I268">
        <v>20</v>
      </c>
      <c r="J268" s="29">
        <v>1</v>
      </c>
      <c r="K268" s="29" t="s">
        <v>1013</v>
      </c>
      <c r="L268" t="str">
        <f>IFERROR(VLOOKUP(Detalle_OC[[#This Row],[Centro]]&amp;Detalle_OC[[#This Row],[Nro Almacen]],Almacen!A:D,4,FALSE),"")</f>
        <v>Montelima</v>
      </c>
    </row>
    <row r="269" spans="1:12" x14ac:dyDescent="0.3">
      <c r="A269" s="29" t="str">
        <f>Detalle_OC[[#This Row],[Centro]]&amp;Detalle_OC[[#This Row],[Nom Almacen]]&amp;Detalle_OC[[#This Row],[Material]]&amp;Detalle_OC[[#This Row],[Pedido]]&amp;Detalle_OC[[#This Row],[Posicion]]</f>
        <v>Agricola del Chira PlantaMontelima827629451157375230</v>
      </c>
      <c r="B269" t="s">
        <v>149</v>
      </c>
      <c r="C269" t="s">
        <v>166</v>
      </c>
      <c r="D269" s="11">
        <v>45677</v>
      </c>
      <c r="E269" t="s">
        <v>16</v>
      </c>
      <c r="F269" t="s">
        <v>12</v>
      </c>
      <c r="G269">
        <v>827629</v>
      </c>
      <c r="H269">
        <v>4511573752</v>
      </c>
      <c r="I269">
        <v>30</v>
      </c>
      <c r="J269" s="29">
        <v>1</v>
      </c>
      <c r="K269" s="29" t="s">
        <v>1013</v>
      </c>
      <c r="L269" t="str">
        <f>IFERROR(VLOOKUP(Detalle_OC[[#This Row],[Centro]]&amp;Detalle_OC[[#This Row],[Nro Almacen]],Almacen!A:D,4,FALSE),"")</f>
        <v>Montelima</v>
      </c>
    </row>
    <row r="270" spans="1:12" x14ac:dyDescent="0.3">
      <c r="A270" s="29" t="str">
        <f>Detalle_OC[[#This Row],[Centro]]&amp;Detalle_OC[[#This Row],[Nom Almacen]]&amp;Detalle_OC[[#This Row],[Material]]&amp;Detalle_OC[[#This Row],[Pedido]]&amp;Detalle_OC[[#This Row],[Posicion]]</f>
        <v>Agricola del Chira PlantaMontelima839898451157375240</v>
      </c>
      <c r="B270" t="s">
        <v>149</v>
      </c>
      <c r="C270" t="s">
        <v>166</v>
      </c>
      <c r="D270" s="11">
        <v>45677</v>
      </c>
      <c r="E270" t="s">
        <v>16</v>
      </c>
      <c r="F270" t="s">
        <v>12</v>
      </c>
      <c r="G270">
        <v>839898</v>
      </c>
      <c r="H270">
        <v>4511573752</v>
      </c>
      <c r="I270">
        <v>40</v>
      </c>
      <c r="J270" s="29">
        <v>1</v>
      </c>
      <c r="K270" s="29" t="s">
        <v>1013</v>
      </c>
      <c r="L270" t="str">
        <f>IFERROR(VLOOKUP(Detalle_OC[[#This Row],[Centro]]&amp;Detalle_OC[[#This Row],[Nro Almacen]],Almacen!A:D,4,FALSE),"")</f>
        <v>Montelima</v>
      </c>
    </row>
    <row r="271" spans="1:12" x14ac:dyDescent="0.3">
      <c r="A271" s="29" t="str">
        <f>Detalle_OC[[#This Row],[Centro]]&amp;Detalle_OC[[#This Row],[Nom Almacen]]&amp;Detalle_OC[[#This Row],[Material]]&amp;Detalle_OC[[#This Row],[Pedido]]&amp;Detalle_OC[[#This Row],[Posicion]]</f>
        <v>Agricola del Chira PlantaMontelima844622451157375250</v>
      </c>
      <c r="B271" t="s">
        <v>149</v>
      </c>
      <c r="C271" t="s">
        <v>166</v>
      </c>
      <c r="D271" s="11">
        <v>45677</v>
      </c>
      <c r="E271" t="s">
        <v>16</v>
      </c>
      <c r="F271" t="s">
        <v>12</v>
      </c>
      <c r="G271">
        <v>844622</v>
      </c>
      <c r="H271">
        <v>4511573752</v>
      </c>
      <c r="I271">
        <v>50</v>
      </c>
      <c r="J271" s="29">
        <v>1</v>
      </c>
      <c r="K271" s="29" t="s">
        <v>1013</v>
      </c>
      <c r="L271" t="str">
        <f>IFERROR(VLOOKUP(Detalle_OC[[#This Row],[Centro]]&amp;Detalle_OC[[#This Row],[Nro Almacen]],Almacen!A:D,4,FALSE),"")</f>
        <v>Montelima</v>
      </c>
    </row>
    <row r="272" spans="1:12" x14ac:dyDescent="0.3">
      <c r="A272" s="29" t="str">
        <f>Detalle_OC[[#This Row],[Centro]]&amp;Detalle_OC[[#This Row],[Nom Almacen]]&amp;Detalle_OC[[#This Row],[Material]]&amp;Detalle_OC[[#This Row],[Pedido]]&amp;Detalle_OC[[#This Row],[Posicion]]</f>
        <v>Agricola del Chira PlantaMontelima848934451157375260</v>
      </c>
      <c r="B272" t="s">
        <v>149</v>
      </c>
      <c r="C272" t="s">
        <v>166</v>
      </c>
      <c r="D272" s="11">
        <v>45677</v>
      </c>
      <c r="E272" t="s">
        <v>16</v>
      </c>
      <c r="F272" t="s">
        <v>12</v>
      </c>
      <c r="G272">
        <v>848934</v>
      </c>
      <c r="H272">
        <v>4511573752</v>
      </c>
      <c r="I272">
        <v>60</v>
      </c>
      <c r="J272" s="29">
        <v>1</v>
      </c>
      <c r="K272" s="29" t="s">
        <v>1013</v>
      </c>
      <c r="L272" t="str">
        <f>IFERROR(VLOOKUP(Detalle_OC[[#This Row],[Centro]]&amp;Detalle_OC[[#This Row],[Nro Almacen]],Almacen!A:D,4,FALSE),"")</f>
        <v>Montelima</v>
      </c>
    </row>
    <row r="273" spans="1:12" x14ac:dyDescent="0.3">
      <c r="A273" s="29" t="str">
        <f>Detalle_OC[[#This Row],[Centro]]&amp;Detalle_OC[[#This Row],[Nom Almacen]]&amp;Detalle_OC[[#This Row],[Material]]&amp;Detalle_OC[[#This Row],[Pedido]]&amp;Detalle_OC[[#This Row],[Posicion]]</f>
        <v>Agricola del Chira PlantaMontelima850059451157375270</v>
      </c>
      <c r="B273" t="s">
        <v>149</v>
      </c>
      <c r="C273" t="s">
        <v>166</v>
      </c>
      <c r="D273" s="11">
        <v>45677</v>
      </c>
      <c r="E273" t="s">
        <v>16</v>
      </c>
      <c r="F273" t="s">
        <v>12</v>
      </c>
      <c r="G273">
        <v>850059</v>
      </c>
      <c r="H273">
        <v>4511573752</v>
      </c>
      <c r="I273">
        <v>70</v>
      </c>
      <c r="J273" s="29">
        <v>1</v>
      </c>
      <c r="K273" s="29" t="s">
        <v>1013</v>
      </c>
      <c r="L273" t="str">
        <f>IFERROR(VLOOKUP(Detalle_OC[[#This Row],[Centro]]&amp;Detalle_OC[[#This Row],[Nro Almacen]],Almacen!A:D,4,FALSE),"")</f>
        <v>Montelima</v>
      </c>
    </row>
    <row r="274" spans="1:12" x14ac:dyDescent="0.3">
      <c r="A274" s="29" t="str">
        <f>Detalle_OC[[#This Row],[Centro]]&amp;Detalle_OC[[#This Row],[Nom Almacen]]&amp;Detalle_OC[[#This Row],[Material]]&amp;Detalle_OC[[#This Row],[Pedido]]&amp;Detalle_OC[[#This Row],[Posicion]]</f>
        <v>Agricola del Chira PlantaMontelima889183451157375280</v>
      </c>
      <c r="B274" t="s">
        <v>149</v>
      </c>
      <c r="C274" t="s">
        <v>166</v>
      </c>
      <c r="D274" s="11">
        <v>45677</v>
      </c>
      <c r="E274" t="s">
        <v>16</v>
      </c>
      <c r="F274" t="s">
        <v>12</v>
      </c>
      <c r="G274">
        <v>889183</v>
      </c>
      <c r="H274">
        <v>4511573752</v>
      </c>
      <c r="I274">
        <v>80</v>
      </c>
      <c r="J274" s="29">
        <v>1</v>
      </c>
      <c r="K274" s="29" t="s">
        <v>1013</v>
      </c>
      <c r="L274" t="str">
        <f>IFERROR(VLOOKUP(Detalle_OC[[#This Row],[Centro]]&amp;Detalle_OC[[#This Row],[Nro Almacen]],Almacen!A:D,4,FALSE),"")</f>
        <v>Montelima</v>
      </c>
    </row>
    <row r="275" spans="1:12" x14ac:dyDescent="0.3">
      <c r="A275" s="29" t="str">
        <f>Detalle_OC[[#This Row],[Centro]]&amp;Detalle_OC[[#This Row],[Nom Almacen]]&amp;Detalle_OC[[#This Row],[Material]]&amp;Detalle_OC[[#This Row],[Pedido]]&amp;Detalle_OC[[#This Row],[Posicion]]</f>
        <v>Agricola del Chira PlantaMontelima70007002451157375290</v>
      </c>
      <c r="B275" t="s">
        <v>149</v>
      </c>
      <c r="C275" t="s">
        <v>166</v>
      </c>
      <c r="D275" s="11">
        <v>45677</v>
      </c>
      <c r="E275" t="s">
        <v>16</v>
      </c>
      <c r="F275" t="s">
        <v>12</v>
      </c>
      <c r="G275">
        <v>70007002</v>
      </c>
      <c r="H275">
        <v>4511573752</v>
      </c>
      <c r="I275">
        <v>90</v>
      </c>
      <c r="J275" s="29">
        <v>1</v>
      </c>
      <c r="K275" s="29" t="s">
        <v>1013</v>
      </c>
      <c r="L275" t="str">
        <f>IFERROR(VLOOKUP(Detalle_OC[[#This Row],[Centro]]&amp;Detalle_OC[[#This Row],[Nro Almacen]],Almacen!A:D,4,FALSE),"")</f>
        <v>Montelima</v>
      </c>
    </row>
    <row r="276" spans="1:12" x14ac:dyDescent="0.3">
      <c r="A276" s="29" t="str">
        <f>Detalle_OC[[#This Row],[Centro]]&amp;Detalle_OC[[#This Row],[Nom Almacen]]&amp;Detalle_OC[[#This Row],[Material]]&amp;Detalle_OC[[#This Row],[Pedido]]&amp;Detalle_OC[[#This Row],[Posicion]]</f>
        <v>Agricola del Chira PlantaMontelima700123094511573752100</v>
      </c>
      <c r="B276" t="s">
        <v>149</v>
      </c>
      <c r="C276" t="s">
        <v>166</v>
      </c>
      <c r="D276" s="11">
        <v>45677</v>
      </c>
      <c r="E276" t="s">
        <v>16</v>
      </c>
      <c r="F276" t="s">
        <v>12</v>
      </c>
      <c r="G276">
        <v>70012309</v>
      </c>
      <c r="H276">
        <v>4511573752</v>
      </c>
      <c r="I276">
        <v>100</v>
      </c>
      <c r="J276" s="29">
        <v>1</v>
      </c>
      <c r="K276" s="29" t="s">
        <v>1013</v>
      </c>
      <c r="L276" t="str">
        <f>IFERROR(VLOOKUP(Detalle_OC[[#This Row],[Centro]]&amp;Detalle_OC[[#This Row],[Nro Almacen]],Almacen!A:D,4,FALSE),"")</f>
        <v>Montelima</v>
      </c>
    </row>
    <row r="277" spans="1:12" x14ac:dyDescent="0.3">
      <c r="A277" s="29" t="str">
        <f>Detalle_OC[[#This Row],[Centro]]&amp;Detalle_OC[[#This Row],[Nom Almacen]]&amp;Detalle_OC[[#This Row],[Material]]&amp;Detalle_OC[[#This Row],[Pedido]]&amp;Detalle_OC[[#This Row],[Posicion]]</f>
        <v>Agricola del Chira PlantaMontelima700306464511573752110</v>
      </c>
      <c r="B277" t="s">
        <v>149</v>
      </c>
      <c r="C277" t="s">
        <v>166</v>
      </c>
      <c r="D277" s="11">
        <v>45677</v>
      </c>
      <c r="E277" t="s">
        <v>16</v>
      </c>
      <c r="F277" t="s">
        <v>12</v>
      </c>
      <c r="G277">
        <v>70030646</v>
      </c>
      <c r="H277">
        <v>4511573752</v>
      </c>
      <c r="I277">
        <v>110</v>
      </c>
      <c r="J277" s="29">
        <v>1</v>
      </c>
      <c r="K277" s="29" t="s">
        <v>1013</v>
      </c>
      <c r="L277" t="str">
        <f>IFERROR(VLOOKUP(Detalle_OC[[#This Row],[Centro]]&amp;Detalle_OC[[#This Row],[Nro Almacen]],Almacen!A:D,4,FALSE),"")</f>
        <v>Montelima</v>
      </c>
    </row>
    <row r="278" spans="1:12" x14ac:dyDescent="0.3">
      <c r="A278" s="29" t="str">
        <f>Detalle_OC[[#This Row],[Centro]]&amp;Detalle_OC[[#This Row],[Nom Almacen]]&amp;Detalle_OC[[#This Row],[Material]]&amp;Detalle_OC[[#This Row],[Pedido]]&amp;Detalle_OC[[#This Row],[Posicion]]</f>
        <v>Agricola del Chira PlantaMontelima700816264511573752120</v>
      </c>
      <c r="B278" t="s">
        <v>149</v>
      </c>
      <c r="C278" t="s">
        <v>166</v>
      </c>
      <c r="D278" s="11">
        <v>45677</v>
      </c>
      <c r="E278" t="s">
        <v>16</v>
      </c>
      <c r="F278" t="s">
        <v>12</v>
      </c>
      <c r="G278">
        <v>70081626</v>
      </c>
      <c r="H278">
        <v>4511573752</v>
      </c>
      <c r="I278">
        <v>120</v>
      </c>
      <c r="J278" s="29">
        <v>1</v>
      </c>
      <c r="K278" s="29" t="s">
        <v>1013</v>
      </c>
      <c r="L278" t="str">
        <f>IFERROR(VLOOKUP(Detalle_OC[[#This Row],[Centro]]&amp;Detalle_OC[[#This Row],[Nro Almacen]],Almacen!A:D,4,FALSE),"")</f>
        <v>Montelima</v>
      </c>
    </row>
    <row r="279" spans="1:12" x14ac:dyDescent="0.3">
      <c r="A279" s="29" t="str">
        <f>Detalle_OC[[#This Row],[Centro]]&amp;Detalle_OC[[#This Row],[Nom Almacen]]&amp;Detalle_OC[[#This Row],[Material]]&amp;Detalle_OC[[#This Row],[Pedido]]&amp;Detalle_OC[[#This Row],[Posicion]]</f>
        <v>Agricola del Chira PlantaMontelima701302604511573752130</v>
      </c>
      <c r="B279" t="s">
        <v>149</v>
      </c>
      <c r="C279" t="s">
        <v>166</v>
      </c>
      <c r="D279" s="11">
        <v>45677</v>
      </c>
      <c r="E279" t="s">
        <v>16</v>
      </c>
      <c r="F279" t="s">
        <v>12</v>
      </c>
      <c r="G279">
        <v>70130260</v>
      </c>
      <c r="H279">
        <v>4511573752</v>
      </c>
      <c r="I279">
        <v>130</v>
      </c>
      <c r="J279" s="29">
        <v>1</v>
      </c>
      <c r="K279" s="29" t="s">
        <v>1013</v>
      </c>
      <c r="L279" t="str">
        <f>IFERROR(VLOOKUP(Detalle_OC[[#This Row],[Centro]]&amp;Detalle_OC[[#This Row],[Nro Almacen]],Almacen!A:D,4,FALSE),"")</f>
        <v>Montelima</v>
      </c>
    </row>
    <row r="280" spans="1:12" x14ac:dyDescent="0.3">
      <c r="A280" s="29" t="str">
        <f>Detalle_OC[[#This Row],[Centro]]&amp;Detalle_OC[[#This Row],[Nom Almacen]]&amp;Detalle_OC[[#This Row],[Material]]&amp;Detalle_OC[[#This Row],[Pedido]]&amp;Detalle_OC[[#This Row],[Posicion]]</f>
        <v>Agricola del Chira PlantaMontelimaCB230B1402047     4511573752140</v>
      </c>
      <c r="B280" t="s">
        <v>149</v>
      </c>
      <c r="C280" t="s">
        <v>166</v>
      </c>
      <c r="D280" s="11">
        <v>45677</v>
      </c>
      <c r="E280" t="s">
        <v>16</v>
      </c>
      <c r="F280" t="s">
        <v>12</v>
      </c>
      <c r="G280" t="s">
        <v>967</v>
      </c>
      <c r="H280">
        <v>4511573752</v>
      </c>
      <c r="I280">
        <v>140</v>
      </c>
      <c r="J280" s="29">
        <v>1</v>
      </c>
      <c r="K280" s="29" t="s">
        <v>1013</v>
      </c>
      <c r="L280" t="str">
        <f>IFERROR(VLOOKUP(Detalle_OC[[#This Row],[Centro]]&amp;Detalle_OC[[#This Row],[Nro Almacen]],Almacen!A:D,4,FALSE),"")</f>
        <v>Montelima</v>
      </c>
    </row>
    <row r="281" spans="1:12" x14ac:dyDescent="0.3">
      <c r="A281" s="29" t="str">
        <f>Detalle_OC[[#This Row],[Centro]]&amp;Detalle_OC[[#This Row],[Nom Almacen]]&amp;Detalle_OC[[#This Row],[Material]]&amp;Detalle_OC[[#This Row],[Pedido]]&amp;Detalle_OC[[#This Row],[Posicion]]</f>
        <v>Agricola del Chira PlantaMontelima700819844511573752150</v>
      </c>
      <c r="B281" t="s">
        <v>149</v>
      </c>
      <c r="C281" t="s">
        <v>166</v>
      </c>
      <c r="D281" s="11">
        <v>45677</v>
      </c>
      <c r="E281" t="s">
        <v>16</v>
      </c>
      <c r="F281" t="s">
        <v>12</v>
      </c>
      <c r="G281">
        <v>70081984</v>
      </c>
      <c r="H281">
        <v>4511573752</v>
      </c>
      <c r="I281">
        <v>150</v>
      </c>
      <c r="J281" s="29">
        <v>1</v>
      </c>
      <c r="K281" s="29" t="s">
        <v>1013</v>
      </c>
      <c r="L281" t="str">
        <f>IFERROR(VLOOKUP(Detalle_OC[[#This Row],[Centro]]&amp;Detalle_OC[[#This Row],[Nro Almacen]],Almacen!A:D,4,FALSE),"")</f>
        <v>Montelima</v>
      </c>
    </row>
    <row r="282" spans="1:12" x14ac:dyDescent="0.3">
      <c r="A282" s="29" t="str">
        <f>Detalle_OC[[#This Row],[Centro]]&amp;Detalle_OC[[#This Row],[Nom Almacen]]&amp;Detalle_OC[[#This Row],[Material]]&amp;Detalle_OC[[#This Row],[Pedido]]&amp;Detalle_OC[[#This Row],[Posicion]]</f>
        <v>Agricola del Chira PlantaAlmacen Lobo8101344511573752160</v>
      </c>
      <c r="B282" t="s">
        <v>149</v>
      </c>
      <c r="C282" t="s">
        <v>166</v>
      </c>
      <c r="D282" s="11">
        <v>45677</v>
      </c>
      <c r="E282" t="s">
        <v>16</v>
      </c>
      <c r="F282" t="s">
        <v>12</v>
      </c>
      <c r="G282">
        <v>810134</v>
      </c>
      <c r="H282">
        <v>4511573752</v>
      </c>
      <c r="I282">
        <v>160</v>
      </c>
      <c r="J282" s="29">
        <v>7</v>
      </c>
      <c r="K282" s="29" t="s">
        <v>1013</v>
      </c>
      <c r="L282" t="str">
        <f>IFERROR(VLOOKUP(Detalle_OC[[#This Row],[Centro]]&amp;Detalle_OC[[#This Row],[Nro Almacen]],Almacen!A:D,4,FALSE),"")</f>
        <v>Almacen Lobo</v>
      </c>
    </row>
    <row r="283" spans="1:12" x14ac:dyDescent="0.3">
      <c r="A283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fábrica869826451157375510</v>
      </c>
      <c r="B283" t="s">
        <v>142</v>
      </c>
      <c r="C283" t="s">
        <v>368</v>
      </c>
      <c r="D283" s="11">
        <v>45677</v>
      </c>
      <c r="E283" t="s">
        <v>16</v>
      </c>
      <c r="F283" t="s">
        <v>85</v>
      </c>
      <c r="G283">
        <v>869826</v>
      </c>
      <c r="H283">
        <v>4511573755</v>
      </c>
      <c r="I283">
        <v>10</v>
      </c>
      <c r="J283" s="29">
        <v>9</v>
      </c>
      <c r="K283" s="29" t="s">
        <v>1013</v>
      </c>
      <c r="L283" t="str">
        <f>IFERROR(VLOOKUP(Detalle_OC[[#This Row],[Centro]]&amp;Detalle_OC[[#This Row],[Nro Almacen]],Almacen!A:D,4,FALSE),"")</f>
        <v>Parada fábrica</v>
      </c>
    </row>
    <row r="284" spans="1:12" x14ac:dyDescent="0.3">
      <c r="A284" s="29" t="str">
        <f>Detalle_OC[[#This Row],[Centro]]&amp;Detalle_OC[[#This Row],[Nom Almacen]]&amp;Detalle_OC[[#This Row],[Material]]&amp;Detalle_OC[[#This Row],[Pedido]]&amp;Detalle_OC[[#This Row],[Posicion]]</f>
        <v>Agricola del Chira PlantaMontelima70019843451157375610</v>
      </c>
      <c r="B284" t="s">
        <v>149</v>
      </c>
      <c r="C284" t="s">
        <v>368</v>
      </c>
      <c r="D284" s="11">
        <v>45677</v>
      </c>
      <c r="E284" t="s">
        <v>16</v>
      </c>
      <c r="F284" t="s">
        <v>12</v>
      </c>
      <c r="G284">
        <v>70019843</v>
      </c>
      <c r="H284">
        <v>4511573756</v>
      </c>
      <c r="I284">
        <v>10</v>
      </c>
      <c r="J284" s="29">
        <v>1</v>
      </c>
      <c r="K284" s="29" t="s">
        <v>1013</v>
      </c>
      <c r="L284" t="str">
        <f>IFERROR(VLOOKUP(Detalle_OC[[#This Row],[Centro]]&amp;Detalle_OC[[#This Row],[Nro Almacen]],Almacen!A:D,4,FALSE),"")</f>
        <v>Montelima</v>
      </c>
    </row>
    <row r="285" spans="1:12" x14ac:dyDescent="0.3">
      <c r="A285" s="29" t="str">
        <f>Detalle_OC[[#This Row],[Centro]]&amp;Detalle_OC[[#This Row],[Nom Almacen]]&amp;Detalle_OC[[#This Row],[Material]]&amp;Detalle_OC[[#This Row],[Pedido]]&amp;Detalle_OC[[#This Row],[Posicion]]</f>
        <v>Agricola del Chira PlantaMontelima70030124451157375620</v>
      </c>
      <c r="B285" t="s">
        <v>149</v>
      </c>
      <c r="C285" t="s">
        <v>368</v>
      </c>
      <c r="D285" s="11">
        <v>45677</v>
      </c>
      <c r="E285" t="s">
        <v>16</v>
      </c>
      <c r="F285" t="s">
        <v>12</v>
      </c>
      <c r="G285">
        <v>70030124</v>
      </c>
      <c r="H285">
        <v>4511573756</v>
      </c>
      <c r="I285">
        <v>20</v>
      </c>
      <c r="J285" s="29">
        <v>1</v>
      </c>
      <c r="K285" s="29" t="s">
        <v>1013</v>
      </c>
      <c r="L285" t="str">
        <f>IFERROR(VLOOKUP(Detalle_OC[[#This Row],[Centro]]&amp;Detalle_OC[[#This Row],[Nro Almacen]],Almacen!A:D,4,FALSE),"")</f>
        <v>Montelima</v>
      </c>
    </row>
    <row r="286" spans="1:12" x14ac:dyDescent="0.3">
      <c r="A286" s="29" t="str">
        <f>Detalle_OC[[#This Row],[Centro]]&amp;Detalle_OC[[#This Row],[Nom Almacen]]&amp;Detalle_OC[[#This Row],[Material]]&amp;Detalle_OC[[#This Row],[Pedido]]&amp;Detalle_OC[[#This Row],[Posicion]]</f>
        <v>Agricola del Chira PlantaAlmacen Lobo70101747451157375630</v>
      </c>
      <c r="B286" t="s">
        <v>149</v>
      </c>
      <c r="C286" t="s">
        <v>368</v>
      </c>
      <c r="D286" s="11">
        <v>45677</v>
      </c>
      <c r="E286" t="s">
        <v>16</v>
      </c>
      <c r="F286" t="s">
        <v>12</v>
      </c>
      <c r="G286">
        <v>70101747</v>
      </c>
      <c r="H286">
        <v>4511573756</v>
      </c>
      <c r="I286">
        <v>30</v>
      </c>
      <c r="J286" s="29">
        <v>7</v>
      </c>
      <c r="K286" s="29" t="s">
        <v>1013</v>
      </c>
      <c r="L286" t="str">
        <f>IFERROR(VLOOKUP(Detalle_OC[[#This Row],[Centro]]&amp;Detalle_OC[[#This Row],[Nro Almacen]],Almacen!A:D,4,FALSE),"")</f>
        <v>Almacen Lobo</v>
      </c>
    </row>
    <row r="287" spans="1:12" x14ac:dyDescent="0.3">
      <c r="A287" s="29" t="str">
        <f>Detalle_OC[[#This Row],[Centro]]&amp;Detalle_OC[[#This Row],[Nom Almacen]]&amp;Detalle_OC[[#This Row],[Material]]&amp;Detalle_OC[[#This Row],[Pedido]]&amp;Detalle_OC[[#This Row],[Posicion]]</f>
        <v>Agricola del Chira PlantaAlmacen Lobo761535451157375640</v>
      </c>
      <c r="B287" t="s">
        <v>26</v>
      </c>
      <c r="C287" t="s">
        <v>368</v>
      </c>
      <c r="D287" s="11">
        <v>45677</v>
      </c>
      <c r="E287" t="s">
        <v>16</v>
      </c>
      <c r="F287" t="s">
        <v>12</v>
      </c>
      <c r="G287">
        <v>761535</v>
      </c>
      <c r="H287">
        <v>4511573756</v>
      </c>
      <c r="I287">
        <v>40</v>
      </c>
      <c r="J287" s="29">
        <v>7</v>
      </c>
      <c r="K287" s="29" t="s">
        <v>1013</v>
      </c>
      <c r="L287" t="str">
        <f>IFERROR(VLOOKUP(Detalle_OC[[#This Row],[Centro]]&amp;Detalle_OC[[#This Row],[Nro Almacen]],Almacen!A:D,4,FALSE),"")</f>
        <v>Almacen Lobo</v>
      </c>
    </row>
    <row r="288" spans="1:12" x14ac:dyDescent="0.3">
      <c r="A288" s="29" t="str">
        <f>Detalle_OC[[#This Row],[Centro]]&amp;Detalle_OC[[#This Row],[Nom Almacen]]&amp;Detalle_OC[[#This Row],[Material]]&amp;Detalle_OC[[#This Row],[Pedido]]&amp;Detalle_OC[[#This Row],[Posicion]]</f>
        <v>Agricola del Chira PlantaLa Huaca8840904511573761100</v>
      </c>
      <c r="B288" t="s">
        <v>26</v>
      </c>
      <c r="C288" t="s">
        <v>32</v>
      </c>
      <c r="D288" s="11">
        <v>45677</v>
      </c>
      <c r="E288" t="s">
        <v>16</v>
      </c>
      <c r="F288" t="s">
        <v>12</v>
      </c>
      <c r="G288">
        <v>884090</v>
      </c>
      <c r="H288">
        <v>4511573761</v>
      </c>
      <c r="I288">
        <v>100</v>
      </c>
      <c r="J288" s="29">
        <v>2</v>
      </c>
      <c r="K288" s="29" t="s">
        <v>1013</v>
      </c>
      <c r="L288" t="str">
        <f>IFERROR(VLOOKUP(Detalle_OC[[#This Row],[Centro]]&amp;Detalle_OC[[#This Row],[Nro Almacen]],Almacen!A:D,4,FALSE),"")</f>
        <v>La Huaca</v>
      </c>
    </row>
    <row r="289" spans="1:12" x14ac:dyDescent="0.3">
      <c r="A289" s="29" t="str">
        <f>Detalle_OC[[#This Row],[Centro]]&amp;Detalle_OC[[#This Row],[Nom Almacen]]&amp;Detalle_OC[[#This Row],[Material]]&amp;Detalle_OC[[#This Row],[Pedido]]&amp;Detalle_OC[[#This Row],[Posicion]]</f>
        <v>Agricola del Chira PlantaLa Huaca8840984511573761110</v>
      </c>
      <c r="B289" t="s">
        <v>26</v>
      </c>
      <c r="C289" t="s">
        <v>32</v>
      </c>
      <c r="D289" s="11">
        <v>45677</v>
      </c>
      <c r="E289" t="s">
        <v>16</v>
      </c>
      <c r="F289" t="s">
        <v>12</v>
      </c>
      <c r="G289">
        <v>884098</v>
      </c>
      <c r="H289">
        <v>4511573761</v>
      </c>
      <c r="I289">
        <v>110</v>
      </c>
      <c r="J289" s="29">
        <v>2</v>
      </c>
      <c r="K289" s="29" t="s">
        <v>1013</v>
      </c>
      <c r="L289" t="str">
        <f>IFERROR(VLOOKUP(Detalle_OC[[#This Row],[Centro]]&amp;Detalle_OC[[#This Row],[Nro Almacen]],Almacen!A:D,4,FALSE),"")</f>
        <v>La Huaca</v>
      </c>
    </row>
    <row r="290" spans="1:12" x14ac:dyDescent="0.3">
      <c r="A290" s="29" t="str">
        <f>Detalle_OC[[#This Row],[Centro]]&amp;Detalle_OC[[#This Row],[Nom Almacen]]&amp;Detalle_OC[[#This Row],[Material]]&amp;Detalle_OC[[#This Row],[Pedido]]&amp;Detalle_OC[[#This Row],[Posicion]]</f>
        <v>Agricola del Chira PlantaLa Huaca8875954511573761120</v>
      </c>
      <c r="B290" t="s">
        <v>26</v>
      </c>
      <c r="C290" t="s">
        <v>32</v>
      </c>
      <c r="D290" s="11">
        <v>45677</v>
      </c>
      <c r="E290" t="s">
        <v>16</v>
      </c>
      <c r="F290" t="s">
        <v>12</v>
      </c>
      <c r="G290">
        <v>887595</v>
      </c>
      <c r="H290">
        <v>4511573761</v>
      </c>
      <c r="I290">
        <v>120</v>
      </c>
      <c r="J290" s="29">
        <v>2</v>
      </c>
      <c r="K290" s="29" t="s">
        <v>1013</v>
      </c>
      <c r="L290" t="str">
        <f>IFERROR(VLOOKUP(Detalle_OC[[#This Row],[Centro]]&amp;Detalle_OC[[#This Row],[Nro Almacen]],Almacen!A:D,4,FALSE),"")</f>
        <v>La Huaca</v>
      </c>
    </row>
    <row r="291" spans="1:12" x14ac:dyDescent="0.3">
      <c r="A291" s="29" t="str">
        <f>Detalle_OC[[#This Row],[Centro]]&amp;Detalle_OC[[#This Row],[Nom Almacen]]&amp;Detalle_OC[[#This Row],[Material]]&amp;Detalle_OC[[#This Row],[Pedido]]&amp;Detalle_OC[[#This Row],[Posicion]]</f>
        <v>Agricola del Chira PlantaLa Huaca8938514511573761130</v>
      </c>
      <c r="B291" t="s">
        <v>26</v>
      </c>
      <c r="C291" t="s">
        <v>32</v>
      </c>
      <c r="D291" s="11">
        <v>45677</v>
      </c>
      <c r="E291" t="s">
        <v>16</v>
      </c>
      <c r="F291" t="s">
        <v>12</v>
      </c>
      <c r="G291">
        <v>893851</v>
      </c>
      <c r="H291">
        <v>4511573761</v>
      </c>
      <c r="I291">
        <v>130</v>
      </c>
      <c r="J291" s="29">
        <v>2</v>
      </c>
      <c r="K291" s="29" t="s">
        <v>1013</v>
      </c>
      <c r="L291" t="str">
        <f>IFERROR(VLOOKUP(Detalle_OC[[#This Row],[Centro]]&amp;Detalle_OC[[#This Row],[Nro Almacen]],Almacen!A:D,4,FALSE),"")</f>
        <v>La Huaca</v>
      </c>
    </row>
    <row r="292" spans="1:12" x14ac:dyDescent="0.3">
      <c r="A292" s="29" t="str">
        <f>Detalle_OC[[#This Row],[Centro]]&amp;Detalle_OC[[#This Row],[Nom Almacen]]&amp;Detalle_OC[[#This Row],[Material]]&amp;Detalle_OC[[#This Row],[Pedido]]&amp;Detalle_OC[[#This Row],[Posicion]]</f>
        <v>Agricola del Chira PlantaLa Huaca8938544511573761140</v>
      </c>
      <c r="B292" t="s">
        <v>26</v>
      </c>
      <c r="C292" t="s">
        <v>32</v>
      </c>
      <c r="D292" s="11">
        <v>45677</v>
      </c>
      <c r="E292" t="s">
        <v>16</v>
      </c>
      <c r="F292" t="s">
        <v>12</v>
      </c>
      <c r="G292">
        <v>893854</v>
      </c>
      <c r="H292">
        <v>4511573761</v>
      </c>
      <c r="I292">
        <v>140</v>
      </c>
      <c r="J292" s="29">
        <v>2</v>
      </c>
      <c r="K292" s="29" t="s">
        <v>1013</v>
      </c>
      <c r="L292" t="str">
        <f>IFERROR(VLOOKUP(Detalle_OC[[#This Row],[Centro]]&amp;Detalle_OC[[#This Row],[Nro Almacen]],Almacen!A:D,4,FALSE),"")</f>
        <v>La Huaca</v>
      </c>
    </row>
    <row r="293" spans="1:12" x14ac:dyDescent="0.3">
      <c r="A293" s="29" t="str">
        <f>Detalle_OC[[#This Row],[Centro]]&amp;Detalle_OC[[#This Row],[Nom Almacen]]&amp;Detalle_OC[[#This Row],[Material]]&amp;Detalle_OC[[#This Row],[Pedido]]&amp;Detalle_OC[[#This Row],[Posicion]]</f>
        <v>Agricola del Chira PlantaLa Huaca700171324511573761150</v>
      </c>
      <c r="B293" t="s">
        <v>26</v>
      </c>
      <c r="C293" t="s">
        <v>32</v>
      </c>
      <c r="D293" s="11">
        <v>45677</v>
      </c>
      <c r="E293" t="s">
        <v>16</v>
      </c>
      <c r="F293" t="s">
        <v>12</v>
      </c>
      <c r="G293">
        <v>70017132</v>
      </c>
      <c r="H293">
        <v>4511573761</v>
      </c>
      <c r="I293">
        <v>150</v>
      </c>
      <c r="J293" s="29">
        <v>2</v>
      </c>
      <c r="K293" s="29" t="s">
        <v>1013</v>
      </c>
      <c r="L293" t="str">
        <f>IFERROR(VLOOKUP(Detalle_OC[[#This Row],[Centro]]&amp;Detalle_OC[[#This Row],[Nro Almacen]],Almacen!A:D,4,FALSE),"")</f>
        <v>La Huaca</v>
      </c>
    </row>
    <row r="294" spans="1:12" x14ac:dyDescent="0.3">
      <c r="A294" s="29" t="str">
        <f>Detalle_OC[[#This Row],[Centro]]&amp;Detalle_OC[[#This Row],[Nom Almacen]]&amp;Detalle_OC[[#This Row],[Material]]&amp;Detalle_OC[[#This Row],[Pedido]]&amp;Detalle_OC[[#This Row],[Posicion]]</f>
        <v>Agricola del Chira PlantaLa Huaca700613504511573761160</v>
      </c>
      <c r="B294" t="s">
        <v>26</v>
      </c>
      <c r="C294" t="s">
        <v>32</v>
      </c>
      <c r="D294" s="11">
        <v>45677</v>
      </c>
      <c r="E294" t="s">
        <v>16</v>
      </c>
      <c r="F294" t="s">
        <v>12</v>
      </c>
      <c r="G294">
        <v>70061350</v>
      </c>
      <c r="H294">
        <v>4511573761</v>
      </c>
      <c r="I294">
        <v>160</v>
      </c>
      <c r="J294" s="29">
        <v>2</v>
      </c>
      <c r="K294" s="29" t="s">
        <v>1013</v>
      </c>
      <c r="L294" t="str">
        <f>IFERROR(VLOOKUP(Detalle_OC[[#This Row],[Centro]]&amp;Detalle_OC[[#This Row],[Nro Almacen]],Almacen!A:D,4,FALSE),"")</f>
        <v>La Huaca</v>
      </c>
    </row>
    <row r="295" spans="1:12" x14ac:dyDescent="0.3">
      <c r="A295" s="29" t="str">
        <f>Detalle_OC[[#This Row],[Centro]]&amp;Detalle_OC[[#This Row],[Nom Almacen]]&amp;Detalle_OC[[#This Row],[Material]]&amp;Detalle_OC[[#This Row],[Pedido]]&amp;Detalle_OC[[#This Row],[Posicion]]</f>
        <v>Agricola del Chira PlantaSan Vicente8009104511573761170</v>
      </c>
      <c r="B295" t="s">
        <v>33</v>
      </c>
      <c r="C295" t="s">
        <v>32</v>
      </c>
      <c r="D295" s="11">
        <v>45677</v>
      </c>
      <c r="E295" t="s">
        <v>16</v>
      </c>
      <c r="F295" t="s">
        <v>12</v>
      </c>
      <c r="G295">
        <v>800910</v>
      </c>
      <c r="H295">
        <v>4511573761</v>
      </c>
      <c r="I295">
        <v>170</v>
      </c>
      <c r="J295" s="29">
        <v>3</v>
      </c>
      <c r="K295" s="29" t="s">
        <v>1013</v>
      </c>
      <c r="L295" t="str">
        <f>IFERROR(VLOOKUP(Detalle_OC[[#This Row],[Centro]]&amp;Detalle_OC[[#This Row],[Nro Almacen]],Almacen!A:D,4,FALSE),"")</f>
        <v>San Vicente</v>
      </c>
    </row>
    <row r="296" spans="1:12" x14ac:dyDescent="0.3">
      <c r="A296" s="29" t="str">
        <f>Detalle_OC[[#This Row],[Centro]]&amp;Detalle_OC[[#This Row],[Nom Almacen]]&amp;Detalle_OC[[#This Row],[Material]]&amp;Detalle_OC[[#This Row],[Pedido]]&amp;Detalle_OC[[#This Row],[Posicion]]</f>
        <v>Agricola del Chira PlantaAlmacen Lobo70034486451157376510</v>
      </c>
      <c r="B296" t="s">
        <v>33</v>
      </c>
      <c r="C296" t="s">
        <v>49</v>
      </c>
      <c r="D296" s="11">
        <v>45672</v>
      </c>
      <c r="E296" t="s">
        <v>16</v>
      </c>
      <c r="F296" t="s">
        <v>12</v>
      </c>
      <c r="G296">
        <v>70034486</v>
      </c>
      <c r="H296">
        <v>4511573765</v>
      </c>
      <c r="I296">
        <v>10</v>
      </c>
      <c r="J296" s="29">
        <v>7</v>
      </c>
      <c r="K296" s="29" t="s">
        <v>1013</v>
      </c>
      <c r="L296" t="str">
        <f>IFERROR(VLOOKUP(Detalle_OC[[#This Row],[Centro]]&amp;Detalle_OC[[#This Row],[Nro Almacen]],Almacen!A:D,4,FALSE),"")</f>
        <v>Almacen Lobo</v>
      </c>
    </row>
    <row r="297" spans="1:12" x14ac:dyDescent="0.3">
      <c r="A297" s="29" t="str">
        <f>Detalle_OC[[#This Row],[Centro]]&amp;Detalle_OC[[#This Row],[Nom Almacen]]&amp;Detalle_OC[[#This Row],[Material]]&amp;Detalle_OC[[#This Row],[Pedido]]&amp;Detalle_OC[[#This Row],[Posicion]]</f>
        <v>Agricola del Chira PlantaSan Vicente825730451157377040</v>
      </c>
      <c r="B297" t="s">
        <v>33</v>
      </c>
      <c r="C297" t="s">
        <v>32</v>
      </c>
      <c r="D297" s="11">
        <v>45677</v>
      </c>
      <c r="E297" t="s">
        <v>16</v>
      </c>
      <c r="F297" t="s">
        <v>12</v>
      </c>
      <c r="G297">
        <v>825730</v>
      </c>
      <c r="H297">
        <v>4511573770</v>
      </c>
      <c r="I297">
        <v>40</v>
      </c>
      <c r="J297" s="29">
        <v>3</v>
      </c>
      <c r="K297" s="29" t="s">
        <v>1013</v>
      </c>
      <c r="L297" t="str">
        <f>IFERROR(VLOOKUP(Detalle_OC[[#This Row],[Centro]]&amp;Detalle_OC[[#This Row],[Nro Almacen]],Almacen!A:D,4,FALSE),"")</f>
        <v>San Vicente</v>
      </c>
    </row>
    <row r="298" spans="1:12" x14ac:dyDescent="0.3">
      <c r="A298" s="29" t="str">
        <f>Detalle_OC[[#This Row],[Centro]]&amp;Detalle_OC[[#This Row],[Nom Almacen]]&amp;Detalle_OC[[#This Row],[Material]]&amp;Detalle_OC[[#This Row],[Pedido]]&amp;Detalle_OC[[#This Row],[Posicion]]</f>
        <v>Agricola del Chira PlantaSan Vicente70077995451157377050</v>
      </c>
      <c r="B298" t="s">
        <v>33</v>
      </c>
      <c r="C298" t="s">
        <v>32</v>
      </c>
      <c r="D298" s="11">
        <v>45677</v>
      </c>
      <c r="E298" t="s">
        <v>16</v>
      </c>
      <c r="F298" t="s">
        <v>12</v>
      </c>
      <c r="G298">
        <v>70077995</v>
      </c>
      <c r="H298">
        <v>4511573770</v>
      </c>
      <c r="I298">
        <v>50</v>
      </c>
      <c r="J298" s="29">
        <v>3</v>
      </c>
      <c r="K298" s="29" t="s">
        <v>1013</v>
      </c>
      <c r="L298" t="str">
        <f>IFERROR(VLOOKUP(Detalle_OC[[#This Row],[Centro]]&amp;Detalle_OC[[#This Row],[Nro Almacen]],Almacen!A:D,4,FALSE),"")</f>
        <v>San Vicente</v>
      </c>
    </row>
    <row r="299" spans="1:12" x14ac:dyDescent="0.3">
      <c r="A299" s="29" t="str">
        <f>Detalle_OC[[#This Row],[Centro]]&amp;Detalle_OC[[#This Row],[Nom Almacen]]&amp;Detalle_OC[[#This Row],[Material]]&amp;Detalle_OC[[#This Row],[Pedido]]&amp;Detalle_OC[[#This Row],[Posicion]]</f>
        <v>Sucroalcolera del Chira PlantaParada fábricaCB230B3140111     451157378110</v>
      </c>
      <c r="B299" t="s">
        <v>142</v>
      </c>
      <c r="C299" t="s">
        <v>42</v>
      </c>
      <c r="D299" s="11">
        <v>45670</v>
      </c>
      <c r="E299" t="s">
        <v>16</v>
      </c>
      <c r="F299" t="s">
        <v>85</v>
      </c>
      <c r="G299" t="s">
        <v>987</v>
      </c>
      <c r="H299">
        <v>4511573781</v>
      </c>
      <c r="I299">
        <v>10</v>
      </c>
      <c r="J299" s="29">
        <v>9</v>
      </c>
      <c r="K299" s="29" t="s">
        <v>1013</v>
      </c>
      <c r="L299" t="str">
        <f>IFERROR(VLOOKUP(Detalle_OC[[#This Row],[Centro]]&amp;Detalle_OC[[#This Row],[Nro Almacen]],Almacen!A:D,4,FALSE),"")</f>
        <v>Parada fábrica</v>
      </c>
    </row>
    <row r="300" spans="1:12" x14ac:dyDescent="0.3">
      <c r="A300" s="29" t="str">
        <f>Detalle_OC[[#This Row],[Centro]]&amp;Detalle_OC[[#This Row],[Nom Almacen]]&amp;Detalle_OC[[#This Row],[Material]]&amp;Detalle_OC[[#This Row],[Pedido]]&amp;Detalle_OC[[#This Row],[Posicion]]</f>
        <v>Agricola del Chira PlantaLa Huaca867439451157378210</v>
      </c>
      <c r="B300" t="s">
        <v>26</v>
      </c>
      <c r="C300" t="s">
        <v>42</v>
      </c>
      <c r="D300" s="11">
        <v>45670</v>
      </c>
      <c r="E300" t="s">
        <v>16</v>
      </c>
      <c r="F300" t="s">
        <v>12</v>
      </c>
      <c r="G300">
        <v>867439</v>
      </c>
      <c r="H300">
        <v>4511573782</v>
      </c>
      <c r="I300">
        <v>10</v>
      </c>
      <c r="J300" s="29">
        <v>2</v>
      </c>
      <c r="K300" s="29" t="s">
        <v>1013</v>
      </c>
      <c r="L300" t="str">
        <f>IFERROR(VLOOKUP(Detalle_OC[[#This Row],[Centro]]&amp;Detalle_OC[[#This Row],[Nro Almacen]],Almacen!A:D,4,FALSE),"")</f>
        <v>La Huaca</v>
      </c>
    </row>
    <row r="301" spans="1:12" x14ac:dyDescent="0.3">
      <c r="A301" s="29" t="str">
        <f>Detalle_OC[[#This Row],[Centro]]&amp;Detalle_OC[[#This Row],[Nom Almacen]]&amp;Detalle_OC[[#This Row],[Material]]&amp;Detalle_OC[[#This Row],[Pedido]]&amp;Detalle_OC[[#This Row],[Posicion]]</f>
        <v>Agricola del Chira PlantaLa Huaca804894451157378520</v>
      </c>
      <c r="B301" t="s">
        <v>26</v>
      </c>
      <c r="C301" t="s">
        <v>32</v>
      </c>
      <c r="D301" s="11">
        <v>45677</v>
      </c>
      <c r="E301" t="s">
        <v>16</v>
      </c>
      <c r="F301" t="s">
        <v>12</v>
      </c>
      <c r="G301">
        <v>804894</v>
      </c>
      <c r="H301">
        <v>4511573785</v>
      </c>
      <c r="I301">
        <v>20</v>
      </c>
      <c r="J301" s="29">
        <v>2</v>
      </c>
      <c r="K301" s="29" t="s">
        <v>1013</v>
      </c>
      <c r="L301" t="str">
        <f>IFERROR(VLOOKUP(Detalle_OC[[#This Row],[Centro]]&amp;Detalle_OC[[#This Row],[Nro Almacen]],Almacen!A:D,4,FALSE),"")</f>
        <v>La Huaca</v>
      </c>
    </row>
    <row r="302" spans="1:12" x14ac:dyDescent="0.3">
      <c r="A302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302" t="s">
        <v>28</v>
      </c>
      <c r="C302" t="s">
        <v>94</v>
      </c>
      <c r="D302" s="11">
        <v>45657</v>
      </c>
      <c r="E302" t="s">
        <v>16</v>
      </c>
      <c r="F302" t="s">
        <v>85</v>
      </c>
      <c r="G302" t="s">
        <v>95</v>
      </c>
      <c r="H302">
        <v>5500024746</v>
      </c>
      <c r="I302">
        <v>10</v>
      </c>
      <c r="J302" s="29">
        <v>1</v>
      </c>
      <c r="K302" s="29" t="s">
        <v>1013</v>
      </c>
      <c r="L302" t="str">
        <f>IFERROR(VLOOKUP(Detalle_OC[[#This Row],[Centro]]&amp;Detalle_OC[[#This Row],[Nro Almacen]],Almacen!A:D,4,FALSE),"")</f>
        <v>Montelima</v>
      </c>
    </row>
    <row r="303" spans="1:12" x14ac:dyDescent="0.3">
      <c r="A303" s="29" t="str">
        <f>Detalle_OC[[#This Row],[Centro]]&amp;Detalle_OC[[#This Row],[Nom Almacen]]&amp;Detalle_OC[[#This Row],[Material]]&amp;Detalle_OC[[#This Row],[Pedido]]&amp;Detalle_OC[[#This Row],[Posicion]]</f>
        <v>Sucroalcolera del Chira PlantaMontelima721669550002485620</v>
      </c>
      <c r="B303" t="s">
        <v>28</v>
      </c>
      <c r="C303" t="s">
        <v>96</v>
      </c>
      <c r="D303" s="11">
        <v>45674</v>
      </c>
      <c r="E303" t="s">
        <v>16</v>
      </c>
      <c r="F303" t="s">
        <v>85</v>
      </c>
      <c r="G303">
        <v>721669</v>
      </c>
      <c r="H303">
        <v>5500024856</v>
      </c>
      <c r="I303">
        <v>20</v>
      </c>
      <c r="J303" s="29">
        <v>1</v>
      </c>
      <c r="K303" s="29" t="s">
        <v>1013</v>
      </c>
      <c r="L303" t="str">
        <f>IFERROR(VLOOKUP(Detalle_OC[[#This Row],[Centro]]&amp;Detalle_OC[[#This Row],[Nro Almacen]],Almacen!A:D,4,FALSE),"")</f>
        <v>Montelima</v>
      </c>
    </row>
    <row r="304" spans="1:12" x14ac:dyDescent="0.3">
      <c r="A304" s="29" t="str">
        <f>Detalle_OC[[#This Row],[Centro]]&amp;Detalle_OC[[#This Row],[Nom Almacen]]&amp;Detalle_OC[[#This Row],[Material]]&amp;Detalle_OC[[#This Row],[Pedido]]&amp;Detalle_OC[[#This Row],[Posicion]]</f>
        <v>Sucroalcolera del Chira PlantaMontelima700440065500024856140</v>
      </c>
      <c r="B304" t="s">
        <v>28</v>
      </c>
      <c r="C304" t="s">
        <v>96</v>
      </c>
      <c r="D304" s="11">
        <v>45665</v>
      </c>
      <c r="E304" t="s">
        <v>16</v>
      </c>
      <c r="F304" t="s">
        <v>85</v>
      </c>
      <c r="G304">
        <v>70044006</v>
      </c>
      <c r="H304">
        <v>5500024856</v>
      </c>
      <c r="I304">
        <v>140</v>
      </c>
      <c r="J304" s="29">
        <v>1</v>
      </c>
      <c r="K304" s="29" t="s">
        <v>1013</v>
      </c>
      <c r="L304" t="str">
        <f>IFERROR(VLOOKUP(Detalle_OC[[#This Row],[Centro]]&amp;Detalle_OC[[#This Row],[Nro Almacen]],Almacen!A:D,4,FALSE),"")</f>
        <v>Montelima</v>
      </c>
    </row>
    <row r="305" spans="1:12" x14ac:dyDescent="0.3">
      <c r="A305" s="29" t="str">
        <f>Detalle_OC[[#This Row],[Centro]]&amp;Detalle_OC[[#This Row],[Nom Almacen]]&amp;Detalle_OC[[#This Row],[Material]]&amp;Detalle_OC[[#This Row],[Pedido]]&amp;Detalle_OC[[#This Row],[Posicion]]</f>
        <v>Agricola del Chira PlantaMontelima841944451157367610</v>
      </c>
      <c r="B305" t="s">
        <v>149</v>
      </c>
      <c r="C305" t="s">
        <v>166</v>
      </c>
      <c r="D305" s="11">
        <v>45674</v>
      </c>
      <c r="E305" t="s">
        <v>16</v>
      </c>
      <c r="F305" t="s">
        <v>12</v>
      </c>
      <c r="G305">
        <v>841944</v>
      </c>
      <c r="H305">
        <v>4511573676</v>
      </c>
      <c r="I305">
        <v>10</v>
      </c>
      <c r="J305" s="29">
        <v>1</v>
      </c>
      <c r="K305" s="29" t="s">
        <v>1018</v>
      </c>
      <c r="L305" t="str">
        <f>IFERROR(VLOOKUP(Detalle_OC[[#This Row],[Centro]]&amp;Detalle_OC[[#This Row],[Nro Almacen]],Almacen!A:D,4,FALSE),"")</f>
        <v>Montelima</v>
      </c>
    </row>
    <row r="306" spans="1:12" x14ac:dyDescent="0.3">
      <c r="A306" s="29" t="str">
        <f>Detalle_OC[[#This Row],[Centro]]&amp;Detalle_OC[[#This Row],[Nom Almacen]]&amp;Detalle_OC[[#This Row],[Material]]&amp;Detalle_OC[[#This Row],[Pedido]]&amp;Detalle_OC[[#This Row],[Posicion]]</f>
        <v>Agricola del Chira PlantaMontelimaCB230BCC00317     451157367620</v>
      </c>
      <c r="B306" t="s">
        <v>149</v>
      </c>
      <c r="C306" t="s">
        <v>166</v>
      </c>
      <c r="D306" s="11">
        <v>45674</v>
      </c>
      <c r="E306" t="s">
        <v>16</v>
      </c>
      <c r="F306" t="s">
        <v>12</v>
      </c>
      <c r="G306" t="s">
        <v>969</v>
      </c>
      <c r="H306">
        <v>4511573676</v>
      </c>
      <c r="I306">
        <v>20</v>
      </c>
      <c r="J306" s="29">
        <v>1</v>
      </c>
      <c r="K306" s="29" t="s">
        <v>1018</v>
      </c>
      <c r="L306" t="str">
        <f>IFERROR(VLOOKUP(Detalle_OC[[#This Row],[Centro]]&amp;Detalle_OC[[#This Row],[Nro Almacen]],Almacen!A:D,4,FALSE),"")</f>
        <v>Montelima</v>
      </c>
    </row>
    <row r="307" spans="1:12" x14ac:dyDescent="0.3">
      <c r="A307" s="29" t="str">
        <f>Detalle_OC[[#This Row],[Centro]]&amp;Detalle_OC[[#This Row],[Nom Almacen]]&amp;Detalle_OC[[#This Row],[Material]]&amp;Detalle_OC[[#This Row],[Pedido]]&amp;Detalle_OC[[#This Row],[Posicion]]</f>
        <v>Agricola del Chira PlantaMontelima701020451157367710</v>
      </c>
      <c r="B307" t="s">
        <v>15</v>
      </c>
      <c r="C307" t="s">
        <v>96</v>
      </c>
      <c r="D307" s="11">
        <v>45667</v>
      </c>
      <c r="E307" t="s">
        <v>16</v>
      </c>
      <c r="F307" t="s">
        <v>12</v>
      </c>
      <c r="G307">
        <v>701020</v>
      </c>
      <c r="H307">
        <v>4511573677</v>
      </c>
      <c r="I307">
        <v>10</v>
      </c>
      <c r="J307" s="29">
        <v>1</v>
      </c>
      <c r="K307" s="29" t="s">
        <v>1018</v>
      </c>
      <c r="L307" t="str">
        <f>IFERROR(VLOOKUP(Detalle_OC[[#This Row],[Centro]]&amp;Detalle_OC[[#This Row],[Nro Almacen]],Almacen!A:D,4,FALSE),"")</f>
        <v>Montelima</v>
      </c>
    </row>
    <row r="308" spans="1:12" x14ac:dyDescent="0.3">
      <c r="A308" s="29" t="str">
        <f>Detalle_OC[[#This Row],[Centro]]&amp;Detalle_OC[[#This Row],[Nom Almacen]]&amp;Detalle_OC[[#This Row],[Material]]&amp;Detalle_OC[[#This Row],[Pedido]]&amp;Detalle_OC[[#This Row],[Posicion]]</f>
        <v>Agricola del Chira PlantaMontelima721784451157367720</v>
      </c>
      <c r="B308" t="s">
        <v>15</v>
      </c>
      <c r="C308" t="s">
        <v>96</v>
      </c>
      <c r="D308" s="11">
        <v>45667</v>
      </c>
      <c r="E308" t="s">
        <v>16</v>
      </c>
      <c r="F308" t="s">
        <v>12</v>
      </c>
      <c r="G308">
        <v>721784</v>
      </c>
      <c r="H308">
        <v>4511573677</v>
      </c>
      <c r="I308">
        <v>20</v>
      </c>
      <c r="J308" s="29">
        <v>1</v>
      </c>
      <c r="K308" s="29" t="s">
        <v>1018</v>
      </c>
      <c r="L308" t="str">
        <f>IFERROR(VLOOKUP(Detalle_OC[[#This Row],[Centro]]&amp;Detalle_OC[[#This Row],[Nro Almacen]],Almacen!A:D,4,FALSE),"")</f>
        <v>Montelima</v>
      </c>
    </row>
    <row r="309" spans="1:12" x14ac:dyDescent="0.3">
      <c r="A309" s="29" t="str">
        <f>Detalle_OC[[#This Row],[Centro]]&amp;Detalle_OC[[#This Row],[Nom Almacen]]&amp;Detalle_OC[[#This Row],[Material]]&amp;Detalle_OC[[#This Row],[Pedido]]&amp;Detalle_OC[[#This Row],[Posicion]]</f>
        <v>Agricola del Chira PlantaMontelima747055451157367730</v>
      </c>
      <c r="B309" t="s">
        <v>15</v>
      </c>
      <c r="C309" t="s">
        <v>96</v>
      </c>
      <c r="D309" s="11">
        <v>45667</v>
      </c>
      <c r="E309" t="s">
        <v>16</v>
      </c>
      <c r="F309" t="s">
        <v>12</v>
      </c>
      <c r="G309">
        <v>747055</v>
      </c>
      <c r="H309">
        <v>4511573677</v>
      </c>
      <c r="I309">
        <v>30</v>
      </c>
      <c r="J309" s="29">
        <v>1</v>
      </c>
      <c r="K309" s="29" t="s">
        <v>1018</v>
      </c>
      <c r="L309" t="str">
        <f>IFERROR(VLOOKUP(Detalle_OC[[#This Row],[Centro]]&amp;Detalle_OC[[#This Row],[Nro Almacen]],Almacen!A:D,4,FALSE),"")</f>
        <v>Montelima</v>
      </c>
    </row>
    <row r="310" spans="1:12" x14ac:dyDescent="0.3">
      <c r="A310" s="29" t="str">
        <f>Detalle_OC[[#This Row],[Centro]]&amp;Detalle_OC[[#This Row],[Nom Almacen]]&amp;Detalle_OC[[#This Row],[Material]]&amp;Detalle_OC[[#This Row],[Pedido]]&amp;Detalle_OC[[#This Row],[Posicion]]</f>
        <v>Agricola del Chira PlantaMontelima778146451157367740</v>
      </c>
      <c r="B310" t="s">
        <v>15</v>
      </c>
      <c r="C310" t="s">
        <v>96</v>
      </c>
      <c r="D310" s="11">
        <v>45667</v>
      </c>
      <c r="E310" t="s">
        <v>16</v>
      </c>
      <c r="F310" t="s">
        <v>12</v>
      </c>
      <c r="G310">
        <v>778146</v>
      </c>
      <c r="H310">
        <v>4511573677</v>
      </c>
      <c r="I310">
        <v>40</v>
      </c>
      <c r="J310" s="29">
        <v>1</v>
      </c>
      <c r="K310" s="29" t="s">
        <v>1018</v>
      </c>
      <c r="L310" t="str">
        <f>IFERROR(VLOOKUP(Detalle_OC[[#This Row],[Centro]]&amp;Detalle_OC[[#This Row],[Nro Almacen]],Almacen!A:D,4,FALSE),"")</f>
        <v>Montelima</v>
      </c>
    </row>
    <row r="311" spans="1:12" x14ac:dyDescent="0.3">
      <c r="A311" s="29" t="str">
        <f>Detalle_OC[[#This Row],[Centro]]&amp;Detalle_OC[[#This Row],[Nom Almacen]]&amp;Detalle_OC[[#This Row],[Material]]&amp;Detalle_OC[[#This Row],[Pedido]]&amp;Detalle_OC[[#This Row],[Posicion]]</f>
        <v>Agricola del Chira PlantaAlmacen Lobo70044042451157367760</v>
      </c>
      <c r="B311" t="s">
        <v>15</v>
      </c>
      <c r="C311" t="s">
        <v>96</v>
      </c>
      <c r="D311" s="11">
        <v>45667</v>
      </c>
      <c r="E311" t="s">
        <v>16</v>
      </c>
      <c r="F311" t="s">
        <v>12</v>
      </c>
      <c r="G311">
        <v>70044042</v>
      </c>
      <c r="H311">
        <v>4511573677</v>
      </c>
      <c r="I311">
        <v>60</v>
      </c>
      <c r="J311" s="29">
        <v>7</v>
      </c>
      <c r="K311" s="29" t="s">
        <v>1018</v>
      </c>
      <c r="L311" t="str">
        <f>IFERROR(VLOOKUP(Detalle_OC[[#This Row],[Centro]]&amp;Detalle_OC[[#This Row],[Nro Almacen]],Almacen!A:D,4,FALSE),"")</f>
        <v>Almacen Lobo</v>
      </c>
    </row>
    <row r="312" spans="1:12" x14ac:dyDescent="0.3">
      <c r="A312" s="29" t="str">
        <f>Detalle_OC[[#This Row],[Centro]]&amp;Detalle_OC[[#This Row],[Nom Almacen]]&amp;Detalle_OC[[#This Row],[Material]]&amp;Detalle_OC[[#This Row],[Pedido]]&amp;Detalle_OC[[#This Row],[Posicion]]</f>
        <v>Agricola del Chira PlantaAlmacen Lobo70044043451157367770</v>
      </c>
      <c r="B312" t="s">
        <v>15</v>
      </c>
      <c r="C312" t="s">
        <v>96</v>
      </c>
      <c r="D312" s="11">
        <v>45667</v>
      </c>
      <c r="E312" t="s">
        <v>16</v>
      </c>
      <c r="F312" t="s">
        <v>12</v>
      </c>
      <c r="G312">
        <v>70044043</v>
      </c>
      <c r="H312">
        <v>4511573677</v>
      </c>
      <c r="I312">
        <v>70</v>
      </c>
      <c r="J312" s="29">
        <v>7</v>
      </c>
      <c r="K312" s="29" t="s">
        <v>1018</v>
      </c>
      <c r="L312" t="str">
        <f>IFERROR(VLOOKUP(Detalle_OC[[#This Row],[Centro]]&amp;Detalle_OC[[#This Row],[Nro Almacen]],Almacen!A:D,4,FALSE),"")</f>
        <v>Almacen Lobo</v>
      </c>
    </row>
    <row r="313" spans="1:12" x14ac:dyDescent="0.3">
      <c r="A313" s="29" t="str">
        <f>Detalle_OC[[#This Row],[Centro]]&amp;Detalle_OC[[#This Row],[Nom Almacen]]&amp;Detalle_OC[[#This Row],[Material]]&amp;Detalle_OC[[#This Row],[Pedido]]&amp;Detalle_OC[[#This Row],[Posicion]]</f>
        <v>Sucroalcolera del Chira PlantaMontelima749427451157367820</v>
      </c>
      <c r="B313" t="s">
        <v>202</v>
      </c>
      <c r="C313" t="s">
        <v>272</v>
      </c>
      <c r="D313" s="11">
        <v>45674</v>
      </c>
      <c r="E313" t="s">
        <v>16</v>
      </c>
      <c r="F313" t="s">
        <v>85</v>
      </c>
      <c r="G313">
        <v>749427</v>
      </c>
      <c r="H313">
        <v>4511573678</v>
      </c>
      <c r="I313">
        <v>20</v>
      </c>
      <c r="J313" s="29">
        <v>1</v>
      </c>
      <c r="K313" s="29" t="s">
        <v>1018</v>
      </c>
      <c r="L313" t="str">
        <f>IFERROR(VLOOKUP(Detalle_OC[[#This Row],[Centro]]&amp;Detalle_OC[[#This Row],[Nro Almacen]],Almacen!A:D,4,FALSE),"")</f>
        <v>Montelima</v>
      </c>
    </row>
    <row r="314" spans="1:12" x14ac:dyDescent="0.3">
      <c r="A314" s="29" t="str">
        <f>Detalle_OC[[#This Row],[Centro]]&amp;Detalle_OC[[#This Row],[Nom Almacen]]&amp;Detalle_OC[[#This Row],[Material]]&amp;Detalle_OC[[#This Row],[Pedido]]&amp;Detalle_OC[[#This Row],[Posicion]]</f>
        <v>Sucroalcolera del Chira PlantaMontelima769389451157367830</v>
      </c>
      <c r="B314" t="s">
        <v>138</v>
      </c>
      <c r="C314" t="s">
        <v>272</v>
      </c>
      <c r="D314" s="11">
        <v>45674</v>
      </c>
      <c r="E314" t="s">
        <v>16</v>
      </c>
      <c r="F314" t="s">
        <v>85</v>
      </c>
      <c r="G314">
        <v>769389</v>
      </c>
      <c r="H314">
        <v>4511573678</v>
      </c>
      <c r="I314">
        <v>30</v>
      </c>
      <c r="J314" s="29">
        <v>1</v>
      </c>
      <c r="K314" s="29" t="s">
        <v>1018</v>
      </c>
      <c r="L314" t="str">
        <f>IFERROR(VLOOKUP(Detalle_OC[[#This Row],[Centro]]&amp;Detalle_OC[[#This Row],[Nro Almacen]],Almacen!A:D,4,FALSE),"")</f>
        <v>Montelima</v>
      </c>
    </row>
    <row r="315" spans="1:12" x14ac:dyDescent="0.3">
      <c r="A315" s="29" t="str">
        <f>Detalle_OC[[#This Row],[Centro]]&amp;Detalle_OC[[#This Row],[Nom Almacen]]&amp;Detalle_OC[[#This Row],[Material]]&amp;Detalle_OC[[#This Row],[Pedido]]&amp;Detalle_OC[[#This Row],[Posicion]]</f>
        <v>Sucroalcolera del Chira PlantaMontelima828243451157367840</v>
      </c>
      <c r="B315" t="s">
        <v>202</v>
      </c>
      <c r="C315" t="s">
        <v>272</v>
      </c>
      <c r="D315" s="11">
        <v>45674</v>
      </c>
      <c r="E315" t="s">
        <v>16</v>
      </c>
      <c r="F315" t="s">
        <v>85</v>
      </c>
      <c r="G315">
        <v>828243</v>
      </c>
      <c r="H315">
        <v>4511573678</v>
      </c>
      <c r="I315">
        <v>40</v>
      </c>
      <c r="J315" s="29">
        <v>1</v>
      </c>
      <c r="K315" s="29" t="s">
        <v>1018</v>
      </c>
      <c r="L315" t="str">
        <f>IFERROR(VLOOKUP(Detalle_OC[[#This Row],[Centro]]&amp;Detalle_OC[[#This Row],[Nro Almacen]],Almacen!A:D,4,FALSE),"")</f>
        <v>Montelima</v>
      </c>
    </row>
    <row r="316" spans="1:12" x14ac:dyDescent="0.3">
      <c r="A316" s="29" t="str">
        <f>Detalle_OC[[#This Row],[Centro]]&amp;Detalle_OC[[#This Row],[Nom Almacen]]&amp;Detalle_OC[[#This Row],[Material]]&amp;Detalle_OC[[#This Row],[Pedido]]&amp;Detalle_OC[[#This Row],[Posicion]]</f>
        <v>Sucroalcolera del Chira PlantaMontelima828243451157367850</v>
      </c>
      <c r="B316" t="s">
        <v>202</v>
      </c>
      <c r="C316" t="s">
        <v>272</v>
      </c>
      <c r="D316" s="11">
        <v>45674</v>
      </c>
      <c r="E316" t="s">
        <v>16</v>
      </c>
      <c r="F316" t="s">
        <v>85</v>
      </c>
      <c r="G316">
        <v>828243</v>
      </c>
      <c r="H316">
        <v>4511573678</v>
      </c>
      <c r="I316">
        <v>50</v>
      </c>
      <c r="J316" s="29">
        <v>1</v>
      </c>
      <c r="K316" s="29" t="s">
        <v>1018</v>
      </c>
      <c r="L316" t="str">
        <f>IFERROR(VLOOKUP(Detalle_OC[[#This Row],[Centro]]&amp;Detalle_OC[[#This Row],[Nro Almacen]],Almacen!A:D,4,FALSE),"")</f>
        <v>Montelima</v>
      </c>
    </row>
    <row r="317" spans="1:12" x14ac:dyDescent="0.3">
      <c r="A317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fábrica704643451157367860</v>
      </c>
      <c r="B317" t="s">
        <v>142</v>
      </c>
      <c r="C317" t="s">
        <v>272</v>
      </c>
      <c r="D317" s="11">
        <v>45674</v>
      </c>
      <c r="E317" t="s">
        <v>16</v>
      </c>
      <c r="F317" t="s">
        <v>85</v>
      </c>
      <c r="G317">
        <v>704643</v>
      </c>
      <c r="H317">
        <v>4511573678</v>
      </c>
      <c r="I317">
        <v>60</v>
      </c>
      <c r="J317" s="29">
        <v>9</v>
      </c>
      <c r="K317" s="29" t="s">
        <v>1018</v>
      </c>
      <c r="L317" t="str">
        <f>IFERROR(VLOOKUP(Detalle_OC[[#This Row],[Centro]]&amp;Detalle_OC[[#This Row],[Nro Almacen]],Almacen!A:D,4,FALSE),"")</f>
        <v>Parada fábrica</v>
      </c>
    </row>
    <row r="318" spans="1:12" x14ac:dyDescent="0.3">
      <c r="A318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fábrica777268451157367880</v>
      </c>
      <c r="B318" t="s">
        <v>142</v>
      </c>
      <c r="C318" t="s">
        <v>272</v>
      </c>
      <c r="D318" s="11">
        <v>45674</v>
      </c>
      <c r="E318" t="s">
        <v>16</v>
      </c>
      <c r="F318" t="s">
        <v>85</v>
      </c>
      <c r="G318">
        <v>777268</v>
      </c>
      <c r="H318">
        <v>4511573678</v>
      </c>
      <c r="I318">
        <v>80</v>
      </c>
      <c r="J318" s="29">
        <v>9</v>
      </c>
      <c r="K318" s="29" t="s">
        <v>1018</v>
      </c>
      <c r="L318" t="str">
        <f>IFERROR(VLOOKUP(Detalle_OC[[#This Row],[Centro]]&amp;Detalle_OC[[#This Row],[Nro Almacen]],Almacen!A:D,4,FALSE),"")</f>
        <v>Parada fábrica</v>
      </c>
    </row>
    <row r="319" spans="1:12" x14ac:dyDescent="0.3">
      <c r="A319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fábrica70036501451157367890</v>
      </c>
      <c r="B319" t="s">
        <v>142</v>
      </c>
      <c r="C319" t="s">
        <v>272</v>
      </c>
      <c r="D319" s="11">
        <v>45674</v>
      </c>
      <c r="E319" t="s">
        <v>16</v>
      </c>
      <c r="F319" t="s">
        <v>85</v>
      </c>
      <c r="G319">
        <v>70036501</v>
      </c>
      <c r="H319">
        <v>4511573678</v>
      </c>
      <c r="I319">
        <v>90</v>
      </c>
      <c r="J319" s="29">
        <v>9</v>
      </c>
      <c r="K319" s="29" t="s">
        <v>1018</v>
      </c>
      <c r="L319" t="str">
        <f>IFERROR(VLOOKUP(Detalle_OC[[#This Row],[Centro]]&amp;Detalle_OC[[#This Row],[Nro Almacen]],Almacen!A:D,4,FALSE),"")</f>
        <v>Parada fábrica</v>
      </c>
    </row>
    <row r="320" spans="1:12" x14ac:dyDescent="0.3">
      <c r="A320" s="29" t="str">
        <f>Detalle_OC[[#This Row],[Centro]]&amp;Detalle_OC[[#This Row],[Nom Almacen]]&amp;Detalle_OC[[#This Row],[Material]]&amp;Detalle_OC[[#This Row],[Pedido]]&amp;Detalle_OC[[#This Row],[Posicion]]</f>
        <v>Agricola del Chira PlantaMontelima815801451157367910</v>
      </c>
      <c r="B320" t="s">
        <v>149</v>
      </c>
      <c r="C320" t="s">
        <v>272</v>
      </c>
      <c r="D320" s="11">
        <v>45674</v>
      </c>
      <c r="E320" t="s">
        <v>16</v>
      </c>
      <c r="F320" t="s">
        <v>12</v>
      </c>
      <c r="G320">
        <v>815801</v>
      </c>
      <c r="H320">
        <v>4511573679</v>
      </c>
      <c r="I320">
        <v>10</v>
      </c>
      <c r="J320" s="29">
        <v>1</v>
      </c>
      <c r="K320" s="29" t="s">
        <v>1018</v>
      </c>
      <c r="L320" t="str">
        <f>IFERROR(VLOOKUP(Detalle_OC[[#This Row],[Centro]]&amp;Detalle_OC[[#This Row],[Nro Almacen]],Almacen!A:D,4,FALSE),"")</f>
        <v>Montelima</v>
      </c>
    </row>
    <row r="321" spans="1:12" x14ac:dyDescent="0.3">
      <c r="A321" s="29" t="str">
        <f>Detalle_OC[[#This Row],[Centro]]&amp;Detalle_OC[[#This Row],[Nom Almacen]]&amp;Detalle_OC[[#This Row],[Material]]&amp;Detalle_OC[[#This Row],[Pedido]]&amp;Detalle_OC[[#This Row],[Posicion]]</f>
        <v>Bioenergía del Chira PlantaParada fábrica724696451157368010</v>
      </c>
      <c r="B321" t="s">
        <v>196</v>
      </c>
      <c r="C321" t="s">
        <v>272</v>
      </c>
      <c r="D321" s="11">
        <v>45674</v>
      </c>
      <c r="E321" t="s">
        <v>16</v>
      </c>
      <c r="F321" t="s">
        <v>86</v>
      </c>
      <c r="G321">
        <v>724696</v>
      </c>
      <c r="H321">
        <v>4511573680</v>
      </c>
      <c r="I321">
        <v>10</v>
      </c>
      <c r="J321" s="29">
        <v>4</v>
      </c>
      <c r="K321" s="29" t="s">
        <v>1018</v>
      </c>
      <c r="L321" t="str">
        <f>IFERROR(VLOOKUP(Detalle_OC[[#This Row],[Centro]]&amp;Detalle_OC[[#This Row],[Nro Almacen]],Almacen!A:D,4,FALSE),"")</f>
        <v>Parada fábrica</v>
      </c>
    </row>
    <row r="322" spans="1:12" x14ac:dyDescent="0.3">
      <c r="A322" s="29" t="str">
        <f>Detalle_OC[[#This Row],[Centro]]&amp;Detalle_OC[[#This Row],[Nom Almacen]]&amp;Detalle_OC[[#This Row],[Material]]&amp;Detalle_OC[[#This Row],[Pedido]]&amp;Detalle_OC[[#This Row],[Posicion]]</f>
        <v>Sucroalcolera del Chira PlantaMontelima782294451157368110</v>
      </c>
      <c r="B322" t="s">
        <v>15</v>
      </c>
      <c r="C322" t="s">
        <v>96</v>
      </c>
      <c r="D322" s="11">
        <v>45667</v>
      </c>
      <c r="E322" t="s">
        <v>16</v>
      </c>
      <c r="F322" t="s">
        <v>85</v>
      </c>
      <c r="G322">
        <v>782294</v>
      </c>
      <c r="H322">
        <v>4511573681</v>
      </c>
      <c r="I322">
        <v>10</v>
      </c>
      <c r="J322" s="29">
        <v>1</v>
      </c>
      <c r="K322" s="29" t="s">
        <v>1018</v>
      </c>
      <c r="L322" t="str">
        <f>IFERROR(VLOOKUP(Detalle_OC[[#This Row],[Centro]]&amp;Detalle_OC[[#This Row],[Nro Almacen]],Almacen!A:D,4,FALSE),"")</f>
        <v>Montelima</v>
      </c>
    </row>
    <row r="323" spans="1:12" x14ac:dyDescent="0.3">
      <c r="A323" s="29" t="str">
        <f>Detalle_OC[[#This Row],[Centro]]&amp;Detalle_OC[[#This Row],[Nom Almacen]]&amp;Detalle_OC[[#This Row],[Material]]&amp;Detalle_OC[[#This Row],[Pedido]]&amp;Detalle_OC[[#This Row],[Posicion]]</f>
        <v>Sucroalcolera del Chira PlantaMontelimaCC73002942        451157368120</v>
      </c>
      <c r="B323" t="s">
        <v>15</v>
      </c>
      <c r="C323" t="s">
        <v>96</v>
      </c>
      <c r="D323" s="11">
        <v>45667</v>
      </c>
      <c r="E323" t="s">
        <v>16</v>
      </c>
      <c r="F323" t="s">
        <v>85</v>
      </c>
      <c r="G323" t="s">
        <v>170</v>
      </c>
      <c r="H323">
        <v>4511573681</v>
      </c>
      <c r="I323">
        <v>20</v>
      </c>
      <c r="J323" s="29">
        <v>1</v>
      </c>
      <c r="K323" s="29" t="s">
        <v>1018</v>
      </c>
      <c r="L323" t="str">
        <f>IFERROR(VLOOKUP(Detalle_OC[[#This Row],[Centro]]&amp;Detalle_OC[[#This Row],[Nro Almacen]],Almacen!A:D,4,FALSE),"")</f>
        <v>Montelima</v>
      </c>
    </row>
    <row r="324" spans="1:12" x14ac:dyDescent="0.3">
      <c r="A324" s="29" t="str">
        <f>Detalle_OC[[#This Row],[Centro]]&amp;Detalle_OC[[#This Row],[Nom Almacen]]&amp;Detalle_OC[[#This Row],[Material]]&amp;Detalle_OC[[#This Row],[Pedido]]&amp;Detalle_OC[[#This Row],[Posicion]]</f>
        <v>Agricola del Chira PlantaMontelima831093451157368310</v>
      </c>
      <c r="B324" t="s">
        <v>328</v>
      </c>
      <c r="C324" t="s">
        <v>278</v>
      </c>
      <c r="D324" s="11">
        <v>45677</v>
      </c>
      <c r="E324" t="s">
        <v>16</v>
      </c>
      <c r="F324" t="s">
        <v>12</v>
      </c>
      <c r="G324">
        <v>831093</v>
      </c>
      <c r="H324">
        <v>4511573683</v>
      </c>
      <c r="I324">
        <v>10</v>
      </c>
      <c r="J324" s="29">
        <v>1</v>
      </c>
      <c r="K324" s="29" t="s">
        <v>1018</v>
      </c>
      <c r="L324" t="str">
        <f>IFERROR(VLOOKUP(Detalle_OC[[#This Row],[Centro]]&amp;Detalle_OC[[#This Row],[Nro Almacen]],Almacen!A:D,4,FALSE),"")</f>
        <v>Montelima</v>
      </c>
    </row>
    <row r="325" spans="1:12" x14ac:dyDescent="0.3">
      <c r="A325" s="29" t="str">
        <f>Detalle_OC[[#This Row],[Centro]]&amp;Detalle_OC[[#This Row],[Nom Almacen]]&amp;Detalle_OC[[#This Row],[Material]]&amp;Detalle_OC[[#This Row],[Pedido]]&amp;Detalle_OC[[#This Row],[Posicion]]</f>
        <v>Sucroalcolera del Chira PlantaMontelima767529451157368510</v>
      </c>
      <c r="B325" t="s">
        <v>138</v>
      </c>
      <c r="C325" t="s">
        <v>278</v>
      </c>
      <c r="D325" s="11">
        <v>45663</v>
      </c>
      <c r="E325" t="s">
        <v>16</v>
      </c>
      <c r="F325" t="s">
        <v>85</v>
      </c>
      <c r="G325">
        <v>767529</v>
      </c>
      <c r="H325">
        <v>4511573685</v>
      </c>
      <c r="I325">
        <v>10</v>
      </c>
      <c r="J325" s="29">
        <v>1</v>
      </c>
      <c r="K325" s="29" t="s">
        <v>1018</v>
      </c>
      <c r="L325" t="str">
        <f>IFERROR(VLOOKUP(Detalle_OC[[#This Row],[Centro]]&amp;Detalle_OC[[#This Row],[Nro Almacen]],Almacen!A:D,4,FALSE),"")</f>
        <v>Montelima</v>
      </c>
    </row>
    <row r="326" spans="1:12" x14ac:dyDescent="0.3">
      <c r="A326" s="29" t="str">
        <f>Detalle_OC[[#This Row],[Centro]]&amp;Detalle_OC[[#This Row],[Nom Almacen]]&amp;Detalle_OC[[#This Row],[Material]]&amp;Detalle_OC[[#This Row],[Pedido]]&amp;Detalle_OC[[#This Row],[Posicion]]</f>
        <v>Sucroalcolera del Chira PlantaMontelima726335451157368640</v>
      </c>
      <c r="B326" t="s">
        <v>142</v>
      </c>
      <c r="C326" t="s">
        <v>84</v>
      </c>
      <c r="D326" s="11">
        <v>45667</v>
      </c>
      <c r="E326" t="s">
        <v>16</v>
      </c>
      <c r="F326" t="s">
        <v>85</v>
      </c>
      <c r="G326">
        <v>726335</v>
      </c>
      <c r="H326">
        <v>4511573686</v>
      </c>
      <c r="I326">
        <v>40</v>
      </c>
      <c r="J326" s="29">
        <v>1</v>
      </c>
      <c r="K326" s="29" t="s">
        <v>1018</v>
      </c>
      <c r="L326" t="str">
        <f>IFERROR(VLOOKUP(Detalle_OC[[#This Row],[Centro]]&amp;Detalle_OC[[#This Row],[Nro Almacen]],Almacen!A:D,4,FALSE),"")</f>
        <v>Montelima</v>
      </c>
    </row>
    <row r="327" spans="1:12" x14ac:dyDescent="0.3">
      <c r="A327" s="29" t="str">
        <f>Detalle_OC[[#This Row],[Centro]]&amp;Detalle_OC[[#This Row],[Nom Almacen]]&amp;Detalle_OC[[#This Row],[Material]]&amp;Detalle_OC[[#This Row],[Pedido]]&amp;Detalle_OC[[#This Row],[Posicion]]</f>
        <v>Sucroalcolera del Chira PlantaMontelima70063974451157368650</v>
      </c>
      <c r="B327" t="s">
        <v>156</v>
      </c>
      <c r="C327" t="s">
        <v>84</v>
      </c>
      <c r="D327" s="11">
        <v>45667</v>
      </c>
      <c r="E327" t="s">
        <v>16</v>
      </c>
      <c r="F327" t="s">
        <v>85</v>
      </c>
      <c r="G327">
        <v>70063974</v>
      </c>
      <c r="H327">
        <v>4511573686</v>
      </c>
      <c r="I327">
        <v>50</v>
      </c>
      <c r="J327" s="29">
        <v>1</v>
      </c>
      <c r="K327" s="29" t="s">
        <v>1018</v>
      </c>
      <c r="L327" t="str">
        <f>IFERROR(VLOOKUP(Detalle_OC[[#This Row],[Centro]]&amp;Detalle_OC[[#This Row],[Nro Almacen]],Almacen!A:D,4,FALSE),"")</f>
        <v>Montelima</v>
      </c>
    </row>
    <row r="328" spans="1:12" x14ac:dyDescent="0.3">
      <c r="A328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fábrica70062769451157370910</v>
      </c>
      <c r="B328" t="s">
        <v>142</v>
      </c>
      <c r="C328" t="s">
        <v>272</v>
      </c>
      <c r="D328" s="11">
        <v>45677</v>
      </c>
      <c r="E328" t="s">
        <v>16</v>
      </c>
      <c r="F328" t="s">
        <v>85</v>
      </c>
      <c r="G328">
        <v>70062769</v>
      </c>
      <c r="H328">
        <v>4511573709</v>
      </c>
      <c r="I328">
        <v>10</v>
      </c>
      <c r="J328" s="29">
        <v>9</v>
      </c>
      <c r="K328" s="29" t="s">
        <v>1018</v>
      </c>
      <c r="L328" t="str">
        <f>IFERROR(VLOOKUP(Detalle_OC[[#This Row],[Centro]]&amp;Detalle_OC[[#This Row],[Nro Almacen]],Almacen!A:D,4,FALSE),"")</f>
        <v>Parada fábrica</v>
      </c>
    </row>
    <row r="329" spans="1:12" x14ac:dyDescent="0.3">
      <c r="A329" s="29" t="str">
        <f>Detalle_OC[[#This Row],[Centro]]&amp;Detalle_OC[[#This Row],[Nom Almacen]]&amp;Detalle_OC[[#This Row],[Material]]&amp;Detalle_OC[[#This Row],[Pedido]]&amp;Detalle_OC[[#This Row],[Posicion]]</f>
        <v>Agricola del Chira PlantaMontelima743828451157371210</v>
      </c>
      <c r="B329" t="s">
        <v>15</v>
      </c>
      <c r="C329" t="s">
        <v>44</v>
      </c>
      <c r="D329" s="11">
        <v>45667</v>
      </c>
      <c r="E329" t="s">
        <v>16</v>
      </c>
      <c r="F329" t="s">
        <v>12</v>
      </c>
      <c r="G329">
        <v>743828</v>
      </c>
      <c r="H329">
        <v>4511573712</v>
      </c>
      <c r="I329">
        <v>10</v>
      </c>
      <c r="J329" s="29">
        <v>1</v>
      </c>
      <c r="K329" s="29" t="s">
        <v>1018</v>
      </c>
      <c r="L329" t="str">
        <f>IFERROR(VLOOKUP(Detalle_OC[[#This Row],[Centro]]&amp;Detalle_OC[[#This Row],[Nro Almacen]],Almacen!A:D,4,FALSE),"")</f>
        <v>Montelima</v>
      </c>
    </row>
    <row r="330" spans="1:12" x14ac:dyDescent="0.3">
      <c r="A330" s="29" t="str">
        <f>Detalle_OC[[#This Row],[Centro]]&amp;Detalle_OC[[#This Row],[Nom Almacen]]&amp;Detalle_OC[[#This Row],[Material]]&amp;Detalle_OC[[#This Row],[Pedido]]&amp;Detalle_OC[[#This Row],[Posicion]]</f>
        <v>Agricola del Chira PlantaSan Vicente859388451157372110</v>
      </c>
      <c r="B330" t="s">
        <v>263</v>
      </c>
      <c r="C330" t="s">
        <v>193</v>
      </c>
      <c r="D330" s="11">
        <v>45670</v>
      </c>
      <c r="E330" t="s">
        <v>16</v>
      </c>
      <c r="F330" t="s">
        <v>12</v>
      </c>
      <c r="G330">
        <v>859388</v>
      </c>
      <c r="H330">
        <v>4511573721</v>
      </c>
      <c r="I330">
        <v>10</v>
      </c>
      <c r="J330" s="29">
        <v>3</v>
      </c>
      <c r="K330" s="29" t="s">
        <v>1018</v>
      </c>
      <c r="L330" t="str">
        <f>IFERROR(VLOOKUP(Detalle_OC[[#This Row],[Centro]]&amp;Detalle_OC[[#This Row],[Nro Almacen]],Almacen!A:D,4,FALSE),"")</f>
        <v>San Vicente</v>
      </c>
    </row>
    <row r="331" spans="1:12" x14ac:dyDescent="0.3">
      <c r="A331" s="29" t="str">
        <f>Detalle_OC[[#This Row],[Centro]]&amp;Detalle_OC[[#This Row],[Nom Almacen]]&amp;Detalle_OC[[#This Row],[Material]]&amp;Detalle_OC[[#This Row],[Pedido]]&amp;Detalle_OC[[#This Row],[Posicion]]</f>
        <v>Agricola del Chira PlantaMontelima70106747451157372310</v>
      </c>
      <c r="B331" t="s">
        <v>258</v>
      </c>
      <c r="C331" t="s">
        <v>212</v>
      </c>
      <c r="D331" s="11">
        <v>45672</v>
      </c>
      <c r="E331" t="s">
        <v>16</v>
      </c>
      <c r="F331" t="s">
        <v>12</v>
      </c>
      <c r="G331">
        <v>70106747</v>
      </c>
      <c r="H331">
        <v>4511573723</v>
      </c>
      <c r="I331">
        <v>10</v>
      </c>
      <c r="J331" s="29">
        <v>1</v>
      </c>
      <c r="K331" s="29" t="s">
        <v>1018</v>
      </c>
      <c r="L331" t="str">
        <f>IFERROR(VLOOKUP(Detalle_OC[[#This Row],[Centro]]&amp;Detalle_OC[[#This Row],[Nro Almacen]],Almacen!A:D,4,FALSE),"")</f>
        <v>Montelima</v>
      </c>
    </row>
    <row r="332" spans="1:12" x14ac:dyDescent="0.3">
      <c r="A332" s="29" t="str">
        <f>Detalle_OC[[#This Row],[Centro]]&amp;Detalle_OC[[#This Row],[Nom Almacen]]&amp;Detalle_OC[[#This Row],[Material]]&amp;Detalle_OC[[#This Row],[Pedido]]&amp;Detalle_OC[[#This Row],[Posicion]]</f>
        <v>Sucroalcolera del Chira PlantaMontelima706503451157373410</v>
      </c>
      <c r="B332" t="s">
        <v>15</v>
      </c>
      <c r="C332" t="s">
        <v>36</v>
      </c>
      <c r="D332" s="11">
        <v>45670</v>
      </c>
      <c r="E332" t="s">
        <v>16</v>
      </c>
      <c r="F332" t="s">
        <v>85</v>
      </c>
      <c r="G332">
        <v>706503</v>
      </c>
      <c r="H332">
        <v>4511573734</v>
      </c>
      <c r="I332">
        <v>10</v>
      </c>
      <c r="J332" s="29">
        <v>1</v>
      </c>
      <c r="K332" s="29" t="s">
        <v>1018</v>
      </c>
      <c r="L332" t="str">
        <f>IFERROR(VLOOKUP(Detalle_OC[[#This Row],[Centro]]&amp;Detalle_OC[[#This Row],[Nro Almacen]],Almacen!A:D,4,FALSE),"")</f>
        <v>Montelima</v>
      </c>
    </row>
    <row r="333" spans="1:12" x14ac:dyDescent="0.3">
      <c r="A333" s="29" t="str">
        <f>Detalle_OC[[#This Row],[Centro]]&amp;Detalle_OC[[#This Row],[Nom Almacen]]&amp;Detalle_OC[[#This Row],[Material]]&amp;Detalle_OC[[#This Row],[Pedido]]&amp;Detalle_OC[[#This Row],[Posicion]]</f>
        <v>Sucroalcolera del Chira PlantaMontelima847760451157373430</v>
      </c>
      <c r="B333" t="s">
        <v>15</v>
      </c>
      <c r="C333" t="s">
        <v>36</v>
      </c>
      <c r="D333" s="11">
        <v>45670</v>
      </c>
      <c r="E333" t="s">
        <v>16</v>
      </c>
      <c r="F333" t="s">
        <v>85</v>
      </c>
      <c r="G333">
        <v>847760</v>
      </c>
      <c r="H333">
        <v>4511573734</v>
      </c>
      <c r="I333">
        <v>30</v>
      </c>
      <c r="J333" s="29">
        <v>1</v>
      </c>
      <c r="K333" s="29" t="s">
        <v>1018</v>
      </c>
      <c r="L333" t="str">
        <f>IFERROR(VLOOKUP(Detalle_OC[[#This Row],[Centro]]&amp;Detalle_OC[[#This Row],[Nro Almacen]],Almacen!A:D,4,FALSE),"")</f>
        <v>Montelima</v>
      </c>
    </row>
    <row r="334" spans="1:12" x14ac:dyDescent="0.3">
      <c r="A334" s="29" t="str">
        <f>Detalle_OC[[#This Row],[Centro]]&amp;Detalle_OC[[#This Row],[Nom Almacen]]&amp;Detalle_OC[[#This Row],[Material]]&amp;Detalle_OC[[#This Row],[Pedido]]&amp;Detalle_OC[[#This Row],[Posicion]]</f>
        <v>Sucroalcolera del Chira PlantaMontelima70032803451157373440</v>
      </c>
      <c r="B334" t="s">
        <v>15</v>
      </c>
      <c r="C334" t="s">
        <v>36</v>
      </c>
      <c r="D334" s="11">
        <v>45670</v>
      </c>
      <c r="E334" t="s">
        <v>16</v>
      </c>
      <c r="F334" t="s">
        <v>85</v>
      </c>
      <c r="G334">
        <v>70032803</v>
      </c>
      <c r="H334">
        <v>4511573734</v>
      </c>
      <c r="I334">
        <v>40</v>
      </c>
      <c r="J334" s="29">
        <v>1</v>
      </c>
      <c r="K334" s="29" t="s">
        <v>1018</v>
      </c>
      <c r="L334" t="str">
        <f>IFERROR(VLOOKUP(Detalle_OC[[#This Row],[Centro]]&amp;Detalle_OC[[#This Row],[Nro Almacen]],Almacen!A:D,4,FALSE),"")</f>
        <v>Montelima</v>
      </c>
    </row>
    <row r="335" spans="1:12" x14ac:dyDescent="0.3">
      <c r="A335" s="29" t="str">
        <f>Detalle_OC[[#This Row],[Centro]]&amp;Detalle_OC[[#This Row],[Nom Almacen]]&amp;Detalle_OC[[#This Row],[Material]]&amp;Detalle_OC[[#This Row],[Pedido]]&amp;Detalle_OC[[#This Row],[Posicion]]</f>
        <v>Sucroalcolera del Chira PlantaMontelima70047596451157373460</v>
      </c>
      <c r="B335" t="s">
        <v>15</v>
      </c>
      <c r="C335" t="s">
        <v>36</v>
      </c>
      <c r="D335" s="11">
        <v>45670</v>
      </c>
      <c r="E335" t="s">
        <v>16</v>
      </c>
      <c r="F335" t="s">
        <v>85</v>
      </c>
      <c r="G335">
        <v>70047596</v>
      </c>
      <c r="H335">
        <v>4511573734</v>
      </c>
      <c r="I335">
        <v>60</v>
      </c>
      <c r="J335" s="29">
        <v>1</v>
      </c>
      <c r="K335" s="29" t="s">
        <v>1018</v>
      </c>
      <c r="L335" t="str">
        <f>IFERROR(VLOOKUP(Detalle_OC[[#This Row],[Centro]]&amp;Detalle_OC[[#This Row],[Nro Almacen]],Almacen!A:D,4,FALSE),"")</f>
        <v>Montelima</v>
      </c>
    </row>
    <row r="336" spans="1:12" x14ac:dyDescent="0.3">
      <c r="A336" s="29" t="str">
        <f>Detalle_OC[[#This Row],[Centro]]&amp;Detalle_OC[[#This Row],[Nom Almacen]]&amp;Detalle_OC[[#This Row],[Material]]&amp;Detalle_OC[[#This Row],[Pedido]]&amp;Detalle_OC[[#This Row],[Posicion]]</f>
        <v>Sucroalcolera del Chira PlantaMontelima701675451157373480</v>
      </c>
      <c r="B336" t="s">
        <v>15</v>
      </c>
      <c r="C336" t="s">
        <v>36</v>
      </c>
      <c r="D336" s="11">
        <v>45670</v>
      </c>
      <c r="E336" t="s">
        <v>16</v>
      </c>
      <c r="F336" t="s">
        <v>85</v>
      </c>
      <c r="G336">
        <v>701675</v>
      </c>
      <c r="H336">
        <v>4511573734</v>
      </c>
      <c r="I336">
        <v>80</v>
      </c>
      <c r="J336" s="29">
        <v>1</v>
      </c>
      <c r="K336" s="29" t="s">
        <v>1018</v>
      </c>
      <c r="L336" t="str">
        <f>IFERROR(VLOOKUP(Detalle_OC[[#This Row],[Centro]]&amp;Detalle_OC[[#This Row],[Nro Almacen]],Almacen!A:D,4,FALSE),"")</f>
        <v>Montelima</v>
      </c>
    </row>
    <row r="337" spans="1:12" x14ac:dyDescent="0.3">
      <c r="A337" s="29" t="str">
        <f>Detalle_OC[[#This Row],[Centro]]&amp;Detalle_OC[[#This Row],[Nom Almacen]]&amp;Detalle_OC[[#This Row],[Material]]&amp;Detalle_OC[[#This Row],[Pedido]]&amp;Detalle_OC[[#This Row],[Posicion]]</f>
        <v>Sucroalcolera del Chira PlantaMontelima802012451157373490</v>
      </c>
      <c r="B337" t="s">
        <v>15</v>
      </c>
      <c r="C337" t="s">
        <v>36</v>
      </c>
      <c r="D337" s="11">
        <v>45670</v>
      </c>
      <c r="E337" t="s">
        <v>16</v>
      </c>
      <c r="F337" t="s">
        <v>85</v>
      </c>
      <c r="G337">
        <v>802012</v>
      </c>
      <c r="H337">
        <v>4511573734</v>
      </c>
      <c r="I337">
        <v>90</v>
      </c>
      <c r="J337" s="29">
        <v>1</v>
      </c>
      <c r="K337" s="29" t="s">
        <v>1018</v>
      </c>
      <c r="L337" t="str">
        <f>IFERROR(VLOOKUP(Detalle_OC[[#This Row],[Centro]]&amp;Detalle_OC[[#This Row],[Nro Almacen]],Almacen!A:D,4,FALSE),"")</f>
        <v>Montelima</v>
      </c>
    </row>
    <row r="338" spans="1:12" x14ac:dyDescent="0.3">
      <c r="A338" s="29" t="str">
        <f>Detalle_OC[[#This Row],[Centro]]&amp;Detalle_OC[[#This Row],[Nom Almacen]]&amp;Detalle_OC[[#This Row],[Material]]&amp;Detalle_OC[[#This Row],[Pedido]]&amp;Detalle_OC[[#This Row],[Posicion]]</f>
        <v>Sucroalcolera del Chira PlantaMontelima700475964511573734100</v>
      </c>
      <c r="B338" t="s">
        <v>15</v>
      </c>
      <c r="C338" t="s">
        <v>36</v>
      </c>
      <c r="D338" s="11">
        <v>45670</v>
      </c>
      <c r="E338" t="s">
        <v>16</v>
      </c>
      <c r="F338" t="s">
        <v>85</v>
      </c>
      <c r="G338">
        <v>70047596</v>
      </c>
      <c r="H338">
        <v>4511573734</v>
      </c>
      <c r="I338">
        <v>100</v>
      </c>
      <c r="J338" s="29">
        <v>1</v>
      </c>
      <c r="K338" s="29" t="s">
        <v>1018</v>
      </c>
      <c r="L338" t="str">
        <f>IFERROR(VLOOKUP(Detalle_OC[[#This Row],[Centro]]&amp;Detalle_OC[[#This Row],[Nro Almacen]],Almacen!A:D,4,FALSE),"")</f>
        <v>Montelima</v>
      </c>
    </row>
    <row r="339" spans="1:12" x14ac:dyDescent="0.3">
      <c r="A339" s="29" t="str">
        <f>Detalle_OC[[#This Row],[Centro]]&amp;Detalle_OC[[#This Row],[Nom Almacen]]&amp;Detalle_OC[[#This Row],[Material]]&amp;Detalle_OC[[#This Row],[Pedido]]&amp;Detalle_OC[[#This Row],[Posicion]]</f>
        <v>Sucroalcolera del Chira PlantaMontelima7216764511573734110</v>
      </c>
      <c r="B339" t="s">
        <v>15</v>
      </c>
      <c r="C339" t="s">
        <v>36</v>
      </c>
      <c r="D339" s="11">
        <v>45670</v>
      </c>
      <c r="E339" t="s">
        <v>16</v>
      </c>
      <c r="F339" t="s">
        <v>85</v>
      </c>
      <c r="G339">
        <v>721676</v>
      </c>
      <c r="H339">
        <v>4511573734</v>
      </c>
      <c r="I339">
        <v>110</v>
      </c>
      <c r="J339" s="29">
        <v>1</v>
      </c>
      <c r="K339" s="29" t="s">
        <v>1018</v>
      </c>
      <c r="L339" t="str">
        <f>IFERROR(VLOOKUP(Detalle_OC[[#This Row],[Centro]]&amp;Detalle_OC[[#This Row],[Nro Almacen]],Almacen!A:D,4,FALSE),"")</f>
        <v>Montelima</v>
      </c>
    </row>
    <row r="340" spans="1:12" x14ac:dyDescent="0.3">
      <c r="A340" s="29" t="str">
        <f>Detalle_OC[[#This Row],[Centro]]&amp;Detalle_OC[[#This Row],[Nom Almacen]]&amp;Detalle_OC[[#This Row],[Material]]&amp;Detalle_OC[[#This Row],[Pedido]]&amp;Detalle_OC[[#This Row],[Posicion]]</f>
        <v>Sucroalcolera del Chira PlantaMontelima7289744511573734120</v>
      </c>
      <c r="B340" t="s">
        <v>15</v>
      </c>
      <c r="C340" t="s">
        <v>36</v>
      </c>
      <c r="D340" s="11">
        <v>45670</v>
      </c>
      <c r="E340" t="s">
        <v>16</v>
      </c>
      <c r="F340" t="s">
        <v>85</v>
      </c>
      <c r="G340">
        <v>728974</v>
      </c>
      <c r="H340">
        <v>4511573734</v>
      </c>
      <c r="I340">
        <v>120</v>
      </c>
      <c r="J340" s="29">
        <v>1</v>
      </c>
      <c r="K340" s="29" t="s">
        <v>1018</v>
      </c>
      <c r="L340" t="str">
        <f>IFERROR(VLOOKUP(Detalle_OC[[#This Row],[Centro]]&amp;Detalle_OC[[#This Row],[Nro Almacen]],Almacen!A:D,4,FALSE),"")</f>
        <v>Montelima</v>
      </c>
    </row>
    <row r="341" spans="1:12" x14ac:dyDescent="0.3">
      <c r="A341" s="29" t="str">
        <f>Detalle_OC[[#This Row],[Centro]]&amp;Detalle_OC[[#This Row],[Nom Almacen]]&amp;Detalle_OC[[#This Row],[Material]]&amp;Detalle_OC[[#This Row],[Pedido]]&amp;Detalle_OC[[#This Row],[Posicion]]</f>
        <v>Sucroalcolera del Chira PlantaMontelima700359034511573734130</v>
      </c>
      <c r="B341" t="s">
        <v>15</v>
      </c>
      <c r="C341" t="s">
        <v>36</v>
      </c>
      <c r="D341" s="11">
        <v>45670</v>
      </c>
      <c r="E341" t="s">
        <v>16</v>
      </c>
      <c r="F341" t="s">
        <v>85</v>
      </c>
      <c r="G341">
        <v>70035903</v>
      </c>
      <c r="H341">
        <v>4511573734</v>
      </c>
      <c r="I341">
        <v>130</v>
      </c>
      <c r="J341" s="29">
        <v>1</v>
      </c>
      <c r="K341" s="29" t="s">
        <v>1018</v>
      </c>
      <c r="L341" t="str">
        <f>IFERROR(VLOOKUP(Detalle_OC[[#This Row],[Centro]]&amp;Detalle_OC[[#This Row],[Nro Almacen]],Almacen!A:D,4,FALSE),"")</f>
        <v>Montelima</v>
      </c>
    </row>
    <row r="342" spans="1:12" x14ac:dyDescent="0.3">
      <c r="A342" s="29" t="str">
        <f>Detalle_OC[[#This Row],[Centro]]&amp;Detalle_OC[[#This Row],[Nom Almacen]]&amp;Detalle_OC[[#This Row],[Material]]&amp;Detalle_OC[[#This Row],[Pedido]]&amp;Detalle_OC[[#This Row],[Posicion]]</f>
        <v>Sucroalcolera del Chira PlantaMontelima764553451157362310</v>
      </c>
      <c r="B342" t="s">
        <v>138</v>
      </c>
      <c r="C342" t="s">
        <v>169</v>
      </c>
      <c r="D342" s="11">
        <v>45687</v>
      </c>
      <c r="E342" t="s">
        <v>16</v>
      </c>
      <c r="F342" t="s">
        <v>85</v>
      </c>
      <c r="G342">
        <v>764553</v>
      </c>
      <c r="H342">
        <v>4511573623</v>
      </c>
      <c r="I342">
        <v>10</v>
      </c>
      <c r="J342" s="29">
        <v>1</v>
      </c>
      <c r="K342" s="29" t="s">
        <v>1019</v>
      </c>
      <c r="L342" t="str">
        <f>IFERROR(VLOOKUP(Detalle_OC[[#This Row],[Centro]]&amp;Detalle_OC[[#This Row],[Nro Almacen]],Almacen!A:D,4,FALSE),"")</f>
        <v>Montelima</v>
      </c>
    </row>
    <row r="343" spans="1:12" x14ac:dyDescent="0.3">
      <c r="A343" s="29" t="str">
        <f>Detalle_OC[[#This Row],[Centro]]&amp;Detalle_OC[[#This Row],[Nom Almacen]]&amp;Detalle_OC[[#This Row],[Material]]&amp;Detalle_OC[[#This Row],[Pedido]]&amp;Detalle_OC[[#This Row],[Posicion]]</f>
        <v>Agricola del Chira PlantaLa Huaca850829451157363810</v>
      </c>
      <c r="B343" t="s">
        <v>26</v>
      </c>
      <c r="C343" t="s">
        <v>310</v>
      </c>
      <c r="D343" s="11">
        <v>45672</v>
      </c>
      <c r="E343" t="s">
        <v>16</v>
      </c>
      <c r="F343" t="s">
        <v>12</v>
      </c>
      <c r="G343">
        <v>850829</v>
      </c>
      <c r="H343">
        <v>4511573638</v>
      </c>
      <c r="I343">
        <v>10</v>
      </c>
      <c r="J343" s="29">
        <v>2</v>
      </c>
      <c r="K343" s="29" t="s">
        <v>1019</v>
      </c>
      <c r="L343" t="str">
        <f>IFERROR(VLOOKUP(Detalle_OC[[#This Row],[Centro]]&amp;Detalle_OC[[#This Row],[Nro Almacen]],Almacen!A:D,4,FALSE),"")</f>
        <v>La Huaca</v>
      </c>
    </row>
    <row r="344" spans="1:12" x14ac:dyDescent="0.3">
      <c r="A344" s="29" t="str">
        <f>Detalle_OC[[#This Row],[Centro]]&amp;Detalle_OC[[#This Row],[Nom Almacen]]&amp;Detalle_OC[[#This Row],[Material]]&amp;Detalle_OC[[#This Row],[Pedido]]&amp;Detalle_OC[[#This Row],[Posicion]]</f>
        <v>Agricola del Chira PlantaSan Vicente70129788451157365010</v>
      </c>
      <c r="B344" t="s">
        <v>15</v>
      </c>
      <c r="C344" t="s">
        <v>211</v>
      </c>
      <c r="D344" s="11">
        <v>45670</v>
      </c>
      <c r="E344" t="s">
        <v>16</v>
      </c>
      <c r="F344" t="s">
        <v>12</v>
      </c>
      <c r="G344">
        <v>70129788</v>
      </c>
      <c r="H344">
        <v>4511573650</v>
      </c>
      <c r="I344">
        <v>10</v>
      </c>
      <c r="J344" s="29">
        <v>3</v>
      </c>
      <c r="K344" s="29" t="s">
        <v>1019</v>
      </c>
      <c r="L344" t="str">
        <f>IFERROR(VLOOKUP(Detalle_OC[[#This Row],[Centro]]&amp;Detalle_OC[[#This Row],[Nro Almacen]],Almacen!A:D,4,FALSE),"")</f>
        <v>San Vicente</v>
      </c>
    </row>
    <row r="345" spans="1:12" x14ac:dyDescent="0.3">
      <c r="A345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345" t="s">
        <v>28</v>
      </c>
      <c r="C345" t="s">
        <v>54</v>
      </c>
      <c r="D345" s="11">
        <v>45657</v>
      </c>
      <c r="E345" t="s">
        <v>16</v>
      </c>
      <c r="F345" t="s">
        <v>12</v>
      </c>
      <c r="G345">
        <v>70100392</v>
      </c>
      <c r="H345">
        <v>5500024751</v>
      </c>
      <c r="I345">
        <v>20</v>
      </c>
      <c r="J345" s="29">
        <v>2</v>
      </c>
      <c r="K345" s="29" t="s">
        <v>1019</v>
      </c>
      <c r="L345" t="str">
        <f>IFERROR(VLOOKUP(Detalle_OC[[#This Row],[Centro]]&amp;Detalle_OC[[#This Row],[Nro Almacen]],Almacen!A:D,4,FALSE),"")</f>
        <v>La Huaca</v>
      </c>
    </row>
    <row r="346" spans="1:12" x14ac:dyDescent="0.3">
      <c r="A346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346" t="s">
        <v>28</v>
      </c>
      <c r="C346" t="s">
        <v>54</v>
      </c>
      <c r="D346" s="11">
        <v>45657</v>
      </c>
      <c r="E346" t="s">
        <v>16</v>
      </c>
      <c r="F346" t="s">
        <v>12</v>
      </c>
      <c r="G346">
        <v>70100392</v>
      </c>
      <c r="H346">
        <v>5500024751</v>
      </c>
      <c r="I346">
        <v>40</v>
      </c>
      <c r="J346" s="29">
        <v>7</v>
      </c>
      <c r="K346" s="29" t="s">
        <v>1019</v>
      </c>
      <c r="L346" t="str">
        <f>IFERROR(VLOOKUP(Detalle_OC[[#This Row],[Centro]]&amp;Detalle_OC[[#This Row],[Nro Almacen]],Almacen!A:D,4,FALSE),"")</f>
        <v>Almacen Lobo</v>
      </c>
    </row>
    <row r="347" spans="1:12" x14ac:dyDescent="0.3">
      <c r="A347" s="29" t="str">
        <f>Detalle_OC[[#This Row],[Centro]]&amp;Detalle_OC[[#This Row],[Nom Almacen]]&amp;Detalle_OC[[#This Row],[Material]]&amp;Detalle_OC[[#This Row],[Pedido]]&amp;Detalle_OC[[#This Row],[Posicion]]</f>
        <v>Agricola del Chira PlantaAlmacen Lobo8490104511572038100</v>
      </c>
      <c r="B347" t="s">
        <v>39</v>
      </c>
      <c r="C347" t="s">
        <v>38</v>
      </c>
      <c r="D347" s="11">
        <v>45657</v>
      </c>
      <c r="E347" t="s">
        <v>16</v>
      </c>
      <c r="F347" t="s">
        <v>12</v>
      </c>
      <c r="G347">
        <v>849010</v>
      </c>
      <c r="H347">
        <v>4511572038</v>
      </c>
      <c r="I347">
        <v>100</v>
      </c>
      <c r="J347" s="29">
        <v>7</v>
      </c>
      <c r="K347" s="29" t="s">
        <v>1022</v>
      </c>
      <c r="L347" t="str">
        <f>IFERROR(VLOOKUP(Detalle_OC[[#This Row],[Centro]]&amp;Detalle_OC[[#This Row],[Nro Almacen]],Almacen!A:D,4,FALSE),"")</f>
        <v>Almacen Lobo</v>
      </c>
    </row>
    <row r="348" spans="1:12" x14ac:dyDescent="0.3">
      <c r="A348" s="29" t="str">
        <f>Detalle_OC[[#This Row],[Centro]]&amp;Detalle_OC[[#This Row],[Nom Almacen]]&amp;Detalle_OC[[#This Row],[Material]]&amp;Detalle_OC[[#This Row],[Pedido]]&amp;Detalle_OC[[#This Row],[Posicion]]</f>
        <v>Sucroalcolera del Chira PlantaMontelima868044451157355910</v>
      </c>
      <c r="B348" t="s">
        <v>138</v>
      </c>
      <c r="C348" t="s">
        <v>141</v>
      </c>
      <c r="D348" s="11">
        <v>45663</v>
      </c>
      <c r="E348" t="s">
        <v>16</v>
      </c>
      <c r="F348" t="s">
        <v>85</v>
      </c>
      <c r="G348">
        <v>868044</v>
      </c>
      <c r="H348">
        <v>4511573559</v>
      </c>
      <c r="I348">
        <v>10</v>
      </c>
      <c r="J348" s="29">
        <v>1</v>
      </c>
      <c r="K348" s="29" t="s">
        <v>1022</v>
      </c>
      <c r="L348" t="str">
        <f>IFERROR(VLOOKUP(Detalle_OC[[#This Row],[Centro]]&amp;Detalle_OC[[#This Row],[Nro Almacen]],Almacen!A:D,4,FALSE),"")</f>
        <v>Montelima</v>
      </c>
    </row>
    <row r="349" spans="1:12" x14ac:dyDescent="0.3">
      <c r="A349" s="29" t="str">
        <f>Detalle_OC[[#This Row],[Centro]]&amp;Detalle_OC[[#This Row],[Nom Almacen]]&amp;Detalle_OC[[#This Row],[Material]]&amp;Detalle_OC[[#This Row],[Pedido]]&amp;Detalle_OC[[#This Row],[Posicion]]</f>
        <v>Sucroalcolera del Chira PlantaMontelima868045451157355920</v>
      </c>
      <c r="B349" t="s">
        <v>138</v>
      </c>
      <c r="C349" t="s">
        <v>141</v>
      </c>
      <c r="D349" s="11">
        <v>45663</v>
      </c>
      <c r="E349" t="s">
        <v>16</v>
      </c>
      <c r="F349" t="s">
        <v>85</v>
      </c>
      <c r="G349">
        <v>868045</v>
      </c>
      <c r="H349">
        <v>4511573559</v>
      </c>
      <c r="I349">
        <v>20</v>
      </c>
      <c r="J349" s="29">
        <v>1</v>
      </c>
      <c r="K349" s="29" t="s">
        <v>1022</v>
      </c>
      <c r="L349" t="str">
        <f>IFERROR(VLOOKUP(Detalle_OC[[#This Row],[Centro]]&amp;Detalle_OC[[#This Row],[Nro Almacen]],Almacen!A:D,4,FALSE),"")</f>
        <v>Montelima</v>
      </c>
    </row>
    <row r="350" spans="1:12" x14ac:dyDescent="0.3">
      <c r="A350" s="29" t="str">
        <f>Detalle_OC[[#This Row],[Centro]]&amp;Detalle_OC[[#This Row],[Nom Almacen]]&amp;Detalle_OC[[#This Row],[Material]]&amp;Detalle_OC[[#This Row],[Pedido]]&amp;Detalle_OC[[#This Row],[Posicion]]</f>
        <v>Agricola del Chira PlantaLa Huaca70004310451157356610</v>
      </c>
      <c r="B350" t="s">
        <v>26</v>
      </c>
      <c r="C350" t="s">
        <v>42</v>
      </c>
      <c r="D350" s="11">
        <v>45674</v>
      </c>
      <c r="E350" t="s">
        <v>16</v>
      </c>
      <c r="F350" t="s">
        <v>12</v>
      </c>
      <c r="G350">
        <v>70004310</v>
      </c>
      <c r="H350">
        <v>4511573566</v>
      </c>
      <c r="I350">
        <v>10</v>
      </c>
      <c r="J350" s="29">
        <v>2</v>
      </c>
      <c r="K350" s="29" t="s">
        <v>1022</v>
      </c>
      <c r="L350" t="str">
        <f>IFERROR(VLOOKUP(Detalle_OC[[#This Row],[Centro]]&amp;Detalle_OC[[#This Row],[Nro Almacen]],Almacen!A:D,4,FALSE),"")</f>
        <v>La Huaca</v>
      </c>
    </row>
    <row r="351" spans="1:12" x14ac:dyDescent="0.3">
      <c r="A351" s="29" t="str">
        <f>Detalle_OC[[#This Row],[Centro]]&amp;Detalle_OC[[#This Row],[Nom Almacen]]&amp;Detalle_OC[[#This Row],[Material]]&amp;Detalle_OC[[#This Row],[Pedido]]&amp;Detalle_OC[[#This Row],[Posicion]]</f>
        <v>Agricola del Chira PlantaMontelima721620451157357010</v>
      </c>
      <c r="B351" t="s">
        <v>15</v>
      </c>
      <c r="C351" t="s">
        <v>231</v>
      </c>
      <c r="D351" s="11">
        <v>45667</v>
      </c>
      <c r="E351" t="s">
        <v>16</v>
      </c>
      <c r="F351" t="s">
        <v>12</v>
      </c>
      <c r="G351">
        <v>721620</v>
      </c>
      <c r="H351">
        <v>4511573570</v>
      </c>
      <c r="I351">
        <v>10</v>
      </c>
      <c r="J351" s="29">
        <v>1</v>
      </c>
      <c r="K351" s="29" t="s">
        <v>1022</v>
      </c>
      <c r="L351" t="str">
        <f>IFERROR(VLOOKUP(Detalle_OC[[#This Row],[Centro]]&amp;Detalle_OC[[#This Row],[Nro Almacen]],Almacen!A:D,4,FALSE),"")</f>
        <v>Montelima</v>
      </c>
    </row>
    <row r="352" spans="1:12" x14ac:dyDescent="0.3">
      <c r="A352" s="29" t="str">
        <f>Detalle_OC[[#This Row],[Centro]]&amp;Detalle_OC[[#This Row],[Nom Almacen]]&amp;Detalle_OC[[#This Row],[Material]]&amp;Detalle_OC[[#This Row],[Pedido]]&amp;Detalle_OC[[#This Row],[Posicion]]</f>
        <v>Agricola del Chira PlantaMontelima808068451157357020</v>
      </c>
      <c r="B352" t="s">
        <v>15</v>
      </c>
      <c r="C352" t="s">
        <v>231</v>
      </c>
      <c r="D352" s="11">
        <v>45667</v>
      </c>
      <c r="E352" t="s">
        <v>16</v>
      </c>
      <c r="F352" t="s">
        <v>12</v>
      </c>
      <c r="G352">
        <v>808068</v>
      </c>
      <c r="H352">
        <v>4511573570</v>
      </c>
      <c r="I352">
        <v>20</v>
      </c>
      <c r="J352" s="29">
        <v>1</v>
      </c>
      <c r="K352" s="29" t="s">
        <v>1022</v>
      </c>
      <c r="L352" t="str">
        <f>IFERROR(VLOOKUP(Detalle_OC[[#This Row],[Centro]]&amp;Detalle_OC[[#This Row],[Nro Almacen]],Almacen!A:D,4,FALSE),"")</f>
        <v>Montelima</v>
      </c>
    </row>
    <row r="353" spans="1:12" x14ac:dyDescent="0.3">
      <c r="A353" s="29" t="str">
        <f>Detalle_OC[[#This Row],[Centro]]&amp;Detalle_OC[[#This Row],[Nom Almacen]]&amp;Detalle_OC[[#This Row],[Material]]&amp;Detalle_OC[[#This Row],[Pedido]]&amp;Detalle_OC[[#This Row],[Posicion]]</f>
        <v>Agricola del Chira PlantaMontelima70069177451157357030</v>
      </c>
      <c r="B353" t="s">
        <v>15</v>
      </c>
      <c r="C353" t="s">
        <v>231</v>
      </c>
      <c r="D353" s="11">
        <v>45667</v>
      </c>
      <c r="E353" t="s">
        <v>16</v>
      </c>
      <c r="F353" t="s">
        <v>12</v>
      </c>
      <c r="G353">
        <v>70069177</v>
      </c>
      <c r="H353">
        <v>4511573570</v>
      </c>
      <c r="I353">
        <v>30</v>
      </c>
      <c r="J353" s="29">
        <v>1</v>
      </c>
      <c r="K353" s="29" t="s">
        <v>1022</v>
      </c>
      <c r="L353" t="str">
        <f>IFERROR(VLOOKUP(Detalle_OC[[#This Row],[Centro]]&amp;Detalle_OC[[#This Row],[Nro Almacen]],Almacen!A:D,4,FALSE),"")</f>
        <v>Montelima</v>
      </c>
    </row>
    <row r="354" spans="1:12" x14ac:dyDescent="0.3">
      <c r="A354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fábrica769670451157357110</v>
      </c>
      <c r="B354" t="s">
        <v>142</v>
      </c>
      <c r="C354" t="s">
        <v>96</v>
      </c>
      <c r="D354" s="11">
        <v>45681</v>
      </c>
      <c r="E354" t="s">
        <v>16</v>
      </c>
      <c r="F354" t="s">
        <v>85</v>
      </c>
      <c r="G354">
        <v>769670</v>
      </c>
      <c r="H354">
        <v>4511573571</v>
      </c>
      <c r="I354">
        <v>10</v>
      </c>
      <c r="J354" s="29">
        <v>9</v>
      </c>
      <c r="K354" s="29" t="s">
        <v>1022</v>
      </c>
      <c r="L354" t="str">
        <f>IFERROR(VLOOKUP(Detalle_OC[[#This Row],[Centro]]&amp;Detalle_OC[[#This Row],[Nro Almacen]],Almacen!A:D,4,FALSE),"")</f>
        <v>Parada fábrica</v>
      </c>
    </row>
    <row r="355" spans="1:12" x14ac:dyDescent="0.3">
      <c r="A355" s="29" t="str">
        <f>Detalle_OC[[#This Row],[Centro]]&amp;Detalle_OC[[#This Row],[Nom Almacen]]&amp;Detalle_OC[[#This Row],[Material]]&amp;Detalle_OC[[#This Row],[Pedido]]&amp;Detalle_OC[[#This Row],[Posicion]]</f>
        <v>Sucroalcolera del Chira PlantaMontelima721620451157357410</v>
      </c>
      <c r="B355" t="s">
        <v>15</v>
      </c>
      <c r="C355" t="s">
        <v>231</v>
      </c>
      <c r="D355" s="11">
        <v>45667</v>
      </c>
      <c r="E355" t="s">
        <v>16</v>
      </c>
      <c r="F355" t="s">
        <v>85</v>
      </c>
      <c r="G355">
        <v>721620</v>
      </c>
      <c r="H355">
        <v>4511573574</v>
      </c>
      <c r="I355">
        <v>10</v>
      </c>
      <c r="J355" s="29">
        <v>1</v>
      </c>
      <c r="K355" s="29" t="s">
        <v>1022</v>
      </c>
      <c r="L355" t="str">
        <f>IFERROR(VLOOKUP(Detalle_OC[[#This Row],[Centro]]&amp;Detalle_OC[[#This Row],[Nro Almacen]],Almacen!A:D,4,FALSE),"")</f>
        <v>Montelima</v>
      </c>
    </row>
    <row r="356" spans="1:12" x14ac:dyDescent="0.3">
      <c r="A356" s="29" t="str">
        <f>Detalle_OC[[#This Row],[Centro]]&amp;Detalle_OC[[#This Row],[Nom Almacen]]&amp;Detalle_OC[[#This Row],[Material]]&amp;Detalle_OC[[#This Row],[Pedido]]&amp;Detalle_OC[[#This Row],[Posicion]]</f>
        <v>Sucroalcolera del Chira PlantaMontelima808068451157357420</v>
      </c>
      <c r="B356" t="s">
        <v>15</v>
      </c>
      <c r="C356" t="s">
        <v>231</v>
      </c>
      <c r="D356" s="11">
        <v>45667</v>
      </c>
      <c r="E356" t="s">
        <v>16</v>
      </c>
      <c r="F356" t="s">
        <v>85</v>
      </c>
      <c r="G356">
        <v>808068</v>
      </c>
      <c r="H356">
        <v>4511573574</v>
      </c>
      <c r="I356">
        <v>20</v>
      </c>
      <c r="J356" s="29">
        <v>1</v>
      </c>
      <c r="K356" s="29" t="s">
        <v>1022</v>
      </c>
      <c r="L356" t="str">
        <f>IFERROR(VLOOKUP(Detalle_OC[[#This Row],[Centro]]&amp;Detalle_OC[[#This Row],[Nro Almacen]],Almacen!A:D,4,FALSE),"")</f>
        <v>Montelima</v>
      </c>
    </row>
    <row r="357" spans="1:12" x14ac:dyDescent="0.3">
      <c r="A357" s="29" t="str">
        <f>Detalle_OC[[#This Row],[Centro]]&amp;Detalle_OC[[#This Row],[Nom Almacen]]&amp;Detalle_OC[[#This Row],[Material]]&amp;Detalle_OC[[#This Row],[Pedido]]&amp;Detalle_OC[[#This Row],[Posicion]]</f>
        <v>Sucroalcolera del Chira PlantaMontelima70031004451157357430</v>
      </c>
      <c r="B357" t="s">
        <v>15</v>
      </c>
      <c r="C357" t="s">
        <v>231</v>
      </c>
      <c r="D357" s="11">
        <v>45667</v>
      </c>
      <c r="E357" t="s">
        <v>16</v>
      </c>
      <c r="F357" t="s">
        <v>85</v>
      </c>
      <c r="G357">
        <v>70031004</v>
      </c>
      <c r="H357">
        <v>4511573574</v>
      </c>
      <c r="I357">
        <v>30</v>
      </c>
      <c r="J357" s="29">
        <v>1</v>
      </c>
      <c r="K357" s="29" t="s">
        <v>1022</v>
      </c>
      <c r="L357" t="str">
        <f>IFERROR(VLOOKUP(Detalle_OC[[#This Row],[Centro]]&amp;Detalle_OC[[#This Row],[Nro Almacen]],Almacen!A:D,4,FALSE),"")</f>
        <v>Montelima</v>
      </c>
    </row>
    <row r="358" spans="1:12" x14ac:dyDescent="0.3">
      <c r="A358" s="29" t="str">
        <f>Detalle_OC[[#This Row],[Centro]]&amp;Detalle_OC[[#This Row],[Nom Almacen]]&amp;Detalle_OC[[#This Row],[Material]]&amp;Detalle_OC[[#This Row],[Pedido]]&amp;Detalle_OC[[#This Row],[Posicion]]</f>
        <v>Sucroalcolera del Chira PlantaMontelima70046939451157357440</v>
      </c>
      <c r="B358" t="s">
        <v>15</v>
      </c>
      <c r="C358" t="s">
        <v>231</v>
      </c>
      <c r="D358" s="11">
        <v>45667</v>
      </c>
      <c r="E358" t="s">
        <v>16</v>
      </c>
      <c r="F358" t="s">
        <v>85</v>
      </c>
      <c r="G358">
        <v>70046939</v>
      </c>
      <c r="H358">
        <v>4511573574</v>
      </c>
      <c r="I358">
        <v>40</v>
      </c>
      <c r="J358" s="29">
        <v>1</v>
      </c>
      <c r="K358" s="29" t="s">
        <v>1022</v>
      </c>
      <c r="L358" t="str">
        <f>IFERROR(VLOOKUP(Detalle_OC[[#This Row],[Centro]]&amp;Detalle_OC[[#This Row],[Nro Almacen]],Almacen!A:D,4,FALSE),"")</f>
        <v>Montelima</v>
      </c>
    </row>
    <row r="359" spans="1:12" x14ac:dyDescent="0.3">
      <c r="A359" s="29" t="str">
        <f>Detalle_OC[[#This Row],[Centro]]&amp;Detalle_OC[[#This Row],[Nom Almacen]]&amp;Detalle_OC[[#This Row],[Material]]&amp;Detalle_OC[[#This Row],[Pedido]]&amp;Detalle_OC[[#This Row],[Posicion]]</f>
        <v>Bioenergía del Chira PlantaMontelima808068451157357510</v>
      </c>
      <c r="B359" t="s">
        <v>15</v>
      </c>
      <c r="C359" t="s">
        <v>231</v>
      </c>
      <c r="D359" s="11">
        <v>45667</v>
      </c>
      <c r="E359" t="s">
        <v>16</v>
      </c>
      <c r="F359" t="s">
        <v>86</v>
      </c>
      <c r="G359">
        <v>808068</v>
      </c>
      <c r="H359">
        <v>4511573575</v>
      </c>
      <c r="I359">
        <v>10</v>
      </c>
      <c r="J359" s="29">
        <v>1</v>
      </c>
      <c r="K359" s="29" t="s">
        <v>1022</v>
      </c>
      <c r="L359" t="str">
        <f>IFERROR(VLOOKUP(Detalle_OC[[#This Row],[Centro]]&amp;Detalle_OC[[#This Row],[Nro Almacen]],Almacen!A:D,4,FALSE),"")</f>
        <v>Montelima</v>
      </c>
    </row>
    <row r="360" spans="1:12" x14ac:dyDescent="0.3">
      <c r="A360" s="29" t="str">
        <f>Detalle_OC[[#This Row],[Centro]]&amp;Detalle_OC[[#This Row],[Nom Almacen]]&amp;Detalle_OC[[#This Row],[Material]]&amp;Detalle_OC[[#This Row],[Pedido]]&amp;Detalle_OC[[#This Row],[Posicion]]</f>
        <v>Agricola del Chira PlantaAlmacen Lobo721809451157358110</v>
      </c>
      <c r="B360" t="s">
        <v>15</v>
      </c>
      <c r="C360" t="s">
        <v>44</v>
      </c>
      <c r="D360" s="11">
        <v>45640</v>
      </c>
      <c r="E360" t="s">
        <v>16</v>
      </c>
      <c r="F360" t="s">
        <v>12</v>
      </c>
      <c r="G360">
        <v>721809</v>
      </c>
      <c r="H360">
        <v>4511573581</v>
      </c>
      <c r="I360">
        <v>10</v>
      </c>
      <c r="J360" s="29">
        <v>7</v>
      </c>
      <c r="K360" s="29" t="s">
        <v>1022</v>
      </c>
      <c r="L360" t="str">
        <f>IFERROR(VLOOKUP(Detalle_OC[[#This Row],[Centro]]&amp;Detalle_OC[[#This Row],[Nro Almacen]],Almacen!A:D,4,FALSE),"")</f>
        <v>Almacen Lobo</v>
      </c>
    </row>
    <row r="361" spans="1:12" x14ac:dyDescent="0.3">
      <c r="A361" s="29" t="str">
        <f>Detalle_OC[[#This Row],[Centro]]&amp;Detalle_OC[[#This Row],[Nom Almacen]]&amp;Detalle_OC[[#This Row],[Material]]&amp;Detalle_OC[[#This Row],[Pedido]]&amp;Detalle_OC[[#This Row],[Posicion]]</f>
        <v>Sucroalcolera del Chira PlantaMontelima737178451157358510</v>
      </c>
      <c r="B361" t="s">
        <v>156</v>
      </c>
      <c r="C361" t="s">
        <v>22</v>
      </c>
      <c r="D361" s="11">
        <v>45667</v>
      </c>
      <c r="E361" t="s">
        <v>16</v>
      </c>
      <c r="F361" t="s">
        <v>85</v>
      </c>
      <c r="G361">
        <v>737178</v>
      </c>
      <c r="H361">
        <v>4511573585</v>
      </c>
      <c r="I361">
        <v>10</v>
      </c>
      <c r="J361" s="29">
        <v>1</v>
      </c>
      <c r="K361" s="29" t="s">
        <v>1022</v>
      </c>
      <c r="L361" t="str">
        <f>IFERROR(VLOOKUP(Detalle_OC[[#This Row],[Centro]]&amp;Detalle_OC[[#This Row],[Nro Almacen]],Almacen!A:D,4,FALSE),"")</f>
        <v>Montelima</v>
      </c>
    </row>
    <row r="362" spans="1:12" x14ac:dyDescent="0.3">
      <c r="A362" s="29" t="str">
        <f>Detalle_OC[[#This Row],[Centro]]&amp;Detalle_OC[[#This Row],[Nom Almacen]]&amp;Detalle_OC[[#This Row],[Material]]&amp;Detalle_OC[[#This Row],[Pedido]]&amp;Detalle_OC[[#This Row],[Posicion]]</f>
        <v>Sucroalcolera del Chira PlantaMontelima70031943451157358610</v>
      </c>
      <c r="B362" t="s">
        <v>138</v>
      </c>
      <c r="C362" t="s">
        <v>212</v>
      </c>
      <c r="D362" s="11">
        <v>45670</v>
      </c>
      <c r="E362" t="s">
        <v>16</v>
      </c>
      <c r="F362" t="s">
        <v>85</v>
      </c>
      <c r="G362">
        <v>70031943</v>
      </c>
      <c r="H362">
        <v>4511573586</v>
      </c>
      <c r="I362">
        <v>10</v>
      </c>
      <c r="J362" s="29">
        <v>1</v>
      </c>
      <c r="K362" s="29" t="s">
        <v>1022</v>
      </c>
      <c r="L362" t="str">
        <f>IFERROR(VLOOKUP(Detalle_OC[[#This Row],[Centro]]&amp;Detalle_OC[[#This Row],[Nro Almacen]],Almacen!A:D,4,FALSE),"")</f>
        <v>Montelima</v>
      </c>
    </row>
    <row r="363" spans="1:12" x14ac:dyDescent="0.3">
      <c r="A363" s="29" t="str">
        <f>Detalle_OC[[#This Row],[Centro]]&amp;Detalle_OC[[#This Row],[Nom Almacen]]&amp;Detalle_OC[[#This Row],[Material]]&amp;Detalle_OC[[#This Row],[Pedido]]&amp;Detalle_OC[[#This Row],[Posicion]]</f>
        <v>Agricola del Chira PlantaLa Huaca70118374451157359210</v>
      </c>
      <c r="B363" t="s">
        <v>26</v>
      </c>
      <c r="C363" t="s">
        <v>316</v>
      </c>
      <c r="D363" s="11">
        <v>45308</v>
      </c>
      <c r="E363" t="s">
        <v>16</v>
      </c>
      <c r="F363" t="s">
        <v>12</v>
      </c>
      <c r="G363">
        <v>70118374</v>
      </c>
      <c r="H363">
        <v>4511573592</v>
      </c>
      <c r="I363">
        <v>10</v>
      </c>
      <c r="J363" s="29">
        <v>2</v>
      </c>
      <c r="K363" s="29" t="s">
        <v>1022</v>
      </c>
      <c r="L363" t="str">
        <f>IFERROR(VLOOKUP(Detalle_OC[[#This Row],[Centro]]&amp;Detalle_OC[[#This Row],[Nro Almacen]],Almacen!A:D,4,FALSE),"")</f>
        <v>La Huaca</v>
      </c>
    </row>
    <row r="364" spans="1:12" x14ac:dyDescent="0.3">
      <c r="A364" s="29" t="str">
        <f>Detalle_OC[[#This Row],[Centro]]&amp;Detalle_OC[[#This Row],[Nom Almacen]]&amp;Detalle_OC[[#This Row],[Material]]&amp;Detalle_OC[[#This Row],[Pedido]]&amp;Detalle_OC[[#This Row],[Posicion]]</f>
        <v>Bioenergía del Chira PlantaMontelima702075451157360210</v>
      </c>
      <c r="B364" t="s">
        <v>1116</v>
      </c>
      <c r="C364" t="s">
        <v>1117</v>
      </c>
      <c r="D364" s="11">
        <v>45667</v>
      </c>
      <c r="E364" t="b">
        <v>0</v>
      </c>
      <c r="F364" t="s">
        <v>86</v>
      </c>
      <c r="G364">
        <v>702075</v>
      </c>
      <c r="H364">
        <v>4511573602</v>
      </c>
      <c r="I364">
        <v>10</v>
      </c>
      <c r="J364" s="29">
        <v>1</v>
      </c>
      <c r="K364" s="29" t="s">
        <v>1022</v>
      </c>
      <c r="L364" t="str">
        <f>IFERROR(VLOOKUP(Detalle_OC[[#This Row],[Centro]]&amp;Detalle_OC[[#This Row],[Nro Almacen]],Almacen!A:D,4,FALSE),"")</f>
        <v>Montelima</v>
      </c>
    </row>
    <row r="365" spans="1:12" x14ac:dyDescent="0.3">
      <c r="A365" s="29" t="str">
        <f>Detalle_OC[[#This Row],[Centro]]&amp;Detalle_OC[[#This Row],[Nom Almacen]]&amp;Detalle_OC[[#This Row],[Material]]&amp;Detalle_OC[[#This Row],[Pedido]]&amp;Detalle_OC[[#This Row],[Posicion]]</f>
        <v>Sucroalcolera del Chira PlantaMontelima70073897451157360310</v>
      </c>
      <c r="B365" t="s">
        <v>1118</v>
      </c>
      <c r="C365" t="s">
        <v>1117</v>
      </c>
      <c r="D365" s="11">
        <v>45660</v>
      </c>
      <c r="E365" t="b">
        <v>0</v>
      </c>
      <c r="F365" t="s">
        <v>85</v>
      </c>
      <c r="G365">
        <v>70073897</v>
      </c>
      <c r="H365">
        <v>4511573603</v>
      </c>
      <c r="I365">
        <v>10</v>
      </c>
      <c r="J365" s="29">
        <v>1</v>
      </c>
      <c r="K365" s="29" t="s">
        <v>1022</v>
      </c>
      <c r="L365" t="str">
        <f>IFERROR(VLOOKUP(Detalle_OC[[#This Row],[Centro]]&amp;Detalle_OC[[#This Row],[Nro Almacen]],Almacen!A:D,4,FALSE),"")</f>
        <v>Montelima</v>
      </c>
    </row>
    <row r="366" spans="1:12" x14ac:dyDescent="0.3">
      <c r="A366" s="29" t="str">
        <f>Detalle_OC[[#This Row],[Centro]]&amp;Detalle_OC[[#This Row],[Nom Almacen]]&amp;Detalle_OC[[#This Row],[Material]]&amp;Detalle_OC[[#This Row],[Pedido]]&amp;Detalle_OC[[#This Row],[Posicion]]</f>
        <v>FALSO</v>
      </c>
      <c r="B366" t="s">
        <v>1119</v>
      </c>
      <c r="D366" s="11" t="s">
        <v>164</v>
      </c>
      <c r="E366" t="b">
        <v>0</v>
      </c>
      <c r="F366" t="b">
        <v>0</v>
      </c>
      <c r="J366" s="29"/>
      <c r="K366" s="29"/>
      <c r="L366" t="str">
        <f>IFERROR(VLOOKUP(Detalle_OC[[#This Row],[Centro]]&amp;Detalle_OC[[#This Row],[Nro Almacen]],Almacen!A:D,4,FALSE),"")</f>
        <v/>
      </c>
    </row>
    <row r="367" spans="1:12" x14ac:dyDescent="0.3">
      <c r="A367" s="29" t="str">
        <f>Detalle_OC[[#This Row],[Centro]]&amp;Detalle_OC[[#This Row],[Nom Almacen]]&amp;Detalle_OC[[#This Row],[Material]]&amp;Detalle_OC[[#This Row],[Pedido]]&amp;Detalle_OC[[#This Row],[Posicion]]</f>
        <v>FALSO4511573603201</v>
      </c>
      <c r="B367" t="s">
        <v>1117</v>
      </c>
      <c r="C367" t="s">
        <v>1013</v>
      </c>
      <c r="D367" s="11" t="s">
        <v>245</v>
      </c>
      <c r="E367" t="b">
        <v>0</v>
      </c>
      <c r="F367" t="b">
        <v>0</v>
      </c>
      <c r="G367">
        <v>4511573603</v>
      </c>
      <c r="H367">
        <v>20</v>
      </c>
      <c r="I367">
        <v>1</v>
      </c>
      <c r="J367" s="29" t="s">
        <v>1022</v>
      </c>
      <c r="K367" s="29"/>
      <c r="L367" t="str">
        <f>IFERROR(VLOOKUP(Detalle_OC[[#This Row],[Centro]]&amp;Detalle_OC[[#This Row],[Nro Almacen]],Almacen!A:D,4,FALSE),"")</f>
        <v/>
      </c>
    </row>
    <row r="368" spans="1:12" x14ac:dyDescent="0.3">
      <c r="A368" s="29" t="str">
        <f>Detalle_OC[[#This Row],[Centro]]&amp;Detalle_OC[[#This Row],[Nom Almacen]]&amp;Detalle_OC[[#This Row],[Material]]&amp;Detalle_OC[[#This Row],[Pedido]]&amp;Detalle_OC[[#This Row],[Posicion]]</f>
        <v>Agricola del Chira PlantaSan Vicente70100392550002475130</v>
      </c>
      <c r="B368" t="s">
        <v>28</v>
      </c>
      <c r="C368" t="s">
        <v>54</v>
      </c>
      <c r="D368" s="11">
        <v>45656</v>
      </c>
      <c r="E368" t="s">
        <v>16</v>
      </c>
      <c r="F368" t="s">
        <v>12</v>
      </c>
      <c r="G368">
        <v>70100392</v>
      </c>
      <c r="H368">
        <v>5500024751</v>
      </c>
      <c r="I368">
        <v>30</v>
      </c>
      <c r="J368" s="29">
        <v>3</v>
      </c>
      <c r="K368" s="29" t="s">
        <v>1022</v>
      </c>
      <c r="L368" t="str">
        <f>IFERROR(VLOOKUP(Detalle_OC[[#This Row],[Centro]]&amp;Detalle_OC[[#This Row],[Nro Almacen]],Almacen!A:D,4,FALSE),"")</f>
        <v>San Vicente</v>
      </c>
    </row>
    <row r="369" spans="1:12" x14ac:dyDescent="0.3">
      <c r="A369" s="29" t="str">
        <f>Detalle_OC[[#This Row],[Centro]]&amp;Detalle_OC[[#This Row],[Nom Almacen]]&amp;Detalle_OC[[#This Row],[Material]]&amp;Detalle_OC[[#This Row],[Pedido]]&amp;Detalle_OC[[#This Row],[Posicion]]</f>
        <v>Agricola del Chira PlantaAlmacen Lobo701226550002476610</v>
      </c>
      <c r="B369" t="s">
        <v>28</v>
      </c>
      <c r="C369" t="s">
        <v>112</v>
      </c>
      <c r="D369" s="11">
        <v>45656</v>
      </c>
      <c r="E369" t="s">
        <v>16</v>
      </c>
      <c r="F369" t="s">
        <v>12</v>
      </c>
      <c r="G369">
        <v>701226</v>
      </c>
      <c r="H369">
        <v>5500024766</v>
      </c>
      <c r="I369">
        <v>10</v>
      </c>
      <c r="J369" s="29">
        <v>7</v>
      </c>
      <c r="K369" s="29" t="s">
        <v>1022</v>
      </c>
      <c r="L369" t="str">
        <f>IFERROR(VLOOKUP(Detalle_OC[[#This Row],[Centro]]&amp;Detalle_OC[[#This Row],[Nro Almacen]],Almacen!A:D,4,FALSE),"")</f>
        <v>Almacen Lobo</v>
      </c>
    </row>
    <row r="370" spans="1:12" x14ac:dyDescent="0.3">
      <c r="A370" s="29" t="str">
        <f>Detalle_OC[[#This Row],[Centro]]&amp;Detalle_OC[[#This Row],[Nom Almacen]]&amp;Detalle_OC[[#This Row],[Material]]&amp;Detalle_OC[[#This Row],[Pedido]]&amp;Detalle_OC[[#This Row],[Posicion]]</f>
        <v>Agricola del Chira PlantaMontelima70069183550002485520</v>
      </c>
      <c r="B370" t="s">
        <v>28</v>
      </c>
      <c r="C370" t="s">
        <v>96</v>
      </c>
      <c r="D370" s="11">
        <v>45680</v>
      </c>
      <c r="E370" t="s">
        <v>16</v>
      </c>
      <c r="F370" t="s">
        <v>12</v>
      </c>
      <c r="G370">
        <v>70069183</v>
      </c>
      <c r="H370">
        <v>5500024855</v>
      </c>
      <c r="I370">
        <v>20</v>
      </c>
      <c r="J370" s="29">
        <v>1</v>
      </c>
      <c r="K370" s="29" t="s">
        <v>1022</v>
      </c>
      <c r="L370" t="str">
        <f>IFERROR(VLOOKUP(Detalle_OC[[#This Row],[Centro]]&amp;Detalle_OC[[#This Row],[Nro Almacen]],Almacen!A:D,4,FALSE),"")</f>
        <v>Montelima</v>
      </c>
    </row>
    <row r="371" spans="1:12" x14ac:dyDescent="0.3">
      <c r="A371" s="29" t="str">
        <f>Detalle_OC[[#This Row],[Centro]]&amp;Detalle_OC[[#This Row],[Nom Almacen]]&amp;Detalle_OC[[#This Row],[Material]]&amp;Detalle_OC[[#This Row],[Pedido]]&amp;Detalle_OC[[#This Row],[Posicion]]</f>
        <v>Sucroalcolera del Chira PlantaMontelima70069183550002485660</v>
      </c>
      <c r="B371" t="s">
        <v>28</v>
      </c>
      <c r="C371" t="s">
        <v>96</v>
      </c>
      <c r="D371" s="11">
        <v>45675</v>
      </c>
      <c r="E371" t="s">
        <v>16</v>
      </c>
      <c r="F371" t="s">
        <v>85</v>
      </c>
      <c r="G371">
        <v>70069183</v>
      </c>
      <c r="H371">
        <v>5500024856</v>
      </c>
      <c r="I371">
        <v>60</v>
      </c>
      <c r="J371" s="29">
        <v>1</v>
      </c>
      <c r="K371" s="29" t="s">
        <v>1022</v>
      </c>
      <c r="L371" t="str">
        <f>IFERROR(VLOOKUP(Detalle_OC[[#This Row],[Centro]]&amp;Detalle_OC[[#This Row],[Nro Almacen]],Almacen!A:D,4,FALSE),"")</f>
        <v>Montelima</v>
      </c>
    </row>
    <row r="372" spans="1:12" x14ac:dyDescent="0.3">
      <c r="A372" s="29" t="str">
        <f>Detalle_OC[[#This Row],[Centro]]&amp;Detalle_OC[[#This Row],[Nom Almacen]]&amp;Detalle_OC[[#This Row],[Material]]&amp;Detalle_OC[[#This Row],[Pedido]]&amp;Detalle_OC[[#This Row],[Posicion]]</f>
        <v>Agricola del Chira PlantaSan Vicente849010451157204140</v>
      </c>
      <c r="B372" t="s">
        <v>39</v>
      </c>
      <c r="C372" t="s">
        <v>38</v>
      </c>
      <c r="D372" s="11">
        <v>45657</v>
      </c>
      <c r="E372" t="s">
        <v>16</v>
      </c>
      <c r="F372" t="s">
        <v>12</v>
      </c>
      <c r="G372">
        <v>849010</v>
      </c>
      <c r="H372">
        <v>4511572041</v>
      </c>
      <c r="I372">
        <v>40</v>
      </c>
      <c r="J372" s="29">
        <v>3</v>
      </c>
      <c r="K372" s="29" t="s">
        <v>1023</v>
      </c>
      <c r="L372" t="str">
        <f>IFERROR(VLOOKUP(Detalle_OC[[#This Row],[Centro]]&amp;Detalle_OC[[#This Row],[Nro Almacen]],Almacen!A:D,4,FALSE),"")</f>
        <v>San Vicente</v>
      </c>
    </row>
    <row r="373" spans="1:12" x14ac:dyDescent="0.3">
      <c r="A373" s="29" t="str">
        <f>Detalle_OC[[#This Row],[Centro]]&amp;Detalle_OC[[#This Row],[Nom Almacen]]&amp;Detalle_OC[[#This Row],[Material]]&amp;Detalle_OC[[#This Row],[Pedido]]&amp;Detalle_OC[[#This Row],[Posicion]]</f>
        <v>Agricola del Chira PlantaAlmacen Lobo824598451157344930</v>
      </c>
      <c r="B373" t="s">
        <v>26</v>
      </c>
      <c r="C373" t="s">
        <v>24</v>
      </c>
      <c r="D373" s="11">
        <v>45660</v>
      </c>
      <c r="E373" t="s">
        <v>16</v>
      </c>
      <c r="F373" t="s">
        <v>12</v>
      </c>
      <c r="G373">
        <v>824598</v>
      </c>
      <c r="H373">
        <v>4511573449</v>
      </c>
      <c r="I373">
        <v>30</v>
      </c>
      <c r="J373" s="29">
        <v>7</v>
      </c>
      <c r="K373" s="29" t="s">
        <v>1023</v>
      </c>
      <c r="L373" t="str">
        <f>IFERROR(VLOOKUP(Detalle_OC[[#This Row],[Centro]]&amp;Detalle_OC[[#This Row],[Nro Almacen]],Almacen!A:D,4,FALSE),"")</f>
        <v>Almacen Lobo</v>
      </c>
    </row>
    <row r="374" spans="1:12" x14ac:dyDescent="0.3">
      <c r="A374" s="29" t="str">
        <f>Detalle_OC[[#This Row],[Centro]]&amp;Detalle_OC[[#This Row],[Nom Almacen]]&amp;Detalle_OC[[#This Row],[Material]]&amp;Detalle_OC[[#This Row],[Pedido]]&amp;Detalle_OC[[#This Row],[Posicion]]</f>
        <v>Agricola del Chira PlantaAlmacen Lobo873032451157344950</v>
      </c>
      <c r="B374" t="s">
        <v>26</v>
      </c>
      <c r="C374" t="s">
        <v>24</v>
      </c>
      <c r="D374" s="11">
        <v>45660</v>
      </c>
      <c r="E374" t="s">
        <v>16</v>
      </c>
      <c r="F374" t="s">
        <v>12</v>
      </c>
      <c r="G374">
        <v>873032</v>
      </c>
      <c r="H374">
        <v>4511573449</v>
      </c>
      <c r="I374">
        <v>50</v>
      </c>
      <c r="J374" s="29">
        <v>7</v>
      </c>
      <c r="K374" s="29" t="s">
        <v>1023</v>
      </c>
      <c r="L374" t="str">
        <f>IFERROR(VLOOKUP(Detalle_OC[[#This Row],[Centro]]&amp;Detalle_OC[[#This Row],[Nro Almacen]],Almacen!A:D,4,FALSE),"")</f>
        <v>Almacen Lobo</v>
      </c>
    </row>
    <row r="375" spans="1:12" x14ac:dyDescent="0.3">
      <c r="A375" s="29" t="str">
        <f>Detalle_OC[[#This Row],[Centro]]&amp;Detalle_OC[[#This Row],[Nom Almacen]]&amp;Detalle_OC[[#This Row],[Material]]&amp;Detalle_OC[[#This Row],[Pedido]]&amp;Detalle_OC[[#This Row],[Posicion]]</f>
        <v>Agricola del Chira PlantaAlmacen Lobo744278451157344990</v>
      </c>
      <c r="B375" t="s">
        <v>26</v>
      </c>
      <c r="C375" t="s">
        <v>24</v>
      </c>
      <c r="D375" s="11">
        <v>45660</v>
      </c>
      <c r="E375" t="s">
        <v>16</v>
      </c>
      <c r="F375" t="s">
        <v>12</v>
      </c>
      <c r="G375">
        <v>744278</v>
      </c>
      <c r="H375">
        <v>4511573449</v>
      </c>
      <c r="I375">
        <v>90</v>
      </c>
      <c r="J375" s="29">
        <v>7</v>
      </c>
      <c r="K375" s="29" t="s">
        <v>1023</v>
      </c>
      <c r="L375" t="str">
        <f>IFERROR(VLOOKUP(Detalle_OC[[#This Row],[Centro]]&amp;Detalle_OC[[#This Row],[Nro Almacen]],Almacen!A:D,4,FALSE),"")</f>
        <v>Almacen Lobo</v>
      </c>
    </row>
    <row r="376" spans="1:12" x14ac:dyDescent="0.3">
      <c r="A376" s="29" t="str">
        <f>Detalle_OC[[#This Row],[Centro]]&amp;Detalle_OC[[#This Row],[Nom Almacen]]&amp;Detalle_OC[[#This Row],[Material]]&amp;Detalle_OC[[#This Row],[Pedido]]&amp;Detalle_OC[[#This Row],[Posicion]]</f>
        <v>Agricola del Chira PlantaAlmacen Lobo8633644511573449110</v>
      </c>
      <c r="B376" t="s">
        <v>26</v>
      </c>
      <c r="C376" t="s">
        <v>24</v>
      </c>
      <c r="D376" s="11">
        <v>45660</v>
      </c>
      <c r="E376" t="s">
        <v>16</v>
      </c>
      <c r="F376" t="s">
        <v>12</v>
      </c>
      <c r="G376">
        <v>863364</v>
      </c>
      <c r="H376">
        <v>4511573449</v>
      </c>
      <c r="I376">
        <v>110</v>
      </c>
      <c r="J376" s="29">
        <v>7</v>
      </c>
      <c r="K376" s="29" t="s">
        <v>1023</v>
      </c>
      <c r="L376" t="str">
        <f>IFERROR(VLOOKUP(Detalle_OC[[#This Row],[Centro]]&amp;Detalle_OC[[#This Row],[Nro Almacen]],Almacen!A:D,4,FALSE),"")</f>
        <v>Almacen Lobo</v>
      </c>
    </row>
    <row r="377" spans="1:12" x14ac:dyDescent="0.3">
      <c r="A377" s="29" t="str">
        <f>Detalle_OC[[#This Row],[Centro]]&amp;Detalle_OC[[#This Row],[Nom Almacen]]&amp;Detalle_OC[[#This Row],[Material]]&amp;Detalle_OC[[#This Row],[Pedido]]&amp;Detalle_OC[[#This Row],[Posicion]]</f>
        <v>Agricola del Chira PlantaAlmacen Lobo8633624511573449120</v>
      </c>
      <c r="B377" t="s">
        <v>26</v>
      </c>
      <c r="C377" t="s">
        <v>24</v>
      </c>
      <c r="D377" s="11">
        <v>45660</v>
      </c>
      <c r="E377" t="s">
        <v>16</v>
      </c>
      <c r="F377" t="s">
        <v>12</v>
      </c>
      <c r="G377">
        <v>863362</v>
      </c>
      <c r="H377">
        <v>4511573449</v>
      </c>
      <c r="I377">
        <v>120</v>
      </c>
      <c r="J377" s="29">
        <v>7</v>
      </c>
      <c r="K377" s="29" t="s">
        <v>1023</v>
      </c>
      <c r="L377" t="str">
        <f>IFERROR(VLOOKUP(Detalle_OC[[#This Row],[Centro]]&amp;Detalle_OC[[#This Row],[Nro Almacen]],Almacen!A:D,4,FALSE),"")</f>
        <v>Almacen Lobo</v>
      </c>
    </row>
    <row r="378" spans="1:12" x14ac:dyDescent="0.3">
      <c r="A378" s="29" t="str">
        <f>Detalle_OC[[#This Row],[Centro]]&amp;Detalle_OC[[#This Row],[Nom Almacen]]&amp;Detalle_OC[[#This Row],[Material]]&amp;Detalle_OC[[#This Row],[Pedido]]&amp;Detalle_OC[[#This Row],[Posicion]]</f>
        <v>Agricola del Chira PlantaAlmacen Lobo8244184511573449130</v>
      </c>
      <c r="B378" t="s">
        <v>26</v>
      </c>
      <c r="C378" t="s">
        <v>24</v>
      </c>
      <c r="D378" s="11">
        <v>45660</v>
      </c>
      <c r="E378" t="s">
        <v>16</v>
      </c>
      <c r="F378" t="s">
        <v>12</v>
      </c>
      <c r="G378">
        <v>824418</v>
      </c>
      <c r="H378">
        <v>4511573449</v>
      </c>
      <c r="I378">
        <v>130</v>
      </c>
      <c r="J378" s="29">
        <v>7</v>
      </c>
      <c r="K378" s="29" t="s">
        <v>1023</v>
      </c>
      <c r="L378" t="str">
        <f>IFERROR(VLOOKUP(Detalle_OC[[#This Row],[Centro]]&amp;Detalle_OC[[#This Row],[Nro Almacen]],Almacen!A:D,4,FALSE),"")</f>
        <v>Almacen Lobo</v>
      </c>
    </row>
    <row r="379" spans="1:12" x14ac:dyDescent="0.3">
      <c r="A379" s="29" t="str">
        <f>Detalle_OC[[#This Row],[Centro]]&amp;Detalle_OC[[#This Row],[Nom Almacen]]&amp;Detalle_OC[[#This Row],[Material]]&amp;Detalle_OC[[#This Row],[Pedido]]&amp;Detalle_OC[[#This Row],[Posicion]]</f>
        <v>Agricola del Chira PlantaAlmacen Lobo7217084511573449150</v>
      </c>
      <c r="B379" t="s">
        <v>26</v>
      </c>
      <c r="C379" t="s">
        <v>24</v>
      </c>
      <c r="D379" s="11">
        <v>45660</v>
      </c>
      <c r="E379" t="s">
        <v>16</v>
      </c>
      <c r="F379" t="s">
        <v>12</v>
      </c>
      <c r="G379">
        <v>721708</v>
      </c>
      <c r="H379">
        <v>4511573449</v>
      </c>
      <c r="I379">
        <v>150</v>
      </c>
      <c r="J379" s="29">
        <v>7</v>
      </c>
      <c r="K379" s="29" t="s">
        <v>1023</v>
      </c>
      <c r="L379" t="str">
        <f>IFERROR(VLOOKUP(Detalle_OC[[#This Row],[Centro]]&amp;Detalle_OC[[#This Row],[Nro Almacen]],Almacen!A:D,4,FALSE),"")</f>
        <v>Almacen Lobo</v>
      </c>
    </row>
    <row r="380" spans="1:12" x14ac:dyDescent="0.3">
      <c r="A380" s="29" t="str">
        <f>Detalle_OC[[#This Row],[Centro]]&amp;Detalle_OC[[#This Row],[Nom Almacen]]&amp;Detalle_OC[[#This Row],[Material]]&amp;Detalle_OC[[#This Row],[Pedido]]&amp;Detalle_OC[[#This Row],[Posicion]]</f>
        <v>Agricola del Chira PlantaMontelima847696451157348010</v>
      </c>
      <c r="B380" t="s">
        <v>15</v>
      </c>
      <c r="C380" t="s">
        <v>41</v>
      </c>
      <c r="D380" s="11">
        <v>45670</v>
      </c>
      <c r="E380" t="s">
        <v>16</v>
      </c>
      <c r="F380" t="s">
        <v>12</v>
      </c>
      <c r="G380">
        <v>847696</v>
      </c>
      <c r="H380">
        <v>4511573480</v>
      </c>
      <c r="I380">
        <v>10</v>
      </c>
      <c r="J380" s="29">
        <v>1</v>
      </c>
      <c r="K380" s="29" t="s">
        <v>1023</v>
      </c>
      <c r="L380" t="str">
        <f>IFERROR(VLOOKUP(Detalle_OC[[#This Row],[Centro]]&amp;Detalle_OC[[#This Row],[Nro Almacen]],Almacen!A:D,4,FALSE),"")</f>
        <v>Montelima</v>
      </c>
    </row>
    <row r="381" spans="1:12" x14ac:dyDescent="0.3">
      <c r="A381" s="29" t="str">
        <f>Detalle_OC[[#This Row],[Centro]]&amp;Detalle_OC[[#This Row],[Nom Almacen]]&amp;Detalle_OC[[#This Row],[Material]]&amp;Detalle_OC[[#This Row],[Pedido]]&amp;Detalle_OC[[#This Row],[Posicion]]</f>
        <v>Sucroalcolera del Chira PlantaMontelima847702451157348110</v>
      </c>
      <c r="B381" t="s">
        <v>15</v>
      </c>
      <c r="C381" t="s">
        <v>41</v>
      </c>
      <c r="D381" s="11">
        <v>45670</v>
      </c>
      <c r="E381" t="s">
        <v>16</v>
      </c>
      <c r="F381" t="s">
        <v>85</v>
      </c>
      <c r="G381">
        <v>847702</v>
      </c>
      <c r="H381">
        <v>4511573481</v>
      </c>
      <c r="I381">
        <v>10</v>
      </c>
      <c r="J381" s="29">
        <v>1</v>
      </c>
      <c r="K381" s="29" t="s">
        <v>1023</v>
      </c>
      <c r="L381" t="str">
        <f>IFERROR(VLOOKUP(Detalle_OC[[#This Row],[Centro]]&amp;Detalle_OC[[#This Row],[Nro Almacen]],Almacen!A:D,4,FALSE),"")</f>
        <v>Montelima</v>
      </c>
    </row>
    <row r="382" spans="1:12" x14ac:dyDescent="0.3">
      <c r="A382" s="29" t="str">
        <f>Detalle_OC[[#This Row],[Centro]]&amp;Detalle_OC[[#This Row],[Nom Almacen]]&amp;Detalle_OC[[#This Row],[Material]]&amp;Detalle_OC[[#This Row],[Pedido]]&amp;Detalle_OC[[#This Row],[Posicion]]</f>
        <v>Agricola del Chira PlantaMontelima70129788451157348310</v>
      </c>
      <c r="B382" t="s">
        <v>15</v>
      </c>
      <c r="C382" t="s">
        <v>211</v>
      </c>
      <c r="D382" s="11">
        <v>45670</v>
      </c>
      <c r="E382" t="s">
        <v>16</v>
      </c>
      <c r="F382" t="s">
        <v>12</v>
      </c>
      <c r="G382">
        <v>70129788</v>
      </c>
      <c r="H382">
        <v>4511573483</v>
      </c>
      <c r="I382">
        <v>10</v>
      </c>
      <c r="J382" s="29">
        <v>1</v>
      </c>
      <c r="K382" s="29" t="s">
        <v>1023</v>
      </c>
      <c r="L382" t="str">
        <f>IFERROR(VLOOKUP(Detalle_OC[[#This Row],[Centro]]&amp;Detalle_OC[[#This Row],[Nro Almacen]],Almacen!A:D,4,FALSE),"")</f>
        <v>Montelima</v>
      </c>
    </row>
    <row r="383" spans="1:12" x14ac:dyDescent="0.3">
      <c r="A383" s="29" t="str">
        <f>Detalle_OC[[#This Row],[Centro]]&amp;Detalle_OC[[#This Row],[Nom Almacen]]&amp;Detalle_OC[[#This Row],[Material]]&amp;Detalle_OC[[#This Row],[Pedido]]&amp;Detalle_OC[[#This Row],[Posicion]]</f>
        <v>Sucroalcolera del Chira PlantaMontelima70011211451157348410</v>
      </c>
      <c r="B383" t="s">
        <v>15</v>
      </c>
      <c r="C383" t="s">
        <v>211</v>
      </c>
      <c r="D383" s="11">
        <v>45670</v>
      </c>
      <c r="E383" t="s">
        <v>16</v>
      </c>
      <c r="F383" t="s">
        <v>85</v>
      </c>
      <c r="G383">
        <v>70011211</v>
      </c>
      <c r="H383">
        <v>4511573484</v>
      </c>
      <c r="I383">
        <v>10</v>
      </c>
      <c r="J383" s="29">
        <v>1</v>
      </c>
      <c r="K383" s="29" t="s">
        <v>1023</v>
      </c>
      <c r="L383" t="str">
        <f>IFERROR(VLOOKUP(Detalle_OC[[#This Row],[Centro]]&amp;Detalle_OC[[#This Row],[Nro Almacen]],Almacen!A:D,4,FALSE),"")</f>
        <v>Montelima</v>
      </c>
    </row>
    <row r="384" spans="1:12" x14ac:dyDescent="0.3">
      <c r="A384" s="29" t="str">
        <f>Detalle_OC[[#This Row],[Centro]]&amp;Detalle_OC[[#This Row],[Nom Almacen]]&amp;Detalle_OC[[#This Row],[Material]]&amp;Detalle_OC[[#This Row],[Pedido]]&amp;Detalle_OC[[#This Row],[Posicion]]</f>
        <v>Agricola del Chira PlantaAlmacen Lobo769670451157348510</v>
      </c>
      <c r="B384" t="s">
        <v>149</v>
      </c>
      <c r="C384" t="s">
        <v>96</v>
      </c>
      <c r="D384" s="11">
        <v>45667</v>
      </c>
      <c r="E384" t="s">
        <v>16</v>
      </c>
      <c r="F384" t="s">
        <v>12</v>
      </c>
      <c r="G384">
        <v>769670</v>
      </c>
      <c r="H384">
        <v>4511573485</v>
      </c>
      <c r="I384">
        <v>10</v>
      </c>
      <c r="J384" s="29">
        <v>7</v>
      </c>
      <c r="K384" s="29" t="s">
        <v>1023</v>
      </c>
      <c r="L384" t="str">
        <f>IFERROR(VLOOKUP(Detalle_OC[[#This Row],[Centro]]&amp;Detalle_OC[[#This Row],[Nro Almacen]],Almacen!A:D,4,FALSE),"")</f>
        <v>Almacen Lobo</v>
      </c>
    </row>
    <row r="385" spans="1:12" x14ac:dyDescent="0.3">
      <c r="A385" s="29" t="str">
        <f>Detalle_OC[[#This Row],[Centro]]&amp;Detalle_OC[[#This Row],[Nom Almacen]]&amp;Detalle_OC[[#This Row],[Material]]&amp;Detalle_OC[[#This Row],[Pedido]]&amp;Detalle_OC[[#This Row],[Posicion]]</f>
        <v>Agricola del Chira PlantaAlmacen Lobo769670451157348520</v>
      </c>
      <c r="B385" t="s">
        <v>149</v>
      </c>
      <c r="C385" t="s">
        <v>96</v>
      </c>
      <c r="D385" s="11">
        <v>45667</v>
      </c>
      <c r="E385" t="s">
        <v>16</v>
      </c>
      <c r="F385" t="s">
        <v>12</v>
      </c>
      <c r="G385">
        <v>769670</v>
      </c>
      <c r="H385">
        <v>4511573485</v>
      </c>
      <c r="I385">
        <v>20</v>
      </c>
      <c r="J385" s="29">
        <v>7</v>
      </c>
      <c r="K385" s="29" t="s">
        <v>1023</v>
      </c>
      <c r="L385" t="str">
        <f>IFERROR(VLOOKUP(Detalle_OC[[#This Row],[Centro]]&amp;Detalle_OC[[#This Row],[Nro Almacen]],Almacen!A:D,4,FALSE),"")</f>
        <v>Almacen Lobo</v>
      </c>
    </row>
    <row r="386" spans="1:12" x14ac:dyDescent="0.3">
      <c r="A386" s="29" t="str">
        <f>Detalle_OC[[#This Row],[Centro]]&amp;Detalle_OC[[#This Row],[Nom Almacen]]&amp;Detalle_OC[[#This Row],[Material]]&amp;Detalle_OC[[#This Row],[Pedido]]&amp;Detalle_OC[[#This Row],[Posicion]]</f>
        <v>Agricola del Chira PlantaAlmacen Lobo763905451157348720</v>
      </c>
      <c r="B386" t="s">
        <v>149</v>
      </c>
      <c r="C386" t="s">
        <v>44</v>
      </c>
      <c r="D386" s="11">
        <v>45677</v>
      </c>
      <c r="E386" t="s">
        <v>16</v>
      </c>
      <c r="F386" t="s">
        <v>12</v>
      </c>
      <c r="G386">
        <v>763905</v>
      </c>
      <c r="H386">
        <v>4511573487</v>
      </c>
      <c r="I386">
        <v>20</v>
      </c>
      <c r="J386" s="29">
        <v>7</v>
      </c>
      <c r="K386" s="29" t="s">
        <v>1023</v>
      </c>
      <c r="L386" t="str">
        <f>IFERROR(VLOOKUP(Detalle_OC[[#This Row],[Centro]]&amp;Detalle_OC[[#This Row],[Nro Almacen]],Almacen!A:D,4,FALSE),"")</f>
        <v>Almacen Lobo</v>
      </c>
    </row>
    <row r="387" spans="1:12" x14ac:dyDescent="0.3">
      <c r="A387" s="29" t="str">
        <f>Detalle_OC[[#This Row],[Centro]]&amp;Detalle_OC[[#This Row],[Nom Almacen]]&amp;Detalle_OC[[#This Row],[Material]]&amp;Detalle_OC[[#This Row],[Pedido]]&amp;Detalle_OC[[#This Row],[Posicion]]</f>
        <v>Agricola del Chira PlantaAlmacen Lobo70012257451157349010</v>
      </c>
      <c r="B387" t="s">
        <v>265</v>
      </c>
      <c r="C387" t="s">
        <v>44</v>
      </c>
      <c r="D387" s="11">
        <v>45672</v>
      </c>
      <c r="E387" t="s">
        <v>16</v>
      </c>
      <c r="F387" t="s">
        <v>12</v>
      </c>
      <c r="G387">
        <v>70012257</v>
      </c>
      <c r="H387">
        <v>4511573490</v>
      </c>
      <c r="I387">
        <v>10</v>
      </c>
      <c r="J387" s="29">
        <v>7</v>
      </c>
      <c r="K387" s="29" t="s">
        <v>1023</v>
      </c>
      <c r="L387" t="str">
        <f>IFERROR(VLOOKUP(Detalle_OC[[#This Row],[Centro]]&amp;Detalle_OC[[#This Row],[Nro Almacen]],Almacen!A:D,4,FALSE),"")</f>
        <v>Almacen Lobo</v>
      </c>
    </row>
    <row r="388" spans="1:12" x14ac:dyDescent="0.3">
      <c r="A388" s="29" t="str">
        <f>Detalle_OC[[#This Row],[Centro]]&amp;Detalle_OC[[#This Row],[Nom Almacen]]&amp;Detalle_OC[[#This Row],[Material]]&amp;Detalle_OC[[#This Row],[Pedido]]&amp;Detalle_OC[[#This Row],[Posicion]]</f>
        <v>Sucroalcolera del Chira PlantaMontelima891646451157349710</v>
      </c>
      <c r="B388" t="s">
        <v>15</v>
      </c>
      <c r="C388" t="s">
        <v>96</v>
      </c>
      <c r="D388" s="11">
        <v>45670</v>
      </c>
      <c r="E388" t="s">
        <v>16</v>
      </c>
      <c r="F388" t="s">
        <v>85</v>
      </c>
      <c r="G388">
        <v>891646</v>
      </c>
      <c r="H388">
        <v>4511573497</v>
      </c>
      <c r="I388">
        <v>10</v>
      </c>
      <c r="J388" s="29">
        <v>1</v>
      </c>
      <c r="K388" s="29" t="s">
        <v>1023</v>
      </c>
      <c r="L388" t="str">
        <f>IFERROR(VLOOKUP(Detalle_OC[[#This Row],[Centro]]&amp;Detalle_OC[[#This Row],[Nro Almacen]],Almacen!A:D,4,FALSE),"")</f>
        <v>Montelima</v>
      </c>
    </row>
    <row r="389" spans="1:12" x14ac:dyDescent="0.3">
      <c r="A389" s="29" t="str">
        <f>Detalle_OC[[#This Row],[Centro]]&amp;Detalle_OC[[#This Row],[Nom Almacen]]&amp;Detalle_OC[[#This Row],[Material]]&amp;Detalle_OC[[#This Row],[Pedido]]&amp;Detalle_OC[[#This Row],[Posicion]]</f>
        <v>Sucroalcolera del Chira PlantaMontelimaCF20800110        451157349720</v>
      </c>
      <c r="B389" t="s">
        <v>15</v>
      </c>
      <c r="C389" t="s">
        <v>96</v>
      </c>
      <c r="D389" s="11">
        <v>45670</v>
      </c>
      <c r="E389" t="s">
        <v>16</v>
      </c>
      <c r="F389" t="s">
        <v>85</v>
      </c>
      <c r="G389" t="s">
        <v>222</v>
      </c>
      <c r="H389">
        <v>4511573497</v>
      </c>
      <c r="I389">
        <v>20</v>
      </c>
      <c r="J389" s="29">
        <v>1</v>
      </c>
      <c r="K389" s="29" t="s">
        <v>1023</v>
      </c>
      <c r="L389" t="str">
        <f>IFERROR(VLOOKUP(Detalle_OC[[#This Row],[Centro]]&amp;Detalle_OC[[#This Row],[Nro Almacen]],Almacen!A:D,4,FALSE),"")</f>
        <v>Montelima</v>
      </c>
    </row>
    <row r="390" spans="1:12" x14ac:dyDescent="0.3">
      <c r="A390" s="29" t="str">
        <f>Detalle_OC[[#This Row],[Centro]]&amp;Detalle_OC[[#This Row],[Nom Almacen]]&amp;Detalle_OC[[#This Row],[Material]]&amp;Detalle_OC[[#This Row],[Pedido]]&amp;Detalle_OC[[#This Row],[Posicion]]</f>
        <v>Agricola del Chira PlantaSan Vicente882180451157349910</v>
      </c>
      <c r="B390" t="s">
        <v>159</v>
      </c>
      <c r="C390" t="s">
        <v>44</v>
      </c>
      <c r="D390" s="11">
        <v>45664</v>
      </c>
      <c r="E390" t="s">
        <v>16</v>
      </c>
      <c r="F390" t="s">
        <v>12</v>
      </c>
      <c r="G390">
        <v>882180</v>
      </c>
      <c r="H390">
        <v>4511573499</v>
      </c>
      <c r="I390">
        <v>10</v>
      </c>
      <c r="J390" s="29">
        <v>3</v>
      </c>
      <c r="K390" s="29" t="s">
        <v>1023</v>
      </c>
      <c r="L390" t="str">
        <f>IFERROR(VLOOKUP(Detalle_OC[[#This Row],[Centro]]&amp;Detalle_OC[[#This Row],[Nro Almacen]],Almacen!A:D,4,FALSE),"")</f>
        <v>San Vicente</v>
      </c>
    </row>
    <row r="391" spans="1:12" x14ac:dyDescent="0.3">
      <c r="A391" s="29" t="str">
        <f>Detalle_OC[[#This Row],[Centro]]&amp;Detalle_OC[[#This Row],[Nom Almacen]]&amp;Detalle_OC[[#This Row],[Material]]&amp;Detalle_OC[[#This Row],[Pedido]]&amp;Detalle_OC[[#This Row],[Posicion]]</f>
        <v>Agricola del Chira PlantaMontelima70012902451157349920</v>
      </c>
      <c r="B391" t="s">
        <v>145</v>
      </c>
      <c r="C391" t="s">
        <v>44</v>
      </c>
      <c r="D391" s="11">
        <v>45664</v>
      </c>
      <c r="E391" t="s">
        <v>16</v>
      </c>
      <c r="F391" t="s">
        <v>12</v>
      </c>
      <c r="G391">
        <v>70012902</v>
      </c>
      <c r="H391">
        <v>4511573499</v>
      </c>
      <c r="I391">
        <v>20</v>
      </c>
      <c r="J391" s="29">
        <v>1</v>
      </c>
      <c r="K391" s="29" t="s">
        <v>1023</v>
      </c>
      <c r="L391" t="str">
        <f>IFERROR(VLOOKUP(Detalle_OC[[#This Row],[Centro]]&amp;Detalle_OC[[#This Row],[Nro Almacen]],Almacen!A:D,4,FALSE),"")</f>
        <v>Montelima</v>
      </c>
    </row>
    <row r="392" spans="1:12" x14ac:dyDescent="0.3">
      <c r="A392" s="29" t="str">
        <f>Detalle_OC[[#This Row],[Centro]]&amp;Detalle_OC[[#This Row],[Nom Almacen]]&amp;Detalle_OC[[#This Row],[Material]]&amp;Detalle_OC[[#This Row],[Pedido]]&amp;Detalle_OC[[#This Row],[Posicion]]</f>
        <v>Agricola del Chira PlantaMontelima70063141451157349940</v>
      </c>
      <c r="B392" t="s">
        <v>145</v>
      </c>
      <c r="C392" t="s">
        <v>44</v>
      </c>
      <c r="D392" s="11">
        <v>45664</v>
      </c>
      <c r="E392" t="s">
        <v>16</v>
      </c>
      <c r="F392" t="s">
        <v>12</v>
      </c>
      <c r="G392">
        <v>70063141</v>
      </c>
      <c r="H392">
        <v>4511573499</v>
      </c>
      <c r="I392">
        <v>40</v>
      </c>
      <c r="J392" s="29">
        <v>1</v>
      </c>
      <c r="K392" s="29" t="s">
        <v>1023</v>
      </c>
      <c r="L392" t="str">
        <f>IFERROR(VLOOKUP(Detalle_OC[[#This Row],[Centro]]&amp;Detalle_OC[[#This Row],[Nro Almacen]],Almacen!A:D,4,FALSE),"")</f>
        <v>Montelima</v>
      </c>
    </row>
    <row r="393" spans="1:12" x14ac:dyDescent="0.3">
      <c r="A393" s="29" t="str">
        <f>Detalle_OC[[#This Row],[Centro]]&amp;Detalle_OC[[#This Row],[Nom Almacen]]&amp;Detalle_OC[[#This Row],[Material]]&amp;Detalle_OC[[#This Row],[Pedido]]&amp;Detalle_OC[[#This Row],[Posicion]]</f>
        <v>Agricola del Chira PlantaMontelima70012904451157350040</v>
      </c>
      <c r="B393" t="s">
        <v>145</v>
      </c>
      <c r="C393" t="s">
        <v>44</v>
      </c>
      <c r="D393" s="11">
        <v>45672</v>
      </c>
      <c r="E393" t="s">
        <v>16</v>
      </c>
      <c r="F393" t="s">
        <v>12</v>
      </c>
      <c r="G393">
        <v>70012904</v>
      </c>
      <c r="H393">
        <v>4511573500</v>
      </c>
      <c r="I393">
        <v>40</v>
      </c>
      <c r="J393" s="29">
        <v>1</v>
      </c>
      <c r="K393" s="29" t="s">
        <v>1023</v>
      </c>
      <c r="L393" t="str">
        <f>IFERROR(VLOOKUP(Detalle_OC[[#This Row],[Centro]]&amp;Detalle_OC[[#This Row],[Nro Almacen]],Almacen!A:D,4,FALSE),"")</f>
        <v>Montelima</v>
      </c>
    </row>
    <row r="394" spans="1:12" x14ac:dyDescent="0.3">
      <c r="A394" s="29" t="str">
        <f>Detalle_OC[[#This Row],[Centro]]&amp;Detalle_OC[[#This Row],[Nom Almacen]]&amp;Detalle_OC[[#This Row],[Material]]&amp;Detalle_OC[[#This Row],[Pedido]]&amp;Detalle_OC[[#This Row],[Posicion]]</f>
        <v>Agricola del Chira PlantaSan Vicente880204451157350110</v>
      </c>
      <c r="B394" t="s">
        <v>15</v>
      </c>
      <c r="C394" t="s">
        <v>44</v>
      </c>
      <c r="D394" s="11">
        <v>45672</v>
      </c>
      <c r="E394" t="s">
        <v>16</v>
      </c>
      <c r="F394" t="s">
        <v>12</v>
      </c>
      <c r="G394">
        <v>880204</v>
      </c>
      <c r="H394">
        <v>4511573501</v>
      </c>
      <c r="I394">
        <v>10</v>
      </c>
      <c r="J394" s="29">
        <v>3</v>
      </c>
      <c r="K394" s="29" t="s">
        <v>1023</v>
      </c>
      <c r="L394" t="str">
        <f>IFERROR(VLOOKUP(Detalle_OC[[#This Row],[Centro]]&amp;Detalle_OC[[#This Row],[Nro Almacen]],Almacen!A:D,4,FALSE),"")</f>
        <v>San Vicente</v>
      </c>
    </row>
    <row r="395" spans="1:12" x14ac:dyDescent="0.3">
      <c r="A395" s="29" t="str">
        <f>Detalle_OC[[#This Row],[Centro]]&amp;Detalle_OC[[#This Row],[Nom Almacen]]&amp;Detalle_OC[[#This Row],[Material]]&amp;Detalle_OC[[#This Row],[Pedido]]&amp;Detalle_OC[[#This Row],[Posicion]]</f>
        <v>Sucroalcolera del Chira PlantaMontelima880205451157350210</v>
      </c>
      <c r="B395" t="s">
        <v>138</v>
      </c>
      <c r="C395" t="s">
        <v>44</v>
      </c>
      <c r="D395" s="11">
        <v>45663</v>
      </c>
      <c r="E395" t="s">
        <v>16</v>
      </c>
      <c r="F395" t="s">
        <v>85</v>
      </c>
      <c r="G395">
        <v>880205</v>
      </c>
      <c r="H395">
        <v>4511573502</v>
      </c>
      <c r="I395">
        <v>10</v>
      </c>
      <c r="J395" s="29">
        <v>1</v>
      </c>
      <c r="K395" s="29" t="s">
        <v>1023</v>
      </c>
      <c r="L395" t="str">
        <f>IFERROR(VLOOKUP(Detalle_OC[[#This Row],[Centro]]&amp;Detalle_OC[[#This Row],[Nro Almacen]],Almacen!A:D,4,FALSE),"")</f>
        <v>Montelima</v>
      </c>
    </row>
    <row r="396" spans="1:12" x14ac:dyDescent="0.3">
      <c r="A396" s="29" t="str">
        <f>Detalle_OC[[#This Row],[Centro]]&amp;Detalle_OC[[#This Row],[Nom Almacen]]&amp;Detalle_OC[[#This Row],[Material]]&amp;Detalle_OC[[#This Row],[Pedido]]&amp;Detalle_OC[[#This Row],[Posicion]]</f>
        <v>Sucroalcolera del Chira PlantaMontelima866583451157350910</v>
      </c>
      <c r="B396" t="s">
        <v>140</v>
      </c>
      <c r="C396" t="s">
        <v>22</v>
      </c>
      <c r="D396" s="11">
        <v>45663</v>
      </c>
      <c r="E396" t="s">
        <v>16</v>
      </c>
      <c r="F396" t="s">
        <v>85</v>
      </c>
      <c r="G396">
        <v>866583</v>
      </c>
      <c r="H396">
        <v>4511573509</v>
      </c>
      <c r="I396">
        <v>10</v>
      </c>
      <c r="J396" s="29">
        <v>1</v>
      </c>
      <c r="K396" s="29" t="s">
        <v>1023</v>
      </c>
      <c r="L396" t="str">
        <f>IFERROR(VLOOKUP(Detalle_OC[[#This Row],[Centro]]&amp;Detalle_OC[[#This Row],[Nro Almacen]],Almacen!A:D,4,FALSE),"")</f>
        <v>Montelima</v>
      </c>
    </row>
    <row r="397" spans="1:12" x14ac:dyDescent="0.3">
      <c r="A397" s="29" t="str">
        <f>Detalle_OC[[#This Row],[Centro]]&amp;Detalle_OC[[#This Row],[Nom Almacen]]&amp;Detalle_OC[[#This Row],[Material]]&amp;Detalle_OC[[#This Row],[Pedido]]&amp;Detalle_OC[[#This Row],[Posicion]]</f>
        <v>Sucroalcolera del Chira PlantaMontelima70118260451157351210</v>
      </c>
      <c r="B397" t="s">
        <v>153</v>
      </c>
      <c r="C397" t="s">
        <v>103</v>
      </c>
      <c r="D397" s="11">
        <v>45663</v>
      </c>
      <c r="E397" t="s">
        <v>16</v>
      </c>
      <c r="F397" t="s">
        <v>85</v>
      </c>
      <c r="G397">
        <v>70118260</v>
      </c>
      <c r="H397">
        <v>4511573512</v>
      </c>
      <c r="I397">
        <v>10</v>
      </c>
      <c r="J397" s="29">
        <v>1</v>
      </c>
      <c r="K397" s="29" t="s">
        <v>1023</v>
      </c>
      <c r="L397" t="str">
        <f>IFERROR(VLOOKUP(Detalle_OC[[#This Row],[Centro]]&amp;Detalle_OC[[#This Row],[Nro Almacen]],Almacen!A:D,4,FALSE),"")</f>
        <v>Montelima</v>
      </c>
    </row>
    <row r="398" spans="1:12" x14ac:dyDescent="0.3">
      <c r="A398" s="29" t="str">
        <f>Detalle_OC[[#This Row],[Centro]]&amp;Detalle_OC[[#This Row],[Nom Almacen]]&amp;Detalle_OC[[#This Row],[Material]]&amp;Detalle_OC[[#This Row],[Pedido]]&amp;Detalle_OC[[#This Row],[Posicion]]</f>
        <v>Agricola del Chira PlantaMontelima769670451157351510</v>
      </c>
      <c r="B398" t="s">
        <v>15</v>
      </c>
      <c r="C398" t="s">
        <v>96</v>
      </c>
      <c r="D398" s="11">
        <v>45667</v>
      </c>
      <c r="E398" t="s">
        <v>16</v>
      </c>
      <c r="F398" t="s">
        <v>12</v>
      </c>
      <c r="G398">
        <v>769670</v>
      </c>
      <c r="H398">
        <v>4511573515</v>
      </c>
      <c r="I398">
        <v>10</v>
      </c>
      <c r="J398" s="29">
        <v>1</v>
      </c>
      <c r="K398" s="29" t="s">
        <v>1023</v>
      </c>
      <c r="L398" t="str">
        <f>IFERROR(VLOOKUP(Detalle_OC[[#This Row],[Centro]]&amp;Detalle_OC[[#This Row],[Nro Almacen]],Almacen!A:D,4,FALSE),"")</f>
        <v>Montelima</v>
      </c>
    </row>
    <row r="399" spans="1:12" x14ac:dyDescent="0.3">
      <c r="A399" s="29" t="str">
        <f>Detalle_OC[[#This Row],[Centro]]&amp;Detalle_OC[[#This Row],[Nom Almacen]]&amp;Detalle_OC[[#This Row],[Material]]&amp;Detalle_OC[[#This Row],[Pedido]]&amp;Detalle_OC[[#This Row],[Posicion]]</f>
        <v>Agricola del Chira PlantaLa Huaca70113596451157352810</v>
      </c>
      <c r="B399" t="s">
        <v>26</v>
      </c>
      <c r="C399" t="s">
        <v>44</v>
      </c>
      <c r="D399" s="11">
        <v>45667</v>
      </c>
      <c r="E399" t="s">
        <v>16</v>
      </c>
      <c r="F399" t="s">
        <v>12</v>
      </c>
      <c r="G399">
        <v>70113596</v>
      </c>
      <c r="H399">
        <v>4511573528</v>
      </c>
      <c r="I399">
        <v>10</v>
      </c>
      <c r="J399" s="29">
        <v>2</v>
      </c>
      <c r="K399" s="29" t="s">
        <v>1023</v>
      </c>
      <c r="L399" t="str">
        <f>IFERROR(VLOOKUP(Detalle_OC[[#This Row],[Centro]]&amp;Detalle_OC[[#This Row],[Nro Almacen]],Almacen!A:D,4,FALSE),"")</f>
        <v>La Huaca</v>
      </c>
    </row>
    <row r="400" spans="1:12" x14ac:dyDescent="0.3">
      <c r="A400" s="29" t="str">
        <f>Detalle_OC[[#This Row],[Centro]]&amp;Detalle_OC[[#This Row],[Nom Almacen]]&amp;Detalle_OC[[#This Row],[Material]]&amp;Detalle_OC[[#This Row],[Pedido]]&amp;Detalle_OC[[#This Row],[Posicion]]</f>
        <v>Agricola del Chira PlantaMontelima750393451157353310</v>
      </c>
      <c r="B400" t="s">
        <v>149</v>
      </c>
      <c r="C400" t="s">
        <v>96</v>
      </c>
      <c r="D400" s="11">
        <v>45667</v>
      </c>
      <c r="E400" t="s">
        <v>16</v>
      </c>
      <c r="F400" t="s">
        <v>12</v>
      </c>
      <c r="G400">
        <v>750393</v>
      </c>
      <c r="H400">
        <v>4511573533</v>
      </c>
      <c r="I400">
        <v>10</v>
      </c>
      <c r="J400" s="29">
        <v>1</v>
      </c>
      <c r="K400" s="29" t="s">
        <v>1023</v>
      </c>
      <c r="L400" t="str">
        <f>IFERROR(VLOOKUP(Detalle_OC[[#This Row],[Centro]]&amp;Detalle_OC[[#This Row],[Nro Almacen]],Almacen!A:D,4,FALSE),"")</f>
        <v>Montelima</v>
      </c>
    </row>
    <row r="401" spans="1:12" x14ac:dyDescent="0.3">
      <c r="A401" s="29" t="str">
        <f>Detalle_OC[[#This Row],[Centro]]&amp;Detalle_OC[[#This Row],[Nom Almacen]]&amp;Detalle_OC[[#This Row],[Material]]&amp;Detalle_OC[[#This Row],[Pedido]]&amp;Detalle_OC[[#This Row],[Posicion]]</f>
        <v>Agricola del Chira PlantaAlmacen Lobo849010451157203890</v>
      </c>
      <c r="B401" t="s">
        <v>39</v>
      </c>
      <c r="C401" t="s">
        <v>38</v>
      </c>
      <c r="D401" s="11">
        <v>45657</v>
      </c>
      <c r="E401" t="s">
        <v>16</v>
      </c>
      <c r="F401" t="s">
        <v>12</v>
      </c>
      <c r="G401">
        <v>849010</v>
      </c>
      <c r="H401">
        <v>4511572038</v>
      </c>
      <c r="I401">
        <v>90</v>
      </c>
      <c r="J401" s="29">
        <v>7</v>
      </c>
      <c r="K401" s="29" t="s">
        <v>1024</v>
      </c>
      <c r="L401" t="str">
        <f>IFERROR(VLOOKUP(Detalle_OC[[#This Row],[Centro]]&amp;Detalle_OC[[#This Row],[Nro Almacen]],Almacen!A:D,4,FALSE),"")</f>
        <v>Almacen Lobo</v>
      </c>
    </row>
    <row r="402" spans="1:12" x14ac:dyDescent="0.3">
      <c r="A402" s="29" t="str">
        <f>Detalle_OC[[#This Row],[Centro]]&amp;Detalle_OC[[#This Row],[Nom Almacen]]&amp;Detalle_OC[[#This Row],[Material]]&amp;Detalle_OC[[#This Row],[Pedido]]&amp;Detalle_OC[[#This Row],[Posicion]]</f>
        <v>Agricola del Chira PlantaAlmacen Lobo849010451157332410</v>
      </c>
      <c r="B402" t="s">
        <v>39</v>
      </c>
      <c r="C402" t="s">
        <v>38</v>
      </c>
      <c r="D402" s="11">
        <v>45688</v>
      </c>
      <c r="E402" t="s">
        <v>16</v>
      </c>
      <c r="F402" t="s">
        <v>12</v>
      </c>
      <c r="G402">
        <v>849010</v>
      </c>
      <c r="H402">
        <v>4511573324</v>
      </c>
      <c r="I402">
        <v>10</v>
      </c>
      <c r="J402" s="29">
        <v>7</v>
      </c>
      <c r="K402" s="29" t="s">
        <v>1024</v>
      </c>
      <c r="L402" t="str">
        <f>IFERROR(VLOOKUP(Detalle_OC[[#This Row],[Centro]]&amp;Detalle_OC[[#This Row],[Nro Almacen]],Almacen!A:D,4,FALSE),"")</f>
        <v>Almacen Lobo</v>
      </c>
    </row>
    <row r="403" spans="1:12" x14ac:dyDescent="0.3">
      <c r="A403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fábrica70110910451157332920</v>
      </c>
      <c r="B403" t="s">
        <v>142</v>
      </c>
      <c r="C403" t="s">
        <v>368</v>
      </c>
      <c r="D403" s="11">
        <v>45677</v>
      </c>
      <c r="E403" t="s">
        <v>16</v>
      </c>
      <c r="F403" t="s">
        <v>85</v>
      </c>
      <c r="G403">
        <v>70110910</v>
      </c>
      <c r="H403">
        <v>4511573329</v>
      </c>
      <c r="I403">
        <v>20</v>
      </c>
      <c r="J403" s="29">
        <v>9</v>
      </c>
      <c r="K403" s="29" t="s">
        <v>1024</v>
      </c>
      <c r="L403" t="str">
        <f>IFERROR(VLOOKUP(Detalle_OC[[#This Row],[Centro]]&amp;Detalle_OC[[#This Row],[Nro Almacen]],Almacen!A:D,4,FALSE),"")</f>
        <v>Parada fábrica</v>
      </c>
    </row>
    <row r="404" spans="1:12" x14ac:dyDescent="0.3">
      <c r="A404" s="29" t="str">
        <f>Detalle_OC[[#This Row],[Centro]]&amp;Detalle_OC[[#This Row],[Nom Almacen]]&amp;Detalle_OC[[#This Row],[Material]]&amp;Detalle_OC[[#This Row],[Pedido]]&amp;Detalle_OC[[#This Row],[Posicion]]</f>
        <v>Agricola del Chira PlantaMontelima70136047451157333010</v>
      </c>
      <c r="B404" t="s">
        <v>265</v>
      </c>
      <c r="C404" t="s">
        <v>44</v>
      </c>
      <c r="D404" s="11">
        <v>45657</v>
      </c>
      <c r="E404" t="s">
        <v>16</v>
      </c>
      <c r="F404" t="s">
        <v>12</v>
      </c>
      <c r="G404">
        <v>70136047</v>
      </c>
      <c r="H404">
        <v>4511573330</v>
      </c>
      <c r="I404">
        <v>10</v>
      </c>
      <c r="J404" s="29">
        <v>1</v>
      </c>
      <c r="K404" s="29" t="s">
        <v>1024</v>
      </c>
      <c r="L404" t="str">
        <f>IFERROR(VLOOKUP(Detalle_OC[[#This Row],[Centro]]&amp;Detalle_OC[[#This Row],[Nro Almacen]],Almacen!A:D,4,FALSE),"")</f>
        <v>Montelima</v>
      </c>
    </row>
    <row r="405" spans="1:12" x14ac:dyDescent="0.3">
      <c r="A405" s="29" t="str">
        <f>Detalle_OC[[#This Row],[Centro]]&amp;Detalle_OC[[#This Row],[Nom Almacen]]&amp;Detalle_OC[[#This Row],[Material]]&amp;Detalle_OC[[#This Row],[Pedido]]&amp;Detalle_OC[[#This Row],[Posicion]]</f>
        <v>Bioenergía del Chira PlantaParada fábrica851069451157333110</v>
      </c>
      <c r="B405" t="s">
        <v>196</v>
      </c>
      <c r="C405" t="s">
        <v>368</v>
      </c>
      <c r="D405" s="11">
        <v>45674</v>
      </c>
      <c r="E405" t="s">
        <v>16</v>
      </c>
      <c r="F405" t="s">
        <v>86</v>
      </c>
      <c r="G405">
        <v>851069</v>
      </c>
      <c r="H405">
        <v>4511573331</v>
      </c>
      <c r="I405">
        <v>10</v>
      </c>
      <c r="J405" s="29">
        <v>4</v>
      </c>
      <c r="K405" s="29" t="s">
        <v>1024</v>
      </c>
      <c r="L405" t="str">
        <f>IFERROR(VLOOKUP(Detalle_OC[[#This Row],[Centro]]&amp;Detalle_OC[[#This Row],[Nro Almacen]],Almacen!A:D,4,FALSE),"")</f>
        <v>Parada fábrica</v>
      </c>
    </row>
    <row r="406" spans="1:12" x14ac:dyDescent="0.3">
      <c r="A406" s="29" t="str">
        <f>Detalle_OC[[#This Row],[Centro]]&amp;Detalle_OC[[#This Row],[Nom Almacen]]&amp;Detalle_OC[[#This Row],[Material]]&amp;Detalle_OC[[#This Row],[Pedido]]&amp;Detalle_OC[[#This Row],[Posicion]]</f>
        <v>FALSO</v>
      </c>
      <c r="B406" t="s">
        <v>163</v>
      </c>
      <c r="D406" s="11" t="s">
        <v>164</v>
      </c>
      <c r="E406" t="b">
        <v>0</v>
      </c>
      <c r="F406" t="b">
        <v>0</v>
      </c>
      <c r="J406" s="29"/>
      <c r="K406" s="29"/>
      <c r="L406" t="str">
        <f>IFERROR(VLOOKUP(Detalle_OC[[#This Row],[Centro]]&amp;Detalle_OC[[#This Row],[Nro Almacen]],Almacen!A:D,4,FALSE),"")</f>
        <v/>
      </c>
    </row>
    <row r="407" spans="1:12" x14ac:dyDescent="0.3">
      <c r="A407" s="29" t="str">
        <f>Detalle_OC[[#This Row],[Centro]]&amp;Detalle_OC[[#This Row],[Nom Almacen]]&amp;Detalle_OC[[#This Row],[Material]]&amp;Detalle_OC[[#This Row],[Pedido]]&amp;Detalle_OC[[#This Row],[Posicion]]</f>
        <v>FALSO4511573335101</v>
      </c>
      <c r="B407" t="s">
        <v>195</v>
      </c>
      <c r="C407" t="s">
        <v>1120</v>
      </c>
      <c r="D407" s="11" t="s">
        <v>165</v>
      </c>
      <c r="E407" t="b">
        <v>0</v>
      </c>
      <c r="F407" t="b">
        <v>0</v>
      </c>
      <c r="G407">
        <v>4511573335</v>
      </c>
      <c r="H407">
        <v>10</v>
      </c>
      <c r="I407">
        <v>1</v>
      </c>
      <c r="J407" s="29" t="s">
        <v>1024</v>
      </c>
      <c r="K407" s="29"/>
      <c r="L407" t="str">
        <f>IFERROR(VLOOKUP(Detalle_OC[[#This Row],[Centro]]&amp;Detalle_OC[[#This Row],[Nro Almacen]],Almacen!A:D,4,FALSE),"")</f>
        <v/>
      </c>
    </row>
    <row r="408" spans="1:12" x14ac:dyDescent="0.3">
      <c r="A408" s="29" t="str">
        <f>Detalle_OC[[#This Row],[Centro]]&amp;Detalle_OC[[#This Row],[Nom Almacen]]&amp;Detalle_OC[[#This Row],[Material]]&amp;Detalle_OC[[#This Row],[Pedido]]&amp;Detalle_OC[[#This Row],[Posicion]]</f>
        <v>Agricola del Chira PlantaMontelima810249451157339910</v>
      </c>
      <c r="B408" t="s">
        <v>234</v>
      </c>
      <c r="C408" t="s">
        <v>166</v>
      </c>
      <c r="D408" s="11">
        <v>45674</v>
      </c>
      <c r="E408" t="s">
        <v>16</v>
      </c>
      <c r="F408" t="s">
        <v>12</v>
      </c>
      <c r="G408">
        <v>810249</v>
      </c>
      <c r="H408">
        <v>4511573399</v>
      </c>
      <c r="I408">
        <v>10</v>
      </c>
      <c r="J408" s="29">
        <v>1</v>
      </c>
      <c r="K408" s="29" t="s">
        <v>1024</v>
      </c>
      <c r="L408" t="str">
        <f>IFERROR(VLOOKUP(Detalle_OC[[#This Row],[Centro]]&amp;Detalle_OC[[#This Row],[Nro Almacen]],Almacen!A:D,4,FALSE),"")</f>
        <v>Montelima</v>
      </c>
    </row>
    <row r="409" spans="1:12" x14ac:dyDescent="0.3">
      <c r="A409" s="29" t="str">
        <f>Detalle_OC[[#This Row],[Centro]]&amp;Detalle_OC[[#This Row],[Nom Almacen]]&amp;Detalle_OC[[#This Row],[Material]]&amp;Detalle_OC[[#This Row],[Pedido]]&amp;Detalle_OC[[#This Row],[Posicion]]</f>
        <v>Agricola del Chira PlantaMontelima828049451157339920</v>
      </c>
      <c r="B409" t="s">
        <v>234</v>
      </c>
      <c r="C409" t="s">
        <v>166</v>
      </c>
      <c r="D409" s="11">
        <v>45674</v>
      </c>
      <c r="E409" t="s">
        <v>16</v>
      </c>
      <c r="F409" t="s">
        <v>12</v>
      </c>
      <c r="G409">
        <v>828049</v>
      </c>
      <c r="H409">
        <v>4511573399</v>
      </c>
      <c r="I409">
        <v>20</v>
      </c>
      <c r="J409" s="29">
        <v>1</v>
      </c>
      <c r="K409" s="29" t="s">
        <v>1024</v>
      </c>
      <c r="L409" t="str">
        <f>IFERROR(VLOOKUP(Detalle_OC[[#This Row],[Centro]]&amp;Detalle_OC[[#This Row],[Nro Almacen]],Almacen!A:D,4,FALSE),"")</f>
        <v>Montelima</v>
      </c>
    </row>
    <row r="410" spans="1:12" x14ac:dyDescent="0.3">
      <c r="A410" s="29" t="str">
        <f>Detalle_OC[[#This Row],[Centro]]&amp;Detalle_OC[[#This Row],[Nom Almacen]]&amp;Detalle_OC[[#This Row],[Material]]&amp;Detalle_OC[[#This Row],[Pedido]]&amp;Detalle_OC[[#This Row],[Posicion]]</f>
        <v>Agricola del Chira PlantaMontelima840971451157339930</v>
      </c>
      <c r="B410" t="s">
        <v>234</v>
      </c>
      <c r="C410" t="s">
        <v>166</v>
      </c>
      <c r="D410" s="11">
        <v>45674</v>
      </c>
      <c r="E410" t="s">
        <v>16</v>
      </c>
      <c r="F410" t="s">
        <v>12</v>
      </c>
      <c r="G410">
        <v>840971</v>
      </c>
      <c r="H410">
        <v>4511573399</v>
      </c>
      <c r="I410">
        <v>30</v>
      </c>
      <c r="J410" s="29">
        <v>1</v>
      </c>
      <c r="K410" s="29" t="s">
        <v>1024</v>
      </c>
      <c r="L410" t="str">
        <f>IFERROR(VLOOKUP(Detalle_OC[[#This Row],[Centro]]&amp;Detalle_OC[[#This Row],[Nro Almacen]],Almacen!A:D,4,FALSE),"")</f>
        <v>Montelima</v>
      </c>
    </row>
    <row r="411" spans="1:12" x14ac:dyDescent="0.3">
      <c r="A411" s="29" t="str">
        <f>Detalle_OC[[#This Row],[Centro]]&amp;Detalle_OC[[#This Row],[Nom Almacen]]&amp;Detalle_OC[[#This Row],[Material]]&amp;Detalle_OC[[#This Row],[Pedido]]&amp;Detalle_OC[[#This Row],[Posicion]]</f>
        <v>Agricola del Chira PlantaMontelima70006606451157339950</v>
      </c>
      <c r="B411" t="s">
        <v>234</v>
      </c>
      <c r="C411" t="s">
        <v>166</v>
      </c>
      <c r="D411" s="11">
        <v>45674</v>
      </c>
      <c r="E411" t="s">
        <v>16</v>
      </c>
      <c r="F411" t="s">
        <v>12</v>
      </c>
      <c r="G411">
        <v>70006606</v>
      </c>
      <c r="H411">
        <v>4511573399</v>
      </c>
      <c r="I411">
        <v>50</v>
      </c>
      <c r="J411" s="29">
        <v>1</v>
      </c>
      <c r="K411" s="29" t="s">
        <v>1024</v>
      </c>
      <c r="L411" t="str">
        <f>IFERROR(VLOOKUP(Detalle_OC[[#This Row],[Centro]]&amp;Detalle_OC[[#This Row],[Nro Almacen]],Almacen!A:D,4,FALSE),"")</f>
        <v>Montelima</v>
      </c>
    </row>
    <row r="412" spans="1:12" x14ac:dyDescent="0.3">
      <c r="A412" s="29" t="str">
        <f>Detalle_OC[[#This Row],[Centro]]&amp;Detalle_OC[[#This Row],[Nom Almacen]]&amp;Detalle_OC[[#This Row],[Material]]&amp;Detalle_OC[[#This Row],[Pedido]]&amp;Detalle_OC[[#This Row],[Posicion]]</f>
        <v>Agricola del Chira PlantaMontelima70027222451157339960</v>
      </c>
      <c r="B412" t="s">
        <v>234</v>
      </c>
      <c r="C412" t="s">
        <v>166</v>
      </c>
      <c r="D412" s="11">
        <v>45674</v>
      </c>
      <c r="E412" t="s">
        <v>16</v>
      </c>
      <c r="F412" t="s">
        <v>12</v>
      </c>
      <c r="G412">
        <v>70027222</v>
      </c>
      <c r="H412">
        <v>4511573399</v>
      </c>
      <c r="I412">
        <v>60</v>
      </c>
      <c r="J412" s="29">
        <v>1</v>
      </c>
      <c r="K412" s="29" t="s">
        <v>1024</v>
      </c>
      <c r="L412" t="str">
        <f>IFERROR(VLOOKUP(Detalle_OC[[#This Row],[Centro]]&amp;Detalle_OC[[#This Row],[Nro Almacen]],Almacen!A:D,4,FALSE),"")</f>
        <v>Montelima</v>
      </c>
    </row>
    <row r="413" spans="1:12" x14ac:dyDescent="0.3">
      <c r="A413" s="29" t="str">
        <f>Detalle_OC[[#This Row],[Centro]]&amp;Detalle_OC[[#This Row],[Nom Almacen]]&amp;Detalle_OC[[#This Row],[Material]]&amp;Detalle_OC[[#This Row],[Pedido]]&amp;Detalle_OC[[#This Row],[Posicion]]</f>
        <v>Agricola del Chira PlantaMontelima700587424511573399100</v>
      </c>
      <c r="B413" t="s">
        <v>234</v>
      </c>
      <c r="C413" t="s">
        <v>166</v>
      </c>
      <c r="D413" s="11">
        <v>45674</v>
      </c>
      <c r="E413" t="s">
        <v>16</v>
      </c>
      <c r="F413" t="s">
        <v>12</v>
      </c>
      <c r="G413">
        <v>70058742</v>
      </c>
      <c r="H413">
        <v>4511573399</v>
      </c>
      <c r="I413">
        <v>100</v>
      </c>
      <c r="J413" s="29">
        <v>1</v>
      </c>
      <c r="K413" s="29" t="s">
        <v>1024</v>
      </c>
      <c r="L413" t="str">
        <f>IFERROR(VLOOKUP(Detalle_OC[[#This Row],[Centro]]&amp;Detalle_OC[[#This Row],[Nro Almacen]],Almacen!A:D,4,FALSE),"")</f>
        <v>Montelima</v>
      </c>
    </row>
    <row r="414" spans="1:12" x14ac:dyDescent="0.3">
      <c r="A414" s="29" t="str">
        <f>Detalle_OC[[#This Row],[Centro]]&amp;Detalle_OC[[#This Row],[Nom Almacen]]&amp;Detalle_OC[[#This Row],[Material]]&amp;Detalle_OC[[#This Row],[Pedido]]&amp;Detalle_OC[[#This Row],[Posicion]]</f>
        <v>Agricola del Chira PlantaMontelima700587434511573399110</v>
      </c>
      <c r="B414" t="s">
        <v>234</v>
      </c>
      <c r="C414" t="s">
        <v>166</v>
      </c>
      <c r="D414" s="11">
        <v>45674</v>
      </c>
      <c r="E414" t="s">
        <v>16</v>
      </c>
      <c r="F414" t="s">
        <v>12</v>
      </c>
      <c r="G414">
        <v>70058743</v>
      </c>
      <c r="H414">
        <v>4511573399</v>
      </c>
      <c r="I414">
        <v>110</v>
      </c>
      <c r="J414" s="29">
        <v>1</v>
      </c>
      <c r="K414" s="29" t="s">
        <v>1024</v>
      </c>
      <c r="L414" t="str">
        <f>IFERROR(VLOOKUP(Detalle_OC[[#This Row],[Centro]]&amp;Detalle_OC[[#This Row],[Nro Almacen]],Almacen!A:D,4,FALSE),"")</f>
        <v>Montelima</v>
      </c>
    </row>
    <row r="415" spans="1:12" x14ac:dyDescent="0.3">
      <c r="A415" s="29" t="str">
        <f>Detalle_OC[[#This Row],[Centro]]&amp;Detalle_OC[[#This Row],[Nom Almacen]]&amp;Detalle_OC[[#This Row],[Material]]&amp;Detalle_OC[[#This Row],[Pedido]]&amp;Detalle_OC[[#This Row],[Posicion]]</f>
        <v>Agricola del Chira PlantaMontelima700587464511573399120</v>
      </c>
      <c r="B415" t="s">
        <v>234</v>
      </c>
      <c r="C415" t="s">
        <v>166</v>
      </c>
      <c r="D415" s="11">
        <v>45674</v>
      </c>
      <c r="E415" t="s">
        <v>16</v>
      </c>
      <c r="F415" t="s">
        <v>12</v>
      </c>
      <c r="G415">
        <v>70058746</v>
      </c>
      <c r="H415">
        <v>4511573399</v>
      </c>
      <c r="I415">
        <v>120</v>
      </c>
      <c r="J415" s="29">
        <v>1</v>
      </c>
      <c r="K415" s="29" t="s">
        <v>1024</v>
      </c>
      <c r="L415" t="str">
        <f>IFERROR(VLOOKUP(Detalle_OC[[#This Row],[Centro]]&amp;Detalle_OC[[#This Row],[Nro Almacen]],Almacen!A:D,4,FALSE),"")</f>
        <v>Montelima</v>
      </c>
    </row>
    <row r="416" spans="1:12" x14ac:dyDescent="0.3">
      <c r="A416" s="29" t="str">
        <f>Detalle_OC[[#This Row],[Centro]]&amp;Detalle_OC[[#This Row],[Nom Almacen]]&amp;Detalle_OC[[#This Row],[Material]]&amp;Detalle_OC[[#This Row],[Pedido]]&amp;Detalle_OC[[#This Row],[Posicion]]</f>
        <v>Agricola del Chira PlantaMontelima700729274511573399130</v>
      </c>
      <c r="B416" t="s">
        <v>234</v>
      </c>
      <c r="C416" t="s">
        <v>166</v>
      </c>
      <c r="D416" s="11">
        <v>45674</v>
      </c>
      <c r="E416" t="s">
        <v>16</v>
      </c>
      <c r="F416" t="s">
        <v>12</v>
      </c>
      <c r="G416">
        <v>70072927</v>
      </c>
      <c r="H416">
        <v>4511573399</v>
      </c>
      <c r="I416">
        <v>130</v>
      </c>
      <c r="J416" s="29">
        <v>1</v>
      </c>
      <c r="K416" s="29" t="s">
        <v>1024</v>
      </c>
      <c r="L416" t="str">
        <f>IFERROR(VLOOKUP(Detalle_OC[[#This Row],[Centro]]&amp;Detalle_OC[[#This Row],[Nro Almacen]],Almacen!A:D,4,FALSE),"")</f>
        <v>Montelima</v>
      </c>
    </row>
    <row r="417" spans="1:12" x14ac:dyDescent="0.3">
      <c r="A417" s="29" t="str">
        <f>Detalle_OC[[#This Row],[Centro]]&amp;Detalle_OC[[#This Row],[Nom Almacen]]&amp;Detalle_OC[[#This Row],[Material]]&amp;Detalle_OC[[#This Row],[Pedido]]&amp;Detalle_OC[[#This Row],[Posicion]]</f>
        <v>Agricola del Chira PlantaMontelima766912451157341410</v>
      </c>
      <c r="B417" t="s">
        <v>159</v>
      </c>
      <c r="C417" t="s">
        <v>38</v>
      </c>
      <c r="D417" s="11">
        <v>45656</v>
      </c>
      <c r="E417" t="s">
        <v>16</v>
      </c>
      <c r="F417" t="s">
        <v>12</v>
      </c>
      <c r="G417">
        <v>766912</v>
      </c>
      <c r="H417">
        <v>4511573414</v>
      </c>
      <c r="I417">
        <v>10</v>
      </c>
      <c r="J417" s="29">
        <v>1</v>
      </c>
      <c r="K417" s="29" t="s">
        <v>1024</v>
      </c>
      <c r="L417" t="str">
        <f>IFERROR(VLOOKUP(Detalle_OC[[#This Row],[Centro]]&amp;Detalle_OC[[#This Row],[Nro Almacen]],Almacen!A:D,4,FALSE),"")</f>
        <v>Montelima</v>
      </c>
    </row>
    <row r="418" spans="1:12" x14ac:dyDescent="0.3">
      <c r="A418" s="29" t="str">
        <f>Detalle_OC[[#This Row],[Centro]]&amp;Detalle_OC[[#This Row],[Nom Almacen]]&amp;Detalle_OC[[#This Row],[Material]]&amp;Detalle_OC[[#This Row],[Pedido]]&amp;Detalle_OC[[#This Row],[Posicion]]</f>
        <v>Agricola del Chira PlantaAlmacen Lobo849010451157203880</v>
      </c>
      <c r="B418" t="s">
        <v>39</v>
      </c>
      <c r="C418" t="s">
        <v>38</v>
      </c>
      <c r="D418" s="11">
        <v>45657</v>
      </c>
      <c r="E418" t="s">
        <v>16</v>
      </c>
      <c r="F418" t="s">
        <v>12</v>
      </c>
      <c r="G418">
        <v>849010</v>
      </c>
      <c r="H418">
        <v>4511572038</v>
      </c>
      <c r="I418">
        <v>80</v>
      </c>
      <c r="J418" s="29">
        <v>7</v>
      </c>
      <c r="K418" s="29" t="s">
        <v>1029</v>
      </c>
      <c r="L418" t="str">
        <f>IFERROR(VLOOKUP(Detalle_OC[[#This Row],[Centro]]&amp;Detalle_OC[[#This Row],[Nro Almacen]],Almacen!A:D,4,FALSE),"")</f>
        <v>Almacen Lobo</v>
      </c>
    </row>
    <row r="419" spans="1:12" x14ac:dyDescent="0.3">
      <c r="A419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419" t="s">
        <v>28</v>
      </c>
      <c r="C419" t="s">
        <v>94</v>
      </c>
      <c r="D419" s="11">
        <v>45650</v>
      </c>
      <c r="E419" t="s">
        <v>16</v>
      </c>
      <c r="F419" t="s">
        <v>85</v>
      </c>
      <c r="G419" t="s">
        <v>95</v>
      </c>
      <c r="H419">
        <v>5500024746</v>
      </c>
      <c r="I419">
        <v>10</v>
      </c>
      <c r="J419" s="29">
        <v>1</v>
      </c>
      <c r="K419" s="29" t="s">
        <v>1029</v>
      </c>
      <c r="L419" t="str">
        <f>IFERROR(VLOOKUP(Detalle_OC[[#This Row],[Centro]]&amp;Detalle_OC[[#This Row],[Nro Almacen]],Almacen!A:D,4,FALSE),"")</f>
        <v>Montelima</v>
      </c>
    </row>
    <row r="420" spans="1:12" x14ac:dyDescent="0.3">
      <c r="A420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420" t="s">
        <v>28</v>
      </c>
      <c r="C420" t="s">
        <v>54</v>
      </c>
      <c r="D420" s="11">
        <v>45650</v>
      </c>
      <c r="E420" t="s">
        <v>16</v>
      </c>
      <c r="F420" t="s">
        <v>12</v>
      </c>
      <c r="G420">
        <v>70100392</v>
      </c>
      <c r="H420">
        <v>5500024751</v>
      </c>
      <c r="I420">
        <v>20</v>
      </c>
      <c r="J420" s="29">
        <v>2</v>
      </c>
      <c r="K420" s="29" t="s">
        <v>1029</v>
      </c>
      <c r="L420" t="str">
        <f>IFERROR(VLOOKUP(Detalle_OC[[#This Row],[Centro]]&amp;Detalle_OC[[#This Row],[Nro Almacen]],Almacen!A:D,4,FALSE),"")</f>
        <v>La Huaca</v>
      </c>
    </row>
    <row r="421" spans="1:12" x14ac:dyDescent="0.3">
      <c r="A421" s="29" t="str">
        <f>Detalle_OC[[#This Row],[Centro]]&amp;Detalle_OC[[#This Row],[Nom Almacen]]&amp;Detalle_OC[[#This Row],[Material]]&amp;Detalle_OC[[#This Row],[Pedido]]&amp;Detalle_OC[[#This Row],[Posicion]]</f>
        <v>Agricola del Chira PlantaSan Vicente70100392550002475130</v>
      </c>
      <c r="B421" t="s">
        <v>28</v>
      </c>
      <c r="C421" t="s">
        <v>54</v>
      </c>
      <c r="D421" s="11">
        <v>45650</v>
      </c>
      <c r="E421" t="s">
        <v>16</v>
      </c>
      <c r="F421" t="s">
        <v>12</v>
      </c>
      <c r="G421">
        <v>70100392</v>
      </c>
      <c r="H421">
        <v>5500024751</v>
      </c>
      <c r="I421">
        <v>30</v>
      </c>
      <c r="J421" s="29">
        <v>3</v>
      </c>
      <c r="K421" s="29" t="s">
        <v>1029</v>
      </c>
      <c r="L421" t="str">
        <f>IFERROR(VLOOKUP(Detalle_OC[[#This Row],[Centro]]&amp;Detalle_OC[[#This Row],[Nro Almacen]],Almacen!A:D,4,FALSE),"")</f>
        <v>San Vicente</v>
      </c>
    </row>
    <row r="422" spans="1:12" x14ac:dyDescent="0.3">
      <c r="A422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422" t="s">
        <v>28</v>
      </c>
      <c r="C422" t="s">
        <v>54</v>
      </c>
      <c r="D422" s="11">
        <v>45650</v>
      </c>
      <c r="E422" t="s">
        <v>16</v>
      </c>
      <c r="F422" t="s">
        <v>12</v>
      </c>
      <c r="G422">
        <v>70100392</v>
      </c>
      <c r="H422">
        <v>5500024751</v>
      </c>
      <c r="I422">
        <v>40</v>
      </c>
      <c r="J422" s="29">
        <v>7</v>
      </c>
      <c r="K422" s="29" t="s">
        <v>1029</v>
      </c>
      <c r="L422" t="str">
        <f>IFERROR(VLOOKUP(Detalle_OC[[#This Row],[Centro]]&amp;Detalle_OC[[#This Row],[Nro Almacen]],Almacen!A:D,4,FALSE),"")</f>
        <v>Almacen Lobo</v>
      </c>
    </row>
    <row r="423" spans="1:12" x14ac:dyDescent="0.3">
      <c r="A423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fábrica806007451157324010</v>
      </c>
      <c r="B423" t="s">
        <v>182</v>
      </c>
      <c r="C423" t="s">
        <v>272</v>
      </c>
      <c r="D423" s="11">
        <v>45657</v>
      </c>
      <c r="E423" t="s">
        <v>16</v>
      </c>
      <c r="F423" t="s">
        <v>85</v>
      </c>
      <c r="G423">
        <v>806007</v>
      </c>
      <c r="H423">
        <v>4511573240</v>
      </c>
      <c r="I423">
        <v>10</v>
      </c>
      <c r="J423" s="29">
        <v>9</v>
      </c>
      <c r="K423" s="29" t="s">
        <v>1031</v>
      </c>
      <c r="L423" t="str">
        <f>IFERROR(VLOOKUP(Detalle_OC[[#This Row],[Centro]]&amp;Detalle_OC[[#This Row],[Nro Almacen]],Almacen!A:D,4,FALSE),"")</f>
        <v>Parada fábrica</v>
      </c>
    </row>
    <row r="424" spans="1:12" x14ac:dyDescent="0.3">
      <c r="A424" s="29" t="str">
        <f>Detalle_OC[[#This Row],[Centro]]&amp;Detalle_OC[[#This Row],[Nom Almacen]]&amp;Detalle_OC[[#This Row],[Material]]&amp;Detalle_OC[[#This Row],[Pedido]]&amp;Detalle_OC[[#This Row],[Posicion]]</f>
        <v>Agricola del Chira PlantaLa Huaca700691795500024855160</v>
      </c>
      <c r="B424" t="s">
        <v>28</v>
      </c>
      <c r="C424" t="s">
        <v>96</v>
      </c>
      <c r="D424" s="11">
        <v>45663</v>
      </c>
      <c r="E424" t="s">
        <v>16</v>
      </c>
      <c r="F424" t="s">
        <v>12</v>
      </c>
      <c r="G424">
        <v>70069179</v>
      </c>
      <c r="H424">
        <v>5500024855</v>
      </c>
      <c r="I424">
        <v>160</v>
      </c>
      <c r="J424" s="29">
        <v>2</v>
      </c>
      <c r="K424" s="29" t="s">
        <v>1031</v>
      </c>
      <c r="L424" t="str">
        <f>IFERROR(VLOOKUP(Detalle_OC[[#This Row],[Centro]]&amp;Detalle_OC[[#This Row],[Nro Almacen]],Almacen!A:D,4,FALSE),"")</f>
        <v>La Huaca</v>
      </c>
    </row>
    <row r="425" spans="1:12" x14ac:dyDescent="0.3">
      <c r="A425" s="29" t="str">
        <f>Detalle_OC[[#This Row],[Centro]]&amp;Detalle_OC[[#This Row],[Nom Almacen]]&amp;Detalle_OC[[#This Row],[Material]]&amp;Detalle_OC[[#This Row],[Pedido]]&amp;Detalle_OC[[#This Row],[Posicion]]</f>
        <v>Agricola del Chira PlantaAlmacen Lobo7216695500024855210</v>
      </c>
      <c r="B425" t="s">
        <v>28</v>
      </c>
      <c r="C425" t="s">
        <v>96</v>
      </c>
      <c r="D425" s="11">
        <v>45663</v>
      </c>
      <c r="E425" t="s">
        <v>16</v>
      </c>
      <c r="F425" t="s">
        <v>12</v>
      </c>
      <c r="G425">
        <v>721669</v>
      </c>
      <c r="H425">
        <v>5500024855</v>
      </c>
      <c r="I425">
        <v>210</v>
      </c>
      <c r="J425" s="29">
        <v>7</v>
      </c>
      <c r="K425" s="29" t="s">
        <v>1031</v>
      </c>
      <c r="L425" t="str">
        <f>IFERROR(VLOOKUP(Detalle_OC[[#This Row],[Centro]]&amp;Detalle_OC[[#This Row],[Nro Almacen]],Almacen!A:D,4,FALSE),"")</f>
        <v>Almacen Lobo</v>
      </c>
    </row>
    <row r="426" spans="1:12" x14ac:dyDescent="0.3">
      <c r="A426" s="29" t="str">
        <f>Detalle_OC[[#This Row],[Centro]]&amp;Detalle_OC[[#This Row],[Nom Almacen]]&amp;Detalle_OC[[#This Row],[Material]]&amp;Detalle_OC[[#This Row],[Pedido]]&amp;Detalle_OC[[#This Row],[Posicion]]</f>
        <v>Agricola del Chira PlantaAlmacen Lobo849010451157203860</v>
      </c>
      <c r="B426" t="s">
        <v>39</v>
      </c>
      <c r="C426" t="s">
        <v>38</v>
      </c>
      <c r="D426" s="11">
        <v>45657</v>
      </c>
      <c r="E426" t="s">
        <v>16</v>
      </c>
      <c r="F426" t="s">
        <v>12</v>
      </c>
      <c r="G426">
        <v>849010</v>
      </c>
      <c r="H426">
        <v>4511572038</v>
      </c>
      <c r="I426">
        <v>60</v>
      </c>
      <c r="J426" s="29">
        <v>7</v>
      </c>
      <c r="K426" s="29" t="s">
        <v>1037</v>
      </c>
      <c r="L426" t="str">
        <f>IFERROR(VLOOKUP(Detalle_OC[[#This Row],[Centro]]&amp;Detalle_OC[[#This Row],[Nro Almacen]],Almacen!A:D,4,FALSE),"")</f>
        <v>Almacen Lobo</v>
      </c>
    </row>
    <row r="427" spans="1:12" x14ac:dyDescent="0.3">
      <c r="A427" s="29" t="str">
        <f>Detalle_OC[[#This Row],[Centro]]&amp;Detalle_OC[[#This Row],[Nom Almacen]]&amp;Detalle_OC[[#This Row],[Material]]&amp;Detalle_OC[[#This Row],[Pedido]]&amp;Detalle_OC[[#This Row],[Posicion]]</f>
        <v>Agricola del Chira PlantaMontelima808069550002233830</v>
      </c>
      <c r="B427" t="s">
        <v>28</v>
      </c>
      <c r="C427" t="s">
        <v>84</v>
      </c>
      <c r="D427" s="11">
        <v>45646</v>
      </c>
      <c r="E427" t="s">
        <v>16</v>
      </c>
      <c r="F427" t="s">
        <v>12</v>
      </c>
      <c r="G427">
        <v>808069</v>
      </c>
      <c r="H427">
        <v>5500022338</v>
      </c>
      <c r="I427">
        <v>30</v>
      </c>
      <c r="J427" s="29">
        <v>1</v>
      </c>
      <c r="K427" s="29" t="s">
        <v>1037</v>
      </c>
      <c r="L427" t="str">
        <f>IFERROR(VLOOKUP(Detalle_OC[[#This Row],[Centro]]&amp;Detalle_OC[[#This Row],[Nro Almacen]],Almacen!A:D,4,FALSE),"")</f>
        <v>Montelima</v>
      </c>
    </row>
    <row r="428" spans="1:12" x14ac:dyDescent="0.3">
      <c r="A428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428" t="s">
        <v>28</v>
      </c>
      <c r="C428" t="s">
        <v>84</v>
      </c>
      <c r="D428" s="11">
        <v>45646</v>
      </c>
      <c r="E428" t="s">
        <v>16</v>
      </c>
      <c r="F428" t="s">
        <v>12</v>
      </c>
      <c r="G428">
        <v>801846</v>
      </c>
      <c r="H428">
        <v>5500022338</v>
      </c>
      <c r="I428">
        <v>40</v>
      </c>
      <c r="J428" s="29">
        <v>1</v>
      </c>
      <c r="K428" s="29" t="s">
        <v>1037</v>
      </c>
      <c r="L428" t="str">
        <f>IFERROR(VLOOKUP(Detalle_OC[[#This Row],[Centro]]&amp;Detalle_OC[[#This Row],[Nro Almacen]],Almacen!A:D,4,FALSE),"")</f>
        <v>Montelima</v>
      </c>
    </row>
    <row r="429" spans="1:12" x14ac:dyDescent="0.3">
      <c r="A429" s="29" t="str">
        <f>Detalle_OC[[#This Row],[Centro]]&amp;Detalle_OC[[#This Row],[Nom Almacen]]&amp;Detalle_OC[[#This Row],[Material]]&amp;Detalle_OC[[#This Row],[Pedido]]&amp;Detalle_OC[[#This Row],[Posicion]]</f>
        <v>Agricola del Chira PlantaMontelima721669550002485530</v>
      </c>
      <c r="B429" t="s">
        <v>28</v>
      </c>
      <c r="C429" t="s">
        <v>96</v>
      </c>
      <c r="D429" s="11">
        <v>45646</v>
      </c>
      <c r="E429" t="s">
        <v>16</v>
      </c>
      <c r="F429" t="s">
        <v>12</v>
      </c>
      <c r="G429">
        <v>721669</v>
      </c>
      <c r="H429">
        <v>5500024855</v>
      </c>
      <c r="I429">
        <v>30</v>
      </c>
      <c r="J429" s="29">
        <v>1</v>
      </c>
      <c r="K429" s="29" t="s">
        <v>1037</v>
      </c>
      <c r="L429" t="str">
        <f>IFERROR(VLOOKUP(Detalle_OC[[#This Row],[Centro]]&amp;Detalle_OC[[#This Row],[Nro Almacen]],Almacen!A:D,4,FALSE),"")</f>
        <v>Montelima</v>
      </c>
    </row>
    <row r="430" spans="1:12" x14ac:dyDescent="0.3">
      <c r="A430" s="29" t="str">
        <f>Detalle_OC[[#This Row],[Centro]]&amp;Detalle_OC[[#This Row],[Nom Almacen]]&amp;Detalle_OC[[#This Row],[Material]]&amp;Detalle_OC[[#This Row],[Pedido]]&amp;Detalle_OC[[#This Row],[Posicion]]</f>
        <v>Sucroalcolera del Chira PlantaMontelima70069179550002485610</v>
      </c>
      <c r="B430" t="s">
        <v>28</v>
      </c>
      <c r="C430" t="s">
        <v>96</v>
      </c>
      <c r="D430" s="11">
        <v>45646</v>
      </c>
      <c r="E430" t="s">
        <v>16</v>
      </c>
      <c r="F430" t="s">
        <v>85</v>
      </c>
      <c r="G430">
        <v>70069179</v>
      </c>
      <c r="H430">
        <v>5500024856</v>
      </c>
      <c r="I430">
        <v>10</v>
      </c>
      <c r="J430" s="29">
        <v>1</v>
      </c>
      <c r="K430" s="29" t="s">
        <v>1037</v>
      </c>
      <c r="L430" t="str">
        <f>IFERROR(VLOOKUP(Detalle_OC[[#This Row],[Centro]]&amp;Detalle_OC[[#This Row],[Nro Almacen]],Almacen!A:D,4,FALSE),"")</f>
        <v>Montelima</v>
      </c>
    </row>
    <row r="431" spans="1:12" x14ac:dyDescent="0.3">
      <c r="A431" s="29" t="str">
        <f>Detalle_OC[[#This Row],[Centro]]&amp;Detalle_OC[[#This Row],[Nom Almacen]]&amp;Detalle_OC[[#This Row],[Material]]&amp;Detalle_OC[[#This Row],[Pedido]]&amp;Detalle_OC[[#This Row],[Posicion]]</f>
        <v>Agricola del Chira PlantaMontelima70135801451157207740</v>
      </c>
      <c r="B431" t="s">
        <v>171</v>
      </c>
      <c r="C431" t="s">
        <v>212</v>
      </c>
      <c r="D431" s="11">
        <v>45656</v>
      </c>
      <c r="E431" t="s">
        <v>16</v>
      </c>
      <c r="F431" t="s">
        <v>12</v>
      </c>
      <c r="G431">
        <v>70135801</v>
      </c>
      <c r="H431">
        <v>4511572077</v>
      </c>
      <c r="I431">
        <v>40</v>
      </c>
      <c r="J431" s="29">
        <v>1</v>
      </c>
      <c r="K431" s="29" t="s">
        <v>1039</v>
      </c>
      <c r="L431" t="str">
        <f>IFERROR(VLOOKUP(Detalle_OC[[#This Row],[Centro]]&amp;Detalle_OC[[#This Row],[Nro Almacen]],Almacen!A:D,4,FALSE),"")</f>
        <v>Montelima</v>
      </c>
    </row>
    <row r="432" spans="1:12" x14ac:dyDescent="0.3">
      <c r="A432" s="29" t="str">
        <f>Detalle_OC[[#This Row],[Centro]]&amp;Detalle_OC[[#This Row],[Nom Almacen]]&amp;Detalle_OC[[#This Row],[Material]]&amp;Detalle_OC[[#This Row],[Pedido]]&amp;Detalle_OC[[#This Row],[Posicion]]</f>
        <v>Agricola del Chira PlantaMontelima70136046451157305510</v>
      </c>
      <c r="B432" t="s">
        <v>145</v>
      </c>
      <c r="C432" t="s">
        <v>84</v>
      </c>
      <c r="D432" s="11">
        <v>45670</v>
      </c>
      <c r="E432" t="s">
        <v>16</v>
      </c>
      <c r="F432" t="s">
        <v>12</v>
      </c>
      <c r="G432">
        <v>70136046</v>
      </c>
      <c r="H432">
        <v>4511573055</v>
      </c>
      <c r="I432">
        <v>10</v>
      </c>
      <c r="J432" s="29">
        <v>1</v>
      </c>
      <c r="K432" s="29" t="s">
        <v>1039</v>
      </c>
      <c r="L432" t="str">
        <f>IFERROR(VLOOKUP(Detalle_OC[[#This Row],[Centro]]&amp;Detalle_OC[[#This Row],[Nro Almacen]],Almacen!A:D,4,FALSE),"")</f>
        <v>Montelima</v>
      </c>
    </row>
    <row r="433" spans="1:12" x14ac:dyDescent="0.3">
      <c r="A433" s="29" t="str">
        <f>Detalle_OC[[#This Row],[Centro]]&amp;Detalle_OC[[#This Row],[Nom Almacen]]&amp;Detalle_OC[[#This Row],[Material]]&amp;Detalle_OC[[#This Row],[Pedido]]&amp;Detalle_OC[[#This Row],[Posicion]]</f>
        <v>Sucroalcolera del Chira PlantaMontelima70136131451157305710</v>
      </c>
      <c r="B433" t="s">
        <v>138</v>
      </c>
      <c r="C433" t="s">
        <v>84</v>
      </c>
      <c r="D433" s="11">
        <v>45675</v>
      </c>
      <c r="E433" t="s">
        <v>16</v>
      </c>
      <c r="F433" t="s">
        <v>85</v>
      </c>
      <c r="G433">
        <v>70136131</v>
      </c>
      <c r="H433">
        <v>4511573057</v>
      </c>
      <c r="I433">
        <v>10</v>
      </c>
      <c r="J433" s="29">
        <v>1</v>
      </c>
      <c r="K433" s="29" t="s">
        <v>1039</v>
      </c>
      <c r="L433" t="str">
        <f>IFERROR(VLOOKUP(Detalle_OC[[#This Row],[Centro]]&amp;Detalle_OC[[#This Row],[Nro Almacen]],Almacen!A:D,4,FALSE),"")</f>
        <v>Montelima</v>
      </c>
    </row>
    <row r="434" spans="1:12" x14ac:dyDescent="0.3">
      <c r="A434" s="29" t="str">
        <f>Detalle_OC[[#This Row],[Centro]]&amp;Detalle_OC[[#This Row],[Nom Almacen]]&amp;Detalle_OC[[#This Row],[Material]]&amp;Detalle_OC[[#This Row],[Pedido]]&amp;Detalle_OC[[#This Row],[Posicion]]</f>
        <v>Agricola del Chira PlantaMontelima70035904451157307010</v>
      </c>
      <c r="B434" t="s">
        <v>39</v>
      </c>
      <c r="C434" t="s">
        <v>195</v>
      </c>
      <c r="D434" s="11">
        <v>45656</v>
      </c>
      <c r="E434" t="s">
        <v>16</v>
      </c>
      <c r="F434" t="s">
        <v>12</v>
      </c>
      <c r="G434">
        <v>70035904</v>
      </c>
      <c r="H434">
        <v>4511573070</v>
      </c>
      <c r="I434">
        <v>10</v>
      </c>
      <c r="J434" s="29">
        <v>1</v>
      </c>
      <c r="K434" s="29" t="s">
        <v>1039</v>
      </c>
      <c r="L434" t="str">
        <f>IFERROR(VLOOKUP(Detalle_OC[[#This Row],[Centro]]&amp;Detalle_OC[[#This Row],[Nro Almacen]],Almacen!A:D,4,FALSE),"")</f>
        <v>Montelima</v>
      </c>
    </row>
    <row r="435" spans="1:12" x14ac:dyDescent="0.3">
      <c r="A435" s="29" t="str">
        <f>Detalle_OC[[#This Row],[Centro]]&amp;Detalle_OC[[#This Row],[Nom Almacen]]&amp;Detalle_OC[[#This Row],[Material]]&amp;Detalle_OC[[#This Row],[Pedido]]&amp;Detalle_OC[[#This Row],[Posicion]]</f>
        <v>Agricola del Chira PlantaMontelima891646451157307020</v>
      </c>
      <c r="B435" t="s">
        <v>39</v>
      </c>
      <c r="C435" t="s">
        <v>195</v>
      </c>
      <c r="D435" s="11">
        <v>45656</v>
      </c>
      <c r="E435" t="s">
        <v>16</v>
      </c>
      <c r="F435" t="s">
        <v>12</v>
      </c>
      <c r="G435">
        <v>891646</v>
      </c>
      <c r="H435">
        <v>4511573070</v>
      </c>
      <c r="I435">
        <v>20</v>
      </c>
      <c r="J435" s="29">
        <v>1</v>
      </c>
      <c r="K435" s="29" t="s">
        <v>1039</v>
      </c>
      <c r="L435" t="str">
        <f>IFERROR(VLOOKUP(Detalle_OC[[#This Row],[Centro]]&amp;Detalle_OC[[#This Row],[Nro Almacen]],Almacen!A:D,4,FALSE),"")</f>
        <v>Montelima</v>
      </c>
    </row>
    <row r="436" spans="1:12" x14ac:dyDescent="0.3">
      <c r="A436" s="29" t="str">
        <f>Detalle_OC[[#This Row],[Centro]]&amp;Detalle_OC[[#This Row],[Nom Almacen]]&amp;Detalle_OC[[#This Row],[Material]]&amp;Detalle_OC[[#This Row],[Pedido]]&amp;Detalle_OC[[#This Row],[Posicion]]</f>
        <v>Agricola del Chira PlantaMontelima701675451157307030</v>
      </c>
      <c r="B436" t="s">
        <v>39</v>
      </c>
      <c r="C436" t="s">
        <v>195</v>
      </c>
      <c r="D436" s="11">
        <v>45656</v>
      </c>
      <c r="E436" t="s">
        <v>16</v>
      </c>
      <c r="F436" t="s">
        <v>12</v>
      </c>
      <c r="G436">
        <v>701675</v>
      </c>
      <c r="H436">
        <v>4511573070</v>
      </c>
      <c r="I436">
        <v>30</v>
      </c>
      <c r="J436" s="29">
        <v>1</v>
      </c>
      <c r="K436" s="29" t="s">
        <v>1039</v>
      </c>
      <c r="L436" t="str">
        <f>IFERROR(VLOOKUP(Detalle_OC[[#This Row],[Centro]]&amp;Detalle_OC[[#This Row],[Nro Almacen]],Almacen!A:D,4,FALSE),"")</f>
        <v>Montelima</v>
      </c>
    </row>
    <row r="437" spans="1:12" x14ac:dyDescent="0.3">
      <c r="A437" s="29" t="str">
        <f>Detalle_OC[[#This Row],[Centro]]&amp;Detalle_OC[[#This Row],[Nom Almacen]]&amp;Detalle_OC[[#This Row],[Material]]&amp;Detalle_OC[[#This Row],[Pedido]]&amp;Detalle_OC[[#This Row],[Posicion]]</f>
        <v>Agricola del Chira PlantaAlmacen Lobo761496451157307310</v>
      </c>
      <c r="B437" t="s">
        <v>149</v>
      </c>
      <c r="C437" t="s">
        <v>44</v>
      </c>
      <c r="D437" s="11">
        <v>45670</v>
      </c>
      <c r="E437" t="s">
        <v>16</v>
      </c>
      <c r="F437" t="s">
        <v>12</v>
      </c>
      <c r="G437">
        <v>761496</v>
      </c>
      <c r="H437">
        <v>4511573073</v>
      </c>
      <c r="I437">
        <v>10</v>
      </c>
      <c r="J437" s="29">
        <v>7</v>
      </c>
      <c r="K437" s="29" t="s">
        <v>1039</v>
      </c>
      <c r="L437" t="str">
        <f>IFERROR(VLOOKUP(Detalle_OC[[#This Row],[Centro]]&amp;Detalle_OC[[#This Row],[Nro Almacen]],Almacen!A:D,4,FALSE),"")</f>
        <v>Almacen Lobo</v>
      </c>
    </row>
    <row r="438" spans="1:12" x14ac:dyDescent="0.3">
      <c r="A438" s="29" t="str">
        <f>Detalle_OC[[#This Row],[Centro]]&amp;Detalle_OC[[#This Row],[Nom Almacen]]&amp;Detalle_OC[[#This Row],[Material]]&amp;Detalle_OC[[#This Row],[Pedido]]&amp;Detalle_OC[[#This Row],[Posicion]]</f>
        <v>Agricola del Chira PlantaMontelimaCA0770001638      451157307710</v>
      </c>
      <c r="B438" t="s">
        <v>50</v>
      </c>
      <c r="C438" t="s">
        <v>42</v>
      </c>
      <c r="D438" s="11">
        <v>45662</v>
      </c>
      <c r="E438" t="b">
        <v>0</v>
      </c>
      <c r="F438" t="s">
        <v>12</v>
      </c>
      <c r="G438" t="s">
        <v>1027</v>
      </c>
      <c r="H438">
        <v>4511573077</v>
      </c>
      <c r="I438">
        <v>10</v>
      </c>
      <c r="J438" s="29">
        <v>1</v>
      </c>
      <c r="K438" s="29" t="s">
        <v>1039</v>
      </c>
      <c r="L438" t="str">
        <f>IFERROR(VLOOKUP(Detalle_OC[[#This Row],[Centro]]&amp;Detalle_OC[[#This Row],[Nro Almacen]],Almacen!A:D,4,FALSE),"")</f>
        <v>Montelima</v>
      </c>
    </row>
    <row r="439" spans="1:12" x14ac:dyDescent="0.3">
      <c r="A439" s="29" t="str">
        <f>Detalle_OC[[#This Row],[Centro]]&amp;Detalle_OC[[#This Row],[Nom Almacen]]&amp;Detalle_OC[[#This Row],[Material]]&amp;Detalle_OC[[#This Row],[Pedido]]&amp;Detalle_OC[[#This Row],[Posicion]]</f>
        <v>Agricola del Chira PlantaMontelima70017132451157307720</v>
      </c>
      <c r="B439" t="s">
        <v>50</v>
      </c>
      <c r="C439" t="s">
        <v>42</v>
      </c>
      <c r="D439" s="11">
        <v>45662</v>
      </c>
      <c r="E439" t="b">
        <v>0</v>
      </c>
      <c r="F439" t="s">
        <v>12</v>
      </c>
      <c r="G439">
        <v>70017132</v>
      </c>
      <c r="H439">
        <v>4511573077</v>
      </c>
      <c r="I439">
        <v>20</v>
      </c>
      <c r="J439" s="29">
        <v>1</v>
      </c>
      <c r="K439" s="29" t="s">
        <v>1039</v>
      </c>
      <c r="L439" t="str">
        <f>IFERROR(VLOOKUP(Detalle_OC[[#This Row],[Centro]]&amp;Detalle_OC[[#This Row],[Nro Almacen]],Almacen!A:D,4,FALSE),"")</f>
        <v>Montelima</v>
      </c>
    </row>
    <row r="440" spans="1:12" x14ac:dyDescent="0.3">
      <c r="A440" s="29" t="str">
        <f>Detalle_OC[[#This Row],[Centro]]&amp;Detalle_OC[[#This Row],[Nom Almacen]]&amp;Detalle_OC[[#This Row],[Material]]&amp;Detalle_OC[[#This Row],[Pedido]]&amp;Detalle_OC[[#This Row],[Posicion]]</f>
        <v>Agricola del Chira PlantaMontelima70017133451157307730</v>
      </c>
      <c r="B440" t="s">
        <v>50</v>
      </c>
      <c r="C440" t="s">
        <v>42</v>
      </c>
      <c r="D440" s="11">
        <v>45662</v>
      </c>
      <c r="E440" t="b">
        <v>0</v>
      </c>
      <c r="F440" t="s">
        <v>12</v>
      </c>
      <c r="G440">
        <v>70017133</v>
      </c>
      <c r="H440">
        <v>4511573077</v>
      </c>
      <c r="I440">
        <v>30</v>
      </c>
      <c r="J440" s="29">
        <v>1</v>
      </c>
      <c r="K440" s="29" t="s">
        <v>1039</v>
      </c>
      <c r="L440" t="str">
        <f>IFERROR(VLOOKUP(Detalle_OC[[#This Row],[Centro]]&amp;Detalle_OC[[#This Row],[Nro Almacen]],Almacen!A:D,4,FALSE),"")</f>
        <v>Montelima</v>
      </c>
    </row>
    <row r="441" spans="1:12" x14ac:dyDescent="0.3">
      <c r="A441" s="29" t="str">
        <f>Detalle_OC[[#This Row],[Centro]]&amp;Detalle_OC[[#This Row],[Nom Almacen]]&amp;Detalle_OC[[#This Row],[Material]]&amp;Detalle_OC[[#This Row],[Pedido]]&amp;Detalle_OC[[#This Row],[Posicion]]</f>
        <v>Agricola del Chira PlantaMontelima887595451157307740</v>
      </c>
      <c r="B441" t="s">
        <v>50</v>
      </c>
      <c r="C441" t="s">
        <v>42</v>
      </c>
      <c r="D441" s="11">
        <v>45662</v>
      </c>
      <c r="E441" t="b">
        <v>0</v>
      </c>
      <c r="F441" t="s">
        <v>12</v>
      </c>
      <c r="G441">
        <v>887595</v>
      </c>
      <c r="H441">
        <v>4511573077</v>
      </c>
      <c r="I441">
        <v>40</v>
      </c>
      <c r="J441" s="29">
        <v>1</v>
      </c>
      <c r="K441" s="29" t="s">
        <v>1039</v>
      </c>
      <c r="L441" t="str">
        <f>IFERROR(VLOOKUP(Detalle_OC[[#This Row],[Centro]]&amp;Detalle_OC[[#This Row],[Nro Almacen]],Almacen!A:D,4,FALSE),"")</f>
        <v>Montelima</v>
      </c>
    </row>
    <row r="442" spans="1:12" x14ac:dyDescent="0.3">
      <c r="A442" s="29" t="str">
        <f>Detalle_OC[[#This Row],[Centro]]&amp;Detalle_OC[[#This Row],[Nom Almacen]]&amp;Detalle_OC[[#This Row],[Material]]&amp;Detalle_OC[[#This Row],[Pedido]]&amp;Detalle_OC[[#This Row],[Posicion]]</f>
        <v>Agricola del Chira PlantaAlmacen Lobo70135993451157308210</v>
      </c>
      <c r="B442" t="s">
        <v>265</v>
      </c>
      <c r="C442" t="s">
        <v>168</v>
      </c>
      <c r="D442" s="11">
        <v>45672</v>
      </c>
      <c r="E442" t="s">
        <v>16</v>
      </c>
      <c r="F442" t="s">
        <v>12</v>
      </c>
      <c r="G442">
        <v>70135993</v>
      </c>
      <c r="H442">
        <v>4511573082</v>
      </c>
      <c r="I442">
        <v>10</v>
      </c>
      <c r="J442" s="29">
        <v>7</v>
      </c>
      <c r="K442" s="29" t="s">
        <v>1039</v>
      </c>
      <c r="L442" t="str">
        <f>IFERROR(VLOOKUP(Detalle_OC[[#This Row],[Centro]]&amp;Detalle_OC[[#This Row],[Nro Almacen]],Almacen!A:D,4,FALSE),"")</f>
        <v>Almacen Lobo</v>
      </c>
    </row>
    <row r="443" spans="1:12" x14ac:dyDescent="0.3">
      <c r="A443" s="29" t="str">
        <f>Detalle_OC[[#This Row],[Centro]]&amp;Detalle_OC[[#This Row],[Nom Almacen]]&amp;Detalle_OC[[#This Row],[Material]]&amp;Detalle_OC[[#This Row],[Pedido]]&amp;Detalle_OC[[#This Row],[Posicion]]</f>
        <v>Agricola del Chira PlantaAlmacen Lobo70135994451157308220</v>
      </c>
      <c r="B443" t="s">
        <v>265</v>
      </c>
      <c r="C443" t="s">
        <v>168</v>
      </c>
      <c r="D443" s="11">
        <v>45672</v>
      </c>
      <c r="E443" t="s">
        <v>16</v>
      </c>
      <c r="F443" t="s">
        <v>12</v>
      </c>
      <c r="G443">
        <v>70135994</v>
      </c>
      <c r="H443">
        <v>4511573082</v>
      </c>
      <c r="I443">
        <v>20</v>
      </c>
      <c r="J443" s="29">
        <v>7</v>
      </c>
      <c r="K443" s="29" t="s">
        <v>1039</v>
      </c>
      <c r="L443" t="str">
        <f>IFERROR(VLOOKUP(Detalle_OC[[#This Row],[Centro]]&amp;Detalle_OC[[#This Row],[Nro Almacen]],Almacen!A:D,4,FALSE),"")</f>
        <v>Almacen Lobo</v>
      </c>
    </row>
    <row r="444" spans="1:12" x14ac:dyDescent="0.3">
      <c r="A444" s="29" t="str">
        <f>Detalle_OC[[#This Row],[Centro]]&amp;Detalle_OC[[#This Row],[Nom Almacen]]&amp;Detalle_OC[[#This Row],[Material]]&amp;Detalle_OC[[#This Row],[Pedido]]&amp;Detalle_OC[[#This Row],[Posicion]]</f>
        <v>Agricola del Chira PlantaMontelima814844451157308880</v>
      </c>
      <c r="B444" t="s">
        <v>234</v>
      </c>
      <c r="C444" t="s">
        <v>166</v>
      </c>
      <c r="D444" s="11">
        <v>45709</v>
      </c>
      <c r="E444" t="s">
        <v>16</v>
      </c>
      <c r="F444" t="s">
        <v>12</v>
      </c>
      <c r="G444">
        <v>814844</v>
      </c>
      <c r="H444">
        <v>4511573088</v>
      </c>
      <c r="I444">
        <v>80</v>
      </c>
      <c r="J444" s="29">
        <v>1</v>
      </c>
      <c r="K444" s="29" t="s">
        <v>1039</v>
      </c>
      <c r="L444" t="str">
        <f>IFERROR(VLOOKUP(Detalle_OC[[#This Row],[Centro]]&amp;Detalle_OC[[#This Row],[Nro Almacen]],Almacen!A:D,4,FALSE),"")</f>
        <v>Montelima</v>
      </c>
    </row>
    <row r="445" spans="1:12" x14ac:dyDescent="0.3">
      <c r="A445" s="29" t="str">
        <f>Detalle_OC[[#This Row],[Centro]]&amp;Detalle_OC[[#This Row],[Nom Almacen]]&amp;Detalle_OC[[#This Row],[Material]]&amp;Detalle_OC[[#This Row],[Pedido]]&amp;Detalle_OC[[#This Row],[Posicion]]</f>
        <v>Agricola del Chira PlantaMontelima8352264511573088140</v>
      </c>
      <c r="B445" t="s">
        <v>234</v>
      </c>
      <c r="C445" t="s">
        <v>166</v>
      </c>
      <c r="D445" s="11">
        <v>45709</v>
      </c>
      <c r="E445" t="s">
        <v>16</v>
      </c>
      <c r="F445" t="s">
        <v>12</v>
      </c>
      <c r="G445">
        <v>835226</v>
      </c>
      <c r="H445">
        <v>4511573088</v>
      </c>
      <c r="I445">
        <v>140</v>
      </c>
      <c r="J445" s="29">
        <v>1</v>
      </c>
      <c r="K445" s="29" t="s">
        <v>1039</v>
      </c>
      <c r="L445" t="str">
        <f>IFERROR(VLOOKUP(Detalle_OC[[#This Row],[Centro]]&amp;Detalle_OC[[#This Row],[Nro Almacen]],Almacen!A:D,4,FALSE),"")</f>
        <v>Montelima</v>
      </c>
    </row>
    <row r="446" spans="1:12" x14ac:dyDescent="0.3">
      <c r="A446" s="29" t="str">
        <f>Detalle_OC[[#This Row],[Centro]]&amp;Detalle_OC[[#This Row],[Nom Almacen]]&amp;Detalle_OC[[#This Row],[Material]]&amp;Detalle_OC[[#This Row],[Pedido]]&amp;Detalle_OC[[#This Row],[Posicion]]</f>
        <v>Agricola del Chira PlantaMontelima8394094511573088180</v>
      </c>
      <c r="B446" t="s">
        <v>234</v>
      </c>
      <c r="C446" t="s">
        <v>166</v>
      </c>
      <c r="D446" s="11">
        <v>45709</v>
      </c>
      <c r="E446" t="s">
        <v>16</v>
      </c>
      <c r="F446" t="s">
        <v>12</v>
      </c>
      <c r="G446">
        <v>839409</v>
      </c>
      <c r="H446">
        <v>4511573088</v>
      </c>
      <c r="I446">
        <v>180</v>
      </c>
      <c r="J446" s="29">
        <v>1</v>
      </c>
      <c r="K446" s="29" t="s">
        <v>1039</v>
      </c>
      <c r="L446" t="str">
        <f>IFERROR(VLOOKUP(Detalle_OC[[#This Row],[Centro]]&amp;Detalle_OC[[#This Row],[Nro Almacen]],Almacen!A:D,4,FALSE),"")</f>
        <v>Montelima</v>
      </c>
    </row>
    <row r="447" spans="1:12" x14ac:dyDescent="0.3">
      <c r="A447" s="29" t="str">
        <f>Detalle_OC[[#This Row],[Centro]]&amp;Detalle_OC[[#This Row],[Nom Almacen]]&amp;Detalle_OC[[#This Row],[Material]]&amp;Detalle_OC[[#This Row],[Pedido]]&amp;Detalle_OC[[#This Row],[Posicion]]</f>
        <v>Agricola del Chira PlantaMontelima8394234511573088190</v>
      </c>
      <c r="B447" t="s">
        <v>234</v>
      </c>
      <c r="C447" t="s">
        <v>166</v>
      </c>
      <c r="D447" s="11">
        <v>45709</v>
      </c>
      <c r="E447" t="s">
        <v>16</v>
      </c>
      <c r="F447" t="s">
        <v>12</v>
      </c>
      <c r="G447">
        <v>839423</v>
      </c>
      <c r="H447">
        <v>4511573088</v>
      </c>
      <c r="I447">
        <v>190</v>
      </c>
      <c r="J447" s="29">
        <v>1</v>
      </c>
      <c r="K447" s="29" t="s">
        <v>1039</v>
      </c>
      <c r="L447" t="str">
        <f>IFERROR(VLOOKUP(Detalle_OC[[#This Row],[Centro]]&amp;Detalle_OC[[#This Row],[Nro Almacen]],Almacen!A:D,4,FALSE),"")</f>
        <v>Montelima</v>
      </c>
    </row>
    <row r="448" spans="1:12" x14ac:dyDescent="0.3">
      <c r="A448" s="29" t="str">
        <f>Detalle_OC[[#This Row],[Centro]]&amp;Detalle_OC[[#This Row],[Nom Almacen]]&amp;Detalle_OC[[#This Row],[Material]]&amp;Detalle_OC[[#This Row],[Pedido]]&amp;Detalle_OC[[#This Row],[Posicion]]</f>
        <v>Agricola del Chira PlantaMontelima8640904511573088230</v>
      </c>
      <c r="B448" t="s">
        <v>234</v>
      </c>
      <c r="C448" t="s">
        <v>166</v>
      </c>
      <c r="D448" s="11">
        <v>45709</v>
      </c>
      <c r="E448" t="s">
        <v>16</v>
      </c>
      <c r="F448" t="s">
        <v>12</v>
      </c>
      <c r="G448">
        <v>864090</v>
      </c>
      <c r="H448">
        <v>4511573088</v>
      </c>
      <c r="I448">
        <v>230</v>
      </c>
      <c r="J448" s="29">
        <v>1</v>
      </c>
      <c r="K448" s="29" t="s">
        <v>1039</v>
      </c>
      <c r="L448" t="str">
        <f>IFERROR(VLOOKUP(Detalle_OC[[#This Row],[Centro]]&amp;Detalle_OC[[#This Row],[Nro Almacen]],Almacen!A:D,4,FALSE),"")</f>
        <v>Montelima</v>
      </c>
    </row>
    <row r="449" spans="1:12" x14ac:dyDescent="0.3">
      <c r="A449" s="29" t="str">
        <f>Detalle_OC[[#This Row],[Centro]]&amp;Detalle_OC[[#This Row],[Nom Almacen]]&amp;Detalle_OC[[#This Row],[Material]]&amp;Detalle_OC[[#This Row],[Pedido]]&amp;Detalle_OC[[#This Row],[Posicion]]</f>
        <v>Agricola del Chira PlantaMontelima8956244511573088240</v>
      </c>
      <c r="B449" t="s">
        <v>234</v>
      </c>
      <c r="C449" t="s">
        <v>166</v>
      </c>
      <c r="D449" s="11">
        <v>45672</v>
      </c>
      <c r="E449" t="s">
        <v>16</v>
      </c>
      <c r="F449" t="s">
        <v>12</v>
      </c>
      <c r="G449">
        <v>895624</v>
      </c>
      <c r="H449">
        <v>4511573088</v>
      </c>
      <c r="I449">
        <v>240</v>
      </c>
      <c r="J449" s="29">
        <v>1</v>
      </c>
      <c r="K449" s="29" t="s">
        <v>1039</v>
      </c>
      <c r="L449" t="str">
        <f>IFERROR(VLOOKUP(Detalle_OC[[#This Row],[Centro]]&amp;Detalle_OC[[#This Row],[Nro Almacen]],Almacen!A:D,4,FALSE),"")</f>
        <v>Montelima</v>
      </c>
    </row>
    <row r="450" spans="1:12" x14ac:dyDescent="0.3">
      <c r="A450" s="29" t="str">
        <f>Detalle_OC[[#This Row],[Centro]]&amp;Detalle_OC[[#This Row],[Nom Almacen]]&amp;Detalle_OC[[#This Row],[Material]]&amp;Detalle_OC[[#This Row],[Pedido]]&amp;Detalle_OC[[#This Row],[Posicion]]</f>
        <v>Agricola del Chira PlantaMontelima700987084511573088460</v>
      </c>
      <c r="B450" t="s">
        <v>234</v>
      </c>
      <c r="C450" t="s">
        <v>166</v>
      </c>
      <c r="D450" s="11">
        <v>45672</v>
      </c>
      <c r="E450" t="s">
        <v>16</v>
      </c>
      <c r="F450" t="s">
        <v>12</v>
      </c>
      <c r="G450">
        <v>70098708</v>
      </c>
      <c r="H450">
        <v>4511573088</v>
      </c>
      <c r="I450">
        <v>460</v>
      </c>
      <c r="J450" s="29">
        <v>1</v>
      </c>
      <c r="K450" s="29" t="s">
        <v>1039</v>
      </c>
      <c r="L450" t="str">
        <f>IFERROR(VLOOKUP(Detalle_OC[[#This Row],[Centro]]&amp;Detalle_OC[[#This Row],[Nro Almacen]],Almacen!A:D,4,FALSE),"")</f>
        <v>Montelima</v>
      </c>
    </row>
    <row r="451" spans="1:12" x14ac:dyDescent="0.3">
      <c r="A451" s="29" t="str">
        <f>Detalle_OC[[#This Row],[Centro]]&amp;Detalle_OC[[#This Row],[Nom Almacen]]&amp;Detalle_OC[[#This Row],[Material]]&amp;Detalle_OC[[#This Row],[Pedido]]&amp;Detalle_OC[[#This Row],[Posicion]]</f>
        <v>Agricola del Chira PlantaMontelima701262324511573088490</v>
      </c>
      <c r="B451" t="s">
        <v>234</v>
      </c>
      <c r="C451" t="s">
        <v>166</v>
      </c>
      <c r="D451" s="11">
        <v>45672</v>
      </c>
      <c r="E451" t="s">
        <v>16</v>
      </c>
      <c r="F451" t="s">
        <v>12</v>
      </c>
      <c r="G451">
        <v>70126232</v>
      </c>
      <c r="H451">
        <v>4511573088</v>
      </c>
      <c r="I451">
        <v>490</v>
      </c>
      <c r="J451" s="29">
        <v>1</v>
      </c>
      <c r="K451" s="29" t="s">
        <v>1039</v>
      </c>
      <c r="L451" t="str">
        <f>IFERROR(VLOOKUP(Detalle_OC[[#This Row],[Centro]]&amp;Detalle_OC[[#This Row],[Nro Almacen]],Almacen!A:D,4,FALSE),"")</f>
        <v>Montelima</v>
      </c>
    </row>
    <row r="452" spans="1:12" x14ac:dyDescent="0.3">
      <c r="A452" s="29" t="str">
        <f>Detalle_OC[[#This Row],[Centro]]&amp;Detalle_OC[[#This Row],[Nom Almacen]]&amp;Detalle_OC[[#This Row],[Material]]&amp;Detalle_OC[[#This Row],[Pedido]]&amp;Detalle_OC[[#This Row],[Posicion]]</f>
        <v>FALSO</v>
      </c>
      <c r="B452" t="s">
        <v>1121</v>
      </c>
      <c r="D452" s="11" t="s">
        <v>164</v>
      </c>
      <c r="E452" t="b">
        <v>0</v>
      </c>
      <c r="F452" t="b">
        <v>0</v>
      </c>
      <c r="J452" s="29"/>
      <c r="K452" s="29"/>
      <c r="L452" t="str">
        <f>IFERROR(VLOOKUP(Detalle_OC[[#This Row],[Centro]]&amp;Detalle_OC[[#This Row],[Nro Almacen]],Almacen!A:D,4,FALSE),"")</f>
        <v/>
      </c>
    </row>
    <row r="453" spans="1:12" x14ac:dyDescent="0.3">
      <c r="A453" s="29" t="str">
        <f>Detalle_OC[[#This Row],[Centro]]&amp;Detalle_OC[[#This Row],[Nom Almacen]]&amp;Detalle_OC[[#This Row],[Material]]&amp;Detalle_OC[[#This Row],[Pedido]]&amp;Detalle_OC[[#This Row],[Posicion]]</f>
        <v>FALSO4511573097101</v>
      </c>
      <c r="B453" t="s">
        <v>14</v>
      </c>
      <c r="C453" t="s">
        <v>1109</v>
      </c>
      <c r="D453" s="11" t="s">
        <v>165</v>
      </c>
      <c r="E453" t="b">
        <v>0</v>
      </c>
      <c r="F453" t="b">
        <v>0</v>
      </c>
      <c r="G453">
        <v>4511573097</v>
      </c>
      <c r="H453">
        <v>10</v>
      </c>
      <c r="I453">
        <v>1</v>
      </c>
      <c r="J453" s="29" t="s">
        <v>1039</v>
      </c>
      <c r="K453" s="29"/>
      <c r="L453" t="str">
        <f>IFERROR(VLOOKUP(Detalle_OC[[#This Row],[Centro]]&amp;Detalle_OC[[#This Row],[Nro Almacen]],Almacen!A:D,4,FALSE),"")</f>
        <v/>
      </c>
    </row>
    <row r="454" spans="1:12" x14ac:dyDescent="0.3">
      <c r="A454" s="29" t="str">
        <f>Detalle_OC[[#This Row],[Centro]]&amp;Detalle_OC[[#This Row],[Nom Almacen]]&amp;Detalle_OC[[#This Row],[Material]]&amp;Detalle_OC[[#This Row],[Pedido]]&amp;Detalle_OC[[#This Row],[Posicion]]</f>
        <v>Agricola del Chira PlantaMontelima729342451157293210</v>
      </c>
      <c r="B454" t="s">
        <v>1122</v>
      </c>
      <c r="C454" t="s">
        <v>44</v>
      </c>
      <c r="D454" s="11">
        <v>45667</v>
      </c>
      <c r="E454" t="s">
        <v>48</v>
      </c>
      <c r="F454" t="s">
        <v>12</v>
      </c>
      <c r="G454">
        <v>729342</v>
      </c>
      <c r="H454">
        <v>4511572932</v>
      </c>
      <c r="I454">
        <v>10</v>
      </c>
      <c r="J454" s="29">
        <v>1</v>
      </c>
      <c r="K454" s="29" t="s">
        <v>1042</v>
      </c>
      <c r="L454" t="str">
        <f>IFERROR(VLOOKUP(Detalle_OC[[#This Row],[Centro]]&amp;Detalle_OC[[#This Row],[Nro Almacen]],Almacen!A:D,4,FALSE),"")</f>
        <v>Montelima</v>
      </c>
    </row>
    <row r="455" spans="1:12" x14ac:dyDescent="0.3">
      <c r="A455" s="29" t="str">
        <f>Detalle_OC[[#This Row],[Centro]]&amp;Detalle_OC[[#This Row],[Nom Almacen]]&amp;Detalle_OC[[#This Row],[Material]]&amp;Detalle_OC[[#This Row],[Pedido]]&amp;Detalle_OC[[#This Row],[Posicion]]</f>
        <v>Agricola del Chira PlantaMontelima754593451157293220</v>
      </c>
      <c r="B455" t="s">
        <v>1122</v>
      </c>
      <c r="C455" t="s">
        <v>44</v>
      </c>
      <c r="D455" s="11">
        <v>45667</v>
      </c>
      <c r="E455" t="s">
        <v>48</v>
      </c>
      <c r="F455" t="s">
        <v>12</v>
      </c>
      <c r="G455">
        <v>754593</v>
      </c>
      <c r="H455">
        <v>4511572932</v>
      </c>
      <c r="I455">
        <v>20</v>
      </c>
      <c r="J455" s="29">
        <v>1</v>
      </c>
      <c r="K455" s="29" t="s">
        <v>1042</v>
      </c>
      <c r="L455" t="str">
        <f>IFERROR(VLOOKUP(Detalle_OC[[#This Row],[Centro]]&amp;Detalle_OC[[#This Row],[Nro Almacen]],Almacen!A:D,4,FALSE),"")</f>
        <v>Montelima</v>
      </c>
    </row>
    <row r="456" spans="1:12" x14ac:dyDescent="0.3">
      <c r="A456" s="29" t="str">
        <f>Detalle_OC[[#This Row],[Centro]]&amp;Detalle_OC[[#This Row],[Nom Almacen]]&amp;Detalle_OC[[#This Row],[Material]]&amp;Detalle_OC[[#This Row],[Pedido]]&amp;Detalle_OC[[#This Row],[Posicion]]</f>
        <v>Agricola del Chira PlantaMontelima763986451157293230</v>
      </c>
      <c r="B456" t="s">
        <v>1122</v>
      </c>
      <c r="C456" t="s">
        <v>44</v>
      </c>
      <c r="D456" s="11">
        <v>45667</v>
      </c>
      <c r="E456" t="s">
        <v>48</v>
      </c>
      <c r="F456" t="s">
        <v>12</v>
      </c>
      <c r="G456">
        <v>763986</v>
      </c>
      <c r="H456">
        <v>4511572932</v>
      </c>
      <c r="I456">
        <v>30</v>
      </c>
      <c r="J456" s="29">
        <v>1</v>
      </c>
      <c r="K456" s="29" t="s">
        <v>1042</v>
      </c>
      <c r="L456" t="str">
        <f>IFERROR(VLOOKUP(Detalle_OC[[#This Row],[Centro]]&amp;Detalle_OC[[#This Row],[Nro Almacen]],Almacen!A:D,4,FALSE),"")</f>
        <v>Montelima</v>
      </c>
    </row>
    <row r="457" spans="1:12" x14ac:dyDescent="0.3">
      <c r="A457" s="29" t="str">
        <f>Detalle_OC[[#This Row],[Centro]]&amp;Detalle_OC[[#This Row],[Nom Almacen]]&amp;Detalle_OC[[#This Row],[Material]]&amp;Detalle_OC[[#This Row],[Pedido]]&amp;Detalle_OC[[#This Row],[Posicion]]</f>
        <v>Agricola del Chira PlantaMontelima764040451157293240</v>
      </c>
      <c r="B457" t="s">
        <v>1122</v>
      </c>
      <c r="C457" t="s">
        <v>44</v>
      </c>
      <c r="D457" s="11">
        <v>45667</v>
      </c>
      <c r="E457" t="s">
        <v>48</v>
      </c>
      <c r="F457" t="s">
        <v>12</v>
      </c>
      <c r="G457">
        <v>764040</v>
      </c>
      <c r="H457">
        <v>4511572932</v>
      </c>
      <c r="I457">
        <v>40</v>
      </c>
      <c r="J457" s="29">
        <v>1</v>
      </c>
      <c r="K457" s="29" t="s">
        <v>1042</v>
      </c>
      <c r="L457" t="str">
        <f>IFERROR(VLOOKUP(Detalle_OC[[#This Row],[Centro]]&amp;Detalle_OC[[#This Row],[Nro Almacen]],Almacen!A:D,4,FALSE),"")</f>
        <v>Montelima</v>
      </c>
    </row>
    <row r="458" spans="1:12" x14ac:dyDescent="0.3">
      <c r="A458" s="29" t="str">
        <f>Detalle_OC[[#This Row],[Centro]]&amp;Detalle_OC[[#This Row],[Nom Almacen]]&amp;Detalle_OC[[#This Row],[Material]]&amp;Detalle_OC[[#This Row],[Pedido]]&amp;Detalle_OC[[#This Row],[Posicion]]</f>
        <v>Agricola del Chira PlantaMontelima776403451157293250</v>
      </c>
      <c r="B458" t="s">
        <v>1122</v>
      </c>
      <c r="C458" t="s">
        <v>44</v>
      </c>
      <c r="D458" s="11">
        <v>45667</v>
      </c>
      <c r="E458" t="s">
        <v>48</v>
      </c>
      <c r="F458" t="s">
        <v>12</v>
      </c>
      <c r="G458">
        <v>776403</v>
      </c>
      <c r="H458">
        <v>4511572932</v>
      </c>
      <c r="I458">
        <v>50</v>
      </c>
      <c r="J458" s="29">
        <v>1</v>
      </c>
      <c r="K458" s="29" t="s">
        <v>1042</v>
      </c>
      <c r="L458" t="str">
        <f>IFERROR(VLOOKUP(Detalle_OC[[#This Row],[Centro]]&amp;Detalle_OC[[#This Row],[Nro Almacen]],Almacen!A:D,4,FALSE),"")</f>
        <v>Montelima</v>
      </c>
    </row>
    <row r="459" spans="1:12" x14ac:dyDescent="0.3">
      <c r="A459" s="29" t="str">
        <f>Detalle_OC[[#This Row],[Centro]]&amp;Detalle_OC[[#This Row],[Nom Almacen]]&amp;Detalle_OC[[#This Row],[Material]]&amp;Detalle_OC[[#This Row],[Pedido]]&amp;Detalle_OC[[#This Row],[Posicion]]</f>
        <v>Agricola del Chira PlantaMontelima70127085451157293910</v>
      </c>
      <c r="B459" t="s">
        <v>185</v>
      </c>
      <c r="C459" t="s">
        <v>221</v>
      </c>
      <c r="D459" s="11">
        <v>45650</v>
      </c>
      <c r="E459" t="s">
        <v>48</v>
      </c>
      <c r="F459" t="s">
        <v>12</v>
      </c>
      <c r="G459">
        <v>70127085</v>
      </c>
      <c r="H459">
        <v>4511572939</v>
      </c>
      <c r="I459">
        <v>10</v>
      </c>
      <c r="J459" s="29">
        <v>1</v>
      </c>
      <c r="K459" s="29" t="s">
        <v>1042</v>
      </c>
      <c r="L459" t="str">
        <f>IFERROR(VLOOKUP(Detalle_OC[[#This Row],[Centro]]&amp;Detalle_OC[[#This Row],[Nro Almacen]],Almacen!A:D,4,FALSE),"")</f>
        <v>Montelima</v>
      </c>
    </row>
    <row r="460" spans="1:12" x14ac:dyDescent="0.3">
      <c r="A460" s="29" t="str">
        <f>Detalle_OC[[#This Row],[Centro]]&amp;Detalle_OC[[#This Row],[Nom Almacen]]&amp;Detalle_OC[[#This Row],[Material]]&amp;Detalle_OC[[#This Row],[Pedido]]&amp;Detalle_OC[[#This Row],[Posicion]]</f>
        <v>Agricola del Chira PlantaMontelima70093741451157294310</v>
      </c>
      <c r="B460" t="s">
        <v>1123</v>
      </c>
      <c r="C460" t="s">
        <v>42</v>
      </c>
      <c r="D460" s="11">
        <v>45649</v>
      </c>
      <c r="E460" t="s">
        <v>16</v>
      </c>
      <c r="F460" t="s">
        <v>12</v>
      </c>
      <c r="G460">
        <v>70093741</v>
      </c>
      <c r="H460">
        <v>4511572943</v>
      </c>
      <c r="I460">
        <v>10</v>
      </c>
      <c r="J460" s="29">
        <v>1</v>
      </c>
      <c r="K460" s="29" t="s">
        <v>1042</v>
      </c>
      <c r="L460" t="str">
        <f>IFERROR(VLOOKUP(Detalle_OC[[#This Row],[Centro]]&amp;Detalle_OC[[#This Row],[Nro Almacen]],Almacen!A:D,4,FALSE),"")</f>
        <v>Montelima</v>
      </c>
    </row>
    <row r="461" spans="1:12" x14ac:dyDescent="0.3">
      <c r="A461" s="29" t="str">
        <f>Detalle_OC[[#This Row],[Centro]]&amp;Detalle_OC[[#This Row],[Nom Almacen]]&amp;Detalle_OC[[#This Row],[Material]]&amp;Detalle_OC[[#This Row],[Pedido]]&amp;Detalle_OC[[#This Row],[Posicion]]</f>
        <v>Sucroalcolera del Chira PlantaMontelima70133156451157295610</v>
      </c>
      <c r="B461" t="s">
        <v>138</v>
      </c>
      <c r="C461" t="s">
        <v>49</v>
      </c>
      <c r="D461" s="11">
        <v>45667</v>
      </c>
      <c r="E461" t="s">
        <v>16</v>
      </c>
      <c r="F461" t="s">
        <v>85</v>
      </c>
      <c r="G461">
        <v>70133156</v>
      </c>
      <c r="H461">
        <v>4511572956</v>
      </c>
      <c r="I461">
        <v>10</v>
      </c>
      <c r="J461" s="29">
        <v>1</v>
      </c>
      <c r="K461" s="29" t="s">
        <v>1042</v>
      </c>
      <c r="L461" t="str">
        <f>IFERROR(VLOOKUP(Detalle_OC[[#This Row],[Centro]]&amp;Detalle_OC[[#This Row],[Nro Almacen]],Almacen!A:D,4,FALSE),"")</f>
        <v>Montelima</v>
      </c>
    </row>
    <row r="462" spans="1:12" x14ac:dyDescent="0.3">
      <c r="A462" s="29" t="str">
        <f>Detalle_OC[[#This Row],[Centro]]&amp;Detalle_OC[[#This Row],[Nom Almacen]]&amp;Detalle_OC[[#This Row],[Material]]&amp;Detalle_OC[[#This Row],[Pedido]]&amp;Detalle_OC[[#This Row],[Posicion]]</f>
        <v>Agricola del Chira PlantaAlmacen Lobo877019451157297010</v>
      </c>
      <c r="B462" t="s">
        <v>181</v>
      </c>
      <c r="C462" t="s">
        <v>24</v>
      </c>
      <c r="D462" s="11">
        <v>45649</v>
      </c>
      <c r="E462" t="s">
        <v>16</v>
      </c>
      <c r="F462" t="s">
        <v>12</v>
      </c>
      <c r="G462">
        <v>877019</v>
      </c>
      <c r="H462">
        <v>4511572970</v>
      </c>
      <c r="I462">
        <v>10</v>
      </c>
      <c r="J462" s="29">
        <v>7</v>
      </c>
      <c r="K462" s="29" t="s">
        <v>1042</v>
      </c>
      <c r="L462" t="str">
        <f>IFERROR(VLOOKUP(Detalle_OC[[#This Row],[Centro]]&amp;Detalle_OC[[#This Row],[Nro Almacen]],Almacen!A:D,4,FALSE),"")</f>
        <v>Almacen Lobo</v>
      </c>
    </row>
    <row r="463" spans="1:12" x14ac:dyDescent="0.3">
      <c r="A463" s="29" t="str">
        <f>Detalle_OC[[#This Row],[Centro]]&amp;Detalle_OC[[#This Row],[Nom Almacen]]&amp;Detalle_OC[[#This Row],[Material]]&amp;Detalle_OC[[#This Row],[Pedido]]&amp;Detalle_OC[[#This Row],[Posicion]]</f>
        <v>Agricola del Chira PlantaMontelima70136133451157297510</v>
      </c>
      <c r="B463" t="s">
        <v>1124</v>
      </c>
      <c r="C463" t="s">
        <v>1125</v>
      </c>
      <c r="D463" s="11">
        <v>45657</v>
      </c>
      <c r="E463" t="s">
        <v>48</v>
      </c>
      <c r="F463" t="s">
        <v>12</v>
      </c>
      <c r="G463">
        <v>70136133</v>
      </c>
      <c r="H463">
        <v>4511572975</v>
      </c>
      <c r="I463">
        <v>10</v>
      </c>
      <c r="J463" s="29">
        <v>1</v>
      </c>
      <c r="K463" s="29" t="s">
        <v>1042</v>
      </c>
      <c r="L463" t="str">
        <f>IFERROR(VLOOKUP(Detalle_OC[[#This Row],[Centro]]&amp;Detalle_OC[[#This Row],[Nro Almacen]],Almacen!A:D,4,FALSE),"")</f>
        <v>Montelima</v>
      </c>
    </row>
    <row r="464" spans="1:12" x14ac:dyDescent="0.3">
      <c r="A464" s="29" t="str">
        <f>Detalle_OC[[#This Row],[Centro]]&amp;Detalle_OC[[#This Row],[Nom Almacen]]&amp;Detalle_OC[[#This Row],[Material]]&amp;Detalle_OC[[#This Row],[Pedido]]&amp;Detalle_OC[[#This Row],[Posicion]]</f>
        <v>Agricola del Chira PlantaMontelima70136134451157297520</v>
      </c>
      <c r="B464" t="s">
        <v>1124</v>
      </c>
      <c r="C464" t="s">
        <v>1125</v>
      </c>
      <c r="D464" s="11">
        <v>45657</v>
      </c>
      <c r="E464" t="s">
        <v>48</v>
      </c>
      <c r="F464" t="s">
        <v>12</v>
      </c>
      <c r="G464">
        <v>70136134</v>
      </c>
      <c r="H464">
        <v>4511572975</v>
      </c>
      <c r="I464">
        <v>20</v>
      </c>
      <c r="J464" s="29">
        <v>1</v>
      </c>
      <c r="K464" s="29" t="s">
        <v>1042</v>
      </c>
      <c r="L464" t="str">
        <f>IFERROR(VLOOKUP(Detalle_OC[[#This Row],[Centro]]&amp;Detalle_OC[[#This Row],[Nro Almacen]],Almacen!A:D,4,FALSE),"")</f>
        <v>Montelima</v>
      </c>
    </row>
    <row r="465" spans="1:12" x14ac:dyDescent="0.3">
      <c r="A465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fábrica70120864451157297610</v>
      </c>
      <c r="B465" t="s">
        <v>142</v>
      </c>
      <c r="C465" t="s">
        <v>304</v>
      </c>
      <c r="D465" s="11">
        <v>45657</v>
      </c>
      <c r="E465" t="s">
        <v>16</v>
      </c>
      <c r="F465" t="s">
        <v>85</v>
      </c>
      <c r="G465">
        <v>70120864</v>
      </c>
      <c r="H465">
        <v>4511572976</v>
      </c>
      <c r="I465">
        <v>10</v>
      </c>
      <c r="J465" s="29">
        <v>9</v>
      </c>
      <c r="K465" s="29" t="s">
        <v>1042</v>
      </c>
      <c r="L465" t="str">
        <f>IFERROR(VLOOKUP(Detalle_OC[[#This Row],[Centro]]&amp;Detalle_OC[[#This Row],[Nro Almacen]],Almacen!A:D,4,FALSE),"")</f>
        <v>Parada fábrica</v>
      </c>
    </row>
    <row r="466" spans="1:12" x14ac:dyDescent="0.3">
      <c r="A466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fábrica807939451157297910</v>
      </c>
      <c r="B466" t="s">
        <v>142</v>
      </c>
      <c r="C466" t="s">
        <v>49</v>
      </c>
      <c r="D466" s="11">
        <v>45657</v>
      </c>
      <c r="E466" t="s">
        <v>16</v>
      </c>
      <c r="F466" t="s">
        <v>85</v>
      </c>
      <c r="G466">
        <v>807939</v>
      </c>
      <c r="H466">
        <v>4511572979</v>
      </c>
      <c r="I466">
        <v>10</v>
      </c>
      <c r="J466" s="29">
        <v>9</v>
      </c>
      <c r="K466" s="29" t="s">
        <v>1042</v>
      </c>
      <c r="L466" t="str">
        <f>IFERROR(VLOOKUP(Detalle_OC[[#This Row],[Centro]]&amp;Detalle_OC[[#This Row],[Nro Almacen]],Almacen!A:D,4,FALSE),"")</f>
        <v>Parada fábrica</v>
      </c>
    </row>
    <row r="467" spans="1:12" x14ac:dyDescent="0.3">
      <c r="A467" s="29" t="str">
        <f>Detalle_OC[[#This Row],[Centro]]&amp;Detalle_OC[[#This Row],[Nom Almacen]]&amp;Detalle_OC[[#This Row],[Material]]&amp;Detalle_OC[[#This Row],[Pedido]]&amp;Detalle_OC[[#This Row],[Posicion]]</f>
        <v>Agricola del Chira PlantaMontelima721556550002485560</v>
      </c>
      <c r="B467" t="s">
        <v>28</v>
      </c>
      <c r="C467" t="s">
        <v>96</v>
      </c>
      <c r="D467" s="11">
        <v>45677</v>
      </c>
      <c r="E467" t="s">
        <v>16</v>
      </c>
      <c r="F467" t="s">
        <v>12</v>
      </c>
      <c r="G467">
        <v>721556</v>
      </c>
      <c r="H467">
        <v>5500024855</v>
      </c>
      <c r="I467">
        <v>60</v>
      </c>
      <c r="J467" s="29">
        <v>1</v>
      </c>
      <c r="K467" s="29" t="s">
        <v>1042</v>
      </c>
      <c r="L467" t="str">
        <f>IFERROR(VLOOKUP(Detalle_OC[[#This Row],[Centro]]&amp;Detalle_OC[[#This Row],[Nro Almacen]],Almacen!A:D,4,FALSE),"")</f>
        <v>Montelima</v>
      </c>
    </row>
    <row r="468" spans="1:12" x14ac:dyDescent="0.3">
      <c r="A468" s="29" t="str">
        <f>Detalle_OC[[#This Row],[Centro]]&amp;Detalle_OC[[#This Row],[Nom Almacen]]&amp;Detalle_OC[[#This Row],[Material]]&amp;Detalle_OC[[#This Row],[Pedido]]&amp;Detalle_OC[[#This Row],[Posicion]]</f>
        <v>Agricola del Chira PlantaAlmacen Lobo849010451157203850</v>
      </c>
      <c r="B468" t="s">
        <v>39</v>
      </c>
      <c r="C468" t="s">
        <v>38</v>
      </c>
      <c r="D468" s="11">
        <v>45657</v>
      </c>
      <c r="E468" t="s">
        <v>16</v>
      </c>
      <c r="F468" t="s">
        <v>12</v>
      </c>
      <c r="G468">
        <v>849010</v>
      </c>
      <c r="H468">
        <v>4511572038</v>
      </c>
      <c r="I468">
        <v>50</v>
      </c>
      <c r="J468" s="29">
        <v>7</v>
      </c>
      <c r="K468" s="29" t="s">
        <v>1045</v>
      </c>
      <c r="L468" t="str">
        <f>IFERROR(VLOOKUP(Detalle_OC[[#This Row],[Centro]]&amp;Detalle_OC[[#This Row],[Nro Almacen]],Almacen!A:D,4,FALSE),"")</f>
        <v>Almacen Lobo</v>
      </c>
    </row>
    <row r="469" spans="1:12" x14ac:dyDescent="0.3">
      <c r="A469" s="29" t="str">
        <f>Detalle_OC[[#This Row],[Centro]]&amp;Detalle_OC[[#This Row],[Nom Almacen]]&amp;Detalle_OC[[#This Row],[Material]]&amp;Detalle_OC[[#This Row],[Pedido]]&amp;Detalle_OC[[#This Row],[Posicion]]</f>
        <v>Sucroalcolera del Chira PlantaMontelima859397451157286210</v>
      </c>
      <c r="B469" t="s">
        <v>138</v>
      </c>
      <c r="C469" t="s">
        <v>299</v>
      </c>
      <c r="D469" s="11">
        <v>45674</v>
      </c>
      <c r="E469" t="s">
        <v>16</v>
      </c>
      <c r="F469" t="s">
        <v>85</v>
      </c>
      <c r="G469">
        <v>859397</v>
      </c>
      <c r="H469">
        <v>4511572862</v>
      </c>
      <c r="I469">
        <v>10</v>
      </c>
      <c r="J469" s="29">
        <v>1</v>
      </c>
      <c r="K469" s="29" t="s">
        <v>1045</v>
      </c>
      <c r="L469" t="str">
        <f>IFERROR(VLOOKUP(Detalle_OC[[#This Row],[Centro]]&amp;Detalle_OC[[#This Row],[Nro Almacen]],Almacen!A:D,4,FALSE),"")</f>
        <v>Montelima</v>
      </c>
    </row>
    <row r="470" spans="1:12" x14ac:dyDescent="0.3">
      <c r="A470" s="29" t="str">
        <f>Detalle_OC[[#This Row],[Centro]]&amp;Detalle_OC[[#This Row],[Nom Almacen]]&amp;Detalle_OC[[#This Row],[Material]]&amp;Detalle_OC[[#This Row],[Pedido]]&amp;Detalle_OC[[#This Row],[Posicion]]</f>
        <v>Agricola del Chira PlantaMontelima802287451157289610</v>
      </c>
      <c r="B470" t="s">
        <v>1126</v>
      </c>
      <c r="C470" t="s">
        <v>1127</v>
      </c>
      <c r="D470" s="11">
        <v>45649</v>
      </c>
      <c r="E470" t="s">
        <v>51</v>
      </c>
      <c r="F470" t="s">
        <v>12</v>
      </c>
      <c r="G470">
        <v>802287</v>
      </c>
      <c r="H470">
        <v>4511572896</v>
      </c>
      <c r="I470">
        <v>10</v>
      </c>
      <c r="J470" s="29">
        <v>1</v>
      </c>
      <c r="K470" s="29" t="s">
        <v>1045</v>
      </c>
      <c r="L470" t="str">
        <f>IFERROR(VLOOKUP(Detalle_OC[[#This Row],[Centro]]&amp;Detalle_OC[[#This Row],[Nro Almacen]],Almacen!A:D,4,FALSE),"")</f>
        <v>Montelima</v>
      </c>
    </row>
    <row r="471" spans="1:12" x14ac:dyDescent="0.3">
      <c r="A471" s="29" t="str">
        <f>Detalle_OC[[#This Row],[Centro]]&amp;Detalle_OC[[#This Row],[Nom Almacen]]&amp;Detalle_OC[[#This Row],[Material]]&amp;Detalle_OC[[#This Row],[Pedido]]&amp;Detalle_OC[[#This Row],[Posicion]]</f>
        <v>Agricola del Chira PlantaLa Huaca748268451157289910</v>
      </c>
      <c r="B471" t="s">
        <v>26</v>
      </c>
      <c r="C471" t="s">
        <v>173</v>
      </c>
      <c r="D471" s="11">
        <v>45670</v>
      </c>
      <c r="E471" t="s">
        <v>16</v>
      </c>
      <c r="F471" t="s">
        <v>12</v>
      </c>
      <c r="G471">
        <v>748268</v>
      </c>
      <c r="H471">
        <v>4511572899</v>
      </c>
      <c r="I471">
        <v>10</v>
      </c>
      <c r="J471" s="29">
        <v>2</v>
      </c>
      <c r="K471" s="29" t="s">
        <v>1045</v>
      </c>
      <c r="L471" t="str">
        <f>IFERROR(VLOOKUP(Detalle_OC[[#This Row],[Centro]]&amp;Detalle_OC[[#This Row],[Nro Almacen]],Almacen!A:D,4,FALSE),"")</f>
        <v>La Huaca</v>
      </c>
    </row>
    <row r="472" spans="1:12" x14ac:dyDescent="0.3">
      <c r="A472" s="29" t="str">
        <f>Detalle_OC[[#This Row],[Centro]]&amp;Detalle_OC[[#This Row],[Nom Almacen]]&amp;Detalle_OC[[#This Row],[Material]]&amp;Detalle_OC[[#This Row],[Pedido]]&amp;Detalle_OC[[#This Row],[Posicion]]</f>
        <v>Agricola del Chira PlantaSan Vicente816884451157289920</v>
      </c>
      <c r="B472" t="s">
        <v>26</v>
      </c>
      <c r="C472" t="s">
        <v>173</v>
      </c>
      <c r="D472" s="11">
        <v>45670</v>
      </c>
      <c r="E472" t="s">
        <v>16</v>
      </c>
      <c r="F472" t="s">
        <v>12</v>
      </c>
      <c r="G472">
        <v>816884</v>
      </c>
      <c r="H472">
        <v>4511572899</v>
      </c>
      <c r="I472">
        <v>20</v>
      </c>
      <c r="J472" s="29">
        <v>3</v>
      </c>
      <c r="K472" s="29" t="s">
        <v>1045</v>
      </c>
      <c r="L472" t="str">
        <f>IFERROR(VLOOKUP(Detalle_OC[[#This Row],[Centro]]&amp;Detalle_OC[[#This Row],[Nro Almacen]],Almacen!A:D,4,FALSE),"")</f>
        <v>San Vicente</v>
      </c>
    </row>
    <row r="473" spans="1:12" x14ac:dyDescent="0.3">
      <c r="A473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fábrica70017744451157290010</v>
      </c>
      <c r="B473" t="s">
        <v>142</v>
      </c>
      <c r="C473" t="s">
        <v>1128</v>
      </c>
      <c r="D473" s="11">
        <v>45657</v>
      </c>
      <c r="E473" t="s">
        <v>16</v>
      </c>
      <c r="F473" t="s">
        <v>85</v>
      </c>
      <c r="G473">
        <v>70017744</v>
      </c>
      <c r="H473">
        <v>4511572900</v>
      </c>
      <c r="I473">
        <v>10</v>
      </c>
      <c r="J473" s="29">
        <v>9</v>
      </c>
      <c r="K473" s="29" t="s">
        <v>1045</v>
      </c>
      <c r="L473" t="str">
        <f>IFERROR(VLOOKUP(Detalle_OC[[#This Row],[Centro]]&amp;Detalle_OC[[#This Row],[Nro Almacen]],Almacen!A:D,4,FALSE),"")</f>
        <v>Parada fábrica</v>
      </c>
    </row>
    <row r="474" spans="1:12" x14ac:dyDescent="0.3">
      <c r="A474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fábrica70017744451157290020</v>
      </c>
      <c r="B474" t="s">
        <v>139</v>
      </c>
      <c r="C474" t="s">
        <v>1128</v>
      </c>
      <c r="D474" s="11">
        <v>45657</v>
      </c>
      <c r="E474" t="s">
        <v>16</v>
      </c>
      <c r="F474" t="s">
        <v>85</v>
      </c>
      <c r="G474">
        <v>70017744</v>
      </c>
      <c r="H474">
        <v>4511572900</v>
      </c>
      <c r="I474">
        <v>20</v>
      </c>
      <c r="J474" s="29">
        <v>9</v>
      </c>
      <c r="K474" s="29" t="s">
        <v>1045</v>
      </c>
      <c r="L474" t="str">
        <f>IFERROR(VLOOKUP(Detalle_OC[[#This Row],[Centro]]&amp;Detalle_OC[[#This Row],[Nro Almacen]],Almacen!A:D,4,FALSE),"")</f>
        <v>Parada fábrica</v>
      </c>
    </row>
    <row r="475" spans="1:12" x14ac:dyDescent="0.3">
      <c r="A475" s="29" t="str">
        <f>Detalle_OC[[#This Row],[Centro]]&amp;Detalle_OC[[#This Row],[Nom Almacen]]&amp;Detalle_OC[[#This Row],[Material]]&amp;Detalle_OC[[#This Row],[Pedido]]&amp;Detalle_OC[[#This Row],[Posicion]]</f>
        <v>Sucroalcolera del Chira PlantaMontelima70025550451157290410</v>
      </c>
      <c r="B475" t="s">
        <v>138</v>
      </c>
      <c r="C475" t="s">
        <v>173</v>
      </c>
      <c r="D475" s="11">
        <v>45670</v>
      </c>
      <c r="E475" t="s">
        <v>16</v>
      </c>
      <c r="F475" t="s">
        <v>85</v>
      </c>
      <c r="G475">
        <v>70025550</v>
      </c>
      <c r="H475">
        <v>4511572904</v>
      </c>
      <c r="I475">
        <v>10</v>
      </c>
      <c r="J475" s="29">
        <v>1</v>
      </c>
      <c r="K475" s="29" t="s">
        <v>1045</v>
      </c>
      <c r="L475" t="str">
        <f>IFERROR(VLOOKUP(Detalle_OC[[#This Row],[Centro]]&amp;Detalle_OC[[#This Row],[Nro Almacen]],Almacen!A:D,4,FALSE),"")</f>
        <v>Montelima</v>
      </c>
    </row>
    <row r="476" spans="1:12" x14ac:dyDescent="0.3">
      <c r="A476" s="29" t="str">
        <f>Detalle_OC[[#This Row],[Centro]]&amp;Detalle_OC[[#This Row],[Nom Almacen]]&amp;Detalle_OC[[#This Row],[Material]]&amp;Detalle_OC[[#This Row],[Pedido]]&amp;Detalle_OC[[#This Row],[Posicion]]</f>
        <v>Sucroalcolera del Chira PlantaMontelima701640451157291510</v>
      </c>
      <c r="B476" t="s">
        <v>138</v>
      </c>
      <c r="C476" t="s">
        <v>1129</v>
      </c>
      <c r="D476" s="11">
        <v>45670</v>
      </c>
      <c r="E476" t="s">
        <v>16</v>
      </c>
      <c r="F476" t="s">
        <v>85</v>
      </c>
      <c r="G476">
        <v>701640</v>
      </c>
      <c r="H476">
        <v>4511572915</v>
      </c>
      <c r="I476">
        <v>10</v>
      </c>
      <c r="J476" s="29">
        <v>1</v>
      </c>
      <c r="K476" s="29" t="s">
        <v>1045</v>
      </c>
      <c r="L476" t="str">
        <f>IFERROR(VLOOKUP(Detalle_OC[[#This Row],[Centro]]&amp;Detalle_OC[[#This Row],[Nro Almacen]],Almacen!A:D,4,FALSE),"")</f>
        <v>Montelima</v>
      </c>
    </row>
    <row r="477" spans="1:12" x14ac:dyDescent="0.3">
      <c r="A477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fábrica736133451157291610</v>
      </c>
      <c r="B477" t="s">
        <v>142</v>
      </c>
      <c r="C477" t="s">
        <v>32</v>
      </c>
      <c r="D477" s="11">
        <v>45660</v>
      </c>
      <c r="E477" t="s">
        <v>16</v>
      </c>
      <c r="F477" t="s">
        <v>85</v>
      </c>
      <c r="G477">
        <v>736133</v>
      </c>
      <c r="H477">
        <v>4511572916</v>
      </c>
      <c r="I477">
        <v>10</v>
      </c>
      <c r="J477" s="29">
        <v>9</v>
      </c>
      <c r="K477" s="29" t="s">
        <v>1045</v>
      </c>
      <c r="L477" t="str">
        <f>IFERROR(VLOOKUP(Detalle_OC[[#This Row],[Centro]]&amp;Detalle_OC[[#This Row],[Nro Almacen]],Almacen!A:D,4,FALSE),"")</f>
        <v>Parada fábrica</v>
      </c>
    </row>
    <row r="478" spans="1:12" x14ac:dyDescent="0.3">
      <c r="A478" s="29" t="str">
        <f>Detalle_OC[[#This Row],[Centro]]&amp;Detalle_OC[[#This Row],[Nom Almacen]]&amp;Detalle_OC[[#This Row],[Material]]&amp;Detalle_OC[[#This Row],[Pedido]]&amp;Detalle_OC[[#This Row],[Posicion]]</f>
        <v>Sucroalcolera del Chira PlantaMontelima882719451157292010</v>
      </c>
      <c r="B478" t="s">
        <v>138</v>
      </c>
      <c r="C478" t="s">
        <v>1115</v>
      </c>
      <c r="D478" s="11">
        <v>45663</v>
      </c>
      <c r="E478" t="s">
        <v>16</v>
      </c>
      <c r="F478" t="s">
        <v>85</v>
      </c>
      <c r="G478">
        <v>882719</v>
      </c>
      <c r="H478">
        <v>4511572920</v>
      </c>
      <c r="I478">
        <v>10</v>
      </c>
      <c r="J478" s="29">
        <v>1</v>
      </c>
      <c r="K478" s="29" t="s">
        <v>1045</v>
      </c>
      <c r="L478" t="str">
        <f>IFERROR(VLOOKUP(Detalle_OC[[#This Row],[Centro]]&amp;Detalle_OC[[#This Row],[Nro Almacen]],Almacen!A:D,4,FALSE),"")</f>
        <v>Montelima</v>
      </c>
    </row>
    <row r="479" spans="1:12" x14ac:dyDescent="0.3">
      <c r="A479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fábrica867854451157293010</v>
      </c>
      <c r="B479" t="s">
        <v>142</v>
      </c>
      <c r="C479" t="s">
        <v>1130</v>
      </c>
      <c r="D479" s="11">
        <v>45670</v>
      </c>
      <c r="E479" t="s">
        <v>16</v>
      </c>
      <c r="F479" t="s">
        <v>85</v>
      </c>
      <c r="G479">
        <v>867854</v>
      </c>
      <c r="H479">
        <v>4511572930</v>
      </c>
      <c r="I479">
        <v>10</v>
      </c>
      <c r="J479" s="29">
        <v>9</v>
      </c>
      <c r="K479" s="29" t="s">
        <v>1045</v>
      </c>
      <c r="L479" t="str">
        <f>IFERROR(VLOOKUP(Detalle_OC[[#This Row],[Centro]]&amp;Detalle_OC[[#This Row],[Nro Almacen]],Almacen!A:D,4,FALSE),"")</f>
        <v>Parada fábrica</v>
      </c>
    </row>
    <row r="480" spans="1:12" x14ac:dyDescent="0.3">
      <c r="A480" s="29" t="str">
        <f>Detalle_OC[[#This Row],[Centro]]&amp;Detalle_OC[[#This Row],[Nom Almacen]]&amp;Detalle_OC[[#This Row],[Material]]&amp;Detalle_OC[[#This Row],[Pedido]]&amp;Detalle_OC[[#This Row],[Posicion]]</f>
        <v>Sucroalcolera del Chira PlantaMontelima708707550002233640</v>
      </c>
      <c r="B480" t="s">
        <v>28</v>
      </c>
      <c r="C480" t="s">
        <v>84</v>
      </c>
      <c r="D480" s="11">
        <v>45643</v>
      </c>
      <c r="E480" t="s">
        <v>16</v>
      </c>
      <c r="F480" t="s">
        <v>85</v>
      </c>
      <c r="G480">
        <v>708707</v>
      </c>
      <c r="H480">
        <v>5500022336</v>
      </c>
      <c r="I480">
        <v>40</v>
      </c>
      <c r="J480" s="29">
        <v>1</v>
      </c>
      <c r="K480" s="29" t="s">
        <v>1045</v>
      </c>
      <c r="L480" t="str">
        <f>IFERROR(VLOOKUP(Detalle_OC[[#This Row],[Centro]]&amp;Detalle_OC[[#This Row],[Nro Almacen]],Almacen!A:D,4,FALSE),"")</f>
        <v>Montelima</v>
      </c>
    </row>
    <row r="481" spans="1:12" x14ac:dyDescent="0.3">
      <c r="A481" s="29" t="str">
        <f>Detalle_OC[[#This Row],[Centro]]&amp;Detalle_OC[[#This Row],[Nom Almacen]]&amp;Detalle_OC[[#This Row],[Material]]&amp;Detalle_OC[[#This Row],[Pedido]]&amp;Detalle_OC[[#This Row],[Posicion]]</f>
        <v>Agricola del Chira PlantaMontelima708707550002233850</v>
      </c>
      <c r="B481" t="s">
        <v>28</v>
      </c>
      <c r="C481" t="s">
        <v>84</v>
      </c>
      <c r="D481" s="11">
        <v>45643</v>
      </c>
      <c r="E481" t="s">
        <v>16</v>
      </c>
      <c r="F481" t="s">
        <v>12</v>
      </c>
      <c r="G481">
        <v>708707</v>
      </c>
      <c r="H481">
        <v>5500022338</v>
      </c>
      <c r="I481">
        <v>50</v>
      </c>
      <c r="J481" s="29">
        <v>1</v>
      </c>
      <c r="K481" s="29" t="s">
        <v>1045</v>
      </c>
      <c r="L481" t="str">
        <f>IFERROR(VLOOKUP(Detalle_OC[[#This Row],[Centro]]&amp;Detalle_OC[[#This Row],[Nro Almacen]],Almacen!A:D,4,FALSE),"")</f>
        <v>Montelima</v>
      </c>
    </row>
    <row r="482" spans="1:12" x14ac:dyDescent="0.3">
      <c r="A482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482" t="s">
        <v>28</v>
      </c>
      <c r="C482" t="s">
        <v>54</v>
      </c>
      <c r="D482" s="11">
        <v>45642</v>
      </c>
      <c r="E482" t="s">
        <v>16</v>
      </c>
      <c r="F482" t="s">
        <v>12</v>
      </c>
      <c r="G482">
        <v>70100392</v>
      </c>
      <c r="H482">
        <v>5500024751</v>
      </c>
      <c r="I482">
        <v>20</v>
      </c>
      <c r="J482" s="29">
        <v>2</v>
      </c>
      <c r="K482" s="29" t="s">
        <v>1045</v>
      </c>
      <c r="L482" t="str">
        <f>IFERROR(VLOOKUP(Detalle_OC[[#This Row],[Centro]]&amp;Detalle_OC[[#This Row],[Nro Almacen]],Almacen!A:D,4,FALSE),"")</f>
        <v>La Huaca</v>
      </c>
    </row>
    <row r="483" spans="1:12" x14ac:dyDescent="0.3">
      <c r="A483" s="29" t="str">
        <f>Detalle_OC[[#This Row],[Centro]]&amp;Detalle_OC[[#This Row],[Nom Almacen]]&amp;Detalle_OC[[#This Row],[Material]]&amp;Detalle_OC[[#This Row],[Pedido]]&amp;Detalle_OC[[#This Row],[Posicion]]</f>
        <v>Agricola del Chira PlantaSan Vicente70100392550002475130</v>
      </c>
      <c r="B483" t="s">
        <v>28</v>
      </c>
      <c r="C483" t="s">
        <v>54</v>
      </c>
      <c r="D483" s="11">
        <v>45643</v>
      </c>
      <c r="E483" t="s">
        <v>16</v>
      </c>
      <c r="F483" t="s">
        <v>12</v>
      </c>
      <c r="G483">
        <v>70100392</v>
      </c>
      <c r="H483">
        <v>5500024751</v>
      </c>
      <c r="I483">
        <v>30</v>
      </c>
      <c r="J483" s="29">
        <v>3</v>
      </c>
      <c r="K483" s="29" t="s">
        <v>1045</v>
      </c>
      <c r="L483" t="str">
        <f>IFERROR(VLOOKUP(Detalle_OC[[#This Row],[Centro]]&amp;Detalle_OC[[#This Row],[Nro Almacen]],Almacen!A:D,4,FALSE),"")</f>
        <v>San Vicente</v>
      </c>
    </row>
    <row r="484" spans="1:12" x14ac:dyDescent="0.3">
      <c r="A484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484" t="s">
        <v>28</v>
      </c>
      <c r="C484" t="s">
        <v>54</v>
      </c>
      <c r="D484" s="11">
        <v>45642</v>
      </c>
      <c r="E484" t="s">
        <v>16</v>
      </c>
      <c r="F484" t="s">
        <v>12</v>
      </c>
      <c r="G484">
        <v>70100392</v>
      </c>
      <c r="H484">
        <v>5500024751</v>
      </c>
      <c r="I484">
        <v>40</v>
      </c>
      <c r="J484" s="29">
        <v>7</v>
      </c>
      <c r="K484" s="29" t="s">
        <v>1045</v>
      </c>
      <c r="L484" t="str">
        <f>IFERROR(VLOOKUP(Detalle_OC[[#This Row],[Centro]]&amp;Detalle_OC[[#This Row],[Nro Almacen]],Almacen!A:D,4,FALSE),"")</f>
        <v>Almacen Lobo</v>
      </c>
    </row>
    <row r="485" spans="1:12" x14ac:dyDescent="0.3">
      <c r="A485" s="29" t="str">
        <f>Detalle_OC[[#This Row],[Centro]]&amp;Detalle_OC[[#This Row],[Nom Almacen]]&amp;Detalle_OC[[#This Row],[Material]]&amp;Detalle_OC[[#This Row],[Pedido]]&amp;Detalle_OC[[#This Row],[Posicion]]</f>
        <v>Agricola del Chira PlantaLa Huaca700691835500024855310</v>
      </c>
      <c r="B485" t="s">
        <v>28</v>
      </c>
      <c r="C485" t="s">
        <v>96</v>
      </c>
      <c r="D485" s="11">
        <v>45663</v>
      </c>
      <c r="E485" t="s">
        <v>16</v>
      </c>
      <c r="F485" t="s">
        <v>12</v>
      </c>
      <c r="G485">
        <v>70069183</v>
      </c>
      <c r="H485">
        <v>5500024855</v>
      </c>
      <c r="I485">
        <v>310</v>
      </c>
      <c r="J485" s="29">
        <v>2</v>
      </c>
      <c r="K485" s="29" t="s">
        <v>1045</v>
      </c>
      <c r="L485" t="str">
        <f>IFERROR(VLOOKUP(Detalle_OC[[#This Row],[Centro]]&amp;Detalle_OC[[#This Row],[Nro Almacen]],Almacen!A:D,4,FALSE),"")</f>
        <v>La Huaca</v>
      </c>
    </row>
    <row r="486" spans="1:12" x14ac:dyDescent="0.3">
      <c r="A486" s="29" t="str">
        <f>Detalle_OC[[#This Row],[Centro]]&amp;Detalle_OC[[#This Row],[Nom Almacen]]&amp;Detalle_OC[[#This Row],[Material]]&amp;Detalle_OC[[#This Row],[Pedido]]&amp;Detalle_OC[[#This Row],[Posicion]]</f>
        <v>Agricola del Chira PlantaMontelimaCC11214760        5500024901310</v>
      </c>
      <c r="B486" t="s">
        <v>28</v>
      </c>
      <c r="C486" t="s">
        <v>84</v>
      </c>
      <c r="D486" s="11">
        <v>45643</v>
      </c>
      <c r="E486" t="s">
        <v>16</v>
      </c>
      <c r="F486" t="s">
        <v>12</v>
      </c>
      <c r="G486" t="s">
        <v>1062</v>
      </c>
      <c r="H486">
        <v>5500024901</v>
      </c>
      <c r="I486">
        <v>310</v>
      </c>
      <c r="J486" s="29">
        <v>1</v>
      </c>
      <c r="K486" s="29" t="s">
        <v>1045</v>
      </c>
      <c r="L486" t="str">
        <f>IFERROR(VLOOKUP(Detalle_OC[[#This Row],[Centro]]&amp;Detalle_OC[[#This Row],[Nro Almacen]],Almacen!A:D,4,FALSE),"")</f>
        <v>Montelima</v>
      </c>
    </row>
    <row r="487" spans="1:12" x14ac:dyDescent="0.3">
      <c r="A487" s="29" t="str">
        <f>Detalle_OC[[#This Row],[Centro]]&amp;Detalle_OC[[#This Row],[Nom Almacen]]&amp;Detalle_OC[[#This Row],[Material]]&amp;Detalle_OC[[#This Row],[Pedido]]&amp;Detalle_OC[[#This Row],[Posicion]]</f>
        <v>Sucroalcolera del Chira PlantaMontelima815442550002490330</v>
      </c>
      <c r="B487" t="s">
        <v>28</v>
      </c>
      <c r="C487" t="s">
        <v>84</v>
      </c>
      <c r="D487" s="11">
        <v>45643</v>
      </c>
      <c r="E487" t="s">
        <v>16</v>
      </c>
      <c r="F487" t="s">
        <v>85</v>
      </c>
      <c r="G487">
        <v>815442</v>
      </c>
      <c r="H487">
        <v>5500024903</v>
      </c>
      <c r="I487">
        <v>30</v>
      </c>
      <c r="J487" s="29">
        <v>1</v>
      </c>
      <c r="K487" s="29" t="s">
        <v>1045</v>
      </c>
      <c r="L487" t="str">
        <f>IFERROR(VLOOKUP(Detalle_OC[[#This Row],[Centro]]&amp;Detalle_OC[[#This Row],[Nro Almacen]],Almacen!A:D,4,FALSE),"")</f>
        <v>Montelima</v>
      </c>
    </row>
    <row r="488" spans="1:12" x14ac:dyDescent="0.3">
      <c r="A488" s="29" t="str">
        <f>Detalle_OC[[#This Row],[Centro]]&amp;Detalle_OC[[#This Row],[Nom Almacen]]&amp;Detalle_OC[[#This Row],[Material]]&amp;Detalle_OC[[#This Row],[Pedido]]&amp;Detalle_OC[[#This Row],[Posicion]]</f>
        <v>Sucroalcolera del Chira PlantaMontelima70026335451157157190</v>
      </c>
      <c r="B488" t="s">
        <v>206</v>
      </c>
      <c r="C488" t="s">
        <v>1131</v>
      </c>
      <c r="D488" s="11">
        <v>45656</v>
      </c>
      <c r="E488" t="s">
        <v>51</v>
      </c>
      <c r="F488" t="s">
        <v>85</v>
      </c>
      <c r="G488">
        <v>70026335</v>
      </c>
      <c r="H488">
        <v>4511571571</v>
      </c>
      <c r="I488">
        <v>90</v>
      </c>
      <c r="J488" s="29">
        <v>1</v>
      </c>
      <c r="K488" s="29" t="s">
        <v>1047</v>
      </c>
      <c r="L488" t="str">
        <f>IFERROR(VLOOKUP(Detalle_OC[[#This Row],[Centro]]&amp;Detalle_OC[[#This Row],[Nro Almacen]],Almacen!A:D,4,FALSE),"")</f>
        <v>Montelima</v>
      </c>
    </row>
    <row r="489" spans="1:12" x14ac:dyDescent="0.3">
      <c r="A489" s="29" t="str">
        <f>Detalle_OC[[#This Row],[Centro]]&amp;Detalle_OC[[#This Row],[Nom Almacen]]&amp;Detalle_OC[[#This Row],[Material]]&amp;Detalle_OC[[#This Row],[Pedido]]&amp;Detalle_OC[[#This Row],[Posicion]]</f>
        <v>Sucroalcolera del Chira PlantaMontelima898763451157267710</v>
      </c>
      <c r="B489" t="s">
        <v>138</v>
      </c>
      <c r="C489" t="s">
        <v>235</v>
      </c>
      <c r="D489" s="11">
        <v>45656</v>
      </c>
      <c r="E489" t="s">
        <v>16</v>
      </c>
      <c r="F489" t="s">
        <v>85</v>
      </c>
      <c r="G489">
        <v>898763</v>
      </c>
      <c r="H489">
        <v>4511572677</v>
      </c>
      <c r="I489">
        <v>10</v>
      </c>
      <c r="J489" s="29">
        <v>1</v>
      </c>
      <c r="K489" s="29" t="s">
        <v>1047</v>
      </c>
      <c r="L489" t="str">
        <f>IFERROR(VLOOKUP(Detalle_OC[[#This Row],[Centro]]&amp;Detalle_OC[[#This Row],[Nro Almacen]],Almacen!A:D,4,FALSE),"")</f>
        <v>Montelima</v>
      </c>
    </row>
    <row r="490" spans="1:12" x14ac:dyDescent="0.3">
      <c r="A490" s="29" t="str">
        <f>Detalle_OC[[#This Row],[Centro]]&amp;Detalle_OC[[#This Row],[Nom Almacen]]&amp;Detalle_OC[[#This Row],[Material]]&amp;Detalle_OC[[#This Row],[Pedido]]&amp;Detalle_OC[[#This Row],[Posicion]]</f>
        <v>Sucroalcolera del Chira PlantaMontelima70037383451157267720</v>
      </c>
      <c r="B490" t="s">
        <v>138</v>
      </c>
      <c r="C490" t="s">
        <v>235</v>
      </c>
      <c r="D490" s="11">
        <v>45656</v>
      </c>
      <c r="E490" t="s">
        <v>16</v>
      </c>
      <c r="F490" t="s">
        <v>85</v>
      </c>
      <c r="G490">
        <v>70037383</v>
      </c>
      <c r="H490">
        <v>4511572677</v>
      </c>
      <c r="I490">
        <v>20</v>
      </c>
      <c r="J490" s="29">
        <v>1</v>
      </c>
      <c r="K490" s="29" t="s">
        <v>1047</v>
      </c>
      <c r="L490" t="str">
        <f>IFERROR(VLOOKUP(Detalle_OC[[#This Row],[Centro]]&amp;Detalle_OC[[#This Row],[Nro Almacen]],Almacen!A:D,4,FALSE),"")</f>
        <v>Montelima</v>
      </c>
    </row>
    <row r="491" spans="1:12" x14ac:dyDescent="0.3">
      <c r="A491" s="29" t="str">
        <f>Detalle_OC[[#This Row],[Centro]]&amp;Detalle_OC[[#This Row],[Nom Almacen]]&amp;Detalle_OC[[#This Row],[Material]]&amp;Detalle_OC[[#This Row],[Pedido]]&amp;Detalle_OC[[#This Row],[Posicion]]</f>
        <v>Agricola del Chira PlantaMontelimaCT310840          451157267910</v>
      </c>
      <c r="B491" t="s">
        <v>15</v>
      </c>
      <c r="C491" t="s">
        <v>22</v>
      </c>
      <c r="D491" s="11">
        <v>45656</v>
      </c>
      <c r="E491" t="s">
        <v>16</v>
      </c>
      <c r="F491" t="s">
        <v>12</v>
      </c>
      <c r="G491" t="s">
        <v>205</v>
      </c>
      <c r="H491">
        <v>4511572679</v>
      </c>
      <c r="I491">
        <v>10</v>
      </c>
      <c r="J491" s="29">
        <v>1</v>
      </c>
      <c r="K491" s="29" t="s">
        <v>1047</v>
      </c>
      <c r="L491" t="str">
        <f>IFERROR(VLOOKUP(Detalle_OC[[#This Row],[Centro]]&amp;Detalle_OC[[#This Row],[Nro Almacen]],Almacen!A:D,4,FALSE),"")</f>
        <v>Montelima</v>
      </c>
    </row>
    <row r="492" spans="1:12" x14ac:dyDescent="0.3">
      <c r="A492" s="29" t="str">
        <f>Detalle_OC[[#This Row],[Centro]]&amp;Detalle_OC[[#This Row],[Nom Almacen]]&amp;Detalle_OC[[#This Row],[Material]]&amp;Detalle_OC[[#This Row],[Pedido]]&amp;Detalle_OC[[#This Row],[Posicion]]</f>
        <v>Agricola del Chira PlantaMontelimaCT310840          451157267920</v>
      </c>
      <c r="B492" t="s">
        <v>15</v>
      </c>
      <c r="C492" t="s">
        <v>22</v>
      </c>
      <c r="D492" s="11">
        <v>45656</v>
      </c>
      <c r="E492" t="s">
        <v>16</v>
      </c>
      <c r="F492" t="s">
        <v>12</v>
      </c>
      <c r="G492" t="s">
        <v>205</v>
      </c>
      <c r="H492">
        <v>4511572679</v>
      </c>
      <c r="I492">
        <v>20</v>
      </c>
      <c r="J492" s="29">
        <v>1</v>
      </c>
      <c r="K492" s="29" t="s">
        <v>1047</v>
      </c>
      <c r="L492" t="str">
        <f>IFERROR(VLOOKUP(Detalle_OC[[#This Row],[Centro]]&amp;Detalle_OC[[#This Row],[Nro Almacen]],Almacen!A:D,4,FALSE),"")</f>
        <v>Montelima</v>
      </c>
    </row>
    <row r="493" spans="1:12" x14ac:dyDescent="0.3">
      <c r="A493" s="29" t="str">
        <f>Detalle_OC[[#This Row],[Centro]]&amp;Detalle_OC[[#This Row],[Nom Almacen]]&amp;Detalle_OC[[#This Row],[Material]]&amp;Detalle_OC[[#This Row],[Pedido]]&amp;Detalle_OC[[#This Row],[Posicion]]</f>
        <v>Agricola del Chira PlantaMontelima860482451157267930</v>
      </c>
      <c r="B493" t="s">
        <v>1126</v>
      </c>
      <c r="C493" t="s">
        <v>22</v>
      </c>
      <c r="D493" s="11">
        <v>45656</v>
      </c>
      <c r="E493" t="s">
        <v>51</v>
      </c>
      <c r="F493" t="s">
        <v>12</v>
      </c>
      <c r="G493">
        <v>860482</v>
      </c>
      <c r="H493">
        <v>4511572679</v>
      </c>
      <c r="I493">
        <v>30</v>
      </c>
      <c r="J493" s="29">
        <v>1</v>
      </c>
      <c r="K493" s="29" t="s">
        <v>1047</v>
      </c>
      <c r="L493" t="str">
        <f>IFERROR(VLOOKUP(Detalle_OC[[#This Row],[Centro]]&amp;Detalle_OC[[#This Row],[Nro Almacen]],Almacen!A:D,4,FALSE),"")</f>
        <v>Montelima</v>
      </c>
    </row>
    <row r="494" spans="1:12" x14ac:dyDescent="0.3">
      <c r="A494" s="29" t="str">
        <f>Detalle_OC[[#This Row],[Centro]]&amp;Detalle_OC[[#This Row],[Nom Almacen]]&amp;Detalle_OC[[#This Row],[Material]]&amp;Detalle_OC[[#This Row],[Pedido]]&amp;Detalle_OC[[#This Row],[Posicion]]</f>
        <v>Agricola del Chira PlantaMontelima70076752451157267940</v>
      </c>
      <c r="B494" t="s">
        <v>33</v>
      </c>
      <c r="C494" t="s">
        <v>22</v>
      </c>
      <c r="D494" s="11">
        <v>45656</v>
      </c>
      <c r="E494" t="s">
        <v>16</v>
      </c>
      <c r="F494" t="s">
        <v>12</v>
      </c>
      <c r="G494">
        <v>70076752</v>
      </c>
      <c r="H494">
        <v>4511572679</v>
      </c>
      <c r="I494">
        <v>40</v>
      </c>
      <c r="J494" s="29">
        <v>1</v>
      </c>
      <c r="K494" s="29" t="s">
        <v>1047</v>
      </c>
      <c r="L494" t="str">
        <f>IFERROR(VLOOKUP(Detalle_OC[[#This Row],[Centro]]&amp;Detalle_OC[[#This Row],[Nro Almacen]],Almacen!A:D,4,FALSE),"")</f>
        <v>Montelima</v>
      </c>
    </row>
    <row r="495" spans="1:12" x14ac:dyDescent="0.3">
      <c r="A495" s="29" t="str">
        <f>Detalle_OC[[#This Row],[Centro]]&amp;Detalle_OC[[#This Row],[Nom Almacen]]&amp;Detalle_OC[[#This Row],[Material]]&amp;Detalle_OC[[#This Row],[Pedido]]&amp;Detalle_OC[[#This Row],[Posicion]]</f>
        <v>Agricola del Chira PlantaMontelimaCP190038          451157267950</v>
      </c>
      <c r="B495" t="s">
        <v>149</v>
      </c>
      <c r="C495" t="s">
        <v>22</v>
      </c>
      <c r="D495" s="11">
        <v>45656</v>
      </c>
      <c r="E495" t="s">
        <v>16</v>
      </c>
      <c r="F495" t="s">
        <v>12</v>
      </c>
      <c r="G495" t="s">
        <v>218</v>
      </c>
      <c r="H495">
        <v>4511572679</v>
      </c>
      <c r="I495">
        <v>50</v>
      </c>
      <c r="J495" s="29">
        <v>1</v>
      </c>
      <c r="K495" s="29" t="s">
        <v>1047</v>
      </c>
      <c r="L495" t="str">
        <f>IFERROR(VLOOKUP(Detalle_OC[[#This Row],[Centro]]&amp;Detalle_OC[[#This Row],[Nro Almacen]],Almacen!A:D,4,FALSE),"")</f>
        <v>Montelima</v>
      </c>
    </row>
    <row r="496" spans="1:12" x14ac:dyDescent="0.3">
      <c r="A496" s="29" t="str">
        <f>Detalle_OC[[#This Row],[Centro]]&amp;Detalle_OC[[#This Row],[Nom Almacen]]&amp;Detalle_OC[[#This Row],[Material]]&amp;Detalle_OC[[#This Row],[Pedido]]&amp;Detalle_OC[[#This Row],[Posicion]]</f>
        <v>Agricola del Chira PlantaLa Huaca808835451157267960</v>
      </c>
      <c r="B496" t="s">
        <v>15</v>
      </c>
      <c r="C496" t="s">
        <v>22</v>
      </c>
      <c r="D496" s="11">
        <v>45656</v>
      </c>
      <c r="E496" t="s">
        <v>16</v>
      </c>
      <c r="F496" t="s">
        <v>12</v>
      </c>
      <c r="G496">
        <v>808835</v>
      </c>
      <c r="H496">
        <v>4511572679</v>
      </c>
      <c r="I496">
        <v>60</v>
      </c>
      <c r="J496" s="29">
        <v>2</v>
      </c>
      <c r="K496" s="29" t="s">
        <v>1047</v>
      </c>
      <c r="L496" t="str">
        <f>IFERROR(VLOOKUP(Detalle_OC[[#This Row],[Centro]]&amp;Detalle_OC[[#This Row],[Nro Almacen]],Almacen!A:D,4,FALSE),"")</f>
        <v>La Huaca</v>
      </c>
    </row>
    <row r="497" spans="1:12" x14ac:dyDescent="0.3">
      <c r="A497" s="29" t="str">
        <f>Detalle_OC[[#This Row],[Centro]]&amp;Detalle_OC[[#This Row],[Nom Almacen]]&amp;Detalle_OC[[#This Row],[Material]]&amp;Detalle_OC[[#This Row],[Pedido]]&amp;Detalle_OC[[#This Row],[Posicion]]</f>
        <v>Agricola del Chira PlantaSan Vicente721547451157267970</v>
      </c>
      <c r="B497" t="s">
        <v>15</v>
      </c>
      <c r="C497" t="s">
        <v>22</v>
      </c>
      <c r="D497" s="11">
        <v>45656</v>
      </c>
      <c r="E497" t="s">
        <v>16</v>
      </c>
      <c r="F497" t="s">
        <v>12</v>
      </c>
      <c r="G497">
        <v>721547</v>
      </c>
      <c r="H497">
        <v>4511572679</v>
      </c>
      <c r="I497">
        <v>70</v>
      </c>
      <c r="J497" s="29">
        <v>3</v>
      </c>
      <c r="K497" s="29" t="s">
        <v>1047</v>
      </c>
      <c r="L497" t="str">
        <f>IFERROR(VLOOKUP(Detalle_OC[[#This Row],[Centro]]&amp;Detalle_OC[[#This Row],[Nro Almacen]],Almacen!A:D,4,FALSE),"")</f>
        <v>San Vicente</v>
      </c>
    </row>
    <row r="498" spans="1:12" x14ac:dyDescent="0.3">
      <c r="A498" s="29" t="str">
        <f>Detalle_OC[[#This Row],[Centro]]&amp;Detalle_OC[[#This Row],[Nom Almacen]]&amp;Detalle_OC[[#This Row],[Material]]&amp;Detalle_OC[[#This Row],[Pedido]]&amp;Detalle_OC[[#This Row],[Posicion]]</f>
        <v>Agricola del Chira PlantaSan Vicente802317451157267980</v>
      </c>
      <c r="B498" t="s">
        <v>15</v>
      </c>
      <c r="C498" t="s">
        <v>22</v>
      </c>
      <c r="D498" s="11">
        <v>45656</v>
      </c>
      <c r="E498" t="s">
        <v>16</v>
      </c>
      <c r="F498" t="s">
        <v>12</v>
      </c>
      <c r="G498">
        <v>802317</v>
      </c>
      <c r="H498">
        <v>4511572679</v>
      </c>
      <c r="I498">
        <v>80</v>
      </c>
      <c r="J498" s="29">
        <v>3</v>
      </c>
      <c r="K498" s="29" t="s">
        <v>1047</v>
      </c>
      <c r="L498" t="str">
        <f>IFERROR(VLOOKUP(Detalle_OC[[#This Row],[Centro]]&amp;Detalle_OC[[#This Row],[Nro Almacen]],Almacen!A:D,4,FALSE),"")</f>
        <v>San Vicente</v>
      </c>
    </row>
    <row r="499" spans="1:12" x14ac:dyDescent="0.3">
      <c r="A499" s="29" t="str">
        <f>Detalle_OC[[#This Row],[Centro]]&amp;Detalle_OC[[#This Row],[Nom Almacen]]&amp;Detalle_OC[[#This Row],[Material]]&amp;Detalle_OC[[#This Row],[Pedido]]&amp;Detalle_OC[[#This Row],[Posicion]]</f>
        <v>Agricola del Chira PlantaSan Vicente714356451157267990</v>
      </c>
      <c r="B499" t="s">
        <v>192</v>
      </c>
      <c r="C499" t="s">
        <v>22</v>
      </c>
      <c r="D499" s="11">
        <v>45656</v>
      </c>
      <c r="E499" t="s">
        <v>16</v>
      </c>
      <c r="F499" t="s">
        <v>12</v>
      </c>
      <c r="G499">
        <v>714356</v>
      </c>
      <c r="H499">
        <v>4511572679</v>
      </c>
      <c r="I499">
        <v>90</v>
      </c>
      <c r="J499" s="29">
        <v>3</v>
      </c>
      <c r="K499" s="29" t="s">
        <v>1047</v>
      </c>
      <c r="L499" t="str">
        <f>IFERROR(VLOOKUP(Detalle_OC[[#This Row],[Centro]]&amp;Detalle_OC[[#This Row],[Nro Almacen]],Almacen!A:D,4,FALSE),"")</f>
        <v>San Vicente</v>
      </c>
    </row>
    <row r="500" spans="1:12" x14ac:dyDescent="0.3">
      <c r="A500" s="29" t="str">
        <f>Detalle_OC[[#This Row],[Centro]]&amp;Detalle_OC[[#This Row],[Nom Almacen]]&amp;Detalle_OC[[#This Row],[Material]]&amp;Detalle_OC[[#This Row],[Pedido]]&amp;Detalle_OC[[#This Row],[Posicion]]</f>
        <v>Agricola del Chira PlantaAlmacen Lobo8023174511572679100</v>
      </c>
      <c r="B500" t="s">
        <v>149</v>
      </c>
      <c r="C500" t="s">
        <v>22</v>
      </c>
      <c r="D500" s="11">
        <v>45656</v>
      </c>
      <c r="E500" t="s">
        <v>16</v>
      </c>
      <c r="F500" t="s">
        <v>12</v>
      </c>
      <c r="G500">
        <v>802317</v>
      </c>
      <c r="H500">
        <v>4511572679</v>
      </c>
      <c r="I500">
        <v>100</v>
      </c>
      <c r="J500" s="29">
        <v>7</v>
      </c>
      <c r="K500" s="29" t="s">
        <v>1047</v>
      </c>
      <c r="L500" t="str">
        <f>IFERROR(VLOOKUP(Detalle_OC[[#This Row],[Centro]]&amp;Detalle_OC[[#This Row],[Nro Almacen]],Almacen!A:D,4,FALSE),"")</f>
        <v>Almacen Lobo</v>
      </c>
    </row>
    <row r="501" spans="1:12" x14ac:dyDescent="0.3">
      <c r="A501" s="29" t="str">
        <f>Detalle_OC[[#This Row],[Centro]]&amp;Detalle_OC[[#This Row],[Nom Almacen]]&amp;Detalle_OC[[#This Row],[Material]]&amp;Detalle_OC[[#This Row],[Pedido]]&amp;Detalle_OC[[#This Row],[Posicion]]</f>
        <v>Agricola del Chira PlantaAlmacen Lobo8088354511572679110</v>
      </c>
      <c r="B501" t="s">
        <v>15</v>
      </c>
      <c r="C501" t="s">
        <v>22</v>
      </c>
      <c r="D501" s="11">
        <v>45656</v>
      </c>
      <c r="E501" t="s">
        <v>16</v>
      </c>
      <c r="F501" t="s">
        <v>12</v>
      </c>
      <c r="G501">
        <v>808835</v>
      </c>
      <c r="H501">
        <v>4511572679</v>
      </c>
      <c r="I501">
        <v>110</v>
      </c>
      <c r="J501" s="29">
        <v>7</v>
      </c>
      <c r="K501" s="29" t="s">
        <v>1047</v>
      </c>
      <c r="L501" t="str">
        <f>IFERROR(VLOOKUP(Detalle_OC[[#This Row],[Centro]]&amp;Detalle_OC[[#This Row],[Nro Almacen]],Almacen!A:D,4,FALSE),"")</f>
        <v>Almacen Lobo</v>
      </c>
    </row>
    <row r="502" spans="1:12" x14ac:dyDescent="0.3">
      <c r="A502" s="29" t="str">
        <f>Detalle_OC[[#This Row],[Centro]]&amp;Detalle_OC[[#This Row],[Nom Almacen]]&amp;Detalle_OC[[#This Row],[Material]]&amp;Detalle_OC[[#This Row],[Pedido]]&amp;Detalle_OC[[#This Row],[Posicion]]</f>
        <v>Sucroalcolera del Chira PlantaMontelima721547451157268210</v>
      </c>
      <c r="B502" t="s">
        <v>138</v>
      </c>
      <c r="C502" t="s">
        <v>22</v>
      </c>
      <c r="D502" s="11">
        <v>45625</v>
      </c>
      <c r="E502" t="s">
        <v>16</v>
      </c>
      <c r="F502" t="s">
        <v>85</v>
      </c>
      <c r="G502">
        <v>721547</v>
      </c>
      <c r="H502">
        <v>4511572682</v>
      </c>
      <c r="I502">
        <v>10</v>
      </c>
      <c r="J502" s="29">
        <v>1</v>
      </c>
      <c r="K502" s="29" t="s">
        <v>1047</v>
      </c>
      <c r="L502" t="str">
        <f>IFERROR(VLOOKUP(Detalle_OC[[#This Row],[Centro]]&amp;Detalle_OC[[#This Row],[Nro Almacen]],Almacen!A:D,4,FALSE),"")</f>
        <v>Montelima</v>
      </c>
    </row>
    <row r="503" spans="1:12" x14ac:dyDescent="0.3">
      <c r="A503" s="29" t="str">
        <f>Detalle_OC[[#This Row],[Centro]]&amp;Detalle_OC[[#This Row],[Nom Almacen]]&amp;Detalle_OC[[#This Row],[Material]]&amp;Detalle_OC[[#This Row],[Pedido]]&amp;Detalle_OC[[#This Row],[Posicion]]</f>
        <v>Sucroalcolera del Chira PlantaMontelima808835451157268220</v>
      </c>
      <c r="B503" t="s">
        <v>202</v>
      </c>
      <c r="C503" t="s">
        <v>22</v>
      </c>
      <c r="D503" s="11">
        <v>45628</v>
      </c>
      <c r="E503" t="s">
        <v>16</v>
      </c>
      <c r="F503" t="s">
        <v>85</v>
      </c>
      <c r="G503">
        <v>808835</v>
      </c>
      <c r="H503">
        <v>4511572682</v>
      </c>
      <c r="I503">
        <v>20</v>
      </c>
      <c r="J503" s="29">
        <v>1</v>
      </c>
      <c r="K503" s="29" t="s">
        <v>1047</v>
      </c>
      <c r="L503" t="str">
        <f>IFERROR(VLOOKUP(Detalle_OC[[#This Row],[Centro]]&amp;Detalle_OC[[#This Row],[Nro Almacen]],Almacen!A:D,4,FALSE),"")</f>
        <v>Montelima</v>
      </c>
    </row>
    <row r="504" spans="1:12" x14ac:dyDescent="0.3">
      <c r="A504" s="29" t="str">
        <f>Detalle_OC[[#This Row],[Centro]]&amp;Detalle_OC[[#This Row],[Nom Almacen]]&amp;Detalle_OC[[#This Row],[Material]]&amp;Detalle_OC[[#This Row],[Pedido]]&amp;Detalle_OC[[#This Row],[Posicion]]</f>
        <v>Sucroalcolera del Chira PlantaMontelima866579451157268230</v>
      </c>
      <c r="B504" t="s">
        <v>138</v>
      </c>
      <c r="C504" t="s">
        <v>22</v>
      </c>
      <c r="D504" s="11">
        <v>45645</v>
      </c>
      <c r="E504" t="s">
        <v>16</v>
      </c>
      <c r="F504" t="s">
        <v>85</v>
      </c>
      <c r="G504">
        <v>866579</v>
      </c>
      <c r="H504">
        <v>4511572682</v>
      </c>
      <c r="I504">
        <v>30</v>
      </c>
      <c r="J504" s="29">
        <v>1</v>
      </c>
      <c r="K504" s="29" t="s">
        <v>1047</v>
      </c>
      <c r="L504" t="str">
        <f>IFERROR(VLOOKUP(Detalle_OC[[#This Row],[Centro]]&amp;Detalle_OC[[#This Row],[Nro Almacen]],Almacen!A:D,4,FALSE),"")</f>
        <v>Montelima</v>
      </c>
    </row>
    <row r="505" spans="1:12" x14ac:dyDescent="0.3">
      <c r="A505" s="29" t="str">
        <f>Detalle_OC[[#This Row],[Centro]]&amp;Detalle_OC[[#This Row],[Nom Almacen]]&amp;Detalle_OC[[#This Row],[Material]]&amp;Detalle_OC[[#This Row],[Pedido]]&amp;Detalle_OC[[#This Row],[Posicion]]</f>
        <v>Sucroalcolera del Chira PlantaMontelima70079875451157268240</v>
      </c>
      <c r="B505" t="s">
        <v>138</v>
      </c>
      <c r="C505" t="s">
        <v>22</v>
      </c>
      <c r="D505" s="11">
        <v>45654</v>
      </c>
      <c r="E505" t="s">
        <v>16</v>
      </c>
      <c r="F505" t="s">
        <v>85</v>
      </c>
      <c r="G505">
        <v>70079875</v>
      </c>
      <c r="H505">
        <v>4511572682</v>
      </c>
      <c r="I505">
        <v>40</v>
      </c>
      <c r="J505" s="29">
        <v>1</v>
      </c>
      <c r="K505" s="29" t="s">
        <v>1047</v>
      </c>
      <c r="L505" t="str">
        <f>IFERROR(VLOOKUP(Detalle_OC[[#This Row],[Centro]]&amp;Detalle_OC[[#This Row],[Nro Almacen]],Almacen!A:D,4,FALSE),"")</f>
        <v>Montelima</v>
      </c>
    </row>
    <row r="506" spans="1:12" x14ac:dyDescent="0.3">
      <c r="A506" s="29" t="str">
        <f>Detalle_OC[[#This Row],[Centro]]&amp;Detalle_OC[[#This Row],[Nom Almacen]]&amp;Detalle_OC[[#This Row],[Material]]&amp;Detalle_OC[[#This Row],[Pedido]]&amp;Detalle_OC[[#This Row],[Posicion]]</f>
        <v>Sucroalcolera del Chira PlantaMontelimaCP190038          451157268250</v>
      </c>
      <c r="B506" t="s">
        <v>138</v>
      </c>
      <c r="C506" t="s">
        <v>22</v>
      </c>
      <c r="D506" s="11">
        <v>45639</v>
      </c>
      <c r="E506" t="s">
        <v>16</v>
      </c>
      <c r="F506" t="s">
        <v>85</v>
      </c>
      <c r="G506" t="s">
        <v>218</v>
      </c>
      <c r="H506">
        <v>4511572682</v>
      </c>
      <c r="I506">
        <v>50</v>
      </c>
      <c r="J506" s="29">
        <v>1</v>
      </c>
      <c r="K506" s="29" t="s">
        <v>1047</v>
      </c>
      <c r="L506" t="str">
        <f>IFERROR(VLOOKUP(Detalle_OC[[#This Row],[Centro]]&amp;Detalle_OC[[#This Row],[Nro Almacen]],Almacen!A:D,4,FALSE),"")</f>
        <v>Montelima</v>
      </c>
    </row>
    <row r="507" spans="1:12" x14ac:dyDescent="0.3">
      <c r="A507" s="29" t="str">
        <f>Detalle_OC[[#This Row],[Centro]]&amp;Detalle_OC[[#This Row],[Nom Almacen]]&amp;Detalle_OC[[#This Row],[Material]]&amp;Detalle_OC[[#This Row],[Pedido]]&amp;Detalle_OC[[#This Row],[Posicion]]</f>
        <v>Sucroalcolera del Chira PlantaMontelima709788451157268260</v>
      </c>
      <c r="B507" t="s">
        <v>138</v>
      </c>
      <c r="C507" t="s">
        <v>22</v>
      </c>
      <c r="D507" s="11">
        <v>45653</v>
      </c>
      <c r="E507" t="s">
        <v>16</v>
      </c>
      <c r="F507" t="s">
        <v>85</v>
      </c>
      <c r="G507">
        <v>709788</v>
      </c>
      <c r="H507">
        <v>4511572682</v>
      </c>
      <c r="I507">
        <v>60</v>
      </c>
      <c r="J507" s="29">
        <v>1</v>
      </c>
      <c r="K507" s="29" t="s">
        <v>1047</v>
      </c>
      <c r="L507" t="str">
        <f>IFERROR(VLOOKUP(Detalle_OC[[#This Row],[Centro]]&amp;Detalle_OC[[#This Row],[Nro Almacen]],Almacen!A:D,4,FALSE),"")</f>
        <v>Montelima</v>
      </c>
    </row>
    <row r="508" spans="1:12" x14ac:dyDescent="0.3">
      <c r="A508" s="29" t="str">
        <f>Detalle_OC[[#This Row],[Centro]]&amp;Detalle_OC[[#This Row],[Nom Almacen]]&amp;Detalle_OC[[#This Row],[Material]]&amp;Detalle_OC[[#This Row],[Pedido]]&amp;Detalle_OC[[#This Row],[Posicion]]</f>
        <v>Sucroalcolera del Chira PlantaMontelima752127451157268270</v>
      </c>
      <c r="B508" t="s">
        <v>142</v>
      </c>
      <c r="C508" t="s">
        <v>22</v>
      </c>
      <c r="D508" s="11">
        <v>45657</v>
      </c>
      <c r="E508" t="s">
        <v>16</v>
      </c>
      <c r="F508" t="s">
        <v>85</v>
      </c>
      <c r="G508">
        <v>752127</v>
      </c>
      <c r="H508">
        <v>4511572682</v>
      </c>
      <c r="I508">
        <v>70</v>
      </c>
      <c r="J508" s="29">
        <v>1</v>
      </c>
      <c r="K508" s="29" t="s">
        <v>1047</v>
      </c>
      <c r="L508" t="str">
        <f>IFERROR(VLOOKUP(Detalle_OC[[#This Row],[Centro]]&amp;Detalle_OC[[#This Row],[Nro Almacen]],Almacen!A:D,4,FALSE),"")</f>
        <v>Montelima</v>
      </c>
    </row>
    <row r="509" spans="1:12" x14ac:dyDescent="0.3">
      <c r="A509" s="29" t="str">
        <f>Detalle_OC[[#This Row],[Centro]]&amp;Detalle_OC[[#This Row],[Nom Almacen]]&amp;Detalle_OC[[#This Row],[Material]]&amp;Detalle_OC[[#This Row],[Pedido]]&amp;Detalle_OC[[#This Row],[Posicion]]</f>
        <v>Sucroalcolera del Chira PlantaMontelima766023451157268280</v>
      </c>
      <c r="B509" t="s">
        <v>151</v>
      </c>
      <c r="C509" t="s">
        <v>22</v>
      </c>
      <c r="D509" s="11">
        <v>45667</v>
      </c>
      <c r="E509" t="s">
        <v>16</v>
      </c>
      <c r="F509" t="s">
        <v>85</v>
      </c>
      <c r="G509">
        <v>766023</v>
      </c>
      <c r="H509">
        <v>4511572682</v>
      </c>
      <c r="I509">
        <v>80</v>
      </c>
      <c r="J509" s="29">
        <v>1</v>
      </c>
      <c r="K509" s="29" t="s">
        <v>1047</v>
      </c>
      <c r="L509" t="str">
        <f>IFERROR(VLOOKUP(Detalle_OC[[#This Row],[Centro]]&amp;Detalle_OC[[#This Row],[Nro Almacen]],Almacen!A:D,4,FALSE),"")</f>
        <v>Montelima</v>
      </c>
    </row>
    <row r="510" spans="1:12" x14ac:dyDescent="0.3">
      <c r="A510" s="29" t="str">
        <f>Detalle_OC[[#This Row],[Centro]]&amp;Detalle_OC[[#This Row],[Nom Almacen]]&amp;Detalle_OC[[#This Row],[Material]]&amp;Detalle_OC[[#This Row],[Pedido]]&amp;Detalle_OC[[#This Row],[Posicion]]</f>
        <v>Sucroalcolera del Chira PlantaMontelima776849451157268290</v>
      </c>
      <c r="B510" t="s">
        <v>138</v>
      </c>
      <c r="C510" t="s">
        <v>22</v>
      </c>
      <c r="D510" s="11">
        <v>45642</v>
      </c>
      <c r="E510" t="s">
        <v>16</v>
      </c>
      <c r="F510" t="s">
        <v>85</v>
      </c>
      <c r="G510">
        <v>776849</v>
      </c>
      <c r="H510">
        <v>4511572682</v>
      </c>
      <c r="I510">
        <v>90</v>
      </c>
      <c r="J510" s="29">
        <v>1</v>
      </c>
      <c r="K510" s="29" t="s">
        <v>1047</v>
      </c>
      <c r="L510" t="str">
        <f>IFERROR(VLOOKUP(Detalle_OC[[#This Row],[Centro]]&amp;Detalle_OC[[#This Row],[Nro Almacen]],Almacen!A:D,4,FALSE),"")</f>
        <v>Montelima</v>
      </c>
    </row>
    <row r="511" spans="1:12" x14ac:dyDescent="0.3">
      <c r="A511" s="29" t="str">
        <f>Detalle_OC[[#This Row],[Centro]]&amp;Detalle_OC[[#This Row],[Nom Almacen]]&amp;Detalle_OC[[#This Row],[Material]]&amp;Detalle_OC[[#This Row],[Pedido]]&amp;Detalle_OC[[#This Row],[Posicion]]</f>
        <v>Sucroalcolera del Chira PlantaMontelima7775544511572682100</v>
      </c>
      <c r="B511" t="s">
        <v>202</v>
      </c>
      <c r="C511" t="s">
        <v>22</v>
      </c>
      <c r="D511" s="11">
        <v>45653</v>
      </c>
      <c r="E511" t="s">
        <v>16</v>
      </c>
      <c r="F511" t="s">
        <v>85</v>
      </c>
      <c r="G511">
        <v>777554</v>
      </c>
      <c r="H511">
        <v>4511572682</v>
      </c>
      <c r="I511">
        <v>100</v>
      </c>
      <c r="J511" s="29">
        <v>1</v>
      </c>
      <c r="K511" s="29" t="s">
        <v>1047</v>
      </c>
      <c r="L511" t="str">
        <f>IFERROR(VLOOKUP(Detalle_OC[[#This Row],[Centro]]&amp;Detalle_OC[[#This Row],[Nro Almacen]],Almacen!A:D,4,FALSE),"")</f>
        <v>Montelima</v>
      </c>
    </row>
    <row r="512" spans="1:12" x14ac:dyDescent="0.3">
      <c r="A512" s="29" t="str">
        <f>Detalle_OC[[#This Row],[Centro]]&amp;Detalle_OC[[#This Row],[Nom Almacen]]&amp;Detalle_OC[[#This Row],[Material]]&amp;Detalle_OC[[#This Row],[Pedido]]&amp;Detalle_OC[[#This Row],[Posicion]]</f>
        <v>Sucroalcolera del Chira PlantaMontelima7873544511572682110</v>
      </c>
      <c r="B512" t="s">
        <v>138</v>
      </c>
      <c r="C512" t="s">
        <v>22</v>
      </c>
      <c r="D512" s="11">
        <v>45653</v>
      </c>
      <c r="E512" t="s">
        <v>16</v>
      </c>
      <c r="F512" t="s">
        <v>85</v>
      </c>
      <c r="G512">
        <v>787354</v>
      </c>
      <c r="H512">
        <v>4511572682</v>
      </c>
      <c r="I512">
        <v>110</v>
      </c>
      <c r="J512" s="29">
        <v>1</v>
      </c>
      <c r="K512" s="29" t="s">
        <v>1047</v>
      </c>
      <c r="L512" t="str">
        <f>IFERROR(VLOOKUP(Detalle_OC[[#This Row],[Centro]]&amp;Detalle_OC[[#This Row],[Nro Almacen]],Almacen!A:D,4,FALSE),"")</f>
        <v>Montelima</v>
      </c>
    </row>
    <row r="513" spans="1:12" x14ac:dyDescent="0.3">
      <c r="A513" s="29" t="str">
        <f>Detalle_OC[[#This Row],[Centro]]&amp;Detalle_OC[[#This Row],[Nom Almacen]]&amp;Detalle_OC[[#This Row],[Material]]&amp;Detalle_OC[[#This Row],[Pedido]]&amp;Detalle_OC[[#This Row],[Posicion]]</f>
        <v>Sucroalcolera del Chira PlantaMontelima8023174511572682120</v>
      </c>
      <c r="B513" t="s">
        <v>138</v>
      </c>
      <c r="C513" t="s">
        <v>22</v>
      </c>
      <c r="D513" s="11">
        <v>45642</v>
      </c>
      <c r="E513" t="s">
        <v>16</v>
      </c>
      <c r="F513" t="s">
        <v>85</v>
      </c>
      <c r="G513">
        <v>802317</v>
      </c>
      <c r="H513">
        <v>4511572682</v>
      </c>
      <c r="I513">
        <v>120</v>
      </c>
      <c r="J513" s="29">
        <v>1</v>
      </c>
      <c r="K513" s="29" t="s">
        <v>1047</v>
      </c>
      <c r="L513" t="str">
        <f>IFERROR(VLOOKUP(Detalle_OC[[#This Row],[Centro]]&amp;Detalle_OC[[#This Row],[Nro Almacen]],Almacen!A:D,4,FALSE),"")</f>
        <v>Montelima</v>
      </c>
    </row>
    <row r="514" spans="1:12" x14ac:dyDescent="0.3">
      <c r="A514" s="29" t="str">
        <f>Detalle_OC[[#This Row],[Centro]]&amp;Detalle_OC[[#This Row],[Nom Almacen]]&amp;Detalle_OC[[#This Row],[Material]]&amp;Detalle_OC[[#This Row],[Pedido]]&amp;Detalle_OC[[#This Row],[Posicion]]</f>
        <v>Sucroalcolera del Chira PlantaMontelima8664474511572682130</v>
      </c>
      <c r="B514" t="s">
        <v>138</v>
      </c>
      <c r="C514" t="s">
        <v>22</v>
      </c>
      <c r="D514" s="11">
        <v>45668</v>
      </c>
      <c r="E514" t="s">
        <v>16</v>
      </c>
      <c r="F514" t="s">
        <v>85</v>
      </c>
      <c r="G514">
        <v>866447</v>
      </c>
      <c r="H514">
        <v>4511572682</v>
      </c>
      <c r="I514">
        <v>130</v>
      </c>
      <c r="J514" s="29">
        <v>1</v>
      </c>
      <c r="K514" s="29" t="s">
        <v>1047</v>
      </c>
      <c r="L514" t="str">
        <f>IFERROR(VLOOKUP(Detalle_OC[[#This Row],[Centro]]&amp;Detalle_OC[[#This Row],[Nro Almacen]],Almacen!A:D,4,FALSE),"")</f>
        <v>Montelima</v>
      </c>
    </row>
    <row r="515" spans="1:12" x14ac:dyDescent="0.3">
      <c r="A515" s="29" t="str">
        <f>Detalle_OC[[#This Row],[Centro]]&amp;Detalle_OC[[#This Row],[Nom Almacen]]&amp;Detalle_OC[[#This Row],[Material]]&amp;Detalle_OC[[#This Row],[Pedido]]&amp;Detalle_OC[[#This Row],[Posicion]]</f>
        <v>Sucroalcolera del Chira PlantaMontelima8665994511572682140</v>
      </c>
      <c r="B515" t="s">
        <v>138</v>
      </c>
      <c r="C515" t="s">
        <v>22</v>
      </c>
      <c r="D515" s="11">
        <v>45668</v>
      </c>
      <c r="E515" t="s">
        <v>16</v>
      </c>
      <c r="F515" t="s">
        <v>85</v>
      </c>
      <c r="G515">
        <v>866599</v>
      </c>
      <c r="H515">
        <v>4511572682</v>
      </c>
      <c r="I515">
        <v>140</v>
      </c>
      <c r="J515" s="29">
        <v>1</v>
      </c>
      <c r="K515" s="29" t="s">
        <v>1047</v>
      </c>
      <c r="L515" t="str">
        <f>IFERROR(VLOOKUP(Detalle_OC[[#This Row],[Centro]]&amp;Detalle_OC[[#This Row],[Nro Almacen]],Almacen!A:D,4,FALSE),"")</f>
        <v>Montelima</v>
      </c>
    </row>
    <row r="516" spans="1:12" x14ac:dyDescent="0.3">
      <c r="A516" s="29" t="str">
        <f>Detalle_OC[[#This Row],[Centro]]&amp;Detalle_OC[[#This Row],[Nom Almacen]]&amp;Detalle_OC[[#This Row],[Material]]&amp;Detalle_OC[[#This Row],[Pedido]]&amp;Detalle_OC[[#This Row],[Posicion]]</f>
        <v>Sucroalcolera del Chira PlantaMontelima8669024511572682150</v>
      </c>
      <c r="B516" t="s">
        <v>138</v>
      </c>
      <c r="C516" t="s">
        <v>22</v>
      </c>
      <c r="D516" s="11">
        <v>45668</v>
      </c>
      <c r="E516" t="s">
        <v>16</v>
      </c>
      <c r="F516" t="s">
        <v>85</v>
      </c>
      <c r="G516">
        <v>866902</v>
      </c>
      <c r="H516">
        <v>4511572682</v>
      </c>
      <c r="I516">
        <v>150</v>
      </c>
      <c r="J516" s="29">
        <v>1</v>
      </c>
      <c r="K516" s="29" t="s">
        <v>1047</v>
      </c>
      <c r="L516" t="str">
        <f>IFERROR(VLOOKUP(Detalle_OC[[#This Row],[Centro]]&amp;Detalle_OC[[#This Row],[Nro Almacen]],Almacen!A:D,4,FALSE),"")</f>
        <v>Montelima</v>
      </c>
    </row>
    <row r="517" spans="1:12" x14ac:dyDescent="0.3">
      <c r="A517" s="29" t="str">
        <f>Detalle_OC[[#This Row],[Centro]]&amp;Detalle_OC[[#This Row],[Nom Almacen]]&amp;Detalle_OC[[#This Row],[Material]]&amp;Detalle_OC[[#This Row],[Pedido]]&amp;Detalle_OC[[#This Row],[Posicion]]</f>
        <v>Sucroalcolera del Chira PlantaMontelima8913974511572682160</v>
      </c>
      <c r="B517" t="s">
        <v>138</v>
      </c>
      <c r="C517" t="s">
        <v>22</v>
      </c>
      <c r="D517" s="11">
        <v>45653</v>
      </c>
      <c r="E517" t="s">
        <v>16</v>
      </c>
      <c r="F517" t="s">
        <v>85</v>
      </c>
      <c r="G517">
        <v>891397</v>
      </c>
      <c r="H517">
        <v>4511572682</v>
      </c>
      <c r="I517">
        <v>160</v>
      </c>
      <c r="J517" s="29">
        <v>1</v>
      </c>
      <c r="K517" s="29" t="s">
        <v>1047</v>
      </c>
      <c r="L517" t="str">
        <f>IFERROR(VLOOKUP(Detalle_OC[[#This Row],[Centro]]&amp;Detalle_OC[[#This Row],[Nro Almacen]],Almacen!A:D,4,FALSE),"")</f>
        <v>Montelima</v>
      </c>
    </row>
    <row r="518" spans="1:12" x14ac:dyDescent="0.3">
      <c r="A518" s="29" t="str">
        <f>Detalle_OC[[#This Row],[Centro]]&amp;Detalle_OC[[#This Row],[Nom Almacen]]&amp;Detalle_OC[[#This Row],[Material]]&amp;Detalle_OC[[#This Row],[Pedido]]&amp;Detalle_OC[[#This Row],[Posicion]]</f>
        <v>Sucroalcolera del Chira PlantaMontelima700450864511572682170</v>
      </c>
      <c r="B518" t="s">
        <v>138</v>
      </c>
      <c r="C518" t="s">
        <v>22</v>
      </c>
      <c r="D518" s="11">
        <v>45653</v>
      </c>
      <c r="E518" t="s">
        <v>16</v>
      </c>
      <c r="F518" t="s">
        <v>85</v>
      </c>
      <c r="G518">
        <v>70045086</v>
      </c>
      <c r="H518">
        <v>4511572682</v>
      </c>
      <c r="I518">
        <v>170</v>
      </c>
      <c r="J518" s="29">
        <v>1</v>
      </c>
      <c r="K518" s="29" t="s">
        <v>1047</v>
      </c>
      <c r="L518" t="str">
        <f>IFERROR(VLOOKUP(Detalle_OC[[#This Row],[Centro]]&amp;Detalle_OC[[#This Row],[Nro Almacen]],Almacen!A:D,4,FALSE),"")</f>
        <v>Montelima</v>
      </c>
    </row>
    <row r="519" spans="1:12" x14ac:dyDescent="0.3">
      <c r="A519" s="29" t="str">
        <f>Detalle_OC[[#This Row],[Centro]]&amp;Detalle_OC[[#This Row],[Nom Almacen]]&amp;Detalle_OC[[#This Row],[Material]]&amp;Detalle_OC[[#This Row],[Pedido]]&amp;Detalle_OC[[#This Row],[Posicion]]</f>
        <v>Sucroalcolera del Chira PlantaMontelima700630044511572682180</v>
      </c>
      <c r="B519" t="s">
        <v>138</v>
      </c>
      <c r="C519" t="s">
        <v>22</v>
      </c>
      <c r="D519" s="11">
        <v>45638</v>
      </c>
      <c r="E519" t="s">
        <v>16</v>
      </c>
      <c r="F519" t="s">
        <v>85</v>
      </c>
      <c r="G519">
        <v>70063004</v>
      </c>
      <c r="H519">
        <v>4511572682</v>
      </c>
      <c r="I519">
        <v>180</v>
      </c>
      <c r="J519" s="29">
        <v>1</v>
      </c>
      <c r="K519" s="29" t="s">
        <v>1047</v>
      </c>
      <c r="L519" t="str">
        <f>IFERROR(VLOOKUP(Detalle_OC[[#This Row],[Centro]]&amp;Detalle_OC[[#This Row],[Nro Almacen]],Almacen!A:D,4,FALSE),"")</f>
        <v>Montelima</v>
      </c>
    </row>
    <row r="520" spans="1:12" x14ac:dyDescent="0.3">
      <c r="A520" s="29" t="str">
        <f>Detalle_OC[[#This Row],[Centro]]&amp;Detalle_OC[[#This Row],[Nom Almacen]]&amp;Detalle_OC[[#This Row],[Material]]&amp;Detalle_OC[[#This Row],[Pedido]]&amp;Detalle_OC[[#This Row],[Posicion]]</f>
        <v>Sucroalcolera del Chira PlantaMontelima700798754511572682190</v>
      </c>
      <c r="B520" t="s">
        <v>138</v>
      </c>
      <c r="C520" t="s">
        <v>22</v>
      </c>
      <c r="D520" s="11">
        <v>45668</v>
      </c>
      <c r="E520" t="s">
        <v>16</v>
      </c>
      <c r="F520" t="s">
        <v>85</v>
      </c>
      <c r="G520">
        <v>70079875</v>
      </c>
      <c r="H520">
        <v>4511572682</v>
      </c>
      <c r="I520">
        <v>190</v>
      </c>
      <c r="J520" s="29">
        <v>1</v>
      </c>
      <c r="K520" s="29" t="s">
        <v>1047</v>
      </c>
      <c r="L520" t="str">
        <f>IFERROR(VLOOKUP(Detalle_OC[[#This Row],[Centro]]&amp;Detalle_OC[[#This Row],[Nro Almacen]],Almacen!A:D,4,FALSE),"")</f>
        <v>Montelima</v>
      </c>
    </row>
    <row r="521" spans="1:12" x14ac:dyDescent="0.3">
      <c r="A521" s="29" t="str">
        <f>Detalle_OC[[#This Row],[Centro]]&amp;Detalle_OC[[#This Row],[Nom Almacen]]&amp;Detalle_OC[[#This Row],[Material]]&amp;Detalle_OC[[#This Row],[Pedido]]&amp;Detalle_OC[[#This Row],[Posicion]]</f>
        <v>Sucroalcolera del Chira PlantaMontelima700966204511572682200</v>
      </c>
      <c r="B521" t="s">
        <v>202</v>
      </c>
      <c r="C521" t="s">
        <v>22</v>
      </c>
      <c r="D521" s="11">
        <v>45638</v>
      </c>
      <c r="E521" t="s">
        <v>16</v>
      </c>
      <c r="F521" t="s">
        <v>85</v>
      </c>
      <c r="G521">
        <v>70096620</v>
      </c>
      <c r="H521">
        <v>4511572682</v>
      </c>
      <c r="I521">
        <v>200</v>
      </c>
      <c r="J521" s="29">
        <v>1</v>
      </c>
      <c r="K521" s="29" t="s">
        <v>1047</v>
      </c>
      <c r="L521" t="str">
        <f>IFERROR(VLOOKUP(Detalle_OC[[#This Row],[Centro]]&amp;Detalle_OC[[#This Row],[Nro Almacen]],Almacen!A:D,4,FALSE),"")</f>
        <v>Montelima</v>
      </c>
    </row>
    <row r="522" spans="1:12" x14ac:dyDescent="0.3">
      <c r="A522" s="29" t="str">
        <f>Detalle_OC[[#This Row],[Centro]]&amp;Detalle_OC[[#This Row],[Nom Almacen]]&amp;Detalle_OC[[#This Row],[Material]]&amp;Detalle_OC[[#This Row],[Pedido]]&amp;Detalle_OC[[#This Row],[Posicion]]</f>
        <v>Sucroalcolera del Chira PlantaMontelimaCS101060          4511572682210</v>
      </c>
      <c r="B522" t="s">
        <v>138</v>
      </c>
      <c r="C522" t="s">
        <v>22</v>
      </c>
      <c r="D522" s="11">
        <v>45653</v>
      </c>
      <c r="E522" t="s">
        <v>16</v>
      </c>
      <c r="F522" t="s">
        <v>85</v>
      </c>
      <c r="G522" t="s">
        <v>204</v>
      </c>
      <c r="H522">
        <v>4511572682</v>
      </c>
      <c r="I522">
        <v>210</v>
      </c>
      <c r="J522" s="29">
        <v>1</v>
      </c>
      <c r="K522" s="29" t="s">
        <v>1047</v>
      </c>
      <c r="L522" t="str">
        <f>IFERROR(VLOOKUP(Detalle_OC[[#This Row],[Centro]]&amp;Detalle_OC[[#This Row],[Nro Almacen]],Almacen!A:D,4,FALSE),"")</f>
        <v>Montelima</v>
      </c>
    </row>
    <row r="523" spans="1:12" x14ac:dyDescent="0.3">
      <c r="A523" s="29" t="str">
        <f>Detalle_OC[[#This Row],[Centro]]&amp;Detalle_OC[[#This Row],[Nom Almacen]]&amp;Detalle_OC[[#This Row],[Material]]&amp;Detalle_OC[[#This Row],[Pedido]]&amp;Detalle_OC[[#This Row],[Posicion]]</f>
        <v>Agricola del Chira PlantaMontelima70001480451157268810</v>
      </c>
      <c r="B523" t="s">
        <v>149</v>
      </c>
      <c r="C523" t="s">
        <v>32</v>
      </c>
      <c r="D523" s="11">
        <v>45657</v>
      </c>
      <c r="E523" t="s">
        <v>16</v>
      </c>
      <c r="F523" t="s">
        <v>12</v>
      </c>
      <c r="G523">
        <v>70001480</v>
      </c>
      <c r="H523">
        <v>4511572688</v>
      </c>
      <c r="I523">
        <v>10</v>
      </c>
      <c r="J523" s="29">
        <v>1</v>
      </c>
      <c r="K523" s="29" t="s">
        <v>1047</v>
      </c>
      <c r="L523" t="str">
        <f>IFERROR(VLOOKUP(Detalle_OC[[#This Row],[Centro]]&amp;Detalle_OC[[#This Row],[Nro Almacen]],Almacen!A:D,4,FALSE),"")</f>
        <v>Montelima</v>
      </c>
    </row>
    <row r="524" spans="1:12" x14ac:dyDescent="0.3">
      <c r="A524" s="29" t="str">
        <f>Detalle_OC[[#This Row],[Centro]]&amp;Detalle_OC[[#This Row],[Nom Almacen]]&amp;Detalle_OC[[#This Row],[Material]]&amp;Detalle_OC[[#This Row],[Pedido]]&amp;Detalle_OC[[#This Row],[Posicion]]</f>
        <v>Agricola del Chira PlantaMontelima806643451157268820</v>
      </c>
      <c r="B524" t="s">
        <v>149</v>
      </c>
      <c r="C524" t="s">
        <v>32</v>
      </c>
      <c r="D524" s="11">
        <v>45657</v>
      </c>
      <c r="E524" t="s">
        <v>16</v>
      </c>
      <c r="F524" t="s">
        <v>12</v>
      </c>
      <c r="G524">
        <v>806643</v>
      </c>
      <c r="H524">
        <v>4511572688</v>
      </c>
      <c r="I524">
        <v>20</v>
      </c>
      <c r="J524" s="29">
        <v>1</v>
      </c>
      <c r="K524" s="29" t="s">
        <v>1047</v>
      </c>
      <c r="L524" t="str">
        <f>IFERROR(VLOOKUP(Detalle_OC[[#This Row],[Centro]]&amp;Detalle_OC[[#This Row],[Nro Almacen]],Almacen!A:D,4,FALSE),"")</f>
        <v>Montelima</v>
      </c>
    </row>
    <row r="525" spans="1:12" x14ac:dyDescent="0.3">
      <c r="A525" s="29" t="str">
        <f>Detalle_OC[[#This Row],[Centro]]&amp;Detalle_OC[[#This Row],[Nom Almacen]]&amp;Detalle_OC[[#This Row],[Material]]&amp;Detalle_OC[[#This Row],[Pedido]]&amp;Detalle_OC[[#This Row],[Posicion]]</f>
        <v>Agricola del Chira PlantaMontelima808231451157268830</v>
      </c>
      <c r="B525" t="s">
        <v>149</v>
      </c>
      <c r="C525" t="s">
        <v>32</v>
      </c>
      <c r="D525" s="11">
        <v>45657</v>
      </c>
      <c r="E525" t="s">
        <v>16</v>
      </c>
      <c r="F525" t="s">
        <v>12</v>
      </c>
      <c r="G525">
        <v>808231</v>
      </c>
      <c r="H525">
        <v>4511572688</v>
      </c>
      <c r="I525">
        <v>30</v>
      </c>
      <c r="J525" s="29">
        <v>1</v>
      </c>
      <c r="K525" s="29" t="s">
        <v>1047</v>
      </c>
      <c r="L525" t="str">
        <f>IFERROR(VLOOKUP(Detalle_OC[[#This Row],[Centro]]&amp;Detalle_OC[[#This Row],[Nro Almacen]],Almacen!A:D,4,FALSE),"")</f>
        <v>Montelima</v>
      </c>
    </row>
    <row r="526" spans="1:12" x14ac:dyDescent="0.3">
      <c r="A526" s="29" t="str">
        <f>Detalle_OC[[#This Row],[Centro]]&amp;Detalle_OC[[#This Row],[Nom Almacen]]&amp;Detalle_OC[[#This Row],[Material]]&amp;Detalle_OC[[#This Row],[Pedido]]&amp;Detalle_OC[[#This Row],[Posicion]]</f>
        <v>Agricola del Chira PlantaMontelima810158451157268840</v>
      </c>
      <c r="B526" t="s">
        <v>149</v>
      </c>
      <c r="C526" t="s">
        <v>32</v>
      </c>
      <c r="D526" s="11">
        <v>45657</v>
      </c>
      <c r="E526" t="s">
        <v>16</v>
      </c>
      <c r="F526" t="s">
        <v>12</v>
      </c>
      <c r="G526">
        <v>810158</v>
      </c>
      <c r="H526">
        <v>4511572688</v>
      </c>
      <c r="I526">
        <v>40</v>
      </c>
      <c r="J526" s="29">
        <v>1</v>
      </c>
      <c r="K526" s="29" t="s">
        <v>1047</v>
      </c>
      <c r="L526" t="str">
        <f>IFERROR(VLOOKUP(Detalle_OC[[#This Row],[Centro]]&amp;Detalle_OC[[#This Row],[Nro Almacen]],Almacen!A:D,4,FALSE),"")</f>
        <v>Montelima</v>
      </c>
    </row>
    <row r="527" spans="1:12" x14ac:dyDescent="0.3">
      <c r="A527" s="29" t="str">
        <f>Detalle_OC[[#This Row],[Centro]]&amp;Detalle_OC[[#This Row],[Nom Almacen]]&amp;Detalle_OC[[#This Row],[Material]]&amp;Detalle_OC[[#This Row],[Pedido]]&amp;Detalle_OC[[#This Row],[Posicion]]</f>
        <v>Agricola del Chira PlantaMontelima70033367451157268850</v>
      </c>
      <c r="B527" t="s">
        <v>149</v>
      </c>
      <c r="C527" t="s">
        <v>32</v>
      </c>
      <c r="D527" s="11">
        <v>45657</v>
      </c>
      <c r="E527" t="s">
        <v>16</v>
      </c>
      <c r="F527" t="s">
        <v>12</v>
      </c>
      <c r="G527">
        <v>70033367</v>
      </c>
      <c r="H527">
        <v>4511572688</v>
      </c>
      <c r="I527">
        <v>50</v>
      </c>
      <c r="J527" s="29">
        <v>1</v>
      </c>
      <c r="K527" s="29" t="s">
        <v>1047</v>
      </c>
      <c r="L527" t="str">
        <f>IFERROR(VLOOKUP(Detalle_OC[[#This Row],[Centro]]&amp;Detalle_OC[[#This Row],[Nro Almacen]],Almacen!A:D,4,FALSE),"")</f>
        <v>Montelima</v>
      </c>
    </row>
    <row r="528" spans="1:12" x14ac:dyDescent="0.3">
      <c r="A528" s="29" t="str">
        <f>Detalle_OC[[#This Row],[Centro]]&amp;Detalle_OC[[#This Row],[Nom Almacen]]&amp;Detalle_OC[[#This Row],[Material]]&amp;Detalle_OC[[#This Row],[Pedido]]&amp;Detalle_OC[[#This Row],[Posicion]]</f>
        <v>Agricola del Chira PlantaMontelima70037593451157268860</v>
      </c>
      <c r="B528" t="s">
        <v>145</v>
      </c>
      <c r="C528" t="s">
        <v>32</v>
      </c>
      <c r="D528" s="11">
        <v>45657</v>
      </c>
      <c r="E528" t="s">
        <v>16</v>
      </c>
      <c r="F528" t="s">
        <v>12</v>
      </c>
      <c r="G528">
        <v>70037593</v>
      </c>
      <c r="H528">
        <v>4511572688</v>
      </c>
      <c r="I528">
        <v>60</v>
      </c>
      <c r="J528" s="29">
        <v>1</v>
      </c>
      <c r="K528" s="29" t="s">
        <v>1047</v>
      </c>
      <c r="L528" t="str">
        <f>IFERROR(VLOOKUP(Detalle_OC[[#This Row],[Centro]]&amp;Detalle_OC[[#This Row],[Nro Almacen]],Almacen!A:D,4,FALSE),"")</f>
        <v>Montelima</v>
      </c>
    </row>
    <row r="529" spans="1:12" x14ac:dyDescent="0.3">
      <c r="A529" s="29" t="str">
        <f>Detalle_OC[[#This Row],[Centro]]&amp;Detalle_OC[[#This Row],[Nom Almacen]]&amp;Detalle_OC[[#This Row],[Material]]&amp;Detalle_OC[[#This Row],[Pedido]]&amp;Detalle_OC[[#This Row],[Posicion]]</f>
        <v>Agricola del Chira PlantaMontelima70037612451157268870</v>
      </c>
      <c r="B529" t="s">
        <v>145</v>
      </c>
      <c r="C529" t="s">
        <v>32</v>
      </c>
      <c r="D529" s="11">
        <v>45657</v>
      </c>
      <c r="E529" t="s">
        <v>16</v>
      </c>
      <c r="F529" t="s">
        <v>12</v>
      </c>
      <c r="G529">
        <v>70037612</v>
      </c>
      <c r="H529">
        <v>4511572688</v>
      </c>
      <c r="I529">
        <v>70</v>
      </c>
      <c r="J529" s="29">
        <v>1</v>
      </c>
      <c r="K529" s="29" t="s">
        <v>1047</v>
      </c>
      <c r="L529" t="str">
        <f>IFERROR(VLOOKUP(Detalle_OC[[#This Row],[Centro]]&amp;Detalle_OC[[#This Row],[Nro Almacen]],Almacen!A:D,4,FALSE),"")</f>
        <v>Montelima</v>
      </c>
    </row>
    <row r="530" spans="1:12" x14ac:dyDescent="0.3">
      <c r="A530" s="29" t="str">
        <f>Detalle_OC[[#This Row],[Centro]]&amp;Detalle_OC[[#This Row],[Nom Almacen]]&amp;Detalle_OC[[#This Row],[Material]]&amp;Detalle_OC[[#This Row],[Pedido]]&amp;Detalle_OC[[#This Row],[Posicion]]</f>
        <v>Agricola del Chira PlantaMontelimaCC11201115        451157268880</v>
      </c>
      <c r="B530" t="s">
        <v>149</v>
      </c>
      <c r="C530" t="s">
        <v>32</v>
      </c>
      <c r="D530" s="11">
        <v>45657</v>
      </c>
      <c r="E530" t="s">
        <v>16</v>
      </c>
      <c r="F530" t="s">
        <v>12</v>
      </c>
      <c r="G530" t="s">
        <v>1017</v>
      </c>
      <c r="H530">
        <v>4511572688</v>
      </c>
      <c r="I530">
        <v>80</v>
      </c>
      <c r="J530" s="29">
        <v>1</v>
      </c>
      <c r="K530" s="29" t="s">
        <v>1047</v>
      </c>
      <c r="L530" t="str">
        <f>IFERROR(VLOOKUP(Detalle_OC[[#This Row],[Centro]]&amp;Detalle_OC[[#This Row],[Nro Almacen]],Almacen!A:D,4,FALSE),"")</f>
        <v>Montelima</v>
      </c>
    </row>
    <row r="531" spans="1:12" x14ac:dyDescent="0.3">
      <c r="A531" s="29" t="str">
        <f>Detalle_OC[[#This Row],[Centro]]&amp;Detalle_OC[[#This Row],[Nom Almacen]]&amp;Detalle_OC[[#This Row],[Material]]&amp;Detalle_OC[[#This Row],[Pedido]]&amp;Detalle_OC[[#This Row],[Posicion]]</f>
        <v>Sucroalcolera del Chira PlantaMontelima70032489451157268910</v>
      </c>
      <c r="B531" t="s">
        <v>138</v>
      </c>
      <c r="C531" t="s">
        <v>32</v>
      </c>
      <c r="D531" s="11">
        <v>45657</v>
      </c>
      <c r="E531" t="s">
        <v>16</v>
      </c>
      <c r="F531" t="s">
        <v>85</v>
      </c>
      <c r="G531">
        <v>70032489</v>
      </c>
      <c r="H531">
        <v>4511572689</v>
      </c>
      <c r="I531">
        <v>10</v>
      </c>
      <c r="J531" s="29">
        <v>1</v>
      </c>
      <c r="K531" s="29" t="s">
        <v>1047</v>
      </c>
      <c r="L531" t="str">
        <f>IFERROR(VLOOKUP(Detalle_OC[[#This Row],[Centro]]&amp;Detalle_OC[[#This Row],[Nro Almacen]],Almacen!A:D,4,FALSE),"")</f>
        <v>Montelima</v>
      </c>
    </row>
    <row r="532" spans="1:12" x14ac:dyDescent="0.3">
      <c r="A532" s="29" t="str">
        <f>Detalle_OC[[#This Row],[Centro]]&amp;Detalle_OC[[#This Row],[Nom Almacen]]&amp;Detalle_OC[[#This Row],[Material]]&amp;Detalle_OC[[#This Row],[Pedido]]&amp;Detalle_OC[[#This Row],[Posicion]]</f>
        <v>Sucroalcolera del Chira PlantaMontelima70032489451157268920</v>
      </c>
      <c r="B532" t="s">
        <v>138</v>
      </c>
      <c r="C532" t="s">
        <v>32</v>
      </c>
      <c r="D532" s="11">
        <v>45657</v>
      </c>
      <c r="E532" t="s">
        <v>16</v>
      </c>
      <c r="F532" t="s">
        <v>85</v>
      </c>
      <c r="G532">
        <v>70032489</v>
      </c>
      <c r="H532">
        <v>4511572689</v>
      </c>
      <c r="I532">
        <v>20</v>
      </c>
      <c r="J532" s="29">
        <v>1</v>
      </c>
      <c r="K532" s="29" t="s">
        <v>1047</v>
      </c>
      <c r="L532" t="str">
        <f>IFERROR(VLOOKUP(Detalle_OC[[#This Row],[Centro]]&amp;Detalle_OC[[#This Row],[Nro Almacen]],Almacen!A:D,4,FALSE),"")</f>
        <v>Montelima</v>
      </c>
    </row>
    <row r="533" spans="1:12" x14ac:dyDescent="0.3">
      <c r="A533" s="29" t="str">
        <f>Detalle_OC[[#This Row],[Centro]]&amp;Detalle_OC[[#This Row],[Nom Almacen]]&amp;Detalle_OC[[#This Row],[Material]]&amp;Detalle_OC[[#This Row],[Pedido]]&amp;Detalle_OC[[#This Row],[Posicion]]</f>
        <v>Sucroalcolera del Chira PlantaMontelimaCT905854          451157268930</v>
      </c>
      <c r="B533" t="s">
        <v>138</v>
      </c>
      <c r="C533" t="s">
        <v>32</v>
      </c>
      <c r="D533" s="11">
        <v>45657</v>
      </c>
      <c r="E533" t="s">
        <v>16</v>
      </c>
      <c r="F533" t="s">
        <v>85</v>
      </c>
      <c r="G533" t="s">
        <v>294</v>
      </c>
      <c r="H533">
        <v>4511572689</v>
      </c>
      <c r="I533">
        <v>30</v>
      </c>
      <c r="J533" s="29">
        <v>1</v>
      </c>
      <c r="K533" s="29" t="s">
        <v>1047</v>
      </c>
      <c r="L533" t="str">
        <f>IFERROR(VLOOKUP(Detalle_OC[[#This Row],[Centro]]&amp;Detalle_OC[[#This Row],[Nro Almacen]],Almacen!A:D,4,FALSE),"")</f>
        <v>Montelima</v>
      </c>
    </row>
    <row r="534" spans="1:12" x14ac:dyDescent="0.3">
      <c r="A534" s="29" t="str">
        <f>Detalle_OC[[#This Row],[Centro]]&amp;Detalle_OC[[#This Row],[Nom Almacen]]&amp;Detalle_OC[[#This Row],[Material]]&amp;Detalle_OC[[#This Row],[Pedido]]&amp;Detalle_OC[[#This Row],[Posicion]]</f>
        <v>Sucroalcolera del Chira PlantaMontelima809354451157268940</v>
      </c>
      <c r="B534" t="s">
        <v>138</v>
      </c>
      <c r="C534" t="s">
        <v>32</v>
      </c>
      <c r="D534" s="11">
        <v>45657</v>
      </c>
      <c r="E534" t="s">
        <v>16</v>
      </c>
      <c r="F534" t="s">
        <v>85</v>
      </c>
      <c r="G534">
        <v>809354</v>
      </c>
      <c r="H534">
        <v>4511572689</v>
      </c>
      <c r="I534">
        <v>40</v>
      </c>
      <c r="J534" s="29">
        <v>1</v>
      </c>
      <c r="K534" s="29" t="s">
        <v>1047</v>
      </c>
      <c r="L534" t="str">
        <f>IFERROR(VLOOKUP(Detalle_OC[[#This Row],[Centro]]&amp;Detalle_OC[[#This Row],[Nro Almacen]],Almacen!A:D,4,FALSE),"")</f>
        <v>Montelima</v>
      </c>
    </row>
    <row r="535" spans="1:12" x14ac:dyDescent="0.3">
      <c r="A535" s="29" t="str">
        <f>Detalle_OC[[#This Row],[Centro]]&amp;Detalle_OC[[#This Row],[Nom Almacen]]&amp;Detalle_OC[[#This Row],[Material]]&amp;Detalle_OC[[#This Row],[Pedido]]&amp;Detalle_OC[[#This Row],[Posicion]]</f>
        <v>Sucroalcolera del Chira PlantaMontelima809354451157268950</v>
      </c>
      <c r="B535" t="s">
        <v>138</v>
      </c>
      <c r="C535" t="s">
        <v>32</v>
      </c>
      <c r="D535" s="11">
        <v>45657</v>
      </c>
      <c r="E535" t="s">
        <v>16</v>
      </c>
      <c r="F535" t="s">
        <v>85</v>
      </c>
      <c r="G535">
        <v>809354</v>
      </c>
      <c r="H535">
        <v>4511572689</v>
      </c>
      <c r="I535">
        <v>50</v>
      </c>
      <c r="J535" s="29">
        <v>1</v>
      </c>
      <c r="K535" s="29" t="s">
        <v>1047</v>
      </c>
      <c r="L535" t="str">
        <f>IFERROR(VLOOKUP(Detalle_OC[[#This Row],[Centro]]&amp;Detalle_OC[[#This Row],[Nro Almacen]],Almacen!A:D,4,FALSE),"")</f>
        <v>Montelima</v>
      </c>
    </row>
    <row r="536" spans="1:12" x14ac:dyDescent="0.3">
      <c r="A536" s="29" t="str">
        <f>Detalle_OC[[#This Row],[Centro]]&amp;Detalle_OC[[#This Row],[Nom Almacen]]&amp;Detalle_OC[[#This Row],[Material]]&amp;Detalle_OC[[#This Row],[Pedido]]&amp;Detalle_OC[[#This Row],[Posicion]]</f>
        <v>Sucroalcolera del Chira PlantaMontelima821641451157268960</v>
      </c>
      <c r="B536" t="s">
        <v>138</v>
      </c>
      <c r="C536" t="s">
        <v>32</v>
      </c>
      <c r="D536" s="11">
        <v>45657</v>
      </c>
      <c r="E536" t="s">
        <v>16</v>
      </c>
      <c r="F536" t="s">
        <v>85</v>
      </c>
      <c r="G536">
        <v>821641</v>
      </c>
      <c r="H536">
        <v>4511572689</v>
      </c>
      <c r="I536">
        <v>60</v>
      </c>
      <c r="J536" s="29">
        <v>1</v>
      </c>
      <c r="K536" s="29" t="s">
        <v>1047</v>
      </c>
      <c r="L536" t="str">
        <f>IFERROR(VLOOKUP(Detalle_OC[[#This Row],[Centro]]&amp;Detalle_OC[[#This Row],[Nro Almacen]],Almacen!A:D,4,FALSE),"")</f>
        <v>Montelima</v>
      </c>
    </row>
    <row r="537" spans="1:12" x14ac:dyDescent="0.3">
      <c r="A537" s="29" t="str">
        <f>Detalle_OC[[#This Row],[Centro]]&amp;Detalle_OC[[#This Row],[Nom Almacen]]&amp;Detalle_OC[[#This Row],[Material]]&amp;Detalle_OC[[#This Row],[Pedido]]&amp;Detalle_OC[[#This Row],[Posicion]]</f>
        <v>Sucroalcolera del Chira PlantaMontelima875027451157268970</v>
      </c>
      <c r="B537" t="s">
        <v>138</v>
      </c>
      <c r="C537" t="s">
        <v>32</v>
      </c>
      <c r="D537" s="11">
        <v>45657</v>
      </c>
      <c r="E537" t="s">
        <v>16</v>
      </c>
      <c r="F537" t="s">
        <v>85</v>
      </c>
      <c r="G537">
        <v>875027</v>
      </c>
      <c r="H537">
        <v>4511572689</v>
      </c>
      <c r="I537">
        <v>70</v>
      </c>
      <c r="J537" s="29">
        <v>1</v>
      </c>
      <c r="K537" s="29" t="s">
        <v>1047</v>
      </c>
      <c r="L537" t="str">
        <f>IFERROR(VLOOKUP(Detalle_OC[[#This Row],[Centro]]&amp;Detalle_OC[[#This Row],[Nro Almacen]],Almacen!A:D,4,FALSE),"")</f>
        <v>Montelima</v>
      </c>
    </row>
    <row r="538" spans="1:12" x14ac:dyDescent="0.3">
      <c r="A538" s="29" t="str">
        <f>Detalle_OC[[#This Row],[Centro]]&amp;Detalle_OC[[#This Row],[Nom Almacen]]&amp;Detalle_OC[[#This Row],[Material]]&amp;Detalle_OC[[#This Row],[Pedido]]&amp;Detalle_OC[[#This Row],[Posicion]]</f>
        <v>Sucroalcolera del Chira PlantaMontelima875027451157268980</v>
      </c>
      <c r="B538" t="s">
        <v>138</v>
      </c>
      <c r="C538" t="s">
        <v>32</v>
      </c>
      <c r="D538" s="11">
        <v>45657</v>
      </c>
      <c r="E538" t="s">
        <v>16</v>
      </c>
      <c r="F538" t="s">
        <v>85</v>
      </c>
      <c r="G538">
        <v>875027</v>
      </c>
      <c r="H538">
        <v>4511572689</v>
      </c>
      <c r="I538">
        <v>80</v>
      </c>
      <c r="J538" s="29">
        <v>1</v>
      </c>
      <c r="K538" s="29" t="s">
        <v>1047</v>
      </c>
      <c r="L538" t="str">
        <f>IFERROR(VLOOKUP(Detalle_OC[[#This Row],[Centro]]&amp;Detalle_OC[[#This Row],[Nro Almacen]],Almacen!A:D,4,FALSE),"")</f>
        <v>Montelima</v>
      </c>
    </row>
    <row r="539" spans="1:12" x14ac:dyDescent="0.3">
      <c r="A539" s="29" t="str">
        <f>Detalle_OC[[#This Row],[Centro]]&amp;Detalle_OC[[#This Row],[Nom Almacen]]&amp;Detalle_OC[[#This Row],[Material]]&amp;Detalle_OC[[#This Row],[Pedido]]&amp;Detalle_OC[[#This Row],[Posicion]]</f>
        <v>Sucroalcolera del Chira PlantaMontelima70032489451157268990</v>
      </c>
      <c r="B539" t="s">
        <v>138</v>
      </c>
      <c r="C539" t="s">
        <v>32</v>
      </c>
      <c r="D539" s="11">
        <v>45657</v>
      </c>
      <c r="E539" t="s">
        <v>16</v>
      </c>
      <c r="F539" t="s">
        <v>85</v>
      </c>
      <c r="G539">
        <v>70032489</v>
      </c>
      <c r="H539">
        <v>4511572689</v>
      </c>
      <c r="I539">
        <v>90</v>
      </c>
      <c r="J539" s="29">
        <v>1</v>
      </c>
      <c r="K539" s="29" t="s">
        <v>1047</v>
      </c>
      <c r="L539" t="str">
        <f>IFERROR(VLOOKUP(Detalle_OC[[#This Row],[Centro]]&amp;Detalle_OC[[#This Row],[Nro Almacen]],Almacen!A:D,4,FALSE),"")</f>
        <v>Montelima</v>
      </c>
    </row>
    <row r="540" spans="1:12" x14ac:dyDescent="0.3">
      <c r="A540" s="29" t="str">
        <f>Detalle_OC[[#This Row],[Centro]]&amp;Detalle_OC[[#This Row],[Nom Almacen]]&amp;Detalle_OC[[#This Row],[Material]]&amp;Detalle_OC[[#This Row],[Pedido]]&amp;Detalle_OC[[#This Row],[Posicion]]</f>
        <v>Sucroalcolera del Chira PlantaMontelima8740754511572689100</v>
      </c>
      <c r="B540" t="s">
        <v>138</v>
      </c>
      <c r="C540" t="s">
        <v>32</v>
      </c>
      <c r="D540" s="11">
        <v>45657</v>
      </c>
      <c r="E540" t="s">
        <v>16</v>
      </c>
      <c r="F540" t="s">
        <v>85</v>
      </c>
      <c r="G540">
        <v>874075</v>
      </c>
      <c r="H540">
        <v>4511572689</v>
      </c>
      <c r="I540">
        <v>100</v>
      </c>
      <c r="J540" s="29">
        <v>1</v>
      </c>
      <c r="K540" s="29" t="s">
        <v>1047</v>
      </c>
      <c r="L540" t="str">
        <f>IFERROR(VLOOKUP(Detalle_OC[[#This Row],[Centro]]&amp;Detalle_OC[[#This Row],[Nro Almacen]],Almacen!A:D,4,FALSE),"")</f>
        <v>Montelima</v>
      </c>
    </row>
    <row r="541" spans="1:12" x14ac:dyDescent="0.3">
      <c r="A541" s="29" t="str">
        <f>Detalle_OC[[#This Row],[Centro]]&amp;Detalle_OC[[#This Row],[Nom Almacen]]&amp;Detalle_OC[[#This Row],[Material]]&amp;Detalle_OC[[#This Row],[Pedido]]&amp;Detalle_OC[[#This Row],[Posicion]]</f>
        <v>Sucroalcolera del Chira PlantaMontelima883465451157269910</v>
      </c>
      <c r="B541" t="s">
        <v>138</v>
      </c>
      <c r="C541" t="s">
        <v>82</v>
      </c>
      <c r="D541" s="11">
        <v>45665</v>
      </c>
      <c r="E541" t="s">
        <v>16</v>
      </c>
      <c r="F541" t="s">
        <v>85</v>
      </c>
      <c r="G541">
        <v>883465</v>
      </c>
      <c r="H541">
        <v>4511572699</v>
      </c>
      <c r="I541">
        <v>10</v>
      </c>
      <c r="J541" s="29">
        <v>1</v>
      </c>
      <c r="K541" s="29" t="s">
        <v>1047</v>
      </c>
      <c r="L541" t="str">
        <f>IFERROR(VLOOKUP(Detalle_OC[[#This Row],[Centro]]&amp;Detalle_OC[[#This Row],[Nro Almacen]],Almacen!A:D,4,FALSE),"")</f>
        <v>Montelima</v>
      </c>
    </row>
    <row r="542" spans="1:12" x14ac:dyDescent="0.3">
      <c r="A542" s="29" t="str">
        <f>Detalle_OC[[#This Row],[Centro]]&amp;Detalle_OC[[#This Row],[Nom Almacen]]&amp;Detalle_OC[[#This Row],[Material]]&amp;Detalle_OC[[#This Row],[Pedido]]&amp;Detalle_OC[[#This Row],[Posicion]]</f>
        <v>Agricola del Chira PlantaLa Huaca868096451157270210</v>
      </c>
      <c r="B542" t="s">
        <v>26</v>
      </c>
      <c r="C542" t="s">
        <v>161</v>
      </c>
      <c r="D542" s="11">
        <v>45657</v>
      </c>
      <c r="E542" t="s">
        <v>16</v>
      </c>
      <c r="F542" t="s">
        <v>12</v>
      </c>
      <c r="G542">
        <v>868096</v>
      </c>
      <c r="H542">
        <v>4511572702</v>
      </c>
      <c r="I542">
        <v>10</v>
      </c>
      <c r="J542" s="29">
        <v>2</v>
      </c>
      <c r="K542" s="29" t="s">
        <v>1047</v>
      </c>
      <c r="L542" t="str">
        <f>IFERROR(VLOOKUP(Detalle_OC[[#This Row],[Centro]]&amp;Detalle_OC[[#This Row],[Nro Almacen]],Almacen!A:D,4,FALSE),"")</f>
        <v>La Huaca</v>
      </c>
    </row>
    <row r="543" spans="1:12" x14ac:dyDescent="0.3">
      <c r="A543" s="29" t="str">
        <f>Detalle_OC[[#This Row],[Centro]]&amp;Detalle_OC[[#This Row],[Nom Almacen]]&amp;Detalle_OC[[#This Row],[Material]]&amp;Detalle_OC[[#This Row],[Pedido]]&amp;Detalle_OC[[#This Row],[Posicion]]</f>
        <v>Sucroalcolera del Chira PlantaMontelima865417451157270410</v>
      </c>
      <c r="B543" t="s">
        <v>138</v>
      </c>
      <c r="C543" t="s">
        <v>161</v>
      </c>
      <c r="D543" s="11">
        <v>45657</v>
      </c>
      <c r="E543" t="s">
        <v>16</v>
      </c>
      <c r="F543" t="s">
        <v>85</v>
      </c>
      <c r="G543">
        <v>865417</v>
      </c>
      <c r="H543">
        <v>4511572704</v>
      </c>
      <c r="I543">
        <v>10</v>
      </c>
      <c r="J543" s="29">
        <v>1</v>
      </c>
      <c r="K543" s="29" t="s">
        <v>1047</v>
      </c>
      <c r="L543" t="str">
        <f>IFERROR(VLOOKUP(Detalle_OC[[#This Row],[Centro]]&amp;Detalle_OC[[#This Row],[Nro Almacen]],Almacen!A:D,4,FALSE),"")</f>
        <v>Montelima</v>
      </c>
    </row>
    <row r="544" spans="1:12" x14ac:dyDescent="0.3">
      <c r="A544" s="29" t="str">
        <f>Detalle_OC[[#This Row],[Centro]]&amp;Detalle_OC[[#This Row],[Nom Almacen]]&amp;Detalle_OC[[#This Row],[Material]]&amp;Detalle_OC[[#This Row],[Pedido]]&amp;Detalle_OC[[#This Row],[Posicion]]</f>
        <v>Sucroalcolera del Chira PlantaMontelima865417451157270420</v>
      </c>
      <c r="B544" t="s">
        <v>138</v>
      </c>
      <c r="C544" t="s">
        <v>161</v>
      </c>
      <c r="D544" s="11">
        <v>45657</v>
      </c>
      <c r="E544" t="s">
        <v>16</v>
      </c>
      <c r="F544" t="s">
        <v>85</v>
      </c>
      <c r="G544">
        <v>865417</v>
      </c>
      <c r="H544">
        <v>4511572704</v>
      </c>
      <c r="I544">
        <v>20</v>
      </c>
      <c r="J544" s="29">
        <v>1</v>
      </c>
      <c r="K544" s="29" t="s">
        <v>1047</v>
      </c>
      <c r="L544" t="str">
        <f>IFERROR(VLOOKUP(Detalle_OC[[#This Row],[Centro]]&amp;Detalle_OC[[#This Row],[Nro Almacen]],Almacen!A:D,4,FALSE),"")</f>
        <v>Montelima</v>
      </c>
    </row>
    <row r="545" spans="1:12" x14ac:dyDescent="0.3">
      <c r="A545" s="29" t="str">
        <f>Detalle_OC[[#This Row],[Centro]]&amp;Detalle_OC[[#This Row],[Nom Almacen]]&amp;Detalle_OC[[#This Row],[Material]]&amp;Detalle_OC[[#This Row],[Pedido]]&amp;Detalle_OC[[#This Row],[Posicion]]</f>
        <v>Sucroalcolera del Chira PlantaMontelima70002481451157270430</v>
      </c>
      <c r="B545" t="s">
        <v>138</v>
      </c>
      <c r="C545" t="s">
        <v>161</v>
      </c>
      <c r="D545" s="11">
        <v>45657</v>
      </c>
      <c r="E545" t="s">
        <v>16</v>
      </c>
      <c r="F545" t="s">
        <v>85</v>
      </c>
      <c r="G545">
        <v>70002481</v>
      </c>
      <c r="H545">
        <v>4511572704</v>
      </c>
      <c r="I545">
        <v>30</v>
      </c>
      <c r="J545" s="29">
        <v>1</v>
      </c>
      <c r="K545" s="29" t="s">
        <v>1047</v>
      </c>
      <c r="L545" t="str">
        <f>IFERROR(VLOOKUP(Detalle_OC[[#This Row],[Centro]]&amp;Detalle_OC[[#This Row],[Nro Almacen]],Almacen!A:D,4,FALSE),"")</f>
        <v>Montelima</v>
      </c>
    </row>
    <row r="546" spans="1:12" x14ac:dyDescent="0.3">
      <c r="A546" s="29" t="str">
        <f>Detalle_OC[[#This Row],[Centro]]&amp;Detalle_OC[[#This Row],[Nom Almacen]]&amp;Detalle_OC[[#This Row],[Material]]&amp;Detalle_OC[[#This Row],[Pedido]]&amp;Detalle_OC[[#This Row],[Posicion]]</f>
        <v>Agricola del Chira PlantaMontelima837732451157270610</v>
      </c>
      <c r="B546" t="s">
        <v>149</v>
      </c>
      <c r="C546" t="s">
        <v>166</v>
      </c>
      <c r="D546" s="11">
        <v>45644</v>
      </c>
      <c r="E546" t="s">
        <v>16</v>
      </c>
      <c r="F546" t="s">
        <v>12</v>
      </c>
      <c r="G546">
        <v>837732</v>
      </c>
      <c r="H546">
        <v>4511572706</v>
      </c>
      <c r="I546">
        <v>10</v>
      </c>
      <c r="J546" s="29">
        <v>1</v>
      </c>
      <c r="K546" s="29" t="s">
        <v>1047</v>
      </c>
      <c r="L546" t="str">
        <f>IFERROR(VLOOKUP(Detalle_OC[[#This Row],[Centro]]&amp;Detalle_OC[[#This Row],[Nro Almacen]],Almacen!A:D,4,FALSE),"")</f>
        <v>Montelima</v>
      </c>
    </row>
    <row r="547" spans="1:12" x14ac:dyDescent="0.3">
      <c r="A547" s="29" t="str">
        <f>Detalle_OC[[#This Row],[Centro]]&amp;Detalle_OC[[#This Row],[Nom Almacen]]&amp;Detalle_OC[[#This Row],[Material]]&amp;Detalle_OC[[#This Row],[Pedido]]&amp;Detalle_OC[[#This Row],[Posicion]]</f>
        <v>Agricola del Chira PlantaMontelima839402451157270620</v>
      </c>
      <c r="B547" t="s">
        <v>149</v>
      </c>
      <c r="C547" t="s">
        <v>166</v>
      </c>
      <c r="D547" s="11">
        <v>45644</v>
      </c>
      <c r="E547" t="s">
        <v>16</v>
      </c>
      <c r="F547" t="s">
        <v>12</v>
      </c>
      <c r="G547">
        <v>839402</v>
      </c>
      <c r="H547">
        <v>4511572706</v>
      </c>
      <c r="I547">
        <v>20</v>
      </c>
      <c r="J547" s="29">
        <v>1</v>
      </c>
      <c r="K547" s="29" t="s">
        <v>1047</v>
      </c>
      <c r="L547" t="str">
        <f>IFERROR(VLOOKUP(Detalle_OC[[#This Row],[Centro]]&amp;Detalle_OC[[#This Row],[Nro Almacen]],Almacen!A:D,4,FALSE),"")</f>
        <v>Montelima</v>
      </c>
    </row>
    <row r="548" spans="1:12" x14ac:dyDescent="0.3">
      <c r="A548" s="29" t="str">
        <f>Detalle_OC[[#This Row],[Centro]]&amp;Detalle_OC[[#This Row],[Nom Almacen]]&amp;Detalle_OC[[#This Row],[Material]]&amp;Detalle_OC[[#This Row],[Pedido]]&amp;Detalle_OC[[#This Row],[Posicion]]</f>
        <v>Agricola del Chira PlantaMontelima70019166451157270630</v>
      </c>
      <c r="B548" t="s">
        <v>149</v>
      </c>
      <c r="C548" t="s">
        <v>166</v>
      </c>
      <c r="D548" s="11">
        <v>45644</v>
      </c>
      <c r="E548" t="s">
        <v>16</v>
      </c>
      <c r="F548" t="s">
        <v>12</v>
      </c>
      <c r="G548">
        <v>70019166</v>
      </c>
      <c r="H548">
        <v>4511572706</v>
      </c>
      <c r="I548">
        <v>30</v>
      </c>
      <c r="J548" s="29">
        <v>1</v>
      </c>
      <c r="K548" s="29" t="s">
        <v>1047</v>
      </c>
      <c r="L548" t="str">
        <f>IFERROR(VLOOKUP(Detalle_OC[[#This Row],[Centro]]&amp;Detalle_OC[[#This Row],[Nro Almacen]],Almacen!A:D,4,FALSE),"")</f>
        <v>Montelima</v>
      </c>
    </row>
    <row r="549" spans="1:12" x14ac:dyDescent="0.3">
      <c r="A549" s="29" t="str">
        <f>Detalle_OC[[#This Row],[Centro]]&amp;Detalle_OC[[#This Row],[Nom Almacen]]&amp;Detalle_OC[[#This Row],[Material]]&amp;Detalle_OC[[#This Row],[Pedido]]&amp;Detalle_OC[[#This Row],[Posicion]]</f>
        <v>Agricola del Chira PlantaMontelima70022354451157270640</v>
      </c>
      <c r="B549" t="s">
        <v>149</v>
      </c>
      <c r="C549" t="s">
        <v>166</v>
      </c>
      <c r="D549" s="11">
        <v>45644</v>
      </c>
      <c r="E549" t="s">
        <v>16</v>
      </c>
      <c r="F549" t="s">
        <v>12</v>
      </c>
      <c r="G549">
        <v>70022354</v>
      </c>
      <c r="H549">
        <v>4511572706</v>
      </c>
      <c r="I549">
        <v>40</v>
      </c>
      <c r="J549" s="29">
        <v>1</v>
      </c>
      <c r="K549" s="29" t="s">
        <v>1047</v>
      </c>
      <c r="L549" t="str">
        <f>IFERROR(VLOOKUP(Detalle_OC[[#This Row],[Centro]]&amp;Detalle_OC[[#This Row],[Nro Almacen]],Almacen!A:D,4,FALSE),"")</f>
        <v>Montelima</v>
      </c>
    </row>
    <row r="550" spans="1:12" x14ac:dyDescent="0.3">
      <c r="A550" s="29" t="str">
        <f>Detalle_OC[[#This Row],[Centro]]&amp;Detalle_OC[[#This Row],[Nom Almacen]]&amp;Detalle_OC[[#This Row],[Material]]&amp;Detalle_OC[[#This Row],[Pedido]]&amp;Detalle_OC[[#This Row],[Posicion]]</f>
        <v>Sucroalcolera del Chira PlantaMontelima859399451157270810</v>
      </c>
      <c r="B550" t="s">
        <v>138</v>
      </c>
      <c r="C550" t="s">
        <v>299</v>
      </c>
      <c r="D550" s="11">
        <v>45657</v>
      </c>
      <c r="E550" t="s">
        <v>16</v>
      </c>
      <c r="F550" t="s">
        <v>85</v>
      </c>
      <c r="G550">
        <v>859399</v>
      </c>
      <c r="H550">
        <v>4511572708</v>
      </c>
      <c r="I550">
        <v>10</v>
      </c>
      <c r="J550" s="29">
        <v>1</v>
      </c>
      <c r="K550" s="29" t="s">
        <v>1047</v>
      </c>
      <c r="L550" t="str">
        <f>IFERROR(VLOOKUP(Detalle_OC[[#This Row],[Centro]]&amp;Detalle_OC[[#This Row],[Nro Almacen]],Almacen!A:D,4,FALSE),"")</f>
        <v>Montelima</v>
      </c>
    </row>
    <row r="551" spans="1:12" x14ac:dyDescent="0.3">
      <c r="A551" s="29" t="str">
        <f>Detalle_OC[[#This Row],[Centro]]&amp;Detalle_OC[[#This Row],[Nom Almacen]]&amp;Detalle_OC[[#This Row],[Material]]&amp;Detalle_OC[[#This Row],[Pedido]]&amp;Detalle_OC[[#This Row],[Posicion]]</f>
        <v>Sucroalcolera del Chira PlantaMontelima859402451157270820</v>
      </c>
      <c r="B551" t="s">
        <v>138</v>
      </c>
      <c r="C551" t="s">
        <v>299</v>
      </c>
      <c r="D551" s="11">
        <v>45657</v>
      </c>
      <c r="E551" t="s">
        <v>16</v>
      </c>
      <c r="F551" t="s">
        <v>85</v>
      </c>
      <c r="G551">
        <v>859402</v>
      </c>
      <c r="H551">
        <v>4511572708</v>
      </c>
      <c r="I551">
        <v>20</v>
      </c>
      <c r="J551" s="29">
        <v>1</v>
      </c>
      <c r="K551" s="29" t="s">
        <v>1047</v>
      </c>
      <c r="L551" t="str">
        <f>IFERROR(VLOOKUP(Detalle_OC[[#This Row],[Centro]]&amp;Detalle_OC[[#This Row],[Nro Almacen]],Almacen!A:D,4,FALSE),"")</f>
        <v>Montelima</v>
      </c>
    </row>
    <row r="552" spans="1:12" x14ac:dyDescent="0.3">
      <c r="A552" s="29" t="str">
        <f>Detalle_OC[[#This Row],[Centro]]&amp;Detalle_OC[[#This Row],[Nom Almacen]]&amp;Detalle_OC[[#This Row],[Material]]&amp;Detalle_OC[[#This Row],[Pedido]]&amp;Detalle_OC[[#This Row],[Posicion]]</f>
        <v>Sucroalcolera del Chira PlantaMontelima869826451157271110</v>
      </c>
      <c r="B552" t="s">
        <v>138</v>
      </c>
      <c r="C552" t="s">
        <v>44</v>
      </c>
      <c r="D552" s="11">
        <v>45657</v>
      </c>
      <c r="E552" t="s">
        <v>16</v>
      </c>
      <c r="F552" t="s">
        <v>85</v>
      </c>
      <c r="G552">
        <v>869826</v>
      </c>
      <c r="H552">
        <v>4511572711</v>
      </c>
      <c r="I552">
        <v>10</v>
      </c>
      <c r="J552" s="29">
        <v>1</v>
      </c>
      <c r="K552" s="29" t="s">
        <v>1047</v>
      </c>
      <c r="L552" t="str">
        <f>IFERROR(VLOOKUP(Detalle_OC[[#This Row],[Centro]]&amp;Detalle_OC[[#This Row],[Nro Almacen]],Almacen!A:D,4,FALSE),"")</f>
        <v>Montelima</v>
      </c>
    </row>
    <row r="553" spans="1:12" x14ac:dyDescent="0.3">
      <c r="A553" s="29" t="str">
        <f>Detalle_OC[[#This Row],[Centro]]&amp;Detalle_OC[[#This Row],[Nom Almacen]]&amp;Detalle_OC[[#This Row],[Material]]&amp;Detalle_OC[[#This Row],[Pedido]]&amp;Detalle_OC[[#This Row],[Posicion]]</f>
        <v>Sucroalcolera del Chira PlantaMontelima869826451157271120</v>
      </c>
      <c r="B553" t="s">
        <v>138</v>
      </c>
      <c r="C553" t="s">
        <v>44</v>
      </c>
      <c r="D553" s="11">
        <v>45657</v>
      </c>
      <c r="E553" t="s">
        <v>16</v>
      </c>
      <c r="F553" t="s">
        <v>85</v>
      </c>
      <c r="G553">
        <v>869826</v>
      </c>
      <c r="H553">
        <v>4511572711</v>
      </c>
      <c r="I553">
        <v>20</v>
      </c>
      <c r="J553" s="29">
        <v>1</v>
      </c>
      <c r="K553" s="29" t="s">
        <v>1047</v>
      </c>
      <c r="L553" t="str">
        <f>IFERROR(VLOOKUP(Detalle_OC[[#This Row],[Centro]]&amp;Detalle_OC[[#This Row],[Nro Almacen]],Almacen!A:D,4,FALSE),"")</f>
        <v>Montelima</v>
      </c>
    </row>
    <row r="554" spans="1:12" x14ac:dyDescent="0.3">
      <c r="A554" s="29" t="str">
        <f>Detalle_OC[[#This Row],[Centro]]&amp;Detalle_OC[[#This Row],[Nom Almacen]]&amp;Detalle_OC[[#This Row],[Material]]&amp;Detalle_OC[[#This Row],[Pedido]]&amp;Detalle_OC[[#This Row],[Posicion]]</f>
        <v>Sucroalcolera del Chira PlantaMontelima869826451157271130</v>
      </c>
      <c r="B554" t="s">
        <v>138</v>
      </c>
      <c r="C554" t="s">
        <v>44</v>
      </c>
      <c r="D554" s="11">
        <v>45657</v>
      </c>
      <c r="E554" t="s">
        <v>16</v>
      </c>
      <c r="F554" t="s">
        <v>85</v>
      </c>
      <c r="G554">
        <v>869826</v>
      </c>
      <c r="H554">
        <v>4511572711</v>
      </c>
      <c r="I554">
        <v>30</v>
      </c>
      <c r="J554" s="29">
        <v>1</v>
      </c>
      <c r="K554" s="29" t="s">
        <v>1047</v>
      </c>
      <c r="L554" t="str">
        <f>IFERROR(VLOOKUP(Detalle_OC[[#This Row],[Centro]]&amp;Detalle_OC[[#This Row],[Nro Almacen]],Almacen!A:D,4,FALSE),"")</f>
        <v>Montelima</v>
      </c>
    </row>
    <row r="555" spans="1:12" x14ac:dyDescent="0.3">
      <c r="A555" s="29" t="str">
        <f>Detalle_OC[[#This Row],[Centro]]&amp;Detalle_OC[[#This Row],[Nom Almacen]]&amp;Detalle_OC[[#This Row],[Material]]&amp;Detalle_OC[[#This Row],[Pedido]]&amp;Detalle_OC[[#This Row],[Posicion]]</f>
        <v>Sucroalcolera del Chira PlantaMontelima869826451157271140</v>
      </c>
      <c r="B555" t="s">
        <v>138</v>
      </c>
      <c r="C555" t="s">
        <v>44</v>
      </c>
      <c r="D555" s="11">
        <v>45657</v>
      </c>
      <c r="E555" t="s">
        <v>16</v>
      </c>
      <c r="F555" t="s">
        <v>85</v>
      </c>
      <c r="G555">
        <v>869826</v>
      </c>
      <c r="H555">
        <v>4511572711</v>
      </c>
      <c r="I555">
        <v>40</v>
      </c>
      <c r="J555" s="29">
        <v>1</v>
      </c>
      <c r="K555" s="29" t="s">
        <v>1047</v>
      </c>
      <c r="L555" t="str">
        <f>IFERROR(VLOOKUP(Detalle_OC[[#This Row],[Centro]]&amp;Detalle_OC[[#This Row],[Nro Almacen]],Almacen!A:D,4,FALSE),"")</f>
        <v>Montelima</v>
      </c>
    </row>
    <row r="556" spans="1:12" x14ac:dyDescent="0.3">
      <c r="A556" s="29" t="str">
        <f>Detalle_OC[[#This Row],[Centro]]&amp;Detalle_OC[[#This Row],[Nom Almacen]]&amp;Detalle_OC[[#This Row],[Material]]&amp;Detalle_OC[[#This Row],[Pedido]]&amp;Detalle_OC[[#This Row],[Posicion]]</f>
        <v>Agricola del Chira PlantaLa Huaca70047878451157271410</v>
      </c>
      <c r="B556" t="s">
        <v>50</v>
      </c>
      <c r="C556" t="s">
        <v>161</v>
      </c>
      <c r="D556" s="11">
        <v>45665</v>
      </c>
      <c r="E556" t="s">
        <v>16</v>
      </c>
      <c r="F556" t="s">
        <v>12</v>
      </c>
      <c r="G556">
        <v>70047878</v>
      </c>
      <c r="H556">
        <v>4511572714</v>
      </c>
      <c r="I556">
        <v>10</v>
      </c>
      <c r="J556" s="29">
        <v>2</v>
      </c>
      <c r="K556" s="29" t="s">
        <v>1047</v>
      </c>
      <c r="L556" t="str">
        <f>IFERROR(VLOOKUP(Detalle_OC[[#This Row],[Centro]]&amp;Detalle_OC[[#This Row],[Nro Almacen]],Almacen!A:D,4,FALSE),"")</f>
        <v>La Huaca</v>
      </c>
    </row>
    <row r="557" spans="1:12" x14ac:dyDescent="0.3">
      <c r="A557" s="29" t="str">
        <f>Detalle_OC[[#This Row],[Centro]]&amp;Detalle_OC[[#This Row],[Nom Almacen]]&amp;Detalle_OC[[#This Row],[Material]]&amp;Detalle_OC[[#This Row],[Pedido]]&amp;Detalle_OC[[#This Row],[Posicion]]</f>
        <v>Agricola del Chira PlantaMontelima760508451157271710</v>
      </c>
      <c r="B557" t="s">
        <v>263</v>
      </c>
      <c r="C557" t="s">
        <v>303</v>
      </c>
      <c r="D557" s="11">
        <v>45657</v>
      </c>
      <c r="E557" t="s">
        <v>16</v>
      </c>
      <c r="F557" t="s">
        <v>12</v>
      </c>
      <c r="G557">
        <v>760508</v>
      </c>
      <c r="H557">
        <v>4511572717</v>
      </c>
      <c r="I557">
        <v>10</v>
      </c>
      <c r="J557" s="29">
        <v>1</v>
      </c>
      <c r="K557" s="29" t="s">
        <v>1047</v>
      </c>
      <c r="L557" t="str">
        <f>IFERROR(VLOOKUP(Detalle_OC[[#This Row],[Centro]]&amp;Detalle_OC[[#This Row],[Nro Almacen]],Almacen!A:D,4,FALSE),"")</f>
        <v>Montelima</v>
      </c>
    </row>
    <row r="558" spans="1:12" x14ac:dyDescent="0.3">
      <c r="A558" s="29" t="str">
        <f>Detalle_OC[[#This Row],[Centro]]&amp;Detalle_OC[[#This Row],[Nom Almacen]]&amp;Detalle_OC[[#This Row],[Material]]&amp;Detalle_OC[[#This Row],[Pedido]]&amp;Detalle_OC[[#This Row],[Posicion]]</f>
        <v>Agricola del Chira PlantaAlmacen Lobo760508451157271720</v>
      </c>
      <c r="B558" t="s">
        <v>263</v>
      </c>
      <c r="C558" t="s">
        <v>303</v>
      </c>
      <c r="D558" s="11">
        <v>45657</v>
      </c>
      <c r="E558" t="s">
        <v>16</v>
      </c>
      <c r="F558" t="s">
        <v>12</v>
      </c>
      <c r="G558">
        <v>760508</v>
      </c>
      <c r="H558">
        <v>4511572717</v>
      </c>
      <c r="I558">
        <v>20</v>
      </c>
      <c r="J558" s="29">
        <v>7</v>
      </c>
      <c r="K558" s="29" t="s">
        <v>1047</v>
      </c>
      <c r="L558" t="str">
        <f>IFERROR(VLOOKUP(Detalle_OC[[#This Row],[Centro]]&amp;Detalle_OC[[#This Row],[Nro Almacen]],Almacen!A:D,4,FALSE),"")</f>
        <v>Almacen Lobo</v>
      </c>
    </row>
    <row r="559" spans="1:12" x14ac:dyDescent="0.3">
      <c r="A559" s="29" t="str">
        <f>Detalle_OC[[#This Row],[Centro]]&amp;Detalle_OC[[#This Row],[Nom Almacen]]&amp;Detalle_OC[[#This Row],[Material]]&amp;Detalle_OC[[#This Row],[Pedido]]&amp;Detalle_OC[[#This Row],[Posicion]]</f>
        <v>Sucroalcolera del Chira PlantaMontelima865173451157272310</v>
      </c>
      <c r="B559" t="s">
        <v>138</v>
      </c>
      <c r="C559" t="s">
        <v>141</v>
      </c>
      <c r="D559" s="11">
        <v>45657</v>
      </c>
      <c r="E559" t="s">
        <v>16</v>
      </c>
      <c r="F559" t="s">
        <v>85</v>
      </c>
      <c r="G559">
        <v>865173</v>
      </c>
      <c r="H559">
        <v>4511572723</v>
      </c>
      <c r="I559">
        <v>10</v>
      </c>
      <c r="J559" s="29">
        <v>1</v>
      </c>
      <c r="K559" s="29" t="s">
        <v>1047</v>
      </c>
      <c r="L559" t="str">
        <f>IFERROR(VLOOKUP(Detalle_OC[[#This Row],[Centro]]&amp;Detalle_OC[[#This Row],[Nro Almacen]],Almacen!A:D,4,FALSE),"")</f>
        <v>Montelima</v>
      </c>
    </row>
    <row r="560" spans="1:12" x14ac:dyDescent="0.3">
      <c r="A560" s="29" t="str">
        <f>Detalle_OC[[#This Row],[Centro]]&amp;Detalle_OC[[#This Row],[Nom Almacen]]&amp;Detalle_OC[[#This Row],[Material]]&amp;Detalle_OC[[#This Row],[Pedido]]&amp;Detalle_OC[[#This Row],[Posicion]]</f>
        <v>Sucroalcolera del Chira PlantaMontelima888784451157272410</v>
      </c>
      <c r="B560" t="s">
        <v>138</v>
      </c>
      <c r="C560" t="s">
        <v>22</v>
      </c>
      <c r="D560" s="11">
        <v>45665</v>
      </c>
      <c r="E560" t="s">
        <v>16</v>
      </c>
      <c r="F560" t="s">
        <v>85</v>
      </c>
      <c r="G560">
        <v>888784</v>
      </c>
      <c r="H560">
        <v>4511572724</v>
      </c>
      <c r="I560">
        <v>10</v>
      </c>
      <c r="J560" s="29">
        <v>1</v>
      </c>
      <c r="K560" s="29" t="s">
        <v>1047</v>
      </c>
      <c r="L560" t="str">
        <f>IFERROR(VLOOKUP(Detalle_OC[[#This Row],[Centro]]&amp;Detalle_OC[[#This Row],[Nro Almacen]],Almacen!A:D,4,FALSE),"")</f>
        <v>Montelima</v>
      </c>
    </row>
    <row r="561" spans="1:12" x14ac:dyDescent="0.3">
      <c r="A561" s="29" t="str">
        <f>Detalle_OC[[#This Row],[Centro]]&amp;Detalle_OC[[#This Row],[Nom Almacen]]&amp;Detalle_OC[[#This Row],[Material]]&amp;Detalle_OC[[#This Row],[Pedido]]&amp;Detalle_OC[[#This Row],[Posicion]]</f>
        <v>Sucroalcolera del Chira PlantaMontelima70135654451157273410</v>
      </c>
      <c r="B561" t="s">
        <v>191</v>
      </c>
      <c r="C561" t="s">
        <v>1133</v>
      </c>
      <c r="D561" s="11">
        <v>45656</v>
      </c>
      <c r="E561" t="s">
        <v>16</v>
      </c>
      <c r="F561" t="s">
        <v>85</v>
      </c>
      <c r="G561">
        <v>70135654</v>
      </c>
      <c r="H561">
        <v>4511572734</v>
      </c>
      <c r="I561">
        <v>10</v>
      </c>
      <c r="J561" s="29">
        <v>1</v>
      </c>
      <c r="K561" s="29" t="s">
        <v>1047</v>
      </c>
      <c r="L561" t="str">
        <f>IFERROR(VLOOKUP(Detalle_OC[[#This Row],[Centro]]&amp;Detalle_OC[[#This Row],[Nro Almacen]],Almacen!A:D,4,FALSE),"")</f>
        <v>Montelima</v>
      </c>
    </row>
    <row r="562" spans="1:12" x14ac:dyDescent="0.3">
      <c r="A562" s="29" t="str">
        <f>Detalle_OC[[#This Row],[Centro]]&amp;Detalle_OC[[#This Row],[Nom Almacen]]&amp;Detalle_OC[[#This Row],[Material]]&amp;Detalle_OC[[#This Row],[Pedido]]&amp;Detalle_OC[[#This Row],[Posicion]]</f>
        <v>Sucroalcolera del Chira PlantaMontelima70048352451157274310</v>
      </c>
      <c r="B562" t="s">
        <v>138</v>
      </c>
      <c r="C562" t="s">
        <v>189</v>
      </c>
      <c r="D562" s="11">
        <v>45674</v>
      </c>
      <c r="E562" t="s">
        <v>16</v>
      </c>
      <c r="F562" t="s">
        <v>85</v>
      </c>
      <c r="G562">
        <v>70048352</v>
      </c>
      <c r="H562">
        <v>4511572743</v>
      </c>
      <c r="I562">
        <v>10</v>
      </c>
      <c r="J562" s="29">
        <v>1</v>
      </c>
      <c r="K562" s="29" t="s">
        <v>1047</v>
      </c>
      <c r="L562" t="str">
        <f>IFERROR(VLOOKUP(Detalle_OC[[#This Row],[Centro]]&amp;Detalle_OC[[#This Row],[Nro Almacen]],Almacen!A:D,4,FALSE),"")</f>
        <v>Montelima</v>
      </c>
    </row>
    <row r="563" spans="1:12" x14ac:dyDescent="0.3">
      <c r="A563" s="29" t="str">
        <f>Detalle_OC[[#This Row],[Centro]]&amp;Detalle_OC[[#This Row],[Nom Almacen]]&amp;Detalle_OC[[#This Row],[Material]]&amp;Detalle_OC[[#This Row],[Pedido]]&amp;Detalle_OC[[#This Row],[Posicion]]</f>
        <v>Sucroalcolera del Chira PlantaMontelima70068243451157274320</v>
      </c>
      <c r="B563" t="s">
        <v>138</v>
      </c>
      <c r="C563" t="s">
        <v>189</v>
      </c>
      <c r="D563" s="11">
        <v>45674</v>
      </c>
      <c r="E563" t="s">
        <v>16</v>
      </c>
      <c r="F563" t="s">
        <v>85</v>
      </c>
      <c r="G563">
        <v>70068243</v>
      </c>
      <c r="H563">
        <v>4511572743</v>
      </c>
      <c r="I563">
        <v>20</v>
      </c>
      <c r="J563" s="29">
        <v>1</v>
      </c>
      <c r="K563" s="29" t="s">
        <v>1047</v>
      </c>
      <c r="L563" t="str">
        <f>IFERROR(VLOOKUP(Detalle_OC[[#This Row],[Centro]]&amp;Detalle_OC[[#This Row],[Nro Almacen]],Almacen!A:D,4,FALSE),"")</f>
        <v>Montelima</v>
      </c>
    </row>
    <row r="564" spans="1:12" x14ac:dyDescent="0.3">
      <c r="A564" s="29" t="str">
        <f>Detalle_OC[[#This Row],[Centro]]&amp;Detalle_OC[[#This Row],[Nom Almacen]]&amp;Detalle_OC[[#This Row],[Material]]&amp;Detalle_OC[[#This Row],[Pedido]]&amp;Detalle_OC[[#This Row],[Posicion]]</f>
        <v>Agricola del Chira PlantaMontelima744011451157274410</v>
      </c>
      <c r="B564" t="s">
        <v>1126</v>
      </c>
      <c r="C564" t="s">
        <v>167</v>
      </c>
      <c r="D564" s="11">
        <v>45657</v>
      </c>
      <c r="E564" t="s">
        <v>51</v>
      </c>
      <c r="F564" t="s">
        <v>12</v>
      </c>
      <c r="G564">
        <v>744011</v>
      </c>
      <c r="H564">
        <v>4511572744</v>
      </c>
      <c r="I564">
        <v>10</v>
      </c>
      <c r="J564" s="29">
        <v>1</v>
      </c>
      <c r="K564" s="29" t="s">
        <v>1047</v>
      </c>
      <c r="L564" t="str">
        <f>IFERROR(VLOOKUP(Detalle_OC[[#This Row],[Centro]]&amp;Detalle_OC[[#This Row],[Nro Almacen]],Almacen!A:D,4,FALSE),"")</f>
        <v>Montelima</v>
      </c>
    </row>
    <row r="565" spans="1:12" x14ac:dyDescent="0.3">
      <c r="A565" s="29" t="str">
        <f>Detalle_OC[[#This Row],[Centro]]&amp;Detalle_OC[[#This Row],[Nom Almacen]]&amp;Detalle_OC[[#This Row],[Material]]&amp;Detalle_OC[[#This Row],[Pedido]]&amp;Detalle_OC[[#This Row],[Posicion]]</f>
        <v>Agricola del Chira PlantaMontelima70135559451157275410</v>
      </c>
      <c r="B565" t="s">
        <v>185</v>
      </c>
      <c r="C565" t="s">
        <v>221</v>
      </c>
      <c r="D565" s="11">
        <v>45656</v>
      </c>
      <c r="E565" t="s">
        <v>48</v>
      </c>
      <c r="F565" t="s">
        <v>12</v>
      </c>
      <c r="G565">
        <v>70135559</v>
      </c>
      <c r="H565">
        <v>4511572754</v>
      </c>
      <c r="I565">
        <v>10</v>
      </c>
      <c r="J565" s="29">
        <v>1</v>
      </c>
      <c r="K565" s="29" t="s">
        <v>1047</v>
      </c>
      <c r="L565" t="str">
        <f>IFERROR(VLOOKUP(Detalle_OC[[#This Row],[Centro]]&amp;Detalle_OC[[#This Row],[Nro Almacen]],Almacen!A:D,4,FALSE),"")</f>
        <v>Montelima</v>
      </c>
    </row>
    <row r="566" spans="1:12" x14ac:dyDescent="0.3">
      <c r="A566" s="29" t="str">
        <f>Detalle_OC[[#This Row],[Centro]]&amp;Detalle_OC[[#This Row],[Nom Almacen]]&amp;Detalle_OC[[#This Row],[Material]]&amp;Detalle_OC[[#This Row],[Pedido]]&amp;Detalle_OC[[#This Row],[Posicion]]</f>
        <v>Agricola del Chira PlantaMontelima70135559451157275420</v>
      </c>
      <c r="B566" t="s">
        <v>185</v>
      </c>
      <c r="C566" t="s">
        <v>221</v>
      </c>
      <c r="D566" s="11">
        <v>45656</v>
      </c>
      <c r="E566" t="s">
        <v>48</v>
      </c>
      <c r="F566" t="s">
        <v>12</v>
      </c>
      <c r="G566">
        <v>70135559</v>
      </c>
      <c r="H566">
        <v>4511572754</v>
      </c>
      <c r="I566">
        <v>20</v>
      </c>
      <c r="J566" s="29">
        <v>1</v>
      </c>
      <c r="K566" s="29" t="s">
        <v>1047</v>
      </c>
      <c r="L566" t="str">
        <f>IFERROR(VLOOKUP(Detalle_OC[[#This Row],[Centro]]&amp;Detalle_OC[[#This Row],[Nro Almacen]],Almacen!A:D,4,FALSE),"")</f>
        <v>Montelima</v>
      </c>
    </row>
    <row r="567" spans="1:12" x14ac:dyDescent="0.3">
      <c r="A567" s="29" t="str">
        <f>Detalle_OC[[#This Row],[Centro]]&amp;Detalle_OC[[#This Row],[Nom Almacen]]&amp;Detalle_OC[[#This Row],[Material]]&amp;Detalle_OC[[#This Row],[Pedido]]&amp;Detalle_OC[[#This Row],[Posicion]]</f>
        <v>Agricola del Chira PlantaMontelima70127085451157275430</v>
      </c>
      <c r="B567" t="s">
        <v>185</v>
      </c>
      <c r="C567" t="s">
        <v>221</v>
      </c>
      <c r="D567" s="11">
        <v>45656</v>
      </c>
      <c r="E567" t="s">
        <v>48</v>
      </c>
      <c r="F567" t="s">
        <v>12</v>
      </c>
      <c r="G567">
        <v>70127085</v>
      </c>
      <c r="H567">
        <v>4511572754</v>
      </c>
      <c r="I567">
        <v>30</v>
      </c>
      <c r="J567" s="29">
        <v>1</v>
      </c>
      <c r="K567" s="29" t="s">
        <v>1047</v>
      </c>
      <c r="L567" t="str">
        <f>IFERROR(VLOOKUP(Detalle_OC[[#This Row],[Centro]]&amp;Detalle_OC[[#This Row],[Nro Almacen]],Almacen!A:D,4,FALSE),"")</f>
        <v>Montelima</v>
      </c>
    </row>
    <row r="568" spans="1:12" x14ac:dyDescent="0.3">
      <c r="A568" s="29" t="str">
        <f>Detalle_OC[[#This Row],[Centro]]&amp;Detalle_OC[[#This Row],[Nom Almacen]]&amp;Detalle_OC[[#This Row],[Material]]&amp;Detalle_OC[[#This Row],[Pedido]]&amp;Detalle_OC[[#This Row],[Posicion]]</f>
        <v>Agricola del Chira PlantaMontelima70133359451157276310</v>
      </c>
      <c r="B568" t="s">
        <v>234</v>
      </c>
      <c r="C568" t="s">
        <v>235</v>
      </c>
      <c r="D568" s="11">
        <v>45657</v>
      </c>
      <c r="E568" t="s">
        <v>51</v>
      </c>
      <c r="F568" t="s">
        <v>12</v>
      </c>
      <c r="G568">
        <v>70133359</v>
      </c>
      <c r="H568">
        <v>4511572763</v>
      </c>
      <c r="I568">
        <v>10</v>
      </c>
      <c r="J568" s="29">
        <v>1</v>
      </c>
      <c r="K568" s="29" t="s">
        <v>1047</v>
      </c>
      <c r="L568" t="str">
        <f>IFERROR(VLOOKUP(Detalle_OC[[#This Row],[Centro]]&amp;Detalle_OC[[#This Row],[Nro Almacen]],Almacen!A:D,4,FALSE),"")</f>
        <v>Montelima</v>
      </c>
    </row>
    <row r="569" spans="1:12" x14ac:dyDescent="0.3">
      <c r="A569" s="29" t="str">
        <f>Detalle_OC[[#This Row],[Centro]]&amp;Detalle_OC[[#This Row],[Nom Almacen]]&amp;Detalle_OC[[#This Row],[Material]]&amp;Detalle_OC[[#This Row],[Pedido]]&amp;Detalle_OC[[#This Row],[Posicion]]</f>
        <v>Sucroalcolera del Chira PlantaMontelima805076451157276410</v>
      </c>
      <c r="B569" t="s">
        <v>1134</v>
      </c>
      <c r="C569" t="s">
        <v>1135</v>
      </c>
      <c r="D569" s="11">
        <v>45665</v>
      </c>
      <c r="E569" t="s">
        <v>16</v>
      </c>
      <c r="F569" t="s">
        <v>85</v>
      </c>
      <c r="G569">
        <v>805076</v>
      </c>
      <c r="H569">
        <v>4511572764</v>
      </c>
      <c r="I569">
        <v>10</v>
      </c>
      <c r="J569" s="29">
        <v>1</v>
      </c>
      <c r="K569" s="29" t="s">
        <v>1047</v>
      </c>
      <c r="L569" t="str">
        <f>IFERROR(VLOOKUP(Detalle_OC[[#This Row],[Centro]]&amp;Detalle_OC[[#This Row],[Nro Almacen]],Almacen!A:D,4,FALSE),"")</f>
        <v>Montelima</v>
      </c>
    </row>
    <row r="570" spans="1:12" x14ac:dyDescent="0.3">
      <c r="A570" s="29" t="str">
        <f>Detalle_OC[[#This Row],[Centro]]&amp;Detalle_OC[[#This Row],[Nom Almacen]]&amp;Detalle_OC[[#This Row],[Material]]&amp;Detalle_OC[[#This Row],[Pedido]]&amp;Detalle_OC[[#This Row],[Posicion]]</f>
        <v>Bioenergía del Chira PlantaMontelima70016153451157276710</v>
      </c>
      <c r="B570" t="s">
        <v>180</v>
      </c>
      <c r="C570" t="s">
        <v>195</v>
      </c>
      <c r="D570" s="11">
        <v>45667</v>
      </c>
      <c r="E570" t="s">
        <v>16</v>
      </c>
      <c r="F570" t="s">
        <v>86</v>
      </c>
      <c r="G570">
        <v>70016153</v>
      </c>
      <c r="H570">
        <v>4511572767</v>
      </c>
      <c r="I570">
        <v>10</v>
      </c>
      <c r="J570" s="29">
        <v>1</v>
      </c>
      <c r="K570" s="29" t="s">
        <v>1047</v>
      </c>
      <c r="L570" t="str">
        <f>IFERROR(VLOOKUP(Detalle_OC[[#This Row],[Centro]]&amp;Detalle_OC[[#This Row],[Nro Almacen]],Almacen!A:D,4,FALSE),"")</f>
        <v>Montelima</v>
      </c>
    </row>
    <row r="571" spans="1:12" x14ac:dyDescent="0.3">
      <c r="A571" s="29" t="str">
        <f>Detalle_OC[[#This Row],[Centro]]&amp;Detalle_OC[[#This Row],[Nom Almacen]]&amp;Detalle_OC[[#This Row],[Material]]&amp;Detalle_OC[[#This Row],[Pedido]]&amp;Detalle_OC[[#This Row],[Posicion]]</f>
        <v>Sucroalcolera del Chira PlantaMontelima70019159451157277010</v>
      </c>
      <c r="B571" t="s">
        <v>138</v>
      </c>
      <c r="C571" t="s">
        <v>293</v>
      </c>
      <c r="D571" s="11">
        <v>45657</v>
      </c>
      <c r="E571" t="s">
        <v>16</v>
      </c>
      <c r="F571" t="s">
        <v>85</v>
      </c>
      <c r="G571">
        <v>70019159</v>
      </c>
      <c r="H571">
        <v>4511572770</v>
      </c>
      <c r="I571">
        <v>10</v>
      </c>
      <c r="J571" s="29">
        <v>1</v>
      </c>
      <c r="K571" s="29" t="s">
        <v>1047</v>
      </c>
      <c r="L571" t="str">
        <f>IFERROR(VLOOKUP(Detalle_OC[[#This Row],[Centro]]&amp;Detalle_OC[[#This Row],[Nro Almacen]],Almacen!A:D,4,FALSE),"")</f>
        <v>Montelima</v>
      </c>
    </row>
    <row r="572" spans="1:12" x14ac:dyDescent="0.3">
      <c r="A572" s="29" t="str">
        <f>Detalle_OC[[#This Row],[Centro]]&amp;Detalle_OC[[#This Row],[Nom Almacen]]&amp;Detalle_OC[[#This Row],[Material]]&amp;Detalle_OC[[#This Row],[Pedido]]&amp;Detalle_OC[[#This Row],[Posicion]]</f>
        <v>Agricola del Chira PlantaMontelima813002451157277110</v>
      </c>
      <c r="B572" t="s">
        <v>149</v>
      </c>
      <c r="C572" t="s">
        <v>166</v>
      </c>
      <c r="D572" s="11">
        <v>45667</v>
      </c>
      <c r="E572" t="s">
        <v>16</v>
      </c>
      <c r="F572" t="s">
        <v>12</v>
      </c>
      <c r="G572">
        <v>813002</v>
      </c>
      <c r="H572">
        <v>4511572771</v>
      </c>
      <c r="I572">
        <v>10</v>
      </c>
      <c r="J572" s="29">
        <v>1</v>
      </c>
      <c r="K572" s="29" t="s">
        <v>1047</v>
      </c>
      <c r="L572" t="str">
        <f>IFERROR(VLOOKUP(Detalle_OC[[#This Row],[Centro]]&amp;Detalle_OC[[#This Row],[Nro Almacen]],Almacen!A:D,4,FALSE),"")</f>
        <v>Montelima</v>
      </c>
    </row>
    <row r="573" spans="1:12" x14ac:dyDescent="0.3">
      <c r="A573" s="29" t="str">
        <f>Detalle_OC[[#This Row],[Centro]]&amp;Detalle_OC[[#This Row],[Nom Almacen]]&amp;Detalle_OC[[#This Row],[Material]]&amp;Detalle_OC[[#This Row],[Pedido]]&amp;Detalle_OC[[#This Row],[Posicion]]</f>
        <v>Agricola del Chira PlantaMontelima70008639451157277120</v>
      </c>
      <c r="B573" t="s">
        <v>188</v>
      </c>
      <c r="C573" t="s">
        <v>166</v>
      </c>
      <c r="D573" s="11">
        <v>45667</v>
      </c>
      <c r="E573" t="s">
        <v>16</v>
      </c>
      <c r="F573" t="s">
        <v>12</v>
      </c>
      <c r="G573">
        <v>70008639</v>
      </c>
      <c r="H573">
        <v>4511572771</v>
      </c>
      <c r="I573">
        <v>20</v>
      </c>
      <c r="J573" s="29">
        <v>1</v>
      </c>
      <c r="K573" s="29" t="s">
        <v>1047</v>
      </c>
      <c r="L573" t="str">
        <f>IFERROR(VLOOKUP(Detalle_OC[[#This Row],[Centro]]&amp;Detalle_OC[[#This Row],[Nro Almacen]],Almacen!A:D,4,FALSE),"")</f>
        <v>Montelima</v>
      </c>
    </row>
    <row r="574" spans="1:12" x14ac:dyDescent="0.3">
      <c r="A574" s="29" t="str">
        <f>Detalle_OC[[#This Row],[Centro]]&amp;Detalle_OC[[#This Row],[Nom Almacen]]&amp;Detalle_OC[[#This Row],[Material]]&amp;Detalle_OC[[#This Row],[Pedido]]&amp;Detalle_OC[[#This Row],[Posicion]]</f>
        <v>Agricola del Chira PlantaMontelima841942451157277130</v>
      </c>
      <c r="B574" t="s">
        <v>149</v>
      </c>
      <c r="C574" t="s">
        <v>166</v>
      </c>
      <c r="D574" s="11">
        <v>45667</v>
      </c>
      <c r="E574" t="s">
        <v>16</v>
      </c>
      <c r="F574" t="s">
        <v>12</v>
      </c>
      <c r="G574">
        <v>841942</v>
      </c>
      <c r="H574">
        <v>4511572771</v>
      </c>
      <c r="I574">
        <v>30</v>
      </c>
      <c r="J574" s="29">
        <v>1</v>
      </c>
      <c r="K574" s="29" t="s">
        <v>1047</v>
      </c>
      <c r="L574" t="str">
        <f>IFERROR(VLOOKUP(Detalle_OC[[#This Row],[Centro]]&amp;Detalle_OC[[#This Row],[Nro Almacen]],Almacen!A:D,4,FALSE),"")</f>
        <v>Montelima</v>
      </c>
    </row>
    <row r="575" spans="1:12" x14ac:dyDescent="0.3">
      <c r="A575" s="29" t="str">
        <f>Detalle_OC[[#This Row],[Centro]]&amp;Detalle_OC[[#This Row],[Nom Almacen]]&amp;Detalle_OC[[#This Row],[Material]]&amp;Detalle_OC[[#This Row],[Pedido]]&amp;Detalle_OC[[#This Row],[Posicion]]</f>
        <v>Agricola del Chira PlantaMontelima844631451157277140</v>
      </c>
      <c r="B575" t="s">
        <v>149</v>
      </c>
      <c r="C575" t="s">
        <v>166</v>
      </c>
      <c r="D575" s="11">
        <v>45667</v>
      </c>
      <c r="E575" t="s">
        <v>16</v>
      </c>
      <c r="F575" t="s">
        <v>12</v>
      </c>
      <c r="G575">
        <v>844631</v>
      </c>
      <c r="H575">
        <v>4511572771</v>
      </c>
      <c r="I575">
        <v>40</v>
      </c>
      <c r="J575" s="29">
        <v>1</v>
      </c>
      <c r="K575" s="29" t="s">
        <v>1047</v>
      </c>
      <c r="L575" t="str">
        <f>IFERROR(VLOOKUP(Detalle_OC[[#This Row],[Centro]]&amp;Detalle_OC[[#This Row],[Nro Almacen]],Almacen!A:D,4,FALSE),"")</f>
        <v>Montelima</v>
      </c>
    </row>
    <row r="576" spans="1:12" x14ac:dyDescent="0.3">
      <c r="A576" s="29" t="str">
        <f>Detalle_OC[[#This Row],[Centro]]&amp;Detalle_OC[[#This Row],[Nom Almacen]]&amp;Detalle_OC[[#This Row],[Material]]&amp;Detalle_OC[[#This Row],[Pedido]]&amp;Detalle_OC[[#This Row],[Posicion]]</f>
        <v>Agricola del Chira PlantaMontelima871813451157277150</v>
      </c>
      <c r="B576" t="s">
        <v>149</v>
      </c>
      <c r="C576" t="s">
        <v>166</v>
      </c>
      <c r="D576" s="11">
        <v>45667</v>
      </c>
      <c r="E576" t="s">
        <v>16</v>
      </c>
      <c r="F576" t="s">
        <v>12</v>
      </c>
      <c r="G576">
        <v>871813</v>
      </c>
      <c r="H576">
        <v>4511572771</v>
      </c>
      <c r="I576">
        <v>50</v>
      </c>
      <c r="J576" s="29">
        <v>1</v>
      </c>
      <c r="K576" s="29" t="s">
        <v>1047</v>
      </c>
      <c r="L576" t="str">
        <f>IFERROR(VLOOKUP(Detalle_OC[[#This Row],[Centro]]&amp;Detalle_OC[[#This Row],[Nro Almacen]],Almacen!A:D,4,FALSE),"")</f>
        <v>Montelima</v>
      </c>
    </row>
    <row r="577" spans="1:12" x14ac:dyDescent="0.3">
      <c r="A577" s="29" t="str">
        <f>Detalle_OC[[#This Row],[Centro]]&amp;Detalle_OC[[#This Row],[Nom Almacen]]&amp;Detalle_OC[[#This Row],[Material]]&amp;Detalle_OC[[#This Row],[Pedido]]&amp;Detalle_OC[[#This Row],[Posicion]]</f>
        <v>Agricola del Chira PlantaMontelima877365451157277160</v>
      </c>
      <c r="B577" t="s">
        <v>149</v>
      </c>
      <c r="C577" t="s">
        <v>166</v>
      </c>
      <c r="D577" s="11">
        <v>45667</v>
      </c>
      <c r="E577" t="s">
        <v>16</v>
      </c>
      <c r="F577" t="s">
        <v>12</v>
      </c>
      <c r="G577">
        <v>877365</v>
      </c>
      <c r="H577">
        <v>4511572771</v>
      </c>
      <c r="I577">
        <v>60</v>
      </c>
      <c r="J577" s="29">
        <v>1</v>
      </c>
      <c r="K577" s="29" t="s">
        <v>1047</v>
      </c>
      <c r="L577" t="str">
        <f>IFERROR(VLOOKUP(Detalle_OC[[#This Row],[Centro]]&amp;Detalle_OC[[#This Row],[Nro Almacen]],Almacen!A:D,4,FALSE),"")</f>
        <v>Montelima</v>
      </c>
    </row>
    <row r="578" spans="1:12" x14ac:dyDescent="0.3">
      <c r="A578" s="29" t="str">
        <f>Detalle_OC[[#This Row],[Centro]]&amp;Detalle_OC[[#This Row],[Nom Almacen]]&amp;Detalle_OC[[#This Row],[Material]]&amp;Detalle_OC[[#This Row],[Pedido]]&amp;Detalle_OC[[#This Row],[Posicion]]</f>
        <v>Agricola del Chira PlantaMontelima70009816451157277170</v>
      </c>
      <c r="B578" t="s">
        <v>149</v>
      </c>
      <c r="C578" t="s">
        <v>166</v>
      </c>
      <c r="D578" s="11">
        <v>45667</v>
      </c>
      <c r="E578" t="s">
        <v>16</v>
      </c>
      <c r="F578" t="s">
        <v>12</v>
      </c>
      <c r="G578">
        <v>70009816</v>
      </c>
      <c r="H578">
        <v>4511572771</v>
      </c>
      <c r="I578">
        <v>70</v>
      </c>
      <c r="J578" s="29">
        <v>1</v>
      </c>
      <c r="K578" s="29" t="s">
        <v>1047</v>
      </c>
      <c r="L578" t="str">
        <f>IFERROR(VLOOKUP(Detalle_OC[[#This Row],[Centro]]&amp;Detalle_OC[[#This Row],[Nro Almacen]],Almacen!A:D,4,FALSE),"")</f>
        <v>Montelima</v>
      </c>
    </row>
    <row r="579" spans="1:12" x14ac:dyDescent="0.3">
      <c r="A579" s="29" t="str">
        <f>Detalle_OC[[#This Row],[Centro]]&amp;Detalle_OC[[#This Row],[Nom Almacen]]&amp;Detalle_OC[[#This Row],[Material]]&amp;Detalle_OC[[#This Row],[Pedido]]&amp;Detalle_OC[[#This Row],[Posicion]]</f>
        <v>Agricola del Chira PlantaMontelima70011060451157277180</v>
      </c>
      <c r="B579" t="s">
        <v>149</v>
      </c>
      <c r="C579" t="s">
        <v>166</v>
      </c>
      <c r="D579" s="11">
        <v>45667</v>
      </c>
      <c r="E579" t="s">
        <v>16</v>
      </c>
      <c r="F579" t="s">
        <v>12</v>
      </c>
      <c r="G579">
        <v>70011060</v>
      </c>
      <c r="H579">
        <v>4511572771</v>
      </c>
      <c r="I579">
        <v>80</v>
      </c>
      <c r="J579" s="29">
        <v>1</v>
      </c>
      <c r="K579" s="29" t="s">
        <v>1047</v>
      </c>
      <c r="L579" t="str">
        <f>IFERROR(VLOOKUP(Detalle_OC[[#This Row],[Centro]]&amp;Detalle_OC[[#This Row],[Nro Almacen]],Almacen!A:D,4,FALSE),"")</f>
        <v>Montelima</v>
      </c>
    </row>
    <row r="580" spans="1:12" x14ac:dyDescent="0.3">
      <c r="A580" s="29" t="str">
        <f>Detalle_OC[[#This Row],[Centro]]&amp;Detalle_OC[[#This Row],[Nom Almacen]]&amp;Detalle_OC[[#This Row],[Material]]&amp;Detalle_OC[[#This Row],[Pedido]]&amp;Detalle_OC[[#This Row],[Posicion]]</f>
        <v>Agricola del Chira PlantaMontelima70011060451157277190</v>
      </c>
      <c r="B580" t="s">
        <v>149</v>
      </c>
      <c r="C580" t="s">
        <v>166</v>
      </c>
      <c r="D580" s="11">
        <v>45667</v>
      </c>
      <c r="E580" t="s">
        <v>16</v>
      </c>
      <c r="F580" t="s">
        <v>12</v>
      </c>
      <c r="G580">
        <v>70011060</v>
      </c>
      <c r="H580">
        <v>4511572771</v>
      </c>
      <c r="I580">
        <v>90</v>
      </c>
      <c r="J580" s="29">
        <v>1</v>
      </c>
      <c r="K580" s="29" t="s">
        <v>1047</v>
      </c>
      <c r="L580" t="str">
        <f>IFERROR(VLOOKUP(Detalle_OC[[#This Row],[Centro]]&amp;Detalle_OC[[#This Row],[Nro Almacen]],Almacen!A:D,4,FALSE),"")</f>
        <v>Montelima</v>
      </c>
    </row>
    <row r="581" spans="1:12" x14ac:dyDescent="0.3">
      <c r="A581" s="29" t="str">
        <f>Detalle_OC[[#This Row],[Centro]]&amp;Detalle_OC[[#This Row],[Nom Almacen]]&amp;Detalle_OC[[#This Row],[Material]]&amp;Detalle_OC[[#This Row],[Pedido]]&amp;Detalle_OC[[#This Row],[Posicion]]</f>
        <v>Agricola del Chira PlantaMontelima700113694511572771100</v>
      </c>
      <c r="B581" t="s">
        <v>149</v>
      </c>
      <c r="C581" t="s">
        <v>166</v>
      </c>
      <c r="D581" s="11">
        <v>45667</v>
      </c>
      <c r="E581" t="s">
        <v>16</v>
      </c>
      <c r="F581" t="s">
        <v>12</v>
      </c>
      <c r="G581">
        <v>70011369</v>
      </c>
      <c r="H581">
        <v>4511572771</v>
      </c>
      <c r="I581">
        <v>100</v>
      </c>
      <c r="J581" s="29">
        <v>1</v>
      </c>
      <c r="K581" s="29" t="s">
        <v>1047</v>
      </c>
      <c r="L581" t="str">
        <f>IFERROR(VLOOKUP(Detalle_OC[[#This Row],[Centro]]&amp;Detalle_OC[[#This Row],[Nro Almacen]],Almacen!A:D,4,FALSE),"")</f>
        <v>Montelima</v>
      </c>
    </row>
    <row r="582" spans="1:12" x14ac:dyDescent="0.3">
      <c r="A582" s="29" t="str">
        <f>Detalle_OC[[#This Row],[Centro]]&amp;Detalle_OC[[#This Row],[Nom Almacen]]&amp;Detalle_OC[[#This Row],[Material]]&amp;Detalle_OC[[#This Row],[Pedido]]&amp;Detalle_OC[[#This Row],[Posicion]]</f>
        <v>Agricola del Chira PlantaMontelima700127074511572771110</v>
      </c>
      <c r="B582" t="s">
        <v>149</v>
      </c>
      <c r="C582" t="s">
        <v>166</v>
      </c>
      <c r="D582" s="11">
        <v>45667</v>
      </c>
      <c r="E582" t="s">
        <v>16</v>
      </c>
      <c r="F582" t="s">
        <v>12</v>
      </c>
      <c r="G582">
        <v>70012707</v>
      </c>
      <c r="H582">
        <v>4511572771</v>
      </c>
      <c r="I582">
        <v>110</v>
      </c>
      <c r="J582" s="29">
        <v>1</v>
      </c>
      <c r="K582" s="29" t="s">
        <v>1047</v>
      </c>
      <c r="L582" t="str">
        <f>IFERROR(VLOOKUP(Detalle_OC[[#This Row],[Centro]]&amp;Detalle_OC[[#This Row],[Nro Almacen]],Almacen!A:D,4,FALSE),"")</f>
        <v>Montelima</v>
      </c>
    </row>
    <row r="583" spans="1:12" x14ac:dyDescent="0.3">
      <c r="A583" s="29" t="str">
        <f>Detalle_OC[[#This Row],[Centro]]&amp;Detalle_OC[[#This Row],[Nom Almacen]]&amp;Detalle_OC[[#This Row],[Material]]&amp;Detalle_OC[[#This Row],[Pedido]]&amp;Detalle_OC[[#This Row],[Posicion]]</f>
        <v>Agricola del Chira PlantaMontelima700142824511572771120</v>
      </c>
      <c r="B583" t="s">
        <v>149</v>
      </c>
      <c r="C583" t="s">
        <v>166</v>
      </c>
      <c r="D583" s="11">
        <v>45667</v>
      </c>
      <c r="E583" t="s">
        <v>16</v>
      </c>
      <c r="F583" t="s">
        <v>12</v>
      </c>
      <c r="G583">
        <v>70014282</v>
      </c>
      <c r="H583">
        <v>4511572771</v>
      </c>
      <c r="I583">
        <v>120</v>
      </c>
      <c r="J583" s="29">
        <v>1</v>
      </c>
      <c r="K583" s="29" t="s">
        <v>1047</v>
      </c>
      <c r="L583" t="str">
        <f>IFERROR(VLOOKUP(Detalle_OC[[#This Row],[Centro]]&amp;Detalle_OC[[#This Row],[Nro Almacen]],Almacen!A:D,4,FALSE),"")</f>
        <v>Montelima</v>
      </c>
    </row>
    <row r="584" spans="1:12" x14ac:dyDescent="0.3">
      <c r="A584" s="29" t="str">
        <f>Detalle_OC[[#This Row],[Centro]]&amp;Detalle_OC[[#This Row],[Nom Almacen]]&amp;Detalle_OC[[#This Row],[Material]]&amp;Detalle_OC[[#This Row],[Pedido]]&amp;Detalle_OC[[#This Row],[Posicion]]</f>
        <v>Agricola del Chira PlantaMontelima700262084511572771130</v>
      </c>
      <c r="B584" t="s">
        <v>149</v>
      </c>
      <c r="C584" t="s">
        <v>166</v>
      </c>
      <c r="D584" s="11">
        <v>45667</v>
      </c>
      <c r="E584" t="s">
        <v>16</v>
      </c>
      <c r="F584" t="s">
        <v>12</v>
      </c>
      <c r="G584">
        <v>70026208</v>
      </c>
      <c r="H584">
        <v>4511572771</v>
      </c>
      <c r="I584">
        <v>130</v>
      </c>
      <c r="J584" s="29">
        <v>1</v>
      </c>
      <c r="K584" s="29" t="s">
        <v>1047</v>
      </c>
      <c r="L584" t="str">
        <f>IFERROR(VLOOKUP(Detalle_OC[[#This Row],[Centro]]&amp;Detalle_OC[[#This Row],[Nro Almacen]],Almacen!A:D,4,FALSE),"")</f>
        <v>Montelima</v>
      </c>
    </row>
    <row r="585" spans="1:12" x14ac:dyDescent="0.3">
      <c r="A585" s="29" t="str">
        <f>Detalle_OC[[#This Row],[Centro]]&amp;Detalle_OC[[#This Row],[Nom Almacen]]&amp;Detalle_OC[[#This Row],[Material]]&amp;Detalle_OC[[#This Row],[Pedido]]&amp;Detalle_OC[[#This Row],[Posicion]]</f>
        <v>Agricola del Chira PlantaMontelima700468734511572771140</v>
      </c>
      <c r="B585" t="s">
        <v>149</v>
      </c>
      <c r="C585" t="s">
        <v>166</v>
      </c>
      <c r="D585" s="11">
        <v>45667</v>
      </c>
      <c r="E585" t="s">
        <v>16</v>
      </c>
      <c r="F585" t="s">
        <v>12</v>
      </c>
      <c r="G585">
        <v>70046873</v>
      </c>
      <c r="H585">
        <v>4511572771</v>
      </c>
      <c r="I585">
        <v>140</v>
      </c>
      <c r="J585" s="29">
        <v>1</v>
      </c>
      <c r="K585" s="29" t="s">
        <v>1047</v>
      </c>
      <c r="L585" t="str">
        <f>IFERROR(VLOOKUP(Detalle_OC[[#This Row],[Centro]]&amp;Detalle_OC[[#This Row],[Nro Almacen]],Almacen!A:D,4,FALSE),"")</f>
        <v>Montelima</v>
      </c>
    </row>
    <row r="586" spans="1:12" x14ac:dyDescent="0.3">
      <c r="A586" s="29" t="str">
        <f>Detalle_OC[[#This Row],[Centro]]&amp;Detalle_OC[[#This Row],[Nom Almacen]]&amp;Detalle_OC[[#This Row],[Material]]&amp;Detalle_OC[[#This Row],[Pedido]]&amp;Detalle_OC[[#This Row],[Posicion]]</f>
        <v>Agricola del Chira PlantaMontelima70135577451157277910</v>
      </c>
      <c r="B586" t="s">
        <v>185</v>
      </c>
      <c r="C586" t="s">
        <v>160</v>
      </c>
      <c r="D586" s="11">
        <v>45657</v>
      </c>
      <c r="E586" t="s">
        <v>16</v>
      </c>
      <c r="F586" t="s">
        <v>12</v>
      </c>
      <c r="G586">
        <v>70135577</v>
      </c>
      <c r="H586">
        <v>4511572779</v>
      </c>
      <c r="I586">
        <v>10</v>
      </c>
      <c r="J586" s="29">
        <v>1</v>
      </c>
      <c r="K586" s="29" t="s">
        <v>1047</v>
      </c>
      <c r="L586" t="str">
        <f>IFERROR(VLOOKUP(Detalle_OC[[#This Row],[Centro]]&amp;Detalle_OC[[#This Row],[Nro Almacen]],Almacen!A:D,4,FALSE),"")</f>
        <v>Montelima</v>
      </c>
    </row>
    <row r="587" spans="1:12" x14ac:dyDescent="0.3">
      <c r="A587" s="29" t="str">
        <f>Detalle_OC[[#This Row],[Centro]]&amp;Detalle_OC[[#This Row],[Nom Almacen]]&amp;Detalle_OC[[#This Row],[Material]]&amp;Detalle_OC[[#This Row],[Pedido]]&amp;Detalle_OC[[#This Row],[Posicion]]</f>
        <v>Agricola del Chira PlantaMontelima750557451157278410</v>
      </c>
      <c r="B587" t="s">
        <v>149</v>
      </c>
      <c r="C587" t="s">
        <v>32</v>
      </c>
      <c r="D587" s="11">
        <v>45657</v>
      </c>
      <c r="E587" t="s">
        <v>16</v>
      </c>
      <c r="F587" t="s">
        <v>12</v>
      </c>
      <c r="G587">
        <v>750557</v>
      </c>
      <c r="H587">
        <v>4511572784</v>
      </c>
      <c r="I587">
        <v>10</v>
      </c>
      <c r="J587" s="29">
        <v>1</v>
      </c>
      <c r="K587" s="29" t="s">
        <v>1047</v>
      </c>
      <c r="L587" t="str">
        <f>IFERROR(VLOOKUP(Detalle_OC[[#This Row],[Centro]]&amp;Detalle_OC[[#This Row],[Nro Almacen]],Almacen!A:D,4,FALSE),"")</f>
        <v>Montelima</v>
      </c>
    </row>
    <row r="588" spans="1:12" x14ac:dyDescent="0.3">
      <c r="A588" s="29" t="str">
        <f>Detalle_OC[[#This Row],[Centro]]&amp;Detalle_OC[[#This Row],[Nom Almacen]]&amp;Detalle_OC[[#This Row],[Material]]&amp;Detalle_OC[[#This Row],[Pedido]]&amp;Detalle_OC[[#This Row],[Posicion]]</f>
        <v>Agricola del Chira PlantaMontelima70098483451157278910</v>
      </c>
      <c r="B588" t="s">
        <v>145</v>
      </c>
      <c r="C588" t="s">
        <v>146</v>
      </c>
      <c r="D588" s="11">
        <v>45667</v>
      </c>
      <c r="E588" t="s">
        <v>16</v>
      </c>
      <c r="F588" t="s">
        <v>12</v>
      </c>
      <c r="G588">
        <v>70098483</v>
      </c>
      <c r="H588">
        <v>4511572789</v>
      </c>
      <c r="I588">
        <v>10</v>
      </c>
      <c r="J588" s="29">
        <v>1</v>
      </c>
      <c r="K588" s="29" t="s">
        <v>1047</v>
      </c>
      <c r="L588" t="str">
        <f>IFERROR(VLOOKUP(Detalle_OC[[#This Row],[Centro]]&amp;Detalle_OC[[#This Row],[Nro Almacen]],Almacen!A:D,4,FALSE),"")</f>
        <v>Montelima</v>
      </c>
    </row>
    <row r="589" spans="1:12" x14ac:dyDescent="0.3">
      <c r="A589" s="29" t="str">
        <f>Detalle_OC[[#This Row],[Centro]]&amp;Detalle_OC[[#This Row],[Nom Almacen]]&amp;Detalle_OC[[#This Row],[Material]]&amp;Detalle_OC[[#This Row],[Pedido]]&amp;Detalle_OC[[#This Row],[Posicion]]</f>
        <v>Agricola del Chira PlantaMontelima70095819451157278920</v>
      </c>
      <c r="B589" t="s">
        <v>145</v>
      </c>
      <c r="C589" t="s">
        <v>146</v>
      </c>
      <c r="D589" s="11">
        <v>45667</v>
      </c>
      <c r="E589" t="s">
        <v>16</v>
      </c>
      <c r="F589" t="s">
        <v>12</v>
      </c>
      <c r="G589">
        <v>70095819</v>
      </c>
      <c r="H589">
        <v>4511572789</v>
      </c>
      <c r="I589">
        <v>20</v>
      </c>
      <c r="J589" s="29">
        <v>1</v>
      </c>
      <c r="K589" s="29" t="s">
        <v>1047</v>
      </c>
      <c r="L589" t="str">
        <f>IFERROR(VLOOKUP(Detalle_OC[[#This Row],[Centro]]&amp;Detalle_OC[[#This Row],[Nro Almacen]],Almacen!A:D,4,FALSE),"")</f>
        <v>Montelima</v>
      </c>
    </row>
    <row r="590" spans="1:12" x14ac:dyDescent="0.3">
      <c r="A590" s="29" t="str">
        <f>Detalle_OC[[#This Row],[Centro]]&amp;Detalle_OC[[#This Row],[Nom Almacen]]&amp;Detalle_OC[[#This Row],[Material]]&amp;Detalle_OC[[#This Row],[Pedido]]&amp;Detalle_OC[[#This Row],[Posicion]]</f>
        <v>Sucroalcolera del Chira PlantaMontelima756875451157279010</v>
      </c>
      <c r="B590" t="s">
        <v>191</v>
      </c>
      <c r="C590" t="s">
        <v>313</v>
      </c>
      <c r="D590" s="11">
        <v>45657</v>
      </c>
      <c r="E590" t="s">
        <v>16</v>
      </c>
      <c r="F590" t="s">
        <v>85</v>
      </c>
      <c r="G590">
        <v>756875</v>
      </c>
      <c r="H590">
        <v>4511572790</v>
      </c>
      <c r="I590">
        <v>10</v>
      </c>
      <c r="J590" s="29">
        <v>1</v>
      </c>
      <c r="K590" s="29" t="s">
        <v>1047</v>
      </c>
      <c r="L590" t="str">
        <f>IFERROR(VLOOKUP(Detalle_OC[[#This Row],[Centro]]&amp;Detalle_OC[[#This Row],[Nro Almacen]],Almacen!A:D,4,FALSE),"")</f>
        <v>Montelima</v>
      </c>
    </row>
    <row r="591" spans="1:12" x14ac:dyDescent="0.3">
      <c r="A591" s="29" t="str">
        <f>Detalle_OC[[#This Row],[Centro]]&amp;Detalle_OC[[#This Row],[Nom Almacen]]&amp;Detalle_OC[[#This Row],[Material]]&amp;Detalle_OC[[#This Row],[Pedido]]&amp;Detalle_OC[[#This Row],[Posicion]]</f>
        <v>Agricola del Chira PlantaMontelima844490451157280020</v>
      </c>
      <c r="B591" t="s">
        <v>149</v>
      </c>
      <c r="C591" t="s">
        <v>255</v>
      </c>
      <c r="D591" s="11">
        <v>45667</v>
      </c>
      <c r="E591" t="s">
        <v>16</v>
      </c>
      <c r="F591" t="s">
        <v>12</v>
      </c>
      <c r="G591">
        <v>844490</v>
      </c>
      <c r="H591">
        <v>4511572800</v>
      </c>
      <c r="I591">
        <v>20</v>
      </c>
      <c r="J591" s="29">
        <v>1</v>
      </c>
      <c r="K591" s="29" t="s">
        <v>1047</v>
      </c>
      <c r="L591" t="str">
        <f>IFERROR(VLOOKUP(Detalle_OC[[#This Row],[Centro]]&amp;Detalle_OC[[#This Row],[Nro Almacen]],Almacen!A:D,4,FALSE),"")</f>
        <v>Montelima</v>
      </c>
    </row>
    <row r="592" spans="1:12" x14ac:dyDescent="0.3">
      <c r="A592" s="29" t="str">
        <f>Detalle_OC[[#This Row],[Centro]]&amp;Detalle_OC[[#This Row],[Nom Almacen]]&amp;Detalle_OC[[#This Row],[Material]]&amp;Detalle_OC[[#This Row],[Pedido]]&amp;Detalle_OC[[#This Row],[Posicion]]</f>
        <v>Sucroalcolera del Chira PlantaMontelima811085451157280810</v>
      </c>
      <c r="B592" t="s">
        <v>138</v>
      </c>
      <c r="C592" t="s">
        <v>1136</v>
      </c>
      <c r="D592" s="11">
        <v>45674</v>
      </c>
      <c r="E592" t="s">
        <v>16</v>
      </c>
      <c r="F592" t="s">
        <v>85</v>
      </c>
      <c r="G592">
        <v>811085</v>
      </c>
      <c r="H592">
        <v>4511572808</v>
      </c>
      <c r="I592">
        <v>10</v>
      </c>
      <c r="J592" s="29">
        <v>1</v>
      </c>
      <c r="K592" s="29" t="s">
        <v>1047</v>
      </c>
      <c r="L592" t="str">
        <f>IFERROR(VLOOKUP(Detalle_OC[[#This Row],[Centro]]&amp;Detalle_OC[[#This Row],[Nro Almacen]],Almacen!A:D,4,FALSE),"")</f>
        <v>Montelima</v>
      </c>
    </row>
    <row r="593" spans="1:12" x14ac:dyDescent="0.3">
      <c r="A593" s="29" t="str">
        <f>Detalle_OC[[#This Row],[Centro]]&amp;Detalle_OC[[#This Row],[Nom Almacen]]&amp;Detalle_OC[[#This Row],[Material]]&amp;Detalle_OC[[#This Row],[Pedido]]&amp;Detalle_OC[[#This Row],[Posicion]]</f>
        <v>Sucroalcolera del Chira PlantaMontelima811085451157280820</v>
      </c>
      <c r="B593" t="s">
        <v>138</v>
      </c>
      <c r="C593" t="s">
        <v>1136</v>
      </c>
      <c r="D593" s="11">
        <v>45674</v>
      </c>
      <c r="E593" t="s">
        <v>16</v>
      </c>
      <c r="F593" t="s">
        <v>85</v>
      </c>
      <c r="G593">
        <v>811085</v>
      </c>
      <c r="H593">
        <v>4511572808</v>
      </c>
      <c r="I593">
        <v>20</v>
      </c>
      <c r="J593" s="29">
        <v>1</v>
      </c>
      <c r="K593" s="29" t="s">
        <v>1047</v>
      </c>
      <c r="L593" t="str">
        <f>IFERROR(VLOOKUP(Detalle_OC[[#This Row],[Centro]]&amp;Detalle_OC[[#This Row],[Nro Almacen]],Almacen!A:D,4,FALSE),"")</f>
        <v>Montelima</v>
      </c>
    </row>
    <row r="594" spans="1:12" x14ac:dyDescent="0.3">
      <c r="A594" s="29" t="str">
        <f>Detalle_OC[[#This Row],[Centro]]&amp;Detalle_OC[[#This Row],[Nom Almacen]]&amp;Detalle_OC[[#This Row],[Material]]&amp;Detalle_OC[[#This Row],[Pedido]]&amp;Detalle_OC[[#This Row],[Posicion]]</f>
        <v>Bioenergía del Chira PlantaMontelima70085505451157281910</v>
      </c>
      <c r="B594" t="s">
        <v>180</v>
      </c>
      <c r="C594" t="s">
        <v>1137</v>
      </c>
      <c r="D594" s="11">
        <v>45670</v>
      </c>
      <c r="E594" t="s">
        <v>16</v>
      </c>
      <c r="F594" t="s">
        <v>86</v>
      </c>
      <c r="G594">
        <v>70085505</v>
      </c>
      <c r="H594">
        <v>4511572819</v>
      </c>
      <c r="I594">
        <v>10</v>
      </c>
      <c r="J594" s="29">
        <v>1</v>
      </c>
      <c r="K594" s="29" t="s">
        <v>1047</v>
      </c>
      <c r="L594" t="str">
        <f>IFERROR(VLOOKUP(Detalle_OC[[#This Row],[Centro]]&amp;Detalle_OC[[#This Row],[Nro Almacen]],Almacen!A:D,4,FALSE),"")</f>
        <v>Montelima</v>
      </c>
    </row>
    <row r="595" spans="1:12" x14ac:dyDescent="0.3">
      <c r="A595" s="29" t="str">
        <f>Detalle_OC[[#This Row],[Centro]]&amp;Detalle_OC[[#This Row],[Nom Almacen]]&amp;Detalle_OC[[#This Row],[Material]]&amp;Detalle_OC[[#This Row],[Pedido]]&amp;Detalle_OC[[#This Row],[Posicion]]</f>
        <v>Sucroalcolera del Chira PlantaMontelima70032973451157283010</v>
      </c>
      <c r="B595" t="s">
        <v>138</v>
      </c>
      <c r="C595" t="s">
        <v>49</v>
      </c>
      <c r="D595" s="11">
        <v>45672</v>
      </c>
      <c r="E595" t="s">
        <v>16</v>
      </c>
      <c r="F595" t="s">
        <v>85</v>
      </c>
      <c r="G595">
        <v>70032973</v>
      </c>
      <c r="H595">
        <v>4511572830</v>
      </c>
      <c r="I595">
        <v>10</v>
      </c>
      <c r="J595" s="29">
        <v>1</v>
      </c>
      <c r="K595" s="29" t="s">
        <v>1047</v>
      </c>
      <c r="L595" t="str">
        <f>IFERROR(VLOOKUP(Detalle_OC[[#This Row],[Centro]]&amp;Detalle_OC[[#This Row],[Nro Almacen]],Almacen!A:D,4,FALSE),"")</f>
        <v>Montelima</v>
      </c>
    </row>
    <row r="596" spans="1:12" x14ac:dyDescent="0.3">
      <c r="A596" s="29" t="str">
        <f>Detalle_OC[[#This Row],[Centro]]&amp;Detalle_OC[[#This Row],[Nom Almacen]]&amp;Detalle_OC[[#This Row],[Material]]&amp;Detalle_OC[[#This Row],[Pedido]]&amp;Detalle_OC[[#This Row],[Posicion]]</f>
        <v>Sucroalcolera del Chira PlantaMontelima893870451157283020</v>
      </c>
      <c r="B596" t="s">
        <v>138</v>
      </c>
      <c r="C596" t="s">
        <v>49</v>
      </c>
      <c r="D596" s="11">
        <v>45672</v>
      </c>
      <c r="E596" t="s">
        <v>16</v>
      </c>
      <c r="F596" t="s">
        <v>85</v>
      </c>
      <c r="G596">
        <v>893870</v>
      </c>
      <c r="H596">
        <v>4511572830</v>
      </c>
      <c r="I596">
        <v>20</v>
      </c>
      <c r="J596" s="29">
        <v>1</v>
      </c>
      <c r="K596" s="29" t="s">
        <v>1047</v>
      </c>
      <c r="L596" t="str">
        <f>IFERROR(VLOOKUP(Detalle_OC[[#This Row],[Centro]]&amp;Detalle_OC[[#This Row],[Nro Almacen]],Almacen!A:D,4,FALSE),"")</f>
        <v>Montelima</v>
      </c>
    </row>
    <row r="597" spans="1:12" x14ac:dyDescent="0.3">
      <c r="A597" s="29" t="str">
        <f>Detalle_OC[[#This Row],[Centro]]&amp;Detalle_OC[[#This Row],[Nom Almacen]]&amp;Detalle_OC[[#This Row],[Material]]&amp;Detalle_OC[[#This Row],[Pedido]]&amp;Detalle_OC[[#This Row],[Posicion]]</f>
        <v>Sucroalcolera del Chira PlantaMontelima70022246451157283030</v>
      </c>
      <c r="B597" t="s">
        <v>138</v>
      </c>
      <c r="C597" t="s">
        <v>49</v>
      </c>
      <c r="D597" s="11">
        <v>45672</v>
      </c>
      <c r="E597" t="s">
        <v>16</v>
      </c>
      <c r="F597" t="s">
        <v>85</v>
      </c>
      <c r="G597">
        <v>70022246</v>
      </c>
      <c r="H597">
        <v>4511572830</v>
      </c>
      <c r="I597">
        <v>30</v>
      </c>
      <c r="J597" s="29">
        <v>1</v>
      </c>
      <c r="K597" s="29" t="s">
        <v>1047</v>
      </c>
      <c r="L597" t="str">
        <f>IFERROR(VLOOKUP(Detalle_OC[[#This Row],[Centro]]&amp;Detalle_OC[[#This Row],[Nro Almacen]],Almacen!A:D,4,FALSE),"")</f>
        <v>Montelima</v>
      </c>
    </row>
    <row r="598" spans="1:12" x14ac:dyDescent="0.3">
      <c r="A598" s="29" t="str">
        <f>Detalle_OC[[#This Row],[Centro]]&amp;Detalle_OC[[#This Row],[Nom Almacen]]&amp;Detalle_OC[[#This Row],[Material]]&amp;Detalle_OC[[#This Row],[Pedido]]&amp;Detalle_OC[[#This Row],[Posicion]]</f>
        <v>Sucroalcolera del Chira PlantaMontelima70022247451157283040</v>
      </c>
      <c r="B598" t="s">
        <v>138</v>
      </c>
      <c r="C598" t="s">
        <v>49</v>
      </c>
      <c r="D598" s="11">
        <v>45672</v>
      </c>
      <c r="E598" t="s">
        <v>16</v>
      </c>
      <c r="F598" t="s">
        <v>85</v>
      </c>
      <c r="G598">
        <v>70022247</v>
      </c>
      <c r="H598">
        <v>4511572830</v>
      </c>
      <c r="I598">
        <v>40</v>
      </c>
      <c r="J598" s="29">
        <v>1</v>
      </c>
      <c r="K598" s="29" t="s">
        <v>1047</v>
      </c>
      <c r="L598" t="str">
        <f>IFERROR(VLOOKUP(Detalle_OC[[#This Row],[Centro]]&amp;Detalle_OC[[#This Row],[Nro Almacen]],Almacen!A:D,4,FALSE),"")</f>
        <v>Montelima</v>
      </c>
    </row>
    <row r="599" spans="1:12" x14ac:dyDescent="0.3">
      <c r="A599" s="29" t="str">
        <f>Detalle_OC[[#This Row],[Centro]]&amp;Detalle_OC[[#This Row],[Nom Almacen]]&amp;Detalle_OC[[#This Row],[Material]]&amp;Detalle_OC[[#This Row],[Pedido]]&amp;Detalle_OC[[#This Row],[Posicion]]</f>
        <v>Sucroalcolera del Chira PlantaMontelima867004451157283410</v>
      </c>
      <c r="B599" t="s">
        <v>138</v>
      </c>
      <c r="C599" t="s">
        <v>230</v>
      </c>
      <c r="D599" s="11">
        <v>45670</v>
      </c>
      <c r="E599" t="s">
        <v>16</v>
      </c>
      <c r="F599" t="s">
        <v>85</v>
      </c>
      <c r="G599">
        <v>867004</v>
      </c>
      <c r="H599">
        <v>4511572834</v>
      </c>
      <c r="I599">
        <v>10</v>
      </c>
      <c r="J599" s="29">
        <v>1</v>
      </c>
      <c r="K599" s="29" t="s">
        <v>1047</v>
      </c>
      <c r="L599" t="str">
        <f>IFERROR(VLOOKUP(Detalle_OC[[#This Row],[Centro]]&amp;Detalle_OC[[#This Row],[Nro Almacen]],Almacen!A:D,4,FALSE),"")</f>
        <v>Montelima</v>
      </c>
    </row>
    <row r="600" spans="1:12" x14ac:dyDescent="0.3">
      <c r="A600" s="29" t="str">
        <f>Detalle_OC[[#This Row],[Centro]]&amp;Detalle_OC[[#This Row],[Nom Almacen]]&amp;Detalle_OC[[#This Row],[Material]]&amp;Detalle_OC[[#This Row],[Pedido]]&amp;Detalle_OC[[#This Row],[Posicion]]</f>
        <v>Sucroalcolera del Chira PlantaMontelima867004451157283420</v>
      </c>
      <c r="B600" t="s">
        <v>138</v>
      </c>
      <c r="C600" t="s">
        <v>230</v>
      </c>
      <c r="D600" s="11">
        <v>45670</v>
      </c>
      <c r="E600" t="s">
        <v>16</v>
      </c>
      <c r="F600" t="s">
        <v>85</v>
      </c>
      <c r="G600">
        <v>867004</v>
      </c>
      <c r="H600">
        <v>4511572834</v>
      </c>
      <c r="I600">
        <v>20</v>
      </c>
      <c r="J600" s="29">
        <v>1</v>
      </c>
      <c r="K600" s="29" t="s">
        <v>1047</v>
      </c>
      <c r="L600" t="str">
        <f>IFERROR(VLOOKUP(Detalle_OC[[#This Row],[Centro]]&amp;Detalle_OC[[#This Row],[Nro Almacen]],Almacen!A:D,4,FALSE),"")</f>
        <v>Montelima</v>
      </c>
    </row>
    <row r="601" spans="1:12" x14ac:dyDescent="0.3">
      <c r="A601" s="29" t="str">
        <f>Detalle_OC[[#This Row],[Centro]]&amp;Detalle_OC[[#This Row],[Nom Almacen]]&amp;Detalle_OC[[#This Row],[Material]]&amp;Detalle_OC[[#This Row],[Pedido]]&amp;Detalle_OC[[#This Row],[Posicion]]</f>
        <v>Agricola del Chira PlantaSan Vicente70135249451157283710</v>
      </c>
      <c r="B601" t="s">
        <v>29</v>
      </c>
      <c r="C601" t="s">
        <v>228</v>
      </c>
      <c r="D601" s="11">
        <v>45660</v>
      </c>
      <c r="E601" t="s">
        <v>16</v>
      </c>
      <c r="F601" t="s">
        <v>12</v>
      </c>
      <c r="G601">
        <v>70135249</v>
      </c>
      <c r="H601">
        <v>4511572837</v>
      </c>
      <c r="I601">
        <v>10</v>
      </c>
      <c r="J601" s="29">
        <v>3</v>
      </c>
      <c r="K601" s="29" t="s">
        <v>1047</v>
      </c>
      <c r="L601" t="str">
        <f>IFERROR(VLOOKUP(Detalle_OC[[#This Row],[Centro]]&amp;Detalle_OC[[#This Row],[Nro Almacen]],Almacen!A:D,4,FALSE),"")</f>
        <v>San Vicente</v>
      </c>
    </row>
    <row r="602" spans="1:12" x14ac:dyDescent="0.3">
      <c r="A602" s="29" t="str">
        <f>Detalle_OC[[#This Row],[Centro]]&amp;Detalle_OC[[#This Row],[Nom Almacen]]&amp;Detalle_OC[[#This Row],[Material]]&amp;Detalle_OC[[#This Row],[Pedido]]&amp;Detalle_OC[[#This Row],[Posicion]]</f>
        <v>Agricola del Chira PlantaMontelima70084357550002468140</v>
      </c>
      <c r="B602" t="s">
        <v>28</v>
      </c>
      <c r="C602" t="s">
        <v>84</v>
      </c>
      <c r="D602" s="11">
        <v>45642</v>
      </c>
      <c r="E602" t="s">
        <v>16</v>
      </c>
      <c r="F602" t="s">
        <v>12</v>
      </c>
      <c r="G602">
        <v>70084357</v>
      </c>
      <c r="H602">
        <v>5500024681</v>
      </c>
      <c r="I602">
        <v>40</v>
      </c>
      <c r="J602" s="29">
        <v>1</v>
      </c>
      <c r="K602" s="29" t="s">
        <v>1047</v>
      </c>
      <c r="L602" t="str">
        <f>IFERROR(VLOOKUP(Detalle_OC[[#This Row],[Centro]]&amp;Detalle_OC[[#This Row],[Nro Almacen]],Almacen!A:D,4,FALSE),"")</f>
        <v>Montelima</v>
      </c>
    </row>
    <row r="603" spans="1:12" x14ac:dyDescent="0.3">
      <c r="A603" s="29" t="str">
        <f>Detalle_OC[[#This Row],[Centro]]&amp;Detalle_OC[[#This Row],[Nom Almacen]]&amp;Detalle_OC[[#This Row],[Material]]&amp;Detalle_OC[[#This Row],[Pedido]]&amp;Detalle_OC[[#This Row],[Posicion]]</f>
        <v>Agricola del Chira PlantaMontelima70084360550002468150</v>
      </c>
      <c r="B603" t="s">
        <v>28</v>
      </c>
      <c r="C603" t="s">
        <v>84</v>
      </c>
      <c r="D603" s="11">
        <v>45642</v>
      </c>
      <c r="E603" t="s">
        <v>16</v>
      </c>
      <c r="F603" t="s">
        <v>12</v>
      </c>
      <c r="G603">
        <v>70084360</v>
      </c>
      <c r="H603">
        <v>5500024681</v>
      </c>
      <c r="I603">
        <v>50</v>
      </c>
      <c r="J603" s="29">
        <v>1</v>
      </c>
      <c r="K603" s="29" t="s">
        <v>1047</v>
      </c>
      <c r="L603" t="str">
        <f>IFERROR(VLOOKUP(Detalle_OC[[#This Row],[Centro]]&amp;Detalle_OC[[#This Row],[Nro Almacen]],Almacen!A:D,4,FALSE),"")</f>
        <v>Montelima</v>
      </c>
    </row>
    <row r="604" spans="1:12" x14ac:dyDescent="0.3">
      <c r="A604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604" t="s">
        <v>28</v>
      </c>
      <c r="C604" t="s">
        <v>94</v>
      </c>
      <c r="D604" s="11">
        <v>45642</v>
      </c>
      <c r="E604" t="s">
        <v>16</v>
      </c>
      <c r="F604" t="s">
        <v>85</v>
      </c>
      <c r="G604" t="s">
        <v>95</v>
      </c>
      <c r="H604">
        <v>5500024746</v>
      </c>
      <c r="I604">
        <v>10</v>
      </c>
      <c r="J604" s="29">
        <v>1</v>
      </c>
      <c r="K604" s="29" t="s">
        <v>1047</v>
      </c>
      <c r="L604" t="str">
        <f>IFERROR(VLOOKUP(Detalle_OC[[#This Row],[Centro]]&amp;Detalle_OC[[#This Row],[Nro Almacen]],Almacen!A:D,4,FALSE),"")</f>
        <v>Montelima</v>
      </c>
    </row>
    <row r="605" spans="1:12" x14ac:dyDescent="0.3">
      <c r="A605" s="29" t="str">
        <f>Detalle_OC[[#This Row],[Centro]]&amp;Detalle_OC[[#This Row],[Nom Almacen]]&amp;Detalle_OC[[#This Row],[Material]]&amp;Detalle_OC[[#This Row],[Pedido]]&amp;Detalle_OC[[#This Row],[Posicion]]</f>
        <v>Sucroalcolera del Chira PlantaMontelimaMWSODACAUSTICA    550002478030</v>
      </c>
      <c r="B605" t="s">
        <v>28</v>
      </c>
      <c r="C605" t="s">
        <v>94</v>
      </c>
      <c r="D605" s="11">
        <v>45642</v>
      </c>
      <c r="E605" t="s">
        <v>16</v>
      </c>
      <c r="F605" t="s">
        <v>85</v>
      </c>
      <c r="G605" t="s">
        <v>1010</v>
      </c>
      <c r="H605">
        <v>5500024780</v>
      </c>
      <c r="I605">
        <v>30</v>
      </c>
      <c r="J605" s="29">
        <v>1</v>
      </c>
      <c r="K605" s="29" t="s">
        <v>1047</v>
      </c>
      <c r="L605" t="str">
        <f>IFERROR(VLOOKUP(Detalle_OC[[#This Row],[Centro]]&amp;Detalle_OC[[#This Row],[Nro Almacen]],Almacen!A:D,4,FALSE),"")</f>
        <v>Montelima</v>
      </c>
    </row>
    <row r="606" spans="1:12" x14ac:dyDescent="0.3">
      <c r="A606" s="29" t="str">
        <f>Detalle_OC[[#This Row],[Centro]]&amp;Detalle_OC[[#This Row],[Nom Almacen]]&amp;Detalle_OC[[#This Row],[Material]]&amp;Detalle_OC[[#This Row],[Pedido]]&amp;Detalle_OC[[#This Row],[Posicion]]</f>
        <v>Agricola del Chira PlantaSan Vicente700580015500024881170</v>
      </c>
      <c r="B606" t="s">
        <v>28</v>
      </c>
      <c r="C606" t="s">
        <v>52</v>
      </c>
      <c r="D606" s="11">
        <v>45612</v>
      </c>
      <c r="E606" t="s">
        <v>16</v>
      </c>
      <c r="F606" t="s">
        <v>12</v>
      </c>
      <c r="G606">
        <v>70058001</v>
      </c>
      <c r="H606">
        <v>5500024881</v>
      </c>
      <c r="I606">
        <v>170</v>
      </c>
      <c r="J606" s="29">
        <v>3</v>
      </c>
      <c r="K606" s="29" t="s">
        <v>1047</v>
      </c>
      <c r="L606" t="str">
        <f>IFERROR(VLOOKUP(Detalle_OC[[#This Row],[Centro]]&amp;Detalle_OC[[#This Row],[Nro Almacen]],Almacen!A:D,4,FALSE),"")</f>
        <v>San Vicente</v>
      </c>
    </row>
    <row r="607" spans="1:12" x14ac:dyDescent="0.3">
      <c r="A607" s="29" t="str">
        <f>Detalle_OC[[#This Row],[Centro]]&amp;Detalle_OC[[#This Row],[Nom Almacen]]&amp;Detalle_OC[[#This Row],[Material]]&amp;Detalle_OC[[#This Row],[Pedido]]&amp;Detalle_OC[[#This Row],[Posicion]]</f>
        <v>Sucroalcolera del Chira PlantaMontelima70118260550002491110</v>
      </c>
      <c r="B607" t="s">
        <v>28</v>
      </c>
      <c r="C607" t="s">
        <v>112</v>
      </c>
      <c r="D607" s="11">
        <v>45642</v>
      </c>
      <c r="E607" t="s">
        <v>16</v>
      </c>
      <c r="F607" t="s">
        <v>85</v>
      </c>
      <c r="G607">
        <v>70118260</v>
      </c>
      <c r="H607">
        <v>5500024911</v>
      </c>
      <c r="I607">
        <v>10</v>
      </c>
      <c r="J607" s="29">
        <v>1</v>
      </c>
      <c r="K607" s="29" t="s">
        <v>1047</v>
      </c>
      <c r="L607" t="str">
        <f>IFERROR(VLOOKUP(Detalle_OC[[#This Row],[Centro]]&amp;Detalle_OC[[#This Row],[Nro Almacen]],Almacen!A:D,4,FALSE),"")</f>
        <v>Montelima</v>
      </c>
    </row>
    <row r="608" spans="1:12" x14ac:dyDescent="0.3">
      <c r="A608" s="29" t="str">
        <f>Detalle_OC[[#This Row],[Centro]]&amp;Detalle_OC[[#This Row],[Nom Almacen]]&amp;Detalle_OC[[#This Row],[Material]]&amp;Detalle_OC[[#This Row],[Pedido]]&amp;Detalle_OC[[#This Row],[Posicion]]</f>
        <v>Sucroalcolera del Chira PlantaMontelima850657451157266810</v>
      </c>
      <c r="B608" t="s">
        <v>138</v>
      </c>
      <c r="C608" t="s">
        <v>368</v>
      </c>
      <c r="D608" s="11">
        <v>45667</v>
      </c>
      <c r="E608" t="s">
        <v>16</v>
      </c>
      <c r="F608" t="s">
        <v>85</v>
      </c>
      <c r="G608">
        <v>850657</v>
      </c>
      <c r="H608">
        <v>4511572668</v>
      </c>
      <c r="I608">
        <v>10</v>
      </c>
      <c r="J608" s="29">
        <v>1</v>
      </c>
      <c r="K608" s="29" t="s">
        <v>1138</v>
      </c>
      <c r="L608" t="str">
        <f>IFERROR(VLOOKUP(Detalle_OC[[#This Row],[Centro]]&amp;Detalle_OC[[#This Row],[Nro Almacen]],Almacen!A:D,4,FALSE),"")</f>
        <v>Montelima</v>
      </c>
    </row>
    <row r="609" spans="1:12" x14ac:dyDescent="0.3">
      <c r="A609" s="29" t="str">
        <f>Detalle_OC[[#This Row],[Centro]]&amp;Detalle_OC[[#This Row],[Nom Almacen]]&amp;Detalle_OC[[#This Row],[Material]]&amp;Detalle_OC[[#This Row],[Pedido]]&amp;Detalle_OC[[#This Row],[Posicion]]</f>
        <v>Bioenergía del Chira PlantaMontelima70032805451157266910</v>
      </c>
      <c r="B609" t="s">
        <v>180</v>
      </c>
      <c r="C609" t="s">
        <v>167</v>
      </c>
      <c r="D609" s="11">
        <v>45642</v>
      </c>
      <c r="E609" t="s">
        <v>16</v>
      </c>
      <c r="F609" t="s">
        <v>86</v>
      </c>
      <c r="G609">
        <v>70032805</v>
      </c>
      <c r="H609">
        <v>4511572669</v>
      </c>
      <c r="I609">
        <v>10</v>
      </c>
      <c r="J609" s="29">
        <v>1</v>
      </c>
      <c r="K609" s="29" t="s">
        <v>1138</v>
      </c>
      <c r="L609" t="str">
        <f>IFERROR(VLOOKUP(Detalle_OC[[#This Row],[Centro]]&amp;Detalle_OC[[#This Row],[Nro Almacen]],Almacen!A:D,4,FALSE),"")</f>
        <v>Montelima</v>
      </c>
    </row>
    <row r="610" spans="1:12" x14ac:dyDescent="0.3">
      <c r="A610" s="29" t="str">
        <f>Detalle_OC[[#This Row],[Centro]]&amp;Detalle_OC[[#This Row],[Nom Almacen]]&amp;Detalle_OC[[#This Row],[Material]]&amp;Detalle_OC[[#This Row],[Pedido]]&amp;Detalle_OC[[#This Row],[Posicion]]</f>
        <v>Sucroalcolera del Chira PlantaMontelima70002187451157267010</v>
      </c>
      <c r="B610" t="s">
        <v>138</v>
      </c>
      <c r="C610" t="s">
        <v>168</v>
      </c>
      <c r="D610" s="11">
        <v>45667</v>
      </c>
      <c r="E610" t="s">
        <v>16</v>
      </c>
      <c r="F610" t="s">
        <v>85</v>
      </c>
      <c r="G610">
        <v>70002187</v>
      </c>
      <c r="H610">
        <v>4511572670</v>
      </c>
      <c r="I610">
        <v>10</v>
      </c>
      <c r="J610" s="29">
        <v>1</v>
      </c>
      <c r="K610" s="29" t="s">
        <v>1138</v>
      </c>
      <c r="L610" t="str">
        <f>IFERROR(VLOOKUP(Detalle_OC[[#This Row],[Centro]]&amp;Detalle_OC[[#This Row],[Nro Almacen]],Almacen!A:D,4,FALSE),"")</f>
        <v>Montelima</v>
      </c>
    </row>
    <row r="611" spans="1:12" x14ac:dyDescent="0.3">
      <c r="A611" s="29" t="str">
        <f>Detalle_OC[[#This Row],[Centro]]&amp;Detalle_OC[[#This Row],[Nom Almacen]]&amp;Detalle_OC[[#This Row],[Material]]&amp;Detalle_OC[[#This Row],[Pedido]]&amp;Detalle_OC[[#This Row],[Posicion]]</f>
        <v>Sucroalcolera del Chira PlantaMontelima725425451157267020</v>
      </c>
      <c r="B611" t="s">
        <v>138</v>
      </c>
      <c r="C611" t="s">
        <v>168</v>
      </c>
      <c r="D611" s="11">
        <v>45667</v>
      </c>
      <c r="E611" t="s">
        <v>16</v>
      </c>
      <c r="F611" t="s">
        <v>85</v>
      </c>
      <c r="G611">
        <v>725425</v>
      </c>
      <c r="H611">
        <v>4511572670</v>
      </c>
      <c r="I611">
        <v>20</v>
      </c>
      <c r="J611" s="29">
        <v>1</v>
      </c>
      <c r="K611" s="29" t="s">
        <v>1138</v>
      </c>
      <c r="L611" t="str">
        <f>IFERROR(VLOOKUP(Detalle_OC[[#This Row],[Centro]]&amp;Detalle_OC[[#This Row],[Nro Almacen]],Almacen!A:D,4,FALSE),"")</f>
        <v>Montelima</v>
      </c>
    </row>
    <row r="612" spans="1:12" x14ac:dyDescent="0.3">
      <c r="A612" s="29" t="str">
        <f>Detalle_OC[[#This Row],[Centro]]&amp;Detalle_OC[[#This Row],[Nom Almacen]]&amp;Detalle_OC[[#This Row],[Material]]&amp;Detalle_OC[[#This Row],[Pedido]]&amp;Detalle_OC[[#This Row],[Posicion]]</f>
        <v>Sucroalcolera del Chira PlantaMontelima872635451157267030</v>
      </c>
      <c r="B612" t="s">
        <v>138</v>
      </c>
      <c r="C612" t="s">
        <v>168</v>
      </c>
      <c r="D612" s="11">
        <v>45667</v>
      </c>
      <c r="E612" t="s">
        <v>16</v>
      </c>
      <c r="F612" t="s">
        <v>85</v>
      </c>
      <c r="G612">
        <v>872635</v>
      </c>
      <c r="H612">
        <v>4511572670</v>
      </c>
      <c r="I612">
        <v>30</v>
      </c>
      <c r="J612" s="29">
        <v>1</v>
      </c>
      <c r="K612" s="29" t="s">
        <v>1138</v>
      </c>
      <c r="L612" t="str">
        <f>IFERROR(VLOOKUP(Detalle_OC[[#This Row],[Centro]]&amp;Detalle_OC[[#This Row],[Nro Almacen]],Almacen!A:D,4,FALSE),"")</f>
        <v>Montelima</v>
      </c>
    </row>
    <row r="613" spans="1:12" x14ac:dyDescent="0.3">
      <c r="A613" s="29" t="str">
        <f>Detalle_OC[[#This Row],[Centro]]&amp;Detalle_OC[[#This Row],[Nom Almacen]]&amp;Detalle_OC[[#This Row],[Material]]&amp;Detalle_OC[[#This Row],[Pedido]]&amp;Detalle_OC[[#This Row],[Posicion]]</f>
        <v>Sucroalcolera del Chira PlantaMontelima849432451157267040</v>
      </c>
      <c r="B613" t="s">
        <v>151</v>
      </c>
      <c r="C613" t="s">
        <v>168</v>
      </c>
      <c r="D613" s="11">
        <v>45656</v>
      </c>
      <c r="E613" t="s">
        <v>51</v>
      </c>
      <c r="F613" t="s">
        <v>85</v>
      </c>
      <c r="G613">
        <v>849432</v>
      </c>
      <c r="H613">
        <v>4511572670</v>
      </c>
      <c r="I613">
        <v>40</v>
      </c>
      <c r="J613" s="29">
        <v>1</v>
      </c>
      <c r="K613" s="29" t="s">
        <v>1138</v>
      </c>
      <c r="L613" t="str">
        <f>IFERROR(VLOOKUP(Detalle_OC[[#This Row],[Centro]]&amp;Detalle_OC[[#This Row],[Nro Almacen]],Almacen!A:D,4,FALSE),"")</f>
        <v>Montelima</v>
      </c>
    </row>
    <row r="614" spans="1:12" x14ac:dyDescent="0.3">
      <c r="A614" s="29" t="str">
        <f>Detalle_OC[[#This Row],[Centro]]&amp;Detalle_OC[[#This Row],[Nom Almacen]]&amp;Detalle_OC[[#This Row],[Material]]&amp;Detalle_OC[[#This Row],[Pedido]]&amp;Detalle_OC[[#This Row],[Posicion]]</f>
        <v>Sucroalcolera del Chira PlantaMontelima70071059451157267050</v>
      </c>
      <c r="B614" t="s">
        <v>151</v>
      </c>
      <c r="C614" t="s">
        <v>168</v>
      </c>
      <c r="D614" s="11">
        <v>45656</v>
      </c>
      <c r="E614" t="s">
        <v>51</v>
      </c>
      <c r="F614" t="s">
        <v>85</v>
      </c>
      <c r="G614">
        <v>70071059</v>
      </c>
      <c r="H614">
        <v>4511572670</v>
      </c>
      <c r="I614">
        <v>50</v>
      </c>
      <c r="J614" s="29">
        <v>1</v>
      </c>
      <c r="K614" s="29" t="s">
        <v>1138</v>
      </c>
      <c r="L614" t="str">
        <f>IFERROR(VLOOKUP(Detalle_OC[[#This Row],[Centro]]&amp;Detalle_OC[[#This Row],[Nro Almacen]],Almacen!A:D,4,FALSE),"")</f>
        <v>Montelima</v>
      </c>
    </row>
    <row r="615" spans="1:12" x14ac:dyDescent="0.3">
      <c r="A615" s="29" t="str">
        <f>Detalle_OC[[#This Row],[Centro]]&amp;Detalle_OC[[#This Row],[Nom Almacen]]&amp;Detalle_OC[[#This Row],[Material]]&amp;Detalle_OC[[#This Row],[Pedido]]&amp;Detalle_OC[[#This Row],[Posicion]]</f>
        <v>Agricola del Chira PlantaMontelima70135715451157267120</v>
      </c>
      <c r="B615" t="s">
        <v>178</v>
      </c>
      <c r="C615" t="s">
        <v>172</v>
      </c>
      <c r="D615" s="11">
        <v>45667</v>
      </c>
      <c r="E615" t="s">
        <v>16</v>
      </c>
      <c r="F615" t="s">
        <v>12</v>
      </c>
      <c r="G615">
        <v>70135715</v>
      </c>
      <c r="H615">
        <v>4511572671</v>
      </c>
      <c r="I615">
        <v>20</v>
      </c>
      <c r="J615" s="29">
        <v>1</v>
      </c>
      <c r="K615" s="29" t="s">
        <v>1138</v>
      </c>
      <c r="L615" t="str">
        <f>IFERROR(VLOOKUP(Detalle_OC[[#This Row],[Centro]]&amp;Detalle_OC[[#This Row],[Nro Almacen]],Almacen!A:D,4,FALSE),"")</f>
        <v>Montelima</v>
      </c>
    </row>
    <row r="616" spans="1:12" x14ac:dyDescent="0.3">
      <c r="A616" s="29" t="str">
        <f>Detalle_OC[[#This Row],[Centro]]&amp;Detalle_OC[[#This Row],[Nom Almacen]]&amp;Detalle_OC[[#This Row],[Material]]&amp;Detalle_OC[[#This Row],[Pedido]]&amp;Detalle_OC[[#This Row],[Posicion]]</f>
        <v>Sucroalcolera del Chira PlantaMontelima70036734451157267210</v>
      </c>
      <c r="B616" t="s">
        <v>138</v>
      </c>
      <c r="C616" t="s">
        <v>235</v>
      </c>
      <c r="D616" s="11">
        <v>45674</v>
      </c>
      <c r="E616" t="s">
        <v>16</v>
      </c>
      <c r="F616" t="s">
        <v>85</v>
      </c>
      <c r="G616">
        <v>70036734</v>
      </c>
      <c r="H616">
        <v>4511572672</v>
      </c>
      <c r="I616">
        <v>10</v>
      </c>
      <c r="J616" s="29">
        <v>1</v>
      </c>
      <c r="K616" s="29" t="s">
        <v>1138</v>
      </c>
      <c r="L616" t="str">
        <f>IFERROR(VLOOKUP(Detalle_OC[[#This Row],[Centro]]&amp;Detalle_OC[[#This Row],[Nro Almacen]],Almacen!A:D,4,FALSE),"")</f>
        <v>Montelima</v>
      </c>
    </row>
    <row r="617" spans="1:12" x14ac:dyDescent="0.3">
      <c r="A617" s="29" t="str">
        <f>Detalle_OC[[#This Row],[Centro]]&amp;Detalle_OC[[#This Row],[Nom Almacen]]&amp;Detalle_OC[[#This Row],[Material]]&amp;Detalle_OC[[#This Row],[Pedido]]&amp;Detalle_OC[[#This Row],[Posicion]]</f>
        <v>Bioenergía del Chira PlantaMontelima884442451157267410</v>
      </c>
      <c r="B617" t="s">
        <v>180</v>
      </c>
      <c r="C617" t="s">
        <v>240</v>
      </c>
      <c r="D617" s="11">
        <v>45688</v>
      </c>
      <c r="E617" t="s">
        <v>16</v>
      </c>
      <c r="F617" t="s">
        <v>86</v>
      </c>
      <c r="G617">
        <v>884442</v>
      </c>
      <c r="H617">
        <v>4511572674</v>
      </c>
      <c r="I617">
        <v>10</v>
      </c>
      <c r="J617" s="29">
        <v>1</v>
      </c>
      <c r="K617" s="29" t="s">
        <v>1138</v>
      </c>
      <c r="L617" t="str">
        <f>IFERROR(VLOOKUP(Detalle_OC[[#This Row],[Centro]]&amp;Detalle_OC[[#This Row],[Nro Almacen]],Almacen!A:D,4,FALSE),"")</f>
        <v>Montelima</v>
      </c>
    </row>
    <row r="618" spans="1:12" x14ac:dyDescent="0.3">
      <c r="A618" s="29" t="str">
        <f>Detalle_OC[[#This Row],[Centro]]&amp;Detalle_OC[[#This Row],[Nom Almacen]]&amp;Detalle_OC[[#This Row],[Material]]&amp;Detalle_OC[[#This Row],[Pedido]]&amp;Detalle_OC[[#This Row],[Posicion]]</f>
        <v>Agricola del Chira PlantaAlmacen Lobo849010451157203830</v>
      </c>
      <c r="B618" t="s">
        <v>39</v>
      </c>
      <c r="C618" t="s">
        <v>38</v>
      </c>
      <c r="D618" s="11">
        <v>45657</v>
      </c>
      <c r="E618" t="s">
        <v>16</v>
      </c>
      <c r="F618" t="s">
        <v>12</v>
      </c>
      <c r="G618">
        <v>849010</v>
      </c>
      <c r="H618">
        <v>4511572038</v>
      </c>
      <c r="I618">
        <v>30</v>
      </c>
      <c r="J618" s="29">
        <v>7</v>
      </c>
      <c r="K618" s="29" t="s">
        <v>915</v>
      </c>
      <c r="L618" t="str">
        <f>IFERROR(VLOOKUP(Detalle_OC[[#This Row],[Centro]]&amp;Detalle_OC[[#This Row],[Nro Almacen]],Almacen!A:D,4,FALSE),"")</f>
        <v>Almacen Lobo</v>
      </c>
    </row>
    <row r="619" spans="1:12" x14ac:dyDescent="0.3">
      <c r="A619" s="29" t="str">
        <f>Detalle_OC[[#This Row],[Centro]]&amp;Detalle_OC[[#This Row],[Nom Almacen]]&amp;Detalle_OC[[#This Row],[Material]]&amp;Detalle_OC[[#This Row],[Pedido]]&amp;Detalle_OC[[#This Row],[Posicion]]</f>
        <v>Agricola del Chira PlantaAlmacen Lobo849010451157203840</v>
      </c>
      <c r="B619" t="s">
        <v>39</v>
      </c>
      <c r="C619" t="s">
        <v>38</v>
      </c>
      <c r="D619" s="11">
        <v>45657</v>
      </c>
      <c r="E619" t="s">
        <v>16</v>
      </c>
      <c r="F619" t="s">
        <v>12</v>
      </c>
      <c r="G619">
        <v>849010</v>
      </c>
      <c r="H619">
        <v>4511572038</v>
      </c>
      <c r="I619">
        <v>40</v>
      </c>
      <c r="J619" s="29">
        <v>7</v>
      </c>
      <c r="K619" s="29" t="s">
        <v>915</v>
      </c>
      <c r="L619" t="str">
        <f>IFERROR(VLOOKUP(Detalle_OC[[#This Row],[Centro]]&amp;Detalle_OC[[#This Row],[Nro Almacen]],Almacen!A:D,4,FALSE),"")</f>
        <v>Almacen Lobo</v>
      </c>
    </row>
    <row r="620" spans="1:12" x14ac:dyDescent="0.3">
      <c r="A620" s="29" t="str">
        <f>Detalle_OC[[#This Row],[Centro]]&amp;Detalle_OC[[#This Row],[Nom Almacen]]&amp;Detalle_OC[[#This Row],[Material]]&amp;Detalle_OC[[#This Row],[Pedido]]&amp;Detalle_OC[[#This Row],[Posicion]]</f>
        <v>Agricola del Chira PlantaAlmacen Lobo70089787451157256010</v>
      </c>
      <c r="B620" t="s">
        <v>261</v>
      </c>
      <c r="C620" t="s">
        <v>22</v>
      </c>
      <c r="D620" s="11">
        <v>45644</v>
      </c>
      <c r="E620" t="s">
        <v>16</v>
      </c>
      <c r="F620" t="s">
        <v>12</v>
      </c>
      <c r="G620">
        <v>70089787</v>
      </c>
      <c r="H620">
        <v>4511572560</v>
      </c>
      <c r="I620">
        <v>10</v>
      </c>
      <c r="J620" s="29">
        <v>7</v>
      </c>
      <c r="K620" s="29" t="s">
        <v>915</v>
      </c>
      <c r="L620" t="str">
        <f>IFERROR(VLOOKUP(Detalle_OC[[#This Row],[Centro]]&amp;Detalle_OC[[#This Row],[Nro Almacen]],Almacen!A:D,4,FALSE),"")</f>
        <v>Almacen Lobo</v>
      </c>
    </row>
    <row r="621" spans="1:12" x14ac:dyDescent="0.3">
      <c r="A621" s="29" t="str">
        <f>Detalle_OC[[#This Row],[Centro]]&amp;Detalle_OC[[#This Row],[Nom Almacen]]&amp;Detalle_OC[[#This Row],[Material]]&amp;Detalle_OC[[#This Row],[Pedido]]&amp;Detalle_OC[[#This Row],[Posicion]]</f>
        <v>Sucroalcolera del Chira PlantaMWCOLUNULTRA      451157256210</v>
      </c>
      <c r="B621" t="s">
        <v>153</v>
      </c>
      <c r="C621" t="s">
        <v>266</v>
      </c>
      <c r="D621" s="11">
        <v>45644</v>
      </c>
      <c r="E621" t="s">
        <v>16</v>
      </c>
      <c r="F621" t="s">
        <v>85</v>
      </c>
      <c r="G621" t="s">
        <v>267</v>
      </c>
      <c r="H621">
        <v>4511572562</v>
      </c>
      <c r="I621">
        <v>10</v>
      </c>
      <c r="J621" s="29" t="s">
        <v>155</v>
      </c>
      <c r="K621" s="29" t="s">
        <v>915</v>
      </c>
      <c r="L621" t="str">
        <f>IFERROR(VLOOKUP(Detalle_OC[[#This Row],[Centro]]&amp;Detalle_OC[[#This Row],[Nro Almacen]],Almacen!A:D,4,FALSE),"")</f>
        <v/>
      </c>
    </row>
    <row r="622" spans="1:12" x14ac:dyDescent="0.3">
      <c r="A622" s="29" t="str">
        <f>Detalle_OC[[#This Row],[Centro]]&amp;Detalle_OC[[#This Row],[Nom Almacen]]&amp;Detalle_OC[[#This Row],[Material]]&amp;Detalle_OC[[#This Row],[Pedido]]&amp;Detalle_OC[[#This Row],[Posicion]]</f>
        <v>Sucroalcolera del Chira PlantaMWTENSOACTIVO     451157256410</v>
      </c>
      <c r="B622" t="s">
        <v>153</v>
      </c>
      <c r="C622" t="s">
        <v>242</v>
      </c>
      <c r="D622" s="11">
        <v>45644</v>
      </c>
      <c r="E622" t="s">
        <v>16</v>
      </c>
      <c r="F622" t="s">
        <v>85</v>
      </c>
      <c r="G622" t="s">
        <v>243</v>
      </c>
      <c r="H622">
        <v>4511572564</v>
      </c>
      <c r="I622">
        <v>10</v>
      </c>
      <c r="J622" s="29" t="s">
        <v>155</v>
      </c>
      <c r="K622" s="29" t="s">
        <v>915</v>
      </c>
      <c r="L622" t="str">
        <f>IFERROR(VLOOKUP(Detalle_OC[[#This Row],[Centro]]&amp;Detalle_OC[[#This Row],[Nro Almacen]],Almacen!A:D,4,FALSE),"")</f>
        <v/>
      </c>
    </row>
    <row r="623" spans="1:12" x14ac:dyDescent="0.3">
      <c r="A623" s="29" t="str">
        <f>Detalle_OC[[#This Row],[Centro]]&amp;Detalle_OC[[#This Row],[Nom Almacen]]&amp;Detalle_OC[[#This Row],[Material]]&amp;Detalle_OC[[#This Row],[Pedido]]&amp;Detalle_OC[[#This Row],[Posicion]]</f>
        <v>Agricola del Chira PlantaMontelima70108182451157256810</v>
      </c>
      <c r="B623" t="s">
        <v>220</v>
      </c>
      <c r="C623" t="s">
        <v>14</v>
      </c>
      <c r="D623" s="11">
        <v>45646</v>
      </c>
      <c r="E623" t="s">
        <v>48</v>
      </c>
      <c r="F623" t="s">
        <v>12</v>
      </c>
      <c r="G623">
        <v>70108182</v>
      </c>
      <c r="H623">
        <v>4511572568</v>
      </c>
      <c r="I623">
        <v>10</v>
      </c>
      <c r="J623" s="29">
        <v>1</v>
      </c>
      <c r="K623" s="29" t="s">
        <v>915</v>
      </c>
      <c r="L623" t="str">
        <f>IFERROR(VLOOKUP(Detalle_OC[[#This Row],[Centro]]&amp;Detalle_OC[[#This Row],[Nro Almacen]],Almacen!A:D,4,FALSE),"")</f>
        <v>Montelima</v>
      </c>
    </row>
    <row r="624" spans="1:12" x14ac:dyDescent="0.3">
      <c r="A624" s="29" t="str">
        <f>Detalle_OC[[#This Row],[Centro]]&amp;Detalle_OC[[#This Row],[Nom Almacen]]&amp;Detalle_OC[[#This Row],[Material]]&amp;Detalle_OC[[#This Row],[Pedido]]&amp;Detalle_OC[[#This Row],[Posicion]]</f>
        <v>Agricola del Chira PlantaMontelima70108182451157256820</v>
      </c>
      <c r="B624" t="s">
        <v>220</v>
      </c>
      <c r="C624" t="s">
        <v>14</v>
      </c>
      <c r="D624" s="11">
        <v>45646</v>
      </c>
      <c r="E624" t="s">
        <v>48</v>
      </c>
      <c r="F624" t="s">
        <v>12</v>
      </c>
      <c r="G624">
        <v>70108182</v>
      </c>
      <c r="H624">
        <v>4511572568</v>
      </c>
      <c r="I624">
        <v>20</v>
      </c>
      <c r="J624" s="29">
        <v>1</v>
      </c>
      <c r="K624" s="29" t="s">
        <v>915</v>
      </c>
      <c r="L624" t="str">
        <f>IFERROR(VLOOKUP(Detalle_OC[[#This Row],[Centro]]&amp;Detalle_OC[[#This Row],[Nro Almacen]],Almacen!A:D,4,FALSE),"")</f>
        <v>Montelima</v>
      </c>
    </row>
    <row r="625" spans="1:12" x14ac:dyDescent="0.3">
      <c r="A625" s="29" t="str">
        <f>Detalle_OC[[#This Row],[Centro]]&amp;Detalle_OC[[#This Row],[Nom Almacen]]&amp;Detalle_OC[[#This Row],[Material]]&amp;Detalle_OC[[#This Row],[Pedido]]&amp;Detalle_OC[[#This Row],[Posicion]]</f>
        <v>Sucroalcolera del Chira PlantaMontelima70121985451157257510</v>
      </c>
      <c r="B625" t="s">
        <v>138</v>
      </c>
      <c r="C625" t="s">
        <v>235</v>
      </c>
      <c r="D625" s="11">
        <v>45646</v>
      </c>
      <c r="E625" t="s">
        <v>16</v>
      </c>
      <c r="F625" t="s">
        <v>85</v>
      </c>
      <c r="G625">
        <v>70121985</v>
      </c>
      <c r="H625">
        <v>4511572575</v>
      </c>
      <c r="I625">
        <v>10</v>
      </c>
      <c r="J625" s="29">
        <v>1</v>
      </c>
      <c r="K625" s="29" t="s">
        <v>915</v>
      </c>
      <c r="L625" t="str">
        <f>IFERROR(VLOOKUP(Detalle_OC[[#This Row],[Centro]]&amp;Detalle_OC[[#This Row],[Nro Almacen]],Almacen!A:D,4,FALSE),"")</f>
        <v>Montelima</v>
      </c>
    </row>
    <row r="626" spans="1:12" x14ac:dyDescent="0.3">
      <c r="A626" s="29" t="str">
        <f>Detalle_OC[[#This Row],[Centro]]&amp;Detalle_OC[[#This Row],[Nom Almacen]]&amp;Detalle_OC[[#This Row],[Material]]&amp;Detalle_OC[[#This Row],[Pedido]]&amp;Detalle_OC[[#This Row],[Posicion]]</f>
        <v>Sucroalcolera del Chira PlantaMontelimaCC11233132        451157258810</v>
      </c>
      <c r="B626" t="s">
        <v>151</v>
      </c>
      <c r="C626" t="s">
        <v>137</v>
      </c>
      <c r="D626" s="11">
        <v>45644</v>
      </c>
      <c r="E626" t="s">
        <v>51</v>
      </c>
      <c r="F626" t="s">
        <v>85</v>
      </c>
      <c r="G626" t="s">
        <v>992</v>
      </c>
      <c r="H626">
        <v>4511572588</v>
      </c>
      <c r="I626">
        <v>10</v>
      </c>
      <c r="J626" s="29">
        <v>1</v>
      </c>
      <c r="K626" s="29" t="s">
        <v>915</v>
      </c>
      <c r="L626" t="str">
        <f>IFERROR(VLOOKUP(Detalle_OC[[#This Row],[Centro]]&amp;Detalle_OC[[#This Row],[Nro Almacen]],Almacen!A:D,4,FALSE),"")</f>
        <v>Montelima</v>
      </c>
    </row>
    <row r="627" spans="1:12" x14ac:dyDescent="0.3">
      <c r="A627" s="29" t="str">
        <f>Detalle_OC[[#This Row],[Centro]]&amp;Detalle_OC[[#This Row],[Nom Almacen]]&amp;Detalle_OC[[#This Row],[Material]]&amp;Detalle_OC[[#This Row],[Pedido]]&amp;Detalle_OC[[#This Row],[Posicion]]</f>
        <v>Sucroalcolera del Chira PlantaMontelima724927451157258820</v>
      </c>
      <c r="B627" t="s">
        <v>151</v>
      </c>
      <c r="C627" t="s">
        <v>137</v>
      </c>
      <c r="D627" s="11">
        <v>45644</v>
      </c>
      <c r="E627" t="s">
        <v>51</v>
      </c>
      <c r="F627" t="s">
        <v>85</v>
      </c>
      <c r="G627">
        <v>724927</v>
      </c>
      <c r="H627">
        <v>4511572588</v>
      </c>
      <c r="I627">
        <v>20</v>
      </c>
      <c r="J627" s="29">
        <v>1</v>
      </c>
      <c r="K627" s="29" t="s">
        <v>915</v>
      </c>
      <c r="L627" t="str">
        <f>IFERROR(VLOOKUP(Detalle_OC[[#This Row],[Centro]]&amp;Detalle_OC[[#This Row],[Nro Almacen]],Almacen!A:D,4,FALSE),"")</f>
        <v>Montelima</v>
      </c>
    </row>
    <row r="628" spans="1:12" x14ac:dyDescent="0.3">
      <c r="A628" s="29" t="str">
        <f>Detalle_OC[[#This Row],[Centro]]&amp;Detalle_OC[[#This Row],[Nom Almacen]]&amp;Detalle_OC[[#This Row],[Material]]&amp;Detalle_OC[[#This Row],[Pedido]]&amp;Detalle_OC[[#This Row],[Posicion]]</f>
        <v>Sucroalcolera del Chira PlantaMontelima730300451157258830</v>
      </c>
      <c r="B628" t="s">
        <v>151</v>
      </c>
      <c r="C628" t="s">
        <v>137</v>
      </c>
      <c r="D628" s="11">
        <v>45644</v>
      </c>
      <c r="E628" t="s">
        <v>51</v>
      </c>
      <c r="F628" t="s">
        <v>85</v>
      </c>
      <c r="G628">
        <v>730300</v>
      </c>
      <c r="H628">
        <v>4511572588</v>
      </c>
      <c r="I628">
        <v>30</v>
      </c>
      <c r="J628" s="29">
        <v>1</v>
      </c>
      <c r="K628" s="29" t="s">
        <v>915</v>
      </c>
      <c r="L628" t="str">
        <f>IFERROR(VLOOKUP(Detalle_OC[[#This Row],[Centro]]&amp;Detalle_OC[[#This Row],[Nro Almacen]],Almacen!A:D,4,FALSE),"")</f>
        <v>Montelima</v>
      </c>
    </row>
    <row r="629" spans="1:12" x14ac:dyDescent="0.3">
      <c r="A629" s="29" t="str">
        <f>Detalle_OC[[#This Row],[Centro]]&amp;Detalle_OC[[#This Row],[Nom Almacen]]&amp;Detalle_OC[[#This Row],[Material]]&amp;Detalle_OC[[#This Row],[Pedido]]&amp;Detalle_OC[[#This Row],[Posicion]]</f>
        <v>Sucroalcolera del Chira PlantaMontelima730298451157258840</v>
      </c>
      <c r="B629" t="s">
        <v>151</v>
      </c>
      <c r="C629" t="s">
        <v>137</v>
      </c>
      <c r="D629" s="11">
        <v>45644</v>
      </c>
      <c r="E629" t="s">
        <v>51</v>
      </c>
      <c r="F629" t="s">
        <v>85</v>
      </c>
      <c r="G629">
        <v>730298</v>
      </c>
      <c r="H629">
        <v>4511572588</v>
      </c>
      <c r="I629">
        <v>40</v>
      </c>
      <c r="J629" s="29">
        <v>1</v>
      </c>
      <c r="K629" s="29" t="s">
        <v>915</v>
      </c>
      <c r="L629" t="str">
        <f>IFERROR(VLOOKUP(Detalle_OC[[#This Row],[Centro]]&amp;Detalle_OC[[#This Row],[Nro Almacen]],Almacen!A:D,4,FALSE),"")</f>
        <v>Montelima</v>
      </c>
    </row>
    <row r="630" spans="1:12" x14ac:dyDescent="0.3">
      <c r="A630" s="29" t="str">
        <f>Detalle_OC[[#This Row],[Centro]]&amp;Detalle_OC[[#This Row],[Nom Almacen]]&amp;Detalle_OC[[#This Row],[Material]]&amp;Detalle_OC[[#This Row],[Pedido]]&amp;Detalle_OC[[#This Row],[Posicion]]</f>
        <v>Sucroalcolera del Chira PlantaMontelima754978451157258850</v>
      </c>
      <c r="B630" t="s">
        <v>151</v>
      </c>
      <c r="C630" t="s">
        <v>137</v>
      </c>
      <c r="D630" s="11">
        <v>45644</v>
      </c>
      <c r="E630" t="s">
        <v>51</v>
      </c>
      <c r="F630" t="s">
        <v>85</v>
      </c>
      <c r="G630">
        <v>754978</v>
      </c>
      <c r="H630">
        <v>4511572588</v>
      </c>
      <c r="I630">
        <v>50</v>
      </c>
      <c r="J630" s="29">
        <v>1</v>
      </c>
      <c r="K630" s="29" t="s">
        <v>915</v>
      </c>
      <c r="L630" t="str">
        <f>IFERROR(VLOOKUP(Detalle_OC[[#This Row],[Centro]]&amp;Detalle_OC[[#This Row],[Nro Almacen]],Almacen!A:D,4,FALSE),"")</f>
        <v>Montelima</v>
      </c>
    </row>
    <row r="631" spans="1:12" x14ac:dyDescent="0.3">
      <c r="A631" s="29" t="str">
        <f>Detalle_OC[[#This Row],[Centro]]&amp;Detalle_OC[[#This Row],[Nom Almacen]]&amp;Detalle_OC[[#This Row],[Material]]&amp;Detalle_OC[[#This Row],[Pedido]]&amp;Detalle_OC[[#This Row],[Posicion]]</f>
        <v>FALSO</v>
      </c>
      <c r="B631" t="s">
        <v>1139</v>
      </c>
      <c r="D631" s="11" t="s">
        <v>164</v>
      </c>
      <c r="E631" t="b">
        <v>0</v>
      </c>
      <c r="F631" t="b">
        <v>0</v>
      </c>
      <c r="J631" s="29"/>
      <c r="K631" s="29"/>
      <c r="L631" t="str">
        <f>IFERROR(VLOOKUP(Detalle_OC[[#This Row],[Centro]]&amp;Detalle_OC[[#This Row],[Nro Almacen]],Almacen!A:D,4,FALSE),"")</f>
        <v/>
      </c>
    </row>
    <row r="632" spans="1:12" x14ac:dyDescent="0.3">
      <c r="A632" s="29" t="str">
        <f>Detalle_OC[[#This Row],[Centro]]&amp;Detalle_OC[[#This Row],[Nom Almacen]]&amp;Detalle_OC[[#This Row],[Material]]&amp;Detalle_OC[[#This Row],[Pedido]]&amp;Detalle_OC[[#This Row],[Posicion]]</f>
        <v>FALSO4511572593101</v>
      </c>
      <c r="B632" t="s">
        <v>137</v>
      </c>
      <c r="C632" t="s">
        <v>1042</v>
      </c>
      <c r="D632" s="11" t="s">
        <v>1229</v>
      </c>
      <c r="E632" t="b">
        <v>0</v>
      </c>
      <c r="F632" t="b">
        <v>0</v>
      </c>
      <c r="G632">
        <v>4511572593</v>
      </c>
      <c r="H632">
        <v>10</v>
      </c>
      <c r="I632">
        <v>1</v>
      </c>
      <c r="J632" s="29" t="s">
        <v>915</v>
      </c>
      <c r="K632" s="29"/>
      <c r="L632" t="str">
        <f>IFERROR(VLOOKUP(Detalle_OC[[#This Row],[Centro]]&amp;Detalle_OC[[#This Row],[Nro Almacen]],Almacen!A:D,4,FALSE),"")</f>
        <v/>
      </c>
    </row>
    <row r="633" spans="1:12" x14ac:dyDescent="0.3">
      <c r="A633" s="29" t="str">
        <f>Detalle_OC[[#This Row],[Centro]]&amp;Detalle_OC[[#This Row],[Nom Almacen]]&amp;Detalle_OC[[#This Row],[Material]]&amp;Detalle_OC[[#This Row],[Pedido]]&amp;Detalle_OC[[#This Row],[Posicion]]</f>
        <v>Sucroalcolera del Chira PlantaMontelima825552451157259320</v>
      </c>
      <c r="B633" t="s">
        <v>151</v>
      </c>
      <c r="C633" t="s">
        <v>137</v>
      </c>
      <c r="D633" s="11">
        <v>45644</v>
      </c>
      <c r="E633" t="s">
        <v>51</v>
      </c>
      <c r="F633" t="s">
        <v>85</v>
      </c>
      <c r="G633">
        <v>825552</v>
      </c>
      <c r="H633">
        <v>4511572593</v>
      </c>
      <c r="I633">
        <v>20</v>
      </c>
      <c r="J633" s="29">
        <v>1</v>
      </c>
      <c r="K633" s="29" t="s">
        <v>915</v>
      </c>
      <c r="L633" t="str">
        <f>IFERROR(VLOOKUP(Detalle_OC[[#This Row],[Centro]]&amp;Detalle_OC[[#This Row],[Nro Almacen]],Almacen!A:D,4,FALSE),"")</f>
        <v>Montelima</v>
      </c>
    </row>
    <row r="634" spans="1:12" x14ac:dyDescent="0.3">
      <c r="A634" s="29" t="str">
        <f>Detalle_OC[[#This Row],[Centro]]&amp;Detalle_OC[[#This Row],[Nom Almacen]]&amp;Detalle_OC[[#This Row],[Material]]&amp;Detalle_OC[[#This Row],[Pedido]]&amp;Detalle_OC[[#This Row],[Posicion]]</f>
        <v>Sucroalcolera del Chira PlantaMontelima825564451157259330</v>
      </c>
      <c r="B634" t="s">
        <v>151</v>
      </c>
      <c r="C634" t="s">
        <v>137</v>
      </c>
      <c r="D634" s="11">
        <v>45644</v>
      </c>
      <c r="E634" t="s">
        <v>51</v>
      </c>
      <c r="F634" t="s">
        <v>85</v>
      </c>
      <c r="G634">
        <v>825564</v>
      </c>
      <c r="H634">
        <v>4511572593</v>
      </c>
      <c r="I634">
        <v>30</v>
      </c>
      <c r="J634" s="29">
        <v>1</v>
      </c>
      <c r="K634" s="29" t="s">
        <v>915</v>
      </c>
      <c r="L634" t="str">
        <f>IFERROR(VLOOKUP(Detalle_OC[[#This Row],[Centro]]&amp;Detalle_OC[[#This Row],[Nro Almacen]],Almacen!A:D,4,FALSE),"")</f>
        <v>Montelima</v>
      </c>
    </row>
    <row r="635" spans="1:12" x14ac:dyDescent="0.3">
      <c r="A635" s="29" t="str">
        <f>Detalle_OC[[#This Row],[Centro]]&amp;Detalle_OC[[#This Row],[Nom Almacen]]&amp;Detalle_OC[[#This Row],[Material]]&amp;Detalle_OC[[#This Row],[Pedido]]&amp;Detalle_OC[[#This Row],[Posicion]]</f>
        <v>Sucroalcolera del Chira PlantaMontelima70094027451157259340</v>
      </c>
      <c r="B635" t="s">
        <v>151</v>
      </c>
      <c r="C635" t="s">
        <v>137</v>
      </c>
      <c r="D635" s="11">
        <v>45644</v>
      </c>
      <c r="E635" t="s">
        <v>51</v>
      </c>
      <c r="F635" t="s">
        <v>85</v>
      </c>
      <c r="G635">
        <v>70094027</v>
      </c>
      <c r="H635">
        <v>4511572593</v>
      </c>
      <c r="I635">
        <v>40</v>
      </c>
      <c r="J635" s="29">
        <v>1</v>
      </c>
      <c r="K635" s="29" t="s">
        <v>915</v>
      </c>
      <c r="L635" t="str">
        <f>IFERROR(VLOOKUP(Detalle_OC[[#This Row],[Centro]]&amp;Detalle_OC[[#This Row],[Nro Almacen]],Almacen!A:D,4,FALSE),"")</f>
        <v>Montelima</v>
      </c>
    </row>
    <row r="636" spans="1:12" x14ac:dyDescent="0.3">
      <c r="A636" s="29" t="str">
        <f>Detalle_OC[[#This Row],[Centro]]&amp;Detalle_OC[[#This Row],[Nom Almacen]]&amp;Detalle_OC[[#This Row],[Material]]&amp;Detalle_OC[[#This Row],[Pedido]]&amp;Detalle_OC[[#This Row],[Posicion]]</f>
        <v>Sucroalcolera del Chira PlantaMontelima70094051451157259350</v>
      </c>
      <c r="B636" t="s">
        <v>151</v>
      </c>
      <c r="C636" t="s">
        <v>137</v>
      </c>
      <c r="D636" s="11">
        <v>45644</v>
      </c>
      <c r="E636" t="s">
        <v>51</v>
      </c>
      <c r="F636" t="s">
        <v>85</v>
      </c>
      <c r="G636">
        <v>70094051</v>
      </c>
      <c r="H636">
        <v>4511572593</v>
      </c>
      <c r="I636">
        <v>50</v>
      </c>
      <c r="J636" s="29">
        <v>1</v>
      </c>
      <c r="K636" s="29" t="s">
        <v>915</v>
      </c>
      <c r="L636" t="str">
        <f>IFERROR(VLOOKUP(Detalle_OC[[#This Row],[Centro]]&amp;Detalle_OC[[#This Row],[Nro Almacen]],Almacen!A:D,4,FALSE),"")</f>
        <v>Montelima</v>
      </c>
    </row>
    <row r="637" spans="1:12" x14ac:dyDescent="0.3">
      <c r="A637" s="29" t="str">
        <f>Detalle_OC[[#This Row],[Centro]]&amp;Detalle_OC[[#This Row],[Nom Almacen]]&amp;Detalle_OC[[#This Row],[Material]]&amp;Detalle_OC[[#This Row],[Pedido]]&amp;Detalle_OC[[#This Row],[Posicion]]</f>
        <v>Agricola del Chira PlantaMontelima731436451157263310</v>
      </c>
      <c r="B637" t="s">
        <v>1140</v>
      </c>
      <c r="C637" t="s">
        <v>44</v>
      </c>
      <c r="D637" s="11">
        <v>45644</v>
      </c>
      <c r="E637" t="s">
        <v>16</v>
      </c>
      <c r="F637" t="s">
        <v>12</v>
      </c>
      <c r="G637">
        <v>731436</v>
      </c>
      <c r="H637">
        <v>4511572633</v>
      </c>
      <c r="I637">
        <v>10</v>
      </c>
      <c r="J637" s="29">
        <v>1</v>
      </c>
      <c r="K637" s="29" t="s">
        <v>915</v>
      </c>
      <c r="L637" t="str">
        <f>IFERROR(VLOOKUP(Detalle_OC[[#This Row],[Centro]]&amp;Detalle_OC[[#This Row],[Nro Almacen]],Almacen!A:D,4,FALSE),"")</f>
        <v>Montelima</v>
      </c>
    </row>
    <row r="638" spans="1:12" x14ac:dyDescent="0.3">
      <c r="A638" s="29" t="str">
        <f>Detalle_OC[[#This Row],[Centro]]&amp;Detalle_OC[[#This Row],[Nom Almacen]]&amp;Detalle_OC[[#This Row],[Material]]&amp;Detalle_OC[[#This Row],[Pedido]]&amp;Detalle_OC[[#This Row],[Posicion]]</f>
        <v>Agricola del Chira PlantaMontelima70121950451157264910</v>
      </c>
      <c r="B638" t="s">
        <v>263</v>
      </c>
      <c r="C638" t="s">
        <v>1112</v>
      </c>
      <c r="D638" s="11">
        <v>45304</v>
      </c>
      <c r="E638" t="s">
        <v>16</v>
      </c>
      <c r="F638" t="s">
        <v>12</v>
      </c>
      <c r="G638">
        <v>70121950</v>
      </c>
      <c r="H638">
        <v>4511572649</v>
      </c>
      <c r="I638">
        <v>10</v>
      </c>
      <c r="J638" s="29">
        <v>1</v>
      </c>
      <c r="K638" s="29" t="s">
        <v>915</v>
      </c>
      <c r="L638" t="str">
        <f>IFERROR(VLOOKUP(Detalle_OC[[#This Row],[Centro]]&amp;Detalle_OC[[#This Row],[Nro Almacen]],Almacen!A:D,4,FALSE),"")</f>
        <v>Montelima</v>
      </c>
    </row>
    <row r="639" spans="1:12" x14ac:dyDescent="0.3">
      <c r="A639" s="29" t="str">
        <f>Detalle_OC[[#This Row],[Centro]]&amp;Detalle_OC[[#This Row],[Nom Almacen]]&amp;Detalle_OC[[#This Row],[Material]]&amp;Detalle_OC[[#This Row],[Pedido]]&amp;Detalle_OC[[#This Row],[Posicion]]</f>
        <v>Sucroalcolera del Chira PlantaMontelimaMWACIDOSULFURICO  451157265110</v>
      </c>
      <c r="B639" t="s">
        <v>153</v>
      </c>
      <c r="C639" t="s">
        <v>112</v>
      </c>
      <c r="D639" s="11">
        <v>45663</v>
      </c>
      <c r="E639" t="s">
        <v>16</v>
      </c>
      <c r="F639" t="s">
        <v>85</v>
      </c>
      <c r="G639" t="s">
        <v>1012</v>
      </c>
      <c r="H639">
        <v>4511572651</v>
      </c>
      <c r="I639">
        <v>10</v>
      </c>
      <c r="J639" s="29">
        <v>1</v>
      </c>
      <c r="K639" s="29" t="s">
        <v>915</v>
      </c>
      <c r="L639" t="str">
        <f>IFERROR(VLOOKUP(Detalle_OC[[#This Row],[Centro]]&amp;Detalle_OC[[#This Row],[Nro Almacen]],Almacen!A:D,4,FALSE),"")</f>
        <v>Montelima</v>
      </c>
    </row>
    <row r="640" spans="1:12" x14ac:dyDescent="0.3">
      <c r="A640" s="29" t="str">
        <f>Detalle_OC[[#This Row],[Centro]]&amp;Detalle_OC[[#This Row],[Nom Almacen]]&amp;Detalle_OC[[#This Row],[Material]]&amp;Detalle_OC[[#This Row],[Pedido]]&amp;Detalle_OC[[#This Row],[Posicion]]</f>
        <v>Agricola del Chira PlantaLa Huaca70003825451157265210</v>
      </c>
      <c r="B640" t="s">
        <v>26</v>
      </c>
      <c r="C640" t="s">
        <v>49</v>
      </c>
      <c r="D640" s="11">
        <v>45657</v>
      </c>
      <c r="E640" t="s">
        <v>16</v>
      </c>
      <c r="F640" t="s">
        <v>12</v>
      </c>
      <c r="G640">
        <v>70003825</v>
      </c>
      <c r="H640">
        <v>4511572652</v>
      </c>
      <c r="I640">
        <v>10</v>
      </c>
      <c r="J640" s="29">
        <v>2</v>
      </c>
      <c r="K640" s="29" t="s">
        <v>915</v>
      </c>
      <c r="L640" t="str">
        <f>IFERROR(VLOOKUP(Detalle_OC[[#This Row],[Centro]]&amp;Detalle_OC[[#This Row],[Nro Almacen]],Almacen!A:D,4,FALSE),"")</f>
        <v>La Huaca</v>
      </c>
    </row>
    <row r="641" spans="1:12" x14ac:dyDescent="0.3">
      <c r="A641" s="29" t="str">
        <f>Detalle_OC[[#This Row],[Centro]]&amp;Detalle_OC[[#This Row],[Nom Almacen]]&amp;Detalle_OC[[#This Row],[Material]]&amp;Detalle_OC[[#This Row],[Pedido]]&amp;Detalle_OC[[#This Row],[Posicion]]</f>
        <v>Agricola del Chira PlantaAlmacen Lobo70077136451157265220</v>
      </c>
      <c r="B641" t="s">
        <v>33</v>
      </c>
      <c r="C641" t="s">
        <v>49</v>
      </c>
      <c r="D641" s="11">
        <v>45657</v>
      </c>
      <c r="E641" t="s">
        <v>16</v>
      </c>
      <c r="F641" t="s">
        <v>12</v>
      </c>
      <c r="G641">
        <v>70077136</v>
      </c>
      <c r="H641">
        <v>4511572652</v>
      </c>
      <c r="I641">
        <v>20</v>
      </c>
      <c r="J641" s="29">
        <v>7</v>
      </c>
      <c r="K641" s="29" t="s">
        <v>915</v>
      </c>
      <c r="L641" t="str">
        <f>IFERROR(VLOOKUP(Detalle_OC[[#This Row],[Centro]]&amp;Detalle_OC[[#This Row],[Nro Almacen]],Almacen!A:D,4,FALSE),"")</f>
        <v>Almacen Lobo</v>
      </c>
    </row>
    <row r="642" spans="1:12" x14ac:dyDescent="0.3">
      <c r="A642" s="29" t="str">
        <f>Detalle_OC[[#This Row],[Centro]]&amp;Detalle_OC[[#This Row],[Nom Almacen]]&amp;Detalle_OC[[#This Row],[Material]]&amp;Detalle_OC[[#This Row],[Pedido]]&amp;Detalle_OC[[#This Row],[Posicion]]</f>
        <v>Agricola del Chira PlantaAlmacen LoboCF32060185        451157265230</v>
      </c>
      <c r="B642" t="s">
        <v>33</v>
      </c>
      <c r="C642" t="s">
        <v>49</v>
      </c>
      <c r="D642" s="11">
        <v>45657</v>
      </c>
      <c r="E642" t="s">
        <v>16</v>
      </c>
      <c r="F642" t="s">
        <v>12</v>
      </c>
      <c r="G642" t="s">
        <v>253</v>
      </c>
      <c r="H642">
        <v>4511572652</v>
      </c>
      <c r="I642">
        <v>30</v>
      </c>
      <c r="J642" s="29">
        <v>7</v>
      </c>
      <c r="K642" s="29" t="s">
        <v>915</v>
      </c>
      <c r="L642" t="str">
        <f>IFERROR(VLOOKUP(Detalle_OC[[#This Row],[Centro]]&amp;Detalle_OC[[#This Row],[Nro Almacen]],Almacen!A:D,4,FALSE),"")</f>
        <v>Almacen Lobo</v>
      </c>
    </row>
    <row r="643" spans="1:12" x14ac:dyDescent="0.3">
      <c r="A643" s="29" t="str">
        <f>Detalle_OC[[#This Row],[Centro]]&amp;Detalle_OC[[#This Row],[Nom Almacen]]&amp;Detalle_OC[[#This Row],[Material]]&amp;Detalle_OC[[#This Row],[Pedido]]&amp;Detalle_OC[[#This Row],[Posicion]]</f>
        <v>Sucroalcolera del Chira PlantaMontelima70023739451157265310</v>
      </c>
      <c r="B643" t="s">
        <v>138</v>
      </c>
      <c r="C643" t="s">
        <v>49</v>
      </c>
      <c r="D643" s="11">
        <v>45657</v>
      </c>
      <c r="E643" t="s">
        <v>16</v>
      </c>
      <c r="F643" t="s">
        <v>85</v>
      </c>
      <c r="G643">
        <v>70023739</v>
      </c>
      <c r="H643">
        <v>4511572653</v>
      </c>
      <c r="I643">
        <v>10</v>
      </c>
      <c r="J643" s="29">
        <v>1</v>
      </c>
      <c r="K643" s="29" t="s">
        <v>915</v>
      </c>
      <c r="L643" t="str">
        <f>IFERROR(VLOOKUP(Detalle_OC[[#This Row],[Centro]]&amp;Detalle_OC[[#This Row],[Nro Almacen]],Almacen!A:D,4,FALSE),"")</f>
        <v>Montelima</v>
      </c>
    </row>
    <row r="644" spans="1:12" x14ac:dyDescent="0.3">
      <c r="A644" s="29" t="str">
        <f>Detalle_OC[[#This Row],[Centro]]&amp;Detalle_OC[[#This Row],[Nom Almacen]]&amp;Detalle_OC[[#This Row],[Material]]&amp;Detalle_OC[[#This Row],[Pedido]]&amp;Detalle_OC[[#This Row],[Posicion]]</f>
        <v>Sucroalcolera del Chira PlantaMontelima815442451157266010</v>
      </c>
      <c r="B644" t="s">
        <v>142</v>
      </c>
      <c r="C644" t="s">
        <v>84</v>
      </c>
      <c r="D644" s="11">
        <v>45657</v>
      </c>
      <c r="E644" t="s">
        <v>16</v>
      </c>
      <c r="F644" t="s">
        <v>85</v>
      </c>
      <c r="G644">
        <v>815442</v>
      </c>
      <c r="H644">
        <v>4511572660</v>
      </c>
      <c r="I644">
        <v>10</v>
      </c>
      <c r="J644" s="29">
        <v>1</v>
      </c>
      <c r="K644" s="29" t="s">
        <v>915</v>
      </c>
      <c r="L644" t="str">
        <f>IFERROR(VLOOKUP(Detalle_OC[[#This Row],[Centro]]&amp;Detalle_OC[[#This Row],[Nro Almacen]],Almacen!A:D,4,FALSE),"")</f>
        <v>Montelima</v>
      </c>
    </row>
    <row r="645" spans="1:12" x14ac:dyDescent="0.3">
      <c r="A645" s="29" t="str">
        <f>Detalle_OC[[#This Row],[Centro]]&amp;Detalle_OC[[#This Row],[Nom Almacen]]&amp;Detalle_OC[[#This Row],[Material]]&amp;Detalle_OC[[#This Row],[Pedido]]&amp;Detalle_OC[[#This Row],[Posicion]]</f>
        <v>Sucroalcolera del Chira PlantaMontelima853081451157266020</v>
      </c>
      <c r="B645" t="s">
        <v>138</v>
      </c>
      <c r="C645" t="s">
        <v>84</v>
      </c>
      <c r="D645" s="11">
        <v>45657</v>
      </c>
      <c r="E645" t="s">
        <v>16</v>
      </c>
      <c r="F645" t="s">
        <v>85</v>
      </c>
      <c r="G645">
        <v>853081</v>
      </c>
      <c r="H645">
        <v>4511572660</v>
      </c>
      <c r="I645">
        <v>20</v>
      </c>
      <c r="J645" s="29">
        <v>1</v>
      </c>
      <c r="K645" s="29" t="s">
        <v>915</v>
      </c>
      <c r="L645" t="str">
        <f>IFERROR(VLOOKUP(Detalle_OC[[#This Row],[Centro]]&amp;Detalle_OC[[#This Row],[Nro Almacen]],Almacen!A:D,4,FALSE),"")</f>
        <v>Montelima</v>
      </c>
    </row>
    <row r="646" spans="1:12" x14ac:dyDescent="0.3">
      <c r="A646" s="29" t="str">
        <f>Detalle_OC[[#This Row],[Centro]]&amp;Detalle_OC[[#This Row],[Nom Almacen]]&amp;Detalle_OC[[#This Row],[Material]]&amp;Detalle_OC[[#This Row],[Pedido]]&amp;Detalle_OC[[#This Row],[Posicion]]</f>
        <v>Sucroalcolera del Chira PlantaMontelima707297451157266030</v>
      </c>
      <c r="B646" t="s">
        <v>138</v>
      </c>
      <c r="C646" t="s">
        <v>84</v>
      </c>
      <c r="D646" s="11">
        <v>45657</v>
      </c>
      <c r="E646" t="s">
        <v>16</v>
      </c>
      <c r="F646" t="s">
        <v>85</v>
      </c>
      <c r="G646">
        <v>707297</v>
      </c>
      <c r="H646">
        <v>4511572660</v>
      </c>
      <c r="I646">
        <v>30</v>
      </c>
      <c r="J646" s="29">
        <v>1</v>
      </c>
      <c r="K646" s="29" t="s">
        <v>915</v>
      </c>
      <c r="L646" t="str">
        <f>IFERROR(VLOOKUP(Detalle_OC[[#This Row],[Centro]]&amp;Detalle_OC[[#This Row],[Nro Almacen]],Almacen!A:D,4,FALSE),"")</f>
        <v>Montelima</v>
      </c>
    </row>
    <row r="647" spans="1:12" x14ac:dyDescent="0.3">
      <c r="A647" s="29" t="str">
        <f>Detalle_OC[[#This Row],[Centro]]&amp;Detalle_OC[[#This Row],[Nom Almacen]]&amp;Detalle_OC[[#This Row],[Material]]&amp;Detalle_OC[[#This Row],[Pedido]]&amp;Detalle_OC[[#This Row],[Posicion]]</f>
        <v>Sucroalcolera del Chira PlantaMontelima837723451157266040</v>
      </c>
      <c r="B647" t="s">
        <v>138</v>
      </c>
      <c r="C647" t="s">
        <v>84</v>
      </c>
      <c r="D647" s="11">
        <v>45657</v>
      </c>
      <c r="E647" t="s">
        <v>16</v>
      </c>
      <c r="F647" t="s">
        <v>85</v>
      </c>
      <c r="G647">
        <v>837723</v>
      </c>
      <c r="H647">
        <v>4511572660</v>
      </c>
      <c r="I647">
        <v>40</v>
      </c>
      <c r="J647" s="29">
        <v>1</v>
      </c>
      <c r="K647" s="29" t="s">
        <v>915</v>
      </c>
      <c r="L647" t="str">
        <f>IFERROR(VLOOKUP(Detalle_OC[[#This Row],[Centro]]&amp;Detalle_OC[[#This Row],[Nro Almacen]],Almacen!A:D,4,FALSE),"")</f>
        <v>Montelima</v>
      </c>
    </row>
    <row r="648" spans="1:12" x14ac:dyDescent="0.3">
      <c r="A648" s="29" t="str">
        <f>Detalle_OC[[#This Row],[Centro]]&amp;Detalle_OC[[#This Row],[Nom Almacen]]&amp;Detalle_OC[[#This Row],[Material]]&amp;Detalle_OC[[#This Row],[Pedido]]&amp;Detalle_OC[[#This Row],[Posicion]]</f>
        <v>Sucroalcolera del Chira PlantaMontelima70135946451157266050</v>
      </c>
      <c r="B648" t="s">
        <v>138</v>
      </c>
      <c r="C648" t="s">
        <v>84</v>
      </c>
      <c r="D648" s="11">
        <v>45657</v>
      </c>
      <c r="E648" t="s">
        <v>16</v>
      </c>
      <c r="F648" t="s">
        <v>85</v>
      </c>
      <c r="G648">
        <v>70135946</v>
      </c>
      <c r="H648">
        <v>4511572660</v>
      </c>
      <c r="I648">
        <v>50</v>
      </c>
      <c r="J648" s="29">
        <v>1</v>
      </c>
      <c r="K648" s="29" t="s">
        <v>915</v>
      </c>
      <c r="L648" t="str">
        <f>IFERROR(VLOOKUP(Detalle_OC[[#This Row],[Centro]]&amp;Detalle_OC[[#This Row],[Nro Almacen]],Almacen!A:D,4,FALSE),"")</f>
        <v>Montelima</v>
      </c>
    </row>
    <row r="649" spans="1:12" x14ac:dyDescent="0.3">
      <c r="A649" s="29" t="str">
        <f>Detalle_OC[[#This Row],[Centro]]&amp;Detalle_OC[[#This Row],[Nom Almacen]]&amp;Detalle_OC[[#This Row],[Material]]&amp;Detalle_OC[[#This Row],[Pedido]]&amp;Detalle_OC[[#This Row],[Posicion]]</f>
        <v>Sucroalcolera del Chira PlantaMontelimaCS34015056        451157266060</v>
      </c>
      <c r="B649" t="s">
        <v>202</v>
      </c>
      <c r="C649" t="s">
        <v>84</v>
      </c>
      <c r="D649" s="11">
        <v>45657</v>
      </c>
      <c r="E649" t="s">
        <v>16</v>
      </c>
      <c r="F649" t="s">
        <v>85</v>
      </c>
      <c r="G649" t="s">
        <v>1063</v>
      </c>
      <c r="H649">
        <v>4511572660</v>
      </c>
      <c r="I649">
        <v>60</v>
      </c>
      <c r="J649" s="29">
        <v>1</v>
      </c>
      <c r="K649" s="29" t="s">
        <v>915</v>
      </c>
      <c r="L649" t="str">
        <f>IFERROR(VLOOKUP(Detalle_OC[[#This Row],[Centro]]&amp;Detalle_OC[[#This Row],[Nro Almacen]],Almacen!A:D,4,FALSE),"")</f>
        <v>Montelima</v>
      </c>
    </row>
    <row r="650" spans="1:12" x14ac:dyDescent="0.3">
      <c r="A650" s="29" t="str">
        <f>Detalle_OC[[#This Row],[Centro]]&amp;Detalle_OC[[#This Row],[Nom Almacen]]&amp;Detalle_OC[[#This Row],[Material]]&amp;Detalle_OC[[#This Row],[Pedido]]&amp;Detalle_OC[[#This Row],[Posicion]]</f>
        <v>Agricola del Chira PlantaMontelima70050498550002488140</v>
      </c>
      <c r="B650" t="s">
        <v>28</v>
      </c>
      <c r="C650" t="s">
        <v>52</v>
      </c>
      <c r="D650" s="11">
        <v>45639</v>
      </c>
      <c r="E650" t="s">
        <v>16</v>
      </c>
      <c r="F650" t="s">
        <v>12</v>
      </c>
      <c r="G650">
        <v>70050498</v>
      </c>
      <c r="H650">
        <v>5500024881</v>
      </c>
      <c r="I650">
        <v>40</v>
      </c>
      <c r="J650" s="29">
        <v>1</v>
      </c>
      <c r="K650" s="29" t="s">
        <v>915</v>
      </c>
      <c r="L650" t="str">
        <f>IFERROR(VLOOKUP(Detalle_OC[[#This Row],[Centro]]&amp;Detalle_OC[[#This Row],[Nro Almacen]],Almacen!A:D,4,FALSE),"")</f>
        <v>Montelima</v>
      </c>
    </row>
    <row r="651" spans="1:12" x14ac:dyDescent="0.3">
      <c r="A651" s="29" t="str">
        <f>Detalle_OC[[#This Row],[Centro]]&amp;Detalle_OC[[#This Row],[Nom Almacen]]&amp;Detalle_OC[[#This Row],[Material]]&amp;Detalle_OC[[#This Row],[Pedido]]&amp;Detalle_OC[[#This Row],[Posicion]]</f>
        <v>Agricola del Chira PlantaSan Vicente70050498550002488150</v>
      </c>
      <c r="B651" t="s">
        <v>28</v>
      </c>
      <c r="C651" t="s">
        <v>52</v>
      </c>
      <c r="D651" s="11">
        <v>45639</v>
      </c>
      <c r="E651" t="s">
        <v>16</v>
      </c>
      <c r="F651" t="s">
        <v>12</v>
      </c>
      <c r="G651">
        <v>70050498</v>
      </c>
      <c r="H651">
        <v>5500024881</v>
      </c>
      <c r="I651">
        <v>50</v>
      </c>
      <c r="J651" s="29">
        <v>3</v>
      </c>
      <c r="K651" s="29" t="s">
        <v>915</v>
      </c>
      <c r="L651" t="str">
        <f>IFERROR(VLOOKUP(Detalle_OC[[#This Row],[Centro]]&amp;Detalle_OC[[#This Row],[Nro Almacen]],Almacen!A:D,4,FALSE),"")</f>
        <v>San Vicente</v>
      </c>
    </row>
    <row r="652" spans="1:12" x14ac:dyDescent="0.3">
      <c r="A652" s="29" t="str">
        <f>Detalle_OC[[#This Row],[Centro]]&amp;Detalle_OC[[#This Row],[Nom Almacen]]&amp;Detalle_OC[[#This Row],[Material]]&amp;Detalle_OC[[#This Row],[Pedido]]&amp;Detalle_OC[[#This Row],[Posicion]]</f>
        <v>Agricola del Chira PlantaMontelima700580015500024881160</v>
      </c>
      <c r="B652" t="s">
        <v>28</v>
      </c>
      <c r="C652" t="s">
        <v>52</v>
      </c>
      <c r="D652" s="11">
        <v>45639</v>
      </c>
      <c r="E652" t="s">
        <v>16</v>
      </c>
      <c r="F652" t="s">
        <v>12</v>
      </c>
      <c r="G652">
        <v>70058001</v>
      </c>
      <c r="H652">
        <v>5500024881</v>
      </c>
      <c r="I652">
        <v>160</v>
      </c>
      <c r="J652" s="29">
        <v>1</v>
      </c>
      <c r="K652" s="29" t="s">
        <v>915</v>
      </c>
      <c r="L652" t="str">
        <f>IFERROR(VLOOKUP(Detalle_OC[[#This Row],[Centro]]&amp;Detalle_OC[[#This Row],[Nro Almacen]],Almacen!A:D,4,FALSE),"")</f>
        <v>Montelima</v>
      </c>
    </row>
    <row r="653" spans="1:12" x14ac:dyDescent="0.3">
      <c r="A653" s="29" t="str">
        <f>Detalle_OC[[#This Row],[Centro]]&amp;Detalle_OC[[#This Row],[Nom Almacen]]&amp;Detalle_OC[[#This Row],[Material]]&amp;Detalle_OC[[#This Row],[Pedido]]&amp;Detalle_OC[[#This Row],[Posicion]]</f>
        <v>Agricola del Chira PlantaAlmacen Lobo700580015500024881180</v>
      </c>
      <c r="B653" t="s">
        <v>28</v>
      </c>
      <c r="C653" t="s">
        <v>52</v>
      </c>
      <c r="D653" s="11">
        <v>45639</v>
      </c>
      <c r="E653" t="s">
        <v>16</v>
      </c>
      <c r="F653" t="s">
        <v>12</v>
      </c>
      <c r="G653">
        <v>70058001</v>
      </c>
      <c r="H653">
        <v>5500024881</v>
      </c>
      <c r="I653">
        <v>180</v>
      </c>
      <c r="J653" s="29">
        <v>7</v>
      </c>
      <c r="K653" s="29" t="s">
        <v>915</v>
      </c>
      <c r="L653" t="str">
        <f>IFERROR(VLOOKUP(Detalle_OC[[#This Row],[Centro]]&amp;Detalle_OC[[#This Row],[Nro Almacen]],Almacen!A:D,4,FALSE),"")</f>
        <v>Almacen Lobo</v>
      </c>
    </row>
    <row r="654" spans="1:12" x14ac:dyDescent="0.3">
      <c r="A654" s="29" t="str">
        <f>Detalle_OC[[#This Row],[Centro]]&amp;Detalle_OC[[#This Row],[Nom Almacen]]&amp;Detalle_OC[[#This Row],[Material]]&amp;Detalle_OC[[#This Row],[Pedido]]&amp;Detalle_OC[[#This Row],[Posicion]]</f>
        <v>Agricola del Chira PlantaMontelima700657865500024881200</v>
      </c>
      <c r="B654" t="s">
        <v>28</v>
      </c>
      <c r="C654" t="s">
        <v>52</v>
      </c>
      <c r="D654" s="11">
        <v>45639</v>
      </c>
      <c r="E654" t="s">
        <v>16</v>
      </c>
      <c r="F654" t="s">
        <v>12</v>
      </c>
      <c r="G654">
        <v>70065786</v>
      </c>
      <c r="H654">
        <v>5500024881</v>
      </c>
      <c r="I654">
        <v>200</v>
      </c>
      <c r="J654" s="29">
        <v>1</v>
      </c>
      <c r="K654" s="29" t="s">
        <v>915</v>
      </c>
      <c r="L654" t="str">
        <f>IFERROR(VLOOKUP(Detalle_OC[[#This Row],[Centro]]&amp;Detalle_OC[[#This Row],[Nro Almacen]],Almacen!A:D,4,FALSE),"")</f>
        <v>Montelima</v>
      </c>
    </row>
    <row r="655" spans="1:12" x14ac:dyDescent="0.3">
      <c r="A655" s="29" t="str">
        <f>Detalle_OC[[#This Row],[Centro]]&amp;Detalle_OC[[#This Row],[Nom Almacen]]&amp;Detalle_OC[[#This Row],[Material]]&amp;Detalle_OC[[#This Row],[Pedido]]&amp;Detalle_OC[[#This Row],[Posicion]]</f>
        <v>Agricola del Chira PlantaSan Vicente700657865500024881210</v>
      </c>
      <c r="B655" t="s">
        <v>28</v>
      </c>
      <c r="C655" t="s">
        <v>52</v>
      </c>
      <c r="D655" s="11">
        <v>45639</v>
      </c>
      <c r="E655" t="s">
        <v>16</v>
      </c>
      <c r="F655" t="s">
        <v>12</v>
      </c>
      <c r="G655">
        <v>70065786</v>
      </c>
      <c r="H655">
        <v>5500024881</v>
      </c>
      <c r="I655">
        <v>210</v>
      </c>
      <c r="J655" s="29">
        <v>3</v>
      </c>
      <c r="K655" s="29" t="s">
        <v>915</v>
      </c>
      <c r="L655" t="str">
        <f>IFERROR(VLOOKUP(Detalle_OC[[#This Row],[Centro]]&amp;Detalle_OC[[#This Row],[Nro Almacen]],Almacen!A:D,4,FALSE),"")</f>
        <v>San Vicente</v>
      </c>
    </row>
    <row r="656" spans="1:12" x14ac:dyDescent="0.3">
      <c r="A656" s="29" t="str">
        <f>Detalle_OC[[#This Row],[Centro]]&amp;Detalle_OC[[#This Row],[Nom Almacen]]&amp;Detalle_OC[[#This Row],[Material]]&amp;Detalle_OC[[#This Row],[Pedido]]&amp;Detalle_OC[[#This Row],[Posicion]]</f>
        <v>Agricola del Chira PlantaLa Huaca70003837451157246010</v>
      </c>
      <c r="B656" t="s">
        <v>50</v>
      </c>
      <c r="C656" t="s">
        <v>42</v>
      </c>
      <c r="D656" s="11">
        <v>45642</v>
      </c>
      <c r="E656" t="s">
        <v>16</v>
      </c>
      <c r="F656" t="s">
        <v>12</v>
      </c>
      <c r="G656">
        <v>70003837</v>
      </c>
      <c r="H656">
        <v>4511572460</v>
      </c>
      <c r="I656">
        <v>10</v>
      </c>
      <c r="J656" s="29">
        <v>2</v>
      </c>
      <c r="K656" s="29" t="s">
        <v>898</v>
      </c>
      <c r="L656" t="str">
        <f>IFERROR(VLOOKUP(Detalle_OC[[#This Row],[Centro]]&amp;Detalle_OC[[#This Row],[Nro Almacen]],Almacen!A:D,4,FALSE),"")</f>
        <v>La Huaca</v>
      </c>
    </row>
    <row r="657" spans="1:12" x14ac:dyDescent="0.3">
      <c r="A657" s="29" t="str">
        <f>Detalle_OC[[#This Row],[Centro]]&amp;Detalle_OC[[#This Row],[Nom Almacen]]&amp;Detalle_OC[[#This Row],[Material]]&amp;Detalle_OC[[#This Row],[Pedido]]&amp;Detalle_OC[[#This Row],[Posicion]]</f>
        <v>Agricola del Chira PlantaLa Huaca70061785451157246020</v>
      </c>
      <c r="B657" t="s">
        <v>50</v>
      </c>
      <c r="C657" t="s">
        <v>42</v>
      </c>
      <c r="D657" s="11">
        <v>45642</v>
      </c>
      <c r="E657" t="s">
        <v>16</v>
      </c>
      <c r="F657" t="s">
        <v>12</v>
      </c>
      <c r="G657">
        <v>70061785</v>
      </c>
      <c r="H657">
        <v>4511572460</v>
      </c>
      <c r="I657">
        <v>20</v>
      </c>
      <c r="J657" s="29">
        <v>2</v>
      </c>
      <c r="K657" s="29" t="s">
        <v>898</v>
      </c>
      <c r="L657" t="str">
        <f>IFERROR(VLOOKUP(Detalle_OC[[#This Row],[Centro]]&amp;Detalle_OC[[#This Row],[Nro Almacen]],Almacen!A:D,4,FALSE),"")</f>
        <v>La Huaca</v>
      </c>
    </row>
    <row r="658" spans="1:12" x14ac:dyDescent="0.3">
      <c r="A658" s="29" t="str">
        <f>Detalle_OC[[#This Row],[Centro]]&amp;Detalle_OC[[#This Row],[Nom Almacen]]&amp;Detalle_OC[[#This Row],[Material]]&amp;Detalle_OC[[#This Row],[Pedido]]&amp;Detalle_OC[[#This Row],[Posicion]]</f>
        <v>Agricola del Chira PlantaLa Huaca70061786451157246030</v>
      </c>
      <c r="B658" t="s">
        <v>50</v>
      </c>
      <c r="C658" t="s">
        <v>42</v>
      </c>
      <c r="D658" s="11">
        <v>45642</v>
      </c>
      <c r="E658" t="s">
        <v>16</v>
      </c>
      <c r="F658" t="s">
        <v>12</v>
      </c>
      <c r="G658">
        <v>70061786</v>
      </c>
      <c r="H658">
        <v>4511572460</v>
      </c>
      <c r="I658">
        <v>30</v>
      </c>
      <c r="J658" s="29">
        <v>2</v>
      </c>
      <c r="K658" s="29" t="s">
        <v>898</v>
      </c>
      <c r="L658" t="str">
        <f>IFERROR(VLOOKUP(Detalle_OC[[#This Row],[Centro]]&amp;Detalle_OC[[#This Row],[Nro Almacen]],Almacen!A:D,4,FALSE),"")</f>
        <v>La Huaca</v>
      </c>
    </row>
    <row r="659" spans="1:12" x14ac:dyDescent="0.3">
      <c r="A659" s="29" t="str">
        <f>Detalle_OC[[#This Row],[Centro]]&amp;Detalle_OC[[#This Row],[Nom Almacen]]&amp;Detalle_OC[[#This Row],[Material]]&amp;Detalle_OC[[#This Row],[Pedido]]&amp;Detalle_OC[[#This Row],[Posicion]]</f>
        <v>Agricola del Chira PlantaLa Huaca70082928451157246040</v>
      </c>
      <c r="B659" t="s">
        <v>50</v>
      </c>
      <c r="C659" t="s">
        <v>42</v>
      </c>
      <c r="D659" s="11">
        <v>45642</v>
      </c>
      <c r="E659" t="s">
        <v>16</v>
      </c>
      <c r="F659" t="s">
        <v>12</v>
      </c>
      <c r="G659">
        <v>70082928</v>
      </c>
      <c r="H659">
        <v>4511572460</v>
      </c>
      <c r="I659">
        <v>40</v>
      </c>
      <c r="J659" s="29">
        <v>2</v>
      </c>
      <c r="K659" s="29" t="s">
        <v>898</v>
      </c>
      <c r="L659" t="str">
        <f>IFERROR(VLOOKUP(Detalle_OC[[#This Row],[Centro]]&amp;Detalle_OC[[#This Row],[Nro Almacen]],Almacen!A:D,4,FALSE),"")</f>
        <v>La Huaca</v>
      </c>
    </row>
    <row r="660" spans="1:12" x14ac:dyDescent="0.3">
      <c r="A660" s="29" t="str">
        <f>Detalle_OC[[#This Row],[Centro]]&amp;Detalle_OC[[#This Row],[Nom Almacen]]&amp;Detalle_OC[[#This Row],[Material]]&amp;Detalle_OC[[#This Row],[Pedido]]&amp;Detalle_OC[[#This Row],[Posicion]]</f>
        <v>Agricola del Chira PlantaLa Huaca70098846451157246050</v>
      </c>
      <c r="B660" t="s">
        <v>50</v>
      </c>
      <c r="C660" t="s">
        <v>42</v>
      </c>
      <c r="D660" s="11">
        <v>45642</v>
      </c>
      <c r="E660" t="s">
        <v>16</v>
      </c>
      <c r="F660" t="s">
        <v>12</v>
      </c>
      <c r="G660">
        <v>70098846</v>
      </c>
      <c r="H660">
        <v>4511572460</v>
      </c>
      <c r="I660">
        <v>50</v>
      </c>
      <c r="J660" s="29">
        <v>2</v>
      </c>
      <c r="K660" s="29" t="s">
        <v>898</v>
      </c>
      <c r="L660" t="str">
        <f>IFERROR(VLOOKUP(Detalle_OC[[#This Row],[Centro]]&amp;Detalle_OC[[#This Row],[Nro Almacen]],Almacen!A:D,4,FALSE),"")</f>
        <v>La Huaca</v>
      </c>
    </row>
    <row r="661" spans="1:12" x14ac:dyDescent="0.3">
      <c r="A661" s="29" t="str">
        <f>Detalle_OC[[#This Row],[Centro]]&amp;Detalle_OC[[#This Row],[Nom Almacen]]&amp;Detalle_OC[[#This Row],[Material]]&amp;Detalle_OC[[#This Row],[Pedido]]&amp;Detalle_OC[[#This Row],[Posicion]]</f>
        <v>Agricola del Chira PlantaLa HuacaCA0770006625      451157246060</v>
      </c>
      <c r="B661" t="s">
        <v>50</v>
      </c>
      <c r="C661" t="s">
        <v>42</v>
      </c>
      <c r="D661" s="11">
        <v>45642</v>
      </c>
      <c r="E661" t="s">
        <v>16</v>
      </c>
      <c r="F661" t="s">
        <v>12</v>
      </c>
      <c r="G661" t="s">
        <v>1073</v>
      </c>
      <c r="H661">
        <v>4511572460</v>
      </c>
      <c r="I661">
        <v>60</v>
      </c>
      <c r="J661" s="29">
        <v>2</v>
      </c>
      <c r="K661" s="29" t="s">
        <v>898</v>
      </c>
      <c r="L661" t="str">
        <f>IFERROR(VLOOKUP(Detalle_OC[[#This Row],[Centro]]&amp;Detalle_OC[[#This Row],[Nro Almacen]],Almacen!A:D,4,FALSE),"")</f>
        <v>La Huaca</v>
      </c>
    </row>
    <row r="662" spans="1:12" x14ac:dyDescent="0.3">
      <c r="A662" s="29" t="str">
        <f>Detalle_OC[[#This Row],[Centro]]&amp;Detalle_OC[[#This Row],[Nom Almacen]]&amp;Detalle_OC[[#This Row],[Material]]&amp;Detalle_OC[[#This Row],[Pedido]]&amp;Detalle_OC[[#This Row],[Posicion]]</f>
        <v>Agricola del Chira PlantaLa Huaca70004596451157246610</v>
      </c>
      <c r="B662" t="s">
        <v>26</v>
      </c>
      <c r="C662" t="s">
        <v>240</v>
      </c>
      <c r="D662" s="11">
        <v>45646</v>
      </c>
      <c r="E662" t="s">
        <v>16</v>
      </c>
      <c r="F662" t="s">
        <v>12</v>
      </c>
      <c r="G662">
        <v>70004596</v>
      </c>
      <c r="H662">
        <v>4511572466</v>
      </c>
      <c r="I662">
        <v>10</v>
      </c>
      <c r="J662" s="29">
        <v>2</v>
      </c>
      <c r="K662" s="29" t="s">
        <v>898</v>
      </c>
      <c r="L662" t="str">
        <f>IFERROR(VLOOKUP(Detalle_OC[[#This Row],[Centro]]&amp;Detalle_OC[[#This Row],[Nro Almacen]],Almacen!A:D,4,FALSE),"")</f>
        <v>La Huaca</v>
      </c>
    </row>
    <row r="663" spans="1:12" x14ac:dyDescent="0.3">
      <c r="A663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fábrica70031500451157247010</v>
      </c>
      <c r="B663" t="s">
        <v>142</v>
      </c>
      <c r="C663" t="s">
        <v>1141</v>
      </c>
      <c r="D663" s="11">
        <v>45657</v>
      </c>
      <c r="E663" t="s">
        <v>16</v>
      </c>
      <c r="F663" t="s">
        <v>85</v>
      </c>
      <c r="G663">
        <v>70031500</v>
      </c>
      <c r="H663">
        <v>4511572470</v>
      </c>
      <c r="I663">
        <v>10</v>
      </c>
      <c r="J663" s="29">
        <v>9</v>
      </c>
      <c r="K663" s="29" t="s">
        <v>898</v>
      </c>
      <c r="L663" t="str">
        <f>IFERROR(VLOOKUP(Detalle_OC[[#This Row],[Centro]]&amp;Detalle_OC[[#This Row],[Nro Almacen]],Almacen!A:D,4,FALSE),"")</f>
        <v>Parada fábrica</v>
      </c>
    </row>
    <row r="664" spans="1:12" x14ac:dyDescent="0.3">
      <c r="A664" s="29" t="str">
        <f>Detalle_OC[[#This Row],[Centro]]&amp;Detalle_OC[[#This Row],[Nom Almacen]]&amp;Detalle_OC[[#This Row],[Material]]&amp;Detalle_OC[[#This Row],[Pedido]]&amp;Detalle_OC[[#This Row],[Posicion]]</f>
        <v>Agricola del Chira PlantaMontelima868161451157251210</v>
      </c>
      <c r="B664" t="s">
        <v>188</v>
      </c>
      <c r="C664" t="s">
        <v>27</v>
      </c>
      <c r="D664" s="11">
        <v>45663</v>
      </c>
      <c r="E664" t="s">
        <v>16</v>
      </c>
      <c r="F664" t="s">
        <v>12</v>
      </c>
      <c r="G664">
        <v>868161</v>
      </c>
      <c r="H664">
        <v>4511572512</v>
      </c>
      <c r="I664">
        <v>10</v>
      </c>
      <c r="J664" s="29">
        <v>1</v>
      </c>
      <c r="K664" s="29" t="s">
        <v>898</v>
      </c>
      <c r="L664" t="str">
        <f>IFERROR(VLOOKUP(Detalle_OC[[#This Row],[Centro]]&amp;Detalle_OC[[#This Row],[Nro Almacen]],Almacen!A:D,4,FALSE),"")</f>
        <v>Montelima</v>
      </c>
    </row>
    <row r="665" spans="1:12" x14ac:dyDescent="0.3">
      <c r="A665" s="29" t="str">
        <f>Detalle_OC[[#This Row],[Centro]]&amp;Detalle_OC[[#This Row],[Nom Almacen]]&amp;Detalle_OC[[#This Row],[Material]]&amp;Detalle_OC[[#This Row],[Pedido]]&amp;Detalle_OC[[#This Row],[Posicion]]</f>
        <v>Sucroalcolera del Chira PlantaMontelima70047886451157251310</v>
      </c>
      <c r="B665" t="s">
        <v>138</v>
      </c>
      <c r="C665" t="s">
        <v>161</v>
      </c>
      <c r="D665" s="11">
        <v>45657</v>
      </c>
      <c r="E665" t="s">
        <v>16</v>
      </c>
      <c r="F665" t="s">
        <v>85</v>
      </c>
      <c r="G665">
        <v>70047886</v>
      </c>
      <c r="H665">
        <v>4511572513</v>
      </c>
      <c r="I665">
        <v>10</v>
      </c>
      <c r="J665" s="29">
        <v>1</v>
      </c>
      <c r="K665" s="29" t="s">
        <v>898</v>
      </c>
      <c r="L665" t="str">
        <f>IFERROR(VLOOKUP(Detalle_OC[[#This Row],[Centro]]&amp;Detalle_OC[[#This Row],[Nro Almacen]],Almacen!A:D,4,FALSE),"")</f>
        <v>Montelima</v>
      </c>
    </row>
    <row r="666" spans="1:12" x14ac:dyDescent="0.3">
      <c r="A666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fábrica70062460451157251610</v>
      </c>
      <c r="B666" t="s">
        <v>142</v>
      </c>
      <c r="C666" t="s">
        <v>1142</v>
      </c>
      <c r="D666" s="11">
        <v>45656</v>
      </c>
      <c r="E666" t="s">
        <v>16</v>
      </c>
      <c r="F666" t="s">
        <v>85</v>
      </c>
      <c r="G666">
        <v>70062460</v>
      </c>
      <c r="H666">
        <v>4511572516</v>
      </c>
      <c r="I666">
        <v>10</v>
      </c>
      <c r="J666" s="29">
        <v>9</v>
      </c>
      <c r="K666" s="29" t="s">
        <v>898</v>
      </c>
      <c r="L666" t="str">
        <f>IFERROR(VLOOKUP(Detalle_OC[[#This Row],[Centro]]&amp;Detalle_OC[[#This Row],[Nro Almacen]],Almacen!A:D,4,FALSE),"")</f>
        <v>Parada fábrica</v>
      </c>
    </row>
    <row r="667" spans="1:12" x14ac:dyDescent="0.3">
      <c r="A667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fábrica838321451157251620</v>
      </c>
      <c r="B667" t="s">
        <v>142</v>
      </c>
      <c r="C667" t="s">
        <v>1142</v>
      </c>
      <c r="D667" s="11">
        <v>45656</v>
      </c>
      <c r="E667" t="s">
        <v>16</v>
      </c>
      <c r="F667" t="s">
        <v>85</v>
      </c>
      <c r="G667">
        <v>838321</v>
      </c>
      <c r="H667">
        <v>4511572516</v>
      </c>
      <c r="I667">
        <v>20</v>
      </c>
      <c r="J667" s="29">
        <v>9</v>
      </c>
      <c r="K667" s="29" t="s">
        <v>898</v>
      </c>
      <c r="L667" t="str">
        <f>IFERROR(VLOOKUP(Detalle_OC[[#This Row],[Centro]]&amp;Detalle_OC[[#This Row],[Nro Almacen]],Almacen!A:D,4,FALSE),"")</f>
        <v>Parada fábrica</v>
      </c>
    </row>
    <row r="668" spans="1:12" x14ac:dyDescent="0.3">
      <c r="A668" s="29" t="str">
        <f>Detalle_OC[[#This Row],[Centro]]&amp;Detalle_OC[[#This Row],[Nom Almacen]]&amp;Detalle_OC[[#This Row],[Material]]&amp;Detalle_OC[[#This Row],[Pedido]]&amp;Detalle_OC[[#This Row],[Posicion]]</f>
        <v>Sucroalcolera del Chira PlantaMontelima769670451157251710</v>
      </c>
      <c r="B668" t="s">
        <v>138</v>
      </c>
      <c r="C668" t="s">
        <v>96</v>
      </c>
      <c r="D668" s="11">
        <v>45646</v>
      </c>
      <c r="E668" t="s">
        <v>16</v>
      </c>
      <c r="F668" t="s">
        <v>85</v>
      </c>
      <c r="G668">
        <v>769670</v>
      </c>
      <c r="H668">
        <v>4511572517</v>
      </c>
      <c r="I668">
        <v>10</v>
      </c>
      <c r="J668" s="29">
        <v>1</v>
      </c>
      <c r="K668" s="29" t="s">
        <v>898</v>
      </c>
      <c r="L668" t="str">
        <f>IFERROR(VLOOKUP(Detalle_OC[[#This Row],[Centro]]&amp;Detalle_OC[[#This Row],[Nro Almacen]],Almacen!A:D,4,FALSE),"")</f>
        <v>Montelima</v>
      </c>
    </row>
    <row r="669" spans="1:12" x14ac:dyDescent="0.3">
      <c r="A669" s="29" t="str">
        <f>Detalle_OC[[#This Row],[Centro]]&amp;Detalle_OC[[#This Row],[Nom Almacen]]&amp;Detalle_OC[[#This Row],[Material]]&amp;Detalle_OC[[#This Row],[Pedido]]&amp;Detalle_OC[[#This Row],[Posicion]]</f>
        <v>Bioenergía del Chira PlantaParada fábrica838321451157251810</v>
      </c>
      <c r="B669" t="s">
        <v>180</v>
      </c>
      <c r="C669" t="s">
        <v>1142</v>
      </c>
      <c r="D669" s="11">
        <v>45656</v>
      </c>
      <c r="E669" t="s">
        <v>16</v>
      </c>
      <c r="F669" t="s">
        <v>86</v>
      </c>
      <c r="G669">
        <v>838321</v>
      </c>
      <c r="H669">
        <v>4511572518</v>
      </c>
      <c r="I669">
        <v>10</v>
      </c>
      <c r="J669" s="29">
        <v>4</v>
      </c>
      <c r="K669" s="29" t="s">
        <v>898</v>
      </c>
      <c r="L669" t="str">
        <f>IFERROR(VLOOKUP(Detalle_OC[[#This Row],[Centro]]&amp;Detalle_OC[[#This Row],[Nro Almacen]],Almacen!A:D,4,FALSE),"")</f>
        <v>Parada fábrica</v>
      </c>
    </row>
    <row r="670" spans="1:12" x14ac:dyDescent="0.3">
      <c r="A670" s="29" t="str">
        <f>Detalle_OC[[#This Row],[Centro]]&amp;Detalle_OC[[#This Row],[Nom Almacen]]&amp;Detalle_OC[[#This Row],[Material]]&amp;Detalle_OC[[#This Row],[Pedido]]&amp;Detalle_OC[[#This Row],[Posicion]]</f>
        <v>Agricola del Chira PlantaSan Vicente70094019451157252110</v>
      </c>
      <c r="B670" t="s">
        <v>15</v>
      </c>
      <c r="C670" t="s">
        <v>96</v>
      </c>
      <c r="D670" s="11">
        <v>45646</v>
      </c>
      <c r="E670" t="s">
        <v>16</v>
      </c>
      <c r="F670" t="s">
        <v>12</v>
      </c>
      <c r="G670">
        <v>70094019</v>
      </c>
      <c r="H670">
        <v>4511572521</v>
      </c>
      <c r="I670">
        <v>10</v>
      </c>
      <c r="J670" s="29">
        <v>3</v>
      </c>
      <c r="K670" s="29" t="s">
        <v>898</v>
      </c>
      <c r="L670" t="str">
        <f>IFERROR(VLOOKUP(Detalle_OC[[#This Row],[Centro]]&amp;Detalle_OC[[#This Row],[Nro Almacen]],Almacen!A:D,4,FALSE),"")</f>
        <v>San Vicente</v>
      </c>
    </row>
    <row r="671" spans="1:12" x14ac:dyDescent="0.3">
      <c r="A671" s="29" t="str">
        <f>Detalle_OC[[#This Row],[Centro]]&amp;Detalle_OC[[#This Row],[Nom Almacen]]&amp;Detalle_OC[[#This Row],[Material]]&amp;Detalle_OC[[#This Row],[Pedido]]&amp;Detalle_OC[[#This Row],[Posicion]]</f>
        <v>Agricola del Chira PlantaLa Huaca895421451157252120</v>
      </c>
      <c r="B671" t="s">
        <v>148</v>
      </c>
      <c r="C671" t="s">
        <v>96</v>
      </c>
      <c r="D671" s="11">
        <v>45646</v>
      </c>
      <c r="E671" t="s">
        <v>16</v>
      </c>
      <c r="F671" t="s">
        <v>12</v>
      </c>
      <c r="G671">
        <v>895421</v>
      </c>
      <c r="H671">
        <v>4511572521</v>
      </c>
      <c r="I671">
        <v>20</v>
      </c>
      <c r="J671" s="29">
        <v>2</v>
      </c>
      <c r="K671" s="29" t="s">
        <v>898</v>
      </c>
      <c r="L671" t="str">
        <f>IFERROR(VLOOKUP(Detalle_OC[[#This Row],[Centro]]&amp;Detalle_OC[[#This Row],[Nro Almacen]],Almacen!A:D,4,FALSE),"")</f>
        <v>La Huaca</v>
      </c>
    </row>
    <row r="672" spans="1:12" x14ac:dyDescent="0.3">
      <c r="A672" s="29" t="str">
        <f>Detalle_OC[[#This Row],[Centro]]&amp;Detalle_OC[[#This Row],[Nom Almacen]]&amp;Detalle_OC[[#This Row],[Material]]&amp;Detalle_OC[[#This Row],[Pedido]]&amp;Detalle_OC[[#This Row],[Posicion]]</f>
        <v>Agricola del Chira PlantaMontelima767979451157252130</v>
      </c>
      <c r="B672" t="s">
        <v>15</v>
      </c>
      <c r="C672" t="s">
        <v>96</v>
      </c>
      <c r="D672" s="11">
        <v>45646</v>
      </c>
      <c r="E672" t="s">
        <v>16</v>
      </c>
      <c r="F672" t="s">
        <v>12</v>
      </c>
      <c r="G672">
        <v>767979</v>
      </c>
      <c r="H672">
        <v>4511572521</v>
      </c>
      <c r="I672">
        <v>30</v>
      </c>
      <c r="J672" s="29">
        <v>1</v>
      </c>
      <c r="K672" s="29" t="s">
        <v>898</v>
      </c>
      <c r="L672" t="str">
        <f>IFERROR(VLOOKUP(Detalle_OC[[#This Row],[Centro]]&amp;Detalle_OC[[#This Row],[Nro Almacen]],Almacen!A:D,4,FALSE),"")</f>
        <v>Montelima</v>
      </c>
    </row>
    <row r="673" spans="1:12" x14ac:dyDescent="0.3">
      <c r="A673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673" t="s">
        <v>28</v>
      </c>
      <c r="C673" t="s">
        <v>94</v>
      </c>
      <c r="D673" s="11">
        <v>45653</v>
      </c>
      <c r="E673" t="s">
        <v>16</v>
      </c>
      <c r="F673" t="s">
        <v>85</v>
      </c>
      <c r="G673" t="s">
        <v>95</v>
      </c>
      <c r="H673">
        <v>5500024746</v>
      </c>
      <c r="I673">
        <v>10</v>
      </c>
      <c r="J673" s="29">
        <v>1</v>
      </c>
      <c r="K673" s="29" t="s">
        <v>898</v>
      </c>
      <c r="L673" t="str">
        <f>IFERROR(VLOOKUP(Detalle_OC[[#This Row],[Centro]]&amp;Detalle_OC[[#This Row],[Nro Almacen]],Almacen!A:D,4,FALSE),"")</f>
        <v>Montelima</v>
      </c>
    </row>
    <row r="674" spans="1:12" x14ac:dyDescent="0.3">
      <c r="A674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674" t="s">
        <v>28</v>
      </c>
      <c r="C674" t="s">
        <v>94</v>
      </c>
      <c r="D674" s="11">
        <v>45637</v>
      </c>
      <c r="E674" t="s">
        <v>16</v>
      </c>
      <c r="F674" t="s">
        <v>85</v>
      </c>
      <c r="G674" t="s">
        <v>95</v>
      </c>
      <c r="H674">
        <v>5500024746</v>
      </c>
      <c r="I674">
        <v>10</v>
      </c>
      <c r="J674" s="29">
        <v>1</v>
      </c>
      <c r="K674" s="29" t="s">
        <v>898</v>
      </c>
      <c r="L674" t="str">
        <f>IFERROR(VLOOKUP(Detalle_OC[[#This Row],[Centro]]&amp;Detalle_OC[[#This Row],[Nro Almacen]],Almacen!A:D,4,FALSE),"")</f>
        <v>Montelima</v>
      </c>
    </row>
    <row r="675" spans="1:12" x14ac:dyDescent="0.3">
      <c r="A675" s="29" t="str">
        <f>Detalle_OC[[#This Row],[Centro]]&amp;Detalle_OC[[#This Row],[Nom Almacen]]&amp;Detalle_OC[[#This Row],[Material]]&amp;Detalle_OC[[#This Row],[Pedido]]&amp;Detalle_OC[[#This Row],[Posicion]]</f>
        <v>Agricola del Chira PlantaMontelima70069181550002485510</v>
      </c>
      <c r="B675" t="s">
        <v>28</v>
      </c>
      <c r="C675" t="s">
        <v>96</v>
      </c>
      <c r="D675" s="11">
        <v>45646</v>
      </c>
      <c r="E675" t="s">
        <v>16</v>
      </c>
      <c r="F675" t="s">
        <v>12</v>
      </c>
      <c r="G675">
        <v>70069181</v>
      </c>
      <c r="H675">
        <v>5500024855</v>
      </c>
      <c r="I675">
        <v>10</v>
      </c>
      <c r="J675" s="29">
        <v>1</v>
      </c>
      <c r="K675" s="29" t="s">
        <v>898</v>
      </c>
      <c r="L675" t="str">
        <f>IFERROR(VLOOKUP(Detalle_OC[[#This Row],[Centro]]&amp;Detalle_OC[[#This Row],[Nro Almacen]],Almacen!A:D,4,FALSE),"")</f>
        <v>Montelima</v>
      </c>
    </row>
    <row r="676" spans="1:12" x14ac:dyDescent="0.3">
      <c r="A676" s="29" t="str">
        <f>Detalle_OC[[#This Row],[Centro]]&amp;Detalle_OC[[#This Row],[Nom Almacen]]&amp;Detalle_OC[[#This Row],[Material]]&amp;Detalle_OC[[#This Row],[Pedido]]&amp;Detalle_OC[[#This Row],[Posicion]]</f>
        <v>Agricola del Chira PlantaMontelima700691795500024855110</v>
      </c>
      <c r="B676" t="s">
        <v>28</v>
      </c>
      <c r="C676" t="s">
        <v>96</v>
      </c>
      <c r="D676" s="11">
        <v>45646</v>
      </c>
      <c r="E676" t="s">
        <v>16</v>
      </c>
      <c r="F676" t="s">
        <v>12</v>
      </c>
      <c r="G676">
        <v>70069179</v>
      </c>
      <c r="H676">
        <v>5500024855</v>
      </c>
      <c r="I676">
        <v>110</v>
      </c>
      <c r="J676" s="29">
        <v>1</v>
      </c>
      <c r="K676" s="29" t="s">
        <v>898</v>
      </c>
      <c r="L676" t="str">
        <f>IFERROR(VLOOKUP(Detalle_OC[[#This Row],[Centro]]&amp;Detalle_OC[[#This Row],[Nro Almacen]],Almacen!A:D,4,FALSE),"")</f>
        <v>Montelima</v>
      </c>
    </row>
    <row r="677" spans="1:12" x14ac:dyDescent="0.3">
      <c r="A677" s="29" t="str">
        <f>Detalle_OC[[#This Row],[Centro]]&amp;Detalle_OC[[#This Row],[Nom Almacen]]&amp;Detalle_OC[[#This Row],[Material]]&amp;Detalle_OC[[#This Row],[Pedido]]&amp;Detalle_OC[[#This Row],[Posicion]]</f>
        <v>Agricola del Chira PlantaMontelima7773055500024855280</v>
      </c>
      <c r="B677" t="s">
        <v>28</v>
      </c>
      <c r="C677" t="s">
        <v>96</v>
      </c>
      <c r="D677" s="11">
        <v>45646</v>
      </c>
      <c r="E677" t="s">
        <v>16</v>
      </c>
      <c r="F677" t="s">
        <v>12</v>
      </c>
      <c r="G677">
        <v>777305</v>
      </c>
      <c r="H677">
        <v>5500024855</v>
      </c>
      <c r="I677">
        <v>280</v>
      </c>
      <c r="J677" s="29">
        <v>1</v>
      </c>
      <c r="K677" s="29" t="s">
        <v>898</v>
      </c>
      <c r="L677" t="str">
        <f>IFERROR(VLOOKUP(Detalle_OC[[#This Row],[Centro]]&amp;Detalle_OC[[#This Row],[Nro Almacen]],Almacen!A:D,4,FALSE),"")</f>
        <v>Montelima</v>
      </c>
    </row>
    <row r="678" spans="1:12" x14ac:dyDescent="0.3">
      <c r="A678" s="29" t="str">
        <f>Detalle_OC[[#This Row],[Centro]]&amp;Detalle_OC[[#This Row],[Nom Almacen]]&amp;Detalle_OC[[#This Row],[Material]]&amp;Detalle_OC[[#This Row],[Pedido]]&amp;Detalle_OC[[#This Row],[Posicion]]</f>
        <v>Sucroalcolera del Chira PlantaMontelima70069183550002485660</v>
      </c>
      <c r="B678" t="s">
        <v>28</v>
      </c>
      <c r="C678" t="s">
        <v>96</v>
      </c>
      <c r="D678" s="11">
        <v>45646</v>
      </c>
      <c r="E678" t="s">
        <v>16</v>
      </c>
      <c r="F678" t="s">
        <v>85</v>
      </c>
      <c r="G678">
        <v>70069183</v>
      </c>
      <c r="H678">
        <v>5500024856</v>
      </c>
      <c r="I678">
        <v>60</v>
      </c>
      <c r="J678" s="29">
        <v>1</v>
      </c>
      <c r="K678" s="29" t="s">
        <v>898</v>
      </c>
      <c r="L678" t="str">
        <f>IFERROR(VLOOKUP(Detalle_OC[[#This Row],[Centro]]&amp;Detalle_OC[[#This Row],[Nro Almacen]],Almacen!A:D,4,FALSE),"")</f>
        <v>Montelima</v>
      </c>
    </row>
    <row r="679" spans="1:12" x14ac:dyDescent="0.3">
      <c r="A679" s="29" t="str">
        <f>Detalle_OC[[#This Row],[Centro]]&amp;Detalle_OC[[#This Row],[Nom Almacen]]&amp;Detalle_OC[[#This Row],[Material]]&amp;Detalle_OC[[#This Row],[Pedido]]&amp;Detalle_OC[[#This Row],[Posicion]]</f>
        <v>Agricola del Chira PlantaSan Vicente849010451157204120</v>
      </c>
      <c r="B679" t="s">
        <v>39</v>
      </c>
      <c r="C679" t="s">
        <v>38</v>
      </c>
      <c r="D679" s="11">
        <v>45657</v>
      </c>
      <c r="E679" t="s">
        <v>16</v>
      </c>
      <c r="F679" t="s">
        <v>12</v>
      </c>
      <c r="G679">
        <v>849010</v>
      </c>
      <c r="H679">
        <v>4511572041</v>
      </c>
      <c r="I679">
        <v>20</v>
      </c>
      <c r="J679" s="29">
        <v>3</v>
      </c>
      <c r="K679" s="29" t="s">
        <v>894</v>
      </c>
      <c r="L679" t="str">
        <f>IFERROR(VLOOKUP(Detalle_OC[[#This Row],[Centro]]&amp;Detalle_OC[[#This Row],[Nro Almacen]],Almacen!A:D,4,FALSE),"")</f>
        <v>San Vicente</v>
      </c>
    </row>
    <row r="680" spans="1:12" x14ac:dyDescent="0.3">
      <c r="A680" s="29" t="str">
        <f>Detalle_OC[[#This Row],[Centro]]&amp;Detalle_OC[[#This Row],[Nom Almacen]]&amp;Detalle_OC[[#This Row],[Material]]&amp;Detalle_OC[[#This Row],[Pedido]]&amp;Detalle_OC[[#This Row],[Posicion]]</f>
        <v>Agricola del Chira PlantaSan Vicente849010451157204130</v>
      </c>
      <c r="B680" t="s">
        <v>39</v>
      </c>
      <c r="C680" t="s">
        <v>38</v>
      </c>
      <c r="D680" s="11">
        <v>45657</v>
      </c>
      <c r="E680" t="s">
        <v>16</v>
      </c>
      <c r="F680" t="s">
        <v>12</v>
      </c>
      <c r="G680">
        <v>849010</v>
      </c>
      <c r="H680">
        <v>4511572041</v>
      </c>
      <c r="I680">
        <v>30</v>
      </c>
      <c r="J680" s="29">
        <v>3</v>
      </c>
      <c r="K680" s="29" t="s">
        <v>894</v>
      </c>
      <c r="L680" t="str">
        <f>IFERROR(VLOOKUP(Detalle_OC[[#This Row],[Centro]]&amp;Detalle_OC[[#This Row],[Nro Almacen]],Almacen!A:D,4,FALSE),"")</f>
        <v>San Vicente</v>
      </c>
    </row>
    <row r="681" spans="1:12" x14ac:dyDescent="0.3">
      <c r="A681" s="29" t="str">
        <f>Detalle_OC[[#This Row],[Centro]]&amp;Detalle_OC[[#This Row],[Nom Almacen]]&amp;Detalle_OC[[#This Row],[Material]]&amp;Detalle_OC[[#This Row],[Pedido]]&amp;Detalle_OC[[#This Row],[Posicion]]</f>
        <v>Agricola del Chira PlantaMontelima70102375451157227710</v>
      </c>
      <c r="B681" t="s">
        <v>149</v>
      </c>
      <c r="C681" t="s">
        <v>146</v>
      </c>
      <c r="D681" s="11">
        <v>45646</v>
      </c>
      <c r="E681" t="s">
        <v>16</v>
      </c>
      <c r="F681" t="s">
        <v>12</v>
      </c>
      <c r="G681">
        <v>70102375</v>
      </c>
      <c r="H681">
        <v>4511572277</v>
      </c>
      <c r="I681">
        <v>10</v>
      </c>
      <c r="J681" s="29">
        <v>1</v>
      </c>
      <c r="K681" s="29" t="s">
        <v>894</v>
      </c>
      <c r="L681" t="str">
        <f>IFERROR(VLOOKUP(Detalle_OC[[#This Row],[Centro]]&amp;Detalle_OC[[#This Row],[Nro Almacen]],Almacen!A:D,4,FALSE),"")</f>
        <v>Montelima</v>
      </c>
    </row>
    <row r="682" spans="1:12" x14ac:dyDescent="0.3">
      <c r="A682" s="29" t="str">
        <f>Detalle_OC[[#This Row],[Centro]]&amp;Detalle_OC[[#This Row],[Nom Almacen]]&amp;Detalle_OC[[#This Row],[Material]]&amp;Detalle_OC[[#This Row],[Pedido]]&amp;Detalle_OC[[#This Row],[Posicion]]</f>
        <v>Agricola del Chira PlantaMontelima723190451157228410</v>
      </c>
      <c r="B682" t="s">
        <v>148</v>
      </c>
      <c r="C682" t="s">
        <v>44</v>
      </c>
      <c r="D682" s="11">
        <v>45667</v>
      </c>
      <c r="E682" t="s">
        <v>16</v>
      </c>
      <c r="F682" t="s">
        <v>12</v>
      </c>
      <c r="G682">
        <v>723190</v>
      </c>
      <c r="H682">
        <v>4511572284</v>
      </c>
      <c r="I682">
        <v>10</v>
      </c>
      <c r="J682" s="29">
        <v>1</v>
      </c>
      <c r="K682" s="29" t="s">
        <v>894</v>
      </c>
      <c r="L682" t="str">
        <f>IFERROR(VLOOKUP(Detalle_OC[[#This Row],[Centro]]&amp;Detalle_OC[[#This Row],[Nro Almacen]],Almacen!A:D,4,FALSE),"")</f>
        <v>Montelima</v>
      </c>
    </row>
    <row r="683" spans="1:12" x14ac:dyDescent="0.3">
      <c r="A683" s="29" t="str">
        <f>Detalle_OC[[#This Row],[Centro]]&amp;Detalle_OC[[#This Row],[Nom Almacen]]&amp;Detalle_OC[[#This Row],[Material]]&amp;Detalle_OC[[#This Row],[Pedido]]&amp;Detalle_OC[[#This Row],[Posicion]]</f>
        <v>Agricola del Chira PlantaMontelima744716451157228430</v>
      </c>
      <c r="B683" t="s">
        <v>148</v>
      </c>
      <c r="C683" t="s">
        <v>44</v>
      </c>
      <c r="D683" s="11">
        <v>45667</v>
      </c>
      <c r="E683" t="s">
        <v>16</v>
      </c>
      <c r="F683" t="s">
        <v>12</v>
      </c>
      <c r="G683">
        <v>744716</v>
      </c>
      <c r="H683">
        <v>4511572284</v>
      </c>
      <c r="I683">
        <v>30</v>
      </c>
      <c r="J683" s="29">
        <v>1</v>
      </c>
      <c r="K683" s="29" t="s">
        <v>894</v>
      </c>
      <c r="L683" t="str">
        <f>IFERROR(VLOOKUP(Detalle_OC[[#This Row],[Centro]]&amp;Detalle_OC[[#This Row],[Nro Almacen]],Almacen!A:D,4,FALSE),"")</f>
        <v>Montelima</v>
      </c>
    </row>
    <row r="684" spans="1:12" x14ac:dyDescent="0.3">
      <c r="A684" s="29" t="str">
        <f>Detalle_OC[[#This Row],[Centro]]&amp;Detalle_OC[[#This Row],[Nom Almacen]]&amp;Detalle_OC[[#This Row],[Material]]&amp;Detalle_OC[[#This Row],[Pedido]]&amp;Detalle_OC[[#This Row],[Posicion]]</f>
        <v>Agricola del Chira PlantaLa Huaca744716451157228440</v>
      </c>
      <c r="B684" t="s">
        <v>148</v>
      </c>
      <c r="C684" t="s">
        <v>44</v>
      </c>
      <c r="D684" s="11">
        <v>45667</v>
      </c>
      <c r="E684" t="s">
        <v>16</v>
      </c>
      <c r="F684" t="s">
        <v>12</v>
      </c>
      <c r="G684">
        <v>744716</v>
      </c>
      <c r="H684">
        <v>4511572284</v>
      </c>
      <c r="I684">
        <v>40</v>
      </c>
      <c r="J684" s="29">
        <v>2</v>
      </c>
      <c r="K684" s="29" t="s">
        <v>894</v>
      </c>
      <c r="L684" t="str">
        <f>IFERROR(VLOOKUP(Detalle_OC[[#This Row],[Centro]]&amp;Detalle_OC[[#This Row],[Nro Almacen]],Almacen!A:D,4,FALSE),"")</f>
        <v>La Huaca</v>
      </c>
    </row>
    <row r="685" spans="1:12" x14ac:dyDescent="0.3">
      <c r="A685" s="29" t="str">
        <f>Detalle_OC[[#This Row],[Centro]]&amp;Detalle_OC[[#This Row],[Nom Almacen]]&amp;Detalle_OC[[#This Row],[Material]]&amp;Detalle_OC[[#This Row],[Pedido]]&amp;Detalle_OC[[#This Row],[Posicion]]</f>
        <v>Agricola del Chira PlantaMontelima887833451157228450</v>
      </c>
      <c r="B685" t="s">
        <v>148</v>
      </c>
      <c r="C685" t="s">
        <v>44</v>
      </c>
      <c r="D685" s="11">
        <v>45667</v>
      </c>
      <c r="E685" t="s">
        <v>16</v>
      </c>
      <c r="F685" t="s">
        <v>12</v>
      </c>
      <c r="G685">
        <v>887833</v>
      </c>
      <c r="H685">
        <v>4511572284</v>
      </c>
      <c r="I685">
        <v>50</v>
      </c>
      <c r="J685" s="29">
        <v>1</v>
      </c>
      <c r="K685" s="29" t="s">
        <v>894</v>
      </c>
      <c r="L685" t="str">
        <f>IFERROR(VLOOKUP(Detalle_OC[[#This Row],[Centro]]&amp;Detalle_OC[[#This Row],[Nro Almacen]],Almacen!A:D,4,FALSE),"")</f>
        <v>Montelima</v>
      </c>
    </row>
    <row r="686" spans="1:12" x14ac:dyDescent="0.3">
      <c r="A686" s="29" t="str">
        <f>Detalle_OC[[#This Row],[Centro]]&amp;Detalle_OC[[#This Row],[Nom Almacen]]&amp;Detalle_OC[[#This Row],[Material]]&amp;Detalle_OC[[#This Row],[Pedido]]&amp;Detalle_OC[[#This Row],[Posicion]]</f>
        <v>Agricola del Chira PlantaMontelima70106911451157228510</v>
      </c>
      <c r="B686" t="s">
        <v>1143</v>
      </c>
      <c r="C686" t="s">
        <v>1117</v>
      </c>
      <c r="D686" s="11">
        <v>45656</v>
      </c>
      <c r="E686" t="s">
        <v>48</v>
      </c>
      <c r="F686" t="s">
        <v>12</v>
      </c>
      <c r="G686">
        <v>70106911</v>
      </c>
      <c r="H686">
        <v>4511572285</v>
      </c>
      <c r="I686">
        <v>10</v>
      </c>
      <c r="J686" s="29">
        <v>1</v>
      </c>
      <c r="K686" s="29" t="s">
        <v>894</v>
      </c>
      <c r="L686" t="str">
        <f>IFERROR(VLOOKUP(Detalle_OC[[#This Row],[Centro]]&amp;Detalle_OC[[#This Row],[Nro Almacen]],Almacen!A:D,4,FALSE),"")</f>
        <v>Montelima</v>
      </c>
    </row>
    <row r="687" spans="1:12" x14ac:dyDescent="0.3">
      <c r="A687" s="29" t="str">
        <f>Detalle_OC[[#This Row],[Centro]]&amp;Detalle_OC[[#This Row],[Nom Almacen]]&amp;Detalle_OC[[#This Row],[Material]]&amp;Detalle_OC[[#This Row],[Pedido]]&amp;Detalle_OC[[#This Row],[Posicion]]</f>
        <v>Agricola del Chira PlantaMontelima821293451157228620</v>
      </c>
      <c r="B687" t="s">
        <v>185</v>
      </c>
      <c r="C687" t="s">
        <v>160</v>
      </c>
      <c r="D687" s="11">
        <v>45649</v>
      </c>
      <c r="E687" t="s">
        <v>16</v>
      </c>
      <c r="F687" t="s">
        <v>12</v>
      </c>
      <c r="G687">
        <v>821293</v>
      </c>
      <c r="H687">
        <v>4511572286</v>
      </c>
      <c r="I687">
        <v>20</v>
      </c>
      <c r="J687" s="29">
        <v>1</v>
      </c>
      <c r="K687" s="29" t="s">
        <v>894</v>
      </c>
      <c r="L687" t="str">
        <f>IFERROR(VLOOKUP(Detalle_OC[[#This Row],[Centro]]&amp;Detalle_OC[[#This Row],[Nro Almacen]],Almacen!A:D,4,FALSE),"")</f>
        <v>Montelima</v>
      </c>
    </row>
    <row r="688" spans="1:12" x14ac:dyDescent="0.3">
      <c r="A688" s="29" t="str">
        <f>Detalle_OC[[#This Row],[Centro]]&amp;Detalle_OC[[#This Row],[Nom Almacen]]&amp;Detalle_OC[[#This Row],[Material]]&amp;Detalle_OC[[#This Row],[Pedido]]&amp;Detalle_OC[[#This Row],[Posicion]]</f>
        <v>Sucroalcolera del Chira PlantaMontelima70068404451157228710</v>
      </c>
      <c r="B688" t="s">
        <v>185</v>
      </c>
      <c r="C688" t="s">
        <v>160</v>
      </c>
      <c r="D688" s="11">
        <v>45649</v>
      </c>
      <c r="E688" t="s">
        <v>16</v>
      </c>
      <c r="F688" t="s">
        <v>85</v>
      </c>
      <c r="G688">
        <v>70068404</v>
      </c>
      <c r="H688">
        <v>4511572287</v>
      </c>
      <c r="I688">
        <v>10</v>
      </c>
      <c r="J688" s="29">
        <v>1</v>
      </c>
      <c r="K688" s="29" t="s">
        <v>894</v>
      </c>
      <c r="L688" t="str">
        <f>IFERROR(VLOOKUP(Detalle_OC[[#This Row],[Centro]]&amp;Detalle_OC[[#This Row],[Nro Almacen]],Almacen!A:D,4,FALSE),"")</f>
        <v>Montelima</v>
      </c>
    </row>
    <row r="689" spans="1:12" x14ac:dyDescent="0.3">
      <c r="A689" s="29" t="str">
        <f>Detalle_OC[[#This Row],[Centro]]&amp;Detalle_OC[[#This Row],[Nom Almacen]]&amp;Detalle_OC[[#This Row],[Material]]&amp;Detalle_OC[[#This Row],[Pedido]]&amp;Detalle_OC[[#This Row],[Posicion]]</f>
        <v>Agricola del Chira PlantaMontelima721716451157228810</v>
      </c>
      <c r="B689" t="s">
        <v>1144</v>
      </c>
      <c r="C689" t="s">
        <v>14</v>
      </c>
      <c r="D689" s="11">
        <v>45649</v>
      </c>
      <c r="E689" t="s">
        <v>16</v>
      </c>
      <c r="F689" t="s">
        <v>12</v>
      </c>
      <c r="G689">
        <v>721716</v>
      </c>
      <c r="H689">
        <v>4511572288</v>
      </c>
      <c r="I689">
        <v>10</v>
      </c>
      <c r="J689" s="29">
        <v>1</v>
      </c>
      <c r="K689" s="29" t="s">
        <v>894</v>
      </c>
      <c r="L689" t="str">
        <f>IFERROR(VLOOKUP(Detalle_OC[[#This Row],[Centro]]&amp;Detalle_OC[[#This Row],[Nro Almacen]],Almacen!A:D,4,FALSE),"")</f>
        <v>Montelima</v>
      </c>
    </row>
    <row r="690" spans="1:12" x14ac:dyDescent="0.3">
      <c r="A690" s="29" t="str">
        <f>Detalle_OC[[#This Row],[Centro]]&amp;Detalle_OC[[#This Row],[Nom Almacen]]&amp;Detalle_OC[[#This Row],[Material]]&amp;Detalle_OC[[#This Row],[Pedido]]&amp;Detalle_OC[[#This Row],[Posicion]]</f>
        <v>Sucroalcolera del Chira PlantaMontelima750393451157229010</v>
      </c>
      <c r="B690" t="s">
        <v>226</v>
      </c>
      <c r="C690" t="s">
        <v>96</v>
      </c>
      <c r="D690" s="11">
        <v>45649</v>
      </c>
      <c r="E690" t="s">
        <v>16</v>
      </c>
      <c r="F690" t="s">
        <v>85</v>
      </c>
      <c r="G690">
        <v>750393</v>
      </c>
      <c r="H690">
        <v>4511572290</v>
      </c>
      <c r="I690">
        <v>10</v>
      </c>
      <c r="J690" s="29">
        <v>1</v>
      </c>
      <c r="K690" s="29" t="s">
        <v>894</v>
      </c>
      <c r="L690" t="str">
        <f>IFERROR(VLOOKUP(Detalle_OC[[#This Row],[Centro]]&amp;Detalle_OC[[#This Row],[Nro Almacen]],Almacen!A:D,4,FALSE),"")</f>
        <v>Montelima</v>
      </c>
    </row>
    <row r="691" spans="1:12" x14ac:dyDescent="0.3">
      <c r="A691" s="29" t="str">
        <f>Detalle_OC[[#This Row],[Centro]]&amp;Detalle_OC[[#This Row],[Nom Almacen]]&amp;Detalle_OC[[#This Row],[Material]]&amp;Detalle_OC[[#This Row],[Pedido]]&amp;Detalle_OC[[#This Row],[Posicion]]</f>
        <v>Agricola del Chira PlantaMontelima716984451157229110</v>
      </c>
      <c r="B691" t="s">
        <v>149</v>
      </c>
      <c r="C691" t="s">
        <v>137</v>
      </c>
      <c r="D691" s="11">
        <v>45667</v>
      </c>
      <c r="E691" t="s">
        <v>16</v>
      </c>
      <c r="F691" t="s">
        <v>12</v>
      </c>
      <c r="G691">
        <v>716984</v>
      </c>
      <c r="H691">
        <v>4511572291</v>
      </c>
      <c r="I691">
        <v>10</v>
      </c>
      <c r="J691" s="29">
        <v>1</v>
      </c>
      <c r="K691" s="29" t="s">
        <v>894</v>
      </c>
      <c r="L691" t="str">
        <f>IFERROR(VLOOKUP(Detalle_OC[[#This Row],[Centro]]&amp;Detalle_OC[[#This Row],[Nro Almacen]],Almacen!A:D,4,FALSE),"")</f>
        <v>Montelima</v>
      </c>
    </row>
    <row r="692" spans="1:12" x14ac:dyDescent="0.3">
      <c r="A692" s="29" t="str">
        <f>Detalle_OC[[#This Row],[Centro]]&amp;Detalle_OC[[#This Row],[Nom Almacen]]&amp;Detalle_OC[[#This Row],[Material]]&amp;Detalle_OC[[#This Row],[Pedido]]&amp;Detalle_OC[[#This Row],[Posicion]]</f>
        <v>Agricola del Chira PlantaMontelimaCS22175154        451157229120</v>
      </c>
      <c r="B692" t="s">
        <v>149</v>
      </c>
      <c r="C692" t="s">
        <v>137</v>
      </c>
      <c r="D692" s="11">
        <v>45667</v>
      </c>
      <c r="E692" t="s">
        <v>16</v>
      </c>
      <c r="F692" t="s">
        <v>12</v>
      </c>
      <c r="G692" t="s">
        <v>217</v>
      </c>
      <c r="H692">
        <v>4511572291</v>
      </c>
      <c r="I692">
        <v>20</v>
      </c>
      <c r="J692" s="29">
        <v>1</v>
      </c>
      <c r="K692" s="29" t="s">
        <v>894</v>
      </c>
      <c r="L692" t="str">
        <f>IFERROR(VLOOKUP(Detalle_OC[[#This Row],[Centro]]&amp;Detalle_OC[[#This Row],[Nro Almacen]],Almacen!A:D,4,FALSE),"")</f>
        <v>Montelima</v>
      </c>
    </row>
    <row r="693" spans="1:12" x14ac:dyDescent="0.3">
      <c r="A693" s="29" t="str">
        <f>Detalle_OC[[#This Row],[Centro]]&amp;Detalle_OC[[#This Row],[Nom Almacen]]&amp;Detalle_OC[[#This Row],[Material]]&amp;Detalle_OC[[#This Row],[Pedido]]&amp;Detalle_OC[[#This Row],[Posicion]]</f>
        <v>Sucroalcolera del Chira PlantaMontelima719354451157229410</v>
      </c>
      <c r="B693" t="s">
        <v>1145</v>
      </c>
      <c r="C693" t="s">
        <v>14</v>
      </c>
      <c r="D693" s="11">
        <v>45649</v>
      </c>
      <c r="E693" t="s">
        <v>16</v>
      </c>
      <c r="F693" t="s">
        <v>85</v>
      </c>
      <c r="G693">
        <v>719354</v>
      </c>
      <c r="H693">
        <v>4511572294</v>
      </c>
      <c r="I693">
        <v>10</v>
      </c>
      <c r="J693" s="29">
        <v>1</v>
      </c>
      <c r="K693" s="29" t="s">
        <v>894</v>
      </c>
      <c r="L693" t="str">
        <f>IFERROR(VLOOKUP(Detalle_OC[[#This Row],[Centro]]&amp;Detalle_OC[[#This Row],[Nro Almacen]],Almacen!A:D,4,FALSE),"")</f>
        <v>Montelima</v>
      </c>
    </row>
    <row r="694" spans="1:12" x14ac:dyDescent="0.3">
      <c r="A694" s="29" t="str">
        <f>Detalle_OC[[#This Row],[Centro]]&amp;Detalle_OC[[#This Row],[Nom Almacen]]&amp;Detalle_OC[[#This Row],[Material]]&amp;Detalle_OC[[#This Row],[Pedido]]&amp;Detalle_OC[[#This Row],[Posicion]]</f>
        <v>Sucroalcolera del Chira PlantaMontelima763104451157229420</v>
      </c>
      <c r="B694" t="s">
        <v>1145</v>
      </c>
      <c r="C694" t="s">
        <v>14</v>
      </c>
      <c r="D694" s="11">
        <v>45649</v>
      </c>
      <c r="E694" t="s">
        <v>16</v>
      </c>
      <c r="F694" t="s">
        <v>85</v>
      </c>
      <c r="G694">
        <v>763104</v>
      </c>
      <c r="H694">
        <v>4511572294</v>
      </c>
      <c r="I694">
        <v>20</v>
      </c>
      <c r="J694" s="29">
        <v>1</v>
      </c>
      <c r="K694" s="29" t="s">
        <v>894</v>
      </c>
      <c r="L694" t="str">
        <f>IFERROR(VLOOKUP(Detalle_OC[[#This Row],[Centro]]&amp;Detalle_OC[[#This Row],[Nro Almacen]],Almacen!A:D,4,FALSE),"")</f>
        <v>Montelima</v>
      </c>
    </row>
    <row r="695" spans="1:12" x14ac:dyDescent="0.3">
      <c r="A695" s="29" t="str">
        <f>Detalle_OC[[#This Row],[Centro]]&amp;Detalle_OC[[#This Row],[Nom Almacen]]&amp;Detalle_OC[[#This Row],[Material]]&amp;Detalle_OC[[#This Row],[Pedido]]&amp;Detalle_OC[[#This Row],[Posicion]]</f>
        <v>Sucroalcolera del Chira PlantaMontelima768371451157229430</v>
      </c>
      <c r="B695" t="s">
        <v>1145</v>
      </c>
      <c r="C695" t="s">
        <v>14</v>
      </c>
      <c r="D695" s="11">
        <v>45649</v>
      </c>
      <c r="E695" t="s">
        <v>16</v>
      </c>
      <c r="F695" t="s">
        <v>85</v>
      </c>
      <c r="G695">
        <v>768371</v>
      </c>
      <c r="H695">
        <v>4511572294</v>
      </c>
      <c r="I695">
        <v>30</v>
      </c>
      <c r="J695" s="29">
        <v>1</v>
      </c>
      <c r="K695" s="29" t="s">
        <v>894</v>
      </c>
      <c r="L695" t="str">
        <f>IFERROR(VLOOKUP(Detalle_OC[[#This Row],[Centro]]&amp;Detalle_OC[[#This Row],[Nro Almacen]],Almacen!A:D,4,FALSE),"")</f>
        <v>Montelima</v>
      </c>
    </row>
    <row r="696" spans="1:12" x14ac:dyDescent="0.3">
      <c r="A696" s="29" t="str">
        <f>Detalle_OC[[#This Row],[Centro]]&amp;Detalle_OC[[#This Row],[Nom Almacen]]&amp;Detalle_OC[[#This Row],[Material]]&amp;Detalle_OC[[#This Row],[Pedido]]&amp;Detalle_OC[[#This Row],[Posicion]]</f>
        <v>Sucroalcolera del Chira PlantaMontelima774993451157229440</v>
      </c>
      <c r="B696" t="s">
        <v>15</v>
      </c>
      <c r="C696" t="s">
        <v>14</v>
      </c>
      <c r="D696" s="11">
        <v>45649</v>
      </c>
      <c r="E696" t="s">
        <v>16</v>
      </c>
      <c r="F696" t="s">
        <v>85</v>
      </c>
      <c r="G696">
        <v>774993</v>
      </c>
      <c r="H696">
        <v>4511572294</v>
      </c>
      <c r="I696">
        <v>40</v>
      </c>
      <c r="J696" s="29">
        <v>1</v>
      </c>
      <c r="K696" s="29" t="s">
        <v>894</v>
      </c>
      <c r="L696" t="str">
        <f>IFERROR(VLOOKUP(Detalle_OC[[#This Row],[Centro]]&amp;Detalle_OC[[#This Row],[Nro Almacen]],Almacen!A:D,4,FALSE),"")</f>
        <v>Montelima</v>
      </c>
    </row>
    <row r="697" spans="1:12" x14ac:dyDescent="0.3">
      <c r="A697" s="29" t="str">
        <f>Detalle_OC[[#This Row],[Centro]]&amp;Detalle_OC[[#This Row],[Nom Almacen]]&amp;Detalle_OC[[#This Row],[Material]]&amp;Detalle_OC[[#This Row],[Pedido]]&amp;Detalle_OC[[#This Row],[Posicion]]</f>
        <v>Agricola del Chira PlantaMontelima745617451157229510</v>
      </c>
      <c r="B697" t="s">
        <v>148</v>
      </c>
      <c r="C697" t="s">
        <v>14</v>
      </c>
      <c r="D697" s="11">
        <v>45649</v>
      </c>
      <c r="E697" t="s">
        <v>16</v>
      </c>
      <c r="F697" t="s">
        <v>12</v>
      </c>
      <c r="G697">
        <v>745617</v>
      </c>
      <c r="H697">
        <v>4511572295</v>
      </c>
      <c r="I697">
        <v>10</v>
      </c>
      <c r="J697" s="29">
        <v>1</v>
      </c>
      <c r="K697" s="29" t="s">
        <v>894</v>
      </c>
      <c r="L697" t="str">
        <f>IFERROR(VLOOKUP(Detalle_OC[[#This Row],[Centro]]&amp;Detalle_OC[[#This Row],[Nro Almacen]],Almacen!A:D,4,FALSE),"")</f>
        <v>Montelima</v>
      </c>
    </row>
    <row r="698" spans="1:12" x14ac:dyDescent="0.3">
      <c r="A698" s="29" t="str">
        <f>Detalle_OC[[#This Row],[Centro]]&amp;Detalle_OC[[#This Row],[Nom Almacen]]&amp;Detalle_OC[[#This Row],[Material]]&amp;Detalle_OC[[#This Row],[Pedido]]&amp;Detalle_OC[[#This Row],[Posicion]]</f>
        <v>Agricola del Chira PlantaLa Huaca808346451157229520</v>
      </c>
      <c r="B698" t="s">
        <v>148</v>
      </c>
      <c r="C698" t="s">
        <v>14</v>
      </c>
      <c r="D698" s="11">
        <v>45649</v>
      </c>
      <c r="E698" t="s">
        <v>16</v>
      </c>
      <c r="F698" t="s">
        <v>12</v>
      </c>
      <c r="G698">
        <v>808346</v>
      </c>
      <c r="H698">
        <v>4511572295</v>
      </c>
      <c r="I698">
        <v>20</v>
      </c>
      <c r="J698" s="29">
        <v>2</v>
      </c>
      <c r="K698" s="29" t="s">
        <v>894</v>
      </c>
      <c r="L698" t="str">
        <f>IFERROR(VLOOKUP(Detalle_OC[[#This Row],[Centro]]&amp;Detalle_OC[[#This Row],[Nro Almacen]],Almacen!A:D,4,FALSE),"")</f>
        <v>La Huaca</v>
      </c>
    </row>
    <row r="699" spans="1:12" x14ac:dyDescent="0.3">
      <c r="A699" s="29" t="str">
        <f>Detalle_OC[[#This Row],[Centro]]&amp;Detalle_OC[[#This Row],[Nom Almacen]]&amp;Detalle_OC[[#This Row],[Material]]&amp;Detalle_OC[[#This Row],[Pedido]]&amp;Detalle_OC[[#This Row],[Posicion]]</f>
        <v>Agricola del Chira PlantaMontelima778146451157229920</v>
      </c>
      <c r="B699" t="s">
        <v>15</v>
      </c>
      <c r="C699" t="s">
        <v>96</v>
      </c>
      <c r="D699" s="11">
        <v>45667</v>
      </c>
      <c r="E699" t="s">
        <v>16</v>
      </c>
      <c r="F699" t="s">
        <v>12</v>
      </c>
      <c r="G699">
        <v>778146</v>
      </c>
      <c r="H699">
        <v>4511572299</v>
      </c>
      <c r="I699">
        <v>20</v>
      </c>
      <c r="J699" s="29">
        <v>1</v>
      </c>
      <c r="K699" s="29" t="s">
        <v>894</v>
      </c>
      <c r="L699" t="str">
        <f>IFERROR(VLOOKUP(Detalle_OC[[#This Row],[Centro]]&amp;Detalle_OC[[#This Row],[Nro Almacen]],Almacen!A:D,4,FALSE),"")</f>
        <v>Montelima</v>
      </c>
    </row>
    <row r="700" spans="1:12" x14ac:dyDescent="0.3">
      <c r="A700" s="29" t="str">
        <f>Detalle_OC[[#This Row],[Centro]]&amp;Detalle_OC[[#This Row],[Nom Almacen]]&amp;Detalle_OC[[#This Row],[Material]]&amp;Detalle_OC[[#This Row],[Pedido]]&amp;Detalle_OC[[#This Row],[Posicion]]</f>
        <v>Agricola del Chira PlantaMontelima810446451157229930</v>
      </c>
      <c r="B700" t="s">
        <v>15</v>
      </c>
      <c r="C700" t="s">
        <v>96</v>
      </c>
      <c r="D700" s="11">
        <v>45667</v>
      </c>
      <c r="E700" t="s">
        <v>16</v>
      </c>
      <c r="F700" t="s">
        <v>12</v>
      </c>
      <c r="G700">
        <v>810446</v>
      </c>
      <c r="H700">
        <v>4511572299</v>
      </c>
      <c r="I700">
        <v>30</v>
      </c>
      <c r="J700" s="29">
        <v>1</v>
      </c>
      <c r="K700" s="29" t="s">
        <v>894</v>
      </c>
      <c r="L700" t="str">
        <f>IFERROR(VLOOKUP(Detalle_OC[[#This Row],[Centro]]&amp;Detalle_OC[[#This Row],[Nro Almacen]],Almacen!A:D,4,FALSE),"")</f>
        <v>Montelima</v>
      </c>
    </row>
    <row r="701" spans="1:12" x14ac:dyDescent="0.3">
      <c r="A701" s="29" t="str">
        <f>Detalle_OC[[#This Row],[Centro]]&amp;Detalle_OC[[#This Row],[Nom Almacen]]&amp;Detalle_OC[[#This Row],[Material]]&amp;Detalle_OC[[#This Row],[Pedido]]&amp;Detalle_OC[[#This Row],[Posicion]]</f>
        <v>Agricola del Chira PlantaMontelima810467451157229940</v>
      </c>
      <c r="B701" t="s">
        <v>15</v>
      </c>
      <c r="C701" t="s">
        <v>96</v>
      </c>
      <c r="D701" s="11">
        <v>45667</v>
      </c>
      <c r="E701" t="s">
        <v>16</v>
      </c>
      <c r="F701" t="s">
        <v>12</v>
      </c>
      <c r="G701">
        <v>810467</v>
      </c>
      <c r="H701">
        <v>4511572299</v>
      </c>
      <c r="I701">
        <v>40</v>
      </c>
      <c r="J701" s="29">
        <v>1</v>
      </c>
      <c r="K701" s="29" t="s">
        <v>894</v>
      </c>
      <c r="L701" t="str">
        <f>IFERROR(VLOOKUP(Detalle_OC[[#This Row],[Centro]]&amp;Detalle_OC[[#This Row],[Nro Almacen]],Almacen!A:D,4,FALSE),"")</f>
        <v>Montelima</v>
      </c>
    </row>
    <row r="702" spans="1:12" x14ac:dyDescent="0.3">
      <c r="A702" s="29" t="str">
        <f>Detalle_OC[[#This Row],[Centro]]&amp;Detalle_OC[[#This Row],[Nom Almacen]]&amp;Detalle_OC[[#This Row],[Material]]&amp;Detalle_OC[[#This Row],[Pedido]]&amp;Detalle_OC[[#This Row],[Posicion]]</f>
        <v>Agricola del Chira PlantaAlmacen Lobo70044042451157229960</v>
      </c>
      <c r="B702" t="s">
        <v>15</v>
      </c>
      <c r="C702" t="s">
        <v>96</v>
      </c>
      <c r="D702" s="11">
        <v>45667</v>
      </c>
      <c r="E702" t="s">
        <v>16</v>
      </c>
      <c r="F702" t="s">
        <v>12</v>
      </c>
      <c r="G702">
        <v>70044042</v>
      </c>
      <c r="H702">
        <v>4511572299</v>
      </c>
      <c r="I702">
        <v>60</v>
      </c>
      <c r="J702" s="29">
        <v>7</v>
      </c>
      <c r="K702" s="29" t="s">
        <v>894</v>
      </c>
      <c r="L702" t="str">
        <f>IFERROR(VLOOKUP(Detalle_OC[[#This Row],[Centro]]&amp;Detalle_OC[[#This Row],[Nro Almacen]],Almacen!A:D,4,FALSE),"")</f>
        <v>Almacen Lobo</v>
      </c>
    </row>
    <row r="703" spans="1:12" x14ac:dyDescent="0.3">
      <c r="A703" s="29" t="str">
        <f>Detalle_OC[[#This Row],[Centro]]&amp;Detalle_OC[[#This Row],[Nom Almacen]]&amp;Detalle_OC[[#This Row],[Material]]&amp;Detalle_OC[[#This Row],[Pedido]]&amp;Detalle_OC[[#This Row],[Posicion]]</f>
        <v>Agricola del Chira PlantaMontelima778847451157229970</v>
      </c>
      <c r="B703" t="s">
        <v>26</v>
      </c>
      <c r="C703" t="s">
        <v>96</v>
      </c>
      <c r="D703" s="11">
        <v>45667</v>
      </c>
      <c r="E703" t="s">
        <v>16</v>
      </c>
      <c r="F703" t="s">
        <v>12</v>
      </c>
      <c r="G703">
        <v>778847</v>
      </c>
      <c r="H703">
        <v>4511572299</v>
      </c>
      <c r="I703">
        <v>70</v>
      </c>
      <c r="J703" s="29">
        <v>1</v>
      </c>
      <c r="K703" s="29" t="s">
        <v>894</v>
      </c>
      <c r="L703" t="str">
        <f>IFERROR(VLOOKUP(Detalle_OC[[#This Row],[Centro]]&amp;Detalle_OC[[#This Row],[Nro Almacen]],Almacen!A:D,4,FALSE),"")</f>
        <v>Montelima</v>
      </c>
    </row>
    <row r="704" spans="1:12" x14ac:dyDescent="0.3">
      <c r="A704" s="29" t="str">
        <f>Detalle_OC[[#This Row],[Centro]]&amp;Detalle_OC[[#This Row],[Nom Almacen]]&amp;Detalle_OC[[#This Row],[Material]]&amp;Detalle_OC[[#This Row],[Pedido]]&amp;Detalle_OC[[#This Row],[Posicion]]</f>
        <v>Agricola del Chira PlantaSan Vicente7217844511572299100</v>
      </c>
      <c r="B704" t="s">
        <v>15</v>
      </c>
      <c r="C704" t="s">
        <v>96</v>
      </c>
      <c r="D704" s="11">
        <v>45667</v>
      </c>
      <c r="E704" t="s">
        <v>16</v>
      </c>
      <c r="F704" t="s">
        <v>12</v>
      </c>
      <c r="G704">
        <v>721784</v>
      </c>
      <c r="H704">
        <v>4511572299</v>
      </c>
      <c r="I704">
        <v>100</v>
      </c>
      <c r="J704" s="29">
        <v>3</v>
      </c>
      <c r="K704" s="29" t="s">
        <v>894</v>
      </c>
      <c r="L704" t="str">
        <f>IFERROR(VLOOKUP(Detalle_OC[[#This Row],[Centro]]&amp;Detalle_OC[[#This Row],[Nro Almacen]],Almacen!A:D,4,FALSE),"")</f>
        <v>San Vicente</v>
      </c>
    </row>
    <row r="705" spans="1:12" x14ac:dyDescent="0.3">
      <c r="A705" s="29" t="str">
        <f>Detalle_OC[[#This Row],[Centro]]&amp;Detalle_OC[[#This Row],[Nom Almacen]]&amp;Detalle_OC[[#This Row],[Material]]&amp;Detalle_OC[[#This Row],[Pedido]]&amp;Detalle_OC[[#This Row],[Posicion]]</f>
        <v>Agricola del Chira PlantaMontelima8104784511572299130</v>
      </c>
      <c r="B705" t="s">
        <v>15</v>
      </c>
      <c r="C705" t="s">
        <v>96</v>
      </c>
      <c r="D705" s="11">
        <v>45667</v>
      </c>
      <c r="E705" t="s">
        <v>16</v>
      </c>
      <c r="F705" t="s">
        <v>12</v>
      </c>
      <c r="G705">
        <v>810478</v>
      </c>
      <c r="H705">
        <v>4511572299</v>
      </c>
      <c r="I705">
        <v>130</v>
      </c>
      <c r="J705" s="29">
        <v>1</v>
      </c>
      <c r="K705" s="29" t="s">
        <v>894</v>
      </c>
      <c r="L705" t="str">
        <f>IFERROR(VLOOKUP(Detalle_OC[[#This Row],[Centro]]&amp;Detalle_OC[[#This Row],[Nro Almacen]],Almacen!A:D,4,FALSE),"")</f>
        <v>Montelima</v>
      </c>
    </row>
    <row r="706" spans="1:12" x14ac:dyDescent="0.3">
      <c r="A706" s="29" t="str">
        <f>Detalle_OC[[#This Row],[Centro]]&amp;Detalle_OC[[#This Row],[Nom Almacen]]&amp;Detalle_OC[[#This Row],[Material]]&amp;Detalle_OC[[#This Row],[Pedido]]&amp;Detalle_OC[[#This Row],[Posicion]]</f>
        <v>Agricola del Chira PlantaMontelima700691894511572299140</v>
      </c>
      <c r="B706" t="s">
        <v>15</v>
      </c>
      <c r="C706" t="s">
        <v>96</v>
      </c>
      <c r="D706" s="11">
        <v>45667</v>
      </c>
      <c r="E706" t="s">
        <v>16</v>
      </c>
      <c r="F706" t="s">
        <v>12</v>
      </c>
      <c r="G706">
        <v>70069189</v>
      </c>
      <c r="H706">
        <v>4511572299</v>
      </c>
      <c r="I706">
        <v>140</v>
      </c>
      <c r="J706" s="29">
        <v>1</v>
      </c>
      <c r="K706" s="29" t="s">
        <v>894</v>
      </c>
      <c r="L706" t="str">
        <f>IFERROR(VLOOKUP(Detalle_OC[[#This Row],[Centro]]&amp;Detalle_OC[[#This Row],[Nro Almacen]],Almacen!A:D,4,FALSE),"")</f>
        <v>Montelima</v>
      </c>
    </row>
    <row r="707" spans="1:12" x14ac:dyDescent="0.3">
      <c r="A707" s="29" t="str">
        <f>Detalle_OC[[#This Row],[Centro]]&amp;Detalle_OC[[#This Row],[Nom Almacen]]&amp;Detalle_OC[[#This Row],[Material]]&amp;Detalle_OC[[#This Row],[Pedido]]&amp;Detalle_OC[[#This Row],[Posicion]]</f>
        <v>Sucroalcolera del Chira PlantaMontelima847524451157230210</v>
      </c>
      <c r="B707" t="s">
        <v>15</v>
      </c>
      <c r="C707" t="s">
        <v>193</v>
      </c>
      <c r="D707" s="11">
        <v>45670</v>
      </c>
      <c r="E707" t="s">
        <v>16</v>
      </c>
      <c r="F707" t="s">
        <v>85</v>
      </c>
      <c r="G707">
        <v>847524</v>
      </c>
      <c r="H707">
        <v>4511572302</v>
      </c>
      <c r="I707">
        <v>10</v>
      </c>
      <c r="J707" s="29">
        <v>1</v>
      </c>
      <c r="K707" s="29" t="s">
        <v>894</v>
      </c>
      <c r="L707" t="str">
        <f>IFERROR(VLOOKUP(Detalle_OC[[#This Row],[Centro]]&amp;Detalle_OC[[#This Row],[Nro Almacen]],Almacen!A:D,4,FALSE),"")</f>
        <v>Montelima</v>
      </c>
    </row>
    <row r="708" spans="1:12" x14ac:dyDescent="0.3">
      <c r="A708" s="29" t="str">
        <f>Detalle_OC[[#This Row],[Centro]]&amp;Detalle_OC[[#This Row],[Nom Almacen]]&amp;Detalle_OC[[#This Row],[Material]]&amp;Detalle_OC[[#This Row],[Pedido]]&amp;Detalle_OC[[#This Row],[Posicion]]</f>
        <v>Sucroalcolera del Chira PlantaMontelima70043989451157230310</v>
      </c>
      <c r="B708" t="s">
        <v>15</v>
      </c>
      <c r="C708" t="s">
        <v>96</v>
      </c>
      <c r="D708" s="11">
        <v>45649</v>
      </c>
      <c r="E708" t="s">
        <v>16</v>
      </c>
      <c r="F708" t="s">
        <v>85</v>
      </c>
      <c r="G708">
        <v>70043989</v>
      </c>
      <c r="H708">
        <v>4511572303</v>
      </c>
      <c r="I708">
        <v>10</v>
      </c>
      <c r="J708" s="29">
        <v>1</v>
      </c>
      <c r="K708" s="29" t="s">
        <v>894</v>
      </c>
      <c r="L708" t="str">
        <f>IFERROR(VLOOKUP(Detalle_OC[[#This Row],[Centro]]&amp;Detalle_OC[[#This Row],[Nro Almacen]],Almacen!A:D,4,FALSE),"")</f>
        <v>Montelima</v>
      </c>
    </row>
    <row r="709" spans="1:12" x14ac:dyDescent="0.3">
      <c r="A709" s="29" t="str">
        <f>Detalle_OC[[#This Row],[Centro]]&amp;Detalle_OC[[#This Row],[Nom Almacen]]&amp;Detalle_OC[[#This Row],[Material]]&amp;Detalle_OC[[#This Row],[Pedido]]&amp;Detalle_OC[[#This Row],[Posicion]]</f>
        <v>Sucroalcolera del Chira PlantaMontelima70044040451157230320</v>
      </c>
      <c r="B709" t="s">
        <v>15</v>
      </c>
      <c r="C709" t="s">
        <v>96</v>
      </c>
      <c r="D709" s="11">
        <v>45649</v>
      </c>
      <c r="E709" t="s">
        <v>16</v>
      </c>
      <c r="F709" t="s">
        <v>85</v>
      </c>
      <c r="G709">
        <v>70044040</v>
      </c>
      <c r="H709">
        <v>4511572303</v>
      </c>
      <c r="I709">
        <v>20</v>
      </c>
      <c r="J709" s="29">
        <v>1</v>
      </c>
      <c r="K709" s="29" t="s">
        <v>894</v>
      </c>
      <c r="L709" t="str">
        <f>IFERROR(VLOOKUP(Detalle_OC[[#This Row],[Centro]]&amp;Detalle_OC[[#This Row],[Nro Almacen]],Almacen!A:D,4,FALSE),"")</f>
        <v>Montelima</v>
      </c>
    </row>
    <row r="710" spans="1:12" x14ac:dyDescent="0.3">
      <c r="A710" s="29" t="str">
        <f>Detalle_OC[[#This Row],[Centro]]&amp;Detalle_OC[[#This Row],[Nom Almacen]]&amp;Detalle_OC[[#This Row],[Material]]&amp;Detalle_OC[[#This Row],[Pedido]]&amp;Detalle_OC[[#This Row],[Posicion]]</f>
        <v>Sucroalcolera del Chira PlantaMontelima70044043451157230330</v>
      </c>
      <c r="B710" t="s">
        <v>15</v>
      </c>
      <c r="C710" t="s">
        <v>96</v>
      </c>
      <c r="D710" s="11">
        <v>45649</v>
      </c>
      <c r="E710" t="s">
        <v>16</v>
      </c>
      <c r="F710" t="s">
        <v>85</v>
      </c>
      <c r="G710">
        <v>70044043</v>
      </c>
      <c r="H710">
        <v>4511572303</v>
      </c>
      <c r="I710">
        <v>30</v>
      </c>
      <c r="J710" s="29">
        <v>1</v>
      </c>
      <c r="K710" s="29" t="s">
        <v>894</v>
      </c>
      <c r="L710" t="str">
        <f>IFERROR(VLOOKUP(Detalle_OC[[#This Row],[Centro]]&amp;Detalle_OC[[#This Row],[Nro Almacen]],Almacen!A:D,4,FALSE),"")</f>
        <v>Montelima</v>
      </c>
    </row>
    <row r="711" spans="1:12" x14ac:dyDescent="0.3">
      <c r="A711" s="29" t="str">
        <f>Detalle_OC[[#This Row],[Centro]]&amp;Detalle_OC[[#This Row],[Nom Almacen]]&amp;Detalle_OC[[#This Row],[Material]]&amp;Detalle_OC[[#This Row],[Pedido]]&amp;Detalle_OC[[#This Row],[Posicion]]</f>
        <v>Sucroalcolera del Chira PlantaMontelima701020451157230340</v>
      </c>
      <c r="B711" t="s">
        <v>15</v>
      </c>
      <c r="C711" t="s">
        <v>96</v>
      </c>
      <c r="D711" s="11">
        <v>45649</v>
      </c>
      <c r="E711" t="s">
        <v>16</v>
      </c>
      <c r="F711" t="s">
        <v>85</v>
      </c>
      <c r="G711">
        <v>701020</v>
      </c>
      <c r="H711">
        <v>4511572303</v>
      </c>
      <c r="I711">
        <v>40</v>
      </c>
      <c r="J711" s="29">
        <v>1</v>
      </c>
      <c r="K711" s="29" t="s">
        <v>894</v>
      </c>
      <c r="L711" t="str">
        <f>IFERROR(VLOOKUP(Detalle_OC[[#This Row],[Centro]]&amp;Detalle_OC[[#This Row],[Nro Almacen]],Almacen!A:D,4,FALSE),"")</f>
        <v>Montelima</v>
      </c>
    </row>
    <row r="712" spans="1:12" x14ac:dyDescent="0.3">
      <c r="A712" s="29" t="str">
        <f>Detalle_OC[[#This Row],[Centro]]&amp;Detalle_OC[[#This Row],[Nom Almacen]]&amp;Detalle_OC[[#This Row],[Material]]&amp;Detalle_OC[[#This Row],[Pedido]]&amp;Detalle_OC[[#This Row],[Posicion]]</f>
        <v>Sucroalcolera del Chira PlantaMontelima778146451157230350</v>
      </c>
      <c r="B712" t="s">
        <v>15</v>
      </c>
      <c r="C712" t="s">
        <v>96</v>
      </c>
      <c r="D712" s="11">
        <v>45649</v>
      </c>
      <c r="E712" t="s">
        <v>16</v>
      </c>
      <c r="F712" t="s">
        <v>85</v>
      </c>
      <c r="G712">
        <v>778146</v>
      </c>
      <c r="H712">
        <v>4511572303</v>
      </c>
      <c r="I712">
        <v>50</v>
      </c>
      <c r="J712" s="29">
        <v>1</v>
      </c>
      <c r="K712" s="29" t="s">
        <v>894</v>
      </c>
      <c r="L712" t="str">
        <f>IFERROR(VLOOKUP(Detalle_OC[[#This Row],[Centro]]&amp;Detalle_OC[[#This Row],[Nro Almacen]],Almacen!A:D,4,FALSE),"")</f>
        <v>Montelima</v>
      </c>
    </row>
    <row r="713" spans="1:12" x14ac:dyDescent="0.3">
      <c r="A713" s="29" t="str">
        <f>Detalle_OC[[#This Row],[Centro]]&amp;Detalle_OC[[#This Row],[Nom Almacen]]&amp;Detalle_OC[[#This Row],[Material]]&amp;Detalle_OC[[#This Row],[Pedido]]&amp;Detalle_OC[[#This Row],[Posicion]]</f>
        <v>Sucroalcolera del Chira PlantaMontelima810467451157230360</v>
      </c>
      <c r="B713" t="s">
        <v>15</v>
      </c>
      <c r="C713" t="s">
        <v>96</v>
      </c>
      <c r="D713" s="11">
        <v>45649</v>
      </c>
      <c r="E713" t="s">
        <v>16</v>
      </c>
      <c r="F713" t="s">
        <v>85</v>
      </c>
      <c r="G713">
        <v>810467</v>
      </c>
      <c r="H713">
        <v>4511572303</v>
      </c>
      <c r="I713">
        <v>60</v>
      </c>
      <c r="J713" s="29">
        <v>1</v>
      </c>
      <c r="K713" s="29" t="s">
        <v>894</v>
      </c>
      <c r="L713" t="str">
        <f>IFERROR(VLOOKUP(Detalle_OC[[#This Row],[Centro]]&amp;Detalle_OC[[#This Row],[Nro Almacen]],Almacen!A:D,4,FALSE),"")</f>
        <v>Montelima</v>
      </c>
    </row>
    <row r="714" spans="1:12" x14ac:dyDescent="0.3">
      <c r="A714" s="29" t="str">
        <f>Detalle_OC[[#This Row],[Centro]]&amp;Detalle_OC[[#This Row],[Nom Almacen]]&amp;Detalle_OC[[#This Row],[Material]]&amp;Detalle_OC[[#This Row],[Pedido]]&amp;Detalle_OC[[#This Row],[Posicion]]</f>
        <v>Sucroalcolera del Chira PlantaMontelima810478451157230370</v>
      </c>
      <c r="B714" t="s">
        <v>15</v>
      </c>
      <c r="C714" t="s">
        <v>96</v>
      </c>
      <c r="D714" s="11">
        <v>45649</v>
      </c>
      <c r="E714" t="s">
        <v>16</v>
      </c>
      <c r="F714" t="s">
        <v>85</v>
      </c>
      <c r="G714">
        <v>810478</v>
      </c>
      <c r="H714">
        <v>4511572303</v>
      </c>
      <c r="I714">
        <v>70</v>
      </c>
      <c r="J714" s="29">
        <v>1</v>
      </c>
      <c r="K714" s="29" t="s">
        <v>894</v>
      </c>
      <c r="L714" t="str">
        <f>IFERROR(VLOOKUP(Detalle_OC[[#This Row],[Centro]]&amp;Detalle_OC[[#This Row],[Nro Almacen]],Almacen!A:D,4,FALSE),"")</f>
        <v>Montelima</v>
      </c>
    </row>
    <row r="715" spans="1:12" x14ac:dyDescent="0.3">
      <c r="A715" s="29" t="str">
        <f>Detalle_OC[[#This Row],[Centro]]&amp;Detalle_OC[[#This Row],[Nom Almacen]]&amp;Detalle_OC[[#This Row],[Material]]&amp;Detalle_OC[[#This Row],[Pedido]]&amp;Detalle_OC[[#This Row],[Posicion]]</f>
        <v>Sucroalcolera del Chira PlantaMontelima769799451157230510</v>
      </c>
      <c r="B715" t="s">
        <v>151</v>
      </c>
      <c r="C715" t="s">
        <v>168</v>
      </c>
      <c r="D715" s="11">
        <v>45649</v>
      </c>
      <c r="E715" t="s">
        <v>51</v>
      </c>
      <c r="F715" t="s">
        <v>85</v>
      </c>
      <c r="G715">
        <v>769799</v>
      </c>
      <c r="H715">
        <v>4511572305</v>
      </c>
      <c r="I715">
        <v>10</v>
      </c>
      <c r="J715" s="29">
        <v>1</v>
      </c>
      <c r="K715" s="29" t="s">
        <v>894</v>
      </c>
      <c r="L715" t="str">
        <f>IFERROR(VLOOKUP(Detalle_OC[[#This Row],[Centro]]&amp;Detalle_OC[[#This Row],[Nro Almacen]],Almacen!A:D,4,FALSE),"")</f>
        <v>Montelima</v>
      </c>
    </row>
    <row r="716" spans="1:12" x14ac:dyDescent="0.3">
      <c r="A716" s="29" t="str">
        <f>Detalle_OC[[#This Row],[Centro]]&amp;Detalle_OC[[#This Row],[Nom Almacen]]&amp;Detalle_OC[[#This Row],[Material]]&amp;Detalle_OC[[#This Row],[Pedido]]&amp;Detalle_OC[[#This Row],[Posicion]]</f>
        <v>Sucroalcolera del Chira PlantaMontelima862994451157231310</v>
      </c>
      <c r="B716" t="s">
        <v>138</v>
      </c>
      <c r="C716" t="s">
        <v>179</v>
      </c>
      <c r="D716" s="11">
        <v>45649</v>
      </c>
      <c r="E716" t="s">
        <v>16</v>
      </c>
      <c r="F716" t="s">
        <v>85</v>
      </c>
      <c r="G716">
        <v>862994</v>
      </c>
      <c r="H716">
        <v>4511572313</v>
      </c>
      <c r="I716">
        <v>10</v>
      </c>
      <c r="J716" s="29">
        <v>1</v>
      </c>
      <c r="K716" s="29" t="s">
        <v>894</v>
      </c>
      <c r="L716" t="str">
        <f>IFERROR(VLOOKUP(Detalle_OC[[#This Row],[Centro]]&amp;Detalle_OC[[#This Row],[Nro Almacen]],Almacen!A:D,4,FALSE),"")</f>
        <v>Montelima</v>
      </c>
    </row>
    <row r="717" spans="1:12" x14ac:dyDescent="0.3">
      <c r="A717" s="29" t="str">
        <f>Detalle_OC[[#This Row],[Centro]]&amp;Detalle_OC[[#This Row],[Nom Almacen]]&amp;Detalle_OC[[#This Row],[Material]]&amp;Detalle_OC[[#This Row],[Pedido]]&amp;Detalle_OC[[#This Row],[Posicion]]</f>
        <v>Sucroalcolera del Chira PlantaMontelima862994451157231320</v>
      </c>
      <c r="B717" t="s">
        <v>138</v>
      </c>
      <c r="C717" t="s">
        <v>179</v>
      </c>
      <c r="D717" s="11">
        <v>45649</v>
      </c>
      <c r="E717" t="s">
        <v>16</v>
      </c>
      <c r="F717" t="s">
        <v>85</v>
      </c>
      <c r="G717">
        <v>862994</v>
      </c>
      <c r="H717">
        <v>4511572313</v>
      </c>
      <c r="I717">
        <v>20</v>
      </c>
      <c r="J717" s="29">
        <v>1</v>
      </c>
      <c r="K717" s="29" t="s">
        <v>894</v>
      </c>
      <c r="L717" t="str">
        <f>IFERROR(VLOOKUP(Detalle_OC[[#This Row],[Centro]]&amp;Detalle_OC[[#This Row],[Nro Almacen]],Almacen!A:D,4,FALSE),"")</f>
        <v>Montelima</v>
      </c>
    </row>
    <row r="718" spans="1:12" x14ac:dyDescent="0.3">
      <c r="A718" s="29" t="str">
        <f>Detalle_OC[[#This Row],[Centro]]&amp;Detalle_OC[[#This Row],[Nom Almacen]]&amp;Detalle_OC[[#This Row],[Material]]&amp;Detalle_OC[[#This Row],[Pedido]]&amp;Detalle_OC[[#This Row],[Posicion]]</f>
        <v>Sucroalcolera del Chira PlantaMontelima862999451157231330</v>
      </c>
      <c r="B718" t="s">
        <v>138</v>
      </c>
      <c r="C718" t="s">
        <v>179</v>
      </c>
      <c r="D718" s="11">
        <v>45649</v>
      </c>
      <c r="E718" t="s">
        <v>16</v>
      </c>
      <c r="F718" t="s">
        <v>85</v>
      </c>
      <c r="G718">
        <v>862999</v>
      </c>
      <c r="H718">
        <v>4511572313</v>
      </c>
      <c r="I718">
        <v>30</v>
      </c>
      <c r="J718" s="29">
        <v>1</v>
      </c>
      <c r="K718" s="29" t="s">
        <v>894</v>
      </c>
      <c r="L718" t="str">
        <f>IFERROR(VLOOKUP(Detalle_OC[[#This Row],[Centro]]&amp;Detalle_OC[[#This Row],[Nro Almacen]],Almacen!A:D,4,FALSE),"")</f>
        <v>Montelima</v>
      </c>
    </row>
    <row r="719" spans="1:12" x14ac:dyDescent="0.3">
      <c r="A719" s="29" t="str">
        <f>Detalle_OC[[#This Row],[Centro]]&amp;Detalle_OC[[#This Row],[Nom Almacen]]&amp;Detalle_OC[[#This Row],[Material]]&amp;Detalle_OC[[#This Row],[Pedido]]&amp;Detalle_OC[[#This Row],[Posicion]]</f>
        <v>Sucroalcolera del Chira PlantaMontelima862999451157231340</v>
      </c>
      <c r="B719" t="s">
        <v>138</v>
      </c>
      <c r="C719" t="s">
        <v>179</v>
      </c>
      <c r="D719" s="11">
        <v>45649</v>
      </c>
      <c r="E719" t="s">
        <v>16</v>
      </c>
      <c r="F719" t="s">
        <v>85</v>
      </c>
      <c r="G719">
        <v>862999</v>
      </c>
      <c r="H719">
        <v>4511572313</v>
      </c>
      <c r="I719">
        <v>40</v>
      </c>
      <c r="J719" s="29">
        <v>1</v>
      </c>
      <c r="K719" s="29" t="s">
        <v>894</v>
      </c>
      <c r="L719" t="str">
        <f>IFERROR(VLOOKUP(Detalle_OC[[#This Row],[Centro]]&amp;Detalle_OC[[#This Row],[Nro Almacen]],Almacen!A:D,4,FALSE),"")</f>
        <v>Montelima</v>
      </c>
    </row>
    <row r="720" spans="1:12" x14ac:dyDescent="0.3">
      <c r="A720" s="29" t="str">
        <f>Detalle_OC[[#This Row],[Centro]]&amp;Detalle_OC[[#This Row],[Nom Almacen]]&amp;Detalle_OC[[#This Row],[Material]]&amp;Detalle_OC[[#This Row],[Pedido]]&amp;Detalle_OC[[#This Row],[Posicion]]</f>
        <v>Sucroalcolera del Chira PlantaMontelima863000451157231350</v>
      </c>
      <c r="B720" t="s">
        <v>138</v>
      </c>
      <c r="C720" t="s">
        <v>179</v>
      </c>
      <c r="D720" s="11">
        <v>45649</v>
      </c>
      <c r="E720" t="s">
        <v>16</v>
      </c>
      <c r="F720" t="s">
        <v>85</v>
      </c>
      <c r="G720">
        <v>863000</v>
      </c>
      <c r="H720">
        <v>4511572313</v>
      </c>
      <c r="I720">
        <v>50</v>
      </c>
      <c r="J720" s="29">
        <v>1</v>
      </c>
      <c r="K720" s="29" t="s">
        <v>894</v>
      </c>
      <c r="L720" t="str">
        <f>IFERROR(VLOOKUP(Detalle_OC[[#This Row],[Centro]]&amp;Detalle_OC[[#This Row],[Nro Almacen]],Almacen!A:D,4,FALSE),"")</f>
        <v>Montelima</v>
      </c>
    </row>
    <row r="721" spans="1:12" x14ac:dyDescent="0.3">
      <c r="A721" s="29" t="str">
        <f>Detalle_OC[[#This Row],[Centro]]&amp;Detalle_OC[[#This Row],[Nom Almacen]]&amp;Detalle_OC[[#This Row],[Material]]&amp;Detalle_OC[[#This Row],[Pedido]]&amp;Detalle_OC[[#This Row],[Posicion]]</f>
        <v>Sucroalcolera del Chira PlantaMontelima884037451157231360</v>
      </c>
      <c r="B721" t="s">
        <v>138</v>
      </c>
      <c r="C721" t="s">
        <v>179</v>
      </c>
      <c r="D721" s="11">
        <v>45649</v>
      </c>
      <c r="E721" t="s">
        <v>16</v>
      </c>
      <c r="F721" t="s">
        <v>85</v>
      </c>
      <c r="G721">
        <v>884037</v>
      </c>
      <c r="H721">
        <v>4511572313</v>
      </c>
      <c r="I721">
        <v>60</v>
      </c>
      <c r="J721" s="29">
        <v>1</v>
      </c>
      <c r="K721" s="29" t="s">
        <v>894</v>
      </c>
      <c r="L721" t="str">
        <f>IFERROR(VLOOKUP(Detalle_OC[[#This Row],[Centro]]&amp;Detalle_OC[[#This Row],[Nro Almacen]],Almacen!A:D,4,FALSE),"")</f>
        <v>Montelima</v>
      </c>
    </row>
    <row r="722" spans="1:12" x14ac:dyDescent="0.3">
      <c r="A722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fábrica867900451157231910</v>
      </c>
      <c r="B722" t="s">
        <v>142</v>
      </c>
      <c r="C722" t="s">
        <v>1146</v>
      </c>
      <c r="D722" s="11">
        <v>45679</v>
      </c>
      <c r="E722" t="s">
        <v>16</v>
      </c>
      <c r="F722" t="s">
        <v>85</v>
      </c>
      <c r="G722">
        <v>867900</v>
      </c>
      <c r="H722">
        <v>4511572319</v>
      </c>
      <c r="I722">
        <v>10</v>
      </c>
      <c r="J722" s="29">
        <v>9</v>
      </c>
      <c r="K722" s="29" t="s">
        <v>894</v>
      </c>
      <c r="L722" t="str">
        <f>IFERROR(VLOOKUP(Detalle_OC[[#This Row],[Centro]]&amp;Detalle_OC[[#This Row],[Nro Almacen]],Almacen!A:D,4,FALSE),"")</f>
        <v>Parada fábrica</v>
      </c>
    </row>
    <row r="723" spans="1:12" x14ac:dyDescent="0.3">
      <c r="A723" s="29" t="str">
        <f>Detalle_OC[[#This Row],[Centro]]&amp;Detalle_OC[[#This Row],[Nom Almacen]]&amp;Detalle_OC[[#This Row],[Material]]&amp;Detalle_OC[[#This Row],[Pedido]]&amp;Detalle_OC[[#This Row],[Posicion]]</f>
        <v>Sucroalcolera del Chira PlantaMontelima70047943451157233210</v>
      </c>
      <c r="B723" t="s">
        <v>142</v>
      </c>
      <c r="C723" t="s">
        <v>167</v>
      </c>
      <c r="D723" s="11">
        <v>45646</v>
      </c>
      <c r="E723" t="s">
        <v>16</v>
      </c>
      <c r="F723" t="s">
        <v>85</v>
      </c>
      <c r="G723">
        <v>70047943</v>
      </c>
      <c r="H723">
        <v>4511572332</v>
      </c>
      <c r="I723">
        <v>10</v>
      </c>
      <c r="J723" s="29">
        <v>1</v>
      </c>
      <c r="K723" s="29" t="s">
        <v>894</v>
      </c>
      <c r="L723" t="str">
        <f>IFERROR(VLOOKUP(Detalle_OC[[#This Row],[Centro]]&amp;Detalle_OC[[#This Row],[Nro Almacen]],Almacen!A:D,4,FALSE),"")</f>
        <v>Montelima</v>
      </c>
    </row>
    <row r="724" spans="1:12" x14ac:dyDescent="0.3">
      <c r="A724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fábrica820982451157235310</v>
      </c>
      <c r="B724" t="s">
        <v>142</v>
      </c>
      <c r="C724" t="s">
        <v>278</v>
      </c>
      <c r="D724" s="11">
        <v>45656</v>
      </c>
      <c r="E724" t="s">
        <v>16</v>
      </c>
      <c r="F724" t="s">
        <v>85</v>
      </c>
      <c r="G724">
        <v>820982</v>
      </c>
      <c r="H724">
        <v>4511572353</v>
      </c>
      <c r="I724">
        <v>10</v>
      </c>
      <c r="J724" s="29">
        <v>9</v>
      </c>
      <c r="K724" s="29" t="s">
        <v>894</v>
      </c>
      <c r="L724" t="str">
        <f>IFERROR(VLOOKUP(Detalle_OC[[#This Row],[Centro]]&amp;Detalle_OC[[#This Row],[Nro Almacen]],Almacen!A:D,4,FALSE),"")</f>
        <v>Parada fábrica</v>
      </c>
    </row>
    <row r="725" spans="1:12" x14ac:dyDescent="0.3">
      <c r="A725" s="29" t="str">
        <f>Detalle_OC[[#This Row],[Centro]]&amp;Detalle_OC[[#This Row],[Nom Almacen]]&amp;Detalle_OC[[#This Row],[Material]]&amp;Detalle_OC[[#This Row],[Pedido]]&amp;Detalle_OC[[#This Row],[Posicion]]</f>
        <v>Sucroalcolera del Chira PlantaMontelima70052503451157237010</v>
      </c>
      <c r="B725" t="s">
        <v>138</v>
      </c>
      <c r="C725" t="s">
        <v>212</v>
      </c>
      <c r="D725" s="11">
        <v>45670</v>
      </c>
      <c r="E725" t="s">
        <v>16</v>
      </c>
      <c r="F725" t="s">
        <v>85</v>
      </c>
      <c r="G725">
        <v>70052503</v>
      </c>
      <c r="H725">
        <v>4511572370</v>
      </c>
      <c r="I725">
        <v>10</v>
      </c>
      <c r="J725" s="29">
        <v>1</v>
      </c>
      <c r="K725" s="29" t="s">
        <v>894</v>
      </c>
      <c r="L725" t="str">
        <f>IFERROR(VLOOKUP(Detalle_OC[[#This Row],[Centro]]&amp;Detalle_OC[[#This Row],[Nro Almacen]],Almacen!A:D,4,FALSE),"")</f>
        <v>Montelima</v>
      </c>
    </row>
    <row r="726" spans="1:12" x14ac:dyDescent="0.3">
      <c r="A726" s="29" t="str">
        <f>Detalle_OC[[#This Row],[Centro]]&amp;Detalle_OC[[#This Row],[Nom Almacen]]&amp;Detalle_OC[[#This Row],[Material]]&amp;Detalle_OC[[#This Row],[Pedido]]&amp;Detalle_OC[[#This Row],[Posicion]]</f>
        <v>Agricola del Chira PlantaMontelima70125308451157237210</v>
      </c>
      <c r="B726" t="s">
        <v>39</v>
      </c>
      <c r="C726" t="s">
        <v>212</v>
      </c>
      <c r="D726" s="11">
        <v>45670</v>
      </c>
      <c r="E726" t="s">
        <v>16</v>
      </c>
      <c r="F726" t="s">
        <v>12</v>
      </c>
      <c r="G726">
        <v>70125308</v>
      </c>
      <c r="H726">
        <v>4511572372</v>
      </c>
      <c r="I726">
        <v>10</v>
      </c>
      <c r="J726" s="29">
        <v>1</v>
      </c>
      <c r="K726" s="29" t="s">
        <v>894</v>
      </c>
      <c r="L726" t="str">
        <f>IFERROR(VLOOKUP(Detalle_OC[[#This Row],[Centro]]&amp;Detalle_OC[[#This Row],[Nro Almacen]],Almacen!A:D,4,FALSE),"")</f>
        <v>Montelima</v>
      </c>
    </row>
    <row r="727" spans="1:12" x14ac:dyDescent="0.3">
      <c r="A727" s="29" t="str">
        <f>Detalle_OC[[#This Row],[Centro]]&amp;Detalle_OC[[#This Row],[Nom Almacen]]&amp;Detalle_OC[[#This Row],[Material]]&amp;Detalle_OC[[#This Row],[Pedido]]&amp;Detalle_OC[[#This Row],[Posicion]]</f>
        <v>Agricola del Chira PlantaMontelima754756451157237410</v>
      </c>
      <c r="B727" t="s">
        <v>15</v>
      </c>
      <c r="C727" t="s">
        <v>150</v>
      </c>
      <c r="D727" s="11">
        <v>45667</v>
      </c>
      <c r="E727" t="s">
        <v>16</v>
      </c>
      <c r="F727" t="s">
        <v>12</v>
      </c>
      <c r="G727">
        <v>754756</v>
      </c>
      <c r="H727">
        <v>4511572374</v>
      </c>
      <c r="I727">
        <v>10</v>
      </c>
      <c r="J727" s="29">
        <v>1</v>
      </c>
      <c r="K727" s="29" t="s">
        <v>894</v>
      </c>
      <c r="L727" t="str">
        <f>IFERROR(VLOOKUP(Detalle_OC[[#This Row],[Centro]]&amp;Detalle_OC[[#This Row],[Nro Almacen]],Almacen!A:D,4,FALSE),"")</f>
        <v>Montelima</v>
      </c>
    </row>
    <row r="728" spans="1:12" x14ac:dyDescent="0.3">
      <c r="A728" s="29" t="str">
        <f>Detalle_OC[[#This Row],[Centro]]&amp;Detalle_OC[[#This Row],[Nom Almacen]]&amp;Detalle_OC[[#This Row],[Material]]&amp;Detalle_OC[[#This Row],[Pedido]]&amp;Detalle_OC[[#This Row],[Posicion]]</f>
        <v>Agricola del Chira PlantaMontelima70117784451157237420</v>
      </c>
      <c r="B728" t="s">
        <v>145</v>
      </c>
      <c r="C728" t="s">
        <v>150</v>
      </c>
      <c r="D728" s="11">
        <v>45667</v>
      </c>
      <c r="E728" t="s">
        <v>16</v>
      </c>
      <c r="F728" t="s">
        <v>12</v>
      </c>
      <c r="G728">
        <v>70117784</v>
      </c>
      <c r="H728">
        <v>4511572374</v>
      </c>
      <c r="I728">
        <v>20</v>
      </c>
      <c r="J728" s="29">
        <v>1</v>
      </c>
      <c r="K728" s="29" t="s">
        <v>894</v>
      </c>
      <c r="L728" t="str">
        <f>IFERROR(VLOOKUP(Detalle_OC[[#This Row],[Centro]]&amp;Detalle_OC[[#This Row],[Nro Almacen]],Almacen!A:D,4,FALSE),"")</f>
        <v>Montelima</v>
      </c>
    </row>
    <row r="729" spans="1:12" x14ac:dyDescent="0.3">
      <c r="A729" s="29" t="str">
        <f>Detalle_OC[[#This Row],[Centro]]&amp;Detalle_OC[[#This Row],[Nom Almacen]]&amp;Detalle_OC[[#This Row],[Material]]&amp;Detalle_OC[[#This Row],[Pedido]]&amp;Detalle_OC[[#This Row],[Posicion]]</f>
        <v>Agricola del Chira PlantaMontelima880204451157237540</v>
      </c>
      <c r="B729" t="s">
        <v>15</v>
      </c>
      <c r="C729" t="s">
        <v>44</v>
      </c>
      <c r="D729" s="11">
        <v>45649</v>
      </c>
      <c r="E729" t="s">
        <v>16</v>
      </c>
      <c r="F729" t="s">
        <v>12</v>
      </c>
      <c r="G729">
        <v>880204</v>
      </c>
      <c r="H729">
        <v>4511572375</v>
      </c>
      <c r="I729">
        <v>40</v>
      </c>
      <c r="J729" s="29">
        <v>1</v>
      </c>
      <c r="K729" s="29" t="s">
        <v>894</v>
      </c>
      <c r="L729" t="str">
        <f>IFERROR(VLOOKUP(Detalle_OC[[#This Row],[Centro]]&amp;Detalle_OC[[#This Row],[Nro Almacen]],Almacen!A:D,4,FALSE),"")</f>
        <v>Montelima</v>
      </c>
    </row>
    <row r="730" spans="1:12" x14ac:dyDescent="0.3">
      <c r="A730" s="29" t="str">
        <f>Detalle_OC[[#This Row],[Centro]]&amp;Detalle_OC[[#This Row],[Nom Almacen]]&amp;Detalle_OC[[#This Row],[Material]]&amp;Detalle_OC[[#This Row],[Pedido]]&amp;Detalle_OC[[#This Row],[Posicion]]</f>
        <v>Agricola del Chira PlantaMontelima72006569451157238710</v>
      </c>
      <c r="B730" t="s">
        <v>39</v>
      </c>
      <c r="C730" t="s">
        <v>207</v>
      </c>
      <c r="D730" s="11">
        <v>45646</v>
      </c>
      <c r="E730" t="s">
        <v>16</v>
      </c>
      <c r="F730" t="s">
        <v>12</v>
      </c>
      <c r="G730">
        <v>72006569</v>
      </c>
      <c r="H730">
        <v>4511572387</v>
      </c>
      <c r="I730">
        <v>10</v>
      </c>
      <c r="J730" s="29">
        <v>1</v>
      </c>
      <c r="K730" s="29" t="s">
        <v>894</v>
      </c>
      <c r="L730" t="str">
        <f>IFERROR(VLOOKUP(Detalle_OC[[#This Row],[Centro]]&amp;Detalle_OC[[#This Row],[Nro Almacen]],Almacen!A:D,4,FALSE),"")</f>
        <v>Montelima</v>
      </c>
    </row>
    <row r="731" spans="1:12" x14ac:dyDescent="0.3">
      <c r="A731" s="29" t="str">
        <f>Detalle_OC[[#This Row],[Centro]]&amp;Detalle_OC[[#This Row],[Nom Almacen]]&amp;Detalle_OC[[#This Row],[Material]]&amp;Detalle_OC[[#This Row],[Pedido]]&amp;Detalle_OC[[#This Row],[Posicion]]</f>
        <v>Bioenergía del Chira PlantaParada fábrica70085505451157239010</v>
      </c>
      <c r="B731" t="s">
        <v>180</v>
      </c>
      <c r="C731" t="s">
        <v>1137</v>
      </c>
      <c r="D731" s="11">
        <v>45670</v>
      </c>
      <c r="E731" t="s">
        <v>16</v>
      </c>
      <c r="F731" t="s">
        <v>86</v>
      </c>
      <c r="G731">
        <v>70085505</v>
      </c>
      <c r="H731">
        <v>4511572390</v>
      </c>
      <c r="I731">
        <v>10</v>
      </c>
      <c r="J731" s="29">
        <v>4</v>
      </c>
      <c r="K731" s="29" t="s">
        <v>894</v>
      </c>
      <c r="L731" t="str">
        <f>IFERROR(VLOOKUP(Detalle_OC[[#This Row],[Centro]]&amp;Detalle_OC[[#This Row],[Nro Almacen]],Almacen!A:D,4,FALSE),"")</f>
        <v>Parada fábrica</v>
      </c>
    </row>
    <row r="732" spans="1:12" x14ac:dyDescent="0.3">
      <c r="A732" s="29" t="str">
        <f>Detalle_OC[[#This Row],[Centro]]&amp;Detalle_OC[[#This Row],[Nom Almacen]]&amp;Detalle_OC[[#This Row],[Material]]&amp;Detalle_OC[[#This Row],[Pedido]]&amp;Detalle_OC[[#This Row],[Posicion]]</f>
        <v>Bioenergía del Chira PlantaParada fábrica865491451157239210</v>
      </c>
      <c r="B732" t="s">
        <v>180</v>
      </c>
      <c r="C732" t="s">
        <v>313</v>
      </c>
      <c r="D732" s="11">
        <v>45657</v>
      </c>
      <c r="E732" t="s">
        <v>16</v>
      </c>
      <c r="F732" t="s">
        <v>86</v>
      </c>
      <c r="G732">
        <v>865491</v>
      </c>
      <c r="H732">
        <v>4511572392</v>
      </c>
      <c r="I732">
        <v>10</v>
      </c>
      <c r="J732" s="29">
        <v>4</v>
      </c>
      <c r="K732" s="29" t="s">
        <v>894</v>
      </c>
      <c r="L732" t="str">
        <f>IFERROR(VLOOKUP(Detalle_OC[[#This Row],[Centro]]&amp;Detalle_OC[[#This Row],[Nro Almacen]],Almacen!A:D,4,FALSE),"")</f>
        <v>Parada fábrica</v>
      </c>
    </row>
    <row r="733" spans="1:12" x14ac:dyDescent="0.3">
      <c r="A733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fábrica865491451157239310</v>
      </c>
      <c r="B733" t="s">
        <v>142</v>
      </c>
      <c r="C733" t="s">
        <v>313</v>
      </c>
      <c r="D733" s="11">
        <v>45657</v>
      </c>
      <c r="E733" t="s">
        <v>16</v>
      </c>
      <c r="F733" t="s">
        <v>85</v>
      </c>
      <c r="G733">
        <v>865491</v>
      </c>
      <c r="H733">
        <v>4511572393</v>
      </c>
      <c r="I733">
        <v>10</v>
      </c>
      <c r="J733" s="29">
        <v>9</v>
      </c>
      <c r="K733" s="29" t="s">
        <v>894</v>
      </c>
      <c r="L733" t="str">
        <f>IFERROR(VLOOKUP(Detalle_OC[[#This Row],[Centro]]&amp;Detalle_OC[[#This Row],[Nro Almacen]],Almacen!A:D,4,FALSE),"")</f>
        <v>Parada fábrica</v>
      </c>
    </row>
    <row r="734" spans="1:12" x14ac:dyDescent="0.3">
      <c r="A734" s="29" t="str">
        <f>Detalle_OC[[#This Row],[Centro]]&amp;Detalle_OC[[#This Row],[Nom Almacen]]&amp;Detalle_OC[[#This Row],[Material]]&amp;Detalle_OC[[#This Row],[Pedido]]&amp;Detalle_OC[[#This Row],[Posicion]]</f>
        <v>Agricola del Chira PlantaMontelima888311451157239410</v>
      </c>
      <c r="B734" t="s">
        <v>15</v>
      </c>
      <c r="C734" t="s">
        <v>14</v>
      </c>
      <c r="D734" s="11">
        <v>45646</v>
      </c>
      <c r="E734" t="s">
        <v>16</v>
      </c>
      <c r="F734" t="s">
        <v>12</v>
      </c>
      <c r="G734">
        <v>888311</v>
      </c>
      <c r="H734">
        <v>4511572394</v>
      </c>
      <c r="I734">
        <v>10</v>
      </c>
      <c r="J734" s="29">
        <v>1</v>
      </c>
      <c r="K734" s="29" t="s">
        <v>894</v>
      </c>
      <c r="L734" t="str">
        <f>IFERROR(VLOOKUP(Detalle_OC[[#This Row],[Centro]]&amp;Detalle_OC[[#This Row],[Nro Almacen]],Almacen!A:D,4,FALSE),"")</f>
        <v>Montelima</v>
      </c>
    </row>
    <row r="735" spans="1:12" x14ac:dyDescent="0.3">
      <c r="A735" s="29" t="str">
        <f>Detalle_OC[[#This Row],[Centro]]&amp;Detalle_OC[[#This Row],[Nom Almacen]]&amp;Detalle_OC[[#This Row],[Material]]&amp;Detalle_OC[[#This Row],[Pedido]]&amp;Detalle_OC[[#This Row],[Posicion]]</f>
        <v>Bioenergía del Chira PlantaParada fábrica803191451157239510</v>
      </c>
      <c r="B735" t="s">
        <v>180</v>
      </c>
      <c r="C735" t="s">
        <v>197</v>
      </c>
      <c r="D735" s="11">
        <v>45667</v>
      </c>
      <c r="E735" t="s">
        <v>16</v>
      </c>
      <c r="F735" t="s">
        <v>86</v>
      </c>
      <c r="G735">
        <v>803191</v>
      </c>
      <c r="H735">
        <v>4511572395</v>
      </c>
      <c r="I735">
        <v>10</v>
      </c>
      <c r="J735" s="29">
        <v>4</v>
      </c>
      <c r="K735" s="29" t="s">
        <v>894</v>
      </c>
      <c r="L735" t="str">
        <f>IFERROR(VLOOKUP(Detalle_OC[[#This Row],[Centro]]&amp;Detalle_OC[[#This Row],[Nro Almacen]],Almacen!A:D,4,FALSE),"")</f>
        <v>Parada fábrica</v>
      </c>
    </row>
    <row r="736" spans="1:12" x14ac:dyDescent="0.3">
      <c r="A736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fábrica810958451157239810</v>
      </c>
      <c r="B736" t="s">
        <v>142</v>
      </c>
      <c r="C736" t="s">
        <v>1147</v>
      </c>
      <c r="D736" s="11">
        <v>45656</v>
      </c>
      <c r="E736" t="s">
        <v>16</v>
      </c>
      <c r="F736" t="s">
        <v>85</v>
      </c>
      <c r="G736">
        <v>810958</v>
      </c>
      <c r="H736">
        <v>4511572398</v>
      </c>
      <c r="I736">
        <v>10</v>
      </c>
      <c r="J736" s="29">
        <v>9</v>
      </c>
      <c r="K736" s="29" t="s">
        <v>894</v>
      </c>
      <c r="L736" t="str">
        <f>IFERROR(VLOOKUP(Detalle_OC[[#This Row],[Centro]]&amp;Detalle_OC[[#This Row],[Nro Almacen]],Almacen!A:D,4,FALSE),"")</f>
        <v>Parada fábrica</v>
      </c>
    </row>
    <row r="737" spans="1:12" x14ac:dyDescent="0.3">
      <c r="A737" s="29" t="str">
        <f>Detalle_OC[[#This Row],[Centro]]&amp;Detalle_OC[[#This Row],[Nom Almacen]]&amp;Detalle_OC[[#This Row],[Material]]&amp;Detalle_OC[[#This Row],[Pedido]]&amp;Detalle_OC[[#This Row],[Posicion]]</f>
        <v>Sucroalcolera del Chira PlantaMontelima847693451157239910</v>
      </c>
      <c r="B737" t="s">
        <v>15</v>
      </c>
      <c r="C737" t="s">
        <v>41</v>
      </c>
      <c r="D737" s="11">
        <v>45667</v>
      </c>
      <c r="E737" t="s">
        <v>16</v>
      </c>
      <c r="F737" t="s">
        <v>85</v>
      </c>
      <c r="G737">
        <v>847693</v>
      </c>
      <c r="H737">
        <v>4511572399</v>
      </c>
      <c r="I737">
        <v>10</v>
      </c>
      <c r="J737" s="29">
        <v>1</v>
      </c>
      <c r="K737" s="29" t="s">
        <v>894</v>
      </c>
      <c r="L737" t="str">
        <f>IFERROR(VLOOKUP(Detalle_OC[[#This Row],[Centro]]&amp;Detalle_OC[[#This Row],[Nro Almacen]],Almacen!A:D,4,FALSE),"")</f>
        <v>Montelima</v>
      </c>
    </row>
    <row r="738" spans="1:12" x14ac:dyDescent="0.3">
      <c r="A738" s="29" t="str">
        <f>Detalle_OC[[#This Row],[Centro]]&amp;Detalle_OC[[#This Row],[Nom Almacen]]&amp;Detalle_OC[[#This Row],[Material]]&amp;Detalle_OC[[#This Row],[Pedido]]&amp;Detalle_OC[[#This Row],[Posicion]]</f>
        <v>Sucroalcolera del Chira PlantaMontelima847697451157239920</v>
      </c>
      <c r="B738" t="s">
        <v>15</v>
      </c>
      <c r="C738" t="s">
        <v>41</v>
      </c>
      <c r="D738" s="11">
        <v>45667</v>
      </c>
      <c r="E738" t="s">
        <v>16</v>
      </c>
      <c r="F738" t="s">
        <v>85</v>
      </c>
      <c r="G738">
        <v>847697</v>
      </c>
      <c r="H738">
        <v>4511572399</v>
      </c>
      <c r="I738">
        <v>20</v>
      </c>
      <c r="J738" s="29">
        <v>1</v>
      </c>
      <c r="K738" s="29" t="s">
        <v>894</v>
      </c>
      <c r="L738" t="str">
        <f>IFERROR(VLOOKUP(Detalle_OC[[#This Row],[Centro]]&amp;Detalle_OC[[#This Row],[Nro Almacen]],Almacen!A:D,4,FALSE),"")</f>
        <v>Montelima</v>
      </c>
    </row>
    <row r="739" spans="1:12" x14ac:dyDescent="0.3">
      <c r="A739" s="29" t="str">
        <f>Detalle_OC[[#This Row],[Centro]]&amp;Detalle_OC[[#This Row],[Nom Almacen]]&amp;Detalle_OC[[#This Row],[Material]]&amp;Detalle_OC[[#This Row],[Pedido]]&amp;Detalle_OC[[#This Row],[Posicion]]</f>
        <v>Sucroalcolera del Chira PlantaMontelima847699451157239940</v>
      </c>
      <c r="B739" t="s">
        <v>15</v>
      </c>
      <c r="C739" t="s">
        <v>41</v>
      </c>
      <c r="D739" s="11">
        <v>45667</v>
      </c>
      <c r="E739" t="s">
        <v>16</v>
      </c>
      <c r="F739" t="s">
        <v>85</v>
      </c>
      <c r="G739">
        <v>847699</v>
      </c>
      <c r="H739">
        <v>4511572399</v>
      </c>
      <c r="I739">
        <v>40</v>
      </c>
      <c r="J739" s="29">
        <v>1</v>
      </c>
      <c r="K739" s="29" t="s">
        <v>894</v>
      </c>
      <c r="L739" t="str">
        <f>IFERROR(VLOOKUP(Detalle_OC[[#This Row],[Centro]]&amp;Detalle_OC[[#This Row],[Nro Almacen]],Almacen!A:D,4,FALSE),"")</f>
        <v>Montelima</v>
      </c>
    </row>
    <row r="740" spans="1:12" x14ac:dyDescent="0.3">
      <c r="A740" s="29" t="str">
        <f>Detalle_OC[[#This Row],[Centro]]&amp;Detalle_OC[[#This Row],[Nom Almacen]]&amp;Detalle_OC[[#This Row],[Material]]&amp;Detalle_OC[[#This Row],[Pedido]]&amp;Detalle_OC[[#This Row],[Posicion]]</f>
        <v>Agricola del Chira PlantaAlmacen Lobo847697451157240210</v>
      </c>
      <c r="B740" t="s">
        <v>15</v>
      </c>
      <c r="C740" t="s">
        <v>41</v>
      </c>
      <c r="D740" s="11">
        <v>45667</v>
      </c>
      <c r="E740" t="s">
        <v>16</v>
      </c>
      <c r="F740" t="s">
        <v>12</v>
      </c>
      <c r="G740">
        <v>847697</v>
      </c>
      <c r="H740">
        <v>4511572402</v>
      </c>
      <c r="I740">
        <v>10</v>
      </c>
      <c r="J740" s="29">
        <v>7</v>
      </c>
      <c r="K740" s="29" t="s">
        <v>894</v>
      </c>
      <c r="L740" t="str">
        <f>IFERROR(VLOOKUP(Detalle_OC[[#This Row],[Centro]]&amp;Detalle_OC[[#This Row],[Nro Almacen]],Almacen!A:D,4,FALSE),"")</f>
        <v>Almacen Lobo</v>
      </c>
    </row>
    <row r="741" spans="1:12" x14ac:dyDescent="0.3">
      <c r="A741" s="29" t="str">
        <f>Detalle_OC[[#This Row],[Centro]]&amp;Detalle_OC[[#This Row],[Nom Almacen]]&amp;Detalle_OC[[#This Row],[Material]]&amp;Detalle_OC[[#This Row],[Pedido]]&amp;Detalle_OC[[#This Row],[Posicion]]</f>
        <v>Sucroalcolera del Chira PlantaMontelima808068451157240310</v>
      </c>
      <c r="B741" t="s">
        <v>15</v>
      </c>
      <c r="C741" t="s">
        <v>231</v>
      </c>
      <c r="D741" s="11">
        <v>45667</v>
      </c>
      <c r="E741" t="s">
        <v>16</v>
      </c>
      <c r="F741" t="s">
        <v>85</v>
      </c>
      <c r="G741">
        <v>808068</v>
      </c>
      <c r="H741">
        <v>4511572403</v>
      </c>
      <c r="I741">
        <v>10</v>
      </c>
      <c r="J741" s="29">
        <v>1</v>
      </c>
      <c r="K741" s="29" t="s">
        <v>894</v>
      </c>
      <c r="L741" t="str">
        <f>IFERROR(VLOOKUP(Detalle_OC[[#This Row],[Centro]]&amp;Detalle_OC[[#This Row],[Nro Almacen]],Almacen!A:D,4,FALSE),"")</f>
        <v>Montelima</v>
      </c>
    </row>
    <row r="742" spans="1:12" x14ac:dyDescent="0.3">
      <c r="A742" s="29" t="str">
        <f>Detalle_OC[[#This Row],[Centro]]&amp;Detalle_OC[[#This Row],[Nom Almacen]]&amp;Detalle_OC[[#This Row],[Material]]&amp;Detalle_OC[[#This Row],[Pedido]]&amp;Detalle_OC[[#This Row],[Posicion]]</f>
        <v>Sucroalcolera del Chira PlantaMontelima70031005451157240320</v>
      </c>
      <c r="B742" t="s">
        <v>15</v>
      </c>
      <c r="C742" t="s">
        <v>231</v>
      </c>
      <c r="D742" s="11">
        <v>45667</v>
      </c>
      <c r="E742" t="s">
        <v>16</v>
      </c>
      <c r="F742" t="s">
        <v>85</v>
      </c>
      <c r="G742">
        <v>70031005</v>
      </c>
      <c r="H742">
        <v>4511572403</v>
      </c>
      <c r="I742">
        <v>20</v>
      </c>
      <c r="J742" s="29">
        <v>1</v>
      </c>
      <c r="K742" s="29" t="s">
        <v>894</v>
      </c>
      <c r="L742" t="str">
        <f>IFERROR(VLOOKUP(Detalle_OC[[#This Row],[Centro]]&amp;Detalle_OC[[#This Row],[Nro Almacen]],Almacen!A:D,4,FALSE),"")</f>
        <v>Montelima</v>
      </c>
    </row>
    <row r="743" spans="1:12" x14ac:dyDescent="0.3">
      <c r="A743" s="29" t="str">
        <f>Detalle_OC[[#This Row],[Centro]]&amp;Detalle_OC[[#This Row],[Nom Almacen]]&amp;Detalle_OC[[#This Row],[Material]]&amp;Detalle_OC[[#This Row],[Pedido]]&amp;Detalle_OC[[#This Row],[Posicion]]</f>
        <v>Agricola del Chira PlantaAlmacen Lobo70069177451157240410</v>
      </c>
      <c r="B743" t="s">
        <v>15</v>
      </c>
      <c r="C743" t="s">
        <v>231</v>
      </c>
      <c r="D743" s="11">
        <v>45667</v>
      </c>
      <c r="E743" t="s">
        <v>16</v>
      </c>
      <c r="F743" t="s">
        <v>12</v>
      </c>
      <c r="G743">
        <v>70069177</v>
      </c>
      <c r="H743">
        <v>4511572404</v>
      </c>
      <c r="I743">
        <v>10</v>
      </c>
      <c r="J743" s="29">
        <v>7</v>
      </c>
      <c r="K743" s="29" t="s">
        <v>894</v>
      </c>
      <c r="L743" t="str">
        <f>IFERROR(VLOOKUP(Detalle_OC[[#This Row],[Centro]]&amp;Detalle_OC[[#This Row],[Nro Almacen]],Almacen!A:D,4,FALSE),"")</f>
        <v>Almacen Lobo</v>
      </c>
    </row>
    <row r="744" spans="1:12" x14ac:dyDescent="0.3">
      <c r="A744" s="29" t="str">
        <f>Detalle_OC[[#This Row],[Centro]]&amp;Detalle_OC[[#This Row],[Nom Almacen]]&amp;Detalle_OC[[#This Row],[Material]]&amp;Detalle_OC[[#This Row],[Pedido]]&amp;Detalle_OC[[#This Row],[Posicion]]</f>
        <v>Agricola del Chira PlantaAlmacen Lobo70067202451157240420</v>
      </c>
      <c r="B744" t="s">
        <v>15</v>
      </c>
      <c r="C744" t="s">
        <v>231</v>
      </c>
      <c r="D744" s="11">
        <v>45667</v>
      </c>
      <c r="E744" t="s">
        <v>16</v>
      </c>
      <c r="F744" t="s">
        <v>12</v>
      </c>
      <c r="G744">
        <v>70067202</v>
      </c>
      <c r="H744">
        <v>4511572404</v>
      </c>
      <c r="I744">
        <v>20</v>
      </c>
      <c r="J744" s="29">
        <v>7</v>
      </c>
      <c r="K744" s="29" t="s">
        <v>894</v>
      </c>
      <c r="L744" t="str">
        <f>IFERROR(VLOOKUP(Detalle_OC[[#This Row],[Centro]]&amp;Detalle_OC[[#This Row],[Nro Almacen]],Almacen!A:D,4,FALSE),"")</f>
        <v>Almacen Lobo</v>
      </c>
    </row>
    <row r="745" spans="1:12" x14ac:dyDescent="0.3">
      <c r="A745" s="29" t="str">
        <f>Detalle_OC[[#This Row],[Centro]]&amp;Detalle_OC[[#This Row],[Nom Almacen]]&amp;Detalle_OC[[#This Row],[Material]]&amp;Detalle_OC[[#This Row],[Pedido]]&amp;Detalle_OC[[#This Row],[Posicion]]</f>
        <v>Agricola del Chira PlantaMontelima721809451157240710</v>
      </c>
      <c r="B745" t="s">
        <v>15</v>
      </c>
      <c r="C745" t="s">
        <v>44</v>
      </c>
      <c r="D745" s="11">
        <v>45646</v>
      </c>
      <c r="E745" t="s">
        <v>16</v>
      </c>
      <c r="F745" t="s">
        <v>12</v>
      </c>
      <c r="G745">
        <v>721809</v>
      </c>
      <c r="H745">
        <v>4511572407</v>
      </c>
      <c r="I745">
        <v>10</v>
      </c>
      <c r="J745" s="29">
        <v>1</v>
      </c>
      <c r="K745" s="29" t="s">
        <v>894</v>
      </c>
      <c r="L745" t="str">
        <f>IFERROR(VLOOKUP(Detalle_OC[[#This Row],[Centro]]&amp;Detalle_OC[[#This Row],[Nro Almacen]],Almacen!A:D,4,FALSE),"")</f>
        <v>Montelima</v>
      </c>
    </row>
    <row r="746" spans="1:12" x14ac:dyDescent="0.3">
      <c r="A746" s="29" t="str">
        <f>Detalle_OC[[#This Row],[Centro]]&amp;Detalle_OC[[#This Row],[Nom Almacen]]&amp;Detalle_OC[[#This Row],[Material]]&amp;Detalle_OC[[#This Row],[Pedido]]&amp;Detalle_OC[[#This Row],[Posicion]]</f>
        <v>Agricola del Chira PlantaMontelima70135958451157241210</v>
      </c>
      <c r="B746" t="s">
        <v>1123</v>
      </c>
      <c r="C746" t="s">
        <v>1148</v>
      </c>
      <c r="D746" s="11">
        <v>45656</v>
      </c>
      <c r="E746" t="s">
        <v>16</v>
      </c>
      <c r="F746" t="s">
        <v>12</v>
      </c>
      <c r="G746">
        <v>70135958</v>
      </c>
      <c r="H746">
        <v>4511572412</v>
      </c>
      <c r="I746">
        <v>10</v>
      </c>
      <c r="J746" s="29">
        <v>1</v>
      </c>
      <c r="K746" s="29" t="s">
        <v>894</v>
      </c>
      <c r="L746" t="str">
        <f>IFERROR(VLOOKUP(Detalle_OC[[#This Row],[Centro]]&amp;Detalle_OC[[#This Row],[Nro Almacen]],Almacen!A:D,4,FALSE),"")</f>
        <v>Montelima</v>
      </c>
    </row>
    <row r="747" spans="1:12" x14ac:dyDescent="0.3">
      <c r="A747" s="29" t="str">
        <f>Detalle_OC[[#This Row],[Centro]]&amp;Detalle_OC[[#This Row],[Nom Almacen]]&amp;Detalle_OC[[#This Row],[Material]]&amp;Detalle_OC[[#This Row],[Pedido]]&amp;Detalle_OC[[#This Row],[Posicion]]</f>
        <v>Agricola del Chira PlantaAlmacen Lobo717702451157241310</v>
      </c>
      <c r="B747" t="s">
        <v>265</v>
      </c>
      <c r="C747" t="s">
        <v>22</v>
      </c>
      <c r="D747" s="11">
        <v>45642</v>
      </c>
      <c r="E747" t="s">
        <v>16</v>
      </c>
      <c r="F747" t="s">
        <v>12</v>
      </c>
      <c r="G747">
        <v>717702</v>
      </c>
      <c r="H747">
        <v>4511572413</v>
      </c>
      <c r="I747">
        <v>10</v>
      </c>
      <c r="J747" s="29">
        <v>7</v>
      </c>
      <c r="K747" s="29" t="s">
        <v>894</v>
      </c>
      <c r="L747" t="str">
        <f>IFERROR(VLOOKUP(Detalle_OC[[#This Row],[Centro]]&amp;Detalle_OC[[#This Row],[Nro Almacen]],Almacen!A:D,4,FALSE),"")</f>
        <v>Almacen Lobo</v>
      </c>
    </row>
    <row r="748" spans="1:12" x14ac:dyDescent="0.3">
      <c r="A748" s="29" t="str">
        <f>Detalle_OC[[#This Row],[Centro]]&amp;Detalle_OC[[#This Row],[Nom Almacen]]&amp;Detalle_OC[[#This Row],[Material]]&amp;Detalle_OC[[#This Row],[Pedido]]&amp;Detalle_OC[[#This Row],[Posicion]]</f>
        <v>Agricola del Chira PlantaAlmacen Lobo717638451157241320</v>
      </c>
      <c r="B748" t="s">
        <v>265</v>
      </c>
      <c r="C748" t="s">
        <v>22</v>
      </c>
      <c r="D748" s="11">
        <v>45642</v>
      </c>
      <c r="E748" t="s">
        <v>16</v>
      </c>
      <c r="F748" t="s">
        <v>12</v>
      </c>
      <c r="G748">
        <v>717638</v>
      </c>
      <c r="H748">
        <v>4511572413</v>
      </c>
      <c r="I748">
        <v>20</v>
      </c>
      <c r="J748" s="29">
        <v>7</v>
      </c>
      <c r="K748" s="29" t="s">
        <v>894</v>
      </c>
      <c r="L748" t="str">
        <f>IFERROR(VLOOKUP(Detalle_OC[[#This Row],[Centro]]&amp;Detalle_OC[[#This Row],[Nro Almacen]],Almacen!A:D,4,FALSE),"")</f>
        <v>Almacen Lobo</v>
      </c>
    </row>
    <row r="749" spans="1:12" x14ac:dyDescent="0.3">
      <c r="A749" s="29" t="str">
        <f>Detalle_OC[[#This Row],[Centro]]&amp;Detalle_OC[[#This Row],[Nom Almacen]]&amp;Detalle_OC[[#This Row],[Material]]&amp;Detalle_OC[[#This Row],[Pedido]]&amp;Detalle_OC[[#This Row],[Posicion]]</f>
        <v>Agricola del Chira PlantaAlmacen Lobo717636451157241330</v>
      </c>
      <c r="B749" t="s">
        <v>265</v>
      </c>
      <c r="C749" t="s">
        <v>22</v>
      </c>
      <c r="D749" s="11">
        <v>45642</v>
      </c>
      <c r="E749" t="s">
        <v>16</v>
      </c>
      <c r="F749" t="s">
        <v>12</v>
      </c>
      <c r="G749">
        <v>717636</v>
      </c>
      <c r="H749">
        <v>4511572413</v>
      </c>
      <c r="I749">
        <v>30</v>
      </c>
      <c r="J749" s="29">
        <v>7</v>
      </c>
      <c r="K749" s="29" t="s">
        <v>894</v>
      </c>
      <c r="L749" t="str">
        <f>IFERROR(VLOOKUP(Detalle_OC[[#This Row],[Centro]]&amp;Detalle_OC[[#This Row],[Nro Almacen]],Almacen!A:D,4,FALSE),"")</f>
        <v>Almacen Lobo</v>
      </c>
    </row>
    <row r="750" spans="1:12" x14ac:dyDescent="0.3">
      <c r="A750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fábrica70096723451157241810</v>
      </c>
      <c r="B750" t="s">
        <v>142</v>
      </c>
      <c r="C750" t="s">
        <v>49</v>
      </c>
      <c r="D750" s="11">
        <v>45674</v>
      </c>
      <c r="E750" t="s">
        <v>16</v>
      </c>
      <c r="F750" t="s">
        <v>85</v>
      </c>
      <c r="G750">
        <v>70096723</v>
      </c>
      <c r="H750">
        <v>4511572418</v>
      </c>
      <c r="I750">
        <v>10</v>
      </c>
      <c r="J750" s="29">
        <v>9</v>
      </c>
      <c r="K750" s="29" t="s">
        <v>894</v>
      </c>
      <c r="L750" t="str">
        <f>IFERROR(VLOOKUP(Detalle_OC[[#This Row],[Centro]]&amp;Detalle_OC[[#This Row],[Nro Almacen]],Almacen!A:D,4,FALSE),"")</f>
        <v>Parada fábrica</v>
      </c>
    </row>
    <row r="751" spans="1:12" x14ac:dyDescent="0.3">
      <c r="A751" s="29" t="str">
        <f>Detalle_OC[[#This Row],[Centro]]&amp;Detalle_OC[[#This Row],[Nom Almacen]]&amp;Detalle_OC[[#This Row],[Material]]&amp;Detalle_OC[[#This Row],[Pedido]]&amp;Detalle_OC[[#This Row],[Posicion]]</f>
        <v>Agricola del Chira PlantaSan Vicente70100392550002475130</v>
      </c>
      <c r="B751" t="s">
        <v>28</v>
      </c>
      <c r="C751" t="s">
        <v>54</v>
      </c>
      <c r="D751" s="11">
        <v>45637</v>
      </c>
      <c r="E751" t="s">
        <v>16</v>
      </c>
      <c r="F751" t="s">
        <v>12</v>
      </c>
      <c r="G751">
        <v>70100392</v>
      </c>
      <c r="H751">
        <v>5500024751</v>
      </c>
      <c r="I751">
        <v>30</v>
      </c>
      <c r="J751" s="29">
        <v>3</v>
      </c>
      <c r="K751" s="29" t="s">
        <v>894</v>
      </c>
      <c r="L751" t="str">
        <f>IFERROR(VLOOKUP(Detalle_OC[[#This Row],[Centro]]&amp;Detalle_OC[[#This Row],[Nro Almacen]],Almacen!A:D,4,FALSE),"")</f>
        <v>San Vicente</v>
      </c>
    </row>
    <row r="752" spans="1:12" x14ac:dyDescent="0.3">
      <c r="A752" s="29" t="str">
        <f>Detalle_OC[[#This Row],[Centro]]&amp;Detalle_OC[[#This Row],[Nom Almacen]]&amp;Detalle_OC[[#This Row],[Material]]&amp;Detalle_OC[[#This Row],[Pedido]]&amp;Detalle_OC[[#This Row],[Posicion]]</f>
        <v>Agricola del Chira PlantaAlmacen Lobo849010451157203820</v>
      </c>
      <c r="B752" t="s">
        <v>39</v>
      </c>
      <c r="C752" t="s">
        <v>38</v>
      </c>
      <c r="D752" s="11">
        <v>45657</v>
      </c>
      <c r="E752" t="s">
        <v>16</v>
      </c>
      <c r="F752" t="s">
        <v>12</v>
      </c>
      <c r="G752">
        <v>849010</v>
      </c>
      <c r="H752">
        <v>4511572038</v>
      </c>
      <c r="I752">
        <v>20</v>
      </c>
      <c r="J752" s="29">
        <v>7</v>
      </c>
      <c r="K752" s="29" t="s">
        <v>887</v>
      </c>
      <c r="L752" t="str">
        <f>IFERROR(VLOOKUP(Detalle_OC[[#This Row],[Centro]]&amp;Detalle_OC[[#This Row],[Nro Almacen]],Almacen!A:D,4,FALSE),"")</f>
        <v>Almacen Lobo</v>
      </c>
    </row>
    <row r="753" spans="1:12" x14ac:dyDescent="0.3">
      <c r="A753" s="29" t="str">
        <f>Detalle_OC[[#This Row],[Centro]]&amp;Detalle_OC[[#This Row],[Nom Almacen]]&amp;Detalle_OC[[#This Row],[Material]]&amp;Detalle_OC[[#This Row],[Pedido]]&amp;Detalle_OC[[#This Row],[Posicion]]</f>
        <v>Sucroalcolera del Chira PlantaMontelima70117226451157213710</v>
      </c>
      <c r="B753" t="s">
        <v>153</v>
      </c>
      <c r="C753" t="s">
        <v>154</v>
      </c>
      <c r="D753" s="11">
        <v>45642</v>
      </c>
      <c r="E753" t="s">
        <v>16</v>
      </c>
      <c r="F753" t="s">
        <v>85</v>
      </c>
      <c r="G753">
        <v>70117226</v>
      </c>
      <c r="H753">
        <v>4511572137</v>
      </c>
      <c r="I753">
        <v>10</v>
      </c>
      <c r="J753" s="29">
        <v>1</v>
      </c>
      <c r="K753" s="29" t="s">
        <v>887</v>
      </c>
      <c r="L753" t="str">
        <f>IFERROR(VLOOKUP(Detalle_OC[[#This Row],[Centro]]&amp;Detalle_OC[[#This Row],[Nro Almacen]],Almacen!A:D,4,FALSE),"")</f>
        <v>Montelima</v>
      </c>
    </row>
    <row r="754" spans="1:12" x14ac:dyDescent="0.3">
      <c r="A754" s="29" t="str">
        <f>Detalle_OC[[#This Row],[Centro]]&amp;Detalle_OC[[#This Row],[Nom Almacen]]&amp;Detalle_OC[[#This Row],[Material]]&amp;Detalle_OC[[#This Row],[Pedido]]&amp;Detalle_OC[[#This Row],[Posicion]]</f>
        <v>Agricola del Chira PlantaMontelima70129783451157214110</v>
      </c>
      <c r="B754" t="s">
        <v>145</v>
      </c>
      <c r="C754" t="s">
        <v>84</v>
      </c>
      <c r="D754" s="11">
        <v>45649</v>
      </c>
      <c r="E754" t="s">
        <v>16</v>
      </c>
      <c r="F754" t="s">
        <v>12</v>
      </c>
      <c r="G754">
        <v>70129783</v>
      </c>
      <c r="H754">
        <v>4511572141</v>
      </c>
      <c r="I754">
        <v>10</v>
      </c>
      <c r="J754" s="29">
        <v>1</v>
      </c>
      <c r="K754" s="29" t="s">
        <v>887</v>
      </c>
      <c r="L754" t="str">
        <f>IFERROR(VLOOKUP(Detalle_OC[[#This Row],[Centro]]&amp;Detalle_OC[[#This Row],[Nro Almacen]],Almacen!A:D,4,FALSE),"")</f>
        <v>Montelima</v>
      </c>
    </row>
    <row r="755" spans="1:12" x14ac:dyDescent="0.3">
      <c r="A755" s="29" t="str">
        <f>Detalle_OC[[#This Row],[Centro]]&amp;Detalle_OC[[#This Row],[Nom Almacen]]&amp;Detalle_OC[[#This Row],[Material]]&amp;Detalle_OC[[#This Row],[Pedido]]&amp;Detalle_OC[[#This Row],[Posicion]]</f>
        <v>Agricola del Chira PlantaAlmacen Lobo755670451157214810</v>
      </c>
      <c r="B755" t="s">
        <v>26</v>
      </c>
      <c r="C755" t="s">
        <v>240</v>
      </c>
      <c r="D755" s="11">
        <v>45670</v>
      </c>
      <c r="E755" t="s">
        <v>16</v>
      </c>
      <c r="F755" t="s">
        <v>12</v>
      </c>
      <c r="G755">
        <v>755670</v>
      </c>
      <c r="H755">
        <v>4511572148</v>
      </c>
      <c r="I755">
        <v>10</v>
      </c>
      <c r="J755" s="29">
        <v>7</v>
      </c>
      <c r="K755" s="29" t="s">
        <v>887</v>
      </c>
      <c r="L755" t="str">
        <f>IFERROR(VLOOKUP(Detalle_OC[[#This Row],[Centro]]&amp;Detalle_OC[[#This Row],[Nro Almacen]],Almacen!A:D,4,FALSE),"")</f>
        <v>Almacen Lobo</v>
      </c>
    </row>
    <row r="756" spans="1:12" x14ac:dyDescent="0.3">
      <c r="A756" s="29" t="str">
        <f>Detalle_OC[[#This Row],[Centro]]&amp;Detalle_OC[[#This Row],[Nom Almacen]]&amp;Detalle_OC[[#This Row],[Material]]&amp;Detalle_OC[[#This Row],[Pedido]]&amp;Detalle_OC[[#This Row],[Posicion]]</f>
        <v>Agricola del Chira PlantaAlmacen Lobo755671451157214820</v>
      </c>
      <c r="B756" t="s">
        <v>26</v>
      </c>
      <c r="C756" t="s">
        <v>240</v>
      </c>
      <c r="D756" s="11">
        <v>45670</v>
      </c>
      <c r="E756" t="s">
        <v>16</v>
      </c>
      <c r="F756" t="s">
        <v>12</v>
      </c>
      <c r="G756">
        <v>755671</v>
      </c>
      <c r="H756">
        <v>4511572148</v>
      </c>
      <c r="I756">
        <v>20</v>
      </c>
      <c r="J756" s="29">
        <v>7</v>
      </c>
      <c r="K756" s="29" t="s">
        <v>887</v>
      </c>
      <c r="L756" t="str">
        <f>IFERROR(VLOOKUP(Detalle_OC[[#This Row],[Centro]]&amp;Detalle_OC[[#This Row],[Nro Almacen]],Almacen!A:D,4,FALSE),"")</f>
        <v>Almacen Lobo</v>
      </c>
    </row>
    <row r="757" spans="1:12" x14ac:dyDescent="0.3">
      <c r="A757" s="29" t="str">
        <f>Detalle_OC[[#This Row],[Centro]]&amp;Detalle_OC[[#This Row],[Nom Almacen]]&amp;Detalle_OC[[#This Row],[Material]]&amp;Detalle_OC[[#This Row],[Pedido]]&amp;Detalle_OC[[#This Row],[Posicion]]</f>
        <v>Agricola del Chira PlantaLa Huaca755674451157214830</v>
      </c>
      <c r="B757" t="s">
        <v>26</v>
      </c>
      <c r="C757" t="s">
        <v>240</v>
      </c>
      <c r="D757" s="11">
        <v>45670</v>
      </c>
      <c r="E757" t="s">
        <v>16</v>
      </c>
      <c r="F757" t="s">
        <v>12</v>
      </c>
      <c r="G757">
        <v>755674</v>
      </c>
      <c r="H757">
        <v>4511572148</v>
      </c>
      <c r="I757">
        <v>30</v>
      </c>
      <c r="J757" s="29">
        <v>2</v>
      </c>
      <c r="K757" s="29" t="s">
        <v>887</v>
      </c>
      <c r="L757" t="str">
        <f>IFERROR(VLOOKUP(Detalle_OC[[#This Row],[Centro]]&amp;Detalle_OC[[#This Row],[Nro Almacen]],Almacen!A:D,4,FALSE),"")</f>
        <v>La Huaca</v>
      </c>
    </row>
    <row r="758" spans="1:12" x14ac:dyDescent="0.3">
      <c r="A758" s="29" t="str">
        <f>Detalle_OC[[#This Row],[Centro]]&amp;Detalle_OC[[#This Row],[Nom Almacen]]&amp;Detalle_OC[[#This Row],[Material]]&amp;Detalle_OC[[#This Row],[Pedido]]&amp;Detalle_OC[[#This Row],[Posicion]]</f>
        <v>Sucroalcolera del Chira PlantaMontelima873144451157215010</v>
      </c>
      <c r="B758" t="s">
        <v>138</v>
      </c>
      <c r="C758" t="s">
        <v>168</v>
      </c>
      <c r="D758" s="11">
        <v>45656</v>
      </c>
      <c r="E758" t="s">
        <v>16</v>
      </c>
      <c r="F758" t="s">
        <v>85</v>
      </c>
      <c r="G758">
        <v>873144</v>
      </c>
      <c r="H758">
        <v>4511572150</v>
      </c>
      <c r="I758">
        <v>10</v>
      </c>
      <c r="J758" s="29">
        <v>1</v>
      </c>
      <c r="K758" s="29" t="s">
        <v>887</v>
      </c>
      <c r="L758" t="str">
        <f>IFERROR(VLOOKUP(Detalle_OC[[#This Row],[Centro]]&amp;Detalle_OC[[#This Row],[Nro Almacen]],Almacen!A:D,4,FALSE),"")</f>
        <v>Montelima</v>
      </c>
    </row>
    <row r="759" spans="1:12" x14ac:dyDescent="0.3">
      <c r="A759" s="29" t="str">
        <f>Detalle_OC[[#This Row],[Centro]]&amp;Detalle_OC[[#This Row],[Nom Almacen]]&amp;Detalle_OC[[#This Row],[Material]]&amp;Detalle_OC[[#This Row],[Pedido]]&amp;Detalle_OC[[#This Row],[Posicion]]</f>
        <v>Sucroalcolera del Chira PlantaMontelima70026110451157215020</v>
      </c>
      <c r="B759" t="s">
        <v>138</v>
      </c>
      <c r="C759" t="s">
        <v>168</v>
      </c>
      <c r="D759" s="11">
        <v>45656</v>
      </c>
      <c r="E759" t="s">
        <v>16</v>
      </c>
      <c r="F759" t="s">
        <v>85</v>
      </c>
      <c r="G759">
        <v>70026110</v>
      </c>
      <c r="H759">
        <v>4511572150</v>
      </c>
      <c r="I759">
        <v>20</v>
      </c>
      <c r="J759" s="29">
        <v>1</v>
      </c>
      <c r="K759" s="29" t="s">
        <v>887</v>
      </c>
      <c r="L759" t="str">
        <f>IFERROR(VLOOKUP(Detalle_OC[[#This Row],[Centro]]&amp;Detalle_OC[[#This Row],[Nro Almacen]],Almacen!A:D,4,FALSE),"")</f>
        <v>Montelima</v>
      </c>
    </row>
    <row r="760" spans="1:12" x14ac:dyDescent="0.3">
      <c r="A760" s="29" t="str">
        <f>Detalle_OC[[#This Row],[Centro]]&amp;Detalle_OC[[#This Row],[Nom Almacen]]&amp;Detalle_OC[[#This Row],[Material]]&amp;Detalle_OC[[#This Row],[Pedido]]&amp;Detalle_OC[[#This Row],[Posicion]]</f>
        <v>Sucroalcolera del Chira PlantaMontelima867167451157215710</v>
      </c>
      <c r="B760" t="s">
        <v>1149</v>
      </c>
      <c r="C760" t="s">
        <v>141</v>
      </c>
      <c r="D760" s="11">
        <v>45642</v>
      </c>
      <c r="E760" t="s">
        <v>16</v>
      </c>
      <c r="F760" t="s">
        <v>85</v>
      </c>
      <c r="G760">
        <v>867167</v>
      </c>
      <c r="H760">
        <v>4511572157</v>
      </c>
      <c r="I760">
        <v>10</v>
      </c>
      <c r="J760" s="29">
        <v>1</v>
      </c>
      <c r="K760" s="29" t="s">
        <v>887</v>
      </c>
      <c r="L760" t="str">
        <f>IFERROR(VLOOKUP(Detalle_OC[[#This Row],[Centro]]&amp;Detalle_OC[[#This Row],[Nro Almacen]],Almacen!A:D,4,FALSE),"")</f>
        <v>Montelima</v>
      </c>
    </row>
    <row r="761" spans="1:12" x14ac:dyDescent="0.3">
      <c r="A761" s="29" t="str">
        <f>Detalle_OC[[#This Row],[Centro]]&amp;Detalle_OC[[#This Row],[Nom Almacen]]&amp;Detalle_OC[[#This Row],[Material]]&amp;Detalle_OC[[#This Row],[Pedido]]&amp;Detalle_OC[[#This Row],[Posicion]]</f>
        <v>Agricola del Chira PlantaMontelima70028472451157216110</v>
      </c>
      <c r="B761" t="s">
        <v>149</v>
      </c>
      <c r="C761" t="s">
        <v>262</v>
      </c>
      <c r="D761" s="11">
        <v>45667</v>
      </c>
      <c r="E761" t="s">
        <v>16</v>
      </c>
      <c r="F761" t="s">
        <v>12</v>
      </c>
      <c r="G761">
        <v>70028472</v>
      </c>
      <c r="H761">
        <v>4511572161</v>
      </c>
      <c r="I761">
        <v>10</v>
      </c>
      <c r="J761" s="29">
        <v>1</v>
      </c>
      <c r="K761" s="29" t="s">
        <v>887</v>
      </c>
      <c r="L761" t="str">
        <f>IFERROR(VLOOKUP(Detalle_OC[[#This Row],[Centro]]&amp;Detalle_OC[[#This Row],[Nro Almacen]],Almacen!A:D,4,FALSE),"")</f>
        <v>Montelima</v>
      </c>
    </row>
    <row r="762" spans="1:12" x14ac:dyDescent="0.3">
      <c r="A762" s="29" t="str">
        <f>Detalle_OC[[#This Row],[Centro]]&amp;Detalle_OC[[#This Row],[Nom Almacen]]&amp;Detalle_OC[[#This Row],[Material]]&amp;Detalle_OC[[#This Row],[Pedido]]&amp;Detalle_OC[[#This Row],[Posicion]]</f>
        <v>Sucroalcolera del Chira PlantaMontelima807060451157216510</v>
      </c>
      <c r="B762" t="s">
        <v>138</v>
      </c>
      <c r="C762" t="s">
        <v>49</v>
      </c>
      <c r="D762" s="11">
        <v>45646</v>
      </c>
      <c r="E762" t="s">
        <v>16</v>
      </c>
      <c r="F762" t="s">
        <v>85</v>
      </c>
      <c r="G762">
        <v>807060</v>
      </c>
      <c r="H762">
        <v>4511572165</v>
      </c>
      <c r="I762">
        <v>10</v>
      </c>
      <c r="J762" s="29">
        <v>1</v>
      </c>
      <c r="K762" s="29" t="s">
        <v>887</v>
      </c>
      <c r="L762" t="str">
        <f>IFERROR(VLOOKUP(Detalle_OC[[#This Row],[Centro]]&amp;Detalle_OC[[#This Row],[Nro Almacen]],Almacen!A:D,4,FALSE),"")</f>
        <v>Montelima</v>
      </c>
    </row>
    <row r="763" spans="1:12" x14ac:dyDescent="0.3">
      <c r="A763" s="29" t="str">
        <f>Detalle_OC[[#This Row],[Centro]]&amp;Detalle_OC[[#This Row],[Nom Almacen]]&amp;Detalle_OC[[#This Row],[Material]]&amp;Detalle_OC[[#This Row],[Pedido]]&amp;Detalle_OC[[#This Row],[Posicion]]</f>
        <v>Agricola del Chira PlantaMontelima890938451157216710</v>
      </c>
      <c r="B763" t="s">
        <v>149</v>
      </c>
      <c r="C763" t="s">
        <v>49</v>
      </c>
      <c r="D763" s="11">
        <v>45646</v>
      </c>
      <c r="E763" t="s">
        <v>16</v>
      </c>
      <c r="F763" t="s">
        <v>12</v>
      </c>
      <c r="G763">
        <v>890938</v>
      </c>
      <c r="H763">
        <v>4511572167</v>
      </c>
      <c r="I763">
        <v>10</v>
      </c>
      <c r="J763" s="29">
        <v>1</v>
      </c>
      <c r="K763" s="29" t="s">
        <v>887</v>
      </c>
      <c r="L763" t="str">
        <f>IFERROR(VLOOKUP(Detalle_OC[[#This Row],[Centro]]&amp;Detalle_OC[[#This Row],[Nro Almacen]],Almacen!A:D,4,FALSE),"")</f>
        <v>Montelima</v>
      </c>
    </row>
    <row r="764" spans="1:12" x14ac:dyDescent="0.3">
      <c r="A764" s="29" t="str">
        <f>Detalle_OC[[#This Row],[Centro]]&amp;Detalle_OC[[#This Row],[Nom Almacen]]&amp;Detalle_OC[[#This Row],[Material]]&amp;Detalle_OC[[#This Row],[Pedido]]&amp;Detalle_OC[[#This Row],[Posicion]]</f>
        <v>Agricola del Chira PlantaAlmacen Lobo747234451157216810</v>
      </c>
      <c r="B764" t="s">
        <v>15</v>
      </c>
      <c r="C764" t="s">
        <v>44</v>
      </c>
      <c r="D764" s="11">
        <v>45665</v>
      </c>
      <c r="E764" t="s">
        <v>16</v>
      </c>
      <c r="F764" t="s">
        <v>12</v>
      </c>
      <c r="G764">
        <v>747234</v>
      </c>
      <c r="H764">
        <v>4511572168</v>
      </c>
      <c r="I764">
        <v>10</v>
      </c>
      <c r="J764" s="29">
        <v>7</v>
      </c>
      <c r="K764" s="29" t="s">
        <v>887</v>
      </c>
      <c r="L764" t="str">
        <f>IFERROR(VLOOKUP(Detalle_OC[[#This Row],[Centro]]&amp;Detalle_OC[[#This Row],[Nro Almacen]],Almacen!A:D,4,FALSE),"")</f>
        <v>Almacen Lobo</v>
      </c>
    </row>
    <row r="765" spans="1:12" x14ac:dyDescent="0.3">
      <c r="A765" s="29" t="str">
        <f>Detalle_OC[[#This Row],[Centro]]&amp;Detalle_OC[[#This Row],[Nom Almacen]]&amp;Detalle_OC[[#This Row],[Material]]&amp;Detalle_OC[[#This Row],[Pedido]]&amp;Detalle_OC[[#This Row],[Posicion]]</f>
        <v>Agricola del Chira PlantaAlmacen Lobo747235451157216820</v>
      </c>
      <c r="B765" t="s">
        <v>15</v>
      </c>
      <c r="C765" t="s">
        <v>44</v>
      </c>
      <c r="D765" s="11">
        <v>45665</v>
      </c>
      <c r="E765" t="s">
        <v>16</v>
      </c>
      <c r="F765" t="s">
        <v>12</v>
      </c>
      <c r="G765">
        <v>747235</v>
      </c>
      <c r="H765">
        <v>4511572168</v>
      </c>
      <c r="I765">
        <v>20</v>
      </c>
      <c r="J765" s="29">
        <v>7</v>
      </c>
      <c r="K765" s="29" t="s">
        <v>887</v>
      </c>
      <c r="L765" t="str">
        <f>IFERROR(VLOOKUP(Detalle_OC[[#This Row],[Centro]]&amp;Detalle_OC[[#This Row],[Nro Almacen]],Almacen!A:D,4,FALSE),"")</f>
        <v>Almacen Lobo</v>
      </c>
    </row>
    <row r="766" spans="1:12" x14ac:dyDescent="0.3">
      <c r="A766" s="29" t="str">
        <f>Detalle_OC[[#This Row],[Centro]]&amp;Detalle_OC[[#This Row],[Nom Almacen]]&amp;Detalle_OC[[#This Row],[Material]]&amp;Detalle_OC[[#This Row],[Pedido]]&amp;Detalle_OC[[#This Row],[Posicion]]</f>
        <v>Agricola del Chira PlantaSan Vicente747234451157216830</v>
      </c>
      <c r="B766" t="s">
        <v>15</v>
      </c>
      <c r="C766" t="s">
        <v>44</v>
      </c>
      <c r="D766" s="11">
        <v>45665</v>
      </c>
      <c r="E766" t="s">
        <v>16</v>
      </c>
      <c r="F766" t="s">
        <v>12</v>
      </c>
      <c r="G766">
        <v>747234</v>
      </c>
      <c r="H766">
        <v>4511572168</v>
      </c>
      <c r="I766">
        <v>30</v>
      </c>
      <c r="J766" s="29">
        <v>3</v>
      </c>
      <c r="K766" s="29" t="s">
        <v>887</v>
      </c>
      <c r="L766" t="str">
        <f>IFERROR(VLOOKUP(Detalle_OC[[#This Row],[Centro]]&amp;Detalle_OC[[#This Row],[Nro Almacen]],Almacen!A:D,4,FALSE),"")</f>
        <v>San Vicente</v>
      </c>
    </row>
    <row r="767" spans="1:12" x14ac:dyDescent="0.3">
      <c r="A767" s="29" t="str">
        <f>Detalle_OC[[#This Row],[Centro]]&amp;Detalle_OC[[#This Row],[Nom Almacen]]&amp;Detalle_OC[[#This Row],[Material]]&amp;Detalle_OC[[#This Row],[Pedido]]&amp;Detalle_OC[[#This Row],[Posicion]]</f>
        <v>Agricola del Chira PlantaSan Vicente747235451157216840</v>
      </c>
      <c r="B767" t="s">
        <v>15</v>
      </c>
      <c r="C767" t="s">
        <v>44</v>
      </c>
      <c r="D767" s="11">
        <v>45665</v>
      </c>
      <c r="E767" t="s">
        <v>16</v>
      </c>
      <c r="F767" t="s">
        <v>12</v>
      </c>
      <c r="G767">
        <v>747235</v>
      </c>
      <c r="H767">
        <v>4511572168</v>
      </c>
      <c r="I767">
        <v>40</v>
      </c>
      <c r="J767" s="29">
        <v>3</v>
      </c>
      <c r="K767" s="29" t="s">
        <v>887</v>
      </c>
      <c r="L767" t="str">
        <f>IFERROR(VLOOKUP(Detalle_OC[[#This Row],[Centro]]&amp;Detalle_OC[[#This Row],[Nro Almacen]],Almacen!A:D,4,FALSE),"")</f>
        <v>San Vicente</v>
      </c>
    </row>
    <row r="768" spans="1:12" x14ac:dyDescent="0.3">
      <c r="A768" s="29" t="str">
        <f>Detalle_OC[[#This Row],[Centro]]&amp;Detalle_OC[[#This Row],[Nom Almacen]]&amp;Detalle_OC[[#This Row],[Material]]&amp;Detalle_OC[[#This Row],[Pedido]]&amp;Detalle_OC[[#This Row],[Posicion]]</f>
        <v>Agricola del Chira PlantaMontelima886131451157216850</v>
      </c>
      <c r="B768" t="s">
        <v>149</v>
      </c>
      <c r="C768" t="s">
        <v>44</v>
      </c>
      <c r="D768" s="11">
        <v>45665</v>
      </c>
      <c r="E768" t="s">
        <v>16</v>
      </c>
      <c r="F768" t="s">
        <v>12</v>
      </c>
      <c r="G768">
        <v>886131</v>
      </c>
      <c r="H768">
        <v>4511572168</v>
      </c>
      <c r="I768">
        <v>50</v>
      </c>
      <c r="J768" s="29">
        <v>1</v>
      </c>
      <c r="K768" s="29" t="s">
        <v>887</v>
      </c>
      <c r="L768" t="str">
        <f>IFERROR(VLOOKUP(Detalle_OC[[#This Row],[Centro]]&amp;Detalle_OC[[#This Row],[Nro Almacen]],Almacen!A:D,4,FALSE),"")</f>
        <v>Montelima</v>
      </c>
    </row>
    <row r="769" spans="1:12" x14ac:dyDescent="0.3">
      <c r="A769" s="29" t="str">
        <f>Detalle_OC[[#This Row],[Centro]]&amp;Detalle_OC[[#This Row],[Nom Almacen]]&amp;Detalle_OC[[#This Row],[Material]]&amp;Detalle_OC[[#This Row],[Pedido]]&amp;Detalle_OC[[#This Row],[Posicion]]</f>
        <v>Agricola del Chira PlantaMontelima876629451157216910</v>
      </c>
      <c r="B769" t="s">
        <v>149</v>
      </c>
      <c r="C769" t="s">
        <v>84</v>
      </c>
      <c r="D769" s="11">
        <v>45646</v>
      </c>
      <c r="E769" t="s">
        <v>16</v>
      </c>
      <c r="F769" t="s">
        <v>12</v>
      </c>
      <c r="G769">
        <v>876629</v>
      </c>
      <c r="H769">
        <v>4511572169</v>
      </c>
      <c r="I769">
        <v>10</v>
      </c>
      <c r="J769" s="29">
        <v>1</v>
      </c>
      <c r="K769" s="29" t="s">
        <v>887</v>
      </c>
      <c r="L769" t="str">
        <f>IFERROR(VLOOKUP(Detalle_OC[[#This Row],[Centro]]&amp;Detalle_OC[[#This Row],[Nro Almacen]],Almacen!A:D,4,FALSE),"")</f>
        <v>Montelima</v>
      </c>
    </row>
    <row r="770" spans="1:12" x14ac:dyDescent="0.3">
      <c r="A770" s="29" t="str">
        <f>Detalle_OC[[#This Row],[Centro]]&amp;Detalle_OC[[#This Row],[Nom Almacen]]&amp;Detalle_OC[[#This Row],[Material]]&amp;Detalle_OC[[#This Row],[Pedido]]&amp;Detalle_OC[[#This Row],[Posicion]]</f>
        <v>Agricola del Chira PlantaMontelima70108044451157216920</v>
      </c>
      <c r="B770" t="s">
        <v>33</v>
      </c>
      <c r="C770" t="s">
        <v>84</v>
      </c>
      <c r="D770" s="11">
        <v>45646</v>
      </c>
      <c r="E770" t="s">
        <v>16</v>
      </c>
      <c r="F770" t="s">
        <v>12</v>
      </c>
      <c r="G770">
        <v>70108044</v>
      </c>
      <c r="H770">
        <v>4511572169</v>
      </c>
      <c r="I770">
        <v>20</v>
      </c>
      <c r="J770" s="29">
        <v>1</v>
      </c>
      <c r="K770" s="29" t="s">
        <v>887</v>
      </c>
      <c r="L770" t="str">
        <f>IFERROR(VLOOKUP(Detalle_OC[[#This Row],[Centro]]&amp;Detalle_OC[[#This Row],[Nro Almacen]],Almacen!A:D,4,FALSE),"")</f>
        <v>Montelima</v>
      </c>
    </row>
    <row r="771" spans="1:12" x14ac:dyDescent="0.3">
      <c r="A771" s="29" t="str">
        <f>Detalle_OC[[#This Row],[Centro]]&amp;Detalle_OC[[#This Row],[Nom Almacen]]&amp;Detalle_OC[[#This Row],[Material]]&amp;Detalle_OC[[#This Row],[Pedido]]&amp;Detalle_OC[[#This Row],[Posicion]]</f>
        <v>Bioenergía del Chira PlantaMontelima70110317451157217010</v>
      </c>
      <c r="B771" t="s">
        <v>156</v>
      </c>
      <c r="C771" t="s">
        <v>84</v>
      </c>
      <c r="D771" s="11">
        <v>45646</v>
      </c>
      <c r="E771" t="s">
        <v>16</v>
      </c>
      <c r="F771" t="s">
        <v>86</v>
      </c>
      <c r="G771">
        <v>70110317</v>
      </c>
      <c r="H771">
        <v>4511572170</v>
      </c>
      <c r="I771">
        <v>10</v>
      </c>
      <c r="J771" s="29">
        <v>1</v>
      </c>
      <c r="K771" s="29" t="s">
        <v>887</v>
      </c>
      <c r="L771" t="str">
        <f>IFERROR(VLOOKUP(Detalle_OC[[#This Row],[Centro]]&amp;Detalle_OC[[#This Row],[Nro Almacen]],Almacen!A:D,4,FALSE),"")</f>
        <v>Montelima</v>
      </c>
    </row>
    <row r="772" spans="1:12" x14ac:dyDescent="0.3">
      <c r="A772" s="29" t="str">
        <f>Detalle_OC[[#This Row],[Centro]]&amp;Detalle_OC[[#This Row],[Nom Almacen]]&amp;Detalle_OC[[#This Row],[Material]]&amp;Detalle_OC[[#This Row],[Pedido]]&amp;Detalle_OC[[#This Row],[Posicion]]</f>
        <v>Agricola del Chira PlantaMontelima793286451157217110</v>
      </c>
      <c r="B772" t="s">
        <v>149</v>
      </c>
      <c r="C772" t="s">
        <v>161</v>
      </c>
      <c r="D772" s="11">
        <v>45646</v>
      </c>
      <c r="E772" t="s">
        <v>16</v>
      </c>
      <c r="F772" t="s">
        <v>12</v>
      </c>
      <c r="G772">
        <v>793286</v>
      </c>
      <c r="H772">
        <v>4511572171</v>
      </c>
      <c r="I772">
        <v>10</v>
      </c>
      <c r="J772" s="29">
        <v>1</v>
      </c>
      <c r="K772" s="29" t="s">
        <v>887</v>
      </c>
      <c r="L772" t="str">
        <f>IFERROR(VLOOKUP(Detalle_OC[[#This Row],[Centro]]&amp;Detalle_OC[[#This Row],[Nro Almacen]],Almacen!A:D,4,FALSE),"")</f>
        <v>Montelima</v>
      </c>
    </row>
    <row r="773" spans="1:12" x14ac:dyDescent="0.3">
      <c r="A773" s="29" t="str">
        <f>Detalle_OC[[#This Row],[Centro]]&amp;Detalle_OC[[#This Row],[Nom Almacen]]&amp;Detalle_OC[[#This Row],[Material]]&amp;Detalle_OC[[#This Row],[Pedido]]&amp;Detalle_OC[[#This Row],[Posicion]]</f>
        <v>Agricola del Chira PlantaMontelima827197451157217120</v>
      </c>
      <c r="B773" t="s">
        <v>149</v>
      </c>
      <c r="C773" t="s">
        <v>161</v>
      </c>
      <c r="D773" s="11">
        <v>45646</v>
      </c>
      <c r="E773" t="s">
        <v>16</v>
      </c>
      <c r="F773" t="s">
        <v>12</v>
      </c>
      <c r="G773">
        <v>827197</v>
      </c>
      <c r="H773">
        <v>4511572171</v>
      </c>
      <c r="I773">
        <v>20</v>
      </c>
      <c r="J773" s="29">
        <v>1</v>
      </c>
      <c r="K773" s="29" t="s">
        <v>887</v>
      </c>
      <c r="L773" t="str">
        <f>IFERROR(VLOOKUP(Detalle_OC[[#This Row],[Centro]]&amp;Detalle_OC[[#This Row],[Nro Almacen]],Almacen!A:D,4,FALSE),"")</f>
        <v>Montelima</v>
      </c>
    </row>
    <row r="774" spans="1:12" x14ac:dyDescent="0.3">
      <c r="A774" s="29" t="str">
        <f>Detalle_OC[[#This Row],[Centro]]&amp;Detalle_OC[[#This Row],[Nom Almacen]]&amp;Detalle_OC[[#This Row],[Material]]&amp;Detalle_OC[[#This Row],[Pedido]]&amp;Detalle_OC[[#This Row],[Posicion]]</f>
        <v>Agricola del Chira PlantaLa Huaca868331451157217130</v>
      </c>
      <c r="B774" t="s">
        <v>26</v>
      </c>
      <c r="C774" t="s">
        <v>161</v>
      </c>
      <c r="D774" s="11">
        <v>45646</v>
      </c>
      <c r="E774" t="s">
        <v>16</v>
      </c>
      <c r="F774" t="s">
        <v>12</v>
      </c>
      <c r="G774">
        <v>868331</v>
      </c>
      <c r="H774">
        <v>4511572171</v>
      </c>
      <c r="I774">
        <v>30</v>
      </c>
      <c r="J774" s="29">
        <v>2</v>
      </c>
      <c r="K774" s="29" t="s">
        <v>887</v>
      </c>
      <c r="L774" t="str">
        <f>IFERROR(VLOOKUP(Detalle_OC[[#This Row],[Centro]]&amp;Detalle_OC[[#This Row],[Nro Almacen]],Almacen!A:D,4,FALSE),"")</f>
        <v>La Huaca</v>
      </c>
    </row>
    <row r="775" spans="1:12" x14ac:dyDescent="0.3">
      <c r="A775" s="29" t="str">
        <f>Detalle_OC[[#This Row],[Centro]]&amp;Detalle_OC[[#This Row],[Nom Almacen]]&amp;Detalle_OC[[#This Row],[Material]]&amp;Detalle_OC[[#This Row],[Pedido]]&amp;Detalle_OC[[#This Row],[Posicion]]</f>
        <v>Agricola del Chira PlantaMontelima711944451157217310</v>
      </c>
      <c r="B775" t="s">
        <v>149</v>
      </c>
      <c r="C775" t="s">
        <v>14</v>
      </c>
      <c r="D775" s="11">
        <v>45646</v>
      </c>
      <c r="E775" t="s">
        <v>16</v>
      </c>
      <c r="F775" t="s">
        <v>12</v>
      </c>
      <c r="G775">
        <v>711944</v>
      </c>
      <c r="H775">
        <v>4511572173</v>
      </c>
      <c r="I775">
        <v>10</v>
      </c>
      <c r="J775" s="29">
        <v>1</v>
      </c>
      <c r="K775" s="29" t="s">
        <v>887</v>
      </c>
      <c r="L775" t="str">
        <f>IFERROR(VLOOKUP(Detalle_OC[[#This Row],[Centro]]&amp;Detalle_OC[[#This Row],[Nro Almacen]],Almacen!A:D,4,FALSE),"")</f>
        <v>Montelima</v>
      </c>
    </row>
    <row r="776" spans="1:12" x14ac:dyDescent="0.3">
      <c r="A776" s="29" t="str">
        <f>Detalle_OC[[#This Row],[Centro]]&amp;Detalle_OC[[#This Row],[Nom Almacen]]&amp;Detalle_OC[[#This Row],[Material]]&amp;Detalle_OC[[#This Row],[Pedido]]&amp;Detalle_OC[[#This Row],[Posicion]]</f>
        <v>Agricola del Chira PlantaMontelima896293451157217320</v>
      </c>
      <c r="B776" t="s">
        <v>149</v>
      </c>
      <c r="C776" t="s">
        <v>14</v>
      </c>
      <c r="D776" s="11">
        <v>45646</v>
      </c>
      <c r="E776" t="s">
        <v>16</v>
      </c>
      <c r="F776" t="s">
        <v>12</v>
      </c>
      <c r="G776">
        <v>896293</v>
      </c>
      <c r="H776">
        <v>4511572173</v>
      </c>
      <c r="I776">
        <v>20</v>
      </c>
      <c r="J776" s="29">
        <v>1</v>
      </c>
      <c r="K776" s="29" t="s">
        <v>887</v>
      </c>
      <c r="L776" t="str">
        <f>IFERROR(VLOOKUP(Detalle_OC[[#This Row],[Centro]]&amp;Detalle_OC[[#This Row],[Nro Almacen]],Almacen!A:D,4,FALSE),"")</f>
        <v>Montelima</v>
      </c>
    </row>
    <row r="777" spans="1:12" x14ac:dyDescent="0.3">
      <c r="A777" s="29" t="str">
        <f>Detalle_OC[[#This Row],[Centro]]&amp;Detalle_OC[[#This Row],[Nom Almacen]]&amp;Detalle_OC[[#This Row],[Material]]&amp;Detalle_OC[[#This Row],[Pedido]]&amp;Detalle_OC[[#This Row],[Posicion]]</f>
        <v>Sucroalcolera del Chira PlantaMontelima767778451157217410</v>
      </c>
      <c r="B777" t="s">
        <v>138</v>
      </c>
      <c r="C777" t="s">
        <v>14</v>
      </c>
      <c r="D777" s="11">
        <v>45646</v>
      </c>
      <c r="E777" t="s">
        <v>16</v>
      </c>
      <c r="F777" t="s">
        <v>85</v>
      </c>
      <c r="G777">
        <v>767778</v>
      </c>
      <c r="H777">
        <v>4511572174</v>
      </c>
      <c r="I777">
        <v>10</v>
      </c>
      <c r="J777" s="29">
        <v>1</v>
      </c>
      <c r="K777" s="29" t="s">
        <v>887</v>
      </c>
      <c r="L777" t="str">
        <f>IFERROR(VLOOKUP(Detalle_OC[[#This Row],[Centro]]&amp;Detalle_OC[[#This Row],[Nro Almacen]],Almacen!A:D,4,FALSE),"")</f>
        <v>Montelima</v>
      </c>
    </row>
    <row r="778" spans="1:12" x14ac:dyDescent="0.3">
      <c r="A778" s="29" t="str">
        <f>Detalle_OC[[#This Row],[Centro]]&amp;Detalle_OC[[#This Row],[Nom Almacen]]&amp;Detalle_OC[[#This Row],[Material]]&amp;Detalle_OC[[#This Row],[Pedido]]&amp;Detalle_OC[[#This Row],[Posicion]]</f>
        <v>Sucroalcolera del Chira PlantaMontelima70062773451157217420</v>
      </c>
      <c r="B778" t="s">
        <v>138</v>
      </c>
      <c r="C778" t="s">
        <v>14</v>
      </c>
      <c r="D778" s="11">
        <v>45646</v>
      </c>
      <c r="E778" t="s">
        <v>16</v>
      </c>
      <c r="F778" t="s">
        <v>85</v>
      </c>
      <c r="G778">
        <v>70062773</v>
      </c>
      <c r="H778">
        <v>4511572174</v>
      </c>
      <c r="I778">
        <v>20</v>
      </c>
      <c r="J778" s="29">
        <v>1</v>
      </c>
      <c r="K778" s="29" t="s">
        <v>887</v>
      </c>
      <c r="L778" t="str">
        <f>IFERROR(VLOOKUP(Detalle_OC[[#This Row],[Centro]]&amp;Detalle_OC[[#This Row],[Nro Almacen]],Almacen!A:D,4,FALSE),"")</f>
        <v>Montelima</v>
      </c>
    </row>
    <row r="779" spans="1:12" x14ac:dyDescent="0.3">
      <c r="A779" s="29" t="str">
        <f>Detalle_OC[[#This Row],[Centro]]&amp;Detalle_OC[[#This Row],[Nom Almacen]]&amp;Detalle_OC[[#This Row],[Material]]&amp;Detalle_OC[[#This Row],[Pedido]]&amp;Detalle_OC[[#This Row],[Posicion]]</f>
        <v>Agricola del Chira PlantaMontelima758374451157217510</v>
      </c>
      <c r="B779" t="s">
        <v>149</v>
      </c>
      <c r="C779" t="s">
        <v>166</v>
      </c>
      <c r="D779" s="11">
        <v>45646</v>
      </c>
      <c r="E779" t="s">
        <v>16</v>
      </c>
      <c r="F779" t="s">
        <v>12</v>
      </c>
      <c r="G779">
        <v>758374</v>
      </c>
      <c r="H779">
        <v>4511572175</v>
      </c>
      <c r="I779">
        <v>10</v>
      </c>
      <c r="J779" s="29">
        <v>1</v>
      </c>
      <c r="K779" s="29" t="s">
        <v>887</v>
      </c>
      <c r="L779" t="str">
        <f>IFERROR(VLOOKUP(Detalle_OC[[#This Row],[Centro]]&amp;Detalle_OC[[#This Row],[Nro Almacen]],Almacen!A:D,4,FALSE),"")</f>
        <v>Montelima</v>
      </c>
    </row>
    <row r="780" spans="1:12" x14ac:dyDescent="0.3">
      <c r="A780" s="29" t="str">
        <f>Detalle_OC[[#This Row],[Centro]]&amp;Detalle_OC[[#This Row],[Nom Almacen]]&amp;Detalle_OC[[#This Row],[Material]]&amp;Detalle_OC[[#This Row],[Pedido]]&amp;Detalle_OC[[#This Row],[Posicion]]</f>
        <v>Agricola del Chira PlantaMontelima825934451157217520</v>
      </c>
      <c r="B780" t="s">
        <v>149</v>
      </c>
      <c r="C780" t="s">
        <v>166</v>
      </c>
      <c r="D780" s="11">
        <v>45646</v>
      </c>
      <c r="E780" t="s">
        <v>16</v>
      </c>
      <c r="F780" t="s">
        <v>12</v>
      </c>
      <c r="G780">
        <v>825934</v>
      </c>
      <c r="H780">
        <v>4511572175</v>
      </c>
      <c r="I780">
        <v>20</v>
      </c>
      <c r="J780" s="29">
        <v>1</v>
      </c>
      <c r="K780" s="29" t="s">
        <v>887</v>
      </c>
      <c r="L780" t="str">
        <f>IFERROR(VLOOKUP(Detalle_OC[[#This Row],[Centro]]&amp;Detalle_OC[[#This Row],[Nro Almacen]],Almacen!A:D,4,FALSE),"")</f>
        <v>Montelima</v>
      </c>
    </row>
    <row r="781" spans="1:12" x14ac:dyDescent="0.3">
      <c r="A781" s="29" t="str">
        <f>Detalle_OC[[#This Row],[Centro]]&amp;Detalle_OC[[#This Row],[Nom Almacen]]&amp;Detalle_OC[[#This Row],[Material]]&amp;Detalle_OC[[#This Row],[Pedido]]&amp;Detalle_OC[[#This Row],[Posicion]]</f>
        <v>Agricola del Chira PlantaMontelima834966451157217530</v>
      </c>
      <c r="B781" t="s">
        <v>149</v>
      </c>
      <c r="C781" t="s">
        <v>166</v>
      </c>
      <c r="D781" s="11">
        <v>45646</v>
      </c>
      <c r="E781" t="s">
        <v>16</v>
      </c>
      <c r="F781" t="s">
        <v>12</v>
      </c>
      <c r="G781">
        <v>834966</v>
      </c>
      <c r="H781">
        <v>4511572175</v>
      </c>
      <c r="I781">
        <v>30</v>
      </c>
      <c r="J781" s="29">
        <v>1</v>
      </c>
      <c r="K781" s="29" t="s">
        <v>887</v>
      </c>
      <c r="L781" t="str">
        <f>IFERROR(VLOOKUP(Detalle_OC[[#This Row],[Centro]]&amp;Detalle_OC[[#This Row],[Nro Almacen]],Almacen!A:D,4,FALSE),"")</f>
        <v>Montelima</v>
      </c>
    </row>
    <row r="782" spans="1:12" x14ac:dyDescent="0.3">
      <c r="A782" s="29" t="str">
        <f>Detalle_OC[[#This Row],[Centro]]&amp;Detalle_OC[[#This Row],[Nom Almacen]]&amp;Detalle_OC[[#This Row],[Material]]&amp;Detalle_OC[[#This Row],[Pedido]]&amp;Detalle_OC[[#This Row],[Posicion]]</f>
        <v>Agricola del Chira PlantaMontelima860871451157217540</v>
      </c>
      <c r="B782" t="s">
        <v>149</v>
      </c>
      <c r="C782" t="s">
        <v>166</v>
      </c>
      <c r="D782" s="11">
        <v>45646</v>
      </c>
      <c r="E782" t="s">
        <v>16</v>
      </c>
      <c r="F782" t="s">
        <v>12</v>
      </c>
      <c r="G782">
        <v>860871</v>
      </c>
      <c r="H782">
        <v>4511572175</v>
      </c>
      <c r="I782">
        <v>40</v>
      </c>
      <c r="J782" s="29">
        <v>1</v>
      </c>
      <c r="K782" s="29" t="s">
        <v>887</v>
      </c>
      <c r="L782" t="str">
        <f>IFERROR(VLOOKUP(Detalle_OC[[#This Row],[Centro]]&amp;Detalle_OC[[#This Row],[Nro Almacen]],Almacen!A:D,4,FALSE),"")</f>
        <v>Montelima</v>
      </c>
    </row>
    <row r="783" spans="1:12" x14ac:dyDescent="0.3">
      <c r="A783" s="29" t="str">
        <f>Detalle_OC[[#This Row],[Centro]]&amp;Detalle_OC[[#This Row],[Nom Almacen]]&amp;Detalle_OC[[#This Row],[Material]]&amp;Detalle_OC[[#This Row],[Pedido]]&amp;Detalle_OC[[#This Row],[Posicion]]</f>
        <v>Agricola del Chira PlantaMontelima860872451157217550</v>
      </c>
      <c r="B783" t="s">
        <v>149</v>
      </c>
      <c r="C783" t="s">
        <v>166</v>
      </c>
      <c r="D783" s="11">
        <v>45646</v>
      </c>
      <c r="E783" t="s">
        <v>16</v>
      </c>
      <c r="F783" t="s">
        <v>12</v>
      </c>
      <c r="G783">
        <v>860872</v>
      </c>
      <c r="H783">
        <v>4511572175</v>
      </c>
      <c r="I783">
        <v>50</v>
      </c>
      <c r="J783" s="29">
        <v>1</v>
      </c>
      <c r="K783" s="29" t="s">
        <v>887</v>
      </c>
      <c r="L783" t="str">
        <f>IFERROR(VLOOKUP(Detalle_OC[[#This Row],[Centro]]&amp;Detalle_OC[[#This Row],[Nro Almacen]],Almacen!A:D,4,FALSE),"")</f>
        <v>Montelima</v>
      </c>
    </row>
    <row r="784" spans="1:12" x14ac:dyDescent="0.3">
      <c r="A784" s="29" t="str">
        <f>Detalle_OC[[#This Row],[Centro]]&amp;Detalle_OC[[#This Row],[Nom Almacen]]&amp;Detalle_OC[[#This Row],[Material]]&amp;Detalle_OC[[#This Row],[Pedido]]&amp;Detalle_OC[[#This Row],[Posicion]]</f>
        <v>Agricola del Chira PlantaMontelima864636451157217560</v>
      </c>
      <c r="B784" t="s">
        <v>149</v>
      </c>
      <c r="C784" t="s">
        <v>166</v>
      </c>
      <c r="D784" s="11">
        <v>45646</v>
      </c>
      <c r="E784" t="s">
        <v>16</v>
      </c>
      <c r="F784" t="s">
        <v>12</v>
      </c>
      <c r="G784">
        <v>864636</v>
      </c>
      <c r="H784">
        <v>4511572175</v>
      </c>
      <c r="I784">
        <v>60</v>
      </c>
      <c r="J784" s="29">
        <v>1</v>
      </c>
      <c r="K784" s="29" t="s">
        <v>887</v>
      </c>
      <c r="L784" t="str">
        <f>IFERROR(VLOOKUP(Detalle_OC[[#This Row],[Centro]]&amp;Detalle_OC[[#This Row],[Nro Almacen]],Almacen!A:D,4,FALSE),"")</f>
        <v>Montelima</v>
      </c>
    </row>
    <row r="785" spans="1:12" x14ac:dyDescent="0.3">
      <c r="A785" s="29" t="str">
        <f>Detalle_OC[[#This Row],[Centro]]&amp;Detalle_OC[[#This Row],[Nom Almacen]]&amp;Detalle_OC[[#This Row],[Material]]&amp;Detalle_OC[[#This Row],[Pedido]]&amp;Detalle_OC[[#This Row],[Posicion]]</f>
        <v>Agricola del Chira PlantaMontelima865281451157217570</v>
      </c>
      <c r="B785" t="s">
        <v>149</v>
      </c>
      <c r="C785" t="s">
        <v>166</v>
      </c>
      <c r="D785" s="11">
        <v>45646</v>
      </c>
      <c r="E785" t="s">
        <v>16</v>
      </c>
      <c r="F785" t="s">
        <v>12</v>
      </c>
      <c r="G785">
        <v>865281</v>
      </c>
      <c r="H785">
        <v>4511572175</v>
      </c>
      <c r="I785">
        <v>70</v>
      </c>
      <c r="J785" s="29">
        <v>1</v>
      </c>
      <c r="K785" s="29" t="s">
        <v>887</v>
      </c>
      <c r="L785" t="str">
        <f>IFERROR(VLOOKUP(Detalle_OC[[#This Row],[Centro]]&amp;Detalle_OC[[#This Row],[Nro Almacen]],Almacen!A:D,4,FALSE),"")</f>
        <v>Montelima</v>
      </c>
    </row>
    <row r="786" spans="1:12" x14ac:dyDescent="0.3">
      <c r="A786" s="29" t="str">
        <f>Detalle_OC[[#This Row],[Centro]]&amp;Detalle_OC[[#This Row],[Nom Almacen]]&amp;Detalle_OC[[#This Row],[Material]]&amp;Detalle_OC[[#This Row],[Pedido]]&amp;Detalle_OC[[#This Row],[Posicion]]</f>
        <v>Agricola del Chira PlantaMontelima865285451157217580</v>
      </c>
      <c r="B786" t="s">
        <v>149</v>
      </c>
      <c r="C786" t="s">
        <v>166</v>
      </c>
      <c r="D786" s="11">
        <v>45646</v>
      </c>
      <c r="E786" t="s">
        <v>16</v>
      </c>
      <c r="F786" t="s">
        <v>12</v>
      </c>
      <c r="G786">
        <v>865285</v>
      </c>
      <c r="H786">
        <v>4511572175</v>
      </c>
      <c r="I786">
        <v>80</v>
      </c>
      <c r="J786" s="29">
        <v>1</v>
      </c>
      <c r="K786" s="29" t="s">
        <v>887</v>
      </c>
      <c r="L786" t="str">
        <f>IFERROR(VLOOKUP(Detalle_OC[[#This Row],[Centro]]&amp;Detalle_OC[[#This Row],[Nro Almacen]],Almacen!A:D,4,FALSE),"")</f>
        <v>Montelima</v>
      </c>
    </row>
    <row r="787" spans="1:12" x14ac:dyDescent="0.3">
      <c r="A787" s="29" t="str">
        <f>Detalle_OC[[#This Row],[Centro]]&amp;Detalle_OC[[#This Row],[Nom Almacen]]&amp;Detalle_OC[[#This Row],[Material]]&amp;Detalle_OC[[#This Row],[Pedido]]&amp;Detalle_OC[[#This Row],[Posicion]]</f>
        <v>Agricola del Chira PlantaMontelima866455451157217590</v>
      </c>
      <c r="B787" t="s">
        <v>149</v>
      </c>
      <c r="C787" t="s">
        <v>166</v>
      </c>
      <c r="D787" s="11">
        <v>45646</v>
      </c>
      <c r="E787" t="s">
        <v>16</v>
      </c>
      <c r="F787" t="s">
        <v>12</v>
      </c>
      <c r="G787">
        <v>866455</v>
      </c>
      <c r="H787">
        <v>4511572175</v>
      </c>
      <c r="I787">
        <v>90</v>
      </c>
      <c r="J787" s="29">
        <v>1</v>
      </c>
      <c r="K787" s="29" t="s">
        <v>887</v>
      </c>
      <c r="L787" t="str">
        <f>IFERROR(VLOOKUP(Detalle_OC[[#This Row],[Centro]]&amp;Detalle_OC[[#This Row],[Nro Almacen]],Almacen!A:D,4,FALSE),"")</f>
        <v>Montelima</v>
      </c>
    </row>
    <row r="788" spans="1:12" x14ac:dyDescent="0.3">
      <c r="A788" s="29" t="str">
        <f>Detalle_OC[[#This Row],[Centro]]&amp;Detalle_OC[[#This Row],[Nom Almacen]]&amp;Detalle_OC[[#This Row],[Material]]&amp;Detalle_OC[[#This Row],[Pedido]]&amp;Detalle_OC[[#This Row],[Posicion]]</f>
        <v>Agricola del Chira PlantaMontelima8823704511572175100</v>
      </c>
      <c r="B788" t="s">
        <v>149</v>
      </c>
      <c r="C788" t="s">
        <v>166</v>
      </c>
      <c r="D788" s="11">
        <v>45646</v>
      </c>
      <c r="E788" t="s">
        <v>16</v>
      </c>
      <c r="F788" t="s">
        <v>12</v>
      </c>
      <c r="G788">
        <v>882370</v>
      </c>
      <c r="H788">
        <v>4511572175</v>
      </c>
      <c r="I788">
        <v>100</v>
      </c>
      <c r="J788" s="29">
        <v>1</v>
      </c>
      <c r="K788" s="29" t="s">
        <v>887</v>
      </c>
      <c r="L788" t="str">
        <f>IFERROR(VLOOKUP(Detalle_OC[[#This Row],[Centro]]&amp;Detalle_OC[[#This Row],[Nro Almacen]],Almacen!A:D,4,FALSE),"")</f>
        <v>Montelima</v>
      </c>
    </row>
    <row r="789" spans="1:12" x14ac:dyDescent="0.3">
      <c r="A789" s="29" t="str">
        <f>Detalle_OC[[#This Row],[Centro]]&amp;Detalle_OC[[#This Row],[Nom Almacen]]&amp;Detalle_OC[[#This Row],[Material]]&amp;Detalle_OC[[#This Row],[Pedido]]&amp;Detalle_OC[[#This Row],[Posicion]]</f>
        <v>Agricola del Chira PlantaMontelima8855644511572175110</v>
      </c>
      <c r="B789" t="s">
        <v>149</v>
      </c>
      <c r="C789" t="s">
        <v>166</v>
      </c>
      <c r="D789" s="11">
        <v>45646</v>
      </c>
      <c r="E789" t="s">
        <v>16</v>
      </c>
      <c r="F789" t="s">
        <v>12</v>
      </c>
      <c r="G789">
        <v>885564</v>
      </c>
      <c r="H789">
        <v>4511572175</v>
      </c>
      <c r="I789">
        <v>110</v>
      </c>
      <c r="J789" s="29">
        <v>1</v>
      </c>
      <c r="K789" s="29" t="s">
        <v>887</v>
      </c>
      <c r="L789" t="str">
        <f>IFERROR(VLOOKUP(Detalle_OC[[#This Row],[Centro]]&amp;Detalle_OC[[#This Row],[Nro Almacen]],Almacen!A:D,4,FALSE),"")</f>
        <v>Montelima</v>
      </c>
    </row>
    <row r="790" spans="1:12" x14ac:dyDescent="0.3">
      <c r="A790" s="29" t="str">
        <f>Detalle_OC[[#This Row],[Centro]]&amp;Detalle_OC[[#This Row],[Nom Almacen]]&amp;Detalle_OC[[#This Row],[Material]]&amp;Detalle_OC[[#This Row],[Pedido]]&amp;Detalle_OC[[#This Row],[Posicion]]</f>
        <v>Agricola del Chira PlantaMontelima700061594511572175120</v>
      </c>
      <c r="B790" t="s">
        <v>234</v>
      </c>
      <c r="C790" t="s">
        <v>166</v>
      </c>
      <c r="D790" s="11">
        <v>45646</v>
      </c>
      <c r="E790" t="s">
        <v>16</v>
      </c>
      <c r="F790" t="s">
        <v>12</v>
      </c>
      <c r="G790">
        <v>70006159</v>
      </c>
      <c r="H790">
        <v>4511572175</v>
      </c>
      <c r="I790">
        <v>120</v>
      </c>
      <c r="J790" s="29">
        <v>1</v>
      </c>
      <c r="K790" s="29" t="s">
        <v>887</v>
      </c>
      <c r="L790" t="str">
        <f>IFERROR(VLOOKUP(Detalle_OC[[#This Row],[Centro]]&amp;Detalle_OC[[#This Row],[Nro Almacen]],Almacen!A:D,4,FALSE),"")</f>
        <v>Montelima</v>
      </c>
    </row>
    <row r="791" spans="1:12" x14ac:dyDescent="0.3">
      <c r="A791" s="29" t="str">
        <f>Detalle_OC[[#This Row],[Centro]]&amp;Detalle_OC[[#This Row],[Nom Almacen]]&amp;Detalle_OC[[#This Row],[Material]]&amp;Detalle_OC[[#This Row],[Pedido]]&amp;Detalle_OC[[#This Row],[Posicion]]</f>
        <v>Agricola del Chira PlantaMontelima700062904511572175130</v>
      </c>
      <c r="B791" t="s">
        <v>149</v>
      </c>
      <c r="C791" t="s">
        <v>166</v>
      </c>
      <c r="D791" s="11">
        <v>45646</v>
      </c>
      <c r="E791" t="s">
        <v>16</v>
      </c>
      <c r="F791" t="s">
        <v>12</v>
      </c>
      <c r="G791">
        <v>70006290</v>
      </c>
      <c r="H791">
        <v>4511572175</v>
      </c>
      <c r="I791">
        <v>130</v>
      </c>
      <c r="J791" s="29">
        <v>1</v>
      </c>
      <c r="K791" s="29" t="s">
        <v>887</v>
      </c>
      <c r="L791" t="str">
        <f>IFERROR(VLOOKUP(Detalle_OC[[#This Row],[Centro]]&amp;Detalle_OC[[#This Row],[Nro Almacen]],Almacen!A:D,4,FALSE),"")</f>
        <v>Montelima</v>
      </c>
    </row>
    <row r="792" spans="1:12" x14ac:dyDescent="0.3">
      <c r="A792" s="29" t="str">
        <f>Detalle_OC[[#This Row],[Centro]]&amp;Detalle_OC[[#This Row],[Nom Almacen]]&amp;Detalle_OC[[#This Row],[Material]]&amp;Detalle_OC[[#This Row],[Pedido]]&amp;Detalle_OC[[#This Row],[Posicion]]</f>
        <v>Agricola del Chira PlantaMontelima700062944511572175140</v>
      </c>
      <c r="B792" t="s">
        <v>149</v>
      </c>
      <c r="C792" t="s">
        <v>166</v>
      </c>
      <c r="D792" s="11">
        <v>45646</v>
      </c>
      <c r="E792" t="s">
        <v>16</v>
      </c>
      <c r="F792" t="s">
        <v>12</v>
      </c>
      <c r="G792">
        <v>70006294</v>
      </c>
      <c r="H792">
        <v>4511572175</v>
      </c>
      <c r="I792">
        <v>140</v>
      </c>
      <c r="J792" s="29">
        <v>1</v>
      </c>
      <c r="K792" s="29" t="s">
        <v>887</v>
      </c>
      <c r="L792" t="str">
        <f>IFERROR(VLOOKUP(Detalle_OC[[#This Row],[Centro]]&amp;Detalle_OC[[#This Row],[Nro Almacen]],Almacen!A:D,4,FALSE),"")</f>
        <v>Montelima</v>
      </c>
    </row>
    <row r="793" spans="1:12" x14ac:dyDescent="0.3">
      <c r="A793" s="29" t="str">
        <f>Detalle_OC[[#This Row],[Centro]]&amp;Detalle_OC[[#This Row],[Nom Almacen]]&amp;Detalle_OC[[#This Row],[Material]]&amp;Detalle_OC[[#This Row],[Pedido]]&amp;Detalle_OC[[#This Row],[Posicion]]</f>
        <v>Agricola del Chira PlantaMontelima700242174511572175150</v>
      </c>
      <c r="B793" t="s">
        <v>149</v>
      </c>
      <c r="C793" t="s">
        <v>166</v>
      </c>
      <c r="D793" s="11">
        <v>45646</v>
      </c>
      <c r="E793" t="s">
        <v>16</v>
      </c>
      <c r="F793" t="s">
        <v>12</v>
      </c>
      <c r="G793">
        <v>70024217</v>
      </c>
      <c r="H793">
        <v>4511572175</v>
      </c>
      <c r="I793">
        <v>150</v>
      </c>
      <c r="J793" s="29">
        <v>1</v>
      </c>
      <c r="K793" s="29" t="s">
        <v>887</v>
      </c>
      <c r="L793" t="str">
        <f>IFERROR(VLOOKUP(Detalle_OC[[#This Row],[Centro]]&amp;Detalle_OC[[#This Row],[Nro Almacen]],Almacen!A:D,4,FALSE),"")</f>
        <v>Montelima</v>
      </c>
    </row>
    <row r="794" spans="1:12" x14ac:dyDescent="0.3">
      <c r="A794" s="29" t="str">
        <f>Detalle_OC[[#This Row],[Centro]]&amp;Detalle_OC[[#This Row],[Nom Almacen]]&amp;Detalle_OC[[#This Row],[Material]]&amp;Detalle_OC[[#This Row],[Pedido]]&amp;Detalle_OC[[#This Row],[Posicion]]</f>
        <v>Agricola del Chira PlantaMontelima700265824511572175160</v>
      </c>
      <c r="B794" t="s">
        <v>149</v>
      </c>
      <c r="C794" t="s">
        <v>166</v>
      </c>
      <c r="D794" s="11">
        <v>45646</v>
      </c>
      <c r="E794" t="s">
        <v>16</v>
      </c>
      <c r="F794" t="s">
        <v>12</v>
      </c>
      <c r="G794">
        <v>70026582</v>
      </c>
      <c r="H794">
        <v>4511572175</v>
      </c>
      <c r="I794">
        <v>160</v>
      </c>
      <c r="J794" s="29">
        <v>1</v>
      </c>
      <c r="K794" s="29" t="s">
        <v>887</v>
      </c>
      <c r="L794" t="str">
        <f>IFERROR(VLOOKUP(Detalle_OC[[#This Row],[Centro]]&amp;Detalle_OC[[#This Row],[Nro Almacen]],Almacen!A:D,4,FALSE),"")</f>
        <v>Montelima</v>
      </c>
    </row>
    <row r="795" spans="1:12" x14ac:dyDescent="0.3">
      <c r="A795" s="29" t="str">
        <f>Detalle_OC[[#This Row],[Centro]]&amp;Detalle_OC[[#This Row],[Nom Almacen]]&amp;Detalle_OC[[#This Row],[Material]]&amp;Detalle_OC[[#This Row],[Pedido]]&amp;Detalle_OC[[#This Row],[Posicion]]</f>
        <v>Agricola del Chira PlantaMontelima700319684511572175170</v>
      </c>
      <c r="B795" t="s">
        <v>149</v>
      </c>
      <c r="C795" t="s">
        <v>166</v>
      </c>
      <c r="D795" s="11">
        <v>45646</v>
      </c>
      <c r="E795" t="s">
        <v>16</v>
      </c>
      <c r="F795" t="s">
        <v>12</v>
      </c>
      <c r="G795">
        <v>70031968</v>
      </c>
      <c r="H795">
        <v>4511572175</v>
      </c>
      <c r="I795">
        <v>170</v>
      </c>
      <c r="J795" s="29">
        <v>1</v>
      </c>
      <c r="K795" s="29" t="s">
        <v>887</v>
      </c>
      <c r="L795" t="str">
        <f>IFERROR(VLOOKUP(Detalle_OC[[#This Row],[Centro]]&amp;Detalle_OC[[#This Row],[Nro Almacen]],Almacen!A:D,4,FALSE),"")</f>
        <v>Montelima</v>
      </c>
    </row>
    <row r="796" spans="1:12" x14ac:dyDescent="0.3">
      <c r="A796" s="29" t="str">
        <f>Detalle_OC[[#This Row],[Centro]]&amp;Detalle_OC[[#This Row],[Nom Almacen]]&amp;Detalle_OC[[#This Row],[Material]]&amp;Detalle_OC[[#This Row],[Pedido]]&amp;Detalle_OC[[#This Row],[Posicion]]</f>
        <v>Agricola del Chira PlantaMontelima724673451157217910</v>
      </c>
      <c r="B796" t="s">
        <v>149</v>
      </c>
      <c r="C796" t="s">
        <v>272</v>
      </c>
      <c r="D796" s="11">
        <v>45646</v>
      </c>
      <c r="E796" t="s">
        <v>16</v>
      </c>
      <c r="F796" t="s">
        <v>12</v>
      </c>
      <c r="G796">
        <v>724673</v>
      </c>
      <c r="H796">
        <v>4511572179</v>
      </c>
      <c r="I796">
        <v>10</v>
      </c>
      <c r="J796" s="29">
        <v>1</v>
      </c>
      <c r="K796" s="29" t="s">
        <v>887</v>
      </c>
      <c r="L796" t="str">
        <f>IFERROR(VLOOKUP(Detalle_OC[[#This Row],[Centro]]&amp;Detalle_OC[[#This Row],[Nro Almacen]],Almacen!A:D,4,FALSE),"")</f>
        <v>Montelima</v>
      </c>
    </row>
    <row r="797" spans="1:12" x14ac:dyDescent="0.3">
      <c r="A797" s="29" t="str">
        <f>Detalle_OC[[#This Row],[Centro]]&amp;Detalle_OC[[#This Row],[Nom Almacen]]&amp;Detalle_OC[[#This Row],[Material]]&amp;Detalle_OC[[#This Row],[Pedido]]&amp;Detalle_OC[[#This Row],[Posicion]]</f>
        <v>Agricola del Chira PlantaMontelima894192451157217920</v>
      </c>
      <c r="B797" t="s">
        <v>149</v>
      </c>
      <c r="C797" t="s">
        <v>272</v>
      </c>
      <c r="D797" s="11">
        <v>45646</v>
      </c>
      <c r="E797" t="s">
        <v>16</v>
      </c>
      <c r="F797" t="s">
        <v>12</v>
      </c>
      <c r="G797">
        <v>894192</v>
      </c>
      <c r="H797">
        <v>4511572179</v>
      </c>
      <c r="I797">
        <v>20</v>
      </c>
      <c r="J797" s="29">
        <v>1</v>
      </c>
      <c r="K797" s="29" t="s">
        <v>887</v>
      </c>
      <c r="L797" t="str">
        <f>IFERROR(VLOOKUP(Detalle_OC[[#This Row],[Centro]]&amp;Detalle_OC[[#This Row],[Nro Almacen]],Almacen!A:D,4,FALSE),"")</f>
        <v>Montelima</v>
      </c>
    </row>
    <row r="798" spans="1:12" x14ac:dyDescent="0.3">
      <c r="A798" s="29" t="str">
        <f>Detalle_OC[[#This Row],[Centro]]&amp;Detalle_OC[[#This Row],[Nom Almacen]]&amp;Detalle_OC[[#This Row],[Material]]&amp;Detalle_OC[[#This Row],[Pedido]]&amp;Detalle_OC[[#This Row],[Posicion]]</f>
        <v>Agricola del Chira PlantaMontelima721551451157217930</v>
      </c>
      <c r="B798" t="s">
        <v>149</v>
      </c>
      <c r="C798" t="s">
        <v>272</v>
      </c>
      <c r="D798" s="11">
        <v>45646</v>
      </c>
      <c r="E798" t="s">
        <v>16</v>
      </c>
      <c r="F798" t="s">
        <v>12</v>
      </c>
      <c r="G798">
        <v>721551</v>
      </c>
      <c r="H798">
        <v>4511572179</v>
      </c>
      <c r="I798">
        <v>30</v>
      </c>
      <c r="J798" s="29">
        <v>1</v>
      </c>
      <c r="K798" s="29" t="s">
        <v>887</v>
      </c>
      <c r="L798" t="str">
        <f>IFERROR(VLOOKUP(Detalle_OC[[#This Row],[Centro]]&amp;Detalle_OC[[#This Row],[Nro Almacen]],Almacen!A:D,4,FALSE),"")</f>
        <v>Montelima</v>
      </c>
    </row>
    <row r="799" spans="1:12" x14ac:dyDescent="0.3">
      <c r="A799" s="29" t="str">
        <f>Detalle_OC[[#This Row],[Centro]]&amp;Detalle_OC[[#This Row],[Nom Almacen]]&amp;Detalle_OC[[#This Row],[Material]]&amp;Detalle_OC[[#This Row],[Pedido]]&amp;Detalle_OC[[#This Row],[Posicion]]</f>
        <v>Sucroalcolera del Chira PlantaMontelima860358451157218110</v>
      </c>
      <c r="B799" t="s">
        <v>138</v>
      </c>
      <c r="C799" t="s">
        <v>197</v>
      </c>
      <c r="D799" s="11">
        <v>45667</v>
      </c>
      <c r="E799" t="s">
        <v>16</v>
      </c>
      <c r="F799" t="s">
        <v>85</v>
      </c>
      <c r="G799">
        <v>860358</v>
      </c>
      <c r="H799">
        <v>4511572181</v>
      </c>
      <c r="I799">
        <v>10</v>
      </c>
      <c r="J799" s="29">
        <v>1</v>
      </c>
      <c r="K799" s="29" t="s">
        <v>887</v>
      </c>
      <c r="L799" t="str">
        <f>IFERROR(VLOOKUP(Detalle_OC[[#This Row],[Centro]]&amp;Detalle_OC[[#This Row],[Nro Almacen]],Almacen!A:D,4,FALSE),"")</f>
        <v>Montelima</v>
      </c>
    </row>
    <row r="800" spans="1:12" x14ac:dyDescent="0.3">
      <c r="A800" s="29" t="str">
        <f>Detalle_OC[[#This Row],[Centro]]&amp;Detalle_OC[[#This Row],[Nom Almacen]]&amp;Detalle_OC[[#This Row],[Material]]&amp;Detalle_OC[[#This Row],[Pedido]]&amp;Detalle_OC[[#This Row],[Posicion]]</f>
        <v>Sucroalcolera del Chira PlantaMontelima70000722451157218210</v>
      </c>
      <c r="B800" t="s">
        <v>202</v>
      </c>
      <c r="C800" t="s">
        <v>272</v>
      </c>
      <c r="D800" s="11">
        <v>45646</v>
      </c>
      <c r="E800" t="s">
        <v>16</v>
      </c>
      <c r="F800" t="s">
        <v>85</v>
      </c>
      <c r="G800">
        <v>70000722</v>
      </c>
      <c r="H800">
        <v>4511572182</v>
      </c>
      <c r="I800">
        <v>10</v>
      </c>
      <c r="J800" s="29">
        <v>1</v>
      </c>
      <c r="K800" s="29" t="s">
        <v>887</v>
      </c>
      <c r="L800" t="str">
        <f>IFERROR(VLOOKUP(Detalle_OC[[#This Row],[Centro]]&amp;Detalle_OC[[#This Row],[Nro Almacen]],Almacen!A:D,4,FALSE),"")</f>
        <v>Montelima</v>
      </c>
    </row>
    <row r="801" spans="1:12" x14ac:dyDescent="0.3">
      <c r="A801" s="29" t="str">
        <f>Detalle_OC[[#This Row],[Centro]]&amp;Detalle_OC[[#This Row],[Nom Almacen]]&amp;Detalle_OC[[#This Row],[Material]]&amp;Detalle_OC[[#This Row],[Pedido]]&amp;Detalle_OC[[#This Row],[Posicion]]</f>
        <v>Sucroalcolera del Chira PlantaMontelimaCS20010102        451157218220</v>
      </c>
      <c r="B801" t="s">
        <v>202</v>
      </c>
      <c r="C801" t="s">
        <v>272</v>
      </c>
      <c r="D801" s="11">
        <v>45646</v>
      </c>
      <c r="E801" t="s">
        <v>16</v>
      </c>
      <c r="F801" t="s">
        <v>85</v>
      </c>
      <c r="G801" t="s">
        <v>974</v>
      </c>
      <c r="H801">
        <v>4511572182</v>
      </c>
      <c r="I801">
        <v>20</v>
      </c>
      <c r="J801" s="29">
        <v>1</v>
      </c>
      <c r="K801" s="29" t="s">
        <v>887</v>
      </c>
      <c r="L801" t="str">
        <f>IFERROR(VLOOKUP(Detalle_OC[[#This Row],[Centro]]&amp;Detalle_OC[[#This Row],[Nro Almacen]],Almacen!A:D,4,FALSE),"")</f>
        <v>Montelima</v>
      </c>
    </row>
    <row r="802" spans="1:12" x14ac:dyDescent="0.3">
      <c r="A802" s="29" t="str">
        <f>Detalle_OC[[#This Row],[Centro]]&amp;Detalle_OC[[#This Row],[Nom Almacen]]&amp;Detalle_OC[[#This Row],[Material]]&amp;Detalle_OC[[#This Row],[Pedido]]&amp;Detalle_OC[[#This Row],[Posicion]]</f>
        <v>Bioenergía del Chira PlantaMontelima860099451157218310</v>
      </c>
      <c r="B802" t="s">
        <v>196</v>
      </c>
      <c r="C802" t="s">
        <v>272</v>
      </c>
      <c r="D802" s="11">
        <v>45646</v>
      </c>
      <c r="E802" t="s">
        <v>16</v>
      </c>
      <c r="F802" t="s">
        <v>86</v>
      </c>
      <c r="G802">
        <v>860099</v>
      </c>
      <c r="H802">
        <v>4511572183</v>
      </c>
      <c r="I802">
        <v>10</v>
      </c>
      <c r="J802" s="29">
        <v>1</v>
      </c>
      <c r="K802" s="29" t="s">
        <v>887</v>
      </c>
      <c r="L802" t="str">
        <f>IFERROR(VLOOKUP(Detalle_OC[[#This Row],[Centro]]&amp;Detalle_OC[[#This Row],[Nro Almacen]],Almacen!A:D,4,FALSE),"")</f>
        <v>Montelima</v>
      </c>
    </row>
    <row r="803" spans="1:12" x14ac:dyDescent="0.3">
      <c r="A803" s="29" t="str">
        <f>Detalle_OC[[#This Row],[Centro]]&amp;Detalle_OC[[#This Row],[Nom Almacen]]&amp;Detalle_OC[[#This Row],[Material]]&amp;Detalle_OC[[#This Row],[Pedido]]&amp;Detalle_OC[[#This Row],[Posicion]]</f>
        <v>Agricola del Chira PlantaMontelima862025451157218510</v>
      </c>
      <c r="B803" t="s">
        <v>149</v>
      </c>
      <c r="C803" t="s">
        <v>168</v>
      </c>
      <c r="D803" s="11">
        <v>45665</v>
      </c>
      <c r="E803" t="s">
        <v>16</v>
      </c>
      <c r="F803" t="s">
        <v>12</v>
      </c>
      <c r="G803">
        <v>862025</v>
      </c>
      <c r="H803">
        <v>4511572185</v>
      </c>
      <c r="I803">
        <v>10</v>
      </c>
      <c r="J803" s="29">
        <v>1</v>
      </c>
      <c r="K803" s="29" t="s">
        <v>887</v>
      </c>
      <c r="L803" t="str">
        <f>IFERROR(VLOOKUP(Detalle_OC[[#This Row],[Centro]]&amp;Detalle_OC[[#This Row],[Nro Almacen]],Almacen!A:D,4,FALSE),"")</f>
        <v>Montelima</v>
      </c>
    </row>
    <row r="804" spans="1:12" x14ac:dyDescent="0.3">
      <c r="A804" s="29" t="str">
        <f>Detalle_OC[[#This Row],[Centro]]&amp;Detalle_OC[[#This Row],[Nom Almacen]]&amp;Detalle_OC[[#This Row],[Material]]&amp;Detalle_OC[[#This Row],[Pedido]]&amp;Detalle_OC[[#This Row],[Posicion]]</f>
        <v>Agricola del Chira PlantaMontelima862025451157218520</v>
      </c>
      <c r="B804" t="s">
        <v>149</v>
      </c>
      <c r="C804" t="s">
        <v>168</v>
      </c>
      <c r="D804" s="11">
        <v>45665</v>
      </c>
      <c r="E804" t="s">
        <v>16</v>
      </c>
      <c r="F804" t="s">
        <v>12</v>
      </c>
      <c r="G804">
        <v>862025</v>
      </c>
      <c r="H804">
        <v>4511572185</v>
      </c>
      <c r="I804">
        <v>20</v>
      </c>
      <c r="J804" s="29">
        <v>1</v>
      </c>
      <c r="K804" s="29" t="s">
        <v>887</v>
      </c>
      <c r="L804" t="str">
        <f>IFERROR(VLOOKUP(Detalle_OC[[#This Row],[Centro]]&amp;Detalle_OC[[#This Row],[Nro Almacen]],Almacen!A:D,4,FALSE),"")</f>
        <v>Montelima</v>
      </c>
    </row>
    <row r="805" spans="1:12" x14ac:dyDescent="0.3">
      <c r="A805" s="29" t="str">
        <f>Detalle_OC[[#This Row],[Centro]]&amp;Detalle_OC[[#This Row],[Nom Almacen]]&amp;Detalle_OC[[#This Row],[Material]]&amp;Detalle_OC[[#This Row],[Pedido]]&amp;Detalle_OC[[#This Row],[Posicion]]</f>
        <v>Agricola del Chira PlantaMontelima829432451157218530</v>
      </c>
      <c r="B805" t="s">
        <v>149</v>
      </c>
      <c r="C805" t="s">
        <v>168</v>
      </c>
      <c r="D805" s="11">
        <v>45665</v>
      </c>
      <c r="E805" t="s">
        <v>16</v>
      </c>
      <c r="F805" t="s">
        <v>12</v>
      </c>
      <c r="G805">
        <v>829432</v>
      </c>
      <c r="H805">
        <v>4511572185</v>
      </c>
      <c r="I805">
        <v>30</v>
      </c>
      <c r="J805" s="29">
        <v>1</v>
      </c>
      <c r="K805" s="29" t="s">
        <v>887</v>
      </c>
      <c r="L805" t="str">
        <f>IFERROR(VLOOKUP(Detalle_OC[[#This Row],[Centro]]&amp;Detalle_OC[[#This Row],[Nro Almacen]],Almacen!A:D,4,FALSE),"")</f>
        <v>Montelima</v>
      </c>
    </row>
    <row r="806" spans="1:12" x14ac:dyDescent="0.3">
      <c r="A806" s="29" t="str">
        <f>Detalle_OC[[#This Row],[Centro]]&amp;Detalle_OC[[#This Row],[Nom Almacen]]&amp;Detalle_OC[[#This Row],[Material]]&amp;Detalle_OC[[#This Row],[Pedido]]&amp;Detalle_OC[[#This Row],[Posicion]]</f>
        <v>Agricola del Chira PlantaMontelima70097812451157218540</v>
      </c>
      <c r="B806" t="s">
        <v>149</v>
      </c>
      <c r="C806" t="s">
        <v>168</v>
      </c>
      <c r="D806" s="11">
        <v>45665</v>
      </c>
      <c r="E806" t="s">
        <v>16</v>
      </c>
      <c r="F806" t="s">
        <v>12</v>
      </c>
      <c r="G806">
        <v>70097812</v>
      </c>
      <c r="H806">
        <v>4511572185</v>
      </c>
      <c r="I806">
        <v>40</v>
      </c>
      <c r="J806" s="29">
        <v>1</v>
      </c>
      <c r="K806" s="29" t="s">
        <v>887</v>
      </c>
      <c r="L806" t="str">
        <f>IFERROR(VLOOKUP(Detalle_OC[[#This Row],[Centro]]&amp;Detalle_OC[[#This Row],[Nro Almacen]],Almacen!A:D,4,FALSE),"")</f>
        <v>Montelima</v>
      </c>
    </row>
    <row r="807" spans="1:12" x14ac:dyDescent="0.3">
      <c r="A807" s="29" t="str">
        <f>Detalle_OC[[#This Row],[Centro]]&amp;Detalle_OC[[#This Row],[Nom Almacen]]&amp;Detalle_OC[[#This Row],[Material]]&amp;Detalle_OC[[#This Row],[Pedido]]&amp;Detalle_OC[[#This Row],[Posicion]]</f>
        <v>Agricola del Chira PlantaMontelima813894451157219010</v>
      </c>
      <c r="B807" t="s">
        <v>149</v>
      </c>
      <c r="C807" t="s">
        <v>168</v>
      </c>
      <c r="D807" s="11">
        <v>45646</v>
      </c>
      <c r="E807" t="s">
        <v>16</v>
      </c>
      <c r="F807" t="s">
        <v>12</v>
      </c>
      <c r="G807">
        <v>813894</v>
      </c>
      <c r="H807">
        <v>4511572190</v>
      </c>
      <c r="I807">
        <v>10</v>
      </c>
      <c r="J807" s="29">
        <v>1</v>
      </c>
      <c r="K807" s="29" t="s">
        <v>887</v>
      </c>
      <c r="L807" t="str">
        <f>IFERROR(VLOOKUP(Detalle_OC[[#This Row],[Centro]]&amp;Detalle_OC[[#This Row],[Nro Almacen]],Almacen!A:D,4,FALSE),"")</f>
        <v>Montelima</v>
      </c>
    </row>
    <row r="808" spans="1:12" x14ac:dyDescent="0.3">
      <c r="A808" s="29" t="str">
        <f>Detalle_OC[[#This Row],[Centro]]&amp;Detalle_OC[[#This Row],[Nom Almacen]]&amp;Detalle_OC[[#This Row],[Material]]&amp;Detalle_OC[[#This Row],[Pedido]]&amp;Detalle_OC[[#This Row],[Posicion]]</f>
        <v>Agricola del Chira PlantaMontelima881324451157219020</v>
      </c>
      <c r="B808" t="s">
        <v>149</v>
      </c>
      <c r="C808" t="s">
        <v>168</v>
      </c>
      <c r="D808" s="11">
        <v>45646</v>
      </c>
      <c r="E808" t="s">
        <v>16</v>
      </c>
      <c r="F808" t="s">
        <v>12</v>
      </c>
      <c r="G808">
        <v>881324</v>
      </c>
      <c r="H808">
        <v>4511572190</v>
      </c>
      <c r="I808">
        <v>20</v>
      </c>
      <c r="J808" s="29">
        <v>1</v>
      </c>
      <c r="K808" s="29" t="s">
        <v>887</v>
      </c>
      <c r="L808" t="str">
        <f>IFERROR(VLOOKUP(Detalle_OC[[#This Row],[Centro]]&amp;Detalle_OC[[#This Row],[Nro Almacen]],Almacen!A:D,4,FALSE),"")</f>
        <v>Montelima</v>
      </c>
    </row>
    <row r="809" spans="1:12" x14ac:dyDescent="0.3">
      <c r="A809" s="29" t="str">
        <f>Detalle_OC[[#This Row],[Centro]]&amp;Detalle_OC[[#This Row],[Nom Almacen]]&amp;Detalle_OC[[#This Row],[Material]]&amp;Detalle_OC[[#This Row],[Pedido]]&amp;Detalle_OC[[#This Row],[Posicion]]</f>
        <v>Agricola del Chira PlantaMontelima834979451157219110</v>
      </c>
      <c r="B809" t="s">
        <v>149</v>
      </c>
      <c r="C809" t="s">
        <v>166</v>
      </c>
      <c r="D809" s="11">
        <v>45646</v>
      </c>
      <c r="E809" t="s">
        <v>16</v>
      </c>
      <c r="F809" t="s">
        <v>12</v>
      </c>
      <c r="G809">
        <v>834979</v>
      </c>
      <c r="H809">
        <v>4511572191</v>
      </c>
      <c r="I809">
        <v>10</v>
      </c>
      <c r="J809" s="29">
        <v>1</v>
      </c>
      <c r="K809" s="29" t="s">
        <v>887</v>
      </c>
      <c r="L809" t="str">
        <f>IFERROR(VLOOKUP(Detalle_OC[[#This Row],[Centro]]&amp;Detalle_OC[[#This Row],[Nro Almacen]],Almacen!A:D,4,FALSE),"")</f>
        <v>Montelima</v>
      </c>
    </row>
    <row r="810" spans="1:12" x14ac:dyDescent="0.3">
      <c r="A810" s="29" t="str">
        <f>Detalle_OC[[#This Row],[Centro]]&amp;Detalle_OC[[#This Row],[Nom Almacen]]&amp;Detalle_OC[[#This Row],[Material]]&amp;Detalle_OC[[#This Row],[Pedido]]&amp;Detalle_OC[[#This Row],[Posicion]]</f>
        <v>Agricola del Chira PlantaAlmacen Lobo837689451157219120</v>
      </c>
      <c r="B810" t="s">
        <v>149</v>
      </c>
      <c r="C810" t="s">
        <v>166</v>
      </c>
      <c r="D810" s="11">
        <v>45646</v>
      </c>
      <c r="E810" t="s">
        <v>16</v>
      </c>
      <c r="F810" t="s">
        <v>12</v>
      </c>
      <c r="G810">
        <v>837689</v>
      </c>
      <c r="H810">
        <v>4511572191</v>
      </c>
      <c r="I810">
        <v>20</v>
      </c>
      <c r="J810" s="29">
        <v>7</v>
      </c>
      <c r="K810" s="29" t="s">
        <v>887</v>
      </c>
      <c r="L810" t="str">
        <f>IFERROR(VLOOKUP(Detalle_OC[[#This Row],[Centro]]&amp;Detalle_OC[[#This Row],[Nro Almacen]],Almacen!A:D,4,FALSE),"")</f>
        <v>Almacen Lobo</v>
      </c>
    </row>
    <row r="811" spans="1:12" x14ac:dyDescent="0.3">
      <c r="A811" s="29" t="str">
        <f>Detalle_OC[[#This Row],[Centro]]&amp;Detalle_OC[[#This Row],[Nom Almacen]]&amp;Detalle_OC[[#This Row],[Material]]&amp;Detalle_OC[[#This Row],[Pedido]]&amp;Detalle_OC[[#This Row],[Posicion]]</f>
        <v>Agricola del Chira PlantaMontelima837733451157219130</v>
      </c>
      <c r="B811" t="s">
        <v>149</v>
      </c>
      <c r="C811" t="s">
        <v>166</v>
      </c>
      <c r="D811" s="11">
        <v>45646</v>
      </c>
      <c r="E811" t="s">
        <v>16</v>
      </c>
      <c r="F811" t="s">
        <v>12</v>
      </c>
      <c r="G811">
        <v>837733</v>
      </c>
      <c r="H811">
        <v>4511572191</v>
      </c>
      <c r="I811">
        <v>30</v>
      </c>
      <c r="J811" s="29">
        <v>1</v>
      </c>
      <c r="K811" s="29" t="s">
        <v>887</v>
      </c>
      <c r="L811" t="str">
        <f>IFERROR(VLOOKUP(Detalle_OC[[#This Row],[Centro]]&amp;Detalle_OC[[#This Row],[Nro Almacen]],Almacen!A:D,4,FALSE),"")</f>
        <v>Montelima</v>
      </c>
    </row>
    <row r="812" spans="1:12" x14ac:dyDescent="0.3">
      <c r="A812" s="29" t="str">
        <f>Detalle_OC[[#This Row],[Centro]]&amp;Detalle_OC[[#This Row],[Nom Almacen]]&amp;Detalle_OC[[#This Row],[Material]]&amp;Detalle_OC[[#This Row],[Pedido]]&amp;Detalle_OC[[#This Row],[Posicion]]</f>
        <v>Agricola del Chira PlantaMontelima871077451157219150</v>
      </c>
      <c r="B812" t="s">
        <v>149</v>
      </c>
      <c r="C812" t="s">
        <v>166</v>
      </c>
      <c r="D812" s="11">
        <v>45646</v>
      </c>
      <c r="E812" t="s">
        <v>16</v>
      </c>
      <c r="F812" t="s">
        <v>12</v>
      </c>
      <c r="G812">
        <v>871077</v>
      </c>
      <c r="H812">
        <v>4511572191</v>
      </c>
      <c r="I812">
        <v>50</v>
      </c>
      <c r="J812" s="29">
        <v>1</v>
      </c>
      <c r="K812" s="29" t="s">
        <v>887</v>
      </c>
      <c r="L812" t="str">
        <f>IFERROR(VLOOKUP(Detalle_OC[[#This Row],[Centro]]&amp;Detalle_OC[[#This Row],[Nro Almacen]],Almacen!A:D,4,FALSE),"")</f>
        <v>Montelima</v>
      </c>
    </row>
    <row r="813" spans="1:12" x14ac:dyDescent="0.3">
      <c r="A813" s="29" t="str">
        <f>Detalle_OC[[#This Row],[Centro]]&amp;Detalle_OC[[#This Row],[Nom Almacen]]&amp;Detalle_OC[[#This Row],[Material]]&amp;Detalle_OC[[#This Row],[Pedido]]&amp;Detalle_OC[[#This Row],[Posicion]]</f>
        <v>Agricola del Chira PlantaMontelima889183451157219160</v>
      </c>
      <c r="B813" t="s">
        <v>149</v>
      </c>
      <c r="C813" t="s">
        <v>166</v>
      </c>
      <c r="D813" s="11">
        <v>45646</v>
      </c>
      <c r="E813" t="s">
        <v>16</v>
      </c>
      <c r="F813" t="s">
        <v>12</v>
      </c>
      <c r="G813">
        <v>889183</v>
      </c>
      <c r="H813">
        <v>4511572191</v>
      </c>
      <c r="I813">
        <v>60</v>
      </c>
      <c r="J813" s="29">
        <v>1</v>
      </c>
      <c r="K813" s="29" t="s">
        <v>887</v>
      </c>
      <c r="L813" t="str">
        <f>IFERROR(VLOOKUP(Detalle_OC[[#This Row],[Centro]]&amp;Detalle_OC[[#This Row],[Nro Almacen]],Almacen!A:D,4,FALSE),"")</f>
        <v>Montelima</v>
      </c>
    </row>
    <row r="814" spans="1:12" x14ac:dyDescent="0.3">
      <c r="A814" s="29" t="str">
        <f>Detalle_OC[[#This Row],[Centro]]&amp;Detalle_OC[[#This Row],[Nom Almacen]]&amp;Detalle_OC[[#This Row],[Material]]&amp;Detalle_OC[[#This Row],[Pedido]]&amp;Detalle_OC[[#This Row],[Posicion]]</f>
        <v>Agricola del Chira PlantaMontelima889184451157219170</v>
      </c>
      <c r="B814" t="s">
        <v>149</v>
      </c>
      <c r="C814" t="s">
        <v>166</v>
      </c>
      <c r="D814" s="11">
        <v>45646</v>
      </c>
      <c r="E814" t="s">
        <v>16</v>
      </c>
      <c r="F814" t="s">
        <v>12</v>
      </c>
      <c r="G814">
        <v>889184</v>
      </c>
      <c r="H814">
        <v>4511572191</v>
      </c>
      <c r="I814">
        <v>70</v>
      </c>
      <c r="J814" s="29">
        <v>1</v>
      </c>
      <c r="K814" s="29" t="s">
        <v>887</v>
      </c>
      <c r="L814" t="str">
        <f>IFERROR(VLOOKUP(Detalle_OC[[#This Row],[Centro]]&amp;Detalle_OC[[#This Row],[Nro Almacen]],Almacen!A:D,4,FALSE),"")</f>
        <v>Montelima</v>
      </c>
    </row>
    <row r="815" spans="1:12" x14ac:dyDescent="0.3">
      <c r="A815" s="29" t="str">
        <f>Detalle_OC[[#This Row],[Centro]]&amp;Detalle_OC[[#This Row],[Nom Almacen]]&amp;Detalle_OC[[#This Row],[Material]]&amp;Detalle_OC[[#This Row],[Pedido]]&amp;Detalle_OC[[#This Row],[Posicion]]</f>
        <v>Agricola del Chira PlantaMontelima70047417451157219190</v>
      </c>
      <c r="B815" t="s">
        <v>149</v>
      </c>
      <c r="C815" t="s">
        <v>166</v>
      </c>
      <c r="D815" s="11">
        <v>45646</v>
      </c>
      <c r="E815" t="s">
        <v>16</v>
      </c>
      <c r="F815" t="s">
        <v>12</v>
      </c>
      <c r="G815">
        <v>70047417</v>
      </c>
      <c r="H815">
        <v>4511572191</v>
      </c>
      <c r="I815">
        <v>90</v>
      </c>
      <c r="J815" s="29">
        <v>1</v>
      </c>
      <c r="K815" s="29" t="s">
        <v>887</v>
      </c>
      <c r="L815" t="str">
        <f>IFERROR(VLOOKUP(Detalle_OC[[#This Row],[Centro]]&amp;Detalle_OC[[#This Row],[Nro Almacen]],Almacen!A:D,4,FALSE),"")</f>
        <v>Montelima</v>
      </c>
    </row>
    <row r="816" spans="1:12" x14ac:dyDescent="0.3">
      <c r="A816" s="29" t="str">
        <f>Detalle_OC[[#This Row],[Centro]]&amp;Detalle_OC[[#This Row],[Nom Almacen]]&amp;Detalle_OC[[#This Row],[Material]]&amp;Detalle_OC[[#This Row],[Pedido]]&amp;Detalle_OC[[#This Row],[Posicion]]</f>
        <v>Agricola del Chira PlantaMontelima700474184511572191100</v>
      </c>
      <c r="B816" t="s">
        <v>149</v>
      </c>
      <c r="C816" t="s">
        <v>166</v>
      </c>
      <c r="D816" s="11">
        <v>45646</v>
      </c>
      <c r="E816" t="s">
        <v>16</v>
      </c>
      <c r="F816" t="s">
        <v>12</v>
      </c>
      <c r="G816">
        <v>70047418</v>
      </c>
      <c r="H816">
        <v>4511572191</v>
      </c>
      <c r="I816">
        <v>100</v>
      </c>
      <c r="J816" s="29">
        <v>1</v>
      </c>
      <c r="K816" s="29" t="s">
        <v>887</v>
      </c>
      <c r="L816" t="str">
        <f>IFERROR(VLOOKUP(Detalle_OC[[#This Row],[Centro]]&amp;Detalle_OC[[#This Row],[Nro Almacen]],Almacen!A:D,4,FALSE),"")</f>
        <v>Montelima</v>
      </c>
    </row>
    <row r="817" spans="1:12" x14ac:dyDescent="0.3">
      <c r="A817" s="29" t="str">
        <f>Detalle_OC[[#This Row],[Centro]]&amp;Detalle_OC[[#This Row],[Nom Almacen]]&amp;Detalle_OC[[#This Row],[Material]]&amp;Detalle_OC[[#This Row],[Pedido]]&amp;Detalle_OC[[#This Row],[Posicion]]</f>
        <v>Agricola del Chira PlantaMontelima8101344511572191110</v>
      </c>
      <c r="B817" t="s">
        <v>149</v>
      </c>
      <c r="C817" t="s">
        <v>166</v>
      </c>
      <c r="D817" s="11">
        <v>45646</v>
      </c>
      <c r="E817" t="s">
        <v>16</v>
      </c>
      <c r="F817" t="s">
        <v>12</v>
      </c>
      <c r="G817">
        <v>810134</v>
      </c>
      <c r="H817">
        <v>4511572191</v>
      </c>
      <c r="I817">
        <v>110</v>
      </c>
      <c r="J817" s="29">
        <v>1</v>
      </c>
      <c r="K817" s="29" t="s">
        <v>887</v>
      </c>
      <c r="L817" t="str">
        <f>IFERROR(VLOOKUP(Detalle_OC[[#This Row],[Centro]]&amp;Detalle_OC[[#This Row],[Nro Almacen]],Almacen!A:D,4,FALSE),"")</f>
        <v>Montelima</v>
      </c>
    </row>
    <row r="818" spans="1:12" x14ac:dyDescent="0.3">
      <c r="A818" s="29" t="str">
        <f>Detalle_OC[[#This Row],[Centro]]&amp;Detalle_OC[[#This Row],[Nom Almacen]]&amp;Detalle_OC[[#This Row],[Material]]&amp;Detalle_OC[[#This Row],[Pedido]]&amp;Detalle_OC[[#This Row],[Posicion]]</f>
        <v>Agricola del Chira PlantaMontelima700225134511572191120</v>
      </c>
      <c r="B818" t="s">
        <v>149</v>
      </c>
      <c r="C818" t="s">
        <v>166</v>
      </c>
      <c r="D818" s="11">
        <v>45646</v>
      </c>
      <c r="E818" t="s">
        <v>16</v>
      </c>
      <c r="F818" t="s">
        <v>12</v>
      </c>
      <c r="G818">
        <v>70022513</v>
      </c>
      <c r="H818">
        <v>4511572191</v>
      </c>
      <c r="I818">
        <v>120</v>
      </c>
      <c r="J818" s="29">
        <v>1</v>
      </c>
      <c r="K818" s="29" t="s">
        <v>887</v>
      </c>
      <c r="L818" t="str">
        <f>IFERROR(VLOOKUP(Detalle_OC[[#This Row],[Centro]]&amp;Detalle_OC[[#This Row],[Nro Almacen]],Almacen!A:D,4,FALSE),"")</f>
        <v>Montelima</v>
      </c>
    </row>
    <row r="819" spans="1:12" x14ac:dyDescent="0.3">
      <c r="A819" s="29" t="str">
        <f>Detalle_OC[[#This Row],[Centro]]&amp;Detalle_OC[[#This Row],[Nom Almacen]]&amp;Detalle_OC[[#This Row],[Material]]&amp;Detalle_OC[[#This Row],[Pedido]]&amp;Detalle_OC[[#This Row],[Posicion]]</f>
        <v>Agricola del Chira PlantaMontelima700292124511572191130</v>
      </c>
      <c r="B819" t="s">
        <v>149</v>
      </c>
      <c r="C819" t="s">
        <v>166</v>
      </c>
      <c r="D819" s="11">
        <v>45646</v>
      </c>
      <c r="E819" t="s">
        <v>16</v>
      </c>
      <c r="F819" t="s">
        <v>12</v>
      </c>
      <c r="G819">
        <v>70029212</v>
      </c>
      <c r="H819">
        <v>4511572191</v>
      </c>
      <c r="I819">
        <v>130</v>
      </c>
      <c r="J819" s="29">
        <v>1</v>
      </c>
      <c r="K819" s="29" t="s">
        <v>887</v>
      </c>
      <c r="L819" t="str">
        <f>IFERROR(VLOOKUP(Detalle_OC[[#This Row],[Centro]]&amp;Detalle_OC[[#This Row],[Nro Almacen]],Almacen!A:D,4,FALSE),"")</f>
        <v>Montelima</v>
      </c>
    </row>
    <row r="820" spans="1:12" x14ac:dyDescent="0.3">
      <c r="A820" s="29" t="str">
        <f>Detalle_OC[[#This Row],[Centro]]&amp;Detalle_OC[[#This Row],[Nom Almacen]]&amp;Detalle_OC[[#This Row],[Material]]&amp;Detalle_OC[[#This Row],[Pedido]]&amp;Detalle_OC[[#This Row],[Posicion]]</f>
        <v>Agricola del Chira PlantaMontelima831449451157219210</v>
      </c>
      <c r="B820" t="s">
        <v>26</v>
      </c>
      <c r="C820" t="s">
        <v>103</v>
      </c>
      <c r="D820" s="11">
        <v>45646</v>
      </c>
      <c r="E820" t="s">
        <v>16</v>
      </c>
      <c r="F820" t="s">
        <v>12</v>
      </c>
      <c r="G820">
        <v>831449</v>
      </c>
      <c r="H820">
        <v>4511572192</v>
      </c>
      <c r="I820">
        <v>10</v>
      </c>
      <c r="J820" s="29">
        <v>1</v>
      </c>
      <c r="K820" s="29" t="s">
        <v>887</v>
      </c>
      <c r="L820" t="str">
        <f>IFERROR(VLOOKUP(Detalle_OC[[#This Row],[Centro]]&amp;Detalle_OC[[#This Row],[Nro Almacen]],Almacen!A:D,4,FALSE),"")</f>
        <v>Montelima</v>
      </c>
    </row>
    <row r="821" spans="1:12" x14ac:dyDescent="0.3">
      <c r="A821" s="29" t="str">
        <f>Detalle_OC[[#This Row],[Centro]]&amp;Detalle_OC[[#This Row],[Nom Almacen]]&amp;Detalle_OC[[#This Row],[Material]]&amp;Detalle_OC[[#This Row],[Pedido]]&amp;Detalle_OC[[#This Row],[Posicion]]</f>
        <v>Agricola del Chira PlantaAlmacen Lobo831449451157219220</v>
      </c>
      <c r="B821" t="s">
        <v>26</v>
      </c>
      <c r="C821" t="s">
        <v>103</v>
      </c>
      <c r="D821" s="11">
        <v>45646</v>
      </c>
      <c r="E821" t="s">
        <v>16</v>
      </c>
      <c r="F821" t="s">
        <v>12</v>
      </c>
      <c r="G821">
        <v>831449</v>
      </c>
      <c r="H821">
        <v>4511572192</v>
      </c>
      <c r="I821">
        <v>20</v>
      </c>
      <c r="J821" s="29">
        <v>7</v>
      </c>
      <c r="K821" s="29" t="s">
        <v>887</v>
      </c>
      <c r="L821" t="str">
        <f>IFERROR(VLOOKUP(Detalle_OC[[#This Row],[Centro]]&amp;Detalle_OC[[#This Row],[Nro Almacen]],Almacen!A:D,4,FALSE),"")</f>
        <v>Almacen Lobo</v>
      </c>
    </row>
    <row r="822" spans="1:12" x14ac:dyDescent="0.3">
      <c r="A822" s="29" t="str">
        <f>Detalle_OC[[#This Row],[Centro]]&amp;Detalle_OC[[#This Row],[Nom Almacen]]&amp;Detalle_OC[[#This Row],[Material]]&amp;Detalle_OC[[#This Row],[Pedido]]&amp;Detalle_OC[[#This Row],[Posicion]]</f>
        <v>Agricola del Chira PlantaMontelima717817451157219410</v>
      </c>
      <c r="B822" t="s">
        <v>149</v>
      </c>
      <c r="C822" t="s">
        <v>32</v>
      </c>
      <c r="D822" s="11">
        <v>45646</v>
      </c>
      <c r="E822" t="s">
        <v>16</v>
      </c>
      <c r="F822" t="s">
        <v>12</v>
      </c>
      <c r="G822">
        <v>717817</v>
      </c>
      <c r="H822">
        <v>4511572194</v>
      </c>
      <c r="I822">
        <v>10</v>
      </c>
      <c r="J822" s="29">
        <v>1</v>
      </c>
      <c r="K822" s="29" t="s">
        <v>887</v>
      </c>
      <c r="L822" t="str">
        <f>IFERROR(VLOOKUP(Detalle_OC[[#This Row],[Centro]]&amp;Detalle_OC[[#This Row],[Nro Almacen]],Almacen!A:D,4,FALSE),"")</f>
        <v>Montelima</v>
      </c>
    </row>
    <row r="823" spans="1:12" x14ac:dyDescent="0.3">
      <c r="A823" s="29" t="str">
        <f>Detalle_OC[[#This Row],[Centro]]&amp;Detalle_OC[[#This Row],[Nom Almacen]]&amp;Detalle_OC[[#This Row],[Material]]&amp;Detalle_OC[[#This Row],[Pedido]]&amp;Detalle_OC[[#This Row],[Posicion]]</f>
        <v>Agricola del Chira PlantaMontelima70006479451157219420</v>
      </c>
      <c r="B823" t="s">
        <v>33</v>
      </c>
      <c r="C823" t="s">
        <v>32</v>
      </c>
      <c r="D823" s="11">
        <v>45646</v>
      </c>
      <c r="E823" t="s">
        <v>16</v>
      </c>
      <c r="F823" t="s">
        <v>12</v>
      </c>
      <c r="G823">
        <v>70006479</v>
      </c>
      <c r="H823">
        <v>4511572194</v>
      </c>
      <c r="I823">
        <v>20</v>
      </c>
      <c r="J823" s="29">
        <v>1</v>
      </c>
      <c r="K823" s="29" t="s">
        <v>887</v>
      </c>
      <c r="L823" t="str">
        <f>IFERROR(VLOOKUP(Detalle_OC[[#This Row],[Centro]]&amp;Detalle_OC[[#This Row],[Nro Almacen]],Almacen!A:D,4,FALSE),"")</f>
        <v>Montelima</v>
      </c>
    </row>
    <row r="824" spans="1:12" x14ac:dyDescent="0.3">
      <c r="A824" s="29" t="str">
        <f>Detalle_OC[[#This Row],[Centro]]&amp;Detalle_OC[[#This Row],[Nom Almacen]]&amp;Detalle_OC[[#This Row],[Material]]&amp;Detalle_OC[[#This Row],[Pedido]]&amp;Detalle_OC[[#This Row],[Posicion]]</f>
        <v>Agricola del Chira PlantaAlmacen Lobo70033367451157219430</v>
      </c>
      <c r="B824" t="s">
        <v>149</v>
      </c>
      <c r="C824" t="s">
        <v>32</v>
      </c>
      <c r="D824" s="11">
        <v>45646</v>
      </c>
      <c r="E824" t="s">
        <v>16</v>
      </c>
      <c r="F824" t="s">
        <v>12</v>
      </c>
      <c r="G824">
        <v>70033367</v>
      </c>
      <c r="H824">
        <v>4511572194</v>
      </c>
      <c r="I824">
        <v>30</v>
      </c>
      <c r="J824" s="29">
        <v>7</v>
      </c>
      <c r="K824" s="29" t="s">
        <v>887</v>
      </c>
      <c r="L824" t="str">
        <f>IFERROR(VLOOKUP(Detalle_OC[[#This Row],[Centro]]&amp;Detalle_OC[[#This Row],[Nro Almacen]],Almacen!A:D,4,FALSE),"")</f>
        <v>Almacen Lobo</v>
      </c>
    </row>
    <row r="825" spans="1:12" x14ac:dyDescent="0.3">
      <c r="A825" s="29" t="str">
        <f>Detalle_OC[[#This Row],[Centro]]&amp;Detalle_OC[[#This Row],[Nom Almacen]]&amp;Detalle_OC[[#This Row],[Material]]&amp;Detalle_OC[[#This Row],[Pedido]]&amp;Detalle_OC[[#This Row],[Posicion]]</f>
        <v>Agricola del Chira PlantaMontelima70081837451157219440</v>
      </c>
      <c r="B825" t="s">
        <v>149</v>
      </c>
      <c r="C825" t="s">
        <v>32</v>
      </c>
      <c r="D825" s="11">
        <v>45646</v>
      </c>
      <c r="E825" t="s">
        <v>16</v>
      </c>
      <c r="F825" t="s">
        <v>12</v>
      </c>
      <c r="G825">
        <v>70081837</v>
      </c>
      <c r="H825">
        <v>4511572194</v>
      </c>
      <c r="I825">
        <v>40</v>
      </c>
      <c r="J825" s="29">
        <v>1</v>
      </c>
      <c r="K825" s="29" t="s">
        <v>887</v>
      </c>
      <c r="L825" t="str">
        <f>IFERROR(VLOOKUP(Detalle_OC[[#This Row],[Centro]]&amp;Detalle_OC[[#This Row],[Nro Almacen]],Almacen!A:D,4,FALSE),"")</f>
        <v>Montelima</v>
      </c>
    </row>
    <row r="826" spans="1:12" x14ac:dyDescent="0.3">
      <c r="A826" s="29" t="str">
        <f>Detalle_OC[[#This Row],[Centro]]&amp;Detalle_OC[[#This Row],[Nom Almacen]]&amp;Detalle_OC[[#This Row],[Material]]&amp;Detalle_OC[[#This Row],[Pedido]]&amp;Detalle_OC[[#This Row],[Posicion]]</f>
        <v>Agricola del Chira PlantaAlmacen Lobo806644451157219450</v>
      </c>
      <c r="B826" t="s">
        <v>149</v>
      </c>
      <c r="C826" t="s">
        <v>32</v>
      </c>
      <c r="D826" s="11">
        <v>45646</v>
      </c>
      <c r="E826" t="s">
        <v>16</v>
      </c>
      <c r="F826" t="s">
        <v>12</v>
      </c>
      <c r="G826">
        <v>806644</v>
      </c>
      <c r="H826">
        <v>4511572194</v>
      </c>
      <c r="I826">
        <v>50</v>
      </c>
      <c r="J826" s="29">
        <v>7</v>
      </c>
      <c r="K826" s="29" t="s">
        <v>887</v>
      </c>
      <c r="L826" t="str">
        <f>IFERROR(VLOOKUP(Detalle_OC[[#This Row],[Centro]]&amp;Detalle_OC[[#This Row],[Nro Almacen]],Almacen!A:D,4,FALSE),"")</f>
        <v>Almacen Lobo</v>
      </c>
    </row>
    <row r="827" spans="1:12" x14ac:dyDescent="0.3">
      <c r="A827" s="29" t="str">
        <f>Detalle_OC[[#This Row],[Centro]]&amp;Detalle_OC[[#This Row],[Nom Almacen]]&amp;Detalle_OC[[#This Row],[Material]]&amp;Detalle_OC[[#This Row],[Pedido]]&amp;Detalle_OC[[#This Row],[Posicion]]</f>
        <v>Agricola del Chira PlantaMontelima807964451157219460</v>
      </c>
      <c r="B827" t="s">
        <v>149</v>
      </c>
      <c r="C827" t="s">
        <v>32</v>
      </c>
      <c r="D827" s="11">
        <v>45646</v>
      </c>
      <c r="E827" t="s">
        <v>16</v>
      </c>
      <c r="F827" t="s">
        <v>12</v>
      </c>
      <c r="G827">
        <v>807964</v>
      </c>
      <c r="H827">
        <v>4511572194</v>
      </c>
      <c r="I827">
        <v>60</v>
      </c>
      <c r="J827" s="29">
        <v>1</v>
      </c>
      <c r="K827" s="29" t="s">
        <v>887</v>
      </c>
      <c r="L827" t="str">
        <f>IFERROR(VLOOKUP(Detalle_OC[[#This Row],[Centro]]&amp;Detalle_OC[[#This Row],[Nro Almacen]],Almacen!A:D,4,FALSE),"")</f>
        <v>Montelima</v>
      </c>
    </row>
    <row r="828" spans="1:12" x14ac:dyDescent="0.3">
      <c r="A828" s="29" t="str">
        <f>Detalle_OC[[#This Row],[Centro]]&amp;Detalle_OC[[#This Row],[Nom Almacen]]&amp;Detalle_OC[[#This Row],[Material]]&amp;Detalle_OC[[#This Row],[Pedido]]&amp;Detalle_OC[[#This Row],[Posicion]]</f>
        <v>Agricola del Chira PlantaMontelima70013401451157219470</v>
      </c>
      <c r="B828" t="s">
        <v>145</v>
      </c>
      <c r="C828" t="s">
        <v>32</v>
      </c>
      <c r="D828" s="11">
        <v>45646</v>
      </c>
      <c r="E828" t="s">
        <v>16</v>
      </c>
      <c r="F828" t="s">
        <v>12</v>
      </c>
      <c r="G828">
        <v>70013401</v>
      </c>
      <c r="H828">
        <v>4511572194</v>
      </c>
      <c r="I828">
        <v>70</v>
      </c>
      <c r="J828" s="29">
        <v>1</v>
      </c>
      <c r="K828" s="29" t="s">
        <v>887</v>
      </c>
      <c r="L828" t="str">
        <f>IFERROR(VLOOKUP(Detalle_OC[[#This Row],[Centro]]&amp;Detalle_OC[[#This Row],[Nro Almacen]],Almacen!A:D,4,FALSE),"")</f>
        <v>Montelima</v>
      </c>
    </row>
    <row r="829" spans="1:12" x14ac:dyDescent="0.3">
      <c r="A829" s="29" t="str">
        <f>Detalle_OC[[#This Row],[Centro]]&amp;Detalle_OC[[#This Row],[Nom Almacen]]&amp;Detalle_OC[[#This Row],[Material]]&amp;Detalle_OC[[#This Row],[Pedido]]&amp;Detalle_OC[[#This Row],[Posicion]]</f>
        <v>Agricola del Chira PlantaMontelima70019815451157219480</v>
      </c>
      <c r="B829" t="s">
        <v>149</v>
      </c>
      <c r="C829" t="s">
        <v>32</v>
      </c>
      <c r="D829" s="11">
        <v>45646</v>
      </c>
      <c r="E829" t="s">
        <v>16</v>
      </c>
      <c r="F829" t="s">
        <v>12</v>
      </c>
      <c r="G829">
        <v>70019815</v>
      </c>
      <c r="H829">
        <v>4511572194</v>
      </c>
      <c r="I829">
        <v>80</v>
      </c>
      <c r="J829" s="29">
        <v>1</v>
      </c>
      <c r="K829" s="29" t="s">
        <v>887</v>
      </c>
      <c r="L829" t="str">
        <f>IFERROR(VLOOKUP(Detalle_OC[[#This Row],[Centro]]&amp;Detalle_OC[[#This Row],[Nro Almacen]],Almacen!A:D,4,FALSE),"")</f>
        <v>Montelima</v>
      </c>
    </row>
    <row r="830" spans="1:12" x14ac:dyDescent="0.3">
      <c r="A830" s="29" t="str">
        <f>Detalle_OC[[#This Row],[Centro]]&amp;Detalle_OC[[#This Row],[Nom Almacen]]&amp;Detalle_OC[[#This Row],[Material]]&amp;Detalle_OC[[#This Row],[Pedido]]&amp;Detalle_OC[[#This Row],[Posicion]]</f>
        <v>Agricola del Chira PlantaMontelima70053985451157219490</v>
      </c>
      <c r="B830" t="s">
        <v>145</v>
      </c>
      <c r="C830" t="s">
        <v>32</v>
      </c>
      <c r="D830" s="11">
        <v>45646</v>
      </c>
      <c r="E830" t="s">
        <v>16</v>
      </c>
      <c r="F830" t="s">
        <v>12</v>
      </c>
      <c r="G830">
        <v>70053985</v>
      </c>
      <c r="H830">
        <v>4511572194</v>
      </c>
      <c r="I830">
        <v>90</v>
      </c>
      <c r="J830" s="29">
        <v>1</v>
      </c>
      <c r="K830" s="29" t="s">
        <v>887</v>
      </c>
      <c r="L830" t="str">
        <f>IFERROR(VLOOKUP(Detalle_OC[[#This Row],[Centro]]&amp;Detalle_OC[[#This Row],[Nro Almacen]],Almacen!A:D,4,FALSE),"")</f>
        <v>Montelima</v>
      </c>
    </row>
    <row r="831" spans="1:12" x14ac:dyDescent="0.3">
      <c r="A831" s="29" t="str">
        <f>Detalle_OC[[#This Row],[Centro]]&amp;Detalle_OC[[#This Row],[Nom Almacen]]&amp;Detalle_OC[[#This Row],[Material]]&amp;Detalle_OC[[#This Row],[Pedido]]&amp;Detalle_OC[[#This Row],[Posicion]]</f>
        <v>Agricola del Chira PlantaMontelimaCM220116          4511572194100</v>
      </c>
      <c r="B831" t="s">
        <v>149</v>
      </c>
      <c r="C831" t="s">
        <v>32</v>
      </c>
      <c r="D831" s="11">
        <v>45646</v>
      </c>
      <c r="E831" t="s">
        <v>16</v>
      </c>
      <c r="F831" t="s">
        <v>12</v>
      </c>
      <c r="G831" t="s">
        <v>183</v>
      </c>
      <c r="H831">
        <v>4511572194</v>
      </c>
      <c r="I831">
        <v>100</v>
      </c>
      <c r="J831" s="29">
        <v>1</v>
      </c>
      <c r="K831" s="29" t="s">
        <v>887</v>
      </c>
      <c r="L831" t="str">
        <f>IFERROR(VLOOKUP(Detalle_OC[[#This Row],[Centro]]&amp;Detalle_OC[[#This Row],[Nro Almacen]],Almacen!A:D,4,FALSE),"")</f>
        <v>Montelima</v>
      </c>
    </row>
    <row r="832" spans="1:12" x14ac:dyDescent="0.3">
      <c r="A832" s="29" t="str">
        <f>Detalle_OC[[#This Row],[Centro]]&amp;Detalle_OC[[#This Row],[Nom Almacen]]&amp;Detalle_OC[[#This Row],[Material]]&amp;Detalle_OC[[#This Row],[Pedido]]&amp;Detalle_OC[[#This Row],[Posicion]]</f>
        <v>Sucroalcolera del Chira PlantaMontelima807992451157219510</v>
      </c>
      <c r="B832" t="s">
        <v>138</v>
      </c>
      <c r="C832" t="s">
        <v>32</v>
      </c>
      <c r="D832" s="11">
        <v>45646</v>
      </c>
      <c r="E832" t="s">
        <v>16</v>
      </c>
      <c r="F832" t="s">
        <v>85</v>
      </c>
      <c r="G832">
        <v>807992</v>
      </c>
      <c r="H832">
        <v>4511572195</v>
      </c>
      <c r="I832">
        <v>10</v>
      </c>
      <c r="J832" s="29">
        <v>1</v>
      </c>
      <c r="K832" s="29" t="s">
        <v>887</v>
      </c>
      <c r="L832" t="str">
        <f>IFERROR(VLOOKUP(Detalle_OC[[#This Row],[Centro]]&amp;Detalle_OC[[#This Row],[Nro Almacen]],Almacen!A:D,4,FALSE),"")</f>
        <v>Montelima</v>
      </c>
    </row>
    <row r="833" spans="1:12" x14ac:dyDescent="0.3">
      <c r="A833" s="29" t="str">
        <f>Detalle_OC[[#This Row],[Centro]]&amp;Detalle_OC[[#This Row],[Nom Almacen]]&amp;Detalle_OC[[#This Row],[Material]]&amp;Detalle_OC[[#This Row],[Pedido]]&amp;Detalle_OC[[#This Row],[Posicion]]</f>
        <v>Agricola del Chira PlantaMontelima747810451157219610</v>
      </c>
      <c r="B833" t="s">
        <v>33</v>
      </c>
      <c r="C833" t="s">
        <v>137</v>
      </c>
      <c r="D833" s="11">
        <v>45630</v>
      </c>
      <c r="E833" t="s">
        <v>16</v>
      </c>
      <c r="F833" t="s">
        <v>12</v>
      </c>
      <c r="G833">
        <v>747810</v>
      </c>
      <c r="H833">
        <v>4511572196</v>
      </c>
      <c r="I833">
        <v>10</v>
      </c>
      <c r="J833" s="29">
        <v>1</v>
      </c>
      <c r="K833" s="29" t="s">
        <v>887</v>
      </c>
      <c r="L833" t="str">
        <f>IFERROR(VLOOKUP(Detalle_OC[[#This Row],[Centro]]&amp;Detalle_OC[[#This Row],[Nro Almacen]],Almacen!A:D,4,FALSE),"")</f>
        <v>Montelima</v>
      </c>
    </row>
    <row r="834" spans="1:12" x14ac:dyDescent="0.3">
      <c r="A834" s="29" t="str">
        <f>Detalle_OC[[#This Row],[Centro]]&amp;Detalle_OC[[#This Row],[Nom Almacen]]&amp;Detalle_OC[[#This Row],[Material]]&amp;Detalle_OC[[#This Row],[Pedido]]&amp;Detalle_OC[[#This Row],[Posicion]]</f>
        <v>Sucroalcolera del Chira PlantaMontelima70030909451157219710</v>
      </c>
      <c r="B834" t="s">
        <v>138</v>
      </c>
      <c r="C834" t="s">
        <v>137</v>
      </c>
      <c r="D834" s="11">
        <v>45646</v>
      </c>
      <c r="E834" t="s">
        <v>16</v>
      </c>
      <c r="F834" t="s">
        <v>85</v>
      </c>
      <c r="G834">
        <v>70030909</v>
      </c>
      <c r="H834">
        <v>4511572197</v>
      </c>
      <c r="I834">
        <v>10</v>
      </c>
      <c r="J834" s="29">
        <v>1</v>
      </c>
      <c r="K834" s="29" t="s">
        <v>887</v>
      </c>
      <c r="L834" t="str">
        <f>IFERROR(VLOOKUP(Detalle_OC[[#This Row],[Centro]]&amp;Detalle_OC[[#This Row],[Nro Almacen]],Almacen!A:D,4,FALSE),"")</f>
        <v>Montelima</v>
      </c>
    </row>
    <row r="835" spans="1:12" x14ac:dyDescent="0.3">
      <c r="A835" s="29" t="str">
        <f>Detalle_OC[[#This Row],[Centro]]&amp;Detalle_OC[[#This Row],[Nom Almacen]]&amp;Detalle_OC[[#This Row],[Material]]&amp;Detalle_OC[[#This Row],[Pedido]]&amp;Detalle_OC[[#This Row],[Posicion]]</f>
        <v>Sucroalcolera del Chira PlantaMontelima709683451157219720</v>
      </c>
      <c r="B835" t="s">
        <v>138</v>
      </c>
      <c r="C835" t="s">
        <v>137</v>
      </c>
      <c r="D835" s="11">
        <v>45646</v>
      </c>
      <c r="E835" t="s">
        <v>16</v>
      </c>
      <c r="F835" t="s">
        <v>85</v>
      </c>
      <c r="G835">
        <v>709683</v>
      </c>
      <c r="H835">
        <v>4511572197</v>
      </c>
      <c r="I835">
        <v>20</v>
      </c>
      <c r="J835" s="29">
        <v>1</v>
      </c>
      <c r="K835" s="29" t="s">
        <v>887</v>
      </c>
      <c r="L835" t="str">
        <f>IFERROR(VLOOKUP(Detalle_OC[[#This Row],[Centro]]&amp;Detalle_OC[[#This Row],[Nro Almacen]],Almacen!A:D,4,FALSE),"")</f>
        <v>Montelima</v>
      </c>
    </row>
    <row r="836" spans="1:12" x14ac:dyDescent="0.3">
      <c r="A836" s="29" t="str">
        <f>Detalle_OC[[#This Row],[Centro]]&amp;Detalle_OC[[#This Row],[Nom Almacen]]&amp;Detalle_OC[[#This Row],[Material]]&amp;Detalle_OC[[#This Row],[Pedido]]&amp;Detalle_OC[[#This Row],[Posicion]]</f>
        <v>Sucroalcolera del Chira PlantaMontelima875628451157219730</v>
      </c>
      <c r="B836" t="s">
        <v>138</v>
      </c>
      <c r="C836" t="s">
        <v>137</v>
      </c>
      <c r="D836" s="11">
        <v>45646</v>
      </c>
      <c r="E836" t="s">
        <v>16</v>
      </c>
      <c r="F836" t="s">
        <v>85</v>
      </c>
      <c r="G836">
        <v>875628</v>
      </c>
      <c r="H836">
        <v>4511572197</v>
      </c>
      <c r="I836">
        <v>30</v>
      </c>
      <c r="J836" s="29">
        <v>1</v>
      </c>
      <c r="K836" s="29" t="s">
        <v>887</v>
      </c>
      <c r="L836" t="str">
        <f>IFERROR(VLOOKUP(Detalle_OC[[#This Row],[Centro]]&amp;Detalle_OC[[#This Row],[Nro Almacen]],Almacen!A:D,4,FALSE),"")</f>
        <v>Montelima</v>
      </c>
    </row>
    <row r="837" spans="1:12" x14ac:dyDescent="0.3">
      <c r="A837" s="29" t="str">
        <f>Detalle_OC[[#This Row],[Centro]]&amp;Detalle_OC[[#This Row],[Nom Almacen]]&amp;Detalle_OC[[#This Row],[Material]]&amp;Detalle_OC[[#This Row],[Pedido]]&amp;Detalle_OC[[#This Row],[Posicion]]</f>
        <v>Agricola del Chira PlantaMontelima844601451157221310</v>
      </c>
      <c r="B837" t="s">
        <v>149</v>
      </c>
      <c r="C837" t="s">
        <v>255</v>
      </c>
      <c r="D837" s="11">
        <v>45665</v>
      </c>
      <c r="E837" t="s">
        <v>16</v>
      </c>
      <c r="F837" t="s">
        <v>12</v>
      </c>
      <c r="G837">
        <v>844601</v>
      </c>
      <c r="H837">
        <v>4511572213</v>
      </c>
      <c r="I837">
        <v>10</v>
      </c>
      <c r="J837" s="29">
        <v>1</v>
      </c>
      <c r="K837" s="29" t="s">
        <v>887</v>
      </c>
      <c r="L837" t="str">
        <f>IFERROR(VLOOKUP(Detalle_OC[[#This Row],[Centro]]&amp;Detalle_OC[[#This Row],[Nro Almacen]],Almacen!A:D,4,FALSE),"")</f>
        <v>Montelima</v>
      </c>
    </row>
    <row r="838" spans="1:12" x14ac:dyDescent="0.3">
      <c r="A838" s="29" t="str">
        <f>Detalle_OC[[#This Row],[Centro]]&amp;Detalle_OC[[#This Row],[Nom Almacen]]&amp;Detalle_OC[[#This Row],[Material]]&amp;Detalle_OC[[#This Row],[Pedido]]&amp;Detalle_OC[[#This Row],[Posicion]]</f>
        <v>Agricola del Chira PlantaMontelima70099880451157221420</v>
      </c>
      <c r="B838" t="s">
        <v>26</v>
      </c>
      <c r="C838" t="s">
        <v>42</v>
      </c>
      <c r="D838" s="11">
        <v>45646</v>
      </c>
      <c r="E838" t="s">
        <v>16</v>
      </c>
      <c r="F838" t="s">
        <v>12</v>
      </c>
      <c r="G838">
        <v>70099880</v>
      </c>
      <c r="H838">
        <v>4511572214</v>
      </c>
      <c r="I838">
        <v>20</v>
      </c>
      <c r="J838" s="29">
        <v>1</v>
      </c>
      <c r="K838" s="29" t="s">
        <v>887</v>
      </c>
      <c r="L838" t="str">
        <f>IFERROR(VLOOKUP(Detalle_OC[[#This Row],[Centro]]&amp;Detalle_OC[[#This Row],[Nro Almacen]],Almacen!A:D,4,FALSE),"")</f>
        <v>Montelima</v>
      </c>
    </row>
    <row r="839" spans="1:12" x14ac:dyDescent="0.3">
      <c r="A839" s="29" t="str">
        <f>Detalle_OC[[#This Row],[Centro]]&amp;Detalle_OC[[#This Row],[Nom Almacen]]&amp;Detalle_OC[[#This Row],[Material]]&amp;Detalle_OC[[#This Row],[Pedido]]&amp;Detalle_OC[[#This Row],[Posicion]]</f>
        <v>Agricola del Chira PlantaMontelimaCL514001          451157221610</v>
      </c>
      <c r="B839" t="s">
        <v>149</v>
      </c>
      <c r="C839" t="s">
        <v>44</v>
      </c>
      <c r="D839" s="11">
        <v>45646</v>
      </c>
      <c r="E839" t="s">
        <v>16</v>
      </c>
      <c r="F839" t="s">
        <v>12</v>
      </c>
      <c r="G839" t="s">
        <v>309</v>
      </c>
      <c r="H839">
        <v>4511572216</v>
      </c>
      <c r="I839">
        <v>10</v>
      </c>
      <c r="J839" s="29">
        <v>1</v>
      </c>
      <c r="K839" s="29" t="s">
        <v>887</v>
      </c>
      <c r="L839" t="str">
        <f>IFERROR(VLOOKUP(Detalle_OC[[#This Row],[Centro]]&amp;Detalle_OC[[#This Row],[Nro Almacen]],Almacen!A:D,4,FALSE),"")</f>
        <v>Montelima</v>
      </c>
    </row>
    <row r="840" spans="1:12" x14ac:dyDescent="0.3">
      <c r="A840" s="29" t="str">
        <f>Detalle_OC[[#This Row],[Centro]]&amp;Detalle_OC[[#This Row],[Nom Almacen]]&amp;Detalle_OC[[#This Row],[Material]]&amp;Detalle_OC[[#This Row],[Pedido]]&amp;Detalle_OC[[#This Row],[Posicion]]</f>
        <v>Agricola del Chira PlantaMontelima722592451157221620</v>
      </c>
      <c r="B840" t="s">
        <v>33</v>
      </c>
      <c r="C840" t="s">
        <v>44</v>
      </c>
      <c r="D840" s="11">
        <v>45646</v>
      </c>
      <c r="E840" t="s">
        <v>16</v>
      </c>
      <c r="F840" t="s">
        <v>12</v>
      </c>
      <c r="G840">
        <v>722592</v>
      </c>
      <c r="H840">
        <v>4511572216</v>
      </c>
      <c r="I840">
        <v>20</v>
      </c>
      <c r="J840" s="29">
        <v>1</v>
      </c>
      <c r="K840" s="29" t="s">
        <v>887</v>
      </c>
      <c r="L840" t="str">
        <f>IFERROR(VLOOKUP(Detalle_OC[[#This Row],[Centro]]&amp;Detalle_OC[[#This Row],[Nro Almacen]],Almacen!A:D,4,FALSE),"")</f>
        <v>Montelima</v>
      </c>
    </row>
    <row r="841" spans="1:12" x14ac:dyDescent="0.3">
      <c r="A841" s="29" t="str">
        <f>Detalle_OC[[#This Row],[Centro]]&amp;Detalle_OC[[#This Row],[Nom Almacen]]&amp;Detalle_OC[[#This Row],[Material]]&amp;Detalle_OC[[#This Row],[Pedido]]&amp;Detalle_OC[[#This Row],[Posicion]]</f>
        <v>Bioenergía del Chira PlantaMontelima70036976451157221710</v>
      </c>
      <c r="B841" t="s">
        <v>156</v>
      </c>
      <c r="C841" t="s">
        <v>44</v>
      </c>
      <c r="D841" s="11">
        <v>45646</v>
      </c>
      <c r="E841" t="s">
        <v>16</v>
      </c>
      <c r="F841" t="s">
        <v>86</v>
      </c>
      <c r="G841">
        <v>70036976</v>
      </c>
      <c r="H841">
        <v>4511572217</v>
      </c>
      <c r="I841">
        <v>10</v>
      </c>
      <c r="J841" s="29">
        <v>1</v>
      </c>
      <c r="K841" s="29" t="s">
        <v>887</v>
      </c>
      <c r="L841" t="str">
        <f>IFERROR(VLOOKUP(Detalle_OC[[#This Row],[Centro]]&amp;Detalle_OC[[#This Row],[Nro Almacen]],Almacen!A:D,4,FALSE),"")</f>
        <v>Montelima</v>
      </c>
    </row>
    <row r="842" spans="1:12" x14ac:dyDescent="0.3">
      <c r="A842" s="29" t="str">
        <f>Detalle_OC[[#This Row],[Centro]]&amp;Detalle_OC[[#This Row],[Nom Almacen]]&amp;Detalle_OC[[#This Row],[Material]]&amp;Detalle_OC[[#This Row],[Pedido]]&amp;Detalle_OC[[#This Row],[Posicion]]</f>
        <v>Agricola del Chira PlantaAlmacen Lobo708660451157222310</v>
      </c>
      <c r="B842" t="s">
        <v>149</v>
      </c>
      <c r="C842" t="s">
        <v>22</v>
      </c>
      <c r="D842" s="11">
        <v>45646</v>
      </c>
      <c r="E842" t="s">
        <v>16</v>
      </c>
      <c r="F842" t="s">
        <v>12</v>
      </c>
      <c r="G842">
        <v>708660</v>
      </c>
      <c r="H842">
        <v>4511572223</v>
      </c>
      <c r="I842">
        <v>10</v>
      </c>
      <c r="J842" s="29">
        <v>7</v>
      </c>
      <c r="K842" s="29" t="s">
        <v>887</v>
      </c>
      <c r="L842" t="str">
        <f>IFERROR(VLOOKUP(Detalle_OC[[#This Row],[Centro]]&amp;Detalle_OC[[#This Row],[Nro Almacen]],Almacen!A:D,4,FALSE),"")</f>
        <v>Almacen Lobo</v>
      </c>
    </row>
    <row r="843" spans="1:12" x14ac:dyDescent="0.3">
      <c r="A843" s="29" t="str">
        <f>Detalle_OC[[#This Row],[Centro]]&amp;Detalle_OC[[#This Row],[Nom Almacen]]&amp;Detalle_OC[[#This Row],[Material]]&amp;Detalle_OC[[#This Row],[Pedido]]&amp;Detalle_OC[[#This Row],[Posicion]]</f>
        <v>Agricola del Chira PlantaMontelima778701451157222320</v>
      </c>
      <c r="B843" t="s">
        <v>145</v>
      </c>
      <c r="C843" t="s">
        <v>22</v>
      </c>
      <c r="D843" s="11">
        <v>45646</v>
      </c>
      <c r="E843" t="s">
        <v>16</v>
      </c>
      <c r="F843" t="s">
        <v>12</v>
      </c>
      <c r="G843">
        <v>778701</v>
      </c>
      <c r="H843">
        <v>4511572223</v>
      </c>
      <c r="I843">
        <v>20</v>
      </c>
      <c r="J843" s="29">
        <v>1</v>
      </c>
      <c r="K843" s="29" t="s">
        <v>887</v>
      </c>
      <c r="L843" t="str">
        <f>IFERROR(VLOOKUP(Detalle_OC[[#This Row],[Centro]]&amp;Detalle_OC[[#This Row],[Nro Almacen]],Almacen!A:D,4,FALSE),"")</f>
        <v>Montelima</v>
      </c>
    </row>
    <row r="844" spans="1:12" x14ac:dyDescent="0.3">
      <c r="A844" s="29" t="str">
        <f>Detalle_OC[[#This Row],[Centro]]&amp;Detalle_OC[[#This Row],[Nom Almacen]]&amp;Detalle_OC[[#This Row],[Material]]&amp;Detalle_OC[[#This Row],[Pedido]]&amp;Detalle_OC[[#This Row],[Posicion]]</f>
        <v>Agricola del Chira PlantaMontelima826737451157222330</v>
      </c>
      <c r="B844" t="s">
        <v>149</v>
      </c>
      <c r="C844" t="s">
        <v>22</v>
      </c>
      <c r="D844" s="11">
        <v>45646</v>
      </c>
      <c r="E844" t="s">
        <v>16</v>
      </c>
      <c r="F844" t="s">
        <v>12</v>
      </c>
      <c r="G844">
        <v>826737</v>
      </c>
      <c r="H844">
        <v>4511572223</v>
      </c>
      <c r="I844">
        <v>30</v>
      </c>
      <c r="J844" s="29">
        <v>1</v>
      </c>
      <c r="K844" s="29" t="s">
        <v>887</v>
      </c>
      <c r="L844" t="str">
        <f>IFERROR(VLOOKUP(Detalle_OC[[#This Row],[Centro]]&amp;Detalle_OC[[#This Row],[Nro Almacen]],Almacen!A:D,4,FALSE),"")</f>
        <v>Montelima</v>
      </c>
    </row>
    <row r="845" spans="1:12" x14ac:dyDescent="0.3">
      <c r="A845" s="29" t="str">
        <f>Detalle_OC[[#This Row],[Centro]]&amp;Detalle_OC[[#This Row],[Nom Almacen]]&amp;Detalle_OC[[#This Row],[Material]]&amp;Detalle_OC[[#This Row],[Pedido]]&amp;Detalle_OC[[#This Row],[Posicion]]</f>
        <v>Agricola del Chira PlantaMontelima708660451157222340</v>
      </c>
      <c r="B845" t="s">
        <v>149</v>
      </c>
      <c r="C845" t="s">
        <v>22</v>
      </c>
      <c r="D845" s="11">
        <v>45646</v>
      </c>
      <c r="E845" t="s">
        <v>16</v>
      </c>
      <c r="F845" t="s">
        <v>12</v>
      </c>
      <c r="G845">
        <v>708660</v>
      </c>
      <c r="H845">
        <v>4511572223</v>
      </c>
      <c r="I845">
        <v>40</v>
      </c>
      <c r="J845" s="29">
        <v>1</v>
      </c>
      <c r="K845" s="29" t="s">
        <v>887</v>
      </c>
      <c r="L845" t="str">
        <f>IFERROR(VLOOKUP(Detalle_OC[[#This Row],[Centro]]&amp;Detalle_OC[[#This Row],[Nro Almacen]],Almacen!A:D,4,FALSE),"")</f>
        <v>Montelima</v>
      </c>
    </row>
    <row r="846" spans="1:12" x14ac:dyDescent="0.3">
      <c r="A846" s="29" t="str">
        <f>Detalle_OC[[#This Row],[Centro]]&amp;Detalle_OC[[#This Row],[Nom Almacen]]&amp;Detalle_OC[[#This Row],[Material]]&amp;Detalle_OC[[#This Row],[Pedido]]&amp;Detalle_OC[[#This Row],[Posicion]]</f>
        <v>Agricola del Chira PlantaAlmacen Lobo70076752451157222350</v>
      </c>
      <c r="B846" t="s">
        <v>33</v>
      </c>
      <c r="C846" t="s">
        <v>22</v>
      </c>
      <c r="D846" s="11">
        <v>45646</v>
      </c>
      <c r="E846" t="s">
        <v>16</v>
      </c>
      <c r="F846" t="s">
        <v>12</v>
      </c>
      <c r="G846">
        <v>70076752</v>
      </c>
      <c r="H846">
        <v>4511572223</v>
      </c>
      <c r="I846">
        <v>50</v>
      </c>
      <c r="J846" s="29">
        <v>7</v>
      </c>
      <c r="K846" s="29" t="s">
        <v>887</v>
      </c>
      <c r="L846" t="str">
        <f>IFERROR(VLOOKUP(Detalle_OC[[#This Row],[Centro]]&amp;Detalle_OC[[#This Row],[Nro Almacen]],Almacen!A:D,4,FALSE),"")</f>
        <v>Almacen Lobo</v>
      </c>
    </row>
    <row r="847" spans="1:12" x14ac:dyDescent="0.3">
      <c r="A847" s="29" t="str">
        <f>Detalle_OC[[#This Row],[Centro]]&amp;Detalle_OC[[#This Row],[Nom Almacen]]&amp;Detalle_OC[[#This Row],[Material]]&amp;Detalle_OC[[#This Row],[Pedido]]&amp;Detalle_OC[[#This Row],[Posicion]]</f>
        <v>Agricola del Chira PlantaSan Vicente70076752451157222360</v>
      </c>
      <c r="B847" t="s">
        <v>33</v>
      </c>
      <c r="C847" t="s">
        <v>22</v>
      </c>
      <c r="D847" s="11">
        <v>45646</v>
      </c>
      <c r="E847" t="s">
        <v>16</v>
      </c>
      <c r="F847" t="s">
        <v>12</v>
      </c>
      <c r="G847">
        <v>70076752</v>
      </c>
      <c r="H847">
        <v>4511572223</v>
      </c>
      <c r="I847">
        <v>60</v>
      </c>
      <c r="J847" s="29">
        <v>3</v>
      </c>
      <c r="K847" s="29" t="s">
        <v>887</v>
      </c>
      <c r="L847" t="str">
        <f>IFERROR(VLOOKUP(Detalle_OC[[#This Row],[Centro]]&amp;Detalle_OC[[#This Row],[Nro Almacen]],Almacen!A:D,4,FALSE),"")</f>
        <v>San Vicente</v>
      </c>
    </row>
    <row r="848" spans="1:12" x14ac:dyDescent="0.3">
      <c r="A848" s="29" t="str">
        <f>Detalle_OC[[#This Row],[Centro]]&amp;Detalle_OC[[#This Row],[Nom Almacen]]&amp;Detalle_OC[[#This Row],[Material]]&amp;Detalle_OC[[#This Row],[Pedido]]&amp;Detalle_OC[[#This Row],[Posicion]]</f>
        <v>Agricola del Chira PlantaMontelima70101747451157222370</v>
      </c>
      <c r="B848" t="s">
        <v>149</v>
      </c>
      <c r="C848" t="s">
        <v>22</v>
      </c>
      <c r="D848" s="11">
        <v>45646</v>
      </c>
      <c r="E848" t="s">
        <v>16</v>
      </c>
      <c r="F848" t="s">
        <v>12</v>
      </c>
      <c r="G848">
        <v>70101747</v>
      </c>
      <c r="H848">
        <v>4511572223</v>
      </c>
      <c r="I848">
        <v>70</v>
      </c>
      <c r="J848" s="29">
        <v>1</v>
      </c>
      <c r="K848" s="29" t="s">
        <v>887</v>
      </c>
      <c r="L848" t="str">
        <f>IFERROR(VLOOKUP(Detalle_OC[[#This Row],[Centro]]&amp;Detalle_OC[[#This Row],[Nro Almacen]],Almacen!A:D,4,FALSE),"")</f>
        <v>Montelima</v>
      </c>
    </row>
    <row r="849" spans="1:12" x14ac:dyDescent="0.3">
      <c r="A849" s="29" t="str">
        <f>Detalle_OC[[#This Row],[Centro]]&amp;Detalle_OC[[#This Row],[Nom Almacen]]&amp;Detalle_OC[[#This Row],[Material]]&amp;Detalle_OC[[#This Row],[Pedido]]&amp;Detalle_OC[[#This Row],[Posicion]]</f>
        <v>Sucroalcolera del Chira PlantaMontelima70007733451157222410</v>
      </c>
      <c r="B849" t="s">
        <v>138</v>
      </c>
      <c r="C849" t="s">
        <v>235</v>
      </c>
      <c r="D849" s="11">
        <v>45665</v>
      </c>
      <c r="E849" t="s">
        <v>16</v>
      </c>
      <c r="F849" t="s">
        <v>85</v>
      </c>
      <c r="G849">
        <v>70007733</v>
      </c>
      <c r="H849">
        <v>4511572224</v>
      </c>
      <c r="I849">
        <v>10</v>
      </c>
      <c r="J849" s="29">
        <v>1</v>
      </c>
      <c r="K849" s="29" t="s">
        <v>887</v>
      </c>
      <c r="L849" t="str">
        <f>IFERROR(VLOOKUP(Detalle_OC[[#This Row],[Centro]]&amp;Detalle_OC[[#This Row],[Nro Almacen]],Almacen!A:D,4,FALSE),"")</f>
        <v>Montelima</v>
      </c>
    </row>
    <row r="850" spans="1:12" x14ac:dyDescent="0.3">
      <c r="A850" s="29" t="str">
        <f>Detalle_OC[[#This Row],[Centro]]&amp;Detalle_OC[[#This Row],[Nom Almacen]]&amp;Detalle_OC[[#This Row],[Material]]&amp;Detalle_OC[[#This Row],[Pedido]]&amp;Detalle_OC[[#This Row],[Posicion]]</f>
        <v>Agricola del Chira PlantaAlmacen Lobo70081354451157222710</v>
      </c>
      <c r="B850" t="s">
        <v>1150</v>
      </c>
      <c r="C850" t="s">
        <v>1151</v>
      </c>
      <c r="D850" s="11">
        <v>45665</v>
      </c>
      <c r="E850" t="s">
        <v>16</v>
      </c>
      <c r="F850" t="s">
        <v>12</v>
      </c>
      <c r="G850">
        <v>70081354</v>
      </c>
      <c r="H850">
        <v>4511572227</v>
      </c>
      <c r="I850">
        <v>10</v>
      </c>
      <c r="J850" s="29">
        <v>7</v>
      </c>
      <c r="K850" s="29" t="s">
        <v>887</v>
      </c>
      <c r="L850" t="str">
        <f>IFERROR(VLOOKUP(Detalle_OC[[#This Row],[Centro]]&amp;Detalle_OC[[#This Row],[Nro Almacen]],Almacen!A:D,4,FALSE),"")</f>
        <v>Almacen Lobo</v>
      </c>
    </row>
    <row r="851" spans="1:12" x14ac:dyDescent="0.3">
      <c r="A851" s="29" t="str">
        <f>Detalle_OC[[#This Row],[Centro]]&amp;Detalle_OC[[#This Row],[Nom Almacen]]&amp;Detalle_OC[[#This Row],[Material]]&amp;Detalle_OC[[#This Row],[Pedido]]&amp;Detalle_OC[[#This Row],[Posicion]]</f>
        <v>Agricola del Chira PlantaAlmacen Lobo896580451157223110</v>
      </c>
      <c r="B851" t="s">
        <v>26</v>
      </c>
      <c r="C851" t="s">
        <v>223</v>
      </c>
      <c r="D851" s="11">
        <v>45665</v>
      </c>
      <c r="E851" t="s">
        <v>16</v>
      </c>
      <c r="F851" t="s">
        <v>12</v>
      </c>
      <c r="G851">
        <v>896580</v>
      </c>
      <c r="H851">
        <v>4511572231</v>
      </c>
      <c r="I851">
        <v>10</v>
      </c>
      <c r="J851" s="29">
        <v>7</v>
      </c>
      <c r="K851" s="29" t="s">
        <v>887</v>
      </c>
      <c r="L851" t="str">
        <f>IFERROR(VLOOKUP(Detalle_OC[[#This Row],[Centro]]&amp;Detalle_OC[[#This Row],[Nro Almacen]],Almacen!A:D,4,FALSE),"")</f>
        <v>Almacen Lobo</v>
      </c>
    </row>
    <row r="852" spans="1:12" x14ac:dyDescent="0.3">
      <c r="A852" s="29" t="str">
        <f>Detalle_OC[[#This Row],[Centro]]&amp;Detalle_OC[[#This Row],[Nom Almacen]]&amp;Detalle_OC[[#This Row],[Material]]&amp;Detalle_OC[[#This Row],[Pedido]]&amp;Detalle_OC[[#This Row],[Posicion]]</f>
        <v>Agricola del Chira PlantaMontelima70135731451157224110</v>
      </c>
      <c r="B852" t="s">
        <v>200</v>
      </c>
      <c r="C852" t="s">
        <v>44</v>
      </c>
      <c r="D852" s="11">
        <v>45657</v>
      </c>
      <c r="E852" t="s">
        <v>48</v>
      </c>
      <c r="F852" t="s">
        <v>12</v>
      </c>
      <c r="G852">
        <v>70135731</v>
      </c>
      <c r="H852">
        <v>4511572241</v>
      </c>
      <c r="I852">
        <v>10</v>
      </c>
      <c r="J852" s="29">
        <v>1</v>
      </c>
      <c r="K852" s="29" t="s">
        <v>887</v>
      </c>
      <c r="L852" t="str">
        <f>IFERROR(VLOOKUP(Detalle_OC[[#This Row],[Centro]]&amp;Detalle_OC[[#This Row],[Nro Almacen]],Almacen!A:D,4,FALSE),"")</f>
        <v>Montelima</v>
      </c>
    </row>
    <row r="853" spans="1:12" x14ac:dyDescent="0.3">
      <c r="A853" s="29" t="str">
        <f>Detalle_OC[[#This Row],[Centro]]&amp;Detalle_OC[[#This Row],[Nom Almacen]]&amp;Detalle_OC[[#This Row],[Material]]&amp;Detalle_OC[[#This Row],[Pedido]]&amp;Detalle_OC[[#This Row],[Posicion]]</f>
        <v>Agricola del Chira PlantaMontelima70135731451157224120</v>
      </c>
      <c r="B853" t="s">
        <v>200</v>
      </c>
      <c r="C853" t="s">
        <v>44</v>
      </c>
      <c r="D853" s="11">
        <v>45657</v>
      </c>
      <c r="E853" t="s">
        <v>48</v>
      </c>
      <c r="F853" t="s">
        <v>12</v>
      </c>
      <c r="G853">
        <v>70135731</v>
      </c>
      <c r="H853">
        <v>4511572241</v>
      </c>
      <c r="I853">
        <v>20</v>
      </c>
      <c r="J853" s="29">
        <v>1</v>
      </c>
      <c r="K853" s="29" t="s">
        <v>887</v>
      </c>
      <c r="L853" t="str">
        <f>IFERROR(VLOOKUP(Detalle_OC[[#This Row],[Centro]]&amp;Detalle_OC[[#This Row],[Nro Almacen]],Almacen!A:D,4,FALSE),"")</f>
        <v>Montelima</v>
      </c>
    </row>
    <row r="854" spans="1:12" x14ac:dyDescent="0.3">
      <c r="A854" s="29" t="str">
        <f>Detalle_OC[[#This Row],[Centro]]&amp;Detalle_OC[[#This Row],[Nom Almacen]]&amp;Detalle_OC[[#This Row],[Material]]&amp;Detalle_OC[[#This Row],[Pedido]]&amp;Detalle_OC[[#This Row],[Posicion]]</f>
        <v>Agricola del Chira PlantaMontelima70135731451157224130</v>
      </c>
      <c r="B854" t="s">
        <v>200</v>
      </c>
      <c r="C854" t="s">
        <v>44</v>
      </c>
      <c r="D854" s="11">
        <v>45657</v>
      </c>
      <c r="E854" t="s">
        <v>48</v>
      </c>
      <c r="F854" t="s">
        <v>12</v>
      </c>
      <c r="G854">
        <v>70135731</v>
      </c>
      <c r="H854">
        <v>4511572241</v>
      </c>
      <c r="I854">
        <v>30</v>
      </c>
      <c r="J854" s="29">
        <v>1</v>
      </c>
      <c r="K854" s="29" t="s">
        <v>887</v>
      </c>
      <c r="L854" t="str">
        <f>IFERROR(VLOOKUP(Detalle_OC[[#This Row],[Centro]]&amp;Detalle_OC[[#This Row],[Nro Almacen]],Almacen!A:D,4,FALSE),"")</f>
        <v>Montelima</v>
      </c>
    </row>
    <row r="855" spans="1:12" x14ac:dyDescent="0.3">
      <c r="A855" s="29" t="str">
        <f>Detalle_OC[[#This Row],[Centro]]&amp;Detalle_OC[[#This Row],[Nom Almacen]]&amp;Detalle_OC[[#This Row],[Material]]&amp;Detalle_OC[[#This Row],[Pedido]]&amp;Detalle_OC[[#This Row],[Posicion]]</f>
        <v>Agricola del Chira PlantaMontelima70135731451157224140</v>
      </c>
      <c r="B855" t="s">
        <v>200</v>
      </c>
      <c r="C855" t="s">
        <v>44</v>
      </c>
      <c r="D855" s="11">
        <v>45657</v>
      </c>
      <c r="E855" t="s">
        <v>48</v>
      </c>
      <c r="F855" t="s">
        <v>12</v>
      </c>
      <c r="G855">
        <v>70135731</v>
      </c>
      <c r="H855">
        <v>4511572241</v>
      </c>
      <c r="I855">
        <v>40</v>
      </c>
      <c r="J855" s="29">
        <v>1</v>
      </c>
      <c r="K855" s="29" t="s">
        <v>887</v>
      </c>
      <c r="L855" t="str">
        <f>IFERROR(VLOOKUP(Detalle_OC[[#This Row],[Centro]]&amp;Detalle_OC[[#This Row],[Nro Almacen]],Almacen!A:D,4,FALSE),"")</f>
        <v>Montelima</v>
      </c>
    </row>
    <row r="856" spans="1:12" x14ac:dyDescent="0.3">
      <c r="A856" s="29" t="str">
        <f>Detalle_OC[[#This Row],[Centro]]&amp;Detalle_OC[[#This Row],[Nom Almacen]]&amp;Detalle_OC[[#This Row],[Material]]&amp;Detalle_OC[[#This Row],[Pedido]]&amp;Detalle_OC[[#This Row],[Posicion]]</f>
        <v>Agricola del Chira PlantaMontelima70135731451157224150</v>
      </c>
      <c r="B856" t="s">
        <v>200</v>
      </c>
      <c r="C856" t="s">
        <v>44</v>
      </c>
      <c r="D856" s="11">
        <v>45657</v>
      </c>
      <c r="E856" t="s">
        <v>48</v>
      </c>
      <c r="F856" t="s">
        <v>12</v>
      </c>
      <c r="G856">
        <v>70135731</v>
      </c>
      <c r="H856">
        <v>4511572241</v>
      </c>
      <c r="I856">
        <v>50</v>
      </c>
      <c r="J856" s="29">
        <v>1</v>
      </c>
      <c r="K856" s="29" t="s">
        <v>887</v>
      </c>
      <c r="L856" t="str">
        <f>IFERROR(VLOOKUP(Detalle_OC[[#This Row],[Centro]]&amp;Detalle_OC[[#This Row],[Nro Almacen]],Almacen!A:D,4,FALSE),"")</f>
        <v>Montelima</v>
      </c>
    </row>
    <row r="857" spans="1:12" x14ac:dyDescent="0.3">
      <c r="A857" s="29" t="str">
        <f>Detalle_OC[[#This Row],[Centro]]&amp;Detalle_OC[[#This Row],[Nom Almacen]]&amp;Detalle_OC[[#This Row],[Material]]&amp;Detalle_OC[[#This Row],[Pedido]]&amp;Detalle_OC[[#This Row],[Posicion]]</f>
        <v>Agricola del Chira PlantaAlmacen Lobo717670451157224710</v>
      </c>
      <c r="B857" t="s">
        <v>26</v>
      </c>
      <c r="C857" t="s">
        <v>14</v>
      </c>
      <c r="D857" s="11">
        <v>45646</v>
      </c>
      <c r="E857" t="s">
        <v>16</v>
      </c>
      <c r="F857" t="s">
        <v>12</v>
      </c>
      <c r="G857">
        <v>717670</v>
      </c>
      <c r="H857">
        <v>4511572247</v>
      </c>
      <c r="I857">
        <v>10</v>
      </c>
      <c r="J857" s="29">
        <v>7</v>
      </c>
      <c r="K857" s="29" t="s">
        <v>887</v>
      </c>
      <c r="L857" t="str">
        <f>IFERROR(VLOOKUP(Detalle_OC[[#This Row],[Centro]]&amp;Detalle_OC[[#This Row],[Nro Almacen]],Almacen!A:D,4,FALSE),"")</f>
        <v>Almacen Lobo</v>
      </c>
    </row>
    <row r="858" spans="1:12" x14ac:dyDescent="0.3">
      <c r="A858" s="29" t="str">
        <f>Detalle_OC[[#This Row],[Centro]]&amp;Detalle_OC[[#This Row],[Nom Almacen]]&amp;Detalle_OC[[#This Row],[Material]]&amp;Detalle_OC[[#This Row],[Pedido]]&amp;Detalle_OC[[#This Row],[Posicion]]</f>
        <v>Agricola del Chira PlantaAlmacen Lobo807964451157225110</v>
      </c>
      <c r="B858" t="s">
        <v>149</v>
      </c>
      <c r="C858" t="s">
        <v>292</v>
      </c>
      <c r="D858" s="11">
        <v>45646</v>
      </c>
      <c r="E858" t="s">
        <v>16</v>
      </c>
      <c r="F858" t="s">
        <v>12</v>
      </c>
      <c r="G858">
        <v>807964</v>
      </c>
      <c r="H858">
        <v>4511572251</v>
      </c>
      <c r="I858">
        <v>10</v>
      </c>
      <c r="J858" s="29">
        <v>7</v>
      </c>
      <c r="K858" s="29" t="s">
        <v>887</v>
      </c>
      <c r="L858" t="str">
        <f>IFERROR(VLOOKUP(Detalle_OC[[#This Row],[Centro]]&amp;Detalle_OC[[#This Row],[Nro Almacen]],Almacen!A:D,4,FALSE),"")</f>
        <v>Almacen Lobo</v>
      </c>
    </row>
    <row r="859" spans="1:12" x14ac:dyDescent="0.3">
      <c r="A859" s="29" t="str">
        <f>Detalle_OC[[#This Row],[Centro]]&amp;Detalle_OC[[#This Row],[Nom Almacen]]&amp;Detalle_OC[[#This Row],[Material]]&amp;Detalle_OC[[#This Row],[Pedido]]&amp;Detalle_OC[[#This Row],[Posicion]]</f>
        <v>Agricola del Chira PlantaMontelima758908451157225120</v>
      </c>
      <c r="B859" t="s">
        <v>149</v>
      </c>
      <c r="C859" t="s">
        <v>292</v>
      </c>
      <c r="D859" s="11">
        <v>45646</v>
      </c>
      <c r="E859" t="s">
        <v>16</v>
      </c>
      <c r="F859" t="s">
        <v>12</v>
      </c>
      <c r="G859">
        <v>758908</v>
      </c>
      <c r="H859">
        <v>4511572251</v>
      </c>
      <c r="I859">
        <v>20</v>
      </c>
      <c r="J859" s="29">
        <v>1</v>
      </c>
      <c r="K859" s="29" t="s">
        <v>887</v>
      </c>
      <c r="L859" t="str">
        <f>IFERROR(VLOOKUP(Detalle_OC[[#This Row],[Centro]]&amp;Detalle_OC[[#This Row],[Nro Almacen]],Almacen!A:D,4,FALSE),"")</f>
        <v>Montelima</v>
      </c>
    </row>
    <row r="860" spans="1:12" x14ac:dyDescent="0.3">
      <c r="A860" s="29" t="str">
        <f>Detalle_OC[[#This Row],[Centro]]&amp;Detalle_OC[[#This Row],[Nom Almacen]]&amp;Detalle_OC[[#This Row],[Material]]&amp;Detalle_OC[[#This Row],[Pedido]]&amp;Detalle_OC[[#This Row],[Posicion]]</f>
        <v>Agricola del Chira PlantaMontelima758941451157225130</v>
      </c>
      <c r="B860" t="s">
        <v>33</v>
      </c>
      <c r="C860" t="s">
        <v>292</v>
      </c>
      <c r="D860" s="11">
        <v>45646</v>
      </c>
      <c r="E860" t="s">
        <v>16</v>
      </c>
      <c r="F860" t="s">
        <v>12</v>
      </c>
      <c r="G860">
        <v>758941</v>
      </c>
      <c r="H860">
        <v>4511572251</v>
      </c>
      <c r="I860">
        <v>30</v>
      </c>
      <c r="J860" s="29">
        <v>1</v>
      </c>
      <c r="K860" s="29" t="s">
        <v>887</v>
      </c>
      <c r="L860" t="str">
        <f>IFERROR(VLOOKUP(Detalle_OC[[#This Row],[Centro]]&amp;Detalle_OC[[#This Row],[Nro Almacen]],Almacen!A:D,4,FALSE),"")</f>
        <v>Montelima</v>
      </c>
    </row>
    <row r="861" spans="1:12" x14ac:dyDescent="0.3">
      <c r="A861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fábrica70040046451157226010</v>
      </c>
      <c r="B861" t="s">
        <v>142</v>
      </c>
      <c r="C861" t="s">
        <v>295</v>
      </c>
      <c r="D861" s="11">
        <v>45657</v>
      </c>
      <c r="E861" t="s">
        <v>16</v>
      </c>
      <c r="F861" t="s">
        <v>85</v>
      </c>
      <c r="G861">
        <v>70040046</v>
      </c>
      <c r="H861">
        <v>4511572260</v>
      </c>
      <c r="I861">
        <v>10</v>
      </c>
      <c r="J861" s="29">
        <v>9</v>
      </c>
      <c r="K861" s="29" t="s">
        <v>887</v>
      </c>
      <c r="L861" t="str">
        <f>IFERROR(VLOOKUP(Detalle_OC[[#This Row],[Centro]]&amp;Detalle_OC[[#This Row],[Nro Almacen]],Almacen!A:D,4,FALSE),"")</f>
        <v>Parada fábrica</v>
      </c>
    </row>
    <row r="862" spans="1:12" x14ac:dyDescent="0.3">
      <c r="A862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fábrica70022629451157226020</v>
      </c>
      <c r="B862" t="s">
        <v>142</v>
      </c>
      <c r="C862" t="s">
        <v>295</v>
      </c>
      <c r="D862" s="11">
        <v>45657</v>
      </c>
      <c r="E862" t="s">
        <v>16</v>
      </c>
      <c r="F862" t="s">
        <v>85</v>
      </c>
      <c r="G862">
        <v>70022629</v>
      </c>
      <c r="H862">
        <v>4511572260</v>
      </c>
      <c r="I862">
        <v>20</v>
      </c>
      <c r="J862" s="29">
        <v>9</v>
      </c>
      <c r="K862" s="29" t="s">
        <v>887</v>
      </c>
      <c r="L862" t="str">
        <f>IFERROR(VLOOKUP(Detalle_OC[[#This Row],[Centro]]&amp;Detalle_OC[[#This Row],[Nro Almacen]],Almacen!A:D,4,FALSE),"")</f>
        <v>Parada fábrica</v>
      </c>
    </row>
    <row r="863" spans="1:12" x14ac:dyDescent="0.3">
      <c r="A863" s="29" t="str">
        <f>Detalle_OC[[#This Row],[Centro]]&amp;Detalle_OC[[#This Row],[Nom Almacen]]&amp;Detalle_OC[[#This Row],[Material]]&amp;Detalle_OC[[#This Row],[Pedido]]&amp;Detalle_OC[[#This Row],[Posicion]]</f>
        <v>Agricola del Chira PlantaMontelima70016273451157226610</v>
      </c>
      <c r="B863" t="s">
        <v>145</v>
      </c>
      <c r="C863" t="s">
        <v>230</v>
      </c>
      <c r="D863" s="11">
        <v>45642</v>
      </c>
      <c r="E863" t="s">
        <v>16</v>
      </c>
      <c r="F863" t="s">
        <v>12</v>
      </c>
      <c r="G863">
        <v>70016273</v>
      </c>
      <c r="H863">
        <v>4511572266</v>
      </c>
      <c r="I863">
        <v>10</v>
      </c>
      <c r="J863" s="29">
        <v>1</v>
      </c>
      <c r="K863" s="29" t="s">
        <v>887</v>
      </c>
      <c r="L863" t="str">
        <f>IFERROR(VLOOKUP(Detalle_OC[[#This Row],[Centro]]&amp;Detalle_OC[[#This Row],[Nro Almacen]],Almacen!A:D,4,FALSE),"")</f>
        <v>Montelima</v>
      </c>
    </row>
    <row r="864" spans="1:12" x14ac:dyDescent="0.3">
      <c r="A864" s="29" t="str">
        <f>Detalle_OC[[#This Row],[Centro]]&amp;Detalle_OC[[#This Row],[Nom Almacen]]&amp;Detalle_OC[[#This Row],[Material]]&amp;Detalle_OC[[#This Row],[Pedido]]&amp;Detalle_OC[[#This Row],[Posicion]]</f>
        <v>Agricola del Chira PlantaMontelima70075885451157226620</v>
      </c>
      <c r="B864" t="s">
        <v>225</v>
      </c>
      <c r="C864" t="s">
        <v>230</v>
      </c>
      <c r="D864" s="11">
        <v>45642</v>
      </c>
      <c r="E864" t="s">
        <v>16</v>
      </c>
      <c r="F864" t="s">
        <v>12</v>
      </c>
      <c r="G864">
        <v>70075885</v>
      </c>
      <c r="H864">
        <v>4511572266</v>
      </c>
      <c r="I864">
        <v>20</v>
      </c>
      <c r="J864" s="29">
        <v>1</v>
      </c>
      <c r="K864" s="29" t="s">
        <v>887</v>
      </c>
      <c r="L864" t="str">
        <f>IFERROR(VLOOKUP(Detalle_OC[[#This Row],[Centro]]&amp;Detalle_OC[[#This Row],[Nro Almacen]],Almacen!A:D,4,FALSE),"")</f>
        <v>Montelima</v>
      </c>
    </row>
    <row r="865" spans="1:12" x14ac:dyDescent="0.3">
      <c r="A865" s="29" t="str">
        <f>Detalle_OC[[#This Row],[Centro]]&amp;Detalle_OC[[#This Row],[Nom Almacen]]&amp;Detalle_OC[[#This Row],[Material]]&amp;Detalle_OC[[#This Row],[Pedido]]&amp;Detalle_OC[[#This Row],[Posicion]]</f>
        <v>Agricola del Chira PlantaMontelima873674451157226630</v>
      </c>
      <c r="B865" t="s">
        <v>149</v>
      </c>
      <c r="C865" t="s">
        <v>230</v>
      </c>
      <c r="D865" s="11">
        <v>45642</v>
      </c>
      <c r="E865" t="s">
        <v>16</v>
      </c>
      <c r="F865" t="s">
        <v>12</v>
      </c>
      <c r="G865">
        <v>873674</v>
      </c>
      <c r="H865">
        <v>4511572266</v>
      </c>
      <c r="I865">
        <v>30</v>
      </c>
      <c r="J865" s="29">
        <v>1</v>
      </c>
      <c r="K865" s="29" t="s">
        <v>887</v>
      </c>
      <c r="L865" t="str">
        <f>IFERROR(VLOOKUP(Detalle_OC[[#This Row],[Centro]]&amp;Detalle_OC[[#This Row],[Nro Almacen]],Almacen!A:D,4,FALSE),"")</f>
        <v>Montelima</v>
      </c>
    </row>
    <row r="866" spans="1:12" x14ac:dyDescent="0.3">
      <c r="A866" s="29" t="str">
        <f>Detalle_OC[[#This Row],[Centro]]&amp;Detalle_OC[[#This Row],[Nom Almacen]]&amp;Detalle_OC[[#This Row],[Material]]&amp;Detalle_OC[[#This Row],[Pedido]]&amp;Detalle_OC[[#This Row],[Posicion]]</f>
        <v>Sucroalcolera del Chira PlantaMontelima70062172451157226710</v>
      </c>
      <c r="B866" t="s">
        <v>138</v>
      </c>
      <c r="C866" t="s">
        <v>299</v>
      </c>
      <c r="D866" s="11">
        <v>45665</v>
      </c>
      <c r="E866" t="s">
        <v>16</v>
      </c>
      <c r="F866" t="s">
        <v>85</v>
      </c>
      <c r="G866">
        <v>70062172</v>
      </c>
      <c r="H866">
        <v>4511572267</v>
      </c>
      <c r="I866">
        <v>10</v>
      </c>
      <c r="J866" s="29">
        <v>1</v>
      </c>
      <c r="K866" s="29" t="s">
        <v>887</v>
      </c>
      <c r="L866" t="str">
        <f>IFERROR(VLOOKUP(Detalle_OC[[#This Row],[Centro]]&amp;Detalle_OC[[#This Row],[Nro Almacen]],Almacen!A:D,4,FALSE),"")</f>
        <v>Montelima</v>
      </c>
    </row>
    <row r="867" spans="1:12" x14ac:dyDescent="0.3">
      <c r="A867" s="29" t="str">
        <f>Detalle_OC[[#This Row],[Centro]]&amp;Detalle_OC[[#This Row],[Nom Almacen]]&amp;Detalle_OC[[#This Row],[Material]]&amp;Detalle_OC[[#This Row],[Pedido]]&amp;Detalle_OC[[#This Row],[Posicion]]</f>
        <v>Agricola del Chira PlantaMontelima894238451157226810</v>
      </c>
      <c r="B867" t="s">
        <v>26</v>
      </c>
      <c r="C867" t="s">
        <v>24</v>
      </c>
      <c r="D867" s="11">
        <v>45663</v>
      </c>
      <c r="E867" t="s">
        <v>16</v>
      </c>
      <c r="F867" t="s">
        <v>12</v>
      </c>
      <c r="G867">
        <v>894238</v>
      </c>
      <c r="H867">
        <v>4511572268</v>
      </c>
      <c r="I867">
        <v>10</v>
      </c>
      <c r="J867" s="29">
        <v>1</v>
      </c>
      <c r="K867" s="29" t="s">
        <v>887</v>
      </c>
      <c r="L867" t="str">
        <f>IFERROR(VLOOKUP(Detalle_OC[[#This Row],[Centro]]&amp;Detalle_OC[[#This Row],[Nro Almacen]],Almacen!A:D,4,FALSE),"")</f>
        <v>Montelima</v>
      </c>
    </row>
    <row r="868" spans="1:12" x14ac:dyDescent="0.3">
      <c r="A868" s="29" t="str">
        <f>Detalle_OC[[#This Row],[Centro]]&amp;Detalle_OC[[#This Row],[Nom Almacen]]&amp;Detalle_OC[[#This Row],[Material]]&amp;Detalle_OC[[#This Row],[Pedido]]&amp;Detalle_OC[[#This Row],[Posicion]]</f>
        <v>Agricola del Chira PlantaMontelima825346451157226820</v>
      </c>
      <c r="B868" t="s">
        <v>26</v>
      </c>
      <c r="C868" t="s">
        <v>24</v>
      </c>
      <c r="D868" s="11">
        <v>45663</v>
      </c>
      <c r="E868" t="s">
        <v>16</v>
      </c>
      <c r="F868" t="s">
        <v>12</v>
      </c>
      <c r="G868">
        <v>825346</v>
      </c>
      <c r="H868">
        <v>4511572268</v>
      </c>
      <c r="I868">
        <v>20</v>
      </c>
      <c r="J868" s="29">
        <v>1</v>
      </c>
      <c r="K868" s="29" t="s">
        <v>887</v>
      </c>
      <c r="L868" t="str">
        <f>IFERROR(VLOOKUP(Detalle_OC[[#This Row],[Centro]]&amp;Detalle_OC[[#This Row],[Nro Almacen]],Almacen!A:D,4,FALSE),"")</f>
        <v>Montelima</v>
      </c>
    </row>
    <row r="869" spans="1:12" x14ac:dyDescent="0.3">
      <c r="A869" s="29" t="str">
        <f>Detalle_OC[[#This Row],[Centro]]&amp;Detalle_OC[[#This Row],[Nom Almacen]]&amp;Detalle_OC[[#This Row],[Material]]&amp;Detalle_OC[[#This Row],[Pedido]]&amp;Detalle_OC[[#This Row],[Posicion]]</f>
        <v>Agricola del Chira PlantaSan Vicente872211451157226830</v>
      </c>
      <c r="B869" t="s">
        <v>26</v>
      </c>
      <c r="C869" t="s">
        <v>24</v>
      </c>
      <c r="D869" s="11">
        <v>45663</v>
      </c>
      <c r="E869" t="s">
        <v>16</v>
      </c>
      <c r="F869" t="s">
        <v>12</v>
      </c>
      <c r="G869">
        <v>872211</v>
      </c>
      <c r="H869">
        <v>4511572268</v>
      </c>
      <c r="I869">
        <v>30</v>
      </c>
      <c r="J869" s="29">
        <v>3</v>
      </c>
      <c r="K869" s="29" t="s">
        <v>887</v>
      </c>
      <c r="L869" t="str">
        <f>IFERROR(VLOOKUP(Detalle_OC[[#This Row],[Centro]]&amp;Detalle_OC[[#This Row],[Nro Almacen]],Almacen!A:D,4,FALSE),"")</f>
        <v>San Vicente</v>
      </c>
    </row>
    <row r="870" spans="1:12" x14ac:dyDescent="0.3">
      <c r="A870" s="29" t="str">
        <f>Detalle_OC[[#This Row],[Centro]]&amp;Detalle_OC[[#This Row],[Nom Almacen]]&amp;Detalle_OC[[#This Row],[Material]]&amp;Detalle_OC[[#This Row],[Pedido]]&amp;Detalle_OC[[#This Row],[Posicion]]</f>
        <v>Sucroalcolera del Chira PlantaMontelima70045090451157227010</v>
      </c>
      <c r="B870" t="s">
        <v>138</v>
      </c>
      <c r="C870" t="s">
        <v>215</v>
      </c>
      <c r="D870" s="11">
        <v>45698</v>
      </c>
      <c r="E870" t="s">
        <v>16</v>
      </c>
      <c r="F870" t="s">
        <v>85</v>
      </c>
      <c r="G870">
        <v>70045090</v>
      </c>
      <c r="H870">
        <v>4511572270</v>
      </c>
      <c r="I870">
        <v>10</v>
      </c>
      <c r="J870" s="29">
        <v>1</v>
      </c>
      <c r="K870" s="29" t="s">
        <v>887</v>
      </c>
      <c r="L870" t="str">
        <f>IFERROR(VLOOKUP(Detalle_OC[[#This Row],[Centro]]&amp;Detalle_OC[[#This Row],[Nro Almacen]],Almacen!A:D,4,FALSE),"")</f>
        <v>Montelima</v>
      </c>
    </row>
    <row r="871" spans="1:12" x14ac:dyDescent="0.3">
      <c r="A871" s="29" t="str">
        <f>Detalle_OC[[#This Row],[Centro]]&amp;Detalle_OC[[#This Row],[Nom Almacen]]&amp;Detalle_OC[[#This Row],[Material]]&amp;Detalle_OC[[#This Row],[Pedido]]&amp;Detalle_OC[[#This Row],[Posicion]]</f>
        <v>Sucroalcolera del Chira PlantaMontelima70135675451157227110</v>
      </c>
      <c r="B871" t="s">
        <v>138</v>
      </c>
      <c r="C871" t="s">
        <v>281</v>
      </c>
      <c r="D871" s="11">
        <v>45646</v>
      </c>
      <c r="E871" t="s">
        <v>16</v>
      </c>
      <c r="F871" t="s">
        <v>85</v>
      </c>
      <c r="G871">
        <v>70135675</v>
      </c>
      <c r="H871">
        <v>4511572271</v>
      </c>
      <c r="I871">
        <v>10</v>
      </c>
      <c r="J871" s="29">
        <v>1</v>
      </c>
      <c r="K871" s="29" t="s">
        <v>887</v>
      </c>
      <c r="L871" t="str">
        <f>IFERROR(VLOOKUP(Detalle_OC[[#This Row],[Centro]]&amp;Detalle_OC[[#This Row],[Nro Almacen]],Almacen!A:D,4,FALSE),"")</f>
        <v>Montelima</v>
      </c>
    </row>
    <row r="872" spans="1:12" x14ac:dyDescent="0.3">
      <c r="A872" s="29" t="str">
        <f>Detalle_OC[[#This Row],[Centro]]&amp;Detalle_OC[[#This Row],[Nom Almacen]]&amp;Detalle_OC[[#This Row],[Material]]&amp;Detalle_OC[[#This Row],[Pedido]]&amp;Detalle_OC[[#This Row],[Posicion]]</f>
        <v>Sucroalcolera del Chira PlantaMontelima70135676451157227120</v>
      </c>
      <c r="B872" t="s">
        <v>138</v>
      </c>
      <c r="C872" t="s">
        <v>281</v>
      </c>
      <c r="D872" s="11">
        <v>45646</v>
      </c>
      <c r="E872" t="s">
        <v>16</v>
      </c>
      <c r="F872" t="s">
        <v>85</v>
      </c>
      <c r="G872">
        <v>70135676</v>
      </c>
      <c r="H872">
        <v>4511572271</v>
      </c>
      <c r="I872">
        <v>20</v>
      </c>
      <c r="J872" s="29">
        <v>1</v>
      </c>
      <c r="K872" s="29" t="s">
        <v>887</v>
      </c>
      <c r="L872" t="str">
        <f>IFERROR(VLOOKUP(Detalle_OC[[#This Row],[Centro]]&amp;Detalle_OC[[#This Row],[Nro Almacen]],Almacen!A:D,4,FALSE),"")</f>
        <v>Montelima</v>
      </c>
    </row>
    <row r="873" spans="1:12" x14ac:dyDescent="0.3">
      <c r="A873" s="29" t="str">
        <f>Detalle_OC[[#This Row],[Centro]]&amp;Detalle_OC[[#This Row],[Nom Almacen]]&amp;Detalle_OC[[#This Row],[Material]]&amp;Detalle_OC[[#This Row],[Pedido]]&amp;Detalle_OC[[#This Row],[Posicion]]</f>
        <v>Sucroalcolera del Chira PlantaMontelima70135677451157227130</v>
      </c>
      <c r="B873" t="s">
        <v>138</v>
      </c>
      <c r="C873" t="s">
        <v>281</v>
      </c>
      <c r="D873" s="11">
        <v>45646</v>
      </c>
      <c r="E873" t="s">
        <v>16</v>
      </c>
      <c r="F873" t="s">
        <v>85</v>
      </c>
      <c r="G873">
        <v>70135677</v>
      </c>
      <c r="H873">
        <v>4511572271</v>
      </c>
      <c r="I873">
        <v>30</v>
      </c>
      <c r="J873" s="29">
        <v>1</v>
      </c>
      <c r="K873" s="29" t="s">
        <v>887</v>
      </c>
      <c r="L873" t="str">
        <f>IFERROR(VLOOKUP(Detalle_OC[[#This Row],[Centro]]&amp;Detalle_OC[[#This Row],[Nro Almacen]],Almacen!A:D,4,FALSE),"")</f>
        <v>Montelima</v>
      </c>
    </row>
    <row r="874" spans="1:12" x14ac:dyDescent="0.3">
      <c r="A874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fábrica811145451157227140</v>
      </c>
      <c r="B874" t="s">
        <v>142</v>
      </c>
      <c r="C874" t="s">
        <v>281</v>
      </c>
      <c r="D874" s="11">
        <v>45646</v>
      </c>
      <c r="E874" t="s">
        <v>16</v>
      </c>
      <c r="F874" t="s">
        <v>85</v>
      </c>
      <c r="G874">
        <v>811145</v>
      </c>
      <c r="H874">
        <v>4511572271</v>
      </c>
      <c r="I874">
        <v>40</v>
      </c>
      <c r="J874" s="29">
        <v>9</v>
      </c>
      <c r="K874" s="29" t="s">
        <v>887</v>
      </c>
      <c r="L874" t="str">
        <f>IFERROR(VLOOKUP(Detalle_OC[[#This Row],[Centro]]&amp;Detalle_OC[[#This Row],[Nro Almacen]],Almacen!A:D,4,FALSE),"")</f>
        <v>Parada fábrica</v>
      </c>
    </row>
    <row r="875" spans="1:12" x14ac:dyDescent="0.3">
      <c r="A875" s="29" t="str">
        <f>Detalle_OC[[#This Row],[Centro]]&amp;Detalle_OC[[#This Row],[Nom Almacen]]&amp;Detalle_OC[[#This Row],[Material]]&amp;Detalle_OC[[#This Row],[Pedido]]&amp;Detalle_OC[[#This Row],[Posicion]]</f>
        <v>Sucroalcolera del Chira PlantaMontelima700440065500024856140</v>
      </c>
      <c r="B875" t="s">
        <v>28</v>
      </c>
      <c r="C875" t="s">
        <v>96</v>
      </c>
      <c r="D875" s="11">
        <v>45646</v>
      </c>
      <c r="E875" t="s">
        <v>16</v>
      </c>
      <c r="F875" t="s">
        <v>85</v>
      </c>
      <c r="G875">
        <v>70044006</v>
      </c>
      <c r="H875">
        <v>5500024856</v>
      </c>
      <c r="I875">
        <v>140</v>
      </c>
      <c r="J875" s="29">
        <v>1</v>
      </c>
      <c r="K875" s="29" t="s">
        <v>887</v>
      </c>
      <c r="L875" t="str">
        <f>IFERROR(VLOOKUP(Detalle_OC[[#This Row],[Centro]]&amp;Detalle_OC[[#This Row],[Nro Almacen]],Almacen!A:D,4,FALSE),"")</f>
        <v>Montelima</v>
      </c>
    </row>
    <row r="876" spans="1:12" x14ac:dyDescent="0.3">
      <c r="A876" s="29" t="str">
        <f>Detalle_OC[[#This Row],[Centro]]&amp;Detalle_OC[[#This Row],[Nom Almacen]]&amp;Detalle_OC[[#This Row],[Material]]&amp;Detalle_OC[[#This Row],[Pedido]]&amp;Detalle_OC[[#This Row],[Posicion]]</f>
        <v>Bioenergía del Chira PlantaParada fábrica70054782451157212410</v>
      </c>
      <c r="B876" t="s">
        <v>180</v>
      </c>
      <c r="C876" t="s">
        <v>1152</v>
      </c>
      <c r="D876" s="11">
        <v>45657</v>
      </c>
      <c r="E876" t="s">
        <v>16</v>
      </c>
      <c r="F876" t="s">
        <v>86</v>
      </c>
      <c r="G876">
        <v>70054782</v>
      </c>
      <c r="H876">
        <v>4511572124</v>
      </c>
      <c r="I876">
        <v>10</v>
      </c>
      <c r="J876" s="29">
        <v>4</v>
      </c>
      <c r="K876" s="29" t="s">
        <v>886</v>
      </c>
      <c r="L876" t="str">
        <f>IFERROR(VLOOKUP(Detalle_OC[[#This Row],[Centro]]&amp;Detalle_OC[[#This Row],[Nro Almacen]],Almacen!A:D,4,FALSE),"")</f>
        <v>Parada fábrica</v>
      </c>
    </row>
    <row r="877" spans="1:12" x14ac:dyDescent="0.3">
      <c r="A877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fábrica803154451157212810</v>
      </c>
      <c r="B877" t="s">
        <v>142</v>
      </c>
      <c r="C877" t="s">
        <v>310</v>
      </c>
      <c r="D877" s="11">
        <v>45656</v>
      </c>
      <c r="E877" t="s">
        <v>16</v>
      </c>
      <c r="F877" t="s">
        <v>85</v>
      </c>
      <c r="G877">
        <v>803154</v>
      </c>
      <c r="H877">
        <v>4511572128</v>
      </c>
      <c r="I877">
        <v>10</v>
      </c>
      <c r="J877" s="29">
        <v>9</v>
      </c>
      <c r="K877" s="29" t="s">
        <v>886</v>
      </c>
      <c r="L877" t="str">
        <f>IFERROR(VLOOKUP(Detalle_OC[[#This Row],[Centro]]&amp;Detalle_OC[[#This Row],[Nro Almacen]],Almacen!A:D,4,FALSE),"")</f>
        <v>Parada fábrica</v>
      </c>
    </row>
    <row r="878" spans="1:12" x14ac:dyDescent="0.3">
      <c r="A878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fábrica803155451157212820</v>
      </c>
      <c r="B878" t="s">
        <v>142</v>
      </c>
      <c r="C878" t="s">
        <v>310</v>
      </c>
      <c r="D878" s="11">
        <v>45656</v>
      </c>
      <c r="E878" t="s">
        <v>16</v>
      </c>
      <c r="F878" t="s">
        <v>85</v>
      </c>
      <c r="G878">
        <v>803155</v>
      </c>
      <c r="H878">
        <v>4511572128</v>
      </c>
      <c r="I878">
        <v>20</v>
      </c>
      <c r="J878" s="29">
        <v>9</v>
      </c>
      <c r="K878" s="29" t="s">
        <v>886</v>
      </c>
      <c r="L878" t="str">
        <f>IFERROR(VLOOKUP(Detalle_OC[[#This Row],[Centro]]&amp;Detalle_OC[[#This Row],[Nro Almacen]],Almacen!A:D,4,FALSE),"")</f>
        <v>Parada fábrica</v>
      </c>
    </row>
    <row r="879" spans="1:12" x14ac:dyDescent="0.3">
      <c r="A879" s="29" t="str">
        <f>Detalle_OC[[#This Row],[Centro]]&amp;Detalle_OC[[#This Row],[Nom Almacen]]&amp;Detalle_OC[[#This Row],[Material]]&amp;Detalle_OC[[#This Row],[Pedido]]&amp;Detalle_OC[[#This Row],[Posicion]]</f>
        <v>Bioenergía del Chira PlantaParada fábrica882052451157212910</v>
      </c>
      <c r="B879" t="s">
        <v>180</v>
      </c>
      <c r="C879" t="s">
        <v>310</v>
      </c>
      <c r="D879" s="11">
        <v>45656</v>
      </c>
      <c r="E879" t="s">
        <v>16</v>
      </c>
      <c r="F879" t="s">
        <v>86</v>
      </c>
      <c r="G879">
        <v>882052</v>
      </c>
      <c r="H879">
        <v>4511572129</v>
      </c>
      <c r="I879">
        <v>10</v>
      </c>
      <c r="J879" s="29">
        <v>4</v>
      </c>
      <c r="K879" s="29" t="s">
        <v>886</v>
      </c>
      <c r="L879" t="str">
        <f>IFERROR(VLOOKUP(Detalle_OC[[#This Row],[Centro]]&amp;Detalle_OC[[#This Row],[Nro Almacen]],Almacen!A:D,4,FALSE),"")</f>
        <v>Parada fábrica</v>
      </c>
    </row>
    <row r="880" spans="1:12" x14ac:dyDescent="0.3">
      <c r="A880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fábrica836741451157213010</v>
      </c>
      <c r="B880" t="s">
        <v>142</v>
      </c>
      <c r="C880" t="s">
        <v>270</v>
      </c>
      <c r="D880" s="11">
        <v>45656</v>
      </c>
      <c r="E880" t="s">
        <v>16</v>
      </c>
      <c r="F880" t="s">
        <v>85</v>
      </c>
      <c r="G880">
        <v>836741</v>
      </c>
      <c r="H880">
        <v>4511572130</v>
      </c>
      <c r="I880">
        <v>10</v>
      </c>
      <c r="J880" s="29">
        <v>9</v>
      </c>
      <c r="K880" s="29" t="s">
        <v>886</v>
      </c>
      <c r="L880" t="str">
        <f>IFERROR(VLOOKUP(Detalle_OC[[#This Row],[Centro]]&amp;Detalle_OC[[#This Row],[Nro Almacen]],Almacen!A:D,4,FALSE),"")</f>
        <v>Parada fábrica</v>
      </c>
    </row>
    <row r="881" spans="1:12" x14ac:dyDescent="0.3">
      <c r="A881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fábrica877743451157213020</v>
      </c>
      <c r="B881" t="s">
        <v>142</v>
      </c>
      <c r="C881" t="s">
        <v>270</v>
      </c>
      <c r="D881" s="11">
        <v>45656</v>
      </c>
      <c r="E881" t="s">
        <v>16</v>
      </c>
      <c r="F881" t="s">
        <v>85</v>
      </c>
      <c r="G881">
        <v>877743</v>
      </c>
      <c r="H881">
        <v>4511572130</v>
      </c>
      <c r="I881">
        <v>20</v>
      </c>
      <c r="J881" s="29">
        <v>9</v>
      </c>
      <c r="K881" s="29" t="s">
        <v>886</v>
      </c>
      <c r="L881" t="str">
        <f>IFERROR(VLOOKUP(Detalle_OC[[#This Row],[Centro]]&amp;Detalle_OC[[#This Row],[Nro Almacen]],Almacen!A:D,4,FALSE),"")</f>
        <v>Parada fábrica</v>
      </c>
    </row>
    <row r="882" spans="1:12" x14ac:dyDescent="0.3">
      <c r="A882" s="29" t="str">
        <f>Detalle_OC[[#This Row],[Centro]]&amp;Detalle_OC[[#This Row],[Nom Almacen]]&amp;Detalle_OC[[#This Row],[Material]]&amp;Detalle_OC[[#This Row],[Pedido]]&amp;Detalle_OC[[#This Row],[Posicion]]</f>
        <v>Agricola del Chira PlantaLa Huaca70099880451157203220</v>
      </c>
      <c r="B882" t="s">
        <v>26</v>
      </c>
      <c r="C882" t="s">
        <v>42</v>
      </c>
      <c r="D882" s="11">
        <v>45639</v>
      </c>
      <c r="E882" t="s">
        <v>16</v>
      </c>
      <c r="F882" t="s">
        <v>12</v>
      </c>
      <c r="G882">
        <v>70099880</v>
      </c>
      <c r="H882">
        <v>4511572032</v>
      </c>
      <c r="I882">
        <v>20</v>
      </c>
      <c r="J882" s="29">
        <v>2</v>
      </c>
      <c r="K882" s="29" t="s">
        <v>881</v>
      </c>
      <c r="L882" t="str">
        <f>IFERROR(VLOOKUP(Detalle_OC[[#This Row],[Centro]]&amp;Detalle_OC[[#This Row],[Nro Almacen]],Almacen!A:D,4,FALSE),"")</f>
        <v>La Huaca</v>
      </c>
    </row>
    <row r="883" spans="1:12" x14ac:dyDescent="0.3">
      <c r="A883" s="29" t="str">
        <f>Detalle_OC[[#This Row],[Centro]]&amp;Detalle_OC[[#This Row],[Nom Almacen]]&amp;Detalle_OC[[#This Row],[Material]]&amp;Detalle_OC[[#This Row],[Pedido]]&amp;Detalle_OC[[#This Row],[Posicion]]</f>
        <v>Agricola del Chira PlantaAlmacen Lobo831839451157203410</v>
      </c>
      <c r="B883" t="s">
        <v>39</v>
      </c>
      <c r="C883" t="s">
        <v>38</v>
      </c>
      <c r="D883" s="11">
        <v>45657</v>
      </c>
      <c r="E883" t="s">
        <v>16</v>
      </c>
      <c r="F883" t="s">
        <v>12</v>
      </c>
      <c r="G883">
        <v>831839</v>
      </c>
      <c r="H883">
        <v>4511572034</v>
      </c>
      <c r="I883">
        <v>10</v>
      </c>
      <c r="J883" s="29">
        <v>7</v>
      </c>
      <c r="K883" s="29" t="s">
        <v>881</v>
      </c>
      <c r="L883" t="str">
        <f>IFERROR(VLOOKUP(Detalle_OC[[#This Row],[Centro]]&amp;Detalle_OC[[#This Row],[Nro Almacen]],Almacen!A:D,4,FALSE),"")</f>
        <v>Almacen Lobo</v>
      </c>
    </row>
    <row r="884" spans="1:12" x14ac:dyDescent="0.3">
      <c r="A884" s="29" t="str">
        <f>Detalle_OC[[#This Row],[Centro]]&amp;Detalle_OC[[#This Row],[Nom Almacen]]&amp;Detalle_OC[[#This Row],[Material]]&amp;Detalle_OC[[#This Row],[Pedido]]&amp;Detalle_OC[[#This Row],[Posicion]]</f>
        <v>Agricola del Chira PlantaSan Vicente831839451157203610</v>
      </c>
      <c r="B884" t="s">
        <v>39</v>
      </c>
      <c r="C884" t="s">
        <v>38</v>
      </c>
      <c r="D884" s="11">
        <v>45657</v>
      </c>
      <c r="E884" t="s">
        <v>16</v>
      </c>
      <c r="F884" t="s">
        <v>12</v>
      </c>
      <c r="G884">
        <v>831839</v>
      </c>
      <c r="H884">
        <v>4511572036</v>
      </c>
      <c r="I884">
        <v>10</v>
      </c>
      <c r="J884" s="29">
        <v>3</v>
      </c>
      <c r="K884" s="29" t="s">
        <v>881</v>
      </c>
      <c r="L884" t="str">
        <f>IFERROR(VLOOKUP(Detalle_OC[[#This Row],[Centro]]&amp;Detalle_OC[[#This Row],[Nro Almacen]],Almacen!A:D,4,FALSE),"")</f>
        <v>San Vicente</v>
      </c>
    </row>
    <row r="885" spans="1:12" x14ac:dyDescent="0.3">
      <c r="A885" s="29" t="str">
        <f>Detalle_OC[[#This Row],[Centro]]&amp;Detalle_OC[[#This Row],[Nom Almacen]]&amp;Detalle_OC[[#This Row],[Material]]&amp;Detalle_OC[[#This Row],[Pedido]]&amp;Detalle_OC[[#This Row],[Posicion]]</f>
        <v>Agricola del Chira PlantaAlmacen Lobo849010451157203810</v>
      </c>
      <c r="B885" t="s">
        <v>39</v>
      </c>
      <c r="C885" t="s">
        <v>38</v>
      </c>
      <c r="D885" s="11">
        <v>45657</v>
      </c>
      <c r="E885" t="s">
        <v>16</v>
      </c>
      <c r="F885" t="s">
        <v>12</v>
      </c>
      <c r="G885">
        <v>849010</v>
      </c>
      <c r="H885">
        <v>4511572038</v>
      </c>
      <c r="I885">
        <v>10</v>
      </c>
      <c r="J885" s="29">
        <v>7</v>
      </c>
      <c r="K885" s="29" t="s">
        <v>881</v>
      </c>
      <c r="L885" t="str">
        <f>IFERROR(VLOOKUP(Detalle_OC[[#This Row],[Centro]]&amp;Detalle_OC[[#This Row],[Nro Almacen]],Almacen!A:D,4,FALSE),"")</f>
        <v>Almacen Lobo</v>
      </c>
    </row>
    <row r="886" spans="1:12" x14ac:dyDescent="0.3">
      <c r="A886" s="29" t="str">
        <f>Detalle_OC[[#This Row],[Centro]]&amp;Detalle_OC[[#This Row],[Nom Almacen]]&amp;Detalle_OC[[#This Row],[Material]]&amp;Detalle_OC[[#This Row],[Pedido]]&amp;Detalle_OC[[#This Row],[Posicion]]</f>
        <v>Agricola del Chira PlantaSan Vicente849010451157204110</v>
      </c>
      <c r="B886" t="s">
        <v>39</v>
      </c>
      <c r="C886" t="s">
        <v>38</v>
      </c>
      <c r="D886" s="11">
        <v>45657</v>
      </c>
      <c r="E886" t="s">
        <v>16</v>
      </c>
      <c r="F886" t="s">
        <v>12</v>
      </c>
      <c r="G886">
        <v>849010</v>
      </c>
      <c r="H886">
        <v>4511572041</v>
      </c>
      <c r="I886">
        <v>10</v>
      </c>
      <c r="J886" s="29">
        <v>3</v>
      </c>
      <c r="K886" s="29" t="s">
        <v>881</v>
      </c>
      <c r="L886" t="str">
        <f>IFERROR(VLOOKUP(Detalle_OC[[#This Row],[Centro]]&amp;Detalle_OC[[#This Row],[Nro Almacen]],Almacen!A:D,4,FALSE),"")</f>
        <v>San Vicente</v>
      </c>
    </row>
    <row r="887" spans="1:12" x14ac:dyDescent="0.3">
      <c r="A887" s="29" t="str">
        <f>Detalle_OC[[#This Row],[Centro]]&amp;Detalle_OC[[#This Row],[Nom Almacen]]&amp;Detalle_OC[[#This Row],[Material]]&amp;Detalle_OC[[#This Row],[Pedido]]&amp;Detalle_OC[[#This Row],[Posicion]]</f>
        <v>Agricola del Chira PlantaMontelima879988451157204410</v>
      </c>
      <c r="B887" t="s">
        <v>149</v>
      </c>
      <c r="C887" t="s">
        <v>172</v>
      </c>
      <c r="D887" s="11">
        <v>45646</v>
      </c>
      <c r="E887" t="s">
        <v>16</v>
      </c>
      <c r="F887" t="s">
        <v>12</v>
      </c>
      <c r="G887">
        <v>879988</v>
      </c>
      <c r="H887">
        <v>4511572044</v>
      </c>
      <c r="I887">
        <v>10</v>
      </c>
      <c r="J887" s="29">
        <v>1</v>
      </c>
      <c r="K887" s="29" t="s">
        <v>881</v>
      </c>
      <c r="L887" t="str">
        <f>IFERROR(VLOOKUP(Detalle_OC[[#This Row],[Centro]]&amp;Detalle_OC[[#This Row],[Nro Almacen]],Almacen!A:D,4,FALSE),"")</f>
        <v>Montelima</v>
      </c>
    </row>
    <row r="888" spans="1:12" x14ac:dyDescent="0.3">
      <c r="A888" s="29" t="str">
        <f>Detalle_OC[[#This Row],[Centro]]&amp;Detalle_OC[[#This Row],[Nom Almacen]]&amp;Detalle_OC[[#This Row],[Material]]&amp;Detalle_OC[[#This Row],[Pedido]]&amp;Detalle_OC[[#This Row],[Posicion]]</f>
        <v>Agricola del Chira PlantaMontelima70046514451157204420</v>
      </c>
      <c r="B888" t="s">
        <v>145</v>
      </c>
      <c r="C888" t="s">
        <v>172</v>
      </c>
      <c r="D888" s="11">
        <v>45646</v>
      </c>
      <c r="E888" t="s">
        <v>16</v>
      </c>
      <c r="F888" t="s">
        <v>12</v>
      </c>
      <c r="G888">
        <v>70046514</v>
      </c>
      <c r="H888">
        <v>4511572044</v>
      </c>
      <c r="I888">
        <v>20</v>
      </c>
      <c r="J888" s="29">
        <v>1</v>
      </c>
      <c r="K888" s="29" t="s">
        <v>881</v>
      </c>
      <c r="L888" t="str">
        <f>IFERROR(VLOOKUP(Detalle_OC[[#This Row],[Centro]]&amp;Detalle_OC[[#This Row],[Nro Almacen]],Almacen!A:D,4,FALSE),"")</f>
        <v>Montelima</v>
      </c>
    </row>
    <row r="889" spans="1:12" x14ac:dyDescent="0.3">
      <c r="A889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fábrica70061290451157207210</v>
      </c>
      <c r="B889" t="s">
        <v>142</v>
      </c>
      <c r="C889" t="s">
        <v>1153</v>
      </c>
      <c r="D889" s="11">
        <v>45657</v>
      </c>
      <c r="E889" t="s">
        <v>16</v>
      </c>
      <c r="F889" t="s">
        <v>85</v>
      </c>
      <c r="G889">
        <v>70061290</v>
      </c>
      <c r="H889">
        <v>4511572072</v>
      </c>
      <c r="I889">
        <v>10</v>
      </c>
      <c r="J889" s="29">
        <v>9</v>
      </c>
      <c r="K889" s="29" t="s">
        <v>881</v>
      </c>
      <c r="L889" t="str">
        <f>IFERROR(VLOOKUP(Detalle_OC[[#This Row],[Centro]]&amp;Detalle_OC[[#This Row],[Nro Almacen]],Almacen!A:D,4,FALSE),"")</f>
        <v>Parada fábrica</v>
      </c>
    </row>
    <row r="890" spans="1:12" x14ac:dyDescent="0.3">
      <c r="A890" s="29" t="str">
        <f>Detalle_OC[[#This Row],[Centro]]&amp;Detalle_OC[[#This Row],[Nom Almacen]]&amp;Detalle_OC[[#This Row],[Material]]&amp;Detalle_OC[[#This Row],[Pedido]]&amp;Detalle_OC[[#This Row],[Posicion]]</f>
        <v>Agricola del Chira PlantaMontelima736725451157207710</v>
      </c>
      <c r="B890" t="s">
        <v>171</v>
      </c>
      <c r="C890" t="s">
        <v>212</v>
      </c>
      <c r="D890" s="11">
        <v>45656</v>
      </c>
      <c r="E890" t="s">
        <v>16</v>
      </c>
      <c r="F890" t="s">
        <v>12</v>
      </c>
      <c r="G890">
        <v>736725</v>
      </c>
      <c r="H890">
        <v>4511572077</v>
      </c>
      <c r="I890">
        <v>10</v>
      </c>
      <c r="J890" s="29">
        <v>1</v>
      </c>
      <c r="K890" s="29" t="s">
        <v>881</v>
      </c>
      <c r="L890" t="str">
        <f>IFERROR(VLOOKUP(Detalle_OC[[#This Row],[Centro]]&amp;Detalle_OC[[#This Row],[Nro Almacen]],Almacen!A:D,4,FALSE),"")</f>
        <v>Montelima</v>
      </c>
    </row>
    <row r="891" spans="1:12" x14ac:dyDescent="0.3">
      <c r="A891" s="29" t="str">
        <f>Detalle_OC[[#This Row],[Centro]]&amp;Detalle_OC[[#This Row],[Nom Almacen]]&amp;Detalle_OC[[#This Row],[Material]]&amp;Detalle_OC[[#This Row],[Pedido]]&amp;Detalle_OC[[#This Row],[Posicion]]</f>
        <v>Agricola del Chira PlantaMontelima70128363451157207720</v>
      </c>
      <c r="B891" t="s">
        <v>171</v>
      </c>
      <c r="C891" t="s">
        <v>212</v>
      </c>
      <c r="D891" s="11">
        <v>45656</v>
      </c>
      <c r="E891" t="s">
        <v>16</v>
      </c>
      <c r="F891" t="s">
        <v>12</v>
      </c>
      <c r="G891">
        <v>70128363</v>
      </c>
      <c r="H891">
        <v>4511572077</v>
      </c>
      <c r="I891">
        <v>20</v>
      </c>
      <c r="J891" s="29">
        <v>1</v>
      </c>
      <c r="K891" s="29" t="s">
        <v>881</v>
      </c>
      <c r="L891" t="str">
        <f>IFERROR(VLOOKUP(Detalle_OC[[#This Row],[Centro]]&amp;Detalle_OC[[#This Row],[Nro Almacen]],Almacen!A:D,4,FALSE),"")</f>
        <v>Montelima</v>
      </c>
    </row>
    <row r="892" spans="1:12" x14ac:dyDescent="0.3">
      <c r="A892" s="29" t="str">
        <f>Detalle_OC[[#This Row],[Centro]]&amp;Detalle_OC[[#This Row],[Nom Almacen]]&amp;Detalle_OC[[#This Row],[Material]]&amp;Detalle_OC[[#This Row],[Pedido]]&amp;Detalle_OC[[#This Row],[Posicion]]</f>
        <v>Agricola del Chira PlantaMontelima70135485451157209010</v>
      </c>
      <c r="B892" t="s">
        <v>188</v>
      </c>
      <c r="C892" t="s">
        <v>141</v>
      </c>
      <c r="D892" s="11">
        <v>45639</v>
      </c>
      <c r="E892" t="s">
        <v>16</v>
      </c>
      <c r="F892" t="s">
        <v>12</v>
      </c>
      <c r="G892">
        <v>70135485</v>
      </c>
      <c r="H892">
        <v>4511572090</v>
      </c>
      <c r="I892">
        <v>10</v>
      </c>
      <c r="J892" s="29">
        <v>1</v>
      </c>
      <c r="K892" s="29" t="s">
        <v>881</v>
      </c>
      <c r="L892" t="str">
        <f>IFERROR(VLOOKUP(Detalle_OC[[#This Row],[Centro]]&amp;Detalle_OC[[#This Row],[Nro Almacen]],Almacen!A:D,4,FALSE),"")</f>
        <v>Montelima</v>
      </c>
    </row>
    <row r="893" spans="1:12" x14ac:dyDescent="0.3">
      <c r="A893" s="29" t="str">
        <f>Detalle_OC[[#This Row],[Centro]]&amp;Detalle_OC[[#This Row],[Nom Almacen]]&amp;Detalle_OC[[#This Row],[Material]]&amp;Detalle_OC[[#This Row],[Pedido]]&amp;Detalle_OC[[#This Row],[Posicion]]</f>
        <v>Sucroalcolera del Chira PlantaMontelimaCF20720003        451157209110</v>
      </c>
      <c r="B893" t="s">
        <v>153</v>
      </c>
      <c r="C893" t="s">
        <v>103</v>
      </c>
      <c r="D893" s="11">
        <v>45637</v>
      </c>
      <c r="E893" t="s">
        <v>16</v>
      </c>
      <c r="F893" t="s">
        <v>85</v>
      </c>
      <c r="G893" t="s">
        <v>104</v>
      </c>
      <c r="H893">
        <v>4511572091</v>
      </c>
      <c r="I893">
        <v>10</v>
      </c>
      <c r="J893" s="29">
        <v>1</v>
      </c>
      <c r="K893" s="29" t="s">
        <v>881</v>
      </c>
      <c r="L893" t="str">
        <f>IFERROR(VLOOKUP(Detalle_OC[[#This Row],[Centro]]&amp;Detalle_OC[[#This Row],[Nro Almacen]],Almacen!A:D,4,FALSE),"")</f>
        <v>Montelima</v>
      </c>
    </row>
    <row r="894" spans="1:12" x14ac:dyDescent="0.3">
      <c r="A894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894" t="s">
        <v>28</v>
      </c>
      <c r="C894" t="s">
        <v>82</v>
      </c>
      <c r="D894" s="11">
        <v>45632</v>
      </c>
      <c r="E894" t="s">
        <v>16</v>
      </c>
      <c r="F894" t="s">
        <v>12</v>
      </c>
      <c r="G894">
        <v>844523</v>
      </c>
      <c r="H894">
        <v>5500019188</v>
      </c>
      <c r="I894">
        <v>140</v>
      </c>
      <c r="J894" s="29">
        <v>1</v>
      </c>
      <c r="K894" s="29" t="s">
        <v>881</v>
      </c>
      <c r="L894" t="str">
        <f>IFERROR(VLOOKUP(Detalle_OC[[#This Row],[Centro]]&amp;Detalle_OC[[#This Row],[Nro Almacen]],Almacen!A:D,4,FALSE),"")</f>
        <v>Montelima</v>
      </c>
    </row>
    <row r="895" spans="1:12" x14ac:dyDescent="0.3">
      <c r="A895" s="29" t="str">
        <f>Detalle_OC[[#This Row],[Centro]]&amp;Detalle_OC[[#This Row],[Nom Almacen]]&amp;Detalle_OC[[#This Row],[Material]]&amp;Detalle_OC[[#This Row],[Pedido]]&amp;Detalle_OC[[#This Row],[Posicion]]</f>
        <v>Agricola del Chira PlantaMontelima8445335500019188170</v>
      </c>
      <c r="B895" t="s">
        <v>28</v>
      </c>
      <c r="C895" t="s">
        <v>82</v>
      </c>
      <c r="D895" s="11">
        <v>45632</v>
      </c>
      <c r="E895" t="s">
        <v>16</v>
      </c>
      <c r="F895" t="s">
        <v>12</v>
      </c>
      <c r="G895">
        <v>844533</v>
      </c>
      <c r="H895">
        <v>5500019188</v>
      </c>
      <c r="I895">
        <v>170</v>
      </c>
      <c r="J895" s="29">
        <v>1</v>
      </c>
      <c r="K895" s="29" t="s">
        <v>881</v>
      </c>
      <c r="L895" t="str">
        <f>IFERROR(VLOOKUP(Detalle_OC[[#This Row],[Centro]]&amp;Detalle_OC[[#This Row],[Nro Almacen]],Almacen!A:D,4,FALSE),"")</f>
        <v>Montelima</v>
      </c>
    </row>
    <row r="896" spans="1:12" x14ac:dyDescent="0.3">
      <c r="A896" s="29" t="str">
        <f>Detalle_OC[[#This Row],[Centro]]&amp;Detalle_OC[[#This Row],[Nom Almacen]]&amp;Detalle_OC[[#This Row],[Material]]&amp;Detalle_OC[[#This Row],[Pedido]]&amp;Detalle_OC[[#This Row],[Posicion]]</f>
        <v>Agricola del Chira PlantaMontelima8445395500019188300</v>
      </c>
      <c r="B896" t="s">
        <v>28</v>
      </c>
      <c r="C896" t="s">
        <v>82</v>
      </c>
      <c r="D896" s="11">
        <v>45632</v>
      </c>
      <c r="E896" t="s">
        <v>16</v>
      </c>
      <c r="F896" t="s">
        <v>12</v>
      </c>
      <c r="G896">
        <v>844539</v>
      </c>
      <c r="H896">
        <v>5500019188</v>
      </c>
      <c r="I896">
        <v>300</v>
      </c>
      <c r="J896" s="29">
        <v>1</v>
      </c>
      <c r="K896" s="29" t="s">
        <v>881</v>
      </c>
      <c r="L896" t="str">
        <f>IFERROR(VLOOKUP(Detalle_OC[[#This Row],[Centro]]&amp;Detalle_OC[[#This Row],[Nro Almacen]],Almacen!A:D,4,FALSE),"")</f>
        <v>Montelima</v>
      </c>
    </row>
    <row r="897" spans="1:12" x14ac:dyDescent="0.3">
      <c r="A897" s="29" t="str">
        <f>Detalle_OC[[#This Row],[Centro]]&amp;Detalle_OC[[#This Row],[Nom Almacen]]&amp;Detalle_OC[[#This Row],[Material]]&amp;Detalle_OC[[#This Row],[Pedido]]&amp;Detalle_OC[[#This Row],[Posicion]]</f>
        <v>Agricola del Chira PlantaSan Vicente70100392550002475130</v>
      </c>
      <c r="B897" t="s">
        <v>28</v>
      </c>
      <c r="C897" t="s">
        <v>54</v>
      </c>
      <c r="D897" s="11">
        <v>45632</v>
      </c>
      <c r="E897" t="s">
        <v>16</v>
      </c>
      <c r="F897" t="s">
        <v>12</v>
      </c>
      <c r="G897">
        <v>70100392</v>
      </c>
      <c r="H897">
        <v>5500024751</v>
      </c>
      <c r="I897">
        <v>30</v>
      </c>
      <c r="J897" s="29">
        <v>3</v>
      </c>
      <c r="K897" s="29" t="s">
        <v>881</v>
      </c>
      <c r="L897" t="str">
        <f>IFERROR(VLOOKUP(Detalle_OC[[#This Row],[Centro]]&amp;Detalle_OC[[#This Row],[Nro Almacen]],Almacen!A:D,4,FALSE),"")</f>
        <v>San Vicente</v>
      </c>
    </row>
    <row r="898" spans="1:12" x14ac:dyDescent="0.3">
      <c r="A898" s="29" t="str">
        <f>Detalle_OC[[#This Row],[Centro]]&amp;Detalle_OC[[#This Row],[Nom Almacen]]&amp;Detalle_OC[[#This Row],[Material]]&amp;Detalle_OC[[#This Row],[Pedido]]&amp;Detalle_OC[[#This Row],[Posicion]]</f>
        <v>Sucroalcolera del Chira PlantaMontelima8154465500024903100</v>
      </c>
      <c r="B898" t="s">
        <v>28</v>
      </c>
      <c r="C898" t="s">
        <v>84</v>
      </c>
      <c r="D898" s="11">
        <v>45632</v>
      </c>
      <c r="E898" t="s">
        <v>16</v>
      </c>
      <c r="F898" t="s">
        <v>85</v>
      </c>
      <c r="G898">
        <v>815446</v>
      </c>
      <c r="H898">
        <v>5500024903</v>
      </c>
      <c r="I898">
        <v>100</v>
      </c>
      <c r="J898" s="29">
        <v>1</v>
      </c>
      <c r="K898" s="29" t="s">
        <v>881</v>
      </c>
      <c r="L898" t="str">
        <f>IFERROR(VLOOKUP(Detalle_OC[[#This Row],[Centro]]&amp;Detalle_OC[[#This Row],[Nro Almacen]],Almacen!A:D,4,FALSE),"")</f>
        <v>Montelima</v>
      </c>
    </row>
    <row r="899" spans="1:12" x14ac:dyDescent="0.3">
      <c r="A899" s="29" t="str">
        <f>Detalle_OC[[#This Row],[Centro]]&amp;Detalle_OC[[#This Row],[Nom Almacen]]&amp;Detalle_OC[[#This Row],[Material]]&amp;Detalle_OC[[#This Row],[Pedido]]&amp;Detalle_OC[[#This Row],[Posicion]]</f>
        <v>Agricola del Chira PlantaLa Huaca70004950451157195010</v>
      </c>
      <c r="B899" t="s">
        <v>26</v>
      </c>
      <c r="C899" t="s">
        <v>49</v>
      </c>
      <c r="D899" s="11">
        <v>45639</v>
      </c>
      <c r="E899" t="s">
        <v>16</v>
      </c>
      <c r="F899" t="s">
        <v>12</v>
      </c>
      <c r="G899">
        <v>70004950</v>
      </c>
      <c r="H899">
        <v>4511571950</v>
      </c>
      <c r="I899">
        <v>10</v>
      </c>
      <c r="J899" s="29">
        <v>2</v>
      </c>
      <c r="K899" s="29" t="s">
        <v>877</v>
      </c>
      <c r="L899" t="str">
        <f>IFERROR(VLOOKUP(Detalle_OC[[#This Row],[Centro]]&amp;Detalle_OC[[#This Row],[Nro Almacen]],Almacen!A:D,4,FALSE),"")</f>
        <v>La Huaca</v>
      </c>
    </row>
    <row r="900" spans="1:12" x14ac:dyDescent="0.3">
      <c r="A900" s="29" t="str">
        <f>Detalle_OC[[#This Row],[Centro]]&amp;Detalle_OC[[#This Row],[Nom Almacen]]&amp;Detalle_OC[[#This Row],[Material]]&amp;Detalle_OC[[#This Row],[Pedido]]&amp;Detalle_OC[[#This Row],[Posicion]]</f>
        <v>Agricola del Chira PlantaLa Huaca70004704451157195110</v>
      </c>
      <c r="B900" t="s">
        <v>26</v>
      </c>
      <c r="C900" t="s">
        <v>240</v>
      </c>
      <c r="D900" s="11">
        <v>45656</v>
      </c>
      <c r="E900" t="s">
        <v>16</v>
      </c>
      <c r="F900" t="s">
        <v>12</v>
      </c>
      <c r="G900">
        <v>70004704</v>
      </c>
      <c r="H900">
        <v>4511571951</v>
      </c>
      <c r="I900">
        <v>10</v>
      </c>
      <c r="J900" s="29">
        <v>2</v>
      </c>
      <c r="K900" s="29" t="s">
        <v>877</v>
      </c>
      <c r="L900" t="str">
        <f>IFERROR(VLOOKUP(Detalle_OC[[#This Row],[Centro]]&amp;Detalle_OC[[#This Row],[Nro Almacen]],Almacen!A:D,4,FALSE),"")</f>
        <v>La Huaca</v>
      </c>
    </row>
    <row r="901" spans="1:12" x14ac:dyDescent="0.3">
      <c r="A901" s="29" t="str">
        <f>Detalle_OC[[#This Row],[Centro]]&amp;Detalle_OC[[#This Row],[Nom Almacen]]&amp;Detalle_OC[[#This Row],[Material]]&amp;Detalle_OC[[#This Row],[Pedido]]&amp;Detalle_OC[[#This Row],[Posicion]]</f>
        <v>Agricola del Chira PlantaMontelima70103044451157195210</v>
      </c>
      <c r="B901" t="s">
        <v>186</v>
      </c>
      <c r="C901" t="s">
        <v>22</v>
      </c>
      <c r="D901" s="11">
        <v>45639</v>
      </c>
      <c r="E901" t="s">
        <v>16</v>
      </c>
      <c r="F901" t="s">
        <v>12</v>
      </c>
      <c r="G901">
        <v>70103044</v>
      </c>
      <c r="H901">
        <v>4511571952</v>
      </c>
      <c r="I901">
        <v>10</v>
      </c>
      <c r="J901" s="29">
        <v>1</v>
      </c>
      <c r="K901" s="29" t="s">
        <v>877</v>
      </c>
      <c r="L901" t="str">
        <f>IFERROR(VLOOKUP(Detalle_OC[[#This Row],[Centro]]&amp;Detalle_OC[[#This Row],[Nro Almacen]],Almacen!A:D,4,FALSE),"")</f>
        <v>Montelima</v>
      </c>
    </row>
    <row r="902" spans="1:12" x14ac:dyDescent="0.3">
      <c r="A902" s="29" t="str">
        <f>Detalle_OC[[#This Row],[Centro]]&amp;Detalle_OC[[#This Row],[Nom Almacen]]&amp;Detalle_OC[[#This Row],[Material]]&amp;Detalle_OC[[#This Row],[Pedido]]&amp;Detalle_OC[[#This Row],[Posicion]]</f>
        <v>Agricola del Chira PlantaLa Huaca70003837451157195610</v>
      </c>
      <c r="B902" t="s">
        <v>26</v>
      </c>
      <c r="C902" t="s">
        <v>32</v>
      </c>
      <c r="D902" s="11">
        <v>45639</v>
      </c>
      <c r="E902" t="s">
        <v>16</v>
      </c>
      <c r="F902" t="s">
        <v>12</v>
      </c>
      <c r="G902">
        <v>70003837</v>
      </c>
      <c r="H902">
        <v>4511571956</v>
      </c>
      <c r="I902">
        <v>10</v>
      </c>
      <c r="J902" s="29">
        <v>2</v>
      </c>
      <c r="K902" s="29" t="s">
        <v>877</v>
      </c>
      <c r="L902" t="str">
        <f>IFERROR(VLOOKUP(Detalle_OC[[#This Row],[Centro]]&amp;Detalle_OC[[#This Row],[Nro Almacen]],Almacen!A:D,4,FALSE),"")</f>
        <v>La Huaca</v>
      </c>
    </row>
    <row r="903" spans="1:12" x14ac:dyDescent="0.3">
      <c r="A903" s="29" t="str">
        <f>Detalle_OC[[#This Row],[Centro]]&amp;Detalle_OC[[#This Row],[Nom Almacen]]&amp;Detalle_OC[[#This Row],[Material]]&amp;Detalle_OC[[#This Row],[Pedido]]&amp;Detalle_OC[[#This Row],[Posicion]]</f>
        <v>Agricola del Chira PlantaMontelima70131063451157198110</v>
      </c>
      <c r="B903" t="s">
        <v>1154</v>
      </c>
      <c r="C903" t="s">
        <v>221</v>
      </c>
      <c r="D903" s="11">
        <v>45657</v>
      </c>
      <c r="E903" t="s">
        <v>48</v>
      </c>
      <c r="F903" t="s">
        <v>12</v>
      </c>
      <c r="G903">
        <v>70131063</v>
      </c>
      <c r="H903">
        <v>4511571981</v>
      </c>
      <c r="I903">
        <v>10</v>
      </c>
      <c r="J903" s="29">
        <v>1</v>
      </c>
      <c r="K903" s="29" t="s">
        <v>877</v>
      </c>
      <c r="L903" t="str">
        <f>IFERROR(VLOOKUP(Detalle_OC[[#This Row],[Centro]]&amp;Detalle_OC[[#This Row],[Nro Almacen]],Almacen!A:D,4,FALSE),"")</f>
        <v>Montelima</v>
      </c>
    </row>
    <row r="904" spans="1:12" x14ac:dyDescent="0.3">
      <c r="A904" s="29" t="str">
        <f>Detalle_OC[[#This Row],[Centro]]&amp;Detalle_OC[[#This Row],[Nom Almacen]]&amp;Detalle_OC[[#This Row],[Material]]&amp;Detalle_OC[[#This Row],[Pedido]]&amp;Detalle_OC[[#This Row],[Posicion]]</f>
        <v>Agricola del Chira PlantaMontelima70135559451157198120</v>
      </c>
      <c r="B904" t="s">
        <v>1154</v>
      </c>
      <c r="C904" t="s">
        <v>221</v>
      </c>
      <c r="D904" s="11">
        <v>45657</v>
      </c>
      <c r="E904" t="s">
        <v>48</v>
      </c>
      <c r="F904" t="s">
        <v>12</v>
      </c>
      <c r="G904">
        <v>70135559</v>
      </c>
      <c r="H904">
        <v>4511571981</v>
      </c>
      <c r="I904">
        <v>20</v>
      </c>
      <c r="J904" s="29">
        <v>1</v>
      </c>
      <c r="K904" s="29" t="s">
        <v>877</v>
      </c>
      <c r="L904" t="str">
        <f>IFERROR(VLOOKUP(Detalle_OC[[#This Row],[Centro]]&amp;Detalle_OC[[#This Row],[Nro Almacen]],Almacen!A:D,4,FALSE),"")</f>
        <v>Montelima</v>
      </c>
    </row>
    <row r="905" spans="1:12" x14ac:dyDescent="0.3">
      <c r="A905" s="29" t="str">
        <f>Detalle_OC[[#This Row],[Centro]]&amp;Detalle_OC[[#This Row],[Nom Almacen]]&amp;Detalle_OC[[#This Row],[Material]]&amp;Detalle_OC[[#This Row],[Pedido]]&amp;Detalle_OC[[#This Row],[Posicion]]</f>
        <v>Agricola del Chira PlantaMontelima70135559451157198130</v>
      </c>
      <c r="B905" t="s">
        <v>1154</v>
      </c>
      <c r="C905" t="s">
        <v>221</v>
      </c>
      <c r="D905" s="11">
        <v>45657</v>
      </c>
      <c r="E905" t="s">
        <v>48</v>
      </c>
      <c r="F905" t="s">
        <v>12</v>
      </c>
      <c r="G905">
        <v>70135559</v>
      </c>
      <c r="H905">
        <v>4511571981</v>
      </c>
      <c r="I905">
        <v>30</v>
      </c>
      <c r="J905" s="29">
        <v>1</v>
      </c>
      <c r="K905" s="29" t="s">
        <v>877</v>
      </c>
      <c r="L905" t="str">
        <f>IFERROR(VLOOKUP(Detalle_OC[[#This Row],[Centro]]&amp;Detalle_OC[[#This Row],[Nro Almacen]],Almacen!A:D,4,FALSE),"")</f>
        <v>Montelima</v>
      </c>
    </row>
    <row r="906" spans="1:12" x14ac:dyDescent="0.3">
      <c r="A906" s="29" t="str">
        <f>Detalle_OC[[#This Row],[Centro]]&amp;Detalle_OC[[#This Row],[Nom Almacen]]&amp;Detalle_OC[[#This Row],[Material]]&amp;Detalle_OC[[#This Row],[Pedido]]&amp;Detalle_OC[[#This Row],[Posicion]]</f>
        <v>Agricola del Chira PlantaMontelima70135559451157198140</v>
      </c>
      <c r="B906" t="s">
        <v>1154</v>
      </c>
      <c r="C906" t="s">
        <v>221</v>
      </c>
      <c r="D906" s="11">
        <v>45657</v>
      </c>
      <c r="E906" t="s">
        <v>48</v>
      </c>
      <c r="F906" t="s">
        <v>12</v>
      </c>
      <c r="G906">
        <v>70135559</v>
      </c>
      <c r="H906">
        <v>4511571981</v>
      </c>
      <c r="I906">
        <v>40</v>
      </c>
      <c r="J906" s="29">
        <v>1</v>
      </c>
      <c r="K906" s="29" t="s">
        <v>877</v>
      </c>
      <c r="L906" t="str">
        <f>IFERROR(VLOOKUP(Detalle_OC[[#This Row],[Centro]]&amp;Detalle_OC[[#This Row],[Nro Almacen]],Almacen!A:D,4,FALSE),"")</f>
        <v>Montelima</v>
      </c>
    </row>
    <row r="907" spans="1:12" x14ac:dyDescent="0.3">
      <c r="A907" s="29" t="str">
        <f>Detalle_OC[[#This Row],[Centro]]&amp;Detalle_OC[[#This Row],[Nom Almacen]]&amp;Detalle_OC[[#This Row],[Material]]&amp;Detalle_OC[[#This Row],[Pedido]]&amp;Detalle_OC[[#This Row],[Posicion]]</f>
        <v>Agricola del Chira PlantaMontelima70129868451157198150</v>
      </c>
      <c r="B907" t="s">
        <v>1154</v>
      </c>
      <c r="C907" t="s">
        <v>221</v>
      </c>
      <c r="D907" s="11">
        <v>45657</v>
      </c>
      <c r="E907" t="s">
        <v>48</v>
      </c>
      <c r="F907" t="s">
        <v>12</v>
      </c>
      <c r="G907">
        <v>70129868</v>
      </c>
      <c r="H907">
        <v>4511571981</v>
      </c>
      <c r="I907">
        <v>50</v>
      </c>
      <c r="J907" s="29">
        <v>1</v>
      </c>
      <c r="K907" s="29" t="s">
        <v>877</v>
      </c>
      <c r="L907" t="str">
        <f>IFERROR(VLOOKUP(Detalle_OC[[#This Row],[Centro]]&amp;Detalle_OC[[#This Row],[Nro Almacen]],Almacen!A:D,4,FALSE),"")</f>
        <v>Montelima</v>
      </c>
    </row>
    <row r="908" spans="1:12" x14ac:dyDescent="0.3">
      <c r="A908" s="29" t="str">
        <f>Detalle_OC[[#This Row],[Centro]]&amp;Detalle_OC[[#This Row],[Nom Almacen]]&amp;Detalle_OC[[#This Row],[Material]]&amp;Detalle_OC[[#This Row],[Pedido]]&amp;Detalle_OC[[#This Row],[Posicion]]</f>
        <v>Agricola del Chira PlantaMontelima70127085451157198160</v>
      </c>
      <c r="B908" t="s">
        <v>1154</v>
      </c>
      <c r="C908" t="s">
        <v>221</v>
      </c>
      <c r="D908" s="11">
        <v>45657</v>
      </c>
      <c r="E908" t="s">
        <v>48</v>
      </c>
      <c r="F908" t="s">
        <v>12</v>
      </c>
      <c r="G908">
        <v>70127085</v>
      </c>
      <c r="H908">
        <v>4511571981</v>
      </c>
      <c r="I908">
        <v>60</v>
      </c>
      <c r="J908" s="29">
        <v>1</v>
      </c>
      <c r="K908" s="29" t="s">
        <v>877</v>
      </c>
      <c r="L908" t="str">
        <f>IFERROR(VLOOKUP(Detalle_OC[[#This Row],[Centro]]&amp;Detalle_OC[[#This Row],[Nro Almacen]],Almacen!A:D,4,FALSE),"")</f>
        <v>Montelima</v>
      </c>
    </row>
    <row r="909" spans="1:12" x14ac:dyDescent="0.3">
      <c r="A909" s="29" t="str">
        <f>Detalle_OC[[#This Row],[Centro]]&amp;Detalle_OC[[#This Row],[Nom Almacen]]&amp;Detalle_OC[[#This Row],[Material]]&amp;Detalle_OC[[#This Row],[Pedido]]&amp;Detalle_OC[[#This Row],[Posicion]]</f>
        <v>Agricola del Chira PlantaMontelima70131061451157198170</v>
      </c>
      <c r="B909" t="s">
        <v>1154</v>
      </c>
      <c r="C909" t="s">
        <v>221</v>
      </c>
      <c r="D909" s="11">
        <v>45657</v>
      </c>
      <c r="E909" t="s">
        <v>48</v>
      </c>
      <c r="F909" t="s">
        <v>12</v>
      </c>
      <c r="G909">
        <v>70131061</v>
      </c>
      <c r="H909">
        <v>4511571981</v>
      </c>
      <c r="I909">
        <v>70</v>
      </c>
      <c r="J909" s="29">
        <v>1</v>
      </c>
      <c r="K909" s="29" t="s">
        <v>877</v>
      </c>
      <c r="L909" t="str">
        <f>IFERROR(VLOOKUP(Detalle_OC[[#This Row],[Centro]]&amp;Detalle_OC[[#This Row],[Nro Almacen]],Almacen!A:D,4,FALSE),"")</f>
        <v>Montelima</v>
      </c>
    </row>
    <row r="910" spans="1:12" x14ac:dyDescent="0.3">
      <c r="A910" s="29" t="str">
        <f>Detalle_OC[[#This Row],[Centro]]&amp;Detalle_OC[[#This Row],[Nom Almacen]]&amp;Detalle_OC[[#This Row],[Material]]&amp;Detalle_OC[[#This Row],[Pedido]]&amp;Detalle_OC[[#This Row],[Posicion]]</f>
        <v>Agricola del Chira PlantaMontelima70127085451157198180</v>
      </c>
      <c r="B910" t="s">
        <v>1154</v>
      </c>
      <c r="C910" t="s">
        <v>221</v>
      </c>
      <c r="D910" s="11">
        <v>45657</v>
      </c>
      <c r="E910" t="s">
        <v>48</v>
      </c>
      <c r="F910" t="s">
        <v>12</v>
      </c>
      <c r="G910">
        <v>70127085</v>
      </c>
      <c r="H910">
        <v>4511571981</v>
      </c>
      <c r="I910">
        <v>80</v>
      </c>
      <c r="J910" s="29">
        <v>1</v>
      </c>
      <c r="K910" s="29" t="s">
        <v>877</v>
      </c>
      <c r="L910" t="str">
        <f>IFERROR(VLOOKUP(Detalle_OC[[#This Row],[Centro]]&amp;Detalle_OC[[#This Row],[Nro Almacen]],Almacen!A:D,4,FALSE),"")</f>
        <v>Montelima</v>
      </c>
    </row>
    <row r="911" spans="1:12" x14ac:dyDescent="0.3">
      <c r="A911" s="29" t="str">
        <f>Detalle_OC[[#This Row],[Centro]]&amp;Detalle_OC[[#This Row],[Nom Almacen]]&amp;Detalle_OC[[#This Row],[Material]]&amp;Detalle_OC[[#This Row],[Pedido]]&amp;Detalle_OC[[#This Row],[Posicion]]</f>
        <v>Sucroalcolera del Chira PlantaMontelima70135559451157198210</v>
      </c>
      <c r="B911" t="s">
        <v>1154</v>
      </c>
      <c r="C911" t="s">
        <v>221</v>
      </c>
      <c r="D911" s="11">
        <v>45657</v>
      </c>
      <c r="E911" t="s">
        <v>48</v>
      </c>
      <c r="F911" t="s">
        <v>85</v>
      </c>
      <c r="G911">
        <v>70135559</v>
      </c>
      <c r="H911">
        <v>4511571982</v>
      </c>
      <c r="I911">
        <v>10</v>
      </c>
      <c r="J911" s="29">
        <v>1</v>
      </c>
      <c r="K911" s="29" t="s">
        <v>877</v>
      </c>
      <c r="L911" t="str">
        <f>IFERROR(VLOOKUP(Detalle_OC[[#This Row],[Centro]]&amp;Detalle_OC[[#This Row],[Nro Almacen]],Almacen!A:D,4,FALSE),"")</f>
        <v>Montelima</v>
      </c>
    </row>
    <row r="912" spans="1:12" x14ac:dyDescent="0.3">
      <c r="A912" s="29" t="str">
        <f>Detalle_OC[[#This Row],[Centro]]&amp;Detalle_OC[[#This Row],[Nom Almacen]]&amp;Detalle_OC[[#This Row],[Material]]&amp;Detalle_OC[[#This Row],[Pedido]]&amp;Detalle_OC[[#This Row],[Posicion]]</f>
        <v>Sucroalcolera del Chira PlantaMontelima70131063451157198220</v>
      </c>
      <c r="B912" t="s">
        <v>1154</v>
      </c>
      <c r="C912" t="s">
        <v>221</v>
      </c>
      <c r="D912" s="11">
        <v>45657</v>
      </c>
      <c r="E912" t="s">
        <v>48</v>
      </c>
      <c r="F912" t="s">
        <v>85</v>
      </c>
      <c r="G912">
        <v>70131063</v>
      </c>
      <c r="H912">
        <v>4511571982</v>
      </c>
      <c r="I912">
        <v>20</v>
      </c>
      <c r="J912" s="29">
        <v>1</v>
      </c>
      <c r="K912" s="29" t="s">
        <v>877</v>
      </c>
      <c r="L912" t="str">
        <f>IFERROR(VLOOKUP(Detalle_OC[[#This Row],[Centro]]&amp;Detalle_OC[[#This Row],[Nro Almacen]],Almacen!A:D,4,FALSE),"")</f>
        <v>Montelima</v>
      </c>
    </row>
    <row r="913" spans="1:12" x14ac:dyDescent="0.3">
      <c r="A913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fábrica865548451157198510</v>
      </c>
      <c r="B913" t="s">
        <v>142</v>
      </c>
      <c r="C913" t="s">
        <v>223</v>
      </c>
      <c r="D913" s="11">
        <v>45657</v>
      </c>
      <c r="E913" t="s">
        <v>16</v>
      </c>
      <c r="F913" t="s">
        <v>85</v>
      </c>
      <c r="G913">
        <v>865548</v>
      </c>
      <c r="H913">
        <v>4511571985</v>
      </c>
      <c r="I913">
        <v>10</v>
      </c>
      <c r="J913" s="29">
        <v>9</v>
      </c>
      <c r="K913" s="29" t="s">
        <v>877</v>
      </c>
      <c r="L913" t="str">
        <f>IFERROR(VLOOKUP(Detalle_OC[[#This Row],[Centro]]&amp;Detalle_OC[[#This Row],[Nro Almacen]],Almacen!A:D,4,FALSE),"")</f>
        <v>Parada fábrica</v>
      </c>
    </row>
    <row r="914" spans="1:12" x14ac:dyDescent="0.3">
      <c r="A914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fábrica850103451157198520</v>
      </c>
      <c r="B914" t="s">
        <v>142</v>
      </c>
      <c r="C914" t="s">
        <v>223</v>
      </c>
      <c r="D914" s="11">
        <v>45657</v>
      </c>
      <c r="E914" t="s">
        <v>16</v>
      </c>
      <c r="F914" t="s">
        <v>85</v>
      </c>
      <c r="G914">
        <v>850103</v>
      </c>
      <c r="H914">
        <v>4511571985</v>
      </c>
      <c r="I914">
        <v>20</v>
      </c>
      <c r="J914" s="29">
        <v>9</v>
      </c>
      <c r="K914" s="29" t="s">
        <v>877</v>
      </c>
      <c r="L914" t="str">
        <f>IFERROR(VLOOKUP(Detalle_OC[[#This Row],[Centro]]&amp;Detalle_OC[[#This Row],[Nro Almacen]],Almacen!A:D,4,FALSE),"")</f>
        <v>Parada fábrica</v>
      </c>
    </row>
    <row r="915" spans="1:12" x14ac:dyDescent="0.3">
      <c r="A915" s="29" t="str">
        <f>Detalle_OC[[#This Row],[Centro]]&amp;Detalle_OC[[#This Row],[Nom Almacen]]&amp;Detalle_OC[[#This Row],[Material]]&amp;Detalle_OC[[#This Row],[Pedido]]&amp;Detalle_OC[[#This Row],[Posicion]]</f>
        <v>Agricola del Chira PlantaSan Vicente70023469451157198610</v>
      </c>
      <c r="B915" t="s">
        <v>329</v>
      </c>
      <c r="C915" t="s">
        <v>46</v>
      </c>
      <c r="D915" s="11">
        <v>45777</v>
      </c>
      <c r="E915" t="s">
        <v>48</v>
      </c>
      <c r="F915" t="s">
        <v>12</v>
      </c>
      <c r="G915">
        <v>70023469</v>
      </c>
      <c r="H915">
        <v>4511571986</v>
      </c>
      <c r="I915">
        <v>10</v>
      </c>
      <c r="J915" s="29">
        <v>3</v>
      </c>
      <c r="K915" s="29" t="s">
        <v>877</v>
      </c>
      <c r="L915" t="str">
        <f>IFERROR(VLOOKUP(Detalle_OC[[#This Row],[Centro]]&amp;Detalle_OC[[#This Row],[Nro Almacen]],Almacen!A:D,4,FALSE),"")</f>
        <v>San Vicente</v>
      </c>
    </row>
    <row r="916" spans="1:12" x14ac:dyDescent="0.3">
      <c r="A916" s="29" t="str">
        <f>Detalle_OC[[#This Row],[Centro]]&amp;Detalle_OC[[#This Row],[Nom Almacen]]&amp;Detalle_OC[[#This Row],[Material]]&amp;Detalle_OC[[#This Row],[Pedido]]&amp;Detalle_OC[[#This Row],[Posicion]]</f>
        <v>Agricola del Chira PlantaSan Vicente70023469451157198620</v>
      </c>
      <c r="B916" t="s">
        <v>329</v>
      </c>
      <c r="C916" t="s">
        <v>46</v>
      </c>
      <c r="D916" s="11">
        <v>45777</v>
      </c>
      <c r="E916" t="s">
        <v>48</v>
      </c>
      <c r="F916" t="s">
        <v>12</v>
      </c>
      <c r="G916">
        <v>70023469</v>
      </c>
      <c r="H916">
        <v>4511571986</v>
      </c>
      <c r="I916">
        <v>20</v>
      </c>
      <c r="J916" s="29">
        <v>3</v>
      </c>
      <c r="K916" s="29" t="s">
        <v>877</v>
      </c>
      <c r="L916" t="str">
        <f>IFERROR(VLOOKUP(Detalle_OC[[#This Row],[Centro]]&amp;Detalle_OC[[#This Row],[Nro Almacen]],Almacen!A:D,4,FALSE),"")</f>
        <v>San Vicente</v>
      </c>
    </row>
    <row r="917" spans="1:12" x14ac:dyDescent="0.3">
      <c r="A917" s="29" t="str">
        <f>Detalle_OC[[#This Row],[Centro]]&amp;Detalle_OC[[#This Row],[Nom Almacen]]&amp;Detalle_OC[[#This Row],[Material]]&amp;Detalle_OC[[#This Row],[Pedido]]&amp;Detalle_OC[[#This Row],[Posicion]]</f>
        <v>Agricola del Chira PlantaSan Vicente70023469451157198630</v>
      </c>
      <c r="B917" t="s">
        <v>329</v>
      </c>
      <c r="C917" t="s">
        <v>46</v>
      </c>
      <c r="D917" s="11">
        <v>45777</v>
      </c>
      <c r="E917" t="s">
        <v>48</v>
      </c>
      <c r="F917" t="s">
        <v>12</v>
      </c>
      <c r="G917">
        <v>70023469</v>
      </c>
      <c r="H917">
        <v>4511571986</v>
      </c>
      <c r="I917">
        <v>30</v>
      </c>
      <c r="J917" s="29">
        <v>3</v>
      </c>
      <c r="K917" s="29" t="s">
        <v>877</v>
      </c>
      <c r="L917" t="str">
        <f>IFERROR(VLOOKUP(Detalle_OC[[#This Row],[Centro]]&amp;Detalle_OC[[#This Row],[Nro Almacen]],Almacen!A:D,4,FALSE),"")</f>
        <v>San Vicente</v>
      </c>
    </row>
    <row r="918" spans="1:12" x14ac:dyDescent="0.3">
      <c r="A918" s="29" t="str">
        <f>Detalle_OC[[#This Row],[Centro]]&amp;Detalle_OC[[#This Row],[Nom Almacen]]&amp;Detalle_OC[[#This Row],[Material]]&amp;Detalle_OC[[#This Row],[Pedido]]&amp;Detalle_OC[[#This Row],[Posicion]]</f>
        <v>Agricola del Chira PlantaSan Vicente70023469451157198640</v>
      </c>
      <c r="B918" t="s">
        <v>329</v>
      </c>
      <c r="C918" t="s">
        <v>46</v>
      </c>
      <c r="D918" s="11">
        <v>45777</v>
      </c>
      <c r="E918" t="s">
        <v>48</v>
      </c>
      <c r="F918" t="s">
        <v>12</v>
      </c>
      <c r="G918">
        <v>70023469</v>
      </c>
      <c r="H918">
        <v>4511571986</v>
      </c>
      <c r="I918">
        <v>40</v>
      </c>
      <c r="J918" s="29">
        <v>3</v>
      </c>
      <c r="K918" s="29" t="s">
        <v>877</v>
      </c>
      <c r="L918" t="str">
        <f>IFERROR(VLOOKUP(Detalle_OC[[#This Row],[Centro]]&amp;Detalle_OC[[#This Row],[Nro Almacen]],Almacen!A:D,4,FALSE),"")</f>
        <v>San Vicente</v>
      </c>
    </row>
    <row r="919" spans="1:12" x14ac:dyDescent="0.3">
      <c r="A919" s="29" t="str">
        <f>Detalle_OC[[#This Row],[Centro]]&amp;Detalle_OC[[#This Row],[Nom Almacen]]&amp;Detalle_OC[[#This Row],[Material]]&amp;Detalle_OC[[#This Row],[Pedido]]&amp;Detalle_OC[[#This Row],[Posicion]]</f>
        <v>Agricola del Chira PlantaSan Vicente70023469451157198650</v>
      </c>
      <c r="B919" t="s">
        <v>329</v>
      </c>
      <c r="C919" t="s">
        <v>46</v>
      </c>
      <c r="D919" s="11">
        <v>45777</v>
      </c>
      <c r="E919" t="s">
        <v>48</v>
      </c>
      <c r="F919" t="s">
        <v>12</v>
      </c>
      <c r="G919">
        <v>70023469</v>
      </c>
      <c r="H919">
        <v>4511571986</v>
      </c>
      <c r="I919">
        <v>50</v>
      </c>
      <c r="J919" s="29">
        <v>3</v>
      </c>
      <c r="K919" s="29" t="s">
        <v>877</v>
      </c>
      <c r="L919" t="str">
        <f>IFERROR(VLOOKUP(Detalle_OC[[#This Row],[Centro]]&amp;Detalle_OC[[#This Row],[Nro Almacen]],Almacen!A:D,4,FALSE),"")</f>
        <v>San Vicente</v>
      </c>
    </row>
    <row r="920" spans="1:12" x14ac:dyDescent="0.3">
      <c r="A920" s="29" t="str">
        <f>Detalle_OC[[#This Row],[Centro]]&amp;Detalle_OC[[#This Row],[Nom Almacen]]&amp;Detalle_OC[[#This Row],[Material]]&amp;Detalle_OC[[#This Row],[Pedido]]&amp;Detalle_OC[[#This Row],[Posicion]]</f>
        <v>Agricola del Chira PlantaSan Vicente70023469451157198660</v>
      </c>
      <c r="B920" t="s">
        <v>329</v>
      </c>
      <c r="C920" t="s">
        <v>46</v>
      </c>
      <c r="D920" s="11">
        <v>45777</v>
      </c>
      <c r="E920" t="s">
        <v>48</v>
      </c>
      <c r="F920" t="s">
        <v>12</v>
      </c>
      <c r="G920">
        <v>70023469</v>
      </c>
      <c r="H920">
        <v>4511571986</v>
      </c>
      <c r="I920">
        <v>60</v>
      </c>
      <c r="J920" s="29">
        <v>3</v>
      </c>
      <c r="K920" s="29" t="s">
        <v>877</v>
      </c>
      <c r="L920" t="str">
        <f>IFERROR(VLOOKUP(Detalle_OC[[#This Row],[Centro]]&amp;Detalle_OC[[#This Row],[Nro Almacen]],Almacen!A:D,4,FALSE),"")</f>
        <v>San Vicente</v>
      </c>
    </row>
    <row r="921" spans="1:12" x14ac:dyDescent="0.3">
      <c r="A921" s="29" t="str">
        <f>Detalle_OC[[#This Row],[Centro]]&amp;Detalle_OC[[#This Row],[Nom Almacen]]&amp;Detalle_OC[[#This Row],[Material]]&amp;Detalle_OC[[#This Row],[Pedido]]&amp;Detalle_OC[[#This Row],[Posicion]]</f>
        <v>FALSO</v>
      </c>
      <c r="B921" t="s">
        <v>163</v>
      </c>
      <c r="D921" s="11" t="s">
        <v>164</v>
      </c>
      <c r="E921" t="b">
        <v>0</v>
      </c>
      <c r="F921" t="b">
        <v>0</v>
      </c>
      <c r="J921" s="29"/>
      <c r="K921" s="29"/>
      <c r="L921" t="str">
        <f>IFERROR(VLOOKUP(Detalle_OC[[#This Row],[Centro]]&amp;Detalle_OC[[#This Row],[Nro Almacen]],Almacen!A:D,4,FALSE),"")</f>
        <v/>
      </c>
    </row>
    <row r="922" spans="1:12" x14ac:dyDescent="0.3">
      <c r="A922" s="29" t="str">
        <f>Detalle_OC[[#This Row],[Centro]]&amp;Detalle_OC[[#This Row],[Nom Almacen]]&amp;Detalle_OC[[#This Row],[Material]]&amp;Detalle_OC[[#This Row],[Pedido]]&amp;Detalle_OC[[#This Row],[Posicion]]</f>
        <v>FALSO4511571987101</v>
      </c>
      <c r="B922" t="s">
        <v>304</v>
      </c>
      <c r="C922" t="s">
        <v>1037</v>
      </c>
      <c r="D922" s="11" t="s">
        <v>165</v>
      </c>
      <c r="E922" t="b">
        <v>0</v>
      </c>
      <c r="F922" t="b">
        <v>0</v>
      </c>
      <c r="G922">
        <v>4511571987</v>
      </c>
      <c r="H922">
        <v>10</v>
      </c>
      <c r="I922">
        <v>1</v>
      </c>
      <c r="J922" s="29" t="s">
        <v>877</v>
      </c>
      <c r="K922" s="29"/>
      <c r="L922" t="str">
        <f>IFERROR(VLOOKUP(Detalle_OC[[#This Row],[Centro]]&amp;Detalle_OC[[#This Row],[Nro Almacen]],Almacen!A:D,4,FALSE),"")</f>
        <v/>
      </c>
    </row>
    <row r="923" spans="1:12" x14ac:dyDescent="0.3">
      <c r="A923" s="29" t="str">
        <f>Detalle_OC[[#This Row],[Centro]]&amp;Detalle_OC[[#This Row],[Nom Almacen]]&amp;Detalle_OC[[#This Row],[Material]]&amp;Detalle_OC[[#This Row],[Pedido]]&amp;Detalle_OC[[#This Row],[Posicion]]</f>
        <v>Sucroalcolera del Chira PlantaMontelima70102703451157198810</v>
      </c>
      <c r="B923" t="s">
        <v>138</v>
      </c>
      <c r="C923" t="s">
        <v>1115</v>
      </c>
      <c r="D923" s="11">
        <v>45642</v>
      </c>
      <c r="E923" t="s">
        <v>16</v>
      </c>
      <c r="F923" t="s">
        <v>85</v>
      </c>
      <c r="G923">
        <v>70102703</v>
      </c>
      <c r="H923">
        <v>4511571988</v>
      </c>
      <c r="I923">
        <v>10</v>
      </c>
      <c r="J923" s="29">
        <v>1</v>
      </c>
      <c r="K923" s="29" t="s">
        <v>877</v>
      </c>
      <c r="L923" t="str">
        <f>IFERROR(VLOOKUP(Detalle_OC[[#This Row],[Centro]]&amp;Detalle_OC[[#This Row],[Nro Almacen]],Almacen!A:D,4,FALSE),"")</f>
        <v>Montelima</v>
      </c>
    </row>
    <row r="924" spans="1:12" x14ac:dyDescent="0.3">
      <c r="A924" s="29" t="str">
        <f>Detalle_OC[[#This Row],[Centro]]&amp;Detalle_OC[[#This Row],[Nom Almacen]]&amp;Detalle_OC[[#This Row],[Material]]&amp;Detalle_OC[[#This Row],[Pedido]]&amp;Detalle_OC[[#This Row],[Posicion]]</f>
        <v>Agricola del Chira PlantaMontelima70135644451157198910</v>
      </c>
      <c r="B924" t="s">
        <v>225</v>
      </c>
      <c r="C924" t="s">
        <v>166</v>
      </c>
      <c r="D924" s="11">
        <v>45646</v>
      </c>
      <c r="E924" t="s">
        <v>16</v>
      </c>
      <c r="F924" t="s">
        <v>12</v>
      </c>
      <c r="G924">
        <v>70135644</v>
      </c>
      <c r="H924">
        <v>4511571989</v>
      </c>
      <c r="I924">
        <v>10</v>
      </c>
      <c r="J924" s="29">
        <v>1</v>
      </c>
      <c r="K924" s="29" t="s">
        <v>877</v>
      </c>
      <c r="L924" t="str">
        <f>IFERROR(VLOOKUP(Detalle_OC[[#This Row],[Centro]]&amp;Detalle_OC[[#This Row],[Nro Almacen]],Almacen!A:D,4,FALSE),"")</f>
        <v>Montelima</v>
      </c>
    </row>
    <row r="925" spans="1:12" x14ac:dyDescent="0.3">
      <c r="A925" s="29" t="str">
        <f>Detalle_OC[[#This Row],[Centro]]&amp;Detalle_OC[[#This Row],[Nom Almacen]]&amp;Detalle_OC[[#This Row],[Material]]&amp;Detalle_OC[[#This Row],[Pedido]]&amp;Detalle_OC[[#This Row],[Posicion]]</f>
        <v>Agricola del Chira PlantaMontelima70135720451157198920</v>
      </c>
      <c r="B925" t="s">
        <v>225</v>
      </c>
      <c r="C925" t="s">
        <v>166</v>
      </c>
      <c r="D925" s="11">
        <v>45646</v>
      </c>
      <c r="E925" t="s">
        <v>16</v>
      </c>
      <c r="F925" t="s">
        <v>12</v>
      </c>
      <c r="G925">
        <v>70135720</v>
      </c>
      <c r="H925">
        <v>4511571989</v>
      </c>
      <c r="I925">
        <v>20</v>
      </c>
      <c r="J925" s="29">
        <v>1</v>
      </c>
      <c r="K925" s="29" t="s">
        <v>877</v>
      </c>
      <c r="L925" t="str">
        <f>IFERROR(VLOOKUP(Detalle_OC[[#This Row],[Centro]]&amp;Detalle_OC[[#This Row],[Nro Almacen]],Almacen!A:D,4,FALSE),"")</f>
        <v>Montelima</v>
      </c>
    </row>
    <row r="926" spans="1:12" x14ac:dyDescent="0.3">
      <c r="A926" s="29" t="str">
        <f>Detalle_OC[[#This Row],[Centro]]&amp;Detalle_OC[[#This Row],[Nom Almacen]]&amp;Detalle_OC[[#This Row],[Material]]&amp;Detalle_OC[[#This Row],[Pedido]]&amp;Detalle_OC[[#This Row],[Posicion]]</f>
        <v>Agricola del Chira PlantaMontelima749119451157198930</v>
      </c>
      <c r="B926" t="s">
        <v>149</v>
      </c>
      <c r="C926" t="s">
        <v>166</v>
      </c>
      <c r="D926" s="11">
        <v>45646</v>
      </c>
      <c r="E926" t="s">
        <v>16</v>
      </c>
      <c r="F926" t="s">
        <v>12</v>
      </c>
      <c r="G926">
        <v>749119</v>
      </c>
      <c r="H926">
        <v>4511571989</v>
      </c>
      <c r="I926">
        <v>30</v>
      </c>
      <c r="J926" s="29">
        <v>1</v>
      </c>
      <c r="K926" s="29" t="s">
        <v>877</v>
      </c>
      <c r="L926" t="str">
        <f>IFERROR(VLOOKUP(Detalle_OC[[#This Row],[Centro]]&amp;Detalle_OC[[#This Row],[Nro Almacen]],Almacen!A:D,4,FALSE),"")</f>
        <v>Montelima</v>
      </c>
    </row>
    <row r="927" spans="1:12" x14ac:dyDescent="0.3">
      <c r="A927" s="29" t="str">
        <f>Detalle_OC[[#This Row],[Centro]]&amp;Detalle_OC[[#This Row],[Nom Almacen]]&amp;Detalle_OC[[#This Row],[Material]]&amp;Detalle_OC[[#This Row],[Pedido]]&amp;Detalle_OC[[#This Row],[Posicion]]</f>
        <v>Agricola del Chira PlantaMontelima758371451157198940</v>
      </c>
      <c r="B927" t="s">
        <v>149</v>
      </c>
      <c r="C927" t="s">
        <v>166</v>
      </c>
      <c r="D927" s="11">
        <v>45646</v>
      </c>
      <c r="E927" t="s">
        <v>16</v>
      </c>
      <c r="F927" t="s">
        <v>12</v>
      </c>
      <c r="G927">
        <v>758371</v>
      </c>
      <c r="H927">
        <v>4511571989</v>
      </c>
      <c r="I927">
        <v>40</v>
      </c>
      <c r="J927" s="29">
        <v>1</v>
      </c>
      <c r="K927" s="29" t="s">
        <v>877</v>
      </c>
      <c r="L927" t="str">
        <f>IFERROR(VLOOKUP(Detalle_OC[[#This Row],[Centro]]&amp;Detalle_OC[[#This Row],[Nro Almacen]],Almacen!A:D,4,FALSE),"")</f>
        <v>Montelima</v>
      </c>
    </row>
    <row r="928" spans="1:12" x14ac:dyDescent="0.3">
      <c r="A928" s="29" t="str">
        <f>Detalle_OC[[#This Row],[Centro]]&amp;Detalle_OC[[#This Row],[Nom Almacen]]&amp;Detalle_OC[[#This Row],[Material]]&amp;Detalle_OC[[#This Row],[Pedido]]&amp;Detalle_OC[[#This Row],[Posicion]]</f>
        <v>Agricola del Chira PlantaMontelima758375451157198950</v>
      </c>
      <c r="B928" t="s">
        <v>149</v>
      </c>
      <c r="C928" t="s">
        <v>166</v>
      </c>
      <c r="D928" s="11">
        <v>45646</v>
      </c>
      <c r="E928" t="s">
        <v>16</v>
      </c>
      <c r="F928" t="s">
        <v>12</v>
      </c>
      <c r="G928">
        <v>758375</v>
      </c>
      <c r="H928">
        <v>4511571989</v>
      </c>
      <c r="I928">
        <v>50</v>
      </c>
      <c r="J928" s="29">
        <v>1</v>
      </c>
      <c r="K928" s="29" t="s">
        <v>877</v>
      </c>
      <c r="L928" t="str">
        <f>IFERROR(VLOOKUP(Detalle_OC[[#This Row],[Centro]]&amp;Detalle_OC[[#This Row],[Nro Almacen]],Almacen!A:D,4,FALSE),"")</f>
        <v>Montelima</v>
      </c>
    </row>
    <row r="929" spans="1:12" x14ac:dyDescent="0.3">
      <c r="A929" s="29" t="str">
        <f>Detalle_OC[[#This Row],[Centro]]&amp;Detalle_OC[[#This Row],[Nom Almacen]]&amp;Detalle_OC[[#This Row],[Material]]&amp;Detalle_OC[[#This Row],[Pedido]]&amp;Detalle_OC[[#This Row],[Posicion]]</f>
        <v>Agricola del Chira PlantaMontelima810189451157198960</v>
      </c>
      <c r="B929" t="s">
        <v>149</v>
      </c>
      <c r="C929" t="s">
        <v>166</v>
      </c>
      <c r="D929" s="11">
        <v>45646</v>
      </c>
      <c r="E929" t="s">
        <v>16</v>
      </c>
      <c r="F929" t="s">
        <v>12</v>
      </c>
      <c r="G929">
        <v>810189</v>
      </c>
      <c r="H929">
        <v>4511571989</v>
      </c>
      <c r="I929">
        <v>60</v>
      </c>
      <c r="J929" s="29">
        <v>1</v>
      </c>
      <c r="K929" s="29" t="s">
        <v>877</v>
      </c>
      <c r="L929" t="str">
        <f>IFERROR(VLOOKUP(Detalle_OC[[#This Row],[Centro]]&amp;Detalle_OC[[#This Row],[Nro Almacen]],Almacen!A:D,4,FALSE),"")</f>
        <v>Montelima</v>
      </c>
    </row>
    <row r="930" spans="1:12" x14ac:dyDescent="0.3">
      <c r="A930" s="29" t="str">
        <f>Detalle_OC[[#This Row],[Centro]]&amp;Detalle_OC[[#This Row],[Nom Almacen]]&amp;Detalle_OC[[#This Row],[Material]]&amp;Detalle_OC[[#This Row],[Pedido]]&amp;Detalle_OC[[#This Row],[Posicion]]</f>
        <v>Agricola del Chira PlantaMontelima813002451157198970</v>
      </c>
      <c r="B930" t="s">
        <v>149</v>
      </c>
      <c r="C930" t="s">
        <v>166</v>
      </c>
      <c r="D930" s="11">
        <v>45646</v>
      </c>
      <c r="E930" t="s">
        <v>16</v>
      </c>
      <c r="F930" t="s">
        <v>12</v>
      </c>
      <c r="G930">
        <v>813002</v>
      </c>
      <c r="H930">
        <v>4511571989</v>
      </c>
      <c r="I930">
        <v>70</v>
      </c>
      <c r="J930" s="29">
        <v>1</v>
      </c>
      <c r="K930" s="29" t="s">
        <v>877</v>
      </c>
      <c r="L930" t="str">
        <f>IFERROR(VLOOKUP(Detalle_OC[[#This Row],[Centro]]&amp;Detalle_OC[[#This Row],[Nro Almacen]],Almacen!A:D,4,FALSE),"")</f>
        <v>Montelima</v>
      </c>
    </row>
    <row r="931" spans="1:12" x14ac:dyDescent="0.3">
      <c r="A931" s="29" t="str">
        <f>Detalle_OC[[#This Row],[Centro]]&amp;Detalle_OC[[#This Row],[Nom Almacen]]&amp;Detalle_OC[[#This Row],[Material]]&amp;Detalle_OC[[#This Row],[Pedido]]&amp;Detalle_OC[[#This Row],[Posicion]]</f>
        <v>Agricola del Chira PlantaMontelima823287451157198980</v>
      </c>
      <c r="B931" t="s">
        <v>149</v>
      </c>
      <c r="C931" t="s">
        <v>166</v>
      </c>
      <c r="D931" s="11">
        <v>45670</v>
      </c>
      <c r="E931" t="s">
        <v>16</v>
      </c>
      <c r="F931" t="s">
        <v>12</v>
      </c>
      <c r="G931">
        <v>823287</v>
      </c>
      <c r="H931">
        <v>4511571989</v>
      </c>
      <c r="I931">
        <v>80</v>
      </c>
      <c r="J931" s="29">
        <v>1</v>
      </c>
      <c r="K931" s="29" t="s">
        <v>877</v>
      </c>
      <c r="L931" t="str">
        <f>IFERROR(VLOOKUP(Detalle_OC[[#This Row],[Centro]]&amp;Detalle_OC[[#This Row],[Nro Almacen]],Almacen!A:D,4,FALSE),"")</f>
        <v>Montelima</v>
      </c>
    </row>
    <row r="932" spans="1:12" x14ac:dyDescent="0.3">
      <c r="A932" s="29" t="str">
        <f>Detalle_OC[[#This Row],[Centro]]&amp;Detalle_OC[[#This Row],[Nom Almacen]]&amp;Detalle_OC[[#This Row],[Material]]&amp;Detalle_OC[[#This Row],[Pedido]]&amp;Detalle_OC[[#This Row],[Posicion]]</f>
        <v>Agricola del Chira PlantaMontelima828046451157198990</v>
      </c>
      <c r="B932" t="s">
        <v>149</v>
      </c>
      <c r="C932" t="s">
        <v>166</v>
      </c>
      <c r="D932" s="11">
        <v>45646</v>
      </c>
      <c r="E932" t="s">
        <v>16</v>
      </c>
      <c r="F932" t="s">
        <v>12</v>
      </c>
      <c r="G932">
        <v>828046</v>
      </c>
      <c r="H932">
        <v>4511571989</v>
      </c>
      <c r="I932">
        <v>90</v>
      </c>
      <c r="J932" s="29">
        <v>1</v>
      </c>
      <c r="K932" s="29" t="s">
        <v>877</v>
      </c>
      <c r="L932" t="str">
        <f>IFERROR(VLOOKUP(Detalle_OC[[#This Row],[Centro]]&amp;Detalle_OC[[#This Row],[Nro Almacen]],Almacen!A:D,4,FALSE),"")</f>
        <v>Montelima</v>
      </c>
    </row>
    <row r="933" spans="1:12" x14ac:dyDescent="0.3">
      <c r="A933" s="29" t="str">
        <f>Detalle_OC[[#This Row],[Centro]]&amp;Detalle_OC[[#This Row],[Nom Almacen]]&amp;Detalle_OC[[#This Row],[Material]]&amp;Detalle_OC[[#This Row],[Pedido]]&amp;Detalle_OC[[#This Row],[Posicion]]</f>
        <v>Agricola del Chira PlantaMontelima8466484511571989100</v>
      </c>
      <c r="B933" t="s">
        <v>149</v>
      </c>
      <c r="C933" t="s">
        <v>166</v>
      </c>
      <c r="D933" s="11">
        <v>45646</v>
      </c>
      <c r="E933" t="s">
        <v>16</v>
      </c>
      <c r="F933" t="s">
        <v>12</v>
      </c>
      <c r="G933">
        <v>846648</v>
      </c>
      <c r="H933">
        <v>4511571989</v>
      </c>
      <c r="I933">
        <v>100</v>
      </c>
      <c r="J933" s="29">
        <v>1</v>
      </c>
      <c r="K933" s="29" t="s">
        <v>877</v>
      </c>
      <c r="L933" t="str">
        <f>IFERROR(VLOOKUP(Detalle_OC[[#This Row],[Centro]]&amp;Detalle_OC[[#This Row],[Nro Almacen]],Almacen!A:D,4,FALSE),"")</f>
        <v>Montelima</v>
      </c>
    </row>
    <row r="934" spans="1:12" x14ac:dyDescent="0.3">
      <c r="A934" s="29" t="str">
        <f>Detalle_OC[[#This Row],[Centro]]&amp;Detalle_OC[[#This Row],[Nom Almacen]]&amp;Detalle_OC[[#This Row],[Material]]&amp;Detalle_OC[[#This Row],[Pedido]]&amp;Detalle_OC[[#This Row],[Posicion]]</f>
        <v>Agricola del Chira PlantaMontelima8608734511571989110</v>
      </c>
      <c r="B934" t="s">
        <v>149</v>
      </c>
      <c r="C934" t="s">
        <v>166</v>
      </c>
      <c r="D934" s="11">
        <v>45646</v>
      </c>
      <c r="E934" t="s">
        <v>16</v>
      </c>
      <c r="F934" t="s">
        <v>12</v>
      </c>
      <c r="G934">
        <v>860873</v>
      </c>
      <c r="H934">
        <v>4511571989</v>
      </c>
      <c r="I934">
        <v>110</v>
      </c>
      <c r="J934" s="29">
        <v>1</v>
      </c>
      <c r="K934" s="29" t="s">
        <v>877</v>
      </c>
      <c r="L934" t="str">
        <f>IFERROR(VLOOKUP(Detalle_OC[[#This Row],[Centro]]&amp;Detalle_OC[[#This Row],[Nro Almacen]],Almacen!A:D,4,FALSE),"")</f>
        <v>Montelima</v>
      </c>
    </row>
    <row r="935" spans="1:12" x14ac:dyDescent="0.3">
      <c r="A935" s="29" t="str">
        <f>Detalle_OC[[#This Row],[Centro]]&amp;Detalle_OC[[#This Row],[Nom Almacen]]&amp;Detalle_OC[[#This Row],[Material]]&amp;Detalle_OC[[#This Row],[Pedido]]&amp;Detalle_OC[[#This Row],[Posicion]]</f>
        <v>Agricola del Chira PlantaMontelima8608754511571989120</v>
      </c>
      <c r="B935" t="s">
        <v>149</v>
      </c>
      <c r="C935" t="s">
        <v>166</v>
      </c>
      <c r="D935" s="11">
        <v>45646</v>
      </c>
      <c r="E935" t="s">
        <v>16</v>
      </c>
      <c r="F935" t="s">
        <v>12</v>
      </c>
      <c r="G935">
        <v>860875</v>
      </c>
      <c r="H935">
        <v>4511571989</v>
      </c>
      <c r="I935">
        <v>120</v>
      </c>
      <c r="J935" s="29">
        <v>1</v>
      </c>
      <c r="K935" s="29" t="s">
        <v>877</v>
      </c>
      <c r="L935" t="str">
        <f>IFERROR(VLOOKUP(Detalle_OC[[#This Row],[Centro]]&amp;Detalle_OC[[#This Row],[Nro Almacen]],Almacen!A:D,4,FALSE),"")</f>
        <v>Montelima</v>
      </c>
    </row>
    <row r="936" spans="1:12" x14ac:dyDescent="0.3">
      <c r="A936" s="29" t="str">
        <f>Detalle_OC[[#This Row],[Centro]]&amp;Detalle_OC[[#This Row],[Nom Almacen]]&amp;Detalle_OC[[#This Row],[Material]]&amp;Detalle_OC[[#This Row],[Pedido]]&amp;Detalle_OC[[#This Row],[Posicion]]</f>
        <v>Agricola del Chira PlantaMontelima8611004511571989130</v>
      </c>
      <c r="B936" t="s">
        <v>149</v>
      </c>
      <c r="C936" t="s">
        <v>166</v>
      </c>
      <c r="D936" s="11">
        <v>45646</v>
      </c>
      <c r="E936" t="s">
        <v>16</v>
      </c>
      <c r="F936" t="s">
        <v>12</v>
      </c>
      <c r="G936">
        <v>861100</v>
      </c>
      <c r="H936">
        <v>4511571989</v>
      </c>
      <c r="I936">
        <v>130</v>
      </c>
      <c r="J936" s="29">
        <v>1</v>
      </c>
      <c r="K936" s="29" t="s">
        <v>877</v>
      </c>
      <c r="L936" t="str">
        <f>IFERROR(VLOOKUP(Detalle_OC[[#This Row],[Centro]]&amp;Detalle_OC[[#This Row],[Nro Almacen]],Almacen!A:D,4,FALSE),"")</f>
        <v>Montelima</v>
      </c>
    </row>
    <row r="937" spans="1:12" x14ac:dyDescent="0.3">
      <c r="A937" s="29" t="str">
        <f>Detalle_OC[[#This Row],[Centro]]&amp;Detalle_OC[[#This Row],[Nom Almacen]]&amp;Detalle_OC[[#This Row],[Material]]&amp;Detalle_OC[[#This Row],[Pedido]]&amp;Detalle_OC[[#This Row],[Posicion]]</f>
        <v>Agricola del Chira PlantaMontelima8730864511571989140</v>
      </c>
      <c r="B937" t="s">
        <v>149</v>
      </c>
      <c r="C937" t="s">
        <v>166</v>
      </c>
      <c r="D937" s="11">
        <v>45646</v>
      </c>
      <c r="E937" t="s">
        <v>16</v>
      </c>
      <c r="F937" t="s">
        <v>12</v>
      </c>
      <c r="G937">
        <v>873086</v>
      </c>
      <c r="H937">
        <v>4511571989</v>
      </c>
      <c r="I937">
        <v>140</v>
      </c>
      <c r="J937" s="29">
        <v>1</v>
      </c>
      <c r="K937" s="29" t="s">
        <v>877</v>
      </c>
      <c r="L937" t="str">
        <f>IFERROR(VLOOKUP(Detalle_OC[[#This Row],[Centro]]&amp;Detalle_OC[[#This Row],[Nro Almacen]],Almacen!A:D,4,FALSE),"")</f>
        <v>Montelima</v>
      </c>
    </row>
    <row r="938" spans="1:12" x14ac:dyDescent="0.3">
      <c r="A938" s="29" t="str">
        <f>Detalle_OC[[#This Row],[Centro]]&amp;Detalle_OC[[#This Row],[Nom Almacen]]&amp;Detalle_OC[[#This Row],[Material]]&amp;Detalle_OC[[#This Row],[Pedido]]&amp;Detalle_OC[[#This Row],[Posicion]]</f>
        <v>Agricola del Chira PlantaMontelima8812914511571989150</v>
      </c>
      <c r="B938" t="s">
        <v>149</v>
      </c>
      <c r="C938" t="s">
        <v>166</v>
      </c>
      <c r="D938" s="11">
        <v>45646</v>
      </c>
      <c r="E938" t="s">
        <v>16</v>
      </c>
      <c r="F938" t="s">
        <v>12</v>
      </c>
      <c r="G938">
        <v>881291</v>
      </c>
      <c r="H938">
        <v>4511571989</v>
      </c>
      <c r="I938">
        <v>150</v>
      </c>
      <c r="J938" s="29">
        <v>1</v>
      </c>
      <c r="K938" s="29" t="s">
        <v>877</v>
      </c>
      <c r="L938" t="str">
        <f>IFERROR(VLOOKUP(Detalle_OC[[#This Row],[Centro]]&amp;Detalle_OC[[#This Row],[Nro Almacen]],Almacen!A:D,4,FALSE),"")</f>
        <v>Montelima</v>
      </c>
    </row>
    <row r="939" spans="1:12" x14ac:dyDescent="0.3">
      <c r="A939" s="29" t="str">
        <f>Detalle_OC[[#This Row],[Centro]]&amp;Detalle_OC[[#This Row],[Nom Almacen]]&amp;Detalle_OC[[#This Row],[Material]]&amp;Detalle_OC[[#This Row],[Pedido]]&amp;Detalle_OC[[#This Row],[Posicion]]</f>
        <v>Agricola del Chira PlantaMontelima8962644511571989160</v>
      </c>
      <c r="B939" t="s">
        <v>149</v>
      </c>
      <c r="C939" t="s">
        <v>166</v>
      </c>
      <c r="D939" s="11">
        <v>45646</v>
      </c>
      <c r="E939" t="s">
        <v>16</v>
      </c>
      <c r="F939" t="s">
        <v>12</v>
      </c>
      <c r="G939">
        <v>896264</v>
      </c>
      <c r="H939">
        <v>4511571989</v>
      </c>
      <c r="I939">
        <v>160</v>
      </c>
      <c r="J939" s="29">
        <v>1</v>
      </c>
      <c r="K939" s="29" t="s">
        <v>877</v>
      </c>
      <c r="L939" t="str">
        <f>IFERROR(VLOOKUP(Detalle_OC[[#This Row],[Centro]]&amp;Detalle_OC[[#This Row],[Nro Almacen]],Almacen!A:D,4,FALSE),"")</f>
        <v>Montelima</v>
      </c>
    </row>
    <row r="940" spans="1:12" x14ac:dyDescent="0.3">
      <c r="A940" s="29" t="str">
        <f>Detalle_OC[[#This Row],[Centro]]&amp;Detalle_OC[[#This Row],[Nom Almacen]]&amp;Detalle_OC[[#This Row],[Material]]&amp;Detalle_OC[[#This Row],[Pedido]]&amp;Detalle_OC[[#This Row],[Posicion]]</f>
        <v>Agricola del Chira PlantaMontelima700001654511571989170</v>
      </c>
      <c r="B940" t="s">
        <v>149</v>
      </c>
      <c r="C940" t="s">
        <v>166</v>
      </c>
      <c r="D940" s="11">
        <v>45646</v>
      </c>
      <c r="E940" t="s">
        <v>16</v>
      </c>
      <c r="F940" t="s">
        <v>12</v>
      </c>
      <c r="G940">
        <v>70000165</v>
      </c>
      <c r="H940">
        <v>4511571989</v>
      </c>
      <c r="I940">
        <v>170</v>
      </c>
      <c r="J940" s="29">
        <v>1</v>
      </c>
      <c r="K940" s="29" t="s">
        <v>877</v>
      </c>
      <c r="L940" t="str">
        <f>IFERROR(VLOOKUP(Detalle_OC[[#This Row],[Centro]]&amp;Detalle_OC[[#This Row],[Nro Almacen]],Almacen!A:D,4,FALSE),"")</f>
        <v>Montelima</v>
      </c>
    </row>
    <row r="941" spans="1:12" x14ac:dyDescent="0.3">
      <c r="A941" s="29" t="str">
        <f>Detalle_OC[[#This Row],[Centro]]&amp;Detalle_OC[[#This Row],[Nom Almacen]]&amp;Detalle_OC[[#This Row],[Material]]&amp;Detalle_OC[[#This Row],[Pedido]]&amp;Detalle_OC[[#This Row],[Posicion]]</f>
        <v>Agricola del Chira PlantaMontelima700062924511571989180</v>
      </c>
      <c r="B941" t="s">
        <v>149</v>
      </c>
      <c r="C941" t="s">
        <v>166</v>
      </c>
      <c r="D941" s="11">
        <v>45646</v>
      </c>
      <c r="E941" t="s">
        <v>16</v>
      </c>
      <c r="F941" t="s">
        <v>12</v>
      </c>
      <c r="G941">
        <v>70006292</v>
      </c>
      <c r="H941">
        <v>4511571989</v>
      </c>
      <c r="I941">
        <v>180</v>
      </c>
      <c r="J941" s="29">
        <v>1</v>
      </c>
      <c r="K941" s="29" t="s">
        <v>877</v>
      </c>
      <c r="L941" t="str">
        <f>IFERROR(VLOOKUP(Detalle_OC[[#This Row],[Centro]]&amp;Detalle_OC[[#This Row],[Nro Almacen]],Almacen!A:D,4,FALSE),"")</f>
        <v>Montelima</v>
      </c>
    </row>
    <row r="942" spans="1:12" x14ac:dyDescent="0.3">
      <c r="A942" s="29" t="str">
        <f>Detalle_OC[[#This Row],[Centro]]&amp;Detalle_OC[[#This Row],[Nom Almacen]]&amp;Detalle_OC[[#This Row],[Material]]&amp;Detalle_OC[[#This Row],[Pedido]]&amp;Detalle_OC[[#This Row],[Posicion]]</f>
        <v>Agricola del Chira PlantaMontelima700152934511571989190</v>
      </c>
      <c r="B942" t="s">
        <v>149</v>
      </c>
      <c r="C942" t="s">
        <v>166</v>
      </c>
      <c r="D942" s="11">
        <v>45646</v>
      </c>
      <c r="E942" t="s">
        <v>16</v>
      </c>
      <c r="F942" t="s">
        <v>12</v>
      </c>
      <c r="G942">
        <v>70015293</v>
      </c>
      <c r="H942">
        <v>4511571989</v>
      </c>
      <c r="I942">
        <v>190</v>
      </c>
      <c r="J942" s="29">
        <v>1</v>
      </c>
      <c r="K942" s="29" t="s">
        <v>877</v>
      </c>
      <c r="L942" t="str">
        <f>IFERROR(VLOOKUP(Detalle_OC[[#This Row],[Centro]]&amp;Detalle_OC[[#This Row],[Nro Almacen]],Almacen!A:D,4,FALSE),"")</f>
        <v>Montelima</v>
      </c>
    </row>
    <row r="943" spans="1:12" x14ac:dyDescent="0.3">
      <c r="A943" s="29" t="str">
        <f>Detalle_OC[[#This Row],[Centro]]&amp;Detalle_OC[[#This Row],[Nom Almacen]]&amp;Detalle_OC[[#This Row],[Material]]&amp;Detalle_OC[[#This Row],[Pedido]]&amp;Detalle_OC[[#This Row],[Posicion]]</f>
        <v>Agricola del Chira PlantaMontelima700189254511571989200</v>
      </c>
      <c r="B943" t="s">
        <v>149</v>
      </c>
      <c r="C943" t="s">
        <v>166</v>
      </c>
      <c r="D943" s="11">
        <v>45646</v>
      </c>
      <c r="E943" t="s">
        <v>16</v>
      </c>
      <c r="F943" t="s">
        <v>12</v>
      </c>
      <c r="G943">
        <v>70018925</v>
      </c>
      <c r="H943">
        <v>4511571989</v>
      </c>
      <c r="I943">
        <v>200</v>
      </c>
      <c r="J943" s="29">
        <v>1</v>
      </c>
      <c r="K943" s="29" t="s">
        <v>877</v>
      </c>
      <c r="L943" t="str">
        <f>IFERROR(VLOOKUP(Detalle_OC[[#This Row],[Centro]]&amp;Detalle_OC[[#This Row],[Nro Almacen]],Almacen!A:D,4,FALSE),"")</f>
        <v>Montelima</v>
      </c>
    </row>
    <row r="944" spans="1:12" x14ac:dyDescent="0.3">
      <c r="A944" s="29" t="str">
        <f>Detalle_OC[[#This Row],[Centro]]&amp;Detalle_OC[[#This Row],[Nom Almacen]]&amp;Detalle_OC[[#This Row],[Material]]&amp;Detalle_OC[[#This Row],[Pedido]]&amp;Detalle_OC[[#This Row],[Posicion]]</f>
        <v>Agricola del Chira PlantaMontelima700468724511571989210</v>
      </c>
      <c r="B944" t="s">
        <v>149</v>
      </c>
      <c r="C944" t="s">
        <v>166</v>
      </c>
      <c r="D944" s="11">
        <v>45646</v>
      </c>
      <c r="E944" t="s">
        <v>16</v>
      </c>
      <c r="F944" t="s">
        <v>12</v>
      </c>
      <c r="G944">
        <v>70046872</v>
      </c>
      <c r="H944">
        <v>4511571989</v>
      </c>
      <c r="I944">
        <v>210</v>
      </c>
      <c r="J944" s="29">
        <v>1</v>
      </c>
      <c r="K944" s="29" t="s">
        <v>877</v>
      </c>
      <c r="L944" t="str">
        <f>IFERROR(VLOOKUP(Detalle_OC[[#This Row],[Centro]]&amp;Detalle_OC[[#This Row],[Nro Almacen]],Almacen!A:D,4,FALSE),"")</f>
        <v>Montelima</v>
      </c>
    </row>
    <row r="945" spans="1:12" x14ac:dyDescent="0.3">
      <c r="A945" s="29" t="str">
        <f>Detalle_OC[[#This Row],[Centro]]&amp;Detalle_OC[[#This Row],[Nom Almacen]]&amp;Detalle_OC[[#This Row],[Material]]&amp;Detalle_OC[[#This Row],[Pedido]]&amp;Detalle_OC[[#This Row],[Posicion]]</f>
        <v>Agricola del Chira PlantaMontelima700876674511571989220</v>
      </c>
      <c r="B945" t="s">
        <v>149</v>
      </c>
      <c r="C945" t="s">
        <v>166</v>
      </c>
      <c r="D945" s="11">
        <v>45646</v>
      </c>
      <c r="E945" t="s">
        <v>16</v>
      </c>
      <c r="F945" t="s">
        <v>12</v>
      </c>
      <c r="G945">
        <v>70087667</v>
      </c>
      <c r="H945">
        <v>4511571989</v>
      </c>
      <c r="I945">
        <v>220</v>
      </c>
      <c r="J945" s="29">
        <v>1</v>
      </c>
      <c r="K945" s="29" t="s">
        <v>877</v>
      </c>
      <c r="L945" t="str">
        <f>IFERROR(VLOOKUP(Detalle_OC[[#This Row],[Centro]]&amp;Detalle_OC[[#This Row],[Nro Almacen]],Almacen!A:D,4,FALSE),"")</f>
        <v>Montelima</v>
      </c>
    </row>
    <row r="946" spans="1:12" x14ac:dyDescent="0.3">
      <c r="A946" s="29" t="str">
        <f>Detalle_OC[[#This Row],[Centro]]&amp;Detalle_OC[[#This Row],[Nom Almacen]]&amp;Detalle_OC[[#This Row],[Material]]&amp;Detalle_OC[[#This Row],[Pedido]]&amp;Detalle_OC[[#This Row],[Posicion]]</f>
        <v>Agricola del Chira PlantaMontelima700890994511571989230</v>
      </c>
      <c r="B946" t="s">
        <v>149</v>
      </c>
      <c r="C946" t="s">
        <v>166</v>
      </c>
      <c r="D946" s="11">
        <v>45646</v>
      </c>
      <c r="E946" t="s">
        <v>16</v>
      </c>
      <c r="F946" t="s">
        <v>12</v>
      </c>
      <c r="G946">
        <v>70089099</v>
      </c>
      <c r="H946">
        <v>4511571989</v>
      </c>
      <c r="I946">
        <v>230</v>
      </c>
      <c r="J946" s="29">
        <v>1</v>
      </c>
      <c r="K946" s="29" t="s">
        <v>877</v>
      </c>
      <c r="L946" t="str">
        <f>IFERROR(VLOOKUP(Detalle_OC[[#This Row],[Centro]]&amp;Detalle_OC[[#This Row],[Nro Almacen]],Almacen!A:D,4,FALSE),"")</f>
        <v>Montelima</v>
      </c>
    </row>
    <row r="947" spans="1:12" x14ac:dyDescent="0.3">
      <c r="A947" s="29" t="str">
        <f>Detalle_OC[[#This Row],[Centro]]&amp;Detalle_OC[[#This Row],[Nom Almacen]]&amp;Detalle_OC[[#This Row],[Material]]&amp;Detalle_OC[[#This Row],[Pedido]]&amp;Detalle_OC[[#This Row],[Posicion]]</f>
        <v>Agricola del Chira PlantaMontelima700891004511571989240</v>
      </c>
      <c r="B947" t="s">
        <v>149</v>
      </c>
      <c r="C947" t="s">
        <v>166</v>
      </c>
      <c r="D947" s="11">
        <v>45646</v>
      </c>
      <c r="E947" t="s">
        <v>16</v>
      </c>
      <c r="F947" t="s">
        <v>12</v>
      </c>
      <c r="G947">
        <v>70089100</v>
      </c>
      <c r="H947">
        <v>4511571989</v>
      </c>
      <c r="I947">
        <v>240</v>
      </c>
      <c r="J947" s="29">
        <v>1</v>
      </c>
      <c r="K947" s="29" t="s">
        <v>877</v>
      </c>
      <c r="L947" t="str">
        <f>IFERROR(VLOOKUP(Detalle_OC[[#This Row],[Centro]]&amp;Detalle_OC[[#This Row],[Nro Almacen]],Almacen!A:D,4,FALSE),"")</f>
        <v>Montelima</v>
      </c>
    </row>
    <row r="948" spans="1:12" x14ac:dyDescent="0.3">
      <c r="A948" s="29" t="str">
        <f>Detalle_OC[[#This Row],[Centro]]&amp;Detalle_OC[[#This Row],[Nom Almacen]]&amp;Detalle_OC[[#This Row],[Material]]&amp;Detalle_OC[[#This Row],[Pedido]]&amp;Detalle_OC[[#This Row],[Posicion]]</f>
        <v>Agricola del Chira PlantaMontelima700970694511571989250</v>
      </c>
      <c r="B948" t="s">
        <v>149</v>
      </c>
      <c r="C948" t="s">
        <v>166</v>
      </c>
      <c r="D948" s="11">
        <v>45646</v>
      </c>
      <c r="E948" t="s">
        <v>16</v>
      </c>
      <c r="F948" t="s">
        <v>12</v>
      </c>
      <c r="G948">
        <v>70097069</v>
      </c>
      <c r="H948">
        <v>4511571989</v>
      </c>
      <c r="I948">
        <v>250</v>
      </c>
      <c r="J948" s="29">
        <v>1</v>
      </c>
      <c r="K948" s="29" t="s">
        <v>877</v>
      </c>
      <c r="L948" t="str">
        <f>IFERROR(VLOOKUP(Detalle_OC[[#This Row],[Centro]]&amp;Detalle_OC[[#This Row],[Nro Almacen]],Almacen!A:D,4,FALSE),"")</f>
        <v>Montelima</v>
      </c>
    </row>
    <row r="949" spans="1:12" x14ac:dyDescent="0.3">
      <c r="A949" s="29" t="str">
        <f>Detalle_OC[[#This Row],[Centro]]&amp;Detalle_OC[[#This Row],[Nom Almacen]]&amp;Detalle_OC[[#This Row],[Material]]&amp;Detalle_OC[[#This Row],[Pedido]]&amp;Detalle_OC[[#This Row],[Posicion]]</f>
        <v>Agricola del Chira PlantaMontelima700978144511571989260</v>
      </c>
      <c r="B949" t="s">
        <v>149</v>
      </c>
      <c r="C949" t="s">
        <v>166</v>
      </c>
      <c r="D949" s="11">
        <v>45646</v>
      </c>
      <c r="E949" t="s">
        <v>16</v>
      </c>
      <c r="F949" t="s">
        <v>12</v>
      </c>
      <c r="G949">
        <v>70097814</v>
      </c>
      <c r="H949">
        <v>4511571989</v>
      </c>
      <c r="I949">
        <v>260</v>
      </c>
      <c r="J949" s="29">
        <v>1</v>
      </c>
      <c r="K949" s="29" t="s">
        <v>877</v>
      </c>
      <c r="L949" t="str">
        <f>IFERROR(VLOOKUP(Detalle_OC[[#This Row],[Centro]]&amp;Detalle_OC[[#This Row],[Nro Almacen]],Almacen!A:D,4,FALSE),"")</f>
        <v>Montelima</v>
      </c>
    </row>
    <row r="950" spans="1:12" x14ac:dyDescent="0.3">
      <c r="A950" s="29" t="str">
        <f>Detalle_OC[[#This Row],[Centro]]&amp;Detalle_OC[[#This Row],[Nom Almacen]]&amp;Detalle_OC[[#This Row],[Material]]&amp;Detalle_OC[[#This Row],[Pedido]]&amp;Detalle_OC[[#This Row],[Posicion]]</f>
        <v>Agricola del Chira PlantaMontelima700978154511571989270</v>
      </c>
      <c r="B950" t="s">
        <v>149</v>
      </c>
      <c r="C950" t="s">
        <v>166</v>
      </c>
      <c r="D950" s="11">
        <v>45646</v>
      </c>
      <c r="E950" t="s">
        <v>16</v>
      </c>
      <c r="F950" t="s">
        <v>12</v>
      </c>
      <c r="G950">
        <v>70097815</v>
      </c>
      <c r="H950">
        <v>4511571989</v>
      </c>
      <c r="I950">
        <v>270</v>
      </c>
      <c r="J950" s="29">
        <v>1</v>
      </c>
      <c r="K950" s="29" t="s">
        <v>877</v>
      </c>
      <c r="L950" t="str">
        <f>IFERROR(VLOOKUP(Detalle_OC[[#This Row],[Centro]]&amp;Detalle_OC[[#This Row],[Nro Almacen]],Almacen!A:D,4,FALSE),"")</f>
        <v>Montelima</v>
      </c>
    </row>
    <row r="951" spans="1:12" x14ac:dyDescent="0.3">
      <c r="A951" s="29" t="str">
        <f>Detalle_OC[[#This Row],[Centro]]&amp;Detalle_OC[[#This Row],[Nom Almacen]]&amp;Detalle_OC[[#This Row],[Material]]&amp;Detalle_OC[[#This Row],[Pedido]]&amp;Detalle_OC[[#This Row],[Posicion]]</f>
        <v>Agricola del Chira PlantaMontelima700982014511571989280</v>
      </c>
      <c r="B951" t="s">
        <v>149</v>
      </c>
      <c r="C951" t="s">
        <v>166</v>
      </c>
      <c r="D951" s="11">
        <v>45646</v>
      </c>
      <c r="E951" t="s">
        <v>16</v>
      </c>
      <c r="F951" t="s">
        <v>12</v>
      </c>
      <c r="G951">
        <v>70098201</v>
      </c>
      <c r="H951">
        <v>4511571989</v>
      </c>
      <c r="I951">
        <v>280</v>
      </c>
      <c r="J951" s="29">
        <v>1</v>
      </c>
      <c r="K951" s="29" t="s">
        <v>877</v>
      </c>
      <c r="L951" t="str">
        <f>IFERROR(VLOOKUP(Detalle_OC[[#This Row],[Centro]]&amp;Detalle_OC[[#This Row],[Nro Almacen]],Almacen!A:D,4,FALSE),"")</f>
        <v>Montelima</v>
      </c>
    </row>
    <row r="952" spans="1:12" x14ac:dyDescent="0.3">
      <c r="A952" s="29" t="str">
        <f>Detalle_OC[[#This Row],[Centro]]&amp;Detalle_OC[[#This Row],[Nom Almacen]]&amp;Detalle_OC[[#This Row],[Material]]&amp;Detalle_OC[[#This Row],[Pedido]]&amp;Detalle_OC[[#This Row],[Posicion]]</f>
        <v>Agricola del Chira PlantaMontelima701040744511571989290</v>
      </c>
      <c r="B952" t="s">
        <v>149</v>
      </c>
      <c r="C952" t="s">
        <v>166</v>
      </c>
      <c r="D952" s="11">
        <v>45646</v>
      </c>
      <c r="E952" t="s">
        <v>16</v>
      </c>
      <c r="F952" t="s">
        <v>12</v>
      </c>
      <c r="G952">
        <v>70104074</v>
      </c>
      <c r="H952">
        <v>4511571989</v>
      </c>
      <c r="I952">
        <v>290</v>
      </c>
      <c r="J952" s="29">
        <v>1</v>
      </c>
      <c r="K952" s="29" t="s">
        <v>877</v>
      </c>
      <c r="L952" t="str">
        <f>IFERROR(VLOOKUP(Detalle_OC[[#This Row],[Centro]]&amp;Detalle_OC[[#This Row],[Nro Almacen]],Almacen!A:D,4,FALSE),"")</f>
        <v>Montelima</v>
      </c>
    </row>
    <row r="953" spans="1:12" x14ac:dyDescent="0.3">
      <c r="A953" s="29" t="str">
        <f>Detalle_OC[[#This Row],[Centro]]&amp;Detalle_OC[[#This Row],[Nom Almacen]]&amp;Detalle_OC[[#This Row],[Material]]&amp;Detalle_OC[[#This Row],[Pedido]]&amp;Detalle_OC[[#This Row],[Posicion]]</f>
        <v>Agricola del Chira PlantaMontelima701090184511571989300</v>
      </c>
      <c r="B953" t="s">
        <v>149</v>
      </c>
      <c r="C953" t="s">
        <v>166</v>
      </c>
      <c r="D953" s="11">
        <v>45646</v>
      </c>
      <c r="E953" t="s">
        <v>16</v>
      </c>
      <c r="F953" t="s">
        <v>12</v>
      </c>
      <c r="G953">
        <v>70109018</v>
      </c>
      <c r="H953">
        <v>4511571989</v>
      </c>
      <c r="I953">
        <v>300</v>
      </c>
      <c r="J953" s="29">
        <v>1</v>
      </c>
      <c r="K953" s="29" t="s">
        <v>877</v>
      </c>
      <c r="L953" t="str">
        <f>IFERROR(VLOOKUP(Detalle_OC[[#This Row],[Centro]]&amp;Detalle_OC[[#This Row],[Nro Almacen]],Almacen!A:D,4,FALSE),"")</f>
        <v>Montelima</v>
      </c>
    </row>
    <row r="954" spans="1:12" x14ac:dyDescent="0.3">
      <c r="A954" s="29" t="str">
        <f>Detalle_OC[[#This Row],[Centro]]&amp;Detalle_OC[[#This Row],[Nom Almacen]]&amp;Detalle_OC[[#This Row],[Material]]&amp;Detalle_OC[[#This Row],[Pedido]]&amp;Detalle_OC[[#This Row],[Posicion]]</f>
        <v>Agricola del Chira PlantaLa Huaca70004310451157199010</v>
      </c>
      <c r="B954" t="s">
        <v>26</v>
      </c>
      <c r="C954" t="s">
        <v>42</v>
      </c>
      <c r="D954" s="11">
        <v>45646</v>
      </c>
      <c r="E954" t="s">
        <v>16</v>
      </c>
      <c r="F954" t="s">
        <v>12</v>
      </c>
      <c r="G954">
        <v>70004310</v>
      </c>
      <c r="H954">
        <v>4511571990</v>
      </c>
      <c r="I954">
        <v>10</v>
      </c>
      <c r="J954" s="29">
        <v>2</v>
      </c>
      <c r="K954" s="29" t="s">
        <v>877</v>
      </c>
      <c r="L954" t="str">
        <f>IFERROR(VLOOKUP(Detalle_OC[[#This Row],[Centro]]&amp;Detalle_OC[[#This Row],[Nro Almacen]],Almacen!A:D,4,FALSE),"")</f>
        <v>La Huaca</v>
      </c>
    </row>
    <row r="955" spans="1:12" x14ac:dyDescent="0.3">
      <c r="A955" s="29" t="str">
        <f>Detalle_OC[[#This Row],[Centro]]&amp;Detalle_OC[[#This Row],[Nom Almacen]]&amp;Detalle_OC[[#This Row],[Material]]&amp;Detalle_OC[[#This Row],[Pedido]]&amp;Detalle_OC[[#This Row],[Posicion]]</f>
        <v>Agricola del Chira PlantaLa Huaca70004306451157199020</v>
      </c>
      <c r="B955" t="s">
        <v>26</v>
      </c>
      <c r="C955" t="s">
        <v>42</v>
      </c>
      <c r="D955" s="11">
        <v>45646</v>
      </c>
      <c r="E955" t="s">
        <v>16</v>
      </c>
      <c r="F955" t="s">
        <v>12</v>
      </c>
      <c r="G955">
        <v>70004306</v>
      </c>
      <c r="H955">
        <v>4511571990</v>
      </c>
      <c r="I955">
        <v>20</v>
      </c>
      <c r="J955" s="29">
        <v>2</v>
      </c>
      <c r="K955" s="29" t="s">
        <v>877</v>
      </c>
      <c r="L955" t="str">
        <f>IFERROR(VLOOKUP(Detalle_OC[[#This Row],[Centro]]&amp;Detalle_OC[[#This Row],[Nro Almacen]],Almacen!A:D,4,FALSE),"")</f>
        <v>La Huaca</v>
      </c>
    </row>
    <row r="956" spans="1:12" x14ac:dyDescent="0.3">
      <c r="A956" s="29" t="str">
        <f>Detalle_OC[[#This Row],[Centro]]&amp;Detalle_OC[[#This Row],[Nom Almacen]]&amp;Detalle_OC[[#This Row],[Material]]&amp;Detalle_OC[[#This Row],[Pedido]]&amp;Detalle_OC[[#This Row],[Posicion]]</f>
        <v>Bioenergía del Chira PlantaMontelima70032805451157199210</v>
      </c>
      <c r="B956" t="s">
        <v>180</v>
      </c>
      <c r="C956" t="s">
        <v>167</v>
      </c>
      <c r="D956" s="11">
        <v>45646</v>
      </c>
      <c r="E956" t="s">
        <v>16</v>
      </c>
      <c r="F956" t="s">
        <v>86</v>
      </c>
      <c r="G956">
        <v>70032805</v>
      </c>
      <c r="H956">
        <v>4511571992</v>
      </c>
      <c r="I956">
        <v>10</v>
      </c>
      <c r="J956" s="29">
        <v>1</v>
      </c>
      <c r="K956" s="29" t="s">
        <v>877</v>
      </c>
      <c r="L956" t="str">
        <f>IFERROR(VLOOKUP(Detalle_OC[[#This Row],[Centro]]&amp;Detalle_OC[[#This Row],[Nro Almacen]],Almacen!A:D,4,FALSE),"")</f>
        <v>Montelima</v>
      </c>
    </row>
    <row r="957" spans="1:12" x14ac:dyDescent="0.3">
      <c r="A957" s="29" t="str">
        <f>Detalle_OC[[#This Row],[Centro]]&amp;Detalle_OC[[#This Row],[Nom Almacen]]&amp;Detalle_OC[[#This Row],[Material]]&amp;Detalle_OC[[#This Row],[Pedido]]&amp;Detalle_OC[[#This Row],[Posicion]]</f>
        <v>Agricola del Chira PlantaMontelima8444905500019188400</v>
      </c>
      <c r="B957" t="s">
        <v>28</v>
      </c>
      <c r="C957" t="s">
        <v>82</v>
      </c>
      <c r="D957" s="11">
        <v>45632</v>
      </c>
      <c r="E957" t="s">
        <v>16</v>
      </c>
      <c r="F957" t="s">
        <v>12</v>
      </c>
      <c r="G957">
        <v>844490</v>
      </c>
      <c r="H957">
        <v>5500019188</v>
      </c>
      <c r="I957">
        <v>400</v>
      </c>
      <c r="J957" s="29">
        <v>1</v>
      </c>
      <c r="K957" s="29" t="s">
        <v>877</v>
      </c>
      <c r="L957" t="str">
        <f>IFERROR(VLOOKUP(Detalle_OC[[#This Row],[Centro]]&amp;Detalle_OC[[#This Row],[Nro Almacen]],Almacen!A:D,4,FALSE),"")</f>
        <v>Montelima</v>
      </c>
    </row>
    <row r="958" spans="1:12" x14ac:dyDescent="0.3">
      <c r="A958" s="29" t="str">
        <f>Detalle_OC[[#This Row],[Centro]]&amp;Detalle_OC[[#This Row],[Nom Almacen]]&amp;Detalle_OC[[#This Row],[Material]]&amp;Detalle_OC[[#This Row],[Pedido]]&amp;Detalle_OC[[#This Row],[Posicion]]</f>
        <v>Agricola del Chira PlantaMontelima70032053550002233880</v>
      </c>
      <c r="B958" t="s">
        <v>28</v>
      </c>
      <c r="C958" t="s">
        <v>84</v>
      </c>
      <c r="D958" s="11">
        <v>45631</v>
      </c>
      <c r="E958" t="s">
        <v>16</v>
      </c>
      <c r="F958" t="s">
        <v>12</v>
      </c>
      <c r="G958">
        <v>70032053</v>
      </c>
      <c r="H958">
        <v>5500022338</v>
      </c>
      <c r="I958">
        <v>80</v>
      </c>
      <c r="J958" s="29">
        <v>1</v>
      </c>
      <c r="K958" s="29" t="s">
        <v>877</v>
      </c>
      <c r="L958" t="str">
        <f>IFERROR(VLOOKUP(Detalle_OC[[#This Row],[Centro]]&amp;Detalle_OC[[#This Row],[Nro Almacen]],Almacen!A:D,4,FALSE),"")</f>
        <v>Montelima</v>
      </c>
    </row>
    <row r="959" spans="1:12" x14ac:dyDescent="0.3">
      <c r="A959" s="29" t="str">
        <f>Detalle_OC[[#This Row],[Centro]]&amp;Detalle_OC[[#This Row],[Nom Almacen]]&amp;Detalle_OC[[#This Row],[Material]]&amp;Detalle_OC[[#This Row],[Pedido]]&amp;Detalle_OC[[#This Row],[Posicion]]</f>
        <v>Agricola del Chira PlantaMontelima70084360550002468150</v>
      </c>
      <c r="B959" t="s">
        <v>28</v>
      </c>
      <c r="C959" t="s">
        <v>84</v>
      </c>
      <c r="D959" s="11">
        <v>45631</v>
      </c>
      <c r="E959" t="s">
        <v>16</v>
      </c>
      <c r="F959" t="s">
        <v>12</v>
      </c>
      <c r="G959">
        <v>70084360</v>
      </c>
      <c r="H959">
        <v>5500024681</v>
      </c>
      <c r="I959">
        <v>50</v>
      </c>
      <c r="J959" s="29">
        <v>1</v>
      </c>
      <c r="K959" s="29" t="s">
        <v>877</v>
      </c>
      <c r="L959" t="str">
        <f>IFERROR(VLOOKUP(Detalle_OC[[#This Row],[Centro]]&amp;Detalle_OC[[#This Row],[Nro Almacen]],Almacen!A:D,4,FALSE),"")</f>
        <v>Montelima</v>
      </c>
    </row>
    <row r="960" spans="1:12" x14ac:dyDescent="0.3">
      <c r="A960" s="29" t="str">
        <f>Detalle_OC[[#This Row],[Centro]]&amp;Detalle_OC[[#This Row],[Nom Almacen]]&amp;Detalle_OC[[#This Row],[Material]]&amp;Detalle_OC[[#This Row],[Pedido]]&amp;Detalle_OC[[#This Row],[Posicion]]</f>
        <v>Agricola del Chira PlantaMontelima744316451157179410</v>
      </c>
      <c r="B960" t="s">
        <v>26</v>
      </c>
      <c r="C960" t="s">
        <v>24</v>
      </c>
      <c r="D960" s="11">
        <v>45646</v>
      </c>
      <c r="E960" t="s">
        <v>16</v>
      </c>
      <c r="F960" t="s">
        <v>12</v>
      </c>
      <c r="G960">
        <v>744316</v>
      </c>
      <c r="H960">
        <v>4511571794</v>
      </c>
      <c r="I960">
        <v>10</v>
      </c>
      <c r="J960" s="29">
        <v>1</v>
      </c>
      <c r="K960" s="29" t="s">
        <v>873</v>
      </c>
      <c r="L960" t="str">
        <f>IFERROR(VLOOKUP(Detalle_OC[[#This Row],[Centro]]&amp;Detalle_OC[[#This Row],[Nro Almacen]],Almacen!A:D,4,FALSE),"")</f>
        <v>Montelima</v>
      </c>
    </row>
    <row r="961" spans="1:12" x14ac:dyDescent="0.3">
      <c r="A961" s="29" t="str">
        <f>Detalle_OC[[#This Row],[Centro]]&amp;Detalle_OC[[#This Row],[Nom Almacen]]&amp;Detalle_OC[[#This Row],[Material]]&amp;Detalle_OC[[#This Row],[Pedido]]&amp;Detalle_OC[[#This Row],[Posicion]]</f>
        <v>Sucroalcolera del Chira PlantaMontelima893610451157180210</v>
      </c>
      <c r="B961" t="s">
        <v>138</v>
      </c>
      <c r="C961" t="s">
        <v>141</v>
      </c>
      <c r="D961" s="11">
        <v>45646</v>
      </c>
      <c r="E961" t="s">
        <v>16</v>
      </c>
      <c r="F961" t="s">
        <v>85</v>
      </c>
      <c r="G961">
        <v>893610</v>
      </c>
      <c r="H961">
        <v>4511571802</v>
      </c>
      <c r="I961">
        <v>10</v>
      </c>
      <c r="J961" s="29">
        <v>1</v>
      </c>
      <c r="K961" s="29" t="s">
        <v>873</v>
      </c>
      <c r="L961" t="str">
        <f>IFERROR(VLOOKUP(Detalle_OC[[#This Row],[Centro]]&amp;Detalle_OC[[#This Row],[Nro Almacen]],Almacen!A:D,4,FALSE),"")</f>
        <v>Montelima</v>
      </c>
    </row>
    <row r="962" spans="1:12" x14ac:dyDescent="0.3">
      <c r="A962" s="29" t="str">
        <f>Detalle_OC[[#This Row],[Centro]]&amp;Detalle_OC[[#This Row],[Nom Almacen]]&amp;Detalle_OC[[#This Row],[Material]]&amp;Detalle_OC[[#This Row],[Pedido]]&amp;Detalle_OC[[#This Row],[Posicion]]</f>
        <v>Agricola del Chira PlantaMontelima788878451157181010</v>
      </c>
      <c r="B962" t="s">
        <v>149</v>
      </c>
      <c r="C962" t="s">
        <v>368</v>
      </c>
      <c r="D962" s="11">
        <v>45646</v>
      </c>
      <c r="E962" t="s">
        <v>16</v>
      </c>
      <c r="F962" t="s">
        <v>12</v>
      </c>
      <c r="G962">
        <v>788878</v>
      </c>
      <c r="H962">
        <v>4511571810</v>
      </c>
      <c r="I962">
        <v>10</v>
      </c>
      <c r="J962" s="29">
        <v>1</v>
      </c>
      <c r="K962" s="29" t="s">
        <v>873</v>
      </c>
      <c r="L962" t="str">
        <f>IFERROR(VLOOKUP(Detalle_OC[[#This Row],[Centro]]&amp;Detalle_OC[[#This Row],[Nro Almacen]],Almacen!A:D,4,FALSE),"")</f>
        <v>Montelima</v>
      </c>
    </row>
    <row r="963" spans="1:12" x14ac:dyDescent="0.3">
      <c r="A963" s="29" t="str">
        <f>Detalle_OC[[#This Row],[Centro]]&amp;Detalle_OC[[#This Row],[Nom Almacen]]&amp;Detalle_OC[[#This Row],[Material]]&amp;Detalle_OC[[#This Row],[Pedido]]&amp;Detalle_OC[[#This Row],[Posicion]]</f>
        <v>Sucroalcolera del Chira PlantaMontelima70134036451157181610</v>
      </c>
      <c r="B963" t="s">
        <v>138</v>
      </c>
      <c r="C963" t="s">
        <v>137</v>
      </c>
      <c r="D963" s="11">
        <v>45646</v>
      </c>
      <c r="E963" t="s">
        <v>16</v>
      </c>
      <c r="F963" t="s">
        <v>85</v>
      </c>
      <c r="G963">
        <v>70134036</v>
      </c>
      <c r="H963">
        <v>4511571816</v>
      </c>
      <c r="I963">
        <v>10</v>
      </c>
      <c r="J963" s="29">
        <v>1</v>
      </c>
      <c r="K963" s="29" t="s">
        <v>873</v>
      </c>
      <c r="L963" t="str">
        <f>IFERROR(VLOOKUP(Detalle_OC[[#This Row],[Centro]]&amp;Detalle_OC[[#This Row],[Nro Almacen]],Almacen!A:D,4,FALSE),"")</f>
        <v>Montelima</v>
      </c>
    </row>
    <row r="964" spans="1:12" x14ac:dyDescent="0.3">
      <c r="A964" s="29" t="str">
        <f>Detalle_OC[[#This Row],[Centro]]&amp;Detalle_OC[[#This Row],[Nom Almacen]]&amp;Detalle_OC[[#This Row],[Material]]&amp;Detalle_OC[[#This Row],[Pedido]]&amp;Detalle_OC[[#This Row],[Posicion]]</f>
        <v>Agricola del Chira PlantaMontelima893931451157182310</v>
      </c>
      <c r="B964" t="s">
        <v>149</v>
      </c>
      <c r="C964" t="s">
        <v>235</v>
      </c>
      <c r="D964" s="11">
        <v>45646</v>
      </c>
      <c r="E964" t="s">
        <v>16</v>
      </c>
      <c r="F964" t="s">
        <v>12</v>
      </c>
      <c r="G964">
        <v>893931</v>
      </c>
      <c r="H964">
        <v>4511571823</v>
      </c>
      <c r="I964">
        <v>10</v>
      </c>
      <c r="J964" s="29">
        <v>1</v>
      </c>
      <c r="K964" s="29" t="s">
        <v>873</v>
      </c>
      <c r="L964" t="str">
        <f>IFERROR(VLOOKUP(Detalle_OC[[#This Row],[Centro]]&amp;Detalle_OC[[#This Row],[Nro Almacen]],Almacen!A:D,4,FALSE),"")</f>
        <v>Montelima</v>
      </c>
    </row>
    <row r="965" spans="1:12" x14ac:dyDescent="0.3">
      <c r="A965" s="29" t="str">
        <f>Detalle_OC[[#This Row],[Centro]]&amp;Detalle_OC[[#This Row],[Nom Almacen]]&amp;Detalle_OC[[#This Row],[Material]]&amp;Detalle_OC[[#This Row],[Pedido]]&amp;Detalle_OC[[#This Row],[Posicion]]</f>
        <v>Sucroalcolera del Chira PlantaMontelima70031006451157182710</v>
      </c>
      <c r="B965" t="s">
        <v>15</v>
      </c>
      <c r="C965" t="s">
        <v>231</v>
      </c>
      <c r="D965" s="11">
        <v>45667</v>
      </c>
      <c r="E965" t="s">
        <v>16</v>
      </c>
      <c r="F965" t="s">
        <v>85</v>
      </c>
      <c r="G965">
        <v>70031006</v>
      </c>
      <c r="H965">
        <v>4511571827</v>
      </c>
      <c r="I965">
        <v>10</v>
      </c>
      <c r="J965" s="29">
        <v>1</v>
      </c>
      <c r="K965" s="29" t="s">
        <v>873</v>
      </c>
      <c r="L965" t="str">
        <f>IFERROR(VLOOKUP(Detalle_OC[[#This Row],[Centro]]&amp;Detalle_OC[[#This Row],[Nro Almacen]],Almacen!A:D,4,FALSE),"")</f>
        <v>Montelima</v>
      </c>
    </row>
    <row r="966" spans="1:12" x14ac:dyDescent="0.3">
      <c r="A966" s="29" t="str">
        <f>Detalle_OC[[#This Row],[Centro]]&amp;Detalle_OC[[#This Row],[Nom Almacen]]&amp;Detalle_OC[[#This Row],[Material]]&amp;Detalle_OC[[#This Row],[Pedido]]&amp;Detalle_OC[[#This Row],[Posicion]]</f>
        <v>Agricola del Chira PlantaAlmacen Lobo70038676451157182810</v>
      </c>
      <c r="B966" t="s">
        <v>26</v>
      </c>
      <c r="C966" t="s">
        <v>278</v>
      </c>
      <c r="D966" s="11">
        <v>45646</v>
      </c>
      <c r="E966" t="s">
        <v>16</v>
      </c>
      <c r="F966" t="s">
        <v>12</v>
      </c>
      <c r="G966">
        <v>70038676</v>
      </c>
      <c r="H966">
        <v>4511571828</v>
      </c>
      <c r="I966">
        <v>10</v>
      </c>
      <c r="J966" s="29">
        <v>7</v>
      </c>
      <c r="K966" s="29" t="s">
        <v>873</v>
      </c>
      <c r="L966" t="str">
        <f>IFERROR(VLOOKUP(Detalle_OC[[#This Row],[Centro]]&amp;Detalle_OC[[#This Row],[Nro Almacen]],Almacen!A:D,4,FALSE),"")</f>
        <v>Almacen Lobo</v>
      </c>
    </row>
    <row r="967" spans="1:12" x14ac:dyDescent="0.3">
      <c r="A967" s="29" t="str">
        <f>Detalle_OC[[#This Row],[Centro]]&amp;Detalle_OC[[#This Row],[Nom Almacen]]&amp;Detalle_OC[[#This Row],[Material]]&amp;Detalle_OC[[#This Row],[Pedido]]&amp;Detalle_OC[[#This Row],[Posicion]]</f>
        <v>Sucroalcolera del Chira PlantaMontelimaMWCALHIDRATADA    451157183710</v>
      </c>
      <c r="B967" t="s">
        <v>153</v>
      </c>
      <c r="C967" t="s">
        <v>1155</v>
      </c>
      <c r="D967" s="11">
        <v>45635</v>
      </c>
      <c r="E967" t="s">
        <v>16</v>
      </c>
      <c r="F967" t="s">
        <v>85</v>
      </c>
      <c r="G967" t="s">
        <v>187</v>
      </c>
      <c r="H967">
        <v>4511571837</v>
      </c>
      <c r="I967">
        <v>10</v>
      </c>
      <c r="J967" s="29">
        <v>1</v>
      </c>
      <c r="K967" s="29" t="s">
        <v>873</v>
      </c>
      <c r="L967" t="str">
        <f>IFERROR(VLOOKUP(Detalle_OC[[#This Row],[Centro]]&amp;Detalle_OC[[#This Row],[Nro Almacen]],Almacen!A:D,4,FALSE),"")</f>
        <v>Montelima</v>
      </c>
    </row>
    <row r="968" spans="1:12" x14ac:dyDescent="0.3">
      <c r="A968" s="29" t="str">
        <f>Detalle_OC[[#This Row],[Centro]]&amp;Detalle_OC[[#This Row],[Nom Almacen]]&amp;Detalle_OC[[#This Row],[Material]]&amp;Detalle_OC[[#This Row],[Pedido]]&amp;Detalle_OC[[#This Row],[Posicion]]</f>
        <v>Agricola del Chira PlantaMontelima70135721451157190210</v>
      </c>
      <c r="B968" t="s">
        <v>225</v>
      </c>
      <c r="C968" t="s">
        <v>166</v>
      </c>
      <c r="D968" s="11">
        <v>45639</v>
      </c>
      <c r="E968" t="s">
        <v>16</v>
      </c>
      <c r="F968" t="s">
        <v>12</v>
      </c>
      <c r="G968">
        <v>70135721</v>
      </c>
      <c r="H968">
        <v>4511571902</v>
      </c>
      <c r="I968">
        <v>10</v>
      </c>
      <c r="J968" s="29">
        <v>1</v>
      </c>
      <c r="K968" s="29" t="s">
        <v>873</v>
      </c>
      <c r="L968" t="str">
        <f>IFERROR(VLOOKUP(Detalle_OC[[#This Row],[Centro]]&amp;Detalle_OC[[#This Row],[Nro Almacen]],Almacen!A:D,4,FALSE),"")</f>
        <v>Montelima</v>
      </c>
    </row>
    <row r="969" spans="1:12" x14ac:dyDescent="0.3">
      <c r="A969" s="29" t="str">
        <f>Detalle_OC[[#This Row],[Centro]]&amp;Detalle_OC[[#This Row],[Nom Almacen]]&amp;Detalle_OC[[#This Row],[Material]]&amp;Detalle_OC[[#This Row],[Pedido]]&amp;Detalle_OC[[#This Row],[Posicion]]</f>
        <v>Agricola del Chira PlantaMontelima70087529451157191110</v>
      </c>
      <c r="B969" t="s">
        <v>224</v>
      </c>
      <c r="C969" t="s">
        <v>195</v>
      </c>
      <c r="D969" s="11">
        <v>45656</v>
      </c>
      <c r="E969" t="s">
        <v>16</v>
      </c>
      <c r="F969" t="s">
        <v>12</v>
      </c>
      <c r="G969">
        <v>70087529</v>
      </c>
      <c r="H969">
        <v>4511571911</v>
      </c>
      <c r="I969">
        <v>10</v>
      </c>
      <c r="J969" s="29">
        <v>1</v>
      </c>
      <c r="K969" s="29" t="s">
        <v>873</v>
      </c>
      <c r="L969" t="str">
        <f>IFERROR(VLOOKUP(Detalle_OC[[#This Row],[Centro]]&amp;Detalle_OC[[#This Row],[Nro Almacen]],Almacen!A:D,4,FALSE),"")</f>
        <v>Montelima</v>
      </c>
    </row>
    <row r="970" spans="1:12" x14ac:dyDescent="0.3">
      <c r="A970" s="29" t="str">
        <f>Detalle_OC[[#This Row],[Centro]]&amp;Detalle_OC[[#This Row],[Nom Almacen]]&amp;Detalle_OC[[#This Row],[Material]]&amp;Detalle_OC[[#This Row],[Pedido]]&amp;Detalle_OC[[#This Row],[Posicion]]</f>
        <v>Sucroalcolera del Chira PlantaMontelima750393451157191210</v>
      </c>
      <c r="B970" t="s">
        <v>15</v>
      </c>
      <c r="C970" t="s">
        <v>96</v>
      </c>
      <c r="D970" s="11">
        <v>45639</v>
      </c>
      <c r="E970" t="s">
        <v>16</v>
      </c>
      <c r="F970" t="s">
        <v>85</v>
      </c>
      <c r="G970">
        <v>750393</v>
      </c>
      <c r="H970">
        <v>4511571912</v>
      </c>
      <c r="I970">
        <v>10</v>
      </c>
      <c r="J970" s="29">
        <v>1</v>
      </c>
      <c r="K970" s="29" t="s">
        <v>873</v>
      </c>
      <c r="L970" t="str">
        <f>IFERROR(VLOOKUP(Detalle_OC[[#This Row],[Centro]]&amp;Detalle_OC[[#This Row],[Nro Almacen]],Almacen!A:D,4,FALSE),"")</f>
        <v>Montelima</v>
      </c>
    </row>
    <row r="971" spans="1:12" x14ac:dyDescent="0.3">
      <c r="A971" s="29" t="str">
        <f>Detalle_OC[[#This Row],[Centro]]&amp;Detalle_OC[[#This Row],[Nom Almacen]]&amp;Detalle_OC[[#This Row],[Material]]&amp;Detalle_OC[[#This Row],[Pedido]]&amp;Detalle_OC[[#This Row],[Posicion]]</f>
        <v>Sucroalcolera del Chira PlantaMontelima805832451157194210</v>
      </c>
      <c r="B971" t="s">
        <v>47</v>
      </c>
      <c r="C971" t="s">
        <v>1156</v>
      </c>
      <c r="D971" s="11">
        <v>45667</v>
      </c>
      <c r="E971" t="s">
        <v>48</v>
      </c>
      <c r="F971" t="s">
        <v>85</v>
      </c>
      <c r="G971">
        <v>805832</v>
      </c>
      <c r="H971">
        <v>4511571942</v>
      </c>
      <c r="I971">
        <v>10</v>
      </c>
      <c r="J971" s="29">
        <v>1</v>
      </c>
      <c r="K971" s="29" t="s">
        <v>873</v>
      </c>
      <c r="L971" t="str">
        <f>IFERROR(VLOOKUP(Detalle_OC[[#This Row],[Centro]]&amp;Detalle_OC[[#This Row],[Nro Almacen]],Almacen!A:D,4,FALSE),"")</f>
        <v>Montelima</v>
      </c>
    </row>
    <row r="972" spans="1:12" x14ac:dyDescent="0.3">
      <c r="A972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972" t="s">
        <v>28</v>
      </c>
      <c r="C972" t="s">
        <v>54</v>
      </c>
      <c r="D972" s="11">
        <v>45630</v>
      </c>
      <c r="E972" t="s">
        <v>16</v>
      </c>
      <c r="F972" t="s">
        <v>12</v>
      </c>
      <c r="G972">
        <v>70100392</v>
      </c>
      <c r="H972">
        <v>5500024751</v>
      </c>
      <c r="I972">
        <v>20</v>
      </c>
      <c r="J972" s="29">
        <v>2</v>
      </c>
      <c r="K972" s="29" t="s">
        <v>873</v>
      </c>
      <c r="L972" t="str">
        <f>IFERROR(VLOOKUP(Detalle_OC[[#This Row],[Centro]]&amp;Detalle_OC[[#This Row],[Nro Almacen]],Almacen!A:D,4,FALSE),"")</f>
        <v>La Huaca</v>
      </c>
    </row>
    <row r="973" spans="1:12" x14ac:dyDescent="0.3">
      <c r="A973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973" t="s">
        <v>28</v>
      </c>
      <c r="C973" t="s">
        <v>54</v>
      </c>
      <c r="D973" s="11">
        <v>45630</v>
      </c>
      <c r="E973" t="s">
        <v>16</v>
      </c>
      <c r="F973" t="s">
        <v>12</v>
      </c>
      <c r="G973">
        <v>70100392</v>
      </c>
      <c r="H973">
        <v>5500024751</v>
      </c>
      <c r="I973">
        <v>40</v>
      </c>
      <c r="J973" s="29">
        <v>7</v>
      </c>
      <c r="K973" s="29" t="s">
        <v>873</v>
      </c>
      <c r="L973" t="str">
        <f>IFERROR(VLOOKUP(Detalle_OC[[#This Row],[Centro]]&amp;Detalle_OC[[#This Row],[Nro Almacen]],Almacen!A:D,4,FALSE),"")</f>
        <v>Almacen Lobo</v>
      </c>
    </row>
    <row r="974" spans="1:12" x14ac:dyDescent="0.3">
      <c r="A974" s="29" t="str">
        <f>Detalle_OC[[#This Row],[Centro]]&amp;Detalle_OC[[#This Row],[Nom Almacen]]&amp;Detalle_OC[[#This Row],[Material]]&amp;Detalle_OC[[#This Row],[Pedido]]&amp;Detalle_OC[[#This Row],[Posicion]]</f>
        <v>Agricola del Chira PlantaAlmacen Lobo700580015500024881180</v>
      </c>
      <c r="B974" t="s">
        <v>28</v>
      </c>
      <c r="C974" t="s">
        <v>52</v>
      </c>
      <c r="D974" s="11">
        <v>45637</v>
      </c>
      <c r="E974" t="s">
        <v>16</v>
      </c>
      <c r="F974" t="s">
        <v>12</v>
      </c>
      <c r="G974">
        <v>70058001</v>
      </c>
      <c r="H974">
        <v>5500024881</v>
      </c>
      <c r="I974">
        <v>180</v>
      </c>
      <c r="J974" s="29">
        <v>7</v>
      </c>
      <c r="K974" s="29" t="s">
        <v>873</v>
      </c>
      <c r="L974" t="str">
        <f>IFERROR(VLOOKUP(Detalle_OC[[#This Row],[Centro]]&amp;Detalle_OC[[#This Row],[Nro Almacen]],Almacen!A:D,4,FALSE),"")</f>
        <v>Almacen Lobo</v>
      </c>
    </row>
    <row r="975" spans="1:12" x14ac:dyDescent="0.3">
      <c r="A975" s="29" t="str">
        <f>Detalle_OC[[#This Row],[Centro]]&amp;Detalle_OC[[#This Row],[Nom Almacen]]&amp;Detalle_OC[[#This Row],[Material]]&amp;Detalle_OC[[#This Row],[Pedido]]&amp;Detalle_OC[[#This Row],[Posicion]]</f>
        <v>Sucroalcolera del Chira PlantaMontelima885291451157166610</v>
      </c>
      <c r="B975" t="s">
        <v>138</v>
      </c>
      <c r="C975" t="s">
        <v>179</v>
      </c>
      <c r="D975" s="11">
        <v>45642</v>
      </c>
      <c r="E975" t="s">
        <v>16</v>
      </c>
      <c r="F975" t="s">
        <v>85</v>
      </c>
      <c r="G975">
        <v>885291</v>
      </c>
      <c r="H975">
        <v>4511571666</v>
      </c>
      <c r="I975">
        <v>10</v>
      </c>
      <c r="J975" s="29">
        <v>1</v>
      </c>
      <c r="K975" s="29" t="s">
        <v>870</v>
      </c>
      <c r="L975" t="str">
        <f>IFERROR(VLOOKUP(Detalle_OC[[#This Row],[Centro]]&amp;Detalle_OC[[#This Row],[Nro Almacen]],Almacen!A:D,4,FALSE),"")</f>
        <v>Montelima</v>
      </c>
    </row>
    <row r="976" spans="1:12" x14ac:dyDescent="0.3">
      <c r="A976" s="29" t="str">
        <f>Detalle_OC[[#This Row],[Centro]]&amp;Detalle_OC[[#This Row],[Nom Almacen]]&amp;Detalle_OC[[#This Row],[Material]]&amp;Detalle_OC[[#This Row],[Pedido]]&amp;Detalle_OC[[#This Row],[Posicion]]</f>
        <v>Agricola del Chira PlantaMontelima894559451157167910</v>
      </c>
      <c r="B976" t="s">
        <v>148</v>
      </c>
      <c r="C976" t="s">
        <v>237</v>
      </c>
      <c r="D976" s="11">
        <v>45646</v>
      </c>
      <c r="E976" t="s">
        <v>16</v>
      </c>
      <c r="F976" t="s">
        <v>12</v>
      </c>
      <c r="G976">
        <v>894559</v>
      </c>
      <c r="H976">
        <v>4511571679</v>
      </c>
      <c r="I976">
        <v>10</v>
      </c>
      <c r="J976" s="29">
        <v>1</v>
      </c>
      <c r="K976" s="29" t="s">
        <v>870</v>
      </c>
      <c r="L976" t="str">
        <f>IFERROR(VLOOKUP(Detalle_OC[[#This Row],[Centro]]&amp;Detalle_OC[[#This Row],[Nro Almacen]],Almacen!A:D,4,FALSE),"")</f>
        <v>Montelima</v>
      </c>
    </row>
    <row r="977" spans="1:12" x14ac:dyDescent="0.3">
      <c r="A977" s="29" t="str">
        <f>Detalle_OC[[#This Row],[Centro]]&amp;Detalle_OC[[#This Row],[Nom Almacen]]&amp;Detalle_OC[[#This Row],[Material]]&amp;Detalle_OC[[#This Row],[Pedido]]&amp;Detalle_OC[[#This Row],[Posicion]]</f>
        <v>Agricola del Chira PlantaLa Huaca894559451157167920</v>
      </c>
      <c r="B977" t="s">
        <v>148</v>
      </c>
      <c r="C977" t="s">
        <v>237</v>
      </c>
      <c r="D977" s="11">
        <v>45646</v>
      </c>
      <c r="E977" t="s">
        <v>16</v>
      </c>
      <c r="F977" t="s">
        <v>12</v>
      </c>
      <c r="G977">
        <v>894559</v>
      </c>
      <c r="H977">
        <v>4511571679</v>
      </c>
      <c r="I977">
        <v>20</v>
      </c>
      <c r="J977" s="29">
        <v>2</v>
      </c>
      <c r="K977" s="29" t="s">
        <v>870</v>
      </c>
      <c r="L977" t="str">
        <f>IFERROR(VLOOKUP(Detalle_OC[[#This Row],[Centro]]&amp;Detalle_OC[[#This Row],[Nro Almacen]],Almacen!A:D,4,FALSE),"")</f>
        <v>La Huaca</v>
      </c>
    </row>
    <row r="978" spans="1:12" x14ac:dyDescent="0.3">
      <c r="A978" s="29" t="str">
        <f>Detalle_OC[[#This Row],[Centro]]&amp;Detalle_OC[[#This Row],[Nom Almacen]]&amp;Detalle_OC[[#This Row],[Material]]&amp;Detalle_OC[[#This Row],[Pedido]]&amp;Detalle_OC[[#This Row],[Posicion]]</f>
        <v>Agricola del Chira PlantaMontelima894560451157167930</v>
      </c>
      <c r="B978" t="s">
        <v>148</v>
      </c>
      <c r="C978" t="s">
        <v>237</v>
      </c>
      <c r="D978" s="11">
        <v>45646</v>
      </c>
      <c r="E978" t="s">
        <v>16</v>
      </c>
      <c r="F978" t="s">
        <v>12</v>
      </c>
      <c r="G978">
        <v>894560</v>
      </c>
      <c r="H978">
        <v>4511571679</v>
      </c>
      <c r="I978">
        <v>30</v>
      </c>
      <c r="J978" s="29">
        <v>1</v>
      </c>
      <c r="K978" s="29" t="s">
        <v>870</v>
      </c>
      <c r="L978" t="str">
        <f>IFERROR(VLOOKUP(Detalle_OC[[#This Row],[Centro]]&amp;Detalle_OC[[#This Row],[Nro Almacen]],Almacen!A:D,4,FALSE),"")</f>
        <v>Montelima</v>
      </c>
    </row>
    <row r="979" spans="1:12" x14ac:dyDescent="0.3">
      <c r="A979" s="29" t="str">
        <f>Detalle_OC[[#This Row],[Centro]]&amp;Detalle_OC[[#This Row],[Nom Almacen]]&amp;Detalle_OC[[#This Row],[Material]]&amp;Detalle_OC[[#This Row],[Pedido]]&amp;Detalle_OC[[#This Row],[Posicion]]</f>
        <v>Agricola del Chira PlantaMontelima894561451157167940</v>
      </c>
      <c r="B979" t="s">
        <v>148</v>
      </c>
      <c r="C979" t="s">
        <v>237</v>
      </c>
      <c r="D979" s="11">
        <v>45646</v>
      </c>
      <c r="E979" t="s">
        <v>16</v>
      </c>
      <c r="F979" t="s">
        <v>12</v>
      </c>
      <c r="G979">
        <v>894561</v>
      </c>
      <c r="H979">
        <v>4511571679</v>
      </c>
      <c r="I979">
        <v>40</v>
      </c>
      <c r="J979" s="29">
        <v>1</v>
      </c>
      <c r="K979" s="29" t="s">
        <v>870</v>
      </c>
      <c r="L979" t="str">
        <f>IFERROR(VLOOKUP(Detalle_OC[[#This Row],[Centro]]&amp;Detalle_OC[[#This Row],[Nro Almacen]],Almacen!A:D,4,FALSE),"")</f>
        <v>Montelima</v>
      </c>
    </row>
    <row r="980" spans="1:12" x14ac:dyDescent="0.3">
      <c r="A980" s="29" t="str">
        <f>Detalle_OC[[#This Row],[Centro]]&amp;Detalle_OC[[#This Row],[Nom Almacen]]&amp;Detalle_OC[[#This Row],[Material]]&amp;Detalle_OC[[#This Row],[Pedido]]&amp;Detalle_OC[[#This Row],[Posicion]]</f>
        <v>Agricola del Chira PlantaLa Huaca894561451157167950</v>
      </c>
      <c r="B980" t="s">
        <v>148</v>
      </c>
      <c r="C980" t="s">
        <v>237</v>
      </c>
      <c r="D980" s="11">
        <v>45646</v>
      </c>
      <c r="E980" t="s">
        <v>16</v>
      </c>
      <c r="F980" t="s">
        <v>12</v>
      </c>
      <c r="G980">
        <v>894561</v>
      </c>
      <c r="H980">
        <v>4511571679</v>
      </c>
      <c r="I980">
        <v>50</v>
      </c>
      <c r="J980" s="29">
        <v>2</v>
      </c>
      <c r="K980" s="29" t="s">
        <v>870</v>
      </c>
      <c r="L980" t="str">
        <f>IFERROR(VLOOKUP(Detalle_OC[[#This Row],[Centro]]&amp;Detalle_OC[[#This Row],[Nro Almacen]],Almacen!A:D,4,FALSE),"")</f>
        <v>La Huaca</v>
      </c>
    </row>
    <row r="981" spans="1:12" x14ac:dyDescent="0.3">
      <c r="A981" s="29" t="str">
        <f>Detalle_OC[[#This Row],[Centro]]&amp;Detalle_OC[[#This Row],[Nom Almacen]]&amp;Detalle_OC[[#This Row],[Material]]&amp;Detalle_OC[[#This Row],[Pedido]]&amp;Detalle_OC[[#This Row],[Posicion]]</f>
        <v>Agricola del Chira PlantaMontelima894562451157167960</v>
      </c>
      <c r="B981" t="s">
        <v>148</v>
      </c>
      <c r="C981" t="s">
        <v>237</v>
      </c>
      <c r="D981" s="11">
        <v>45646</v>
      </c>
      <c r="E981" t="s">
        <v>16</v>
      </c>
      <c r="F981" t="s">
        <v>12</v>
      </c>
      <c r="G981">
        <v>894562</v>
      </c>
      <c r="H981">
        <v>4511571679</v>
      </c>
      <c r="I981">
        <v>60</v>
      </c>
      <c r="J981" s="29">
        <v>1</v>
      </c>
      <c r="K981" s="29" t="s">
        <v>870</v>
      </c>
      <c r="L981" t="str">
        <f>IFERROR(VLOOKUP(Detalle_OC[[#This Row],[Centro]]&amp;Detalle_OC[[#This Row],[Nro Almacen]],Almacen!A:D,4,FALSE),"")</f>
        <v>Montelima</v>
      </c>
    </row>
    <row r="982" spans="1:12" x14ac:dyDescent="0.3">
      <c r="A982" s="29" t="str">
        <f>Detalle_OC[[#This Row],[Centro]]&amp;Detalle_OC[[#This Row],[Nom Almacen]]&amp;Detalle_OC[[#This Row],[Material]]&amp;Detalle_OC[[#This Row],[Pedido]]&amp;Detalle_OC[[#This Row],[Posicion]]</f>
        <v>Agricola del Chira PlantaLa Huaca894562451157167970</v>
      </c>
      <c r="B982" t="s">
        <v>148</v>
      </c>
      <c r="C982" t="s">
        <v>237</v>
      </c>
      <c r="D982" s="11">
        <v>45646</v>
      </c>
      <c r="E982" t="s">
        <v>16</v>
      </c>
      <c r="F982" t="s">
        <v>12</v>
      </c>
      <c r="G982">
        <v>894562</v>
      </c>
      <c r="H982">
        <v>4511571679</v>
      </c>
      <c r="I982">
        <v>70</v>
      </c>
      <c r="J982" s="29">
        <v>2</v>
      </c>
      <c r="K982" s="29" t="s">
        <v>870</v>
      </c>
      <c r="L982" t="str">
        <f>IFERROR(VLOOKUP(Detalle_OC[[#This Row],[Centro]]&amp;Detalle_OC[[#This Row],[Nro Almacen]],Almacen!A:D,4,FALSE),"")</f>
        <v>La Huaca</v>
      </c>
    </row>
    <row r="983" spans="1:12" x14ac:dyDescent="0.3">
      <c r="A983" s="29" t="str">
        <f>Detalle_OC[[#This Row],[Centro]]&amp;Detalle_OC[[#This Row],[Nom Almacen]]&amp;Detalle_OC[[#This Row],[Material]]&amp;Detalle_OC[[#This Row],[Pedido]]&amp;Detalle_OC[[#This Row],[Posicion]]</f>
        <v>Sucroalcolera del Chira PlantaMontelima713589451157168110</v>
      </c>
      <c r="B983" t="s">
        <v>138</v>
      </c>
      <c r="C983" t="s">
        <v>137</v>
      </c>
      <c r="D983" s="11">
        <v>45637</v>
      </c>
      <c r="E983" t="s">
        <v>16</v>
      </c>
      <c r="F983" t="s">
        <v>85</v>
      </c>
      <c r="G983">
        <v>713589</v>
      </c>
      <c r="H983">
        <v>4511571681</v>
      </c>
      <c r="I983">
        <v>10</v>
      </c>
      <c r="J983" s="29">
        <v>1</v>
      </c>
      <c r="K983" s="29" t="s">
        <v>870</v>
      </c>
      <c r="L983" t="str">
        <f>IFERROR(VLOOKUP(Detalle_OC[[#This Row],[Centro]]&amp;Detalle_OC[[#This Row],[Nro Almacen]],Almacen!A:D,4,FALSE),"")</f>
        <v>Montelima</v>
      </c>
    </row>
    <row r="984" spans="1:12" x14ac:dyDescent="0.3">
      <c r="A984" s="29" t="str">
        <f>Detalle_OC[[#This Row],[Centro]]&amp;Detalle_OC[[#This Row],[Nom Almacen]]&amp;Detalle_OC[[#This Row],[Material]]&amp;Detalle_OC[[#This Row],[Pedido]]&amp;Detalle_OC[[#This Row],[Posicion]]</f>
        <v>Sucroalcolera del Chira PlantaMontelima825562451157168120</v>
      </c>
      <c r="B984" t="s">
        <v>138</v>
      </c>
      <c r="C984" t="s">
        <v>137</v>
      </c>
      <c r="D984" s="11">
        <v>45637</v>
      </c>
      <c r="E984" t="s">
        <v>16</v>
      </c>
      <c r="F984" t="s">
        <v>85</v>
      </c>
      <c r="G984">
        <v>825562</v>
      </c>
      <c r="H984">
        <v>4511571681</v>
      </c>
      <c r="I984">
        <v>20</v>
      </c>
      <c r="J984" s="29">
        <v>1</v>
      </c>
      <c r="K984" s="29" t="s">
        <v>870</v>
      </c>
      <c r="L984" t="str">
        <f>IFERROR(VLOOKUP(Detalle_OC[[#This Row],[Centro]]&amp;Detalle_OC[[#This Row],[Nro Almacen]],Almacen!A:D,4,FALSE),"")</f>
        <v>Montelima</v>
      </c>
    </row>
    <row r="985" spans="1:12" x14ac:dyDescent="0.3">
      <c r="A985" s="29" t="str">
        <f>Detalle_OC[[#This Row],[Centro]]&amp;Detalle_OC[[#This Row],[Nom Almacen]]&amp;Detalle_OC[[#This Row],[Material]]&amp;Detalle_OC[[#This Row],[Pedido]]&amp;Detalle_OC[[#This Row],[Posicion]]</f>
        <v>Sucroalcolera del Chira PlantaMontelima70123645451157168130</v>
      </c>
      <c r="B985" t="s">
        <v>138</v>
      </c>
      <c r="C985" t="s">
        <v>137</v>
      </c>
      <c r="D985" s="11">
        <v>45637</v>
      </c>
      <c r="E985" t="s">
        <v>16</v>
      </c>
      <c r="F985" t="s">
        <v>85</v>
      </c>
      <c r="G985">
        <v>70123645</v>
      </c>
      <c r="H985">
        <v>4511571681</v>
      </c>
      <c r="I985">
        <v>30</v>
      </c>
      <c r="J985" s="29">
        <v>1</v>
      </c>
      <c r="K985" s="29" t="s">
        <v>870</v>
      </c>
      <c r="L985" t="str">
        <f>IFERROR(VLOOKUP(Detalle_OC[[#This Row],[Centro]]&amp;Detalle_OC[[#This Row],[Nro Almacen]],Almacen!A:D,4,FALSE),"")</f>
        <v>Montelima</v>
      </c>
    </row>
    <row r="986" spans="1:12" x14ac:dyDescent="0.3">
      <c r="A986" s="29" t="str">
        <f>Detalle_OC[[#This Row],[Centro]]&amp;Detalle_OC[[#This Row],[Nom Almacen]]&amp;Detalle_OC[[#This Row],[Material]]&amp;Detalle_OC[[#This Row],[Pedido]]&amp;Detalle_OC[[#This Row],[Posicion]]</f>
        <v>Agricola del Chira PlantaMontelima752011451157169610</v>
      </c>
      <c r="B986" t="s">
        <v>148</v>
      </c>
      <c r="C986" t="s">
        <v>44</v>
      </c>
      <c r="D986" s="11">
        <v>45644</v>
      </c>
      <c r="E986" t="s">
        <v>16</v>
      </c>
      <c r="F986" t="s">
        <v>12</v>
      </c>
      <c r="G986">
        <v>752011</v>
      </c>
      <c r="H986">
        <v>4511571696</v>
      </c>
      <c r="I986">
        <v>10</v>
      </c>
      <c r="J986" s="29">
        <v>1</v>
      </c>
      <c r="K986" s="29" t="s">
        <v>870</v>
      </c>
      <c r="L986" t="str">
        <f>IFERROR(VLOOKUP(Detalle_OC[[#This Row],[Centro]]&amp;Detalle_OC[[#This Row],[Nro Almacen]],Almacen!A:D,4,FALSE),"")</f>
        <v>Montelima</v>
      </c>
    </row>
    <row r="987" spans="1:12" x14ac:dyDescent="0.3">
      <c r="A987" s="29" t="str">
        <f>Detalle_OC[[#This Row],[Centro]]&amp;Detalle_OC[[#This Row],[Nom Almacen]]&amp;Detalle_OC[[#This Row],[Material]]&amp;Detalle_OC[[#This Row],[Pedido]]&amp;Detalle_OC[[#This Row],[Posicion]]</f>
        <v>Agricola del Chira PlantaMontelima70133964451157173510</v>
      </c>
      <c r="B987" t="s">
        <v>178</v>
      </c>
      <c r="C987" t="s">
        <v>1157</v>
      </c>
      <c r="D987" s="11">
        <v>45642</v>
      </c>
      <c r="E987" t="s">
        <v>16</v>
      </c>
      <c r="F987" t="s">
        <v>12</v>
      </c>
      <c r="G987">
        <v>70133964</v>
      </c>
      <c r="H987">
        <v>4511571735</v>
      </c>
      <c r="I987">
        <v>10</v>
      </c>
      <c r="J987" s="29">
        <v>1</v>
      </c>
      <c r="K987" s="29" t="s">
        <v>870</v>
      </c>
      <c r="L987" t="str">
        <f>IFERROR(VLOOKUP(Detalle_OC[[#This Row],[Centro]]&amp;Detalle_OC[[#This Row],[Nro Almacen]],Almacen!A:D,4,FALSE),"")</f>
        <v>Montelima</v>
      </c>
    </row>
    <row r="988" spans="1:12" x14ac:dyDescent="0.3">
      <c r="A988" s="29" t="str">
        <f>Detalle_OC[[#This Row],[Centro]]&amp;Detalle_OC[[#This Row],[Nom Almacen]]&amp;Detalle_OC[[#This Row],[Material]]&amp;Detalle_OC[[#This Row],[Pedido]]&amp;Detalle_OC[[#This Row],[Posicion]]</f>
        <v>Agricola del Chira PlantaMontelima70133965451157173520</v>
      </c>
      <c r="B988" t="s">
        <v>178</v>
      </c>
      <c r="C988" t="s">
        <v>1157</v>
      </c>
      <c r="D988" s="11">
        <v>45642</v>
      </c>
      <c r="E988" t="s">
        <v>16</v>
      </c>
      <c r="F988" t="s">
        <v>12</v>
      </c>
      <c r="G988">
        <v>70133965</v>
      </c>
      <c r="H988">
        <v>4511571735</v>
      </c>
      <c r="I988">
        <v>20</v>
      </c>
      <c r="J988" s="29">
        <v>1</v>
      </c>
      <c r="K988" s="29" t="s">
        <v>870</v>
      </c>
      <c r="L988" t="str">
        <f>IFERROR(VLOOKUP(Detalle_OC[[#This Row],[Centro]]&amp;Detalle_OC[[#This Row],[Nro Almacen]],Almacen!A:D,4,FALSE),"")</f>
        <v>Montelima</v>
      </c>
    </row>
    <row r="989" spans="1:12" x14ac:dyDescent="0.3">
      <c r="A989" s="29" t="str">
        <f>Detalle_OC[[#This Row],[Centro]]&amp;Detalle_OC[[#This Row],[Nom Almacen]]&amp;Detalle_OC[[#This Row],[Material]]&amp;Detalle_OC[[#This Row],[Pedido]]&amp;Detalle_OC[[#This Row],[Posicion]]</f>
        <v>Agricola del Chira PlantaMontelima70076210451157174020</v>
      </c>
      <c r="B989" t="s">
        <v>148</v>
      </c>
      <c r="C989" t="s">
        <v>44</v>
      </c>
      <c r="D989" s="11">
        <v>45639</v>
      </c>
      <c r="E989" t="s">
        <v>16</v>
      </c>
      <c r="F989" t="s">
        <v>12</v>
      </c>
      <c r="G989">
        <v>70076210</v>
      </c>
      <c r="H989">
        <v>4511571740</v>
      </c>
      <c r="I989">
        <v>20</v>
      </c>
      <c r="J989" s="29">
        <v>1</v>
      </c>
      <c r="K989" s="29" t="s">
        <v>870</v>
      </c>
      <c r="L989" t="str">
        <f>IFERROR(VLOOKUP(Detalle_OC[[#This Row],[Centro]]&amp;Detalle_OC[[#This Row],[Nro Almacen]],Almacen!A:D,4,FALSE),"")</f>
        <v>Montelima</v>
      </c>
    </row>
    <row r="990" spans="1:12" x14ac:dyDescent="0.3">
      <c r="A990" s="29" t="str">
        <f>Detalle_OC[[#This Row],[Centro]]&amp;Detalle_OC[[#This Row],[Nom Almacen]]&amp;Detalle_OC[[#This Row],[Material]]&amp;Detalle_OC[[#This Row],[Pedido]]&amp;Detalle_OC[[#This Row],[Posicion]]</f>
        <v>Agricola del Chira PlantaMontelima766912451157174210</v>
      </c>
      <c r="B990" t="s">
        <v>159</v>
      </c>
      <c r="C990" t="s">
        <v>1158</v>
      </c>
      <c r="D990" s="11">
        <v>45635</v>
      </c>
      <c r="E990" t="s">
        <v>16</v>
      </c>
      <c r="F990" t="s">
        <v>12</v>
      </c>
      <c r="G990">
        <v>766912</v>
      </c>
      <c r="H990">
        <v>4511571742</v>
      </c>
      <c r="I990">
        <v>10</v>
      </c>
      <c r="J990" s="29">
        <v>1</v>
      </c>
      <c r="K990" s="29" t="s">
        <v>870</v>
      </c>
      <c r="L990" t="str">
        <f>IFERROR(VLOOKUP(Detalle_OC[[#This Row],[Centro]]&amp;Detalle_OC[[#This Row],[Nro Almacen]],Almacen!A:D,4,FALSE),"")</f>
        <v>Montelima</v>
      </c>
    </row>
    <row r="991" spans="1:12" x14ac:dyDescent="0.3">
      <c r="A991" s="29" t="str">
        <f>Detalle_OC[[#This Row],[Centro]]&amp;Detalle_OC[[#This Row],[Nom Almacen]]&amp;Detalle_OC[[#This Row],[Material]]&amp;Detalle_OC[[#This Row],[Pedido]]&amp;Detalle_OC[[#This Row],[Posicion]]</f>
        <v>Agricola del Chira PlantaMontelima880428451157174220</v>
      </c>
      <c r="B991" t="s">
        <v>159</v>
      </c>
      <c r="C991" t="s">
        <v>1158</v>
      </c>
      <c r="D991" s="11">
        <v>45635</v>
      </c>
      <c r="E991" t="s">
        <v>16</v>
      </c>
      <c r="F991" t="s">
        <v>12</v>
      </c>
      <c r="G991">
        <v>880428</v>
      </c>
      <c r="H991">
        <v>4511571742</v>
      </c>
      <c r="I991">
        <v>20</v>
      </c>
      <c r="J991" s="29">
        <v>1</v>
      </c>
      <c r="K991" s="29" t="s">
        <v>870</v>
      </c>
      <c r="L991" t="str">
        <f>IFERROR(VLOOKUP(Detalle_OC[[#This Row],[Centro]]&amp;Detalle_OC[[#This Row],[Nro Almacen]],Almacen!A:D,4,FALSE),"")</f>
        <v>Montelima</v>
      </c>
    </row>
    <row r="992" spans="1:12" x14ac:dyDescent="0.3">
      <c r="A992" s="29" t="str">
        <f>Detalle_OC[[#This Row],[Centro]]&amp;Detalle_OC[[#This Row],[Nom Almacen]]&amp;Detalle_OC[[#This Row],[Material]]&amp;Detalle_OC[[#This Row],[Pedido]]&amp;Detalle_OC[[#This Row],[Posicion]]</f>
        <v>Agricola del Chira PlantaMontelima830605451157174320</v>
      </c>
      <c r="B992" t="s">
        <v>15</v>
      </c>
      <c r="C992" t="s">
        <v>14</v>
      </c>
      <c r="D992" s="11">
        <v>45639</v>
      </c>
      <c r="E992" t="s">
        <v>16</v>
      </c>
      <c r="F992" t="s">
        <v>12</v>
      </c>
      <c r="G992">
        <v>830605</v>
      </c>
      <c r="H992">
        <v>4511571743</v>
      </c>
      <c r="I992">
        <v>20</v>
      </c>
      <c r="J992" s="29">
        <v>1</v>
      </c>
      <c r="K992" s="29" t="s">
        <v>870</v>
      </c>
      <c r="L992" t="str">
        <f>IFERROR(VLOOKUP(Detalle_OC[[#This Row],[Centro]]&amp;Detalle_OC[[#This Row],[Nro Almacen]],Almacen!A:D,4,FALSE),"")</f>
        <v>Montelima</v>
      </c>
    </row>
    <row r="993" spans="1:12" x14ac:dyDescent="0.3">
      <c r="A993" s="29" t="str">
        <f>Detalle_OC[[#This Row],[Centro]]&amp;Detalle_OC[[#This Row],[Nom Almacen]]&amp;Detalle_OC[[#This Row],[Material]]&amp;Detalle_OC[[#This Row],[Pedido]]&amp;Detalle_OC[[#This Row],[Posicion]]</f>
        <v>Sucroalcolera del Chira PlantaMontelima806179451157174410</v>
      </c>
      <c r="B993" t="s">
        <v>1145</v>
      </c>
      <c r="C993" t="s">
        <v>103</v>
      </c>
      <c r="D993" s="11">
        <v>45646</v>
      </c>
      <c r="E993" t="s">
        <v>16</v>
      </c>
      <c r="F993" t="s">
        <v>85</v>
      </c>
      <c r="G993">
        <v>806179</v>
      </c>
      <c r="H993">
        <v>4511571744</v>
      </c>
      <c r="I993">
        <v>10</v>
      </c>
      <c r="J993" s="29">
        <v>1</v>
      </c>
      <c r="K993" s="29" t="s">
        <v>870</v>
      </c>
      <c r="L993" t="str">
        <f>IFERROR(VLOOKUP(Detalle_OC[[#This Row],[Centro]]&amp;Detalle_OC[[#This Row],[Nro Almacen]],Almacen!A:D,4,FALSE),"")</f>
        <v>Montelima</v>
      </c>
    </row>
    <row r="994" spans="1:12" x14ac:dyDescent="0.3">
      <c r="A994" s="29" t="str">
        <f>Detalle_OC[[#This Row],[Centro]]&amp;Detalle_OC[[#This Row],[Nom Almacen]]&amp;Detalle_OC[[#This Row],[Material]]&amp;Detalle_OC[[#This Row],[Pedido]]&amp;Detalle_OC[[#This Row],[Posicion]]</f>
        <v>Sucroalcolera del Chira PlantaMontelima806214451157174430</v>
      </c>
      <c r="B994" t="s">
        <v>1145</v>
      </c>
      <c r="C994" t="s">
        <v>103</v>
      </c>
      <c r="D994" s="11">
        <v>45646</v>
      </c>
      <c r="E994" t="s">
        <v>16</v>
      </c>
      <c r="F994" t="s">
        <v>85</v>
      </c>
      <c r="G994">
        <v>806214</v>
      </c>
      <c r="H994">
        <v>4511571744</v>
      </c>
      <c r="I994">
        <v>30</v>
      </c>
      <c r="J994" s="29">
        <v>1</v>
      </c>
      <c r="K994" s="29" t="s">
        <v>870</v>
      </c>
      <c r="L994" t="str">
        <f>IFERROR(VLOOKUP(Detalle_OC[[#This Row],[Centro]]&amp;Detalle_OC[[#This Row],[Nro Almacen]],Almacen!A:D,4,FALSE),"")</f>
        <v>Montelima</v>
      </c>
    </row>
    <row r="995" spans="1:12" x14ac:dyDescent="0.3">
      <c r="A995" s="29" t="str">
        <f>Detalle_OC[[#This Row],[Centro]]&amp;Detalle_OC[[#This Row],[Nom Almacen]]&amp;Detalle_OC[[#This Row],[Material]]&amp;Detalle_OC[[#This Row],[Pedido]]&amp;Detalle_OC[[#This Row],[Posicion]]</f>
        <v>Sucroalcolera del Chira PlantaMontelimaCF20800110        451157174510</v>
      </c>
      <c r="B995" t="s">
        <v>15</v>
      </c>
      <c r="C995" t="s">
        <v>96</v>
      </c>
      <c r="D995" s="11">
        <v>45644</v>
      </c>
      <c r="E995" t="s">
        <v>16</v>
      </c>
      <c r="F995" t="s">
        <v>85</v>
      </c>
      <c r="G995" t="s">
        <v>222</v>
      </c>
      <c r="H995">
        <v>4511571745</v>
      </c>
      <c r="I995">
        <v>10</v>
      </c>
      <c r="J995" s="29">
        <v>1</v>
      </c>
      <c r="K995" s="29" t="s">
        <v>870</v>
      </c>
      <c r="L995" t="str">
        <f>IFERROR(VLOOKUP(Detalle_OC[[#This Row],[Centro]]&amp;Detalle_OC[[#This Row],[Nro Almacen]],Almacen!A:D,4,FALSE),"")</f>
        <v>Montelima</v>
      </c>
    </row>
    <row r="996" spans="1:12" x14ac:dyDescent="0.3">
      <c r="A996" s="29" t="str">
        <f>Detalle_OC[[#This Row],[Centro]]&amp;Detalle_OC[[#This Row],[Nom Almacen]]&amp;Detalle_OC[[#This Row],[Material]]&amp;Detalle_OC[[#This Row],[Pedido]]&amp;Detalle_OC[[#This Row],[Posicion]]</f>
        <v>Agricola del Chira PlantaLa Huaca736856451157174810</v>
      </c>
      <c r="B996" t="s">
        <v>15</v>
      </c>
      <c r="C996" t="s">
        <v>14</v>
      </c>
      <c r="D996" s="11">
        <v>45642</v>
      </c>
      <c r="E996" t="s">
        <v>16</v>
      </c>
      <c r="F996" t="s">
        <v>12</v>
      </c>
      <c r="G996">
        <v>736856</v>
      </c>
      <c r="H996">
        <v>4511571748</v>
      </c>
      <c r="I996">
        <v>10</v>
      </c>
      <c r="J996" s="29">
        <v>2</v>
      </c>
      <c r="K996" s="29" t="s">
        <v>870</v>
      </c>
      <c r="L996" t="str">
        <f>IFERROR(VLOOKUP(Detalle_OC[[#This Row],[Centro]]&amp;Detalle_OC[[#This Row],[Nro Almacen]],Almacen!A:D,4,FALSE),"")</f>
        <v>La Huaca</v>
      </c>
    </row>
    <row r="997" spans="1:12" x14ac:dyDescent="0.3">
      <c r="A997" s="29" t="str">
        <f>Detalle_OC[[#This Row],[Centro]]&amp;Detalle_OC[[#This Row],[Nom Almacen]]&amp;Detalle_OC[[#This Row],[Material]]&amp;Detalle_OC[[#This Row],[Pedido]]&amp;Detalle_OC[[#This Row],[Posicion]]</f>
        <v>Agricola del Chira PlantaMontelima70065268451157175010</v>
      </c>
      <c r="B997" t="s">
        <v>149</v>
      </c>
      <c r="C997" t="s">
        <v>166</v>
      </c>
      <c r="D997" s="11">
        <v>45642</v>
      </c>
      <c r="E997" t="s">
        <v>16</v>
      </c>
      <c r="F997" t="s">
        <v>12</v>
      </c>
      <c r="G997">
        <v>70065268</v>
      </c>
      <c r="H997">
        <v>4511571750</v>
      </c>
      <c r="I997">
        <v>10</v>
      </c>
      <c r="J997" s="29">
        <v>1</v>
      </c>
      <c r="K997" s="29" t="s">
        <v>870</v>
      </c>
      <c r="L997" t="str">
        <f>IFERROR(VLOOKUP(Detalle_OC[[#This Row],[Centro]]&amp;Detalle_OC[[#This Row],[Nro Almacen]],Almacen!A:D,4,FALSE),"")</f>
        <v>Montelima</v>
      </c>
    </row>
    <row r="998" spans="1:12" x14ac:dyDescent="0.3">
      <c r="A998" s="29" t="str">
        <f>Detalle_OC[[#This Row],[Centro]]&amp;Detalle_OC[[#This Row],[Nom Almacen]]&amp;Detalle_OC[[#This Row],[Material]]&amp;Detalle_OC[[#This Row],[Pedido]]&amp;Detalle_OC[[#This Row],[Posicion]]</f>
        <v>Agricola del Chira PlantaMontelima837792451157175310</v>
      </c>
      <c r="B998" t="s">
        <v>15</v>
      </c>
      <c r="C998" t="s">
        <v>84</v>
      </c>
      <c r="D998" s="11">
        <v>45639</v>
      </c>
      <c r="E998" t="s">
        <v>16</v>
      </c>
      <c r="F998" t="s">
        <v>12</v>
      </c>
      <c r="G998">
        <v>837792</v>
      </c>
      <c r="H998">
        <v>4511571753</v>
      </c>
      <c r="I998">
        <v>10</v>
      </c>
      <c r="J998" s="29">
        <v>1</v>
      </c>
      <c r="K998" s="29" t="s">
        <v>870</v>
      </c>
      <c r="L998" t="str">
        <f>IFERROR(VLOOKUP(Detalle_OC[[#This Row],[Centro]]&amp;Detalle_OC[[#This Row],[Nro Almacen]],Almacen!A:D,4,FALSE),"")</f>
        <v>Montelima</v>
      </c>
    </row>
    <row r="999" spans="1:12" x14ac:dyDescent="0.3">
      <c r="A999" s="29" t="str">
        <f>Detalle_OC[[#This Row],[Centro]]&amp;Detalle_OC[[#This Row],[Nom Almacen]]&amp;Detalle_OC[[#This Row],[Material]]&amp;Detalle_OC[[#This Row],[Pedido]]&amp;Detalle_OC[[#This Row],[Posicion]]</f>
        <v>Sucroalcolera del Chira PlantaMontelima70111470451157175410</v>
      </c>
      <c r="B999" t="s">
        <v>234</v>
      </c>
      <c r="C999" t="s">
        <v>238</v>
      </c>
      <c r="D999" s="11">
        <v>45639</v>
      </c>
      <c r="E999" t="s">
        <v>16</v>
      </c>
      <c r="F999" t="s">
        <v>85</v>
      </c>
      <c r="G999">
        <v>70111470</v>
      </c>
      <c r="H999">
        <v>4511571754</v>
      </c>
      <c r="I999">
        <v>10</v>
      </c>
      <c r="J999" s="29">
        <v>1</v>
      </c>
      <c r="K999" s="29" t="s">
        <v>870</v>
      </c>
      <c r="L999" t="str">
        <f>IFERROR(VLOOKUP(Detalle_OC[[#This Row],[Centro]]&amp;Detalle_OC[[#This Row],[Nro Almacen]],Almacen!A:D,4,FALSE),"")</f>
        <v>Montelima</v>
      </c>
    </row>
    <row r="1000" spans="1:12" x14ac:dyDescent="0.3">
      <c r="A1000" s="29" t="str">
        <f>Detalle_OC[[#This Row],[Centro]]&amp;Detalle_OC[[#This Row],[Nom Almacen]]&amp;Detalle_OC[[#This Row],[Material]]&amp;Detalle_OC[[#This Row],[Pedido]]&amp;Detalle_OC[[#This Row],[Posicion]]</f>
        <v>Sucroalcolera del Chira PlantaMontelima70135684451157175420</v>
      </c>
      <c r="B1000" t="s">
        <v>234</v>
      </c>
      <c r="C1000" t="s">
        <v>238</v>
      </c>
      <c r="D1000" s="11">
        <v>45639</v>
      </c>
      <c r="E1000" t="s">
        <v>16</v>
      </c>
      <c r="F1000" t="s">
        <v>85</v>
      </c>
      <c r="G1000">
        <v>70135684</v>
      </c>
      <c r="H1000">
        <v>4511571754</v>
      </c>
      <c r="I1000">
        <v>20</v>
      </c>
      <c r="J1000" s="29">
        <v>1</v>
      </c>
      <c r="K1000" s="29" t="s">
        <v>870</v>
      </c>
      <c r="L1000" t="str">
        <f>IFERROR(VLOOKUP(Detalle_OC[[#This Row],[Centro]]&amp;Detalle_OC[[#This Row],[Nro Almacen]],Almacen!A:D,4,FALSE),"")</f>
        <v>Montelima</v>
      </c>
    </row>
    <row r="1001" spans="1:12" x14ac:dyDescent="0.3">
      <c r="A1001" s="29" t="str">
        <f>Detalle_OC[[#This Row],[Centro]]&amp;Detalle_OC[[#This Row],[Nom Almacen]]&amp;Detalle_OC[[#This Row],[Material]]&amp;Detalle_OC[[#This Row],[Pedido]]&amp;Detalle_OC[[#This Row],[Posicion]]</f>
        <v>Sucroalcolera del Chira PlantaMontelima70111439451157175430</v>
      </c>
      <c r="B1001" t="s">
        <v>234</v>
      </c>
      <c r="C1001" t="s">
        <v>238</v>
      </c>
      <c r="D1001" s="11">
        <v>45639</v>
      </c>
      <c r="E1001" t="s">
        <v>16</v>
      </c>
      <c r="F1001" t="s">
        <v>85</v>
      </c>
      <c r="G1001">
        <v>70111439</v>
      </c>
      <c r="H1001">
        <v>4511571754</v>
      </c>
      <c r="I1001">
        <v>30</v>
      </c>
      <c r="J1001" s="29">
        <v>1</v>
      </c>
      <c r="K1001" s="29" t="s">
        <v>870</v>
      </c>
      <c r="L1001" t="str">
        <f>IFERROR(VLOOKUP(Detalle_OC[[#This Row],[Centro]]&amp;Detalle_OC[[#This Row],[Nro Almacen]],Almacen!A:D,4,FALSE),"")</f>
        <v>Montelima</v>
      </c>
    </row>
    <row r="1002" spans="1:12" x14ac:dyDescent="0.3">
      <c r="A1002" s="29" t="str">
        <f>Detalle_OC[[#This Row],[Centro]]&amp;Detalle_OC[[#This Row],[Nom Almacen]]&amp;Detalle_OC[[#This Row],[Material]]&amp;Detalle_OC[[#This Row],[Pedido]]&amp;Detalle_OC[[#This Row],[Posicion]]</f>
        <v>Agricola del Chira PlantaLa Huaca70003844451157175610</v>
      </c>
      <c r="B1002" t="s">
        <v>26</v>
      </c>
      <c r="C1002" t="s">
        <v>32</v>
      </c>
      <c r="D1002" s="11">
        <v>45635</v>
      </c>
      <c r="E1002" t="s">
        <v>16</v>
      </c>
      <c r="F1002" t="s">
        <v>12</v>
      </c>
      <c r="G1002">
        <v>70003844</v>
      </c>
      <c r="H1002">
        <v>4511571756</v>
      </c>
      <c r="I1002">
        <v>10</v>
      </c>
      <c r="J1002" s="29">
        <v>2</v>
      </c>
      <c r="K1002" s="29" t="s">
        <v>870</v>
      </c>
      <c r="L1002" t="str">
        <f>IFERROR(VLOOKUP(Detalle_OC[[#This Row],[Centro]]&amp;Detalle_OC[[#This Row],[Nro Almacen]],Almacen!A:D,4,FALSE),"")</f>
        <v>La Huaca</v>
      </c>
    </row>
    <row r="1003" spans="1:12" x14ac:dyDescent="0.3">
      <c r="A1003" s="29" t="str">
        <f>Detalle_OC[[#This Row],[Centro]]&amp;Detalle_OC[[#This Row],[Nom Almacen]]&amp;Detalle_OC[[#This Row],[Material]]&amp;Detalle_OC[[#This Row],[Pedido]]&amp;Detalle_OC[[#This Row],[Posicion]]</f>
        <v>Agricola del Chira PlantaMontelima726961451157175620</v>
      </c>
      <c r="B1003" t="s">
        <v>159</v>
      </c>
      <c r="C1003" t="s">
        <v>32</v>
      </c>
      <c r="D1003" s="11">
        <v>45635</v>
      </c>
      <c r="E1003" t="s">
        <v>16</v>
      </c>
      <c r="F1003" t="s">
        <v>12</v>
      </c>
      <c r="G1003">
        <v>726961</v>
      </c>
      <c r="H1003">
        <v>4511571756</v>
      </c>
      <c r="I1003">
        <v>20</v>
      </c>
      <c r="J1003" s="29">
        <v>1</v>
      </c>
      <c r="K1003" s="29" t="s">
        <v>870</v>
      </c>
      <c r="L1003" t="str">
        <f>IFERROR(VLOOKUP(Detalle_OC[[#This Row],[Centro]]&amp;Detalle_OC[[#This Row],[Nro Almacen]],Almacen!A:D,4,FALSE),"")</f>
        <v>Montelima</v>
      </c>
    </row>
    <row r="1004" spans="1:12" x14ac:dyDescent="0.3">
      <c r="A1004" s="29" t="str">
        <f>Detalle_OC[[#This Row],[Centro]]&amp;Detalle_OC[[#This Row],[Nom Almacen]]&amp;Detalle_OC[[#This Row],[Material]]&amp;Detalle_OC[[#This Row],[Pedido]]&amp;Detalle_OC[[#This Row],[Posicion]]</f>
        <v>Agricola del Chira PlantaMontelima814305451157176210</v>
      </c>
      <c r="B1004" t="s">
        <v>214</v>
      </c>
      <c r="C1004" t="s">
        <v>103</v>
      </c>
      <c r="D1004" s="11">
        <v>45646</v>
      </c>
      <c r="E1004" t="s">
        <v>16</v>
      </c>
      <c r="F1004" t="s">
        <v>12</v>
      </c>
      <c r="G1004">
        <v>814305</v>
      </c>
      <c r="H1004">
        <v>4511571762</v>
      </c>
      <c r="I1004">
        <v>10</v>
      </c>
      <c r="J1004" s="29">
        <v>1</v>
      </c>
      <c r="K1004" s="29" t="s">
        <v>870</v>
      </c>
      <c r="L1004" t="str">
        <f>IFERROR(VLOOKUP(Detalle_OC[[#This Row],[Centro]]&amp;Detalle_OC[[#This Row],[Nro Almacen]],Almacen!A:D,4,FALSE),"")</f>
        <v>Montelima</v>
      </c>
    </row>
    <row r="1005" spans="1:12" x14ac:dyDescent="0.3">
      <c r="A1005" s="29" t="str">
        <f>Detalle_OC[[#This Row],[Centro]]&amp;Detalle_OC[[#This Row],[Nom Almacen]]&amp;Detalle_OC[[#This Row],[Material]]&amp;Detalle_OC[[#This Row],[Pedido]]&amp;Detalle_OC[[#This Row],[Posicion]]</f>
        <v>Agricola del Chira PlantaMontelima892883451157177210</v>
      </c>
      <c r="B1005" t="s">
        <v>15</v>
      </c>
      <c r="C1005" t="s">
        <v>212</v>
      </c>
      <c r="D1005" s="11">
        <v>45646</v>
      </c>
      <c r="E1005" t="s">
        <v>16</v>
      </c>
      <c r="F1005" t="s">
        <v>12</v>
      </c>
      <c r="G1005">
        <v>892883</v>
      </c>
      <c r="H1005">
        <v>4511571772</v>
      </c>
      <c r="I1005">
        <v>10</v>
      </c>
      <c r="J1005" s="29">
        <v>1</v>
      </c>
      <c r="K1005" s="29" t="s">
        <v>870</v>
      </c>
      <c r="L1005" t="str">
        <f>IFERROR(VLOOKUP(Detalle_OC[[#This Row],[Centro]]&amp;Detalle_OC[[#This Row],[Nro Almacen]],Almacen!A:D,4,FALSE),"")</f>
        <v>Montelima</v>
      </c>
    </row>
    <row r="1006" spans="1:12" x14ac:dyDescent="0.3">
      <c r="A1006" s="29" t="str">
        <f>Detalle_OC[[#This Row],[Centro]]&amp;Detalle_OC[[#This Row],[Nom Almacen]]&amp;Detalle_OC[[#This Row],[Material]]&amp;Detalle_OC[[#This Row],[Pedido]]&amp;Detalle_OC[[#This Row],[Posicion]]</f>
        <v>Agricola del Chira PlantaMontelima70087119451157177410</v>
      </c>
      <c r="B1006" t="s">
        <v>33</v>
      </c>
      <c r="C1006" t="s">
        <v>143</v>
      </c>
      <c r="D1006" s="11">
        <v>45646</v>
      </c>
      <c r="E1006" t="s">
        <v>16</v>
      </c>
      <c r="F1006" t="s">
        <v>12</v>
      </c>
      <c r="G1006">
        <v>70087119</v>
      </c>
      <c r="H1006">
        <v>4511571774</v>
      </c>
      <c r="I1006">
        <v>10</v>
      </c>
      <c r="J1006" s="29">
        <v>1</v>
      </c>
      <c r="K1006" s="29" t="s">
        <v>870</v>
      </c>
      <c r="L1006" t="str">
        <f>IFERROR(VLOOKUP(Detalle_OC[[#This Row],[Centro]]&amp;Detalle_OC[[#This Row],[Nro Almacen]],Almacen!A:D,4,FALSE),"")</f>
        <v>Montelima</v>
      </c>
    </row>
    <row r="1007" spans="1:12" x14ac:dyDescent="0.3">
      <c r="A1007" s="29" t="str">
        <f>Detalle_OC[[#This Row],[Centro]]&amp;Detalle_OC[[#This Row],[Nom Almacen]]&amp;Detalle_OC[[#This Row],[Material]]&amp;Detalle_OC[[#This Row],[Pedido]]&amp;Detalle_OC[[#This Row],[Posicion]]</f>
        <v>Agricola del Chira PlantaMontelimaCT901113          451157177810</v>
      </c>
      <c r="B1007" t="s">
        <v>1159</v>
      </c>
      <c r="C1007" t="s">
        <v>1158</v>
      </c>
      <c r="D1007" s="11">
        <v>45635</v>
      </c>
      <c r="E1007" t="s">
        <v>16</v>
      </c>
      <c r="F1007" t="s">
        <v>12</v>
      </c>
      <c r="G1007" t="s">
        <v>1036</v>
      </c>
      <c r="H1007">
        <v>4511571778</v>
      </c>
      <c r="I1007">
        <v>10</v>
      </c>
      <c r="J1007" s="29">
        <v>1</v>
      </c>
      <c r="K1007" s="29" t="s">
        <v>870</v>
      </c>
      <c r="L1007" t="str">
        <f>IFERROR(VLOOKUP(Detalle_OC[[#This Row],[Centro]]&amp;Detalle_OC[[#This Row],[Nro Almacen]],Almacen!A:D,4,FALSE),"")</f>
        <v>Montelima</v>
      </c>
    </row>
    <row r="1008" spans="1:12" x14ac:dyDescent="0.3">
      <c r="A1008" s="29" t="str">
        <f>Detalle_OC[[#This Row],[Centro]]&amp;Detalle_OC[[#This Row],[Nom Almacen]]&amp;Detalle_OC[[#This Row],[Material]]&amp;Detalle_OC[[#This Row],[Pedido]]&amp;Detalle_OC[[#This Row],[Posicion]]</f>
        <v>Agricola del Chira PlantaMontelima70095819451157178210</v>
      </c>
      <c r="B1008" t="s">
        <v>145</v>
      </c>
      <c r="C1008" t="s">
        <v>146</v>
      </c>
      <c r="D1008" s="11">
        <v>45646</v>
      </c>
      <c r="E1008" t="s">
        <v>16</v>
      </c>
      <c r="F1008" t="s">
        <v>12</v>
      </c>
      <c r="G1008">
        <v>70095819</v>
      </c>
      <c r="H1008">
        <v>4511571782</v>
      </c>
      <c r="I1008">
        <v>10</v>
      </c>
      <c r="J1008" s="29">
        <v>1</v>
      </c>
      <c r="K1008" s="29" t="s">
        <v>870</v>
      </c>
      <c r="L1008" t="str">
        <f>IFERROR(VLOOKUP(Detalle_OC[[#This Row],[Centro]]&amp;Detalle_OC[[#This Row],[Nro Almacen]],Almacen!A:D,4,FALSE),"")</f>
        <v>Montelima</v>
      </c>
    </row>
    <row r="1009" spans="1:12" x14ac:dyDescent="0.3">
      <c r="A1009" s="29" t="str">
        <f>Detalle_OC[[#This Row],[Centro]]&amp;Detalle_OC[[#This Row],[Nom Almacen]]&amp;Detalle_OC[[#This Row],[Material]]&amp;Detalle_OC[[#This Row],[Pedido]]&amp;Detalle_OC[[#This Row],[Posicion]]</f>
        <v>Agricola del Chira PlantaMontelima756994451157178310</v>
      </c>
      <c r="B1009" t="s">
        <v>1140</v>
      </c>
      <c r="C1009" t="s">
        <v>22</v>
      </c>
      <c r="D1009" s="11">
        <v>45646</v>
      </c>
      <c r="E1009" t="s">
        <v>16</v>
      </c>
      <c r="F1009" t="s">
        <v>12</v>
      </c>
      <c r="G1009">
        <v>756994</v>
      </c>
      <c r="H1009">
        <v>4511571783</v>
      </c>
      <c r="I1009">
        <v>10</v>
      </c>
      <c r="J1009" s="29">
        <v>1</v>
      </c>
      <c r="K1009" s="29" t="s">
        <v>870</v>
      </c>
      <c r="L1009" t="str">
        <f>IFERROR(VLOOKUP(Detalle_OC[[#This Row],[Centro]]&amp;Detalle_OC[[#This Row],[Nro Almacen]],Almacen!A:D,4,FALSE),"")</f>
        <v>Montelima</v>
      </c>
    </row>
    <row r="1010" spans="1:12" x14ac:dyDescent="0.3">
      <c r="A1010" s="29" t="str">
        <f>Detalle_OC[[#This Row],[Centro]]&amp;Detalle_OC[[#This Row],[Nom Almacen]]&amp;Detalle_OC[[#This Row],[Material]]&amp;Detalle_OC[[#This Row],[Pedido]]&amp;Detalle_OC[[#This Row],[Posicion]]</f>
        <v>Agricola del Chira PlantaMontelima880586451157178320</v>
      </c>
      <c r="B1010" t="s">
        <v>1140</v>
      </c>
      <c r="C1010" t="s">
        <v>22</v>
      </c>
      <c r="D1010" s="11">
        <v>45646</v>
      </c>
      <c r="E1010" t="s">
        <v>16</v>
      </c>
      <c r="F1010" t="s">
        <v>12</v>
      </c>
      <c r="G1010">
        <v>880586</v>
      </c>
      <c r="H1010">
        <v>4511571783</v>
      </c>
      <c r="I1010">
        <v>20</v>
      </c>
      <c r="J1010" s="29">
        <v>1</v>
      </c>
      <c r="K1010" s="29" t="s">
        <v>870</v>
      </c>
      <c r="L1010" t="str">
        <f>IFERROR(VLOOKUP(Detalle_OC[[#This Row],[Centro]]&amp;Detalle_OC[[#This Row],[Nro Almacen]],Almacen!A:D,4,FALSE),"")</f>
        <v>Montelima</v>
      </c>
    </row>
    <row r="1011" spans="1:12" x14ac:dyDescent="0.3">
      <c r="A1011" s="29" t="str">
        <f>Detalle_OC[[#This Row],[Centro]]&amp;Detalle_OC[[#This Row],[Nom Almacen]]&amp;Detalle_OC[[#This Row],[Material]]&amp;Detalle_OC[[#This Row],[Pedido]]&amp;Detalle_OC[[#This Row],[Posicion]]</f>
        <v>Sucroalcolera del Chira PlantaMontelima70033106451157151210</v>
      </c>
      <c r="B1011" t="s">
        <v>138</v>
      </c>
      <c r="C1011" t="s">
        <v>1136</v>
      </c>
      <c r="D1011" s="11">
        <v>45646</v>
      </c>
      <c r="E1011" t="s">
        <v>16</v>
      </c>
      <c r="F1011" t="s">
        <v>85</v>
      </c>
      <c r="G1011">
        <v>70033106</v>
      </c>
      <c r="H1011">
        <v>4511571512</v>
      </c>
      <c r="I1011">
        <v>10</v>
      </c>
      <c r="J1011" s="29">
        <v>1</v>
      </c>
      <c r="K1011" s="29" t="s">
        <v>861</v>
      </c>
      <c r="L1011" t="str">
        <f>IFERROR(VLOOKUP(Detalle_OC[[#This Row],[Centro]]&amp;Detalle_OC[[#This Row],[Nro Almacen]],Almacen!A:D,4,FALSE),"")</f>
        <v>Montelima</v>
      </c>
    </row>
    <row r="1012" spans="1:12" x14ac:dyDescent="0.3">
      <c r="A1012" s="29" t="str">
        <f>Detalle_OC[[#This Row],[Centro]]&amp;Detalle_OC[[#This Row],[Nom Almacen]]&amp;Detalle_OC[[#This Row],[Material]]&amp;Detalle_OC[[#This Row],[Pedido]]&amp;Detalle_OC[[#This Row],[Posicion]]</f>
        <v>Agricola del Chira PlantaAlmacen Lobo880546451157152710</v>
      </c>
      <c r="B1012" t="s">
        <v>15</v>
      </c>
      <c r="C1012" t="s">
        <v>44</v>
      </c>
      <c r="D1012" s="11">
        <v>45646</v>
      </c>
      <c r="E1012" t="s">
        <v>16</v>
      </c>
      <c r="F1012" t="s">
        <v>12</v>
      </c>
      <c r="G1012">
        <v>880546</v>
      </c>
      <c r="H1012">
        <v>4511571527</v>
      </c>
      <c r="I1012">
        <v>10</v>
      </c>
      <c r="J1012" s="29">
        <v>7</v>
      </c>
      <c r="K1012" s="29" t="s">
        <v>861</v>
      </c>
      <c r="L1012" t="str">
        <f>IFERROR(VLOOKUP(Detalle_OC[[#This Row],[Centro]]&amp;Detalle_OC[[#This Row],[Nro Almacen]],Almacen!A:D,4,FALSE),"")</f>
        <v>Almacen Lobo</v>
      </c>
    </row>
    <row r="1013" spans="1:12" x14ac:dyDescent="0.3">
      <c r="A1013" s="29" t="str">
        <f>Detalle_OC[[#This Row],[Centro]]&amp;Detalle_OC[[#This Row],[Nom Almacen]]&amp;Detalle_OC[[#This Row],[Material]]&amp;Detalle_OC[[#This Row],[Pedido]]&amp;Detalle_OC[[#This Row],[Posicion]]</f>
        <v>Agricola del Chira PlantaMontelima863927451157153310</v>
      </c>
      <c r="B1013" t="s">
        <v>234</v>
      </c>
      <c r="C1013" t="s">
        <v>235</v>
      </c>
      <c r="D1013" s="11">
        <v>45672</v>
      </c>
      <c r="E1013" t="s">
        <v>16</v>
      </c>
      <c r="F1013" t="s">
        <v>12</v>
      </c>
      <c r="G1013">
        <v>863927</v>
      </c>
      <c r="H1013">
        <v>4511571533</v>
      </c>
      <c r="I1013">
        <v>10</v>
      </c>
      <c r="J1013" s="29">
        <v>1</v>
      </c>
      <c r="K1013" s="29" t="s">
        <v>861</v>
      </c>
      <c r="L1013" t="str">
        <f>IFERROR(VLOOKUP(Detalle_OC[[#This Row],[Centro]]&amp;Detalle_OC[[#This Row],[Nro Almacen]],Almacen!A:D,4,FALSE),"")</f>
        <v>Montelima</v>
      </c>
    </row>
    <row r="1014" spans="1:12" x14ac:dyDescent="0.3">
      <c r="A1014" s="29" t="str">
        <f>Detalle_OC[[#This Row],[Centro]]&amp;Detalle_OC[[#This Row],[Nom Almacen]]&amp;Detalle_OC[[#This Row],[Material]]&amp;Detalle_OC[[#This Row],[Pedido]]&amp;Detalle_OC[[#This Row],[Posicion]]</f>
        <v>Sucroalcolera del Chira PlantaMontelima70027990451157153710</v>
      </c>
      <c r="B1014" t="s">
        <v>138</v>
      </c>
      <c r="C1014" t="s">
        <v>235</v>
      </c>
      <c r="D1014" s="11">
        <v>45646</v>
      </c>
      <c r="E1014" t="s">
        <v>16</v>
      </c>
      <c r="F1014" t="s">
        <v>85</v>
      </c>
      <c r="G1014">
        <v>70027990</v>
      </c>
      <c r="H1014">
        <v>4511571537</v>
      </c>
      <c r="I1014">
        <v>10</v>
      </c>
      <c r="J1014" s="29">
        <v>1</v>
      </c>
      <c r="K1014" s="29" t="s">
        <v>861</v>
      </c>
      <c r="L1014" t="str">
        <f>IFERROR(VLOOKUP(Detalle_OC[[#This Row],[Centro]]&amp;Detalle_OC[[#This Row],[Nro Almacen]],Almacen!A:D,4,FALSE),"")</f>
        <v>Montelima</v>
      </c>
    </row>
    <row r="1015" spans="1:12" x14ac:dyDescent="0.3">
      <c r="A1015" s="29" t="str">
        <f>Detalle_OC[[#This Row],[Centro]]&amp;Detalle_OC[[#This Row],[Nom Almacen]]&amp;Detalle_OC[[#This Row],[Material]]&amp;Detalle_OC[[#This Row],[Pedido]]&amp;Detalle_OC[[#This Row],[Posicion]]</f>
        <v>Agricola del Chira PlantaAlmacen Lobo70085284451157154110</v>
      </c>
      <c r="B1015" t="s">
        <v>33</v>
      </c>
      <c r="C1015" t="s">
        <v>271</v>
      </c>
      <c r="D1015" s="11">
        <v>45646</v>
      </c>
      <c r="E1015" t="s">
        <v>16</v>
      </c>
      <c r="F1015" t="s">
        <v>12</v>
      </c>
      <c r="G1015">
        <v>70085284</v>
      </c>
      <c r="H1015">
        <v>4511571541</v>
      </c>
      <c r="I1015">
        <v>10</v>
      </c>
      <c r="J1015" s="29">
        <v>7</v>
      </c>
      <c r="K1015" s="29" t="s">
        <v>861</v>
      </c>
      <c r="L1015" t="str">
        <f>IFERROR(VLOOKUP(Detalle_OC[[#This Row],[Centro]]&amp;Detalle_OC[[#This Row],[Nro Almacen]],Almacen!A:D,4,FALSE),"")</f>
        <v>Almacen Lobo</v>
      </c>
    </row>
    <row r="1016" spans="1:12" x14ac:dyDescent="0.3">
      <c r="A1016" s="29" t="str">
        <f>Detalle_OC[[#This Row],[Centro]]&amp;Detalle_OC[[#This Row],[Nom Almacen]]&amp;Detalle_OC[[#This Row],[Material]]&amp;Detalle_OC[[#This Row],[Pedido]]&amp;Detalle_OC[[#This Row],[Posicion]]</f>
        <v>Sucroalcolera del Chira PlantaMontelima70134326451157155110</v>
      </c>
      <c r="B1016" t="s">
        <v>138</v>
      </c>
      <c r="C1016" t="s">
        <v>141</v>
      </c>
      <c r="D1016" s="11">
        <v>45642</v>
      </c>
      <c r="E1016" t="s">
        <v>16</v>
      </c>
      <c r="F1016" t="s">
        <v>85</v>
      </c>
      <c r="G1016">
        <v>70134326</v>
      </c>
      <c r="H1016">
        <v>4511571551</v>
      </c>
      <c r="I1016">
        <v>10</v>
      </c>
      <c r="J1016" s="29">
        <v>1</v>
      </c>
      <c r="K1016" s="29" t="s">
        <v>861</v>
      </c>
      <c r="L1016" t="str">
        <f>IFERROR(VLOOKUP(Detalle_OC[[#This Row],[Centro]]&amp;Detalle_OC[[#This Row],[Nro Almacen]],Almacen!A:D,4,FALSE),"")</f>
        <v>Montelima</v>
      </c>
    </row>
    <row r="1017" spans="1:12" x14ac:dyDescent="0.3">
      <c r="A1017" s="29" t="str">
        <f>Detalle_OC[[#This Row],[Centro]]&amp;Detalle_OC[[#This Row],[Nom Almacen]]&amp;Detalle_OC[[#This Row],[Material]]&amp;Detalle_OC[[#This Row],[Pedido]]&amp;Detalle_OC[[#This Row],[Posicion]]</f>
        <v>Agricola del Chira PlantaMontelima70108275451157156310</v>
      </c>
      <c r="B1017" t="s">
        <v>200</v>
      </c>
      <c r="C1017" t="s">
        <v>44</v>
      </c>
      <c r="D1017" s="11">
        <v>45644</v>
      </c>
      <c r="E1017" t="s">
        <v>48</v>
      </c>
      <c r="F1017" t="s">
        <v>12</v>
      </c>
      <c r="G1017">
        <v>70108275</v>
      </c>
      <c r="H1017">
        <v>4511571563</v>
      </c>
      <c r="I1017">
        <v>10</v>
      </c>
      <c r="J1017" s="29">
        <v>1</v>
      </c>
      <c r="K1017" s="29" t="s">
        <v>861</v>
      </c>
      <c r="L1017" t="str">
        <f>IFERROR(VLOOKUP(Detalle_OC[[#This Row],[Centro]]&amp;Detalle_OC[[#This Row],[Nro Almacen]],Almacen!A:D,4,FALSE),"")</f>
        <v>Montelima</v>
      </c>
    </row>
    <row r="1018" spans="1:12" x14ac:dyDescent="0.3">
      <c r="A1018" s="29" t="str">
        <f>Detalle_OC[[#This Row],[Centro]]&amp;Detalle_OC[[#This Row],[Nom Almacen]]&amp;Detalle_OC[[#This Row],[Material]]&amp;Detalle_OC[[#This Row],[Pedido]]&amp;Detalle_OC[[#This Row],[Posicion]]</f>
        <v>Sucroalcolera del Chira PlantaMontelima899197451157157110</v>
      </c>
      <c r="B1018" t="s">
        <v>206</v>
      </c>
      <c r="C1018" t="s">
        <v>1131</v>
      </c>
      <c r="D1018" s="11">
        <v>45646</v>
      </c>
      <c r="E1018" t="s">
        <v>51</v>
      </c>
      <c r="F1018" t="s">
        <v>85</v>
      </c>
      <c r="G1018">
        <v>899197</v>
      </c>
      <c r="H1018">
        <v>4511571571</v>
      </c>
      <c r="I1018">
        <v>10</v>
      </c>
      <c r="J1018" s="29">
        <v>1</v>
      </c>
      <c r="K1018" s="29" t="s">
        <v>861</v>
      </c>
      <c r="L1018" t="str">
        <f>IFERROR(VLOOKUP(Detalle_OC[[#This Row],[Centro]]&amp;Detalle_OC[[#This Row],[Nro Almacen]],Almacen!A:D,4,FALSE),"")</f>
        <v>Montelima</v>
      </c>
    </row>
    <row r="1019" spans="1:12" x14ac:dyDescent="0.3">
      <c r="A1019" s="29" t="str">
        <f>Detalle_OC[[#This Row],[Centro]]&amp;Detalle_OC[[#This Row],[Nom Almacen]]&amp;Detalle_OC[[#This Row],[Material]]&amp;Detalle_OC[[#This Row],[Pedido]]&amp;Detalle_OC[[#This Row],[Posicion]]</f>
        <v>Sucroalcolera del Chira PlantaMontelima70106325451157157120</v>
      </c>
      <c r="B1019" t="s">
        <v>206</v>
      </c>
      <c r="C1019" t="s">
        <v>1131</v>
      </c>
      <c r="D1019" s="11">
        <v>45646</v>
      </c>
      <c r="E1019" t="s">
        <v>51</v>
      </c>
      <c r="F1019" t="s">
        <v>85</v>
      </c>
      <c r="G1019">
        <v>70106325</v>
      </c>
      <c r="H1019">
        <v>4511571571</v>
      </c>
      <c r="I1019">
        <v>20</v>
      </c>
      <c r="J1019" s="29">
        <v>1</v>
      </c>
      <c r="K1019" s="29" t="s">
        <v>861</v>
      </c>
      <c r="L1019" t="str">
        <f>IFERROR(VLOOKUP(Detalle_OC[[#This Row],[Centro]]&amp;Detalle_OC[[#This Row],[Nro Almacen]],Almacen!A:D,4,FALSE),"")</f>
        <v>Montelima</v>
      </c>
    </row>
    <row r="1020" spans="1:12" x14ac:dyDescent="0.3">
      <c r="A1020" s="29" t="str">
        <f>Detalle_OC[[#This Row],[Centro]]&amp;Detalle_OC[[#This Row],[Nom Almacen]]&amp;Detalle_OC[[#This Row],[Material]]&amp;Detalle_OC[[#This Row],[Pedido]]&amp;Detalle_OC[[#This Row],[Posicion]]</f>
        <v>Sucroalcolera del Chira PlantaMontelima70133701451157157130</v>
      </c>
      <c r="B1020" t="s">
        <v>206</v>
      </c>
      <c r="C1020" t="s">
        <v>1131</v>
      </c>
      <c r="D1020" s="11">
        <v>45646</v>
      </c>
      <c r="E1020" t="s">
        <v>51</v>
      </c>
      <c r="F1020" t="s">
        <v>85</v>
      </c>
      <c r="G1020">
        <v>70133701</v>
      </c>
      <c r="H1020">
        <v>4511571571</v>
      </c>
      <c r="I1020">
        <v>30</v>
      </c>
      <c r="J1020" s="29">
        <v>1</v>
      </c>
      <c r="K1020" s="29" t="s">
        <v>861</v>
      </c>
      <c r="L1020" t="str">
        <f>IFERROR(VLOOKUP(Detalle_OC[[#This Row],[Centro]]&amp;Detalle_OC[[#This Row],[Nro Almacen]],Almacen!A:D,4,FALSE),"")</f>
        <v>Montelima</v>
      </c>
    </row>
    <row r="1021" spans="1:12" x14ac:dyDescent="0.3">
      <c r="A1021" s="29" t="str">
        <f>Detalle_OC[[#This Row],[Centro]]&amp;Detalle_OC[[#This Row],[Nom Almacen]]&amp;Detalle_OC[[#This Row],[Material]]&amp;Detalle_OC[[#This Row],[Pedido]]&amp;Detalle_OC[[#This Row],[Posicion]]</f>
        <v>Sucroalcolera del Chira PlantaMontelima70134130451157157150</v>
      </c>
      <c r="B1021" t="s">
        <v>206</v>
      </c>
      <c r="C1021" t="s">
        <v>1131</v>
      </c>
      <c r="D1021" s="11">
        <v>45646</v>
      </c>
      <c r="E1021" t="s">
        <v>51</v>
      </c>
      <c r="F1021" t="s">
        <v>85</v>
      </c>
      <c r="G1021">
        <v>70134130</v>
      </c>
      <c r="H1021">
        <v>4511571571</v>
      </c>
      <c r="I1021">
        <v>50</v>
      </c>
      <c r="J1021" s="29">
        <v>1</v>
      </c>
      <c r="K1021" s="29" t="s">
        <v>861</v>
      </c>
      <c r="L1021" t="str">
        <f>IFERROR(VLOOKUP(Detalle_OC[[#This Row],[Centro]]&amp;Detalle_OC[[#This Row],[Nro Almacen]],Almacen!A:D,4,FALSE),"")</f>
        <v>Montelima</v>
      </c>
    </row>
    <row r="1022" spans="1:12" x14ac:dyDescent="0.3">
      <c r="A1022" s="29" t="str">
        <f>Detalle_OC[[#This Row],[Centro]]&amp;Detalle_OC[[#This Row],[Nom Almacen]]&amp;Detalle_OC[[#This Row],[Material]]&amp;Detalle_OC[[#This Row],[Pedido]]&amp;Detalle_OC[[#This Row],[Posicion]]</f>
        <v>Sucroalcolera del Chira PlantaMontelima70134131451157157160</v>
      </c>
      <c r="B1022" t="s">
        <v>206</v>
      </c>
      <c r="C1022" t="s">
        <v>1131</v>
      </c>
      <c r="D1022" s="11">
        <v>45646</v>
      </c>
      <c r="E1022" t="s">
        <v>51</v>
      </c>
      <c r="F1022" t="s">
        <v>85</v>
      </c>
      <c r="G1022">
        <v>70134131</v>
      </c>
      <c r="H1022">
        <v>4511571571</v>
      </c>
      <c r="I1022">
        <v>60</v>
      </c>
      <c r="J1022" s="29">
        <v>1</v>
      </c>
      <c r="K1022" s="29" t="s">
        <v>861</v>
      </c>
      <c r="L1022" t="str">
        <f>IFERROR(VLOOKUP(Detalle_OC[[#This Row],[Centro]]&amp;Detalle_OC[[#This Row],[Nro Almacen]],Almacen!A:D,4,FALSE),"")</f>
        <v>Montelima</v>
      </c>
    </row>
    <row r="1023" spans="1:12" x14ac:dyDescent="0.3">
      <c r="A1023" s="29" t="str">
        <f>Detalle_OC[[#This Row],[Centro]]&amp;Detalle_OC[[#This Row],[Nom Almacen]]&amp;Detalle_OC[[#This Row],[Material]]&amp;Detalle_OC[[#This Row],[Pedido]]&amp;Detalle_OC[[#This Row],[Posicion]]</f>
        <v>Sucroalcolera del Chira PlantaMontelima70016461451157157170</v>
      </c>
      <c r="B1023" t="s">
        <v>206</v>
      </c>
      <c r="C1023" t="s">
        <v>1131</v>
      </c>
      <c r="D1023" s="11">
        <v>45646</v>
      </c>
      <c r="E1023" t="s">
        <v>51</v>
      </c>
      <c r="F1023" t="s">
        <v>85</v>
      </c>
      <c r="G1023">
        <v>70016461</v>
      </c>
      <c r="H1023">
        <v>4511571571</v>
      </c>
      <c r="I1023">
        <v>70</v>
      </c>
      <c r="J1023" s="29">
        <v>1</v>
      </c>
      <c r="K1023" s="29" t="s">
        <v>861</v>
      </c>
      <c r="L1023" t="str">
        <f>IFERROR(VLOOKUP(Detalle_OC[[#This Row],[Centro]]&amp;Detalle_OC[[#This Row],[Nro Almacen]],Almacen!A:D,4,FALSE),"")</f>
        <v>Montelima</v>
      </c>
    </row>
    <row r="1024" spans="1:12" x14ac:dyDescent="0.3">
      <c r="A1024" s="29" t="str">
        <f>Detalle_OC[[#This Row],[Centro]]&amp;Detalle_OC[[#This Row],[Nom Almacen]]&amp;Detalle_OC[[#This Row],[Material]]&amp;Detalle_OC[[#This Row],[Pedido]]&amp;Detalle_OC[[#This Row],[Posicion]]</f>
        <v>Sucroalcolera del Chira PlantaMontelima70133700451157157180</v>
      </c>
      <c r="B1024" t="s">
        <v>206</v>
      </c>
      <c r="C1024" t="s">
        <v>1131</v>
      </c>
      <c r="D1024" s="11">
        <v>45646</v>
      </c>
      <c r="E1024" t="s">
        <v>51</v>
      </c>
      <c r="F1024" t="s">
        <v>85</v>
      </c>
      <c r="G1024">
        <v>70133700</v>
      </c>
      <c r="H1024">
        <v>4511571571</v>
      </c>
      <c r="I1024">
        <v>80</v>
      </c>
      <c r="J1024" s="29">
        <v>1</v>
      </c>
      <c r="K1024" s="29" t="s">
        <v>861</v>
      </c>
      <c r="L1024" t="str">
        <f>IFERROR(VLOOKUP(Detalle_OC[[#This Row],[Centro]]&amp;Detalle_OC[[#This Row],[Nro Almacen]],Almacen!A:D,4,FALSE),"")</f>
        <v>Montelima</v>
      </c>
    </row>
    <row r="1025" spans="1:12" x14ac:dyDescent="0.3">
      <c r="A1025" s="29" t="str">
        <f>Detalle_OC[[#This Row],[Centro]]&amp;Detalle_OC[[#This Row],[Nom Almacen]]&amp;Detalle_OC[[#This Row],[Material]]&amp;Detalle_OC[[#This Row],[Pedido]]&amp;Detalle_OC[[#This Row],[Posicion]]</f>
        <v>Sucroalcolera del Chira PlantaMontelima870003451157157310</v>
      </c>
      <c r="B1025" t="s">
        <v>138</v>
      </c>
      <c r="C1025" t="s">
        <v>254</v>
      </c>
      <c r="D1025" s="11">
        <v>45656</v>
      </c>
      <c r="E1025" t="s">
        <v>16</v>
      </c>
      <c r="F1025" t="s">
        <v>85</v>
      </c>
      <c r="G1025">
        <v>870003</v>
      </c>
      <c r="H1025">
        <v>4511571573</v>
      </c>
      <c r="I1025">
        <v>10</v>
      </c>
      <c r="J1025" s="29">
        <v>1</v>
      </c>
      <c r="K1025" s="29" t="s">
        <v>861</v>
      </c>
      <c r="L1025" t="str">
        <f>IFERROR(VLOOKUP(Detalle_OC[[#This Row],[Centro]]&amp;Detalle_OC[[#This Row],[Nro Almacen]],Almacen!A:D,4,FALSE),"")</f>
        <v>Montelima</v>
      </c>
    </row>
    <row r="1026" spans="1:12" x14ac:dyDescent="0.3">
      <c r="A1026" s="29" t="str">
        <f>Detalle_OC[[#This Row],[Centro]]&amp;Detalle_OC[[#This Row],[Nom Almacen]]&amp;Detalle_OC[[#This Row],[Material]]&amp;Detalle_OC[[#This Row],[Pedido]]&amp;Detalle_OC[[#This Row],[Posicion]]</f>
        <v>Agricola del Chira PlantaMontelima70037592451157157410</v>
      </c>
      <c r="B1026" t="s">
        <v>145</v>
      </c>
      <c r="C1026" t="s">
        <v>143</v>
      </c>
      <c r="D1026" s="11">
        <v>45642</v>
      </c>
      <c r="E1026" t="s">
        <v>16</v>
      </c>
      <c r="F1026" t="s">
        <v>12</v>
      </c>
      <c r="G1026">
        <v>70037592</v>
      </c>
      <c r="H1026">
        <v>4511571574</v>
      </c>
      <c r="I1026">
        <v>10</v>
      </c>
      <c r="J1026" s="29">
        <v>1</v>
      </c>
      <c r="K1026" s="29" t="s">
        <v>861</v>
      </c>
      <c r="L1026" t="str">
        <f>IFERROR(VLOOKUP(Detalle_OC[[#This Row],[Centro]]&amp;Detalle_OC[[#This Row],[Nro Almacen]],Almacen!A:D,4,FALSE),"")</f>
        <v>Montelima</v>
      </c>
    </row>
    <row r="1027" spans="1:12" x14ac:dyDescent="0.3">
      <c r="A1027" s="29" t="str">
        <f>Detalle_OC[[#This Row],[Centro]]&amp;Detalle_OC[[#This Row],[Nom Almacen]]&amp;Detalle_OC[[#This Row],[Material]]&amp;Detalle_OC[[#This Row],[Pedido]]&amp;Detalle_OC[[#This Row],[Posicion]]</f>
        <v>Agricola del Chira PlantaMontelima70039358451157157420</v>
      </c>
      <c r="B1027" t="s">
        <v>145</v>
      </c>
      <c r="C1027" t="s">
        <v>143</v>
      </c>
      <c r="D1027" s="11">
        <v>45642</v>
      </c>
      <c r="E1027" t="s">
        <v>16</v>
      </c>
      <c r="F1027" t="s">
        <v>12</v>
      </c>
      <c r="G1027">
        <v>70039358</v>
      </c>
      <c r="H1027">
        <v>4511571574</v>
      </c>
      <c r="I1027">
        <v>20</v>
      </c>
      <c r="J1027" s="29">
        <v>1</v>
      </c>
      <c r="K1027" s="29" t="s">
        <v>861</v>
      </c>
      <c r="L1027" t="str">
        <f>IFERROR(VLOOKUP(Detalle_OC[[#This Row],[Centro]]&amp;Detalle_OC[[#This Row],[Nro Almacen]],Almacen!A:D,4,FALSE),"")</f>
        <v>Montelima</v>
      </c>
    </row>
    <row r="1028" spans="1:12" x14ac:dyDescent="0.3">
      <c r="A1028" s="29" t="str">
        <f>Detalle_OC[[#This Row],[Centro]]&amp;Detalle_OC[[#This Row],[Nom Almacen]]&amp;Detalle_OC[[#This Row],[Material]]&amp;Detalle_OC[[#This Row],[Pedido]]&amp;Detalle_OC[[#This Row],[Posicion]]</f>
        <v>Sucroalcolera del Chira PlantaMontelima899197451157157610</v>
      </c>
      <c r="B1028" t="s">
        <v>206</v>
      </c>
      <c r="C1028" t="s">
        <v>1131</v>
      </c>
      <c r="D1028" s="11">
        <v>45646</v>
      </c>
      <c r="E1028" t="s">
        <v>51</v>
      </c>
      <c r="F1028" t="s">
        <v>85</v>
      </c>
      <c r="G1028">
        <v>899197</v>
      </c>
      <c r="H1028">
        <v>4511571576</v>
      </c>
      <c r="I1028">
        <v>10</v>
      </c>
      <c r="J1028" s="29">
        <v>1</v>
      </c>
      <c r="K1028" s="29" t="s">
        <v>861</v>
      </c>
      <c r="L1028" t="str">
        <f>IFERROR(VLOOKUP(Detalle_OC[[#This Row],[Centro]]&amp;Detalle_OC[[#This Row],[Nro Almacen]],Almacen!A:D,4,FALSE),"")</f>
        <v>Montelima</v>
      </c>
    </row>
    <row r="1029" spans="1:12" x14ac:dyDescent="0.3">
      <c r="A1029" s="29" t="str">
        <f>Detalle_OC[[#This Row],[Centro]]&amp;Detalle_OC[[#This Row],[Nom Almacen]]&amp;Detalle_OC[[#This Row],[Material]]&amp;Detalle_OC[[#This Row],[Pedido]]&amp;Detalle_OC[[#This Row],[Posicion]]</f>
        <v>Sucroalcolera del Chira PlantaMontelima70106325451157157620</v>
      </c>
      <c r="B1029" t="s">
        <v>206</v>
      </c>
      <c r="C1029" t="s">
        <v>1131</v>
      </c>
      <c r="D1029" s="11">
        <v>45646</v>
      </c>
      <c r="E1029" t="s">
        <v>51</v>
      </c>
      <c r="F1029" t="s">
        <v>85</v>
      </c>
      <c r="G1029">
        <v>70106325</v>
      </c>
      <c r="H1029">
        <v>4511571576</v>
      </c>
      <c r="I1029">
        <v>20</v>
      </c>
      <c r="J1029" s="29">
        <v>1</v>
      </c>
      <c r="K1029" s="29" t="s">
        <v>861</v>
      </c>
      <c r="L1029" t="str">
        <f>IFERROR(VLOOKUP(Detalle_OC[[#This Row],[Centro]]&amp;Detalle_OC[[#This Row],[Nro Almacen]],Almacen!A:D,4,FALSE),"")</f>
        <v>Montelima</v>
      </c>
    </row>
    <row r="1030" spans="1:12" x14ac:dyDescent="0.3">
      <c r="A1030" s="29" t="str">
        <f>Detalle_OC[[#This Row],[Centro]]&amp;Detalle_OC[[#This Row],[Nom Almacen]]&amp;Detalle_OC[[#This Row],[Material]]&amp;Detalle_OC[[#This Row],[Pedido]]&amp;Detalle_OC[[#This Row],[Posicion]]</f>
        <v>Sucroalcolera del Chira PlantaMontelima70133701451157157630</v>
      </c>
      <c r="B1030" t="s">
        <v>206</v>
      </c>
      <c r="C1030" t="s">
        <v>1131</v>
      </c>
      <c r="D1030" s="11">
        <v>45646</v>
      </c>
      <c r="E1030" t="s">
        <v>51</v>
      </c>
      <c r="F1030" t="s">
        <v>85</v>
      </c>
      <c r="G1030">
        <v>70133701</v>
      </c>
      <c r="H1030">
        <v>4511571576</v>
      </c>
      <c r="I1030">
        <v>30</v>
      </c>
      <c r="J1030" s="29">
        <v>1</v>
      </c>
      <c r="K1030" s="29" t="s">
        <v>861</v>
      </c>
      <c r="L1030" t="str">
        <f>IFERROR(VLOOKUP(Detalle_OC[[#This Row],[Centro]]&amp;Detalle_OC[[#This Row],[Nro Almacen]],Almacen!A:D,4,FALSE),"")</f>
        <v>Montelima</v>
      </c>
    </row>
    <row r="1031" spans="1:12" x14ac:dyDescent="0.3">
      <c r="A1031" s="29" t="str">
        <f>Detalle_OC[[#This Row],[Centro]]&amp;Detalle_OC[[#This Row],[Nom Almacen]]&amp;Detalle_OC[[#This Row],[Material]]&amp;Detalle_OC[[#This Row],[Pedido]]&amp;Detalle_OC[[#This Row],[Posicion]]</f>
        <v>Sucroalcolera del Chira PlantaMontelima70133704451157157640</v>
      </c>
      <c r="B1031" t="s">
        <v>206</v>
      </c>
      <c r="C1031" t="s">
        <v>1131</v>
      </c>
      <c r="D1031" s="11">
        <v>45646</v>
      </c>
      <c r="E1031" t="s">
        <v>51</v>
      </c>
      <c r="F1031" t="s">
        <v>85</v>
      </c>
      <c r="G1031">
        <v>70133704</v>
      </c>
      <c r="H1031">
        <v>4511571576</v>
      </c>
      <c r="I1031">
        <v>40</v>
      </c>
      <c r="J1031" s="29">
        <v>1</v>
      </c>
      <c r="K1031" s="29" t="s">
        <v>861</v>
      </c>
      <c r="L1031" t="str">
        <f>IFERROR(VLOOKUP(Detalle_OC[[#This Row],[Centro]]&amp;Detalle_OC[[#This Row],[Nro Almacen]],Almacen!A:D,4,FALSE),"")</f>
        <v>Montelima</v>
      </c>
    </row>
    <row r="1032" spans="1:12" x14ac:dyDescent="0.3">
      <c r="A1032" s="29" t="str">
        <f>Detalle_OC[[#This Row],[Centro]]&amp;Detalle_OC[[#This Row],[Nom Almacen]]&amp;Detalle_OC[[#This Row],[Material]]&amp;Detalle_OC[[#This Row],[Pedido]]&amp;Detalle_OC[[#This Row],[Posicion]]</f>
        <v>Sucroalcolera del Chira PlantaMontelima70134127451157157650</v>
      </c>
      <c r="B1032" t="s">
        <v>206</v>
      </c>
      <c r="C1032" t="s">
        <v>1131</v>
      </c>
      <c r="D1032" s="11">
        <v>45646</v>
      </c>
      <c r="E1032" t="s">
        <v>51</v>
      </c>
      <c r="F1032" t="s">
        <v>85</v>
      </c>
      <c r="G1032">
        <v>70134127</v>
      </c>
      <c r="H1032">
        <v>4511571576</v>
      </c>
      <c r="I1032">
        <v>50</v>
      </c>
      <c r="J1032" s="29">
        <v>1</v>
      </c>
      <c r="K1032" s="29" t="s">
        <v>861</v>
      </c>
      <c r="L1032" t="str">
        <f>IFERROR(VLOOKUP(Detalle_OC[[#This Row],[Centro]]&amp;Detalle_OC[[#This Row],[Nro Almacen]],Almacen!A:D,4,FALSE),"")</f>
        <v>Montelima</v>
      </c>
    </row>
    <row r="1033" spans="1:12" x14ac:dyDescent="0.3">
      <c r="A1033" s="29" t="str">
        <f>Detalle_OC[[#This Row],[Centro]]&amp;Detalle_OC[[#This Row],[Nom Almacen]]&amp;Detalle_OC[[#This Row],[Material]]&amp;Detalle_OC[[#This Row],[Pedido]]&amp;Detalle_OC[[#This Row],[Posicion]]</f>
        <v>Sucroalcolera del Chira PlantaMontelima70134130451157157660</v>
      </c>
      <c r="B1033" t="s">
        <v>206</v>
      </c>
      <c r="C1033" t="s">
        <v>1131</v>
      </c>
      <c r="D1033" s="11">
        <v>45646</v>
      </c>
      <c r="E1033" t="s">
        <v>51</v>
      </c>
      <c r="F1033" t="s">
        <v>85</v>
      </c>
      <c r="G1033">
        <v>70134130</v>
      </c>
      <c r="H1033">
        <v>4511571576</v>
      </c>
      <c r="I1033">
        <v>60</v>
      </c>
      <c r="J1033" s="29">
        <v>1</v>
      </c>
      <c r="K1033" s="29" t="s">
        <v>861</v>
      </c>
      <c r="L1033" t="str">
        <f>IFERROR(VLOOKUP(Detalle_OC[[#This Row],[Centro]]&amp;Detalle_OC[[#This Row],[Nro Almacen]],Almacen!A:D,4,FALSE),"")</f>
        <v>Montelima</v>
      </c>
    </row>
    <row r="1034" spans="1:12" x14ac:dyDescent="0.3">
      <c r="A1034" s="29" t="str">
        <f>Detalle_OC[[#This Row],[Centro]]&amp;Detalle_OC[[#This Row],[Nom Almacen]]&amp;Detalle_OC[[#This Row],[Material]]&amp;Detalle_OC[[#This Row],[Pedido]]&amp;Detalle_OC[[#This Row],[Posicion]]</f>
        <v>Sucroalcolera del Chira PlantaMontelima70016461451157157670</v>
      </c>
      <c r="B1034" t="s">
        <v>206</v>
      </c>
      <c r="C1034" t="s">
        <v>1131</v>
      </c>
      <c r="D1034" s="11">
        <v>45646</v>
      </c>
      <c r="E1034" t="s">
        <v>51</v>
      </c>
      <c r="F1034" t="s">
        <v>85</v>
      </c>
      <c r="G1034">
        <v>70016461</v>
      </c>
      <c r="H1034">
        <v>4511571576</v>
      </c>
      <c r="I1034">
        <v>70</v>
      </c>
      <c r="J1034" s="29">
        <v>1</v>
      </c>
      <c r="K1034" s="29" t="s">
        <v>861</v>
      </c>
      <c r="L1034" t="str">
        <f>IFERROR(VLOOKUP(Detalle_OC[[#This Row],[Centro]]&amp;Detalle_OC[[#This Row],[Nro Almacen]],Almacen!A:D,4,FALSE),"")</f>
        <v>Montelima</v>
      </c>
    </row>
    <row r="1035" spans="1:12" x14ac:dyDescent="0.3">
      <c r="A1035" s="29" t="str">
        <f>Detalle_OC[[#This Row],[Centro]]&amp;Detalle_OC[[#This Row],[Nom Almacen]]&amp;Detalle_OC[[#This Row],[Material]]&amp;Detalle_OC[[#This Row],[Pedido]]&amp;Detalle_OC[[#This Row],[Posicion]]</f>
        <v>Sucroalcolera del Chira PlantaMontelima70133700451157157680</v>
      </c>
      <c r="B1035" t="s">
        <v>206</v>
      </c>
      <c r="C1035" t="s">
        <v>1131</v>
      </c>
      <c r="D1035" s="11">
        <v>45646</v>
      </c>
      <c r="E1035" t="s">
        <v>51</v>
      </c>
      <c r="F1035" t="s">
        <v>85</v>
      </c>
      <c r="G1035">
        <v>70133700</v>
      </c>
      <c r="H1035">
        <v>4511571576</v>
      </c>
      <c r="I1035">
        <v>80</v>
      </c>
      <c r="J1035" s="29">
        <v>1</v>
      </c>
      <c r="K1035" s="29" t="s">
        <v>861</v>
      </c>
      <c r="L1035" t="str">
        <f>IFERROR(VLOOKUP(Detalle_OC[[#This Row],[Centro]]&amp;Detalle_OC[[#This Row],[Nro Almacen]],Almacen!A:D,4,FALSE),"")</f>
        <v>Montelima</v>
      </c>
    </row>
    <row r="1036" spans="1:12" x14ac:dyDescent="0.3">
      <c r="A1036" s="29" t="str">
        <f>Detalle_OC[[#This Row],[Centro]]&amp;Detalle_OC[[#This Row],[Nom Almacen]]&amp;Detalle_OC[[#This Row],[Material]]&amp;Detalle_OC[[#This Row],[Pedido]]&amp;Detalle_OC[[#This Row],[Posicion]]</f>
        <v>Agricola del Chira PlantaMontelima850095451157158510</v>
      </c>
      <c r="B1036" t="s">
        <v>145</v>
      </c>
      <c r="C1036" t="s">
        <v>168</v>
      </c>
      <c r="D1036" s="11">
        <v>45637</v>
      </c>
      <c r="E1036" t="s">
        <v>16</v>
      </c>
      <c r="F1036" t="s">
        <v>12</v>
      </c>
      <c r="G1036">
        <v>850095</v>
      </c>
      <c r="H1036">
        <v>4511571585</v>
      </c>
      <c r="I1036">
        <v>10</v>
      </c>
      <c r="J1036" s="29">
        <v>1</v>
      </c>
      <c r="K1036" s="29" t="s">
        <v>861</v>
      </c>
      <c r="L1036" t="str">
        <f>IFERROR(VLOOKUP(Detalle_OC[[#This Row],[Centro]]&amp;Detalle_OC[[#This Row],[Nro Almacen]],Almacen!A:D,4,FALSE),"")</f>
        <v>Montelima</v>
      </c>
    </row>
    <row r="1037" spans="1:12" x14ac:dyDescent="0.3">
      <c r="A1037" s="29" t="str">
        <f>Detalle_OC[[#This Row],[Centro]]&amp;Detalle_OC[[#This Row],[Nom Almacen]]&amp;Detalle_OC[[#This Row],[Material]]&amp;Detalle_OC[[#This Row],[Pedido]]&amp;Detalle_OC[[#This Row],[Posicion]]</f>
        <v>Sucroalcolera del Chira PlantaMontelima70077293451157159110</v>
      </c>
      <c r="B1037" t="s">
        <v>138</v>
      </c>
      <c r="C1037" t="s">
        <v>310</v>
      </c>
      <c r="D1037" s="11">
        <v>45642</v>
      </c>
      <c r="E1037" t="s">
        <v>16</v>
      </c>
      <c r="F1037" t="s">
        <v>85</v>
      </c>
      <c r="G1037">
        <v>70077293</v>
      </c>
      <c r="H1037">
        <v>4511571591</v>
      </c>
      <c r="I1037">
        <v>10</v>
      </c>
      <c r="J1037" s="29">
        <v>1</v>
      </c>
      <c r="K1037" s="29" t="s">
        <v>861</v>
      </c>
      <c r="L1037" t="str">
        <f>IFERROR(VLOOKUP(Detalle_OC[[#This Row],[Centro]]&amp;Detalle_OC[[#This Row],[Nro Almacen]],Almacen!A:D,4,FALSE),"")</f>
        <v>Montelima</v>
      </c>
    </row>
    <row r="1038" spans="1:12" x14ac:dyDescent="0.3">
      <c r="A1038" s="29" t="str">
        <f>Detalle_OC[[#This Row],[Centro]]&amp;Detalle_OC[[#This Row],[Nom Almacen]]&amp;Detalle_OC[[#This Row],[Material]]&amp;Detalle_OC[[#This Row],[Pedido]]&amp;Detalle_OC[[#This Row],[Posicion]]</f>
        <v>Agricola del Chira PlantaAlmacen Lobo70104164451157159410</v>
      </c>
      <c r="B1038" t="s">
        <v>33</v>
      </c>
      <c r="C1038" t="s">
        <v>84</v>
      </c>
      <c r="D1038" s="11">
        <v>45660</v>
      </c>
      <c r="E1038" t="s">
        <v>16</v>
      </c>
      <c r="F1038" t="s">
        <v>12</v>
      </c>
      <c r="G1038">
        <v>70104164</v>
      </c>
      <c r="H1038">
        <v>4511571594</v>
      </c>
      <c r="I1038">
        <v>10</v>
      </c>
      <c r="J1038" s="29">
        <v>7</v>
      </c>
      <c r="K1038" s="29" t="s">
        <v>861</v>
      </c>
      <c r="L1038" t="str">
        <f>IFERROR(VLOOKUP(Detalle_OC[[#This Row],[Centro]]&amp;Detalle_OC[[#This Row],[Nro Almacen]],Almacen!A:D,4,FALSE),"")</f>
        <v>Almacen Lobo</v>
      </c>
    </row>
    <row r="1039" spans="1:12" x14ac:dyDescent="0.3">
      <c r="A1039" s="29" t="str">
        <f>Detalle_OC[[#This Row],[Centro]]&amp;Detalle_OC[[#This Row],[Nom Almacen]]&amp;Detalle_OC[[#This Row],[Material]]&amp;Detalle_OC[[#This Row],[Pedido]]&amp;Detalle_OC[[#This Row],[Posicion]]</f>
        <v>Agricola del Chira PlantaAlmacen Lobo70108044451157159420</v>
      </c>
      <c r="B1039" t="s">
        <v>33</v>
      </c>
      <c r="C1039" t="s">
        <v>84</v>
      </c>
      <c r="D1039" s="11">
        <v>45660</v>
      </c>
      <c r="E1039" t="s">
        <v>16</v>
      </c>
      <c r="F1039" t="s">
        <v>12</v>
      </c>
      <c r="G1039">
        <v>70108044</v>
      </c>
      <c r="H1039">
        <v>4511571594</v>
      </c>
      <c r="I1039">
        <v>20</v>
      </c>
      <c r="J1039" s="29">
        <v>7</v>
      </c>
      <c r="K1039" s="29" t="s">
        <v>861</v>
      </c>
      <c r="L1039" t="str">
        <f>IFERROR(VLOOKUP(Detalle_OC[[#This Row],[Centro]]&amp;Detalle_OC[[#This Row],[Nro Almacen]],Almacen!A:D,4,FALSE),"")</f>
        <v>Almacen Lobo</v>
      </c>
    </row>
    <row r="1040" spans="1:12" x14ac:dyDescent="0.3">
      <c r="A1040" s="29" t="str">
        <f>Detalle_OC[[#This Row],[Centro]]&amp;Detalle_OC[[#This Row],[Nom Almacen]]&amp;Detalle_OC[[#This Row],[Material]]&amp;Detalle_OC[[#This Row],[Pedido]]&amp;Detalle_OC[[#This Row],[Posicion]]</f>
        <v>Sucroalcolera del Chira PlantaMontelima70133682451157161710</v>
      </c>
      <c r="B1040" t="s">
        <v>138</v>
      </c>
      <c r="C1040" t="s">
        <v>14</v>
      </c>
      <c r="D1040" s="11">
        <v>45638</v>
      </c>
      <c r="E1040" t="s">
        <v>16</v>
      </c>
      <c r="F1040" t="s">
        <v>85</v>
      </c>
      <c r="G1040">
        <v>70133682</v>
      </c>
      <c r="H1040">
        <v>4511571617</v>
      </c>
      <c r="I1040">
        <v>10</v>
      </c>
      <c r="J1040" s="29">
        <v>1</v>
      </c>
      <c r="K1040" s="29" t="s">
        <v>861</v>
      </c>
      <c r="L1040" t="str">
        <f>IFERROR(VLOOKUP(Detalle_OC[[#This Row],[Centro]]&amp;Detalle_OC[[#This Row],[Nro Almacen]],Almacen!A:D,4,FALSE),"")</f>
        <v>Montelima</v>
      </c>
    </row>
    <row r="1041" spans="1:12" x14ac:dyDescent="0.3">
      <c r="A1041" s="29" t="str">
        <f>Detalle_OC[[#This Row],[Centro]]&amp;Detalle_OC[[#This Row],[Nom Almacen]]&amp;Detalle_OC[[#This Row],[Material]]&amp;Detalle_OC[[#This Row],[Pedido]]&amp;Detalle_OC[[#This Row],[Posicion]]</f>
        <v>Agricola del Chira PlantaAlmacen Lobo784191451157161810</v>
      </c>
      <c r="B1041" t="s">
        <v>26</v>
      </c>
      <c r="C1041" t="s">
        <v>14</v>
      </c>
      <c r="D1041" s="11">
        <v>45638</v>
      </c>
      <c r="E1041" t="s">
        <v>16</v>
      </c>
      <c r="F1041" t="s">
        <v>12</v>
      </c>
      <c r="G1041">
        <v>784191</v>
      </c>
      <c r="H1041">
        <v>4511571618</v>
      </c>
      <c r="I1041">
        <v>10</v>
      </c>
      <c r="J1041" s="29">
        <v>7</v>
      </c>
      <c r="K1041" s="29" t="s">
        <v>861</v>
      </c>
      <c r="L1041" t="str">
        <f>IFERROR(VLOOKUP(Detalle_OC[[#This Row],[Centro]]&amp;Detalle_OC[[#This Row],[Nro Almacen]],Almacen!A:D,4,FALSE),"")</f>
        <v>Almacen Lobo</v>
      </c>
    </row>
    <row r="1042" spans="1:12" x14ac:dyDescent="0.3">
      <c r="A1042" s="29" t="str">
        <f>Detalle_OC[[#This Row],[Centro]]&amp;Detalle_OC[[#This Row],[Nom Almacen]]&amp;Detalle_OC[[#This Row],[Material]]&amp;Detalle_OC[[#This Row],[Pedido]]&amp;Detalle_OC[[#This Row],[Posicion]]</f>
        <v>Agricola del Chira PlantaMontelima886130451157162010</v>
      </c>
      <c r="B1042" t="s">
        <v>149</v>
      </c>
      <c r="C1042" t="s">
        <v>227</v>
      </c>
      <c r="D1042" s="11">
        <v>45646</v>
      </c>
      <c r="E1042" t="s">
        <v>16</v>
      </c>
      <c r="F1042" t="s">
        <v>12</v>
      </c>
      <c r="G1042">
        <v>886130</v>
      </c>
      <c r="H1042">
        <v>4511571620</v>
      </c>
      <c r="I1042">
        <v>10</v>
      </c>
      <c r="J1042" s="29">
        <v>1</v>
      </c>
      <c r="K1042" s="29" t="s">
        <v>861</v>
      </c>
      <c r="L1042" t="str">
        <f>IFERROR(VLOOKUP(Detalle_OC[[#This Row],[Centro]]&amp;Detalle_OC[[#This Row],[Nro Almacen]],Almacen!A:D,4,FALSE),"")</f>
        <v>Montelima</v>
      </c>
    </row>
    <row r="1043" spans="1:12" x14ac:dyDescent="0.3">
      <c r="A1043" s="29" t="str">
        <f>Detalle_OC[[#This Row],[Centro]]&amp;Detalle_OC[[#This Row],[Nom Almacen]]&amp;Detalle_OC[[#This Row],[Material]]&amp;Detalle_OC[[#This Row],[Pedido]]&amp;Detalle_OC[[#This Row],[Posicion]]</f>
        <v>Agricola del Chira PlantaMontelima886132451157162020</v>
      </c>
      <c r="B1043" t="s">
        <v>149</v>
      </c>
      <c r="C1043" t="s">
        <v>227</v>
      </c>
      <c r="D1043" s="11">
        <v>45646</v>
      </c>
      <c r="E1043" t="s">
        <v>16</v>
      </c>
      <c r="F1043" t="s">
        <v>12</v>
      </c>
      <c r="G1043">
        <v>886132</v>
      </c>
      <c r="H1043">
        <v>4511571620</v>
      </c>
      <c r="I1043">
        <v>20</v>
      </c>
      <c r="J1043" s="29">
        <v>1</v>
      </c>
      <c r="K1043" s="29" t="s">
        <v>861</v>
      </c>
      <c r="L1043" t="str">
        <f>IFERROR(VLOOKUP(Detalle_OC[[#This Row],[Centro]]&amp;Detalle_OC[[#This Row],[Nro Almacen]],Almacen!A:D,4,FALSE),"")</f>
        <v>Montelima</v>
      </c>
    </row>
    <row r="1044" spans="1:12" x14ac:dyDescent="0.3">
      <c r="A1044" s="29" t="str">
        <f>Detalle_OC[[#This Row],[Centro]]&amp;Detalle_OC[[#This Row],[Nom Almacen]]&amp;Detalle_OC[[#This Row],[Material]]&amp;Detalle_OC[[#This Row],[Pedido]]&amp;Detalle_OC[[#This Row],[Posicion]]</f>
        <v>Agricola del Chira PlantaMontelima70115941451157162210</v>
      </c>
      <c r="B1044" t="s">
        <v>188</v>
      </c>
      <c r="C1044" t="s">
        <v>166</v>
      </c>
      <c r="D1044" s="11">
        <v>45638</v>
      </c>
      <c r="E1044" t="s">
        <v>16</v>
      </c>
      <c r="F1044" t="s">
        <v>12</v>
      </c>
      <c r="G1044">
        <v>70115941</v>
      </c>
      <c r="H1044">
        <v>4511571622</v>
      </c>
      <c r="I1044">
        <v>10</v>
      </c>
      <c r="J1044" s="29">
        <v>1</v>
      </c>
      <c r="K1044" s="29" t="s">
        <v>861</v>
      </c>
      <c r="L1044" t="str">
        <f>IFERROR(VLOOKUP(Detalle_OC[[#This Row],[Centro]]&amp;Detalle_OC[[#This Row],[Nro Almacen]],Almacen!A:D,4,FALSE),"")</f>
        <v>Montelima</v>
      </c>
    </row>
    <row r="1045" spans="1:12" x14ac:dyDescent="0.3">
      <c r="A1045" s="29" t="str">
        <f>Detalle_OC[[#This Row],[Centro]]&amp;Detalle_OC[[#This Row],[Nom Almacen]]&amp;Detalle_OC[[#This Row],[Material]]&amp;Detalle_OC[[#This Row],[Pedido]]&amp;Detalle_OC[[#This Row],[Posicion]]</f>
        <v>Agricola del Chira PlantaMontelima70122708451157162710</v>
      </c>
      <c r="B1045" t="s">
        <v>33</v>
      </c>
      <c r="C1045" t="s">
        <v>1129</v>
      </c>
      <c r="D1045" s="11">
        <v>45646</v>
      </c>
      <c r="E1045" t="s">
        <v>16</v>
      </c>
      <c r="F1045" t="s">
        <v>12</v>
      </c>
      <c r="G1045">
        <v>70122708</v>
      </c>
      <c r="H1045">
        <v>4511571627</v>
      </c>
      <c r="I1045">
        <v>10</v>
      </c>
      <c r="J1045" s="29">
        <v>1</v>
      </c>
      <c r="K1045" s="29" t="s">
        <v>861</v>
      </c>
      <c r="L1045" t="str">
        <f>IFERROR(VLOOKUP(Detalle_OC[[#This Row],[Centro]]&amp;Detalle_OC[[#This Row],[Nro Almacen]],Almacen!A:D,4,FALSE),"")</f>
        <v>Montelima</v>
      </c>
    </row>
    <row r="1046" spans="1:12" x14ac:dyDescent="0.3">
      <c r="A1046" s="29" t="str">
        <f>Detalle_OC[[#This Row],[Centro]]&amp;Detalle_OC[[#This Row],[Nom Almacen]]&amp;Detalle_OC[[#This Row],[Material]]&amp;Detalle_OC[[#This Row],[Pedido]]&amp;Detalle_OC[[#This Row],[Posicion]]</f>
        <v>Sucroalcolera del Chira PlantaMontelima70135113451157163410</v>
      </c>
      <c r="B1046" t="s">
        <v>1149</v>
      </c>
      <c r="C1046" t="s">
        <v>293</v>
      </c>
      <c r="D1046" s="11">
        <v>45642</v>
      </c>
      <c r="E1046" t="s">
        <v>16</v>
      </c>
      <c r="F1046" t="s">
        <v>85</v>
      </c>
      <c r="G1046">
        <v>70135113</v>
      </c>
      <c r="H1046">
        <v>4511571634</v>
      </c>
      <c r="I1046">
        <v>10</v>
      </c>
      <c r="J1046" s="29">
        <v>1</v>
      </c>
      <c r="K1046" s="29" t="s">
        <v>861</v>
      </c>
      <c r="L1046" t="str">
        <f>IFERROR(VLOOKUP(Detalle_OC[[#This Row],[Centro]]&amp;Detalle_OC[[#This Row],[Nro Almacen]],Almacen!A:D,4,FALSE),"")</f>
        <v>Montelima</v>
      </c>
    </row>
    <row r="1047" spans="1:12" x14ac:dyDescent="0.3">
      <c r="A1047" s="29" t="str">
        <f>Detalle_OC[[#This Row],[Centro]]&amp;Detalle_OC[[#This Row],[Nom Almacen]]&amp;Detalle_OC[[#This Row],[Material]]&amp;Detalle_OC[[#This Row],[Pedido]]&amp;Detalle_OC[[#This Row],[Posicion]]</f>
        <v>Agricola del Chira PlantaAlmacen Lobo831449451157163710</v>
      </c>
      <c r="B1047" t="s">
        <v>26</v>
      </c>
      <c r="C1047" t="s">
        <v>103</v>
      </c>
      <c r="D1047" s="11">
        <v>45639</v>
      </c>
      <c r="E1047" t="s">
        <v>16</v>
      </c>
      <c r="F1047" t="s">
        <v>12</v>
      </c>
      <c r="G1047">
        <v>831449</v>
      </c>
      <c r="H1047">
        <v>4511571637</v>
      </c>
      <c r="I1047">
        <v>10</v>
      </c>
      <c r="J1047" s="29">
        <v>7</v>
      </c>
      <c r="K1047" s="29" t="s">
        <v>861</v>
      </c>
      <c r="L1047" t="str">
        <f>IFERROR(VLOOKUP(Detalle_OC[[#This Row],[Centro]]&amp;Detalle_OC[[#This Row],[Nro Almacen]],Almacen!A:D,4,FALSE),"")</f>
        <v>Almacen Lobo</v>
      </c>
    </row>
    <row r="1048" spans="1:12" x14ac:dyDescent="0.3">
      <c r="A1048" s="29" t="str">
        <f>Detalle_OC[[#This Row],[Centro]]&amp;Detalle_OC[[#This Row],[Nom Almacen]]&amp;Detalle_OC[[#This Row],[Material]]&amp;Detalle_OC[[#This Row],[Pedido]]&amp;Detalle_OC[[#This Row],[Posicion]]</f>
        <v>Agricola del Chira PlantaMontelima70134128451157163810</v>
      </c>
      <c r="B1048" t="s">
        <v>1123</v>
      </c>
      <c r="C1048" t="s">
        <v>1131</v>
      </c>
      <c r="D1048" s="11">
        <v>45656</v>
      </c>
      <c r="E1048" t="s">
        <v>16</v>
      </c>
      <c r="F1048" t="s">
        <v>12</v>
      </c>
      <c r="G1048">
        <v>70134128</v>
      </c>
      <c r="H1048">
        <v>4511571638</v>
      </c>
      <c r="I1048">
        <v>10</v>
      </c>
      <c r="J1048" s="29">
        <v>1</v>
      </c>
      <c r="K1048" s="29" t="s">
        <v>861</v>
      </c>
      <c r="L1048" t="str">
        <f>IFERROR(VLOOKUP(Detalle_OC[[#This Row],[Centro]]&amp;Detalle_OC[[#This Row],[Nro Almacen]],Almacen!A:D,4,FALSE),"")</f>
        <v>Montelima</v>
      </c>
    </row>
    <row r="1049" spans="1:12" x14ac:dyDescent="0.3">
      <c r="A1049" s="29" t="str">
        <f>Detalle_OC[[#This Row],[Centro]]&amp;Detalle_OC[[#This Row],[Nom Almacen]]&amp;Detalle_OC[[#This Row],[Material]]&amp;Detalle_OC[[#This Row],[Pedido]]&amp;Detalle_OC[[#This Row],[Posicion]]</f>
        <v>Agricola del Chira PlantaMontelima70016461451157163820</v>
      </c>
      <c r="B1049" t="s">
        <v>1123</v>
      </c>
      <c r="C1049" t="s">
        <v>1131</v>
      </c>
      <c r="D1049" s="11">
        <v>45656</v>
      </c>
      <c r="E1049" t="s">
        <v>16</v>
      </c>
      <c r="F1049" t="s">
        <v>12</v>
      </c>
      <c r="G1049">
        <v>70016461</v>
      </c>
      <c r="H1049">
        <v>4511571638</v>
      </c>
      <c r="I1049">
        <v>20</v>
      </c>
      <c r="J1049" s="29">
        <v>1</v>
      </c>
      <c r="K1049" s="29" t="s">
        <v>861</v>
      </c>
      <c r="L1049" t="str">
        <f>IFERROR(VLOOKUP(Detalle_OC[[#This Row],[Centro]]&amp;Detalle_OC[[#This Row],[Nro Almacen]],Almacen!A:D,4,FALSE),"")</f>
        <v>Montelima</v>
      </c>
    </row>
    <row r="1050" spans="1:12" x14ac:dyDescent="0.3">
      <c r="A1050" s="29" t="str">
        <f>Detalle_OC[[#This Row],[Centro]]&amp;Detalle_OC[[#This Row],[Nom Almacen]]&amp;Detalle_OC[[#This Row],[Material]]&amp;Detalle_OC[[#This Row],[Pedido]]&amp;Detalle_OC[[#This Row],[Posicion]]</f>
        <v>Agricola del Chira PlantaMontelima70106325451157163830</v>
      </c>
      <c r="B1050" t="s">
        <v>1123</v>
      </c>
      <c r="C1050" t="s">
        <v>1131</v>
      </c>
      <c r="D1050" s="11">
        <v>45656</v>
      </c>
      <c r="E1050" t="s">
        <v>16</v>
      </c>
      <c r="F1050" t="s">
        <v>12</v>
      </c>
      <c r="G1050">
        <v>70106325</v>
      </c>
      <c r="H1050">
        <v>4511571638</v>
      </c>
      <c r="I1050">
        <v>30</v>
      </c>
      <c r="J1050" s="29">
        <v>1</v>
      </c>
      <c r="K1050" s="29" t="s">
        <v>861</v>
      </c>
      <c r="L1050" t="str">
        <f>IFERROR(VLOOKUP(Detalle_OC[[#This Row],[Centro]]&amp;Detalle_OC[[#This Row],[Nro Almacen]],Almacen!A:D,4,FALSE),"")</f>
        <v>Montelima</v>
      </c>
    </row>
    <row r="1051" spans="1:12" x14ac:dyDescent="0.3">
      <c r="A1051" s="29" t="str">
        <f>Detalle_OC[[#This Row],[Centro]]&amp;Detalle_OC[[#This Row],[Nom Almacen]]&amp;Detalle_OC[[#This Row],[Material]]&amp;Detalle_OC[[#This Row],[Pedido]]&amp;Detalle_OC[[#This Row],[Posicion]]</f>
        <v>Agricola del Chira PlantaMontelima70133700451157163840</v>
      </c>
      <c r="B1051" t="s">
        <v>1123</v>
      </c>
      <c r="C1051" t="s">
        <v>1131</v>
      </c>
      <c r="D1051" s="11">
        <v>45656</v>
      </c>
      <c r="E1051" t="s">
        <v>16</v>
      </c>
      <c r="F1051" t="s">
        <v>12</v>
      </c>
      <c r="G1051">
        <v>70133700</v>
      </c>
      <c r="H1051">
        <v>4511571638</v>
      </c>
      <c r="I1051">
        <v>40</v>
      </c>
      <c r="J1051" s="29">
        <v>1</v>
      </c>
      <c r="K1051" s="29" t="s">
        <v>861</v>
      </c>
      <c r="L1051" t="str">
        <f>IFERROR(VLOOKUP(Detalle_OC[[#This Row],[Centro]]&amp;Detalle_OC[[#This Row],[Nro Almacen]],Almacen!A:D,4,FALSE),"")</f>
        <v>Montelima</v>
      </c>
    </row>
    <row r="1052" spans="1:12" x14ac:dyDescent="0.3">
      <c r="A1052" s="29" t="str">
        <f>Detalle_OC[[#This Row],[Centro]]&amp;Detalle_OC[[#This Row],[Nom Almacen]]&amp;Detalle_OC[[#This Row],[Material]]&amp;Detalle_OC[[#This Row],[Pedido]]&amp;Detalle_OC[[#This Row],[Posicion]]</f>
        <v>Agricola del Chira PlantaMontelima70134933451157163850</v>
      </c>
      <c r="B1052" t="s">
        <v>1123</v>
      </c>
      <c r="C1052" t="s">
        <v>1131</v>
      </c>
      <c r="D1052" s="11">
        <v>45656</v>
      </c>
      <c r="E1052" t="s">
        <v>16</v>
      </c>
      <c r="F1052" t="s">
        <v>12</v>
      </c>
      <c r="G1052">
        <v>70134933</v>
      </c>
      <c r="H1052">
        <v>4511571638</v>
      </c>
      <c r="I1052">
        <v>50</v>
      </c>
      <c r="J1052" s="29">
        <v>1</v>
      </c>
      <c r="K1052" s="29" t="s">
        <v>861</v>
      </c>
      <c r="L1052" t="str">
        <f>IFERROR(VLOOKUP(Detalle_OC[[#This Row],[Centro]]&amp;Detalle_OC[[#This Row],[Nro Almacen]],Almacen!A:D,4,FALSE),"")</f>
        <v>Montelima</v>
      </c>
    </row>
    <row r="1053" spans="1:12" x14ac:dyDescent="0.3">
      <c r="A1053" s="29" t="str">
        <f>Detalle_OC[[#This Row],[Centro]]&amp;Detalle_OC[[#This Row],[Nom Almacen]]&amp;Detalle_OC[[#This Row],[Material]]&amp;Detalle_OC[[#This Row],[Pedido]]&amp;Detalle_OC[[#This Row],[Posicion]]</f>
        <v>Agricola del Chira PlantaLa Huaca70019150451157163910</v>
      </c>
      <c r="B1053" t="s">
        <v>26</v>
      </c>
      <c r="C1053" t="s">
        <v>22</v>
      </c>
      <c r="D1053" s="11">
        <v>45635</v>
      </c>
      <c r="E1053" t="s">
        <v>16</v>
      </c>
      <c r="F1053" t="s">
        <v>12</v>
      </c>
      <c r="G1053">
        <v>70019150</v>
      </c>
      <c r="H1053">
        <v>4511571639</v>
      </c>
      <c r="I1053">
        <v>10</v>
      </c>
      <c r="J1053" s="29">
        <v>2</v>
      </c>
      <c r="K1053" s="29" t="s">
        <v>861</v>
      </c>
      <c r="L1053" t="str">
        <f>IFERROR(VLOOKUP(Detalle_OC[[#This Row],[Centro]]&amp;Detalle_OC[[#This Row],[Nro Almacen]],Almacen!A:D,4,FALSE),"")</f>
        <v>La Huaca</v>
      </c>
    </row>
    <row r="1054" spans="1:12" x14ac:dyDescent="0.3">
      <c r="A1054" s="29" t="str">
        <f>Detalle_OC[[#This Row],[Centro]]&amp;Detalle_OC[[#This Row],[Nom Almacen]]&amp;Detalle_OC[[#This Row],[Material]]&amp;Detalle_OC[[#This Row],[Pedido]]&amp;Detalle_OC[[#This Row],[Posicion]]</f>
        <v>Agricola del Chira PlantaLa Huaca70048323451157163920</v>
      </c>
      <c r="B1054" t="s">
        <v>26</v>
      </c>
      <c r="C1054" t="s">
        <v>22</v>
      </c>
      <c r="D1054" s="11">
        <v>45635</v>
      </c>
      <c r="E1054" t="s">
        <v>16</v>
      </c>
      <c r="F1054" t="s">
        <v>12</v>
      </c>
      <c r="G1054">
        <v>70048323</v>
      </c>
      <c r="H1054">
        <v>4511571639</v>
      </c>
      <c r="I1054">
        <v>20</v>
      </c>
      <c r="J1054" s="29">
        <v>2</v>
      </c>
      <c r="K1054" s="29" t="s">
        <v>861</v>
      </c>
      <c r="L1054" t="str">
        <f>IFERROR(VLOOKUP(Detalle_OC[[#This Row],[Centro]]&amp;Detalle_OC[[#This Row],[Nro Almacen]],Almacen!A:D,4,FALSE),"")</f>
        <v>La Huaca</v>
      </c>
    </row>
    <row r="1055" spans="1:12" x14ac:dyDescent="0.3">
      <c r="A1055" s="29" t="str">
        <f>Detalle_OC[[#This Row],[Centro]]&amp;Detalle_OC[[#This Row],[Nom Almacen]]&amp;Detalle_OC[[#This Row],[Material]]&amp;Detalle_OC[[#This Row],[Pedido]]&amp;Detalle_OC[[#This Row],[Posicion]]</f>
        <v>Sucroalcolera del Chira PlantaMontelima721576451157164010</v>
      </c>
      <c r="B1055" t="s">
        <v>138</v>
      </c>
      <c r="C1055" t="s">
        <v>22</v>
      </c>
      <c r="D1055" s="11">
        <v>45639</v>
      </c>
      <c r="E1055" t="s">
        <v>16</v>
      </c>
      <c r="F1055" t="s">
        <v>85</v>
      </c>
      <c r="G1055">
        <v>721576</v>
      </c>
      <c r="H1055">
        <v>4511571640</v>
      </c>
      <c r="I1055">
        <v>10</v>
      </c>
      <c r="J1055" s="29">
        <v>1</v>
      </c>
      <c r="K1055" s="29" t="s">
        <v>861</v>
      </c>
      <c r="L1055" t="str">
        <f>IFERROR(VLOOKUP(Detalle_OC[[#This Row],[Centro]]&amp;Detalle_OC[[#This Row],[Nro Almacen]],Almacen!A:D,4,FALSE),"")</f>
        <v>Montelima</v>
      </c>
    </row>
    <row r="1056" spans="1:12" x14ac:dyDescent="0.3">
      <c r="A1056" s="29" t="str">
        <f>Detalle_OC[[#This Row],[Centro]]&amp;Detalle_OC[[#This Row],[Nom Almacen]]&amp;Detalle_OC[[#This Row],[Material]]&amp;Detalle_OC[[#This Row],[Pedido]]&amp;Detalle_OC[[#This Row],[Posicion]]</f>
        <v>Sucroalcolera del Chira PlantaMontelima721764451157164020</v>
      </c>
      <c r="B1056" t="s">
        <v>138</v>
      </c>
      <c r="C1056" t="s">
        <v>22</v>
      </c>
      <c r="D1056" s="11">
        <v>45639</v>
      </c>
      <c r="E1056" t="s">
        <v>16</v>
      </c>
      <c r="F1056" t="s">
        <v>85</v>
      </c>
      <c r="G1056">
        <v>721764</v>
      </c>
      <c r="H1056">
        <v>4511571640</v>
      </c>
      <c r="I1056">
        <v>20</v>
      </c>
      <c r="J1056" s="29">
        <v>1</v>
      </c>
      <c r="K1056" s="29" t="s">
        <v>861</v>
      </c>
      <c r="L1056" t="str">
        <f>IFERROR(VLOOKUP(Detalle_OC[[#This Row],[Centro]]&amp;Detalle_OC[[#This Row],[Nro Almacen]],Almacen!A:D,4,FALSE),"")</f>
        <v>Montelima</v>
      </c>
    </row>
    <row r="1057" spans="1:12" x14ac:dyDescent="0.3">
      <c r="A1057" s="29" t="str">
        <f>Detalle_OC[[#This Row],[Centro]]&amp;Detalle_OC[[#This Row],[Nom Almacen]]&amp;Detalle_OC[[#This Row],[Material]]&amp;Detalle_OC[[#This Row],[Pedido]]&amp;Detalle_OC[[#This Row],[Posicion]]</f>
        <v>Sucroalcolera del Chira PlantaMontelima767317451157164030</v>
      </c>
      <c r="B1057" t="s">
        <v>138</v>
      </c>
      <c r="C1057" t="s">
        <v>22</v>
      </c>
      <c r="D1057" s="11">
        <v>45639</v>
      </c>
      <c r="E1057" t="s">
        <v>16</v>
      </c>
      <c r="F1057" t="s">
        <v>85</v>
      </c>
      <c r="G1057">
        <v>767317</v>
      </c>
      <c r="H1057">
        <v>4511571640</v>
      </c>
      <c r="I1057">
        <v>30</v>
      </c>
      <c r="J1057" s="29">
        <v>1</v>
      </c>
      <c r="K1057" s="29" t="s">
        <v>861</v>
      </c>
      <c r="L1057" t="str">
        <f>IFERROR(VLOOKUP(Detalle_OC[[#This Row],[Centro]]&amp;Detalle_OC[[#This Row],[Nro Almacen]],Almacen!A:D,4,FALSE),"")</f>
        <v>Montelima</v>
      </c>
    </row>
    <row r="1058" spans="1:12" x14ac:dyDescent="0.3">
      <c r="A1058" s="29" t="str">
        <f>Detalle_OC[[#This Row],[Centro]]&amp;Detalle_OC[[#This Row],[Nom Almacen]]&amp;Detalle_OC[[#This Row],[Material]]&amp;Detalle_OC[[#This Row],[Pedido]]&amp;Detalle_OC[[#This Row],[Posicion]]</f>
        <v>Sucroalcolera del Chira PlantaMontelima768457451157164040</v>
      </c>
      <c r="B1058" t="s">
        <v>138</v>
      </c>
      <c r="C1058" t="s">
        <v>22</v>
      </c>
      <c r="D1058" s="11">
        <v>45639</v>
      </c>
      <c r="E1058" t="s">
        <v>16</v>
      </c>
      <c r="F1058" t="s">
        <v>85</v>
      </c>
      <c r="G1058">
        <v>768457</v>
      </c>
      <c r="H1058">
        <v>4511571640</v>
      </c>
      <c r="I1058">
        <v>40</v>
      </c>
      <c r="J1058" s="29">
        <v>1</v>
      </c>
      <c r="K1058" s="29" t="s">
        <v>861</v>
      </c>
      <c r="L1058" t="str">
        <f>IFERROR(VLOOKUP(Detalle_OC[[#This Row],[Centro]]&amp;Detalle_OC[[#This Row],[Nro Almacen]],Almacen!A:D,4,FALSE),"")</f>
        <v>Montelima</v>
      </c>
    </row>
    <row r="1059" spans="1:12" x14ac:dyDescent="0.3">
      <c r="A1059" s="29" t="str">
        <f>Detalle_OC[[#This Row],[Centro]]&amp;Detalle_OC[[#This Row],[Nom Almacen]]&amp;Detalle_OC[[#This Row],[Material]]&amp;Detalle_OC[[#This Row],[Pedido]]&amp;Detalle_OC[[#This Row],[Posicion]]</f>
        <v>Sucroalcolera del Chira PlantaMontelimaCK00000399        451157164050</v>
      </c>
      <c r="B1059" t="s">
        <v>138</v>
      </c>
      <c r="C1059" t="s">
        <v>22</v>
      </c>
      <c r="D1059" s="11">
        <v>45639</v>
      </c>
      <c r="E1059" t="s">
        <v>16</v>
      </c>
      <c r="F1059" t="s">
        <v>85</v>
      </c>
      <c r="G1059" t="s">
        <v>320</v>
      </c>
      <c r="H1059">
        <v>4511571640</v>
      </c>
      <c r="I1059">
        <v>50</v>
      </c>
      <c r="J1059" s="29">
        <v>1</v>
      </c>
      <c r="K1059" s="29" t="s">
        <v>861</v>
      </c>
      <c r="L1059" t="str">
        <f>IFERROR(VLOOKUP(Detalle_OC[[#This Row],[Centro]]&amp;Detalle_OC[[#This Row],[Nro Almacen]],Almacen!A:D,4,FALSE),"")</f>
        <v>Montelima</v>
      </c>
    </row>
    <row r="1060" spans="1:12" x14ac:dyDescent="0.3">
      <c r="A1060" s="29" t="str">
        <f>Detalle_OC[[#This Row],[Centro]]&amp;Detalle_OC[[#This Row],[Nom Almacen]]&amp;Detalle_OC[[#This Row],[Material]]&amp;Detalle_OC[[#This Row],[Pedido]]&amp;Detalle_OC[[#This Row],[Posicion]]</f>
        <v>Sucroalcolera del Chira PlantaMontelima70134644451157164210</v>
      </c>
      <c r="B1060" t="s">
        <v>151</v>
      </c>
      <c r="C1060" t="s">
        <v>212</v>
      </c>
      <c r="D1060" s="11">
        <v>45646</v>
      </c>
      <c r="E1060" t="s">
        <v>51</v>
      </c>
      <c r="F1060" t="s">
        <v>85</v>
      </c>
      <c r="G1060">
        <v>70134644</v>
      </c>
      <c r="H1060">
        <v>4511571642</v>
      </c>
      <c r="I1060">
        <v>10</v>
      </c>
      <c r="J1060" s="29">
        <v>1</v>
      </c>
      <c r="K1060" s="29" t="s">
        <v>861</v>
      </c>
      <c r="L1060" t="str">
        <f>IFERROR(VLOOKUP(Detalle_OC[[#This Row],[Centro]]&amp;Detalle_OC[[#This Row],[Nro Almacen]],Almacen!A:D,4,FALSE),"")</f>
        <v>Montelima</v>
      </c>
    </row>
    <row r="1061" spans="1:12" x14ac:dyDescent="0.3">
      <c r="A1061" s="29" t="str">
        <f>Detalle_OC[[#This Row],[Centro]]&amp;Detalle_OC[[#This Row],[Nom Almacen]]&amp;Detalle_OC[[#This Row],[Material]]&amp;Detalle_OC[[#This Row],[Pedido]]&amp;Detalle_OC[[#This Row],[Posicion]]</f>
        <v>Sucroalcolera del Chira PlantaMontelima70135266451157164220</v>
      </c>
      <c r="B1061" t="s">
        <v>151</v>
      </c>
      <c r="C1061" t="s">
        <v>212</v>
      </c>
      <c r="D1061" s="11">
        <v>45646</v>
      </c>
      <c r="E1061" t="s">
        <v>51</v>
      </c>
      <c r="F1061" t="s">
        <v>85</v>
      </c>
      <c r="G1061">
        <v>70135266</v>
      </c>
      <c r="H1061">
        <v>4511571642</v>
      </c>
      <c r="I1061">
        <v>20</v>
      </c>
      <c r="J1061" s="29">
        <v>1</v>
      </c>
      <c r="K1061" s="29" t="s">
        <v>861</v>
      </c>
      <c r="L1061" t="str">
        <f>IFERROR(VLOOKUP(Detalle_OC[[#This Row],[Centro]]&amp;Detalle_OC[[#This Row],[Nro Almacen]],Almacen!A:D,4,FALSE),"")</f>
        <v>Montelima</v>
      </c>
    </row>
    <row r="1062" spans="1:12" x14ac:dyDescent="0.3">
      <c r="A1062" s="29" t="str">
        <f>Detalle_OC[[#This Row],[Centro]]&amp;Detalle_OC[[#This Row],[Nom Almacen]]&amp;Detalle_OC[[#This Row],[Material]]&amp;Detalle_OC[[#This Row],[Pedido]]&amp;Detalle_OC[[#This Row],[Posicion]]</f>
        <v>Agricola del Chira PlantaSan Vicente724828451157164310</v>
      </c>
      <c r="B1062" t="s">
        <v>26</v>
      </c>
      <c r="C1062" t="s">
        <v>272</v>
      </c>
      <c r="D1062" s="11">
        <v>45639</v>
      </c>
      <c r="E1062" t="s">
        <v>16</v>
      </c>
      <c r="F1062" t="s">
        <v>12</v>
      </c>
      <c r="G1062">
        <v>724828</v>
      </c>
      <c r="H1062">
        <v>4511571643</v>
      </c>
      <c r="I1062">
        <v>10</v>
      </c>
      <c r="J1062" s="29">
        <v>3</v>
      </c>
      <c r="K1062" s="29" t="s">
        <v>861</v>
      </c>
      <c r="L1062" t="str">
        <f>IFERROR(VLOOKUP(Detalle_OC[[#This Row],[Centro]]&amp;Detalle_OC[[#This Row],[Nro Almacen]],Almacen!A:D,4,FALSE),"")</f>
        <v>San Vicente</v>
      </c>
    </row>
    <row r="1063" spans="1:12" x14ac:dyDescent="0.3">
      <c r="A1063" s="29" t="str">
        <f>Detalle_OC[[#This Row],[Centro]]&amp;Detalle_OC[[#This Row],[Nom Almacen]]&amp;Detalle_OC[[#This Row],[Material]]&amp;Detalle_OC[[#This Row],[Pedido]]&amp;Detalle_OC[[#This Row],[Posicion]]</f>
        <v>Sucroalcolera del Chira PlantaMontelima70127936451157164410</v>
      </c>
      <c r="B1063" t="s">
        <v>182</v>
      </c>
      <c r="C1063" t="s">
        <v>304</v>
      </c>
      <c r="D1063" s="11">
        <v>45646</v>
      </c>
      <c r="E1063" t="s">
        <v>16</v>
      </c>
      <c r="F1063" t="s">
        <v>85</v>
      </c>
      <c r="G1063">
        <v>70127936</v>
      </c>
      <c r="H1063">
        <v>4511571644</v>
      </c>
      <c r="I1063">
        <v>10</v>
      </c>
      <c r="J1063" s="29">
        <v>1</v>
      </c>
      <c r="K1063" s="29" t="s">
        <v>861</v>
      </c>
      <c r="L1063" t="str">
        <f>IFERROR(VLOOKUP(Detalle_OC[[#This Row],[Centro]]&amp;Detalle_OC[[#This Row],[Nro Almacen]],Almacen!A:D,4,FALSE),"")</f>
        <v>Montelima</v>
      </c>
    </row>
    <row r="1064" spans="1:12" x14ac:dyDescent="0.3">
      <c r="A1064" s="29" t="str">
        <f>Detalle_OC[[#This Row],[Centro]]&amp;Detalle_OC[[#This Row],[Nom Almacen]]&amp;Detalle_OC[[#This Row],[Material]]&amp;Detalle_OC[[#This Row],[Pedido]]&amp;Detalle_OC[[#This Row],[Posicion]]</f>
        <v>Sucroalcolera del Chira PlantaMontelima873051451157164510</v>
      </c>
      <c r="B1064" t="s">
        <v>156</v>
      </c>
      <c r="C1064" t="s">
        <v>272</v>
      </c>
      <c r="D1064" s="11">
        <v>45639</v>
      </c>
      <c r="E1064" t="s">
        <v>16</v>
      </c>
      <c r="F1064" t="s">
        <v>85</v>
      </c>
      <c r="G1064">
        <v>873051</v>
      </c>
      <c r="H1064">
        <v>4511571645</v>
      </c>
      <c r="I1064">
        <v>10</v>
      </c>
      <c r="J1064" s="29">
        <v>1</v>
      </c>
      <c r="K1064" s="29" t="s">
        <v>861</v>
      </c>
      <c r="L1064" t="str">
        <f>IFERROR(VLOOKUP(Detalle_OC[[#This Row],[Centro]]&amp;Detalle_OC[[#This Row],[Nro Almacen]],Almacen!A:D,4,FALSE),"")</f>
        <v>Montelima</v>
      </c>
    </row>
    <row r="1065" spans="1:12" x14ac:dyDescent="0.3">
      <c r="A1065" s="29" t="str">
        <f>Detalle_OC[[#This Row],[Centro]]&amp;Detalle_OC[[#This Row],[Nom Almacen]]&amp;Detalle_OC[[#This Row],[Material]]&amp;Detalle_OC[[#This Row],[Pedido]]&amp;Detalle_OC[[#This Row],[Posicion]]</f>
        <v>Sucroalcolera del Chira PlantaMontelima723755451157164520</v>
      </c>
      <c r="B1065" t="s">
        <v>202</v>
      </c>
      <c r="C1065" t="s">
        <v>272</v>
      </c>
      <c r="D1065" s="11">
        <v>45639</v>
      </c>
      <c r="E1065" t="s">
        <v>16</v>
      </c>
      <c r="F1065" t="s">
        <v>85</v>
      </c>
      <c r="G1065">
        <v>723755</v>
      </c>
      <c r="H1065">
        <v>4511571645</v>
      </c>
      <c r="I1065">
        <v>20</v>
      </c>
      <c r="J1065" s="29">
        <v>1</v>
      </c>
      <c r="K1065" s="29" t="s">
        <v>861</v>
      </c>
      <c r="L1065" t="str">
        <f>IFERROR(VLOOKUP(Detalle_OC[[#This Row],[Centro]]&amp;Detalle_OC[[#This Row],[Nro Almacen]],Almacen!A:D,4,FALSE),"")</f>
        <v>Montelima</v>
      </c>
    </row>
    <row r="1066" spans="1:12" x14ac:dyDescent="0.3">
      <c r="A1066" s="29" t="str">
        <f>Detalle_OC[[#This Row],[Centro]]&amp;Detalle_OC[[#This Row],[Nom Almacen]]&amp;Detalle_OC[[#This Row],[Material]]&amp;Detalle_OC[[#This Row],[Pedido]]&amp;Detalle_OC[[#This Row],[Posicion]]</f>
        <v>Sucroalcolera del Chira PlantaMontelima745394451157164530</v>
      </c>
      <c r="B1066" t="s">
        <v>202</v>
      </c>
      <c r="C1066" t="s">
        <v>272</v>
      </c>
      <c r="D1066" s="11">
        <v>45639</v>
      </c>
      <c r="E1066" t="s">
        <v>16</v>
      </c>
      <c r="F1066" t="s">
        <v>85</v>
      </c>
      <c r="G1066">
        <v>745394</v>
      </c>
      <c r="H1066">
        <v>4511571645</v>
      </c>
      <c r="I1066">
        <v>30</v>
      </c>
      <c r="J1066" s="29">
        <v>1</v>
      </c>
      <c r="K1066" s="29" t="s">
        <v>861</v>
      </c>
      <c r="L1066" t="str">
        <f>IFERROR(VLOOKUP(Detalle_OC[[#This Row],[Centro]]&amp;Detalle_OC[[#This Row],[Nro Almacen]],Almacen!A:D,4,FALSE),"")</f>
        <v>Montelima</v>
      </c>
    </row>
    <row r="1067" spans="1:12" x14ac:dyDescent="0.3">
      <c r="A1067" s="29" t="str">
        <f>Detalle_OC[[#This Row],[Centro]]&amp;Detalle_OC[[#This Row],[Nom Almacen]]&amp;Detalle_OC[[#This Row],[Material]]&amp;Detalle_OC[[#This Row],[Pedido]]&amp;Detalle_OC[[#This Row],[Posicion]]</f>
        <v>Agricola del Chira PlantaMontelima70085559451157164610</v>
      </c>
      <c r="B1067" t="s">
        <v>328</v>
      </c>
      <c r="C1067" t="s">
        <v>40</v>
      </c>
      <c r="D1067" s="11">
        <v>45644</v>
      </c>
      <c r="E1067" t="s">
        <v>16</v>
      </c>
      <c r="F1067" t="s">
        <v>12</v>
      </c>
      <c r="G1067">
        <v>70085559</v>
      </c>
      <c r="H1067">
        <v>4511571646</v>
      </c>
      <c r="I1067">
        <v>10</v>
      </c>
      <c r="J1067" s="29">
        <v>1</v>
      </c>
      <c r="K1067" s="29" t="s">
        <v>861</v>
      </c>
      <c r="L1067" t="str">
        <f>IFERROR(VLOOKUP(Detalle_OC[[#This Row],[Centro]]&amp;Detalle_OC[[#This Row],[Nro Almacen]],Almacen!A:D,4,FALSE),"")</f>
        <v>Montelima</v>
      </c>
    </row>
    <row r="1068" spans="1:12" x14ac:dyDescent="0.3">
      <c r="A1068" s="29" t="str">
        <f>Detalle_OC[[#This Row],[Centro]]&amp;Detalle_OC[[#This Row],[Nom Almacen]]&amp;Detalle_OC[[#This Row],[Material]]&amp;Detalle_OC[[#This Row],[Pedido]]&amp;Detalle_OC[[#This Row],[Posicion]]</f>
        <v>Agricola del Chira PlantaMontelima810250451157164910</v>
      </c>
      <c r="B1068" t="s">
        <v>149</v>
      </c>
      <c r="C1068" t="s">
        <v>166</v>
      </c>
      <c r="D1068" s="11">
        <v>45639</v>
      </c>
      <c r="E1068" t="s">
        <v>16</v>
      </c>
      <c r="F1068" t="s">
        <v>12</v>
      </c>
      <c r="G1068">
        <v>810250</v>
      </c>
      <c r="H1068">
        <v>4511571649</v>
      </c>
      <c r="I1068">
        <v>10</v>
      </c>
      <c r="J1068" s="29">
        <v>1</v>
      </c>
      <c r="K1068" s="29" t="s">
        <v>861</v>
      </c>
      <c r="L1068" t="str">
        <f>IFERROR(VLOOKUP(Detalle_OC[[#This Row],[Centro]]&amp;Detalle_OC[[#This Row],[Nro Almacen]],Almacen!A:D,4,FALSE),"")</f>
        <v>Montelima</v>
      </c>
    </row>
    <row r="1069" spans="1:12" x14ac:dyDescent="0.3">
      <c r="A1069" s="29" t="str">
        <f>Detalle_OC[[#This Row],[Centro]]&amp;Detalle_OC[[#This Row],[Nom Almacen]]&amp;Detalle_OC[[#This Row],[Material]]&amp;Detalle_OC[[#This Row],[Pedido]]&amp;Detalle_OC[[#This Row],[Posicion]]</f>
        <v>Agricola del Chira PlantaMontelima827625451157164920</v>
      </c>
      <c r="B1069" t="s">
        <v>149</v>
      </c>
      <c r="C1069" t="s">
        <v>166</v>
      </c>
      <c r="D1069" s="11">
        <v>45639</v>
      </c>
      <c r="E1069" t="s">
        <v>16</v>
      </c>
      <c r="F1069" t="s">
        <v>12</v>
      </c>
      <c r="G1069">
        <v>827625</v>
      </c>
      <c r="H1069">
        <v>4511571649</v>
      </c>
      <c r="I1069">
        <v>20</v>
      </c>
      <c r="J1069" s="29">
        <v>1</v>
      </c>
      <c r="K1069" s="29" t="s">
        <v>861</v>
      </c>
      <c r="L1069" t="str">
        <f>IFERROR(VLOOKUP(Detalle_OC[[#This Row],[Centro]]&amp;Detalle_OC[[#This Row],[Nro Almacen]],Almacen!A:D,4,FALSE),"")</f>
        <v>Montelima</v>
      </c>
    </row>
    <row r="1070" spans="1:12" x14ac:dyDescent="0.3">
      <c r="A1070" s="29" t="str">
        <f>Detalle_OC[[#This Row],[Centro]]&amp;Detalle_OC[[#This Row],[Nom Almacen]]&amp;Detalle_OC[[#This Row],[Material]]&amp;Detalle_OC[[#This Row],[Pedido]]&amp;Detalle_OC[[#This Row],[Posicion]]</f>
        <v>Agricola del Chira PlantaMontelima840418451157164930</v>
      </c>
      <c r="B1070" t="s">
        <v>149</v>
      </c>
      <c r="C1070" t="s">
        <v>166</v>
      </c>
      <c r="D1070" s="11">
        <v>45667</v>
      </c>
      <c r="E1070" t="s">
        <v>16</v>
      </c>
      <c r="F1070" t="s">
        <v>12</v>
      </c>
      <c r="G1070">
        <v>840418</v>
      </c>
      <c r="H1070">
        <v>4511571649</v>
      </c>
      <c r="I1070">
        <v>30</v>
      </c>
      <c r="J1070" s="29">
        <v>1</v>
      </c>
      <c r="K1070" s="29" t="s">
        <v>861</v>
      </c>
      <c r="L1070" t="str">
        <f>IFERROR(VLOOKUP(Detalle_OC[[#This Row],[Centro]]&amp;Detalle_OC[[#This Row],[Nro Almacen]],Almacen!A:D,4,FALSE),"")</f>
        <v>Montelima</v>
      </c>
    </row>
    <row r="1071" spans="1:12" x14ac:dyDescent="0.3">
      <c r="A1071" s="29" t="str">
        <f>Detalle_OC[[#This Row],[Centro]]&amp;Detalle_OC[[#This Row],[Nom Almacen]]&amp;Detalle_OC[[#This Row],[Material]]&amp;Detalle_OC[[#This Row],[Pedido]]&amp;Detalle_OC[[#This Row],[Posicion]]</f>
        <v>Agricola del Chira PlantaMontelima843790451157164940</v>
      </c>
      <c r="B1071" t="s">
        <v>149</v>
      </c>
      <c r="C1071" t="s">
        <v>166</v>
      </c>
      <c r="D1071" s="11">
        <v>45639</v>
      </c>
      <c r="E1071" t="s">
        <v>16</v>
      </c>
      <c r="F1071" t="s">
        <v>12</v>
      </c>
      <c r="G1071">
        <v>843790</v>
      </c>
      <c r="H1071">
        <v>4511571649</v>
      </c>
      <c r="I1071">
        <v>40</v>
      </c>
      <c r="J1071" s="29">
        <v>1</v>
      </c>
      <c r="K1071" s="29" t="s">
        <v>861</v>
      </c>
      <c r="L1071" t="str">
        <f>IFERROR(VLOOKUP(Detalle_OC[[#This Row],[Centro]]&amp;Detalle_OC[[#This Row],[Nro Almacen]],Almacen!A:D,4,FALSE),"")</f>
        <v>Montelima</v>
      </c>
    </row>
    <row r="1072" spans="1:12" x14ac:dyDescent="0.3">
      <c r="A1072" s="29" t="str">
        <f>Detalle_OC[[#This Row],[Centro]]&amp;Detalle_OC[[#This Row],[Nom Almacen]]&amp;Detalle_OC[[#This Row],[Material]]&amp;Detalle_OC[[#This Row],[Pedido]]&amp;Detalle_OC[[#This Row],[Posicion]]</f>
        <v>Agricola del Chira PlantaAlmacen Lobo847308451157164950</v>
      </c>
      <c r="B1072" t="s">
        <v>149</v>
      </c>
      <c r="C1072" t="s">
        <v>166</v>
      </c>
      <c r="D1072" s="11">
        <v>45639</v>
      </c>
      <c r="E1072" t="s">
        <v>16</v>
      </c>
      <c r="F1072" t="s">
        <v>12</v>
      </c>
      <c r="G1072">
        <v>847308</v>
      </c>
      <c r="H1072">
        <v>4511571649</v>
      </c>
      <c r="I1072">
        <v>50</v>
      </c>
      <c r="J1072" s="29">
        <v>7</v>
      </c>
      <c r="K1072" s="29" t="s">
        <v>861</v>
      </c>
      <c r="L1072" t="str">
        <f>IFERROR(VLOOKUP(Detalle_OC[[#This Row],[Centro]]&amp;Detalle_OC[[#This Row],[Nro Almacen]],Almacen!A:D,4,FALSE),"")</f>
        <v>Almacen Lobo</v>
      </c>
    </row>
    <row r="1073" spans="1:12" x14ac:dyDescent="0.3">
      <c r="A1073" s="29" t="str">
        <f>Detalle_OC[[#This Row],[Centro]]&amp;Detalle_OC[[#This Row],[Nom Almacen]]&amp;Detalle_OC[[#This Row],[Material]]&amp;Detalle_OC[[#This Row],[Pedido]]&amp;Detalle_OC[[#This Row],[Posicion]]</f>
        <v>Agricola del Chira PlantaMontelima848024451157164960</v>
      </c>
      <c r="B1073" t="s">
        <v>149</v>
      </c>
      <c r="C1073" t="s">
        <v>166</v>
      </c>
      <c r="D1073" s="11">
        <v>45639</v>
      </c>
      <c r="E1073" t="s">
        <v>16</v>
      </c>
      <c r="F1073" t="s">
        <v>12</v>
      </c>
      <c r="G1073">
        <v>848024</v>
      </c>
      <c r="H1073">
        <v>4511571649</v>
      </c>
      <c r="I1073">
        <v>60</v>
      </c>
      <c r="J1073" s="29">
        <v>1</v>
      </c>
      <c r="K1073" s="29" t="s">
        <v>861</v>
      </c>
      <c r="L1073" t="str">
        <f>IFERROR(VLOOKUP(Detalle_OC[[#This Row],[Centro]]&amp;Detalle_OC[[#This Row],[Nro Almacen]],Almacen!A:D,4,FALSE),"")</f>
        <v>Montelima</v>
      </c>
    </row>
    <row r="1074" spans="1:12" x14ac:dyDescent="0.3">
      <c r="A1074" s="29" t="str">
        <f>Detalle_OC[[#This Row],[Centro]]&amp;Detalle_OC[[#This Row],[Nom Almacen]]&amp;Detalle_OC[[#This Row],[Material]]&amp;Detalle_OC[[#This Row],[Pedido]]&amp;Detalle_OC[[#This Row],[Posicion]]</f>
        <v>Agricola del Chira PlantaMontelima848025451157164970</v>
      </c>
      <c r="B1074" t="s">
        <v>149</v>
      </c>
      <c r="C1074" t="s">
        <v>166</v>
      </c>
      <c r="D1074" s="11">
        <v>45639</v>
      </c>
      <c r="E1074" t="s">
        <v>16</v>
      </c>
      <c r="F1074" t="s">
        <v>12</v>
      </c>
      <c r="G1074">
        <v>848025</v>
      </c>
      <c r="H1074">
        <v>4511571649</v>
      </c>
      <c r="I1074">
        <v>70</v>
      </c>
      <c r="J1074" s="29">
        <v>1</v>
      </c>
      <c r="K1074" s="29" t="s">
        <v>861</v>
      </c>
      <c r="L1074" t="str">
        <f>IFERROR(VLOOKUP(Detalle_OC[[#This Row],[Centro]]&amp;Detalle_OC[[#This Row],[Nro Almacen]],Almacen!A:D,4,FALSE),"")</f>
        <v>Montelima</v>
      </c>
    </row>
    <row r="1075" spans="1:12" x14ac:dyDescent="0.3">
      <c r="A1075" s="29" t="str">
        <f>Detalle_OC[[#This Row],[Centro]]&amp;Detalle_OC[[#This Row],[Nom Almacen]]&amp;Detalle_OC[[#This Row],[Material]]&amp;Detalle_OC[[#This Row],[Pedido]]&amp;Detalle_OC[[#This Row],[Posicion]]</f>
        <v>Agricola del Chira PlantaMontelima869253451157164980</v>
      </c>
      <c r="B1075" t="s">
        <v>149</v>
      </c>
      <c r="C1075" t="s">
        <v>166</v>
      </c>
      <c r="D1075" s="11">
        <v>45639</v>
      </c>
      <c r="E1075" t="s">
        <v>16</v>
      </c>
      <c r="F1075" t="s">
        <v>12</v>
      </c>
      <c r="G1075">
        <v>869253</v>
      </c>
      <c r="H1075">
        <v>4511571649</v>
      </c>
      <c r="I1075">
        <v>80</v>
      </c>
      <c r="J1075" s="29">
        <v>1</v>
      </c>
      <c r="K1075" s="29" t="s">
        <v>861</v>
      </c>
      <c r="L1075" t="str">
        <f>IFERROR(VLOOKUP(Detalle_OC[[#This Row],[Centro]]&amp;Detalle_OC[[#This Row],[Nro Almacen]],Almacen!A:D,4,FALSE),"")</f>
        <v>Montelima</v>
      </c>
    </row>
    <row r="1076" spans="1:12" x14ac:dyDescent="0.3">
      <c r="A1076" s="29" t="str">
        <f>Detalle_OC[[#This Row],[Centro]]&amp;Detalle_OC[[#This Row],[Nom Almacen]]&amp;Detalle_OC[[#This Row],[Material]]&amp;Detalle_OC[[#This Row],[Pedido]]&amp;Detalle_OC[[#This Row],[Posicion]]</f>
        <v>Agricola del Chira PlantaMontelima70000252451157164990</v>
      </c>
      <c r="B1076" t="s">
        <v>149</v>
      </c>
      <c r="C1076" t="s">
        <v>166</v>
      </c>
      <c r="D1076" s="11">
        <v>45639</v>
      </c>
      <c r="E1076" t="s">
        <v>16</v>
      </c>
      <c r="F1076" t="s">
        <v>12</v>
      </c>
      <c r="G1076">
        <v>70000252</v>
      </c>
      <c r="H1076">
        <v>4511571649</v>
      </c>
      <c r="I1076">
        <v>90</v>
      </c>
      <c r="J1076" s="29">
        <v>1</v>
      </c>
      <c r="K1076" s="29" t="s">
        <v>861</v>
      </c>
      <c r="L1076" t="str">
        <f>IFERROR(VLOOKUP(Detalle_OC[[#This Row],[Centro]]&amp;Detalle_OC[[#This Row],[Nro Almacen]],Almacen!A:D,4,FALSE),"")</f>
        <v>Montelima</v>
      </c>
    </row>
    <row r="1077" spans="1:12" x14ac:dyDescent="0.3">
      <c r="A1077" s="29" t="str">
        <f>Detalle_OC[[#This Row],[Centro]]&amp;Detalle_OC[[#This Row],[Nom Almacen]]&amp;Detalle_OC[[#This Row],[Material]]&amp;Detalle_OC[[#This Row],[Pedido]]&amp;Detalle_OC[[#This Row],[Posicion]]</f>
        <v>Agricola del Chira PlantaMontelima700030804511571649100</v>
      </c>
      <c r="B1077" t="s">
        <v>149</v>
      </c>
      <c r="C1077" t="s">
        <v>166</v>
      </c>
      <c r="D1077" s="11">
        <v>45639</v>
      </c>
      <c r="E1077" t="s">
        <v>16</v>
      </c>
      <c r="F1077" t="s">
        <v>12</v>
      </c>
      <c r="G1077">
        <v>70003080</v>
      </c>
      <c r="H1077">
        <v>4511571649</v>
      </c>
      <c r="I1077">
        <v>100</v>
      </c>
      <c r="J1077" s="29">
        <v>1</v>
      </c>
      <c r="K1077" s="29" t="s">
        <v>861</v>
      </c>
      <c r="L1077" t="str">
        <f>IFERROR(VLOOKUP(Detalle_OC[[#This Row],[Centro]]&amp;Detalle_OC[[#This Row],[Nro Almacen]],Almacen!A:D,4,FALSE),"")</f>
        <v>Montelima</v>
      </c>
    </row>
    <row r="1078" spans="1:12" x14ac:dyDescent="0.3">
      <c r="A1078" s="29" t="str">
        <f>Detalle_OC[[#This Row],[Centro]]&amp;Detalle_OC[[#This Row],[Nom Almacen]]&amp;Detalle_OC[[#This Row],[Material]]&amp;Detalle_OC[[#This Row],[Pedido]]&amp;Detalle_OC[[#This Row],[Posicion]]</f>
        <v>Agricola del Chira PlantaMontelima700047954511571649110</v>
      </c>
      <c r="B1078" t="s">
        <v>149</v>
      </c>
      <c r="C1078" t="s">
        <v>166</v>
      </c>
      <c r="D1078" s="11">
        <v>45639</v>
      </c>
      <c r="E1078" t="s">
        <v>16</v>
      </c>
      <c r="F1078" t="s">
        <v>12</v>
      </c>
      <c r="G1078">
        <v>70004795</v>
      </c>
      <c r="H1078">
        <v>4511571649</v>
      </c>
      <c r="I1078">
        <v>110</v>
      </c>
      <c r="J1078" s="29">
        <v>1</v>
      </c>
      <c r="K1078" s="29" t="s">
        <v>861</v>
      </c>
      <c r="L1078" t="str">
        <f>IFERROR(VLOOKUP(Detalle_OC[[#This Row],[Centro]]&amp;Detalle_OC[[#This Row],[Nro Almacen]],Almacen!A:D,4,FALSE),"")</f>
        <v>Montelima</v>
      </c>
    </row>
    <row r="1079" spans="1:12" x14ac:dyDescent="0.3">
      <c r="A1079" s="29" t="str">
        <f>Detalle_OC[[#This Row],[Centro]]&amp;Detalle_OC[[#This Row],[Nom Almacen]]&amp;Detalle_OC[[#This Row],[Material]]&amp;Detalle_OC[[#This Row],[Pedido]]&amp;Detalle_OC[[#This Row],[Posicion]]</f>
        <v>Agricola del Chira PlantaMontelima700061594511571649120</v>
      </c>
      <c r="B1079" t="s">
        <v>149</v>
      </c>
      <c r="C1079" t="s">
        <v>166</v>
      </c>
      <c r="D1079" s="11">
        <v>45639</v>
      </c>
      <c r="E1079" t="s">
        <v>16</v>
      </c>
      <c r="F1079" t="s">
        <v>12</v>
      </c>
      <c r="G1079">
        <v>70006159</v>
      </c>
      <c r="H1079">
        <v>4511571649</v>
      </c>
      <c r="I1079">
        <v>120</v>
      </c>
      <c r="J1079" s="29">
        <v>1</v>
      </c>
      <c r="K1079" s="29" t="s">
        <v>861</v>
      </c>
      <c r="L1079" t="str">
        <f>IFERROR(VLOOKUP(Detalle_OC[[#This Row],[Centro]]&amp;Detalle_OC[[#This Row],[Nro Almacen]],Almacen!A:D,4,FALSE),"")</f>
        <v>Montelima</v>
      </c>
    </row>
    <row r="1080" spans="1:12" x14ac:dyDescent="0.3">
      <c r="A1080" s="29" t="str">
        <f>Detalle_OC[[#This Row],[Centro]]&amp;Detalle_OC[[#This Row],[Nom Almacen]]&amp;Detalle_OC[[#This Row],[Material]]&amp;Detalle_OC[[#This Row],[Pedido]]&amp;Detalle_OC[[#This Row],[Posicion]]</f>
        <v>Agricola del Chira PlantaMontelima700106634511571649130</v>
      </c>
      <c r="B1080" t="s">
        <v>149</v>
      </c>
      <c r="C1080" t="s">
        <v>166</v>
      </c>
      <c r="D1080" s="11">
        <v>45639</v>
      </c>
      <c r="E1080" t="s">
        <v>16</v>
      </c>
      <c r="F1080" t="s">
        <v>12</v>
      </c>
      <c r="G1080">
        <v>70010663</v>
      </c>
      <c r="H1080">
        <v>4511571649</v>
      </c>
      <c r="I1080">
        <v>130</v>
      </c>
      <c r="J1080" s="29">
        <v>1</v>
      </c>
      <c r="K1080" s="29" t="s">
        <v>861</v>
      </c>
      <c r="L1080" t="str">
        <f>IFERROR(VLOOKUP(Detalle_OC[[#This Row],[Centro]]&amp;Detalle_OC[[#This Row],[Nro Almacen]],Almacen!A:D,4,FALSE),"")</f>
        <v>Montelima</v>
      </c>
    </row>
    <row r="1081" spans="1:12" x14ac:dyDescent="0.3">
      <c r="A1081" s="29" t="str">
        <f>Detalle_OC[[#This Row],[Centro]]&amp;Detalle_OC[[#This Row],[Nom Almacen]]&amp;Detalle_OC[[#This Row],[Material]]&amp;Detalle_OC[[#This Row],[Pedido]]&amp;Detalle_OC[[#This Row],[Posicion]]</f>
        <v>Agricola del Chira PlantaMontelima700113684511571649140</v>
      </c>
      <c r="B1081" t="s">
        <v>149</v>
      </c>
      <c r="C1081" t="s">
        <v>166</v>
      </c>
      <c r="D1081" s="11">
        <v>45639</v>
      </c>
      <c r="E1081" t="s">
        <v>16</v>
      </c>
      <c r="F1081" t="s">
        <v>12</v>
      </c>
      <c r="G1081">
        <v>70011368</v>
      </c>
      <c r="H1081">
        <v>4511571649</v>
      </c>
      <c r="I1081">
        <v>140</v>
      </c>
      <c r="J1081" s="29">
        <v>1</v>
      </c>
      <c r="K1081" s="29" t="s">
        <v>861</v>
      </c>
      <c r="L1081" t="str">
        <f>IFERROR(VLOOKUP(Detalle_OC[[#This Row],[Centro]]&amp;Detalle_OC[[#This Row],[Nro Almacen]],Almacen!A:D,4,FALSE),"")</f>
        <v>Montelima</v>
      </c>
    </row>
    <row r="1082" spans="1:12" x14ac:dyDescent="0.3">
      <c r="A1082" s="29" t="str">
        <f>Detalle_OC[[#This Row],[Centro]]&amp;Detalle_OC[[#This Row],[Nom Almacen]]&amp;Detalle_OC[[#This Row],[Material]]&amp;Detalle_OC[[#This Row],[Pedido]]&amp;Detalle_OC[[#This Row],[Posicion]]</f>
        <v>Agricola del Chira PlantaMontelima700113694511571649150</v>
      </c>
      <c r="B1082" t="s">
        <v>149</v>
      </c>
      <c r="C1082" t="s">
        <v>166</v>
      </c>
      <c r="D1082" s="11">
        <v>45639</v>
      </c>
      <c r="E1082" t="s">
        <v>16</v>
      </c>
      <c r="F1082" t="s">
        <v>12</v>
      </c>
      <c r="G1082">
        <v>70011369</v>
      </c>
      <c r="H1082">
        <v>4511571649</v>
      </c>
      <c r="I1082">
        <v>150</v>
      </c>
      <c r="J1082" s="29">
        <v>1</v>
      </c>
      <c r="K1082" s="29" t="s">
        <v>861</v>
      </c>
      <c r="L1082" t="str">
        <f>IFERROR(VLOOKUP(Detalle_OC[[#This Row],[Centro]]&amp;Detalle_OC[[#This Row],[Nro Almacen]],Almacen!A:D,4,FALSE),"")</f>
        <v>Montelima</v>
      </c>
    </row>
    <row r="1083" spans="1:12" x14ac:dyDescent="0.3">
      <c r="A1083" s="29" t="str">
        <f>Detalle_OC[[#This Row],[Centro]]&amp;Detalle_OC[[#This Row],[Nom Almacen]]&amp;Detalle_OC[[#This Row],[Material]]&amp;Detalle_OC[[#This Row],[Pedido]]&amp;Detalle_OC[[#This Row],[Posicion]]</f>
        <v>Agricola del Chira PlantaMontelima700372484511571649160</v>
      </c>
      <c r="B1083" t="s">
        <v>149</v>
      </c>
      <c r="C1083" t="s">
        <v>166</v>
      </c>
      <c r="D1083" s="11">
        <v>45639</v>
      </c>
      <c r="E1083" t="s">
        <v>16</v>
      </c>
      <c r="F1083" t="s">
        <v>12</v>
      </c>
      <c r="G1083">
        <v>70037248</v>
      </c>
      <c r="H1083">
        <v>4511571649</v>
      </c>
      <c r="I1083">
        <v>160</v>
      </c>
      <c r="J1083" s="29">
        <v>1</v>
      </c>
      <c r="K1083" s="29" t="s">
        <v>861</v>
      </c>
      <c r="L1083" t="str">
        <f>IFERROR(VLOOKUP(Detalle_OC[[#This Row],[Centro]]&amp;Detalle_OC[[#This Row],[Nro Almacen]],Almacen!A:D,4,FALSE),"")</f>
        <v>Montelima</v>
      </c>
    </row>
    <row r="1084" spans="1:12" x14ac:dyDescent="0.3">
      <c r="A1084" s="29" t="str">
        <f>Detalle_OC[[#This Row],[Centro]]&amp;Detalle_OC[[#This Row],[Nom Almacen]]&amp;Detalle_OC[[#This Row],[Material]]&amp;Detalle_OC[[#This Row],[Pedido]]&amp;Detalle_OC[[#This Row],[Posicion]]</f>
        <v>Agricola del Chira PlantaMontelima700978144511571649170</v>
      </c>
      <c r="B1084" t="s">
        <v>149</v>
      </c>
      <c r="C1084" t="s">
        <v>166</v>
      </c>
      <c r="D1084" s="11">
        <v>45639</v>
      </c>
      <c r="E1084" t="s">
        <v>16</v>
      </c>
      <c r="F1084" t="s">
        <v>12</v>
      </c>
      <c r="G1084">
        <v>70097814</v>
      </c>
      <c r="H1084">
        <v>4511571649</v>
      </c>
      <c r="I1084">
        <v>170</v>
      </c>
      <c r="J1084" s="29">
        <v>1</v>
      </c>
      <c r="K1084" s="29" t="s">
        <v>861</v>
      </c>
      <c r="L1084" t="str">
        <f>IFERROR(VLOOKUP(Detalle_OC[[#This Row],[Centro]]&amp;Detalle_OC[[#This Row],[Nro Almacen]],Almacen!A:D,4,FALSE),"")</f>
        <v>Montelima</v>
      </c>
    </row>
    <row r="1085" spans="1:12" x14ac:dyDescent="0.3">
      <c r="A1085" s="29" t="str">
        <f>Detalle_OC[[#This Row],[Centro]]&amp;Detalle_OC[[#This Row],[Nom Almacen]]&amp;Detalle_OC[[#This Row],[Material]]&amp;Detalle_OC[[#This Row],[Pedido]]&amp;Detalle_OC[[#This Row],[Posicion]]</f>
        <v>Agricola del Chira PlantaMontelima700978154511571649180</v>
      </c>
      <c r="B1085" t="s">
        <v>149</v>
      </c>
      <c r="C1085" t="s">
        <v>166</v>
      </c>
      <c r="D1085" s="11">
        <v>45639</v>
      </c>
      <c r="E1085" t="s">
        <v>16</v>
      </c>
      <c r="F1085" t="s">
        <v>12</v>
      </c>
      <c r="G1085">
        <v>70097815</v>
      </c>
      <c r="H1085">
        <v>4511571649</v>
      </c>
      <c r="I1085">
        <v>180</v>
      </c>
      <c r="J1085" s="29">
        <v>1</v>
      </c>
      <c r="K1085" s="29" t="s">
        <v>861</v>
      </c>
      <c r="L1085" t="str">
        <f>IFERROR(VLOOKUP(Detalle_OC[[#This Row],[Centro]]&amp;Detalle_OC[[#This Row],[Nro Almacen]],Almacen!A:D,4,FALSE),"")</f>
        <v>Montelima</v>
      </c>
    </row>
    <row r="1086" spans="1:12" x14ac:dyDescent="0.3">
      <c r="A1086" s="29" t="str">
        <f>Detalle_OC[[#This Row],[Centro]]&amp;Detalle_OC[[#This Row],[Nom Almacen]]&amp;Detalle_OC[[#This Row],[Material]]&amp;Detalle_OC[[#This Row],[Pedido]]&amp;Detalle_OC[[#This Row],[Posicion]]</f>
        <v>Agricola del Chira PlantaMontelima701204124511571649190</v>
      </c>
      <c r="B1086" t="s">
        <v>149</v>
      </c>
      <c r="C1086" t="s">
        <v>166</v>
      </c>
      <c r="D1086" s="11">
        <v>45639</v>
      </c>
      <c r="E1086" t="s">
        <v>16</v>
      </c>
      <c r="F1086" t="s">
        <v>12</v>
      </c>
      <c r="G1086">
        <v>70120412</v>
      </c>
      <c r="H1086">
        <v>4511571649</v>
      </c>
      <c r="I1086">
        <v>190</v>
      </c>
      <c r="J1086" s="29">
        <v>1</v>
      </c>
      <c r="K1086" s="29" t="s">
        <v>861</v>
      </c>
      <c r="L1086" t="str">
        <f>IFERROR(VLOOKUP(Detalle_OC[[#This Row],[Centro]]&amp;Detalle_OC[[#This Row],[Nro Almacen]],Almacen!A:D,4,FALSE),"")</f>
        <v>Montelima</v>
      </c>
    </row>
    <row r="1087" spans="1:12" x14ac:dyDescent="0.3">
      <c r="A1087" s="29" t="str">
        <f>Detalle_OC[[#This Row],[Centro]]&amp;Detalle_OC[[#This Row],[Nom Almacen]]&amp;Detalle_OC[[#This Row],[Material]]&amp;Detalle_OC[[#This Row],[Pedido]]&amp;Detalle_OC[[#This Row],[Posicion]]</f>
        <v>Agricola del Chira PlantaMontelima8130024511571649200</v>
      </c>
      <c r="B1087" t="s">
        <v>149</v>
      </c>
      <c r="C1087" t="s">
        <v>166</v>
      </c>
      <c r="D1087" s="11">
        <v>45639</v>
      </c>
      <c r="E1087" t="s">
        <v>16</v>
      </c>
      <c r="F1087" t="s">
        <v>12</v>
      </c>
      <c r="G1087">
        <v>813002</v>
      </c>
      <c r="H1087">
        <v>4511571649</v>
      </c>
      <c r="I1087">
        <v>200</v>
      </c>
      <c r="J1087" s="29">
        <v>1</v>
      </c>
      <c r="K1087" s="29" t="s">
        <v>861</v>
      </c>
      <c r="L1087" t="str">
        <f>IFERROR(VLOOKUP(Detalle_OC[[#This Row],[Centro]]&amp;Detalle_OC[[#This Row],[Nro Almacen]],Almacen!A:D,4,FALSE),"")</f>
        <v>Montelima</v>
      </c>
    </row>
    <row r="1088" spans="1:12" x14ac:dyDescent="0.3">
      <c r="A1088" s="29" t="str">
        <f>Detalle_OC[[#This Row],[Centro]]&amp;Detalle_OC[[#This Row],[Nom Almacen]]&amp;Detalle_OC[[#This Row],[Material]]&amp;Detalle_OC[[#This Row],[Pedido]]&amp;Detalle_OC[[#This Row],[Posicion]]</f>
        <v>Agricola del Chira PlantaMontelima8423694511571649210</v>
      </c>
      <c r="B1088" t="s">
        <v>149</v>
      </c>
      <c r="C1088" t="s">
        <v>166</v>
      </c>
      <c r="D1088" s="11">
        <v>45639</v>
      </c>
      <c r="E1088" t="s">
        <v>16</v>
      </c>
      <c r="F1088" t="s">
        <v>12</v>
      </c>
      <c r="G1088">
        <v>842369</v>
      </c>
      <c r="H1088">
        <v>4511571649</v>
      </c>
      <c r="I1088">
        <v>210</v>
      </c>
      <c r="J1088" s="29">
        <v>1</v>
      </c>
      <c r="K1088" s="29" t="s">
        <v>861</v>
      </c>
      <c r="L1088" t="str">
        <f>IFERROR(VLOOKUP(Detalle_OC[[#This Row],[Centro]]&amp;Detalle_OC[[#This Row],[Nro Almacen]],Almacen!A:D,4,FALSE),"")</f>
        <v>Montelima</v>
      </c>
    </row>
    <row r="1089" spans="1:12" x14ac:dyDescent="0.3">
      <c r="A1089" s="29" t="str">
        <f>Detalle_OC[[#This Row],[Centro]]&amp;Detalle_OC[[#This Row],[Nom Almacen]]&amp;Detalle_OC[[#This Row],[Material]]&amp;Detalle_OC[[#This Row],[Pedido]]&amp;Detalle_OC[[#This Row],[Posicion]]</f>
        <v>Agricola del Chira PlantaMontelima8608724511571649220</v>
      </c>
      <c r="B1089" t="s">
        <v>149</v>
      </c>
      <c r="C1089" t="s">
        <v>166</v>
      </c>
      <c r="D1089" s="11">
        <v>45639</v>
      </c>
      <c r="E1089" t="s">
        <v>16</v>
      </c>
      <c r="F1089" t="s">
        <v>12</v>
      </c>
      <c r="G1089">
        <v>860872</v>
      </c>
      <c r="H1089">
        <v>4511571649</v>
      </c>
      <c r="I1089">
        <v>220</v>
      </c>
      <c r="J1089" s="29">
        <v>1</v>
      </c>
      <c r="K1089" s="29" t="s">
        <v>861</v>
      </c>
      <c r="L1089" t="str">
        <f>IFERROR(VLOOKUP(Detalle_OC[[#This Row],[Centro]]&amp;Detalle_OC[[#This Row],[Nro Almacen]],Almacen!A:D,4,FALSE),"")</f>
        <v>Montelima</v>
      </c>
    </row>
    <row r="1090" spans="1:12" x14ac:dyDescent="0.3">
      <c r="A1090" s="29" t="str">
        <f>Detalle_OC[[#This Row],[Centro]]&amp;Detalle_OC[[#This Row],[Nom Almacen]]&amp;Detalle_OC[[#This Row],[Material]]&amp;Detalle_OC[[#This Row],[Pedido]]&amp;Detalle_OC[[#This Row],[Posicion]]</f>
        <v>Agricola del Chira PlantaMontelima8895394511571649230</v>
      </c>
      <c r="B1090" t="s">
        <v>149</v>
      </c>
      <c r="C1090" t="s">
        <v>166</v>
      </c>
      <c r="D1090" s="11">
        <v>45639</v>
      </c>
      <c r="E1090" t="s">
        <v>16</v>
      </c>
      <c r="F1090" t="s">
        <v>12</v>
      </c>
      <c r="G1090">
        <v>889539</v>
      </c>
      <c r="H1090">
        <v>4511571649</v>
      </c>
      <c r="I1090">
        <v>230</v>
      </c>
      <c r="J1090" s="29">
        <v>1</v>
      </c>
      <c r="K1090" s="29" t="s">
        <v>861</v>
      </c>
      <c r="L1090" t="str">
        <f>IFERROR(VLOOKUP(Detalle_OC[[#This Row],[Centro]]&amp;Detalle_OC[[#This Row],[Nro Almacen]],Almacen!A:D,4,FALSE),"")</f>
        <v>Montelima</v>
      </c>
    </row>
    <row r="1091" spans="1:12" x14ac:dyDescent="0.3">
      <c r="A1091" s="29" t="str">
        <f>Detalle_OC[[#This Row],[Centro]]&amp;Detalle_OC[[#This Row],[Nom Almacen]]&amp;Detalle_OC[[#This Row],[Material]]&amp;Detalle_OC[[#This Row],[Pedido]]&amp;Detalle_OC[[#This Row],[Posicion]]</f>
        <v>Agricola del Chira PlantaLa Huaca70108070451157165010</v>
      </c>
      <c r="B1091" t="s">
        <v>26</v>
      </c>
      <c r="C1091" t="s">
        <v>42</v>
      </c>
      <c r="D1091" s="11">
        <v>45646</v>
      </c>
      <c r="E1091" t="s">
        <v>16</v>
      </c>
      <c r="F1091" t="s">
        <v>12</v>
      </c>
      <c r="G1091">
        <v>70108070</v>
      </c>
      <c r="H1091">
        <v>4511571650</v>
      </c>
      <c r="I1091">
        <v>10</v>
      </c>
      <c r="J1091" s="29">
        <v>2</v>
      </c>
      <c r="K1091" s="29" t="s">
        <v>861</v>
      </c>
      <c r="L1091" t="str">
        <f>IFERROR(VLOOKUP(Detalle_OC[[#This Row],[Centro]]&amp;Detalle_OC[[#This Row],[Nro Almacen]],Almacen!A:D,4,FALSE),"")</f>
        <v>La Huaca</v>
      </c>
    </row>
    <row r="1092" spans="1:12" x14ac:dyDescent="0.3">
      <c r="A1092" s="29" t="str">
        <f>Detalle_OC[[#This Row],[Centro]]&amp;Detalle_OC[[#This Row],[Nom Almacen]]&amp;Detalle_OC[[#This Row],[Material]]&amp;Detalle_OC[[#This Row],[Pedido]]&amp;Detalle_OC[[#This Row],[Posicion]]</f>
        <v>Agricola del Chira PlantaMontelima700580015500024881160</v>
      </c>
      <c r="B1092" t="s">
        <v>28</v>
      </c>
      <c r="C1092" t="s">
        <v>52</v>
      </c>
      <c r="D1092" s="11">
        <v>45629</v>
      </c>
      <c r="E1092" t="s">
        <v>16</v>
      </c>
      <c r="F1092" t="s">
        <v>12</v>
      </c>
      <c r="G1092">
        <v>70058001</v>
      </c>
      <c r="H1092">
        <v>5500024881</v>
      </c>
      <c r="I1092">
        <v>160</v>
      </c>
      <c r="J1092" s="29">
        <v>1</v>
      </c>
      <c r="K1092" s="29" t="s">
        <v>861</v>
      </c>
      <c r="L1092" t="str">
        <f>IFERROR(VLOOKUP(Detalle_OC[[#This Row],[Centro]]&amp;Detalle_OC[[#This Row],[Nro Almacen]],Almacen!A:D,4,FALSE),"")</f>
        <v>Montelima</v>
      </c>
    </row>
    <row r="1093" spans="1:12" x14ac:dyDescent="0.3">
      <c r="A1093" s="29" t="str">
        <f>Detalle_OC[[#This Row],[Centro]]&amp;Detalle_OC[[#This Row],[Nom Almacen]]&amp;Detalle_OC[[#This Row],[Material]]&amp;Detalle_OC[[#This Row],[Pedido]]&amp;Detalle_OC[[#This Row],[Posicion]]</f>
        <v>Agricola del Chira PlantaMontelima822674451157149010</v>
      </c>
      <c r="B1093" t="s">
        <v>328</v>
      </c>
      <c r="C1093" t="s">
        <v>24</v>
      </c>
      <c r="D1093" s="11">
        <v>45635</v>
      </c>
      <c r="E1093" t="s">
        <v>16</v>
      </c>
      <c r="F1093" t="s">
        <v>12</v>
      </c>
      <c r="G1093">
        <v>822674</v>
      </c>
      <c r="H1093">
        <v>4511571490</v>
      </c>
      <c r="I1093">
        <v>10</v>
      </c>
      <c r="J1093" s="29">
        <v>1</v>
      </c>
      <c r="K1093" s="29" t="s">
        <v>1160</v>
      </c>
      <c r="L1093" t="str">
        <f>IFERROR(VLOOKUP(Detalle_OC[[#This Row],[Centro]]&amp;Detalle_OC[[#This Row],[Nro Almacen]],Almacen!A:D,4,FALSE),"")</f>
        <v>Montelima</v>
      </c>
    </row>
    <row r="1094" spans="1:12" x14ac:dyDescent="0.3">
      <c r="A1094" s="29" t="str">
        <f>Detalle_OC[[#This Row],[Centro]]&amp;Detalle_OC[[#This Row],[Nom Almacen]]&amp;Detalle_OC[[#This Row],[Material]]&amp;Detalle_OC[[#This Row],[Pedido]]&amp;Detalle_OC[[#This Row],[Posicion]]</f>
        <v>Agricola del Chira PlantaMontelima70060411451157149110</v>
      </c>
      <c r="B1094" t="s">
        <v>263</v>
      </c>
      <c r="C1094" t="s">
        <v>312</v>
      </c>
      <c r="D1094" s="11">
        <v>45639</v>
      </c>
      <c r="E1094" t="s">
        <v>16</v>
      </c>
      <c r="F1094" t="s">
        <v>12</v>
      </c>
      <c r="G1094">
        <v>70060411</v>
      </c>
      <c r="H1094">
        <v>4511571491</v>
      </c>
      <c r="I1094">
        <v>10</v>
      </c>
      <c r="J1094" s="29">
        <v>1</v>
      </c>
      <c r="K1094" s="29" t="s">
        <v>1160</v>
      </c>
      <c r="L1094" t="str">
        <f>IFERROR(VLOOKUP(Detalle_OC[[#This Row],[Centro]]&amp;Detalle_OC[[#This Row],[Nro Almacen]],Almacen!A:D,4,FALSE),"")</f>
        <v>Montelima</v>
      </c>
    </row>
    <row r="1095" spans="1:12" x14ac:dyDescent="0.3">
      <c r="A1095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1095" t="s">
        <v>28</v>
      </c>
      <c r="C1095" t="s">
        <v>84</v>
      </c>
      <c r="D1095" s="11">
        <v>45643</v>
      </c>
      <c r="E1095" t="s">
        <v>16</v>
      </c>
      <c r="F1095" t="s">
        <v>85</v>
      </c>
      <c r="G1095">
        <v>801846</v>
      </c>
      <c r="H1095">
        <v>5500022336</v>
      </c>
      <c r="I1095">
        <v>10</v>
      </c>
      <c r="J1095" s="29">
        <v>1</v>
      </c>
      <c r="K1095" s="29" t="s">
        <v>1160</v>
      </c>
      <c r="L1095" t="str">
        <f>IFERROR(VLOOKUP(Detalle_OC[[#This Row],[Centro]]&amp;Detalle_OC[[#This Row],[Nro Almacen]],Almacen!A:D,4,FALSE),"")</f>
        <v>Montelima</v>
      </c>
    </row>
    <row r="1096" spans="1:12" x14ac:dyDescent="0.3">
      <c r="A1096" s="29" t="str">
        <f>Detalle_OC[[#This Row],[Centro]]&amp;Detalle_OC[[#This Row],[Nom Almacen]]&amp;Detalle_OC[[#This Row],[Material]]&amp;Detalle_OC[[#This Row],[Pedido]]&amp;Detalle_OC[[#This Row],[Posicion]]</f>
        <v>Bioenergía del Chira PlantaMontelima70084357550002468310</v>
      </c>
      <c r="B1096" t="s">
        <v>28</v>
      </c>
      <c r="C1096" t="s">
        <v>84</v>
      </c>
      <c r="D1096" s="11">
        <v>45643</v>
      </c>
      <c r="E1096" t="s">
        <v>16</v>
      </c>
      <c r="F1096" t="s">
        <v>86</v>
      </c>
      <c r="G1096">
        <v>70084357</v>
      </c>
      <c r="H1096">
        <v>5500024683</v>
      </c>
      <c r="I1096">
        <v>10</v>
      </c>
      <c r="J1096" s="29">
        <v>1</v>
      </c>
      <c r="K1096" s="29" t="s">
        <v>1160</v>
      </c>
      <c r="L1096" t="str">
        <f>IFERROR(VLOOKUP(Detalle_OC[[#This Row],[Centro]]&amp;Detalle_OC[[#This Row],[Nro Almacen]],Almacen!A:D,4,FALSE),"")</f>
        <v>Montelima</v>
      </c>
    </row>
    <row r="1097" spans="1:12" x14ac:dyDescent="0.3">
      <c r="A1097" s="29" t="str">
        <f>Detalle_OC[[#This Row],[Centro]]&amp;Detalle_OC[[#This Row],[Nom Almacen]]&amp;Detalle_OC[[#This Row],[Material]]&amp;Detalle_OC[[#This Row],[Pedido]]&amp;Detalle_OC[[#This Row],[Posicion]]</f>
        <v>Bioenergía del Chira PlantaMontelima70084360550002468330</v>
      </c>
      <c r="B1097" t="s">
        <v>28</v>
      </c>
      <c r="C1097" t="s">
        <v>84</v>
      </c>
      <c r="D1097" s="11">
        <v>45643</v>
      </c>
      <c r="E1097" t="s">
        <v>16</v>
      </c>
      <c r="F1097" t="s">
        <v>86</v>
      </c>
      <c r="G1097">
        <v>70084360</v>
      </c>
      <c r="H1097">
        <v>5500024683</v>
      </c>
      <c r="I1097">
        <v>30</v>
      </c>
      <c r="J1097" s="29">
        <v>1</v>
      </c>
      <c r="K1097" s="29" t="s">
        <v>1160</v>
      </c>
      <c r="L1097" t="str">
        <f>IFERROR(VLOOKUP(Detalle_OC[[#This Row],[Centro]]&amp;Detalle_OC[[#This Row],[Nro Almacen]],Almacen!A:D,4,FALSE),"")</f>
        <v>Montelima</v>
      </c>
    </row>
    <row r="1098" spans="1:12" x14ac:dyDescent="0.3">
      <c r="A1098" s="29" t="str">
        <f>Detalle_OC[[#This Row],[Centro]]&amp;Detalle_OC[[#This Row],[Nom Almacen]]&amp;Detalle_OC[[#This Row],[Material]]&amp;Detalle_OC[[#This Row],[Pedido]]&amp;Detalle_OC[[#This Row],[Posicion]]</f>
        <v>Bioenergía del Chira PlantaMontelima70084365550002468350</v>
      </c>
      <c r="B1098" t="s">
        <v>28</v>
      </c>
      <c r="C1098" t="s">
        <v>84</v>
      </c>
      <c r="D1098" s="11">
        <v>45639</v>
      </c>
      <c r="E1098" t="s">
        <v>16</v>
      </c>
      <c r="F1098" t="s">
        <v>86</v>
      </c>
      <c r="G1098">
        <v>70084365</v>
      </c>
      <c r="H1098">
        <v>5500024683</v>
      </c>
      <c r="I1098">
        <v>50</v>
      </c>
      <c r="J1098" s="29">
        <v>1</v>
      </c>
      <c r="K1098" s="29" t="s">
        <v>1160</v>
      </c>
      <c r="L1098" t="str">
        <f>IFERROR(VLOOKUP(Detalle_OC[[#This Row],[Centro]]&amp;Detalle_OC[[#This Row],[Nro Almacen]],Almacen!A:D,4,FALSE),"")</f>
        <v>Montelima</v>
      </c>
    </row>
    <row r="1099" spans="1:12" x14ac:dyDescent="0.3">
      <c r="A1099" s="29" t="str">
        <f>Detalle_OC[[#This Row],[Centro]]&amp;Detalle_OC[[#This Row],[Nom Almacen]]&amp;Detalle_OC[[#This Row],[Material]]&amp;Detalle_OC[[#This Row],[Pedido]]&amp;Detalle_OC[[#This Row],[Posicion]]</f>
        <v>Bioenergía del Chira PlantaMontelima70084367550002468360</v>
      </c>
      <c r="B1099" t="s">
        <v>28</v>
      </c>
      <c r="C1099" t="s">
        <v>84</v>
      </c>
      <c r="D1099" s="11">
        <v>45643</v>
      </c>
      <c r="E1099" t="s">
        <v>16</v>
      </c>
      <c r="F1099" t="s">
        <v>86</v>
      </c>
      <c r="G1099">
        <v>70084367</v>
      </c>
      <c r="H1099">
        <v>5500024683</v>
      </c>
      <c r="I1099">
        <v>60</v>
      </c>
      <c r="J1099" s="29">
        <v>1</v>
      </c>
      <c r="K1099" s="29" t="s">
        <v>1160</v>
      </c>
      <c r="L1099" t="str">
        <f>IFERROR(VLOOKUP(Detalle_OC[[#This Row],[Centro]]&amp;Detalle_OC[[#This Row],[Nro Almacen]],Almacen!A:D,4,FALSE),"")</f>
        <v>Montelima</v>
      </c>
    </row>
    <row r="1100" spans="1:12" x14ac:dyDescent="0.3">
      <c r="A1100" s="29" t="str">
        <f>Detalle_OC[[#This Row],[Centro]]&amp;Detalle_OC[[#This Row],[Nom Almacen]]&amp;Detalle_OC[[#This Row],[Material]]&amp;Detalle_OC[[#This Row],[Pedido]]&amp;Detalle_OC[[#This Row],[Posicion]]</f>
        <v>Sucroalcolera del Chira PlantaMontelima714506451157143610</v>
      </c>
      <c r="B1100" t="s">
        <v>15</v>
      </c>
      <c r="C1100" t="s">
        <v>14</v>
      </c>
      <c r="D1100" s="11">
        <v>45635</v>
      </c>
      <c r="E1100" t="s">
        <v>16</v>
      </c>
      <c r="F1100" t="s">
        <v>85</v>
      </c>
      <c r="G1100">
        <v>714506</v>
      </c>
      <c r="H1100">
        <v>4511571436</v>
      </c>
      <c r="I1100">
        <v>10</v>
      </c>
      <c r="J1100" s="29">
        <v>1</v>
      </c>
      <c r="K1100" s="29" t="s">
        <v>1132</v>
      </c>
      <c r="L1100" t="str">
        <f>IFERROR(VLOOKUP(Detalle_OC[[#This Row],[Centro]]&amp;Detalle_OC[[#This Row],[Nro Almacen]],Almacen!A:D,4,FALSE),"")</f>
        <v>Montelima</v>
      </c>
    </row>
    <row r="1101" spans="1:12" x14ac:dyDescent="0.3">
      <c r="A1101" s="29" t="str">
        <f>Detalle_OC[[#This Row],[Centro]]&amp;Detalle_OC[[#This Row],[Nom Almacen]]&amp;Detalle_OC[[#This Row],[Material]]&amp;Detalle_OC[[#This Row],[Pedido]]&amp;Detalle_OC[[#This Row],[Posicion]]</f>
        <v>Agricola del Chira PlantaMontelima721790451157143910</v>
      </c>
      <c r="B1101" t="s">
        <v>159</v>
      </c>
      <c r="C1101" t="s">
        <v>14</v>
      </c>
      <c r="D1101" s="11">
        <v>45635</v>
      </c>
      <c r="E1101" t="s">
        <v>16</v>
      </c>
      <c r="F1101" t="s">
        <v>12</v>
      </c>
      <c r="G1101">
        <v>721790</v>
      </c>
      <c r="H1101">
        <v>4511571439</v>
      </c>
      <c r="I1101">
        <v>10</v>
      </c>
      <c r="J1101" s="29">
        <v>1</v>
      </c>
      <c r="K1101" s="29" t="s">
        <v>1132</v>
      </c>
      <c r="L1101" t="str">
        <f>IFERROR(VLOOKUP(Detalle_OC[[#This Row],[Centro]]&amp;Detalle_OC[[#This Row],[Nro Almacen]],Almacen!A:D,4,FALSE),"")</f>
        <v>Montelima</v>
      </c>
    </row>
    <row r="1102" spans="1:12" x14ac:dyDescent="0.3">
      <c r="A1102" s="29" t="str">
        <f>Detalle_OC[[#This Row],[Centro]]&amp;Detalle_OC[[#This Row],[Nom Almacen]]&amp;Detalle_OC[[#This Row],[Material]]&amp;Detalle_OC[[#This Row],[Pedido]]&amp;Detalle_OC[[#This Row],[Posicion]]</f>
        <v>Agricola del Chira PlantaMontelima70130506451157144210</v>
      </c>
      <c r="B1102" t="s">
        <v>145</v>
      </c>
      <c r="C1102" t="s">
        <v>44</v>
      </c>
      <c r="D1102" s="11">
        <v>45635</v>
      </c>
      <c r="E1102" t="s">
        <v>16</v>
      </c>
      <c r="F1102" t="s">
        <v>12</v>
      </c>
      <c r="G1102">
        <v>70130506</v>
      </c>
      <c r="H1102">
        <v>4511571442</v>
      </c>
      <c r="I1102">
        <v>10</v>
      </c>
      <c r="J1102" s="29">
        <v>1</v>
      </c>
      <c r="K1102" s="29" t="s">
        <v>1132</v>
      </c>
      <c r="L1102" t="str">
        <f>IFERROR(VLOOKUP(Detalle_OC[[#This Row],[Centro]]&amp;Detalle_OC[[#This Row],[Nro Almacen]],Almacen!A:D,4,FALSE),"")</f>
        <v>Montelima</v>
      </c>
    </row>
    <row r="1103" spans="1:12" x14ac:dyDescent="0.3">
      <c r="A1103" s="29" t="str">
        <f>Detalle_OC[[#This Row],[Centro]]&amp;Detalle_OC[[#This Row],[Nom Almacen]]&amp;Detalle_OC[[#This Row],[Material]]&amp;Detalle_OC[[#This Row],[Pedido]]&amp;Detalle_OC[[#This Row],[Posicion]]</f>
        <v>Agricola del Chira PlantaMontelima70130534451157144220</v>
      </c>
      <c r="B1103" t="s">
        <v>145</v>
      </c>
      <c r="C1103" t="s">
        <v>44</v>
      </c>
      <c r="D1103" s="11">
        <v>45635</v>
      </c>
      <c r="E1103" t="s">
        <v>16</v>
      </c>
      <c r="F1103" t="s">
        <v>12</v>
      </c>
      <c r="G1103">
        <v>70130534</v>
      </c>
      <c r="H1103">
        <v>4511571442</v>
      </c>
      <c r="I1103">
        <v>20</v>
      </c>
      <c r="J1103" s="29">
        <v>1</v>
      </c>
      <c r="K1103" s="29" t="s">
        <v>1132</v>
      </c>
      <c r="L1103" t="str">
        <f>IFERROR(VLOOKUP(Detalle_OC[[#This Row],[Centro]]&amp;Detalle_OC[[#This Row],[Nro Almacen]],Almacen!A:D,4,FALSE),"")</f>
        <v>Montelima</v>
      </c>
    </row>
    <row r="1104" spans="1:12" x14ac:dyDescent="0.3">
      <c r="A1104" s="29" t="str">
        <f>Detalle_OC[[#This Row],[Centro]]&amp;Detalle_OC[[#This Row],[Nom Almacen]]&amp;Detalle_OC[[#This Row],[Material]]&amp;Detalle_OC[[#This Row],[Pedido]]&amp;Detalle_OC[[#This Row],[Posicion]]</f>
        <v>Agricola del Chira PlantaMontelima723461451157145510</v>
      </c>
      <c r="B1104" t="s">
        <v>149</v>
      </c>
      <c r="C1104" t="s">
        <v>137</v>
      </c>
      <c r="D1104" s="11">
        <v>45645</v>
      </c>
      <c r="E1104" t="s">
        <v>16</v>
      </c>
      <c r="F1104" t="s">
        <v>12</v>
      </c>
      <c r="G1104">
        <v>723461</v>
      </c>
      <c r="H1104">
        <v>4511571455</v>
      </c>
      <c r="I1104">
        <v>10</v>
      </c>
      <c r="J1104" s="29">
        <v>1</v>
      </c>
      <c r="K1104" s="29" t="s">
        <v>1132</v>
      </c>
      <c r="L1104" t="str">
        <f>IFERROR(VLOOKUP(Detalle_OC[[#This Row],[Centro]]&amp;Detalle_OC[[#This Row],[Nro Almacen]],Almacen!A:D,4,FALSE),"")</f>
        <v>Montelima</v>
      </c>
    </row>
    <row r="1105" spans="1:12" x14ac:dyDescent="0.3">
      <c r="A1105" s="29" t="str">
        <f>Detalle_OC[[#This Row],[Centro]]&amp;Detalle_OC[[#This Row],[Nom Almacen]]&amp;Detalle_OC[[#This Row],[Material]]&amp;Detalle_OC[[#This Row],[Pedido]]&amp;Detalle_OC[[#This Row],[Posicion]]</f>
        <v>Sucroalcolera del Chira PlantaMontelima301900451157145710</v>
      </c>
      <c r="B1105" t="s">
        <v>175</v>
      </c>
      <c r="C1105" t="s">
        <v>318</v>
      </c>
      <c r="D1105" s="11">
        <v>45632</v>
      </c>
      <c r="E1105" t="s">
        <v>16</v>
      </c>
      <c r="F1105" t="s">
        <v>85</v>
      </c>
      <c r="G1105">
        <v>301900</v>
      </c>
      <c r="H1105">
        <v>4511571457</v>
      </c>
      <c r="I1105">
        <v>10</v>
      </c>
      <c r="J1105" s="29">
        <v>1</v>
      </c>
      <c r="K1105" s="29" t="s">
        <v>1132</v>
      </c>
      <c r="L1105" t="str">
        <f>IFERROR(VLOOKUP(Detalle_OC[[#This Row],[Centro]]&amp;Detalle_OC[[#This Row],[Nro Almacen]],Almacen!A:D,4,FALSE),"")</f>
        <v>Montelima</v>
      </c>
    </row>
    <row r="1106" spans="1:12" x14ac:dyDescent="0.3">
      <c r="A1106" s="29" t="str">
        <f>Detalle_OC[[#This Row],[Centro]]&amp;Detalle_OC[[#This Row],[Nom Almacen]]&amp;Detalle_OC[[#This Row],[Material]]&amp;Detalle_OC[[#This Row],[Pedido]]&amp;Detalle_OC[[#This Row],[Posicion]]</f>
        <v>Sucroalcolera del Chira PlantaMontelima301901451157145720</v>
      </c>
      <c r="B1106" t="s">
        <v>175</v>
      </c>
      <c r="C1106" t="s">
        <v>318</v>
      </c>
      <c r="D1106" s="11">
        <v>45632</v>
      </c>
      <c r="E1106" t="s">
        <v>16</v>
      </c>
      <c r="F1106" t="s">
        <v>85</v>
      </c>
      <c r="G1106">
        <v>301901</v>
      </c>
      <c r="H1106">
        <v>4511571457</v>
      </c>
      <c r="I1106">
        <v>20</v>
      </c>
      <c r="J1106" s="29">
        <v>1</v>
      </c>
      <c r="K1106" s="29" t="s">
        <v>1132</v>
      </c>
      <c r="L1106" t="str">
        <f>IFERROR(VLOOKUP(Detalle_OC[[#This Row],[Centro]]&amp;Detalle_OC[[#This Row],[Nro Almacen]],Almacen!A:D,4,FALSE),"")</f>
        <v>Montelima</v>
      </c>
    </row>
    <row r="1107" spans="1:12" x14ac:dyDescent="0.3">
      <c r="A1107" s="29" t="str">
        <f>Detalle_OC[[#This Row],[Centro]]&amp;Detalle_OC[[#This Row],[Nom Almacen]]&amp;Detalle_OC[[#This Row],[Material]]&amp;Detalle_OC[[#This Row],[Pedido]]&amp;Detalle_OC[[#This Row],[Posicion]]</f>
        <v>Sucroalcolera del Chira PlantaMontelima70027201451157145730</v>
      </c>
      <c r="B1107" t="s">
        <v>175</v>
      </c>
      <c r="C1107" t="s">
        <v>318</v>
      </c>
      <c r="D1107" s="11">
        <v>45632</v>
      </c>
      <c r="E1107" t="s">
        <v>16</v>
      </c>
      <c r="F1107" t="s">
        <v>85</v>
      </c>
      <c r="G1107">
        <v>70027201</v>
      </c>
      <c r="H1107">
        <v>4511571457</v>
      </c>
      <c r="I1107">
        <v>30</v>
      </c>
      <c r="J1107" s="29">
        <v>1</v>
      </c>
      <c r="K1107" s="29" t="s">
        <v>1132</v>
      </c>
      <c r="L1107" t="str">
        <f>IFERROR(VLOOKUP(Detalle_OC[[#This Row],[Centro]]&amp;Detalle_OC[[#This Row],[Nro Almacen]],Almacen!A:D,4,FALSE),"")</f>
        <v>Montelima</v>
      </c>
    </row>
    <row r="1108" spans="1:12" x14ac:dyDescent="0.3">
      <c r="A1108" s="29" t="str">
        <f>Detalle_OC[[#This Row],[Centro]]&amp;Detalle_OC[[#This Row],[Nom Almacen]]&amp;Detalle_OC[[#This Row],[Material]]&amp;Detalle_OC[[#This Row],[Pedido]]&amp;Detalle_OC[[#This Row],[Posicion]]</f>
        <v>Agricola del Chira PlantaAlmacen Lobo827681451157145810</v>
      </c>
      <c r="B1108" t="s">
        <v>149</v>
      </c>
      <c r="C1108" t="s">
        <v>166</v>
      </c>
      <c r="D1108" s="11">
        <v>45637</v>
      </c>
      <c r="E1108" t="s">
        <v>16</v>
      </c>
      <c r="F1108" t="s">
        <v>12</v>
      </c>
      <c r="G1108">
        <v>827681</v>
      </c>
      <c r="H1108">
        <v>4511571458</v>
      </c>
      <c r="I1108">
        <v>10</v>
      </c>
      <c r="J1108" s="29">
        <v>7</v>
      </c>
      <c r="K1108" s="29" t="s">
        <v>1132</v>
      </c>
      <c r="L1108" t="str">
        <f>IFERROR(VLOOKUP(Detalle_OC[[#This Row],[Centro]]&amp;Detalle_OC[[#This Row],[Nro Almacen]],Almacen!A:D,4,FALSE),"")</f>
        <v>Almacen Lobo</v>
      </c>
    </row>
    <row r="1109" spans="1:12" x14ac:dyDescent="0.3">
      <c r="A1109" s="29" t="str">
        <f>Detalle_OC[[#This Row],[Centro]]&amp;Detalle_OC[[#This Row],[Nom Almacen]]&amp;Detalle_OC[[#This Row],[Material]]&amp;Detalle_OC[[#This Row],[Pedido]]&amp;Detalle_OC[[#This Row],[Posicion]]</f>
        <v>Agricola del Chira PlantaMontelima717835451157145910</v>
      </c>
      <c r="B1109" t="s">
        <v>145</v>
      </c>
      <c r="C1109" t="s">
        <v>32</v>
      </c>
      <c r="D1109" s="11">
        <v>45635</v>
      </c>
      <c r="E1109" t="s">
        <v>16</v>
      </c>
      <c r="F1109" t="s">
        <v>12</v>
      </c>
      <c r="G1109">
        <v>717835</v>
      </c>
      <c r="H1109">
        <v>4511571459</v>
      </c>
      <c r="I1109">
        <v>10</v>
      </c>
      <c r="J1109" s="29">
        <v>1</v>
      </c>
      <c r="K1109" s="29" t="s">
        <v>1132</v>
      </c>
      <c r="L1109" t="str">
        <f>IFERROR(VLOOKUP(Detalle_OC[[#This Row],[Centro]]&amp;Detalle_OC[[#This Row],[Nro Almacen]],Almacen!A:D,4,FALSE),"")</f>
        <v>Montelima</v>
      </c>
    </row>
    <row r="1110" spans="1:12" x14ac:dyDescent="0.3">
      <c r="A1110" s="29" t="str">
        <f>Detalle_OC[[#This Row],[Centro]]&amp;Detalle_OC[[#This Row],[Nom Almacen]]&amp;Detalle_OC[[#This Row],[Material]]&amp;Detalle_OC[[#This Row],[Pedido]]&amp;Detalle_OC[[#This Row],[Posicion]]</f>
        <v>Agricola del Chira PlantaMontelima70037590451157145920</v>
      </c>
      <c r="B1110" t="s">
        <v>145</v>
      </c>
      <c r="C1110" t="s">
        <v>32</v>
      </c>
      <c r="D1110" s="11">
        <v>45635</v>
      </c>
      <c r="E1110" t="s">
        <v>16</v>
      </c>
      <c r="F1110" t="s">
        <v>12</v>
      </c>
      <c r="G1110">
        <v>70037590</v>
      </c>
      <c r="H1110">
        <v>4511571459</v>
      </c>
      <c r="I1110">
        <v>20</v>
      </c>
      <c r="J1110" s="29">
        <v>1</v>
      </c>
      <c r="K1110" s="29" t="s">
        <v>1132</v>
      </c>
      <c r="L1110" t="str">
        <f>IFERROR(VLOOKUP(Detalle_OC[[#This Row],[Centro]]&amp;Detalle_OC[[#This Row],[Nro Almacen]],Almacen!A:D,4,FALSE),"")</f>
        <v>Montelima</v>
      </c>
    </row>
    <row r="1111" spans="1:12" x14ac:dyDescent="0.3">
      <c r="A1111" s="29" t="str">
        <f>Detalle_OC[[#This Row],[Centro]]&amp;Detalle_OC[[#This Row],[Nom Almacen]]&amp;Detalle_OC[[#This Row],[Material]]&amp;Detalle_OC[[#This Row],[Pedido]]&amp;Detalle_OC[[#This Row],[Posicion]]</f>
        <v>Agricola del Chira PlantaMontelima70078140451157145930</v>
      </c>
      <c r="B1111" t="s">
        <v>33</v>
      </c>
      <c r="C1111" t="s">
        <v>32</v>
      </c>
      <c r="D1111" s="11">
        <v>45635</v>
      </c>
      <c r="E1111" t="s">
        <v>16</v>
      </c>
      <c r="F1111" t="s">
        <v>12</v>
      </c>
      <c r="G1111">
        <v>70078140</v>
      </c>
      <c r="H1111">
        <v>4511571459</v>
      </c>
      <c r="I1111">
        <v>30</v>
      </c>
      <c r="J1111" s="29">
        <v>1</v>
      </c>
      <c r="K1111" s="29" t="s">
        <v>1132</v>
      </c>
      <c r="L1111" t="str">
        <f>IFERROR(VLOOKUP(Detalle_OC[[#This Row],[Centro]]&amp;Detalle_OC[[#This Row],[Nro Almacen]],Almacen!A:D,4,FALSE),"")</f>
        <v>Montelima</v>
      </c>
    </row>
    <row r="1112" spans="1:12" x14ac:dyDescent="0.3">
      <c r="A1112" s="29" t="str">
        <f>Detalle_OC[[#This Row],[Centro]]&amp;Detalle_OC[[#This Row],[Nom Almacen]]&amp;Detalle_OC[[#This Row],[Material]]&amp;Detalle_OC[[#This Row],[Pedido]]&amp;Detalle_OC[[#This Row],[Posicion]]</f>
        <v>Agricola del Chira PlantaMontelima778701451157146110</v>
      </c>
      <c r="B1112" t="s">
        <v>145</v>
      </c>
      <c r="C1112" t="s">
        <v>22</v>
      </c>
      <c r="D1112" s="11">
        <v>45635</v>
      </c>
      <c r="E1112" t="s">
        <v>16</v>
      </c>
      <c r="F1112" t="s">
        <v>12</v>
      </c>
      <c r="G1112">
        <v>778701</v>
      </c>
      <c r="H1112">
        <v>4511571461</v>
      </c>
      <c r="I1112">
        <v>10</v>
      </c>
      <c r="J1112" s="29">
        <v>1</v>
      </c>
      <c r="K1112" s="29" t="s">
        <v>1132</v>
      </c>
      <c r="L1112" t="str">
        <f>IFERROR(VLOOKUP(Detalle_OC[[#This Row],[Centro]]&amp;Detalle_OC[[#This Row],[Nro Almacen]],Almacen!A:D,4,FALSE),"")</f>
        <v>Montelima</v>
      </c>
    </row>
    <row r="1113" spans="1:12" x14ac:dyDescent="0.3">
      <c r="A1113" s="29" t="str">
        <f>Detalle_OC[[#This Row],[Centro]]&amp;Detalle_OC[[#This Row],[Nom Almacen]]&amp;Detalle_OC[[#This Row],[Material]]&amp;Detalle_OC[[#This Row],[Pedido]]&amp;Detalle_OC[[#This Row],[Posicion]]</f>
        <v>Agricola del Chira PlantaMontelima70076752451157146120</v>
      </c>
      <c r="B1113" t="s">
        <v>33</v>
      </c>
      <c r="C1113" t="s">
        <v>22</v>
      </c>
      <c r="D1113" s="11">
        <v>45635</v>
      </c>
      <c r="E1113" t="s">
        <v>16</v>
      </c>
      <c r="F1113" t="s">
        <v>12</v>
      </c>
      <c r="G1113">
        <v>70076752</v>
      </c>
      <c r="H1113">
        <v>4511571461</v>
      </c>
      <c r="I1113">
        <v>20</v>
      </c>
      <c r="J1113" s="29">
        <v>1</v>
      </c>
      <c r="K1113" s="29" t="s">
        <v>1132</v>
      </c>
      <c r="L1113" t="str">
        <f>IFERROR(VLOOKUP(Detalle_OC[[#This Row],[Centro]]&amp;Detalle_OC[[#This Row],[Nro Almacen]],Almacen!A:D,4,FALSE),"")</f>
        <v>Montelima</v>
      </c>
    </row>
    <row r="1114" spans="1:12" x14ac:dyDescent="0.3">
      <c r="A1114" s="29" t="str">
        <f>Detalle_OC[[#This Row],[Centro]]&amp;Detalle_OC[[#This Row],[Nom Almacen]]&amp;Detalle_OC[[#This Row],[Material]]&amp;Detalle_OC[[#This Row],[Pedido]]&amp;Detalle_OC[[#This Row],[Posicion]]</f>
        <v>Agricola del Chira PlantaMontelima703857451157146130</v>
      </c>
      <c r="B1114" t="s">
        <v>26</v>
      </c>
      <c r="C1114" t="s">
        <v>22</v>
      </c>
      <c r="D1114" s="11">
        <v>45635</v>
      </c>
      <c r="E1114" t="s">
        <v>16</v>
      </c>
      <c r="F1114" t="s">
        <v>12</v>
      </c>
      <c r="G1114">
        <v>703857</v>
      </c>
      <c r="H1114">
        <v>4511571461</v>
      </c>
      <c r="I1114">
        <v>30</v>
      </c>
      <c r="J1114" s="29">
        <v>1</v>
      </c>
      <c r="K1114" s="29" t="s">
        <v>1132</v>
      </c>
      <c r="L1114" t="str">
        <f>IFERROR(VLOOKUP(Detalle_OC[[#This Row],[Centro]]&amp;Detalle_OC[[#This Row],[Nro Almacen]],Almacen!A:D,4,FALSE),"")</f>
        <v>Montelima</v>
      </c>
    </row>
    <row r="1115" spans="1:12" x14ac:dyDescent="0.3">
      <c r="A1115" s="29" t="str">
        <f>Detalle_OC[[#This Row],[Centro]]&amp;Detalle_OC[[#This Row],[Nom Almacen]]&amp;Detalle_OC[[#This Row],[Material]]&amp;Detalle_OC[[#This Row],[Pedido]]&amp;Detalle_OC[[#This Row],[Posicion]]</f>
        <v>Agricola del Chira PlantaLa HuacaCS310420          451157146140</v>
      </c>
      <c r="B1115" t="s">
        <v>15</v>
      </c>
      <c r="C1115" t="s">
        <v>22</v>
      </c>
      <c r="D1115" s="11">
        <v>45635</v>
      </c>
      <c r="E1115" t="s">
        <v>16</v>
      </c>
      <c r="F1115" t="s">
        <v>12</v>
      </c>
      <c r="G1115" t="s">
        <v>203</v>
      </c>
      <c r="H1115">
        <v>4511571461</v>
      </c>
      <c r="I1115">
        <v>40</v>
      </c>
      <c r="J1115" s="29">
        <v>2</v>
      </c>
      <c r="K1115" s="29" t="s">
        <v>1132</v>
      </c>
      <c r="L1115" t="str">
        <f>IFERROR(VLOOKUP(Detalle_OC[[#This Row],[Centro]]&amp;Detalle_OC[[#This Row],[Nro Almacen]],Almacen!A:D,4,FALSE),"")</f>
        <v>La Huaca</v>
      </c>
    </row>
    <row r="1116" spans="1:12" x14ac:dyDescent="0.3">
      <c r="A1116" s="29" t="str">
        <f>Detalle_OC[[#This Row],[Centro]]&amp;Detalle_OC[[#This Row],[Nom Almacen]]&amp;Detalle_OC[[#This Row],[Material]]&amp;Detalle_OC[[#This Row],[Pedido]]&amp;Detalle_OC[[#This Row],[Posicion]]</f>
        <v>Agricola del Chira PlantaLa Huaca70047475451157146150</v>
      </c>
      <c r="B1116" t="s">
        <v>26</v>
      </c>
      <c r="C1116" t="s">
        <v>22</v>
      </c>
      <c r="D1116" s="11">
        <v>45635</v>
      </c>
      <c r="E1116" t="s">
        <v>16</v>
      </c>
      <c r="F1116" t="s">
        <v>12</v>
      </c>
      <c r="G1116">
        <v>70047475</v>
      </c>
      <c r="H1116">
        <v>4511571461</v>
      </c>
      <c r="I1116">
        <v>50</v>
      </c>
      <c r="J1116" s="29">
        <v>2</v>
      </c>
      <c r="K1116" s="29" t="s">
        <v>1132</v>
      </c>
      <c r="L1116" t="str">
        <f>IFERROR(VLOOKUP(Detalle_OC[[#This Row],[Centro]]&amp;Detalle_OC[[#This Row],[Nro Almacen]],Almacen!A:D,4,FALSE),"")</f>
        <v>La Huaca</v>
      </c>
    </row>
    <row r="1117" spans="1:12" x14ac:dyDescent="0.3">
      <c r="A1117" s="29" t="str">
        <f>Detalle_OC[[#This Row],[Centro]]&amp;Detalle_OC[[#This Row],[Nom Almacen]]&amp;Detalle_OC[[#This Row],[Material]]&amp;Detalle_OC[[#This Row],[Pedido]]&amp;Detalle_OC[[#This Row],[Posicion]]</f>
        <v>Agricola del Chira PlantaMontelima814657451157146210</v>
      </c>
      <c r="B1117" t="s">
        <v>149</v>
      </c>
      <c r="C1117" t="s">
        <v>177</v>
      </c>
      <c r="D1117" s="11">
        <v>45635</v>
      </c>
      <c r="E1117" t="s">
        <v>16</v>
      </c>
      <c r="F1117" t="s">
        <v>12</v>
      </c>
      <c r="G1117">
        <v>814657</v>
      </c>
      <c r="H1117">
        <v>4511571462</v>
      </c>
      <c r="I1117">
        <v>10</v>
      </c>
      <c r="J1117" s="29">
        <v>1</v>
      </c>
      <c r="K1117" s="29" t="s">
        <v>1132</v>
      </c>
      <c r="L1117" t="str">
        <f>IFERROR(VLOOKUP(Detalle_OC[[#This Row],[Centro]]&amp;Detalle_OC[[#This Row],[Nro Almacen]],Almacen!A:D,4,FALSE),"")</f>
        <v>Montelima</v>
      </c>
    </row>
    <row r="1118" spans="1:12" x14ac:dyDescent="0.3">
      <c r="A1118" s="29" t="str">
        <f>Detalle_OC[[#This Row],[Centro]]&amp;Detalle_OC[[#This Row],[Nom Almacen]]&amp;Detalle_OC[[#This Row],[Material]]&amp;Detalle_OC[[#This Row],[Pedido]]&amp;Detalle_OC[[#This Row],[Posicion]]</f>
        <v>Agricola del Chira PlantaAlmacen Lobo70014448451157146220</v>
      </c>
      <c r="B1118" t="s">
        <v>33</v>
      </c>
      <c r="C1118" t="s">
        <v>177</v>
      </c>
      <c r="D1118" s="11">
        <v>45635</v>
      </c>
      <c r="E1118" t="s">
        <v>16</v>
      </c>
      <c r="F1118" t="s">
        <v>12</v>
      </c>
      <c r="G1118">
        <v>70014448</v>
      </c>
      <c r="H1118">
        <v>4511571462</v>
      </c>
      <c r="I1118">
        <v>20</v>
      </c>
      <c r="J1118" s="29">
        <v>7</v>
      </c>
      <c r="K1118" s="29" t="s">
        <v>1132</v>
      </c>
      <c r="L1118" t="str">
        <f>IFERROR(VLOOKUP(Detalle_OC[[#This Row],[Centro]]&amp;Detalle_OC[[#This Row],[Nro Almacen]],Almacen!A:D,4,FALSE),"")</f>
        <v>Almacen Lobo</v>
      </c>
    </row>
    <row r="1119" spans="1:12" x14ac:dyDescent="0.3">
      <c r="A1119" s="29" t="str">
        <f>Detalle_OC[[#This Row],[Centro]]&amp;Detalle_OC[[#This Row],[Nom Almacen]]&amp;Detalle_OC[[#This Row],[Material]]&amp;Detalle_OC[[#This Row],[Pedido]]&amp;Detalle_OC[[#This Row],[Posicion]]</f>
        <v>Agricola del Chira PlantaMontelima70112941451157146230</v>
      </c>
      <c r="B1119" t="s">
        <v>33</v>
      </c>
      <c r="C1119" t="s">
        <v>177</v>
      </c>
      <c r="D1119" s="11">
        <v>45635</v>
      </c>
      <c r="E1119" t="s">
        <v>16</v>
      </c>
      <c r="F1119" t="s">
        <v>12</v>
      </c>
      <c r="G1119">
        <v>70112941</v>
      </c>
      <c r="H1119">
        <v>4511571462</v>
      </c>
      <c r="I1119">
        <v>30</v>
      </c>
      <c r="J1119" s="29">
        <v>1</v>
      </c>
      <c r="K1119" s="29" t="s">
        <v>1132</v>
      </c>
      <c r="L1119" t="str">
        <f>IFERROR(VLOOKUP(Detalle_OC[[#This Row],[Centro]]&amp;Detalle_OC[[#This Row],[Nro Almacen]],Almacen!A:D,4,FALSE),"")</f>
        <v>Montelima</v>
      </c>
    </row>
    <row r="1120" spans="1:12" x14ac:dyDescent="0.3">
      <c r="A1120" s="29" t="str">
        <f>Detalle_OC[[#This Row],[Centro]]&amp;Detalle_OC[[#This Row],[Nom Almacen]]&amp;Detalle_OC[[#This Row],[Material]]&amp;Detalle_OC[[#This Row],[Pedido]]&amp;Detalle_OC[[#This Row],[Posicion]]</f>
        <v>Agricola del Chira PlantaAlmacen Lobo70086240451157146410</v>
      </c>
      <c r="B1120" t="s">
        <v>33</v>
      </c>
      <c r="C1120" t="s">
        <v>143</v>
      </c>
      <c r="D1120" s="11">
        <v>45639</v>
      </c>
      <c r="E1120" t="s">
        <v>16</v>
      </c>
      <c r="F1120" t="s">
        <v>12</v>
      </c>
      <c r="G1120">
        <v>70086240</v>
      </c>
      <c r="H1120">
        <v>4511571464</v>
      </c>
      <c r="I1120">
        <v>10</v>
      </c>
      <c r="J1120" s="29">
        <v>7</v>
      </c>
      <c r="K1120" s="29" t="s">
        <v>1132</v>
      </c>
      <c r="L1120" t="str">
        <f>IFERROR(VLOOKUP(Detalle_OC[[#This Row],[Centro]]&amp;Detalle_OC[[#This Row],[Nro Almacen]],Almacen!A:D,4,FALSE),"")</f>
        <v>Almacen Lobo</v>
      </c>
    </row>
    <row r="1121" spans="1:12" x14ac:dyDescent="0.3">
      <c r="A1121" s="29" t="str">
        <f>Detalle_OC[[#This Row],[Centro]]&amp;Detalle_OC[[#This Row],[Nom Almacen]]&amp;Detalle_OC[[#This Row],[Material]]&amp;Detalle_OC[[#This Row],[Pedido]]&amp;Detalle_OC[[#This Row],[Posicion]]</f>
        <v>Agricola del Chira PlantaMontelima70086240451157146420</v>
      </c>
      <c r="B1121" t="s">
        <v>33</v>
      </c>
      <c r="C1121" t="s">
        <v>143</v>
      </c>
      <c r="D1121" s="11">
        <v>45639</v>
      </c>
      <c r="E1121" t="s">
        <v>16</v>
      </c>
      <c r="F1121" t="s">
        <v>12</v>
      </c>
      <c r="G1121">
        <v>70086240</v>
      </c>
      <c r="H1121">
        <v>4511571464</v>
      </c>
      <c r="I1121">
        <v>20</v>
      </c>
      <c r="J1121" s="29">
        <v>1</v>
      </c>
      <c r="K1121" s="29" t="s">
        <v>1132</v>
      </c>
      <c r="L1121" t="str">
        <f>IFERROR(VLOOKUP(Detalle_OC[[#This Row],[Centro]]&amp;Detalle_OC[[#This Row],[Nro Almacen]],Almacen!A:D,4,FALSE),"")</f>
        <v>Montelima</v>
      </c>
    </row>
    <row r="1122" spans="1:12" x14ac:dyDescent="0.3">
      <c r="A1122" s="29" t="str">
        <f>Detalle_OC[[#This Row],[Centro]]&amp;Detalle_OC[[#This Row],[Nom Almacen]]&amp;Detalle_OC[[#This Row],[Material]]&amp;Detalle_OC[[#This Row],[Pedido]]&amp;Detalle_OC[[#This Row],[Posicion]]</f>
        <v>Agricola del Chira PlantaMontelima721551451157146510</v>
      </c>
      <c r="B1122" t="s">
        <v>149</v>
      </c>
      <c r="C1122" t="s">
        <v>272</v>
      </c>
      <c r="D1122" s="11">
        <v>45630</v>
      </c>
      <c r="E1122" t="s">
        <v>16</v>
      </c>
      <c r="F1122" t="s">
        <v>12</v>
      </c>
      <c r="G1122">
        <v>721551</v>
      </c>
      <c r="H1122">
        <v>4511571465</v>
      </c>
      <c r="I1122">
        <v>10</v>
      </c>
      <c r="J1122" s="29">
        <v>1</v>
      </c>
      <c r="K1122" s="29" t="s">
        <v>1132</v>
      </c>
      <c r="L1122" t="str">
        <f>IFERROR(VLOOKUP(Detalle_OC[[#This Row],[Centro]]&amp;Detalle_OC[[#This Row],[Nro Almacen]],Almacen!A:D,4,FALSE),"")</f>
        <v>Montelima</v>
      </c>
    </row>
    <row r="1123" spans="1:12" x14ac:dyDescent="0.3">
      <c r="A1123" s="29" t="str">
        <f>Detalle_OC[[#This Row],[Centro]]&amp;Detalle_OC[[#This Row],[Nom Almacen]]&amp;Detalle_OC[[#This Row],[Material]]&amp;Detalle_OC[[#This Row],[Pedido]]&amp;Detalle_OC[[#This Row],[Posicion]]</f>
        <v>Agricola del Chira PlantaMontelima871693451157146520</v>
      </c>
      <c r="B1123" t="s">
        <v>188</v>
      </c>
      <c r="C1123" t="s">
        <v>272</v>
      </c>
      <c r="D1123" s="11">
        <v>45635</v>
      </c>
      <c r="E1123" t="s">
        <v>16</v>
      </c>
      <c r="F1123" t="s">
        <v>12</v>
      </c>
      <c r="G1123">
        <v>871693</v>
      </c>
      <c r="H1123">
        <v>4511571465</v>
      </c>
      <c r="I1123">
        <v>20</v>
      </c>
      <c r="J1123" s="29">
        <v>1</v>
      </c>
      <c r="K1123" s="29" t="s">
        <v>1132</v>
      </c>
      <c r="L1123" t="str">
        <f>IFERROR(VLOOKUP(Detalle_OC[[#This Row],[Centro]]&amp;Detalle_OC[[#This Row],[Nro Almacen]],Almacen!A:D,4,FALSE),"")</f>
        <v>Montelima</v>
      </c>
    </row>
    <row r="1124" spans="1:12" x14ac:dyDescent="0.3">
      <c r="A1124" s="29" t="str">
        <f>Detalle_OC[[#This Row],[Centro]]&amp;Detalle_OC[[#This Row],[Nom Almacen]]&amp;Detalle_OC[[#This Row],[Material]]&amp;Detalle_OC[[#This Row],[Pedido]]&amp;Detalle_OC[[#This Row],[Posicion]]</f>
        <v>Agricola del Chira PlantaLa Huaca724696451157146530</v>
      </c>
      <c r="B1124" t="s">
        <v>26</v>
      </c>
      <c r="C1124" t="s">
        <v>272</v>
      </c>
      <c r="D1124" s="11">
        <v>45630</v>
      </c>
      <c r="E1124" t="s">
        <v>16</v>
      </c>
      <c r="F1124" t="s">
        <v>12</v>
      </c>
      <c r="G1124">
        <v>724696</v>
      </c>
      <c r="H1124">
        <v>4511571465</v>
      </c>
      <c r="I1124">
        <v>30</v>
      </c>
      <c r="J1124" s="29">
        <v>2</v>
      </c>
      <c r="K1124" s="29" t="s">
        <v>1132</v>
      </c>
      <c r="L1124" t="str">
        <f>IFERROR(VLOOKUP(Detalle_OC[[#This Row],[Centro]]&amp;Detalle_OC[[#This Row],[Nro Almacen]],Almacen!A:D,4,FALSE),"")</f>
        <v>La Huaca</v>
      </c>
    </row>
    <row r="1125" spans="1:12" x14ac:dyDescent="0.3">
      <c r="A1125" s="29" t="str">
        <f>Detalle_OC[[#This Row],[Centro]]&amp;Detalle_OC[[#This Row],[Nom Almacen]]&amp;Detalle_OC[[#This Row],[Material]]&amp;Detalle_OC[[#This Row],[Pedido]]&amp;Detalle_OC[[#This Row],[Posicion]]</f>
        <v>Agricola del Chira PlantaLa Huaca724828451157146540</v>
      </c>
      <c r="B1125" t="s">
        <v>26</v>
      </c>
      <c r="C1125" t="s">
        <v>272</v>
      </c>
      <c r="D1125" s="11">
        <v>45630</v>
      </c>
      <c r="E1125" t="s">
        <v>16</v>
      </c>
      <c r="F1125" t="s">
        <v>12</v>
      </c>
      <c r="G1125">
        <v>724828</v>
      </c>
      <c r="H1125">
        <v>4511571465</v>
      </c>
      <c r="I1125">
        <v>40</v>
      </c>
      <c r="J1125" s="29">
        <v>2</v>
      </c>
      <c r="K1125" s="29" t="s">
        <v>1132</v>
      </c>
      <c r="L1125" t="str">
        <f>IFERROR(VLOOKUP(Detalle_OC[[#This Row],[Centro]]&amp;Detalle_OC[[#This Row],[Nro Almacen]],Almacen!A:D,4,FALSE),"")</f>
        <v>La Huaca</v>
      </c>
    </row>
    <row r="1126" spans="1:12" x14ac:dyDescent="0.3">
      <c r="A1126" s="29" t="str">
        <f>Detalle_OC[[#This Row],[Centro]]&amp;Detalle_OC[[#This Row],[Nom Almacen]]&amp;Detalle_OC[[#This Row],[Material]]&amp;Detalle_OC[[#This Row],[Pedido]]&amp;Detalle_OC[[#This Row],[Posicion]]</f>
        <v>Agricola del Chira PlantaAlmacen Lobo724696451157146560</v>
      </c>
      <c r="B1126" t="s">
        <v>26</v>
      </c>
      <c r="C1126" t="s">
        <v>272</v>
      </c>
      <c r="D1126" s="11">
        <v>45630</v>
      </c>
      <c r="E1126" t="s">
        <v>16</v>
      </c>
      <c r="F1126" t="s">
        <v>12</v>
      </c>
      <c r="G1126">
        <v>724696</v>
      </c>
      <c r="H1126">
        <v>4511571465</v>
      </c>
      <c r="I1126">
        <v>60</v>
      </c>
      <c r="J1126" s="29">
        <v>7</v>
      </c>
      <c r="K1126" s="29" t="s">
        <v>1132</v>
      </c>
      <c r="L1126" t="str">
        <f>IFERROR(VLOOKUP(Detalle_OC[[#This Row],[Centro]]&amp;Detalle_OC[[#This Row],[Nro Almacen]],Almacen!A:D,4,FALSE),"")</f>
        <v>Almacen Lobo</v>
      </c>
    </row>
    <row r="1127" spans="1:12" x14ac:dyDescent="0.3">
      <c r="A1127" s="29" t="str">
        <f>Detalle_OC[[#This Row],[Centro]]&amp;Detalle_OC[[#This Row],[Nom Almacen]]&amp;Detalle_OC[[#This Row],[Material]]&amp;Detalle_OC[[#This Row],[Pedido]]&amp;Detalle_OC[[#This Row],[Posicion]]</f>
        <v>Agricola del Chira PlantaAlmacen Lobo724828451157146570</v>
      </c>
      <c r="B1127" t="s">
        <v>26</v>
      </c>
      <c r="C1127" t="s">
        <v>272</v>
      </c>
      <c r="D1127" s="11">
        <v>45630</v>
      </c>
      <c r="E1127" t="s">
        <v>16</v>
      </c>
      <c r="F1127" t="s">
        <v>12</v>
      </c>
      <c r="G1127">
        <v>724828</v>
      </c>
      <c r="H1127">
        <v>4511571465</v>
      </c>
      <c r="I1127">
        <v>70</v>
      </c>
      <c r="J1127" s="29">
        <v>7</v>
      </c>
      <c r="K1127" s="29" t="s">
        <v>1132</v>
      </c>
      <c r="L1127" t="str">
        <f>IFERROR(VLOOKUP(Detalle_OC[[#This Row],[Centro]]&amp;Detalle_OC[[#This Row],[Nro Almacen]],Almacen!A:D,4,FALSE),"")</f>
        <v>Almacen Lobo</v>
      </c>
    </row>
    <row r="1128" spans="1:12" x14ac:dyDescent="0.3">
      <c r="A1128" s="29" t="str">
        <f>Detalle_OC[[#This Row],[Centro]]&amp;Detalle_OC[[#This Row],[Nom Almacen]]&amp;Detalle_OC[[#This Row],[Material]]&amp;Detalle_OC[[#This Row],[Pedido]]&amp;Detalle_OC[[#This Row],[Posicion]]</f>
        <v>Agricola del Chira PlantaLa Huaca724696451157146610</v>
      </c>
      <c r="B1128" t="s">
        <v>26</v>
      </c>
      <c r="C1128" t="s">
        <v>272</v>
      </c>
      <c r="D1128" s="11">
        <v>45632</v>
      </c>
      <c r="E1128" t="s">
        <v>16</v>
      </c>
      <c r="F1128" t="s">
        <v>12</v>
      </c>
      <c r="G1128">
        <v>724696</v>
      </c>
      <c r="H1128">
        <v>4511571466</v>
      </c>
      <c r="I1128">
        <v>10</v>
      </c>
      <c r="J1128" s="29">
        <v>2</v>
      </c>
      <c r="K1128" s="29" t="s">
        <v>1132</v>
      </c>
      <c r="L1128" t="str">
        <f>IFERROR(VLOOKUP(Detalle_OC[[#This Row],[Centro]]&amp;Detalle_OC[[#This Row],[Nro Almacen]],Almacen!A:D,4,FALSE),"")</f>
        <v>La Huaca</v>
      </c>
    </row>
    <row r="1129" spans="1:12" x14ac:dyDescent="0.3">
      <c r="A1129" s="29" t="str">
        <f>Detalle_OC[[#This Row],[Centro]]&amp;Detalle_OC[[#This Row],[Nom Almacen]]&amp;Detalle_OC[[#This Row],[Material]]&amp;Detalle_OC[[#This Row],[Pedido]]&amp;Detalle_OC[[#This Row],[Posicion]]</f>
        <v>Agricola del Chira PlantaAlmacen Lobo724696451157146620</v>
      </c>
      <c r="B1129" t="s">
        <v>26</v>
      </c>
      <c r="C1129" t="s">
        <v>272</v>
      </c>
      <c r="D1129" s="11">
        <v>45632</v>
      </c>
      <c r="E1129" t="s">
        <v>16</v>
      </c>
      <c r="F1129" t="s">
        <v>12</v>
      </c>
      <c r="G1129">
        <v>724696</v>
      </c>
      <c r="H1129">
        <v>4511571466</v>
      </c>
      <c r="I1129">
        <v>20</v>
      </c>
      <c r="J1129" s="29">
        <v>7</v>
      </c>
      <c r="K1129" s="29" t="s">
        <v>1132</v>
      </c>
      <c r="L1129" t="str">
        <f>IFERROR(VLOOKUP(Detalle_OC[[#This Row],[Centro]]&amp;Detalle_OC[[#This Row],[Nro Almacen]],Almacen!A:D,4,FALSE),"")</f>
        <v>Almacen Lobo</v>
      </c>
    </row>
    <row r="1130" spans="1:12" x14ac:dyDescent="0.3">
      <c r="A1130" s="29" t="str">
        <f>Detalle_OC[[#This Row],[Centro]]&amp;Detalle_OC[[#This Row],[Nom Almacen]]&amp;Detalle_OC[[#This Row],[Material]]&amp;Detalle_OC[[#This Row],[Pedido]]&amp;Detalle_OC[[#This Row],[Posicion]]</f>
        <v>Agricola del Chira PlantaMontelima752729451157146630</v>
      </c>
      <c r="B1130" t="s">
        <v>15</v>
      </c>
      <c r="C1130" t="s">
        <v>272</v>
      </c>
      <c r="D1130" s="11">
        <v>45632</v>
      </c>
      <c r="E1130" t="s">
        <v>16</v>
      </c>
      <c r="F1130" t="s">
        <v>12</v>
      </c>
      <c r="G1130">
        <v>752729</v>
      </c>
      <c r="H1130">
        <v>4511571466</v>
      </c>
      <c r="I1130">
        <v>30</v>
      </c>
      <c r="J1130" s="29">
        <v>1</v>
      </c>
      <c r="K1130" s="29" t="s">
        <v>1132</v>
      </c>
      <c r="L1130" t="str">
        <f>IFERROR(VLOOKUP(Detalle_OC[[#This Row],[Centro]]&amp;Detalle_OC[[#This Row],[Nro Almacen]],Almacen!A:D,4,FALSE),"")</f>
        <v>Montelima</v>
      </c>
    </row>
    <row r="1131" spans="1:12" x14ac:dyDescent="0.3">
      <c r="A1131" s="29" t="str">
        <f>Detalle_OC[[#This Row],[Centro]]&amp;Detalle_OC[[#This Row],[Nom Almacen]]&amp;Detalle_OC[[#This Row],[Material]]&amp;Detalle_OC[[#This Row],[Pedido]]&amp;Detalle_OC[[#This Row],[Posicion]]</f>
        <v>Agricola del Chira PlantaAlmacen Lobo752729451157146640</v>
      </c>
      <c r="B1131" t="s">
        <v>15</v>
      </c>
      <c r="C1131" t="s">
        <v>272</v>
      </c>
      <c r="D1131" s="11">
        <v>45632</v>
      </c>
      <c r="E1131" t="s">
        <v>16</v>
      </c>
      <c r="F1131" t="s">
        <v>12</v>
      </c>
      <c r="G1131">
        <v>752729</v>
      </c>
      <c r="H1131">
        <v>4511571466</v>
      </c>
      <c r="I1131">
        <v>40</v>
      </c>
      <c r="J1131" s="29">
        <v>7</v>
      </c>
      <c r="K1131" s="29" t="s">
        <v>1132</v>
      </c>
      <c r="L1131" t="str">
        <f>IFERROR(VLOOKUP(Detalle_OC[[#This Row],[Centro]]&amp;Detalle_OC[[#This Row],[Nro Almacen]],Almacen!A:D,4,FALSE),"")</f>
        <v>Almacen Lobo</v>
      </c>
    </row>
    <row r="1132" spans="1:12" x14ac:dyDescent="0.3">
      <c r="A1132" s="29" t="str">
        <f>Detalle_OC[[#This Row],[Centro]]&amp;Detalle_OC[[#This Row],[Nom Almacen]]&amp;Detalle_OC[[#This Row],[Material]]&amp;Detalle_OC[[#This Row],[Pedido]]&amp;Detalle_OC[[#This Row],[Posicion]]</f>
        <v>Agricola del Chira PlantaAlmacen Lobo724696451157146650</v>
      </c>
      <c r="B1132" t="s">
        <v>26</v>
      </c>
      <c r="C1132" t="s">
        <v>272</v>
      </c>
      <c r="D1132" s="11">
        <v>45632</v>
      </c>
      <c r="E1132" t="s">
        <v>16</v>
      </c>
      <c r="F1132" t="s">
        <v>12</v>
      </c>
      <c r="G1132">
        <v>724696</v>
      </c>
      <c r="H1132">
        <v>4511571466</v>
      </c>
      <c r="I1132">
        <v>50</v>
      </c>
      <c r="J1132" s="29">
        <v>7</v>
      </c>
      <c r="K1132" s="29" t="s">
        <v>1132</v>
      </c>
      <c r="L1132" t="str">
        <f>IFERROR(VLOOKUP(Detalle_OC[[#This Row],[Centro]]&amp;Detalle_OC[[#This Row],[Nro Almacen]],Almacen!A:D,4,FALSE),"")</f>
        <v>Almacen Lobo</v>
      </c>
    </row>
    <row r="1133" spans="1:12" x14ac:dyDescent="0.3">
      <c r="A1133" s="29" t="str">
        <f>Detalle_OC[[#This Row],[Centro]]&amp;Detalle_OC[[#This Row],[Nom Almacen]]&amp;Detalle_OC[[#This Row],[Material]]&amp;Detalle_OC[[#This Row],[Pedido]]&amp;Detalle_OC[[#This Row],[Posicion]]</f>
        <v>Agricola del Chira PlantaMontelima871437451157146710</v>
      </c>
      <c r="B1133" t="s">
        <v>329</v>
      </c>
      <c r="C1133" t="s">
        <v>272</v>
      </c>
      <c r="D1133" s="11">
        <v>45632</v>
      </c>
      <c r="E1133" t="s">
        <v>16</v>
      </c>
      <c r="F1133" t="s">
        <v>12</v>
      </c>
      <c r="G1133">
        <v>871437</v>
      </c>
      <c r="H1133">
        <v>4511571467</v>
      </c>
      <c r="I1133">
        <v>10</v>
      </c>
      <c r="J1133" s="29">
        <v>1</v>
      </c>
      <c r="K1133" s="29" t="s">
        <v>1132</v>
      </c>
      <c r="L1133" t="str">
        <f>IFERROR(VLOOKUP(Detalle_OC[[#This Row],[Centro]]&amp;Detalle_OC[[#This Row],[Nro Almacen]],Almacen!A:D,4,FALSE),"")</f>
        <v>Montelima</v>
      </c>
    </row>
    <row r="1134" spans="1:12" x14ac:dyDescent="0.3">
      <c r="A1134" s="29" t="str">
        <f>Detalle_OC[[#This Row],[Centro]]&amp;Detalle_OC[[#This Row],[Nom Almacen]]&amp;Detalle_OC[[#This Row],[Material]]&amp;Detalle_OC[[#This Row],[Pedido]]&amp;Detalle_OC[[#This Row],[Posicion]]</f>
        <v>Sucroalcolera del Chira PlantaMontelima871437451157146820</v>
      </c>
      <c r="B1134" t="s">
        <v>202</v>
      </c>
      <c r="C1134" t="s">
        <v>272</v>
      </c>
      <c r="D1134" s="11">
        <v>45632</v>
      </c>
      <c r="E1134" t="s">
        <v>16</v>
      </c>
      <c r="F1134" t="s">
        <v>85</v>
      </c>
      <c r="G1134">
        <v>871437</v>
      </c>
      <c r="H1134">
        <v>4511571468</v>
      </c>
      <c r="I1134">
        <v>20</v>
      </c>
      <c r="J1134" s="29">
        <v>1</v>
      </c>
      <c r="K1134" s="29" t="s">
        <v>1132</v>
      </c>
      <c r="L1134" t="str">
        <f>IFERROR(VLOOKUP(Detalle_OC[[#This Row],[Centro]]&amp;Detalle_OC[[#This Row],[Nro Almacen]],Almacen!A:D,4,FALSE),"")</f>
        <v>Montelima</v>
      </c>
    </row>
    <row r="1135" spans="1:12" x14ac:dyDescent="0.3">
      <c r="A1135" s="29" t="str">
        <f>Detalle_OC[[#This Row],[Centro]]&amp;Detalle_OC[[#This Row],[Nom Almacen]]&amp;Detalle_OC[[#This Row],[Material]]&amp;Detalle_OC[[#This Row],[Pedido]]&amp;Detalle_OC[[#This Row],[Posicion]]</f>
        <v>Agricola del Chira PlantaMontelima724696451157146910</v>
      </c>
      <c r="B1135" t="s">
        <v>26</v>
      </c>
      <c r="C1135" t="s">
        <v>272</v>
      </c>
      <c r="D1135" s="11">
        <v>45632</v>
      </c>
      <c r="E1135" t="s">
        <v>16</v>
      </c>
      <c r="F1135" t="s">
        <v>12</v>
      </c>
      <c r="G1135">
        <v>724696</v>
      </c>
      <c r="H1135">
        <v>4511571469</v>
      </c>
      <c r="I1135">
        <v>10</v>
      </c>
      <c r="J1135" s="29">
        <v>1</v>
      </c>
      <c r="K1135" s="29" t="s">
        <v>1132</v>
      </c>
      <c r="L1135" t="str">
        <f>IFERROR(VLOOKUP(Detalle_OC[[#This Row],[Centro]]&amp;Detalle_OC[[#This Row],[Nro Almacen]],Almacen!A:D,4,FALSE),"")</f>
        <v>Montelima</v>
      </c>
    </row>
    <row r="1136" spans="1:12" x14ac:dyDescent="0.3">
      <c r="A1136" s="29" t="str">
        <f>Detalle_OC[[#This Row],[Centro]]&amp;Detalle_OC[[#This Row],[Nom Almacen]]&amp;Detalle_OC[[#This Row],[Material]]&amp;Detalle_OC[[#This Row],[Pedido]]&amp;Detalle_OC[[#This Row],[Posicion]]</f>
        <v>Agricola del Chira PlantaSan Vicente752729451157146920</v>
      </c>
      <c r="B1136" t="s">
        <v>15</v>
      </c>
      <c r="C1136" t="s">
        <v>272</v>
      </c>
      <c r="D1136" s="11">
        <v>45635</v>
      </c>
      <c r="E1136" t="s">
        <v>16</v>
      </c>
      <c r="F1136" t="s">
        <v>12</v>
      </c>
      <c r="G1136">
        <v>752729</v>
      </c>
      <c r="H1136">
        <v>4511571469</v>
      </c>
      <c r="I1136">
        <v>20</v>
      </c>
      <c r="J1136" s="29">
        <v>3</v>
      </c>
      <c r="K1136" s="29" t="s">
        <v>1132</v>
      </c>
      <c r="L1136" t="str">
        <f>IFERROR(VLOOKUP(Detalle_OC[[#This Row],[Centro]]&amp;Detalle_OC[[#This Row],[Nro Almacen]],Almacen!A:D,4,FALSE),"")</f>
        <v>San Vicente</v>
      </c>
    </row>
    <row r="1137" spans="1:12" x14ac:dyDescent="0.3">
      <c r="A1137" s="29" t="str">
        <f>Detalle_OC[[#This Row],[Centro]]&amp;Detalle_OC[[#This Row],[Nom Almacen]]&amp;Detalle_OC[[#This Row],[Material]]&amp;Detalle_OC[[#This Row],[Pedido]]&amp;Detalle_OC[[#This Row],[Posicion]]</f>
        <v>Bioenergía del Chira PlantaMontelima70075456451157147010</v>
      </c>
      <c r="B1137" t="s">
        <v>182</v>
      </c>
      <c r="C1137" t="s">
        <v>197</v>
      </c>
      <c r="D1137" s="11">
        <v>45632</v>
      </c>
      <c r="E1137" t="s">
        <v>16</v>
      </c>
      <c r="F1137" t="s">
        <v>86</v>
      </c>
      <c r="G1137">
        <v>70075456</v>
      </c>
      <c r="H1137">
        <v>4511571470</v>
      </c>
      <c r="I1137">
        <v>10</v>
      </c>
      <c r="J1137" s="29">
        <v>1</v>
      </c>
      <c r="K1137" s="29" t="s">
        <v>1132</v>
      </c>
      <c r="L1137" t="str">
        <f>IFERROR(VLOOKUP(Detalle_OC[[#This Row],[Centro]]&amp;Detalle_OC[[#This Row],[Nro Almacen]],Almacen!A:D,4,FALSE),"")</f>
        <v>Montelima</v>
      </c>
    </row>
    <row r="1138" spans="1:12" x14ac:dyDescent="0.3">
      <c r="A1138" s="29" t="str">
        <f>Detalle_OC[[#This Row],[Centro]]&amp;Detalle_OC[[#This Row],[Nom Almacen]]&amp;Detalle_OC[[#This Row],[Material]]&amp;Detalle_OC[[#This Row],[Pedido]]&amp;Detalle_OC[[#This Row],[Posicion]]</f>
        <v>Agricola del Chira PlantaAlmacen Lobo70028472451157147110</v>
      </c>
      <c r="B1138" t="s">
        <v>149</v>
      </c>
      <c r="C1138" t="s">
        <v>262</v>
      </c>
      <c r="D1138" s="11">
        <v>45644</v>
      </c>
      <c r="E1138" t="s">
        <v>16</v>
      </c>
      <c r="F1138" t="s">
        <v>12</v>
      </c>
      <c r="G1138">
        <v>70028472</v>
      </c>
      <c r="H1138">
        <v>4511571471</v>
      </c>
      <c r="I1138">
        <v>10</v>
      </c>
      <c r="J1138" s="29">
        <v>7</v>
      </c>
      <c r="K1138" s="29" t="s">
        <v>1132</v>
      </c>
      <c r="L1138" t="str">
        <f>IFERROR(VLOOKUP(Detalle_OC[[#This Row],[Centro]]&amp;Detalle_OC[[#This Row],[Nro Almacen]],Almacen!A:D,4,FALSE),"")</f>
        <v>Almacen Lobo</v>
      </c>
    </row>
    <row r="1139" spans="1:12" x14ac:dyDescent="0.3">
      <c r="A1139" s="29" t="str">
        <f>Detalle_OC[[#This Row],[Centro]]&amp;Detalle_OC[[#This Row],[Nom Almacen]]&amp;Detalle_OC[[#This Row],[Material]]&amp;Detalle_OC[[#This Row],[Pedido]]&amp;Detalle_OC[[#This Row],[Posicion]]</f>
        <v>Sucroalcolera del Chira PlantaMontelima849432451157147310</v>
      </c>
      <c r="B1139" t="s">
        <v>138</v>
      </c>
      <c r="C1139" t="s">
        <v>168</v>
      </c>
      <c r="D1139" s="11">
        <v>45644</v>
      </c>
      <c r="E1139" t="s">
        <v>16</v>
      </c>
      <c r="F1139" t="s">
        <v>85</v>
      </c>
      <c r="G1139">
        <v>849432</v>
      </c>
      <c r="H1139">
        <v>4511571473</v>
      </c>
      <c r="I1139">
        <v>10</v>
      </c>
      <c r="J1139" s="29">
        <v>1</v>
      </c>
      <c r="K1139" s="29" t="s">
        <v>1132</v>
      </c>
      <c r="L1139" t="str">
        <f>IFERROR(VLOOKUP(Detalle_OC[[#This Row],[Centro]]&amp;Detalle_OC[[#This Row],[Nro Almacen]],Almacen!A:D,4,FALSE),"")</f>
        <v>Montelima</v>
      </c>
    </row>
    <row r="1140" spans="1:12" x14ac:dyDescent="0.3">
      <c r="A1140" s="29" t="str">
        <f>Detalle_OC[[#This Row],[Centro]]&amp;Detalle_OC[[#This Row],[Nom Almacen]]&amp;Detalle_OC[[#This Row],[Material]]&amp;Detalle_OC[[#This Row],[Pedido]]&amp;Detalle_OC[[#This Row],[Posicion]]</f>
        <v>Sucroalcolera del Chira PlantaMontelima70071059451157147320</v>
      </c>
      <c r="B1140" t="s">
        <v>138</v>
      </c>
      <c r="C1140" t="s">
        <v>168</v>
      </c>
      <c r="D1140" s="11">
        <v>45644</v>
      </c>
      <c r="E1140" t="s">
        <v>16</v>
      </c>
      <c r="F1140" t="s">
        <v>85</v>
      </c>
      <c r="G1140">
        <v>70071059</v>
      </c>
      <c r="H1140">
        <v>4511571473</v>
      </c>
      <c r="I1140">
        <v>20</v>
      </c>
      <c r="J1140" s="29">
        <v>1</v>
      </c>
      <c r="K1140" s="29" t="s">
        <v>1132</v>
      </c>
      <c r="L1140" t="str">
        <f>IFERROR(VLOOKUP(Detalle_OC[[#This Row],[Centro]]&amp;Detalle_OC[[#This Row],[Nro Almacen]],Almacen!A:D,4,FALSE),"")</f>
        <v>Montelima</v>
      </c>
    </row>
    <row r="1141" spans="1:12" x14ac:dyDescent="0.3">
      <c r="A1141" s="29" t="str">
        <f>Detalle_OC[[#This Row],[Centro]]&amp;Detalle_OC[[#This Row],[Nom Almacen]]&amp;Detalle_OC[[#This Row],[Material]]&amp;Detalle_OC[[#This Row],[Pedido]]&amp;Detalle_OC[[#This Row],[Posicion]]</f>
        <v>Agricola del Chira PlantaMontelima70094731451157147410</v>
      </c>
      <c r="B1141" t="s">
        <v>145</v>
      </c>
      <c r="C1141" t="s">
        <v>168</v>
      </c>
      <c r="D1141" s="11">
        <v>45635</v>
      </c>
      <c r="E1141" t="s">
        <v>16</v>
      </c>
      <c r="F1141" t="s">
        <v>12</v>
      </c>
      <c r="G1141">
        <v>70094731</v>
      </c>
      <c r="H1141">
        <v>4511571474</v>
      </c>
      <c r="I1141">
        <v>10</v>
      </c>
      <c r="J1141" s="29">
        <v>1</v>
      </c>
      <c r="K1141" s="29" t="s">
        <v>1132</v>
      </c>
      <c r="L1141" t="str">
        <f>IFERROR(VLOOKUP(Detalle_OC[[#This Row],[Centro]]&amp;Detalle_OC[[#This Row],[Nro Almacen]],Almacen!A:D,4,FALSE),"")</f>
        <v>Montelima</v>
      </c>
    </row>
    <row r="1142" spans="1:12" x14ac:dyDescent="0.3">
      <c r="A1142" s="29" t="str">
        <f>Detalle_OC[[#This Row],[Centro]]&amp;Detalle_OC[[#This Row],[Nom Almacen]]&amp;Detalle_OC[[#This Row],[Material]]&amp;Detalle_OC[[#This Row],[Pedido]]&amp;Detalle_OC[[#This Row],[Posicion]]</f>
        <v>Sucroalcolera del Chira PlantaMontelima70108159451157147610</v>
      </c>
      <c r="B1142" t="s">
        <v>151</v>
      </c>
      <c r="C1142" t="s">
        <v>313</v>
      </c>
      <c r="D1142" s="11">
        <v>45635</v>
      </c>
      <c r="E1142" t="s">
        <v>16</v>
      </c>
      <c r="F1142" t="s">
        <v>85</v>
      </c>
      <c r="G1142">
        <v>70108159</v>
      </c>
      <c r="H1142">
        <v>4511571476</v>
      </c>
      <c r="I1142">
        <v>10</v>
      </c>
      <c r="J1142" s="29">
        <v>1</v>
      </c>
      <c r="K1142" s="29" t="s">
        <v>1132</v>
      </c>
      <c r="L1142" t="str">
        <f>IFERROR(VLOOKUP(Detalle_OC[[#This Row],[Centro]]&amp;Detalle_OC[[#This Row],[Nro Almacen]],Almacen!A:D,4,FALSE),"")</f>
        <v>Montelima</v>
      </c>
    </row>
    <row r="1143" spans="1:12" x14ac:dyDescent="0.3">
      <c r="A1143" s="29" t="str">
        <f>Detalle_OC[[#This Row],[Centro]]&amp;Detalle_OC[[#This Row],[Nom Almacen]]&amp;Detalle_OC[[#This Row],[Material]]&amp;Detalle_OC[[#This Row],[Pedido]]&amp;Detalle_OC[[#This Row],[Posicion]]</f>
        <v>Sucroalcolera del Chira PlantaMontelima897635451157147710</v>
      </c>
      <c r="B1143" t="s">
        <v>138</v>
      </c>
      <c r="C1143" t="s">
        <v>197</v>
      </c>
      <c r="D1143" s="11">
        <v>45635</v>
      </c>
      <c r="E1143" t="s">
        <v>16</v>
      </c>
      <c r="F1143" t="s">
        <v>85</v>
      </c>
      <c r="G1143">
        <v>897635</v>
      </c>
      <c r="H1143">
        <v>4511571477</v>
      </c>
      <c r="I1143">
        <v>10</v>
      </c>
      <c r="J1143" s="29">
        <v>1</v>
      </c>
      <c r="K1143" s="29" t="s">
        <v>1132</v>
      </c>
      <c r="L1143" t="str">
        <f>IFERROR(VLOOKUP(Detalle_OC[[#This Row],[Centro]]&amp;Detalle_OC[[#This Row],[Nro Almacen]],Almacen!A:D,4,FALSE),"")</f>
        <v>Montelima</v>
      </c>
    </row>
    <row r="1144" spans="1:12" x14ac:dyDescent="0.3">
      <c r="A1144" s="29" t="str">
        <f>Detalle_OC[[#This Row],[Centro]]&amp;Detalle_OC[[#This Row],[Nom Almacen]]&amp;Detalle_OC[[#This Row],[Material]]&amp;Detalle_OC[[#This Row],[Pedido]]&amp;Detalle_OC[[#This Row],[Posicion]]</f>
        <v>Agricola del Chira PlantaMontelima72008981451157148510</v>
      </c>
      <c r="B1144" t="s">
        <v>200</v>
      </c>
      <c r="C1144" t="s">
        <v>297</v>
      </c>
      <c r="D1144" s="11">
        <v>45644</v>
      </c>
      <c r="E1144" t="s">
        <v>48</v>
      </c>
      <c r="F1144" t="s">
        <v>12</v>
      </c>
      <c r="G1144">
        <v>72008981</v>
      </c>
      <c r="H1144">
        <v>4511571485</v>
      </c>
      <c r="I1144">
        <v>10</v>
      </c>
      <c r="J1144" s="29">
        <v>1</v>
      </c>
      <c r="K1144" s="29" t="s">
        <v>1132</v>
      </c>
      <c r="L1144" t="str">
        <f>IFERROR(VLOOKUP(Detalle_OC[[#This Row],[Centro]]&amp;Detalle_OC[[#This Row],[Nro Almacen]],Almacen!A:D,4,FALSE),"")</f>
        <v>Montelima</v>
      </c>
    </row>
    <row r="1145" spans="1:12" x14ac:dyDescent="0.3">
      <c r="A1145" s="29" t="str">
        <f>Detalle_OC[[#This Row],[Centro]]&amp;Detalle_OC[[#This Row],[Nom Almacen]]&amp;Detalle_OC[[#This Row],[Material]]&amp;Detalle_OC[[#This Row],[Pedido]]&amp;Detalle_OC[[#This Row],[Posicion]]</f>
        <v>Agricola del Chira PlantaMontelima72008981451157148520</v>
      </c>
      <c r="B1145" t="s">
        <v>200</v>
      </c>
      <c r="C1145" t="s">
        <v>297</v>
      </c>
      <c r="D1145" s="11">
        <v>45644</v>
      </c>
      <c r="E1145" t="s">
        <v>48</v>
      </c>
      <c r="F1145" t="s">
        <v>12</v>
      </c>
      <c r="G1145">
        <v>72008981</v>
      </c>
      <c r="H1145">
        <v>4511571485</v>
      </c>
      <c r="I1145">
        <v>20</v>
      </c>
      <c r="J1145" s="29">
        <v>1</v>
      </c>
      <c r="K1145" s="29" t="s">
        <v>1132</v>
      </c>
      <c r="L1145" t="str">
        <f>IFERROR(VLOOKUP(Detalle_OC[[#This Row],[Centro]]&amp;Detalle_OC[[#This Row],[Nro Almacen]],Almacen!A:D,4,FALSE),"")</f>
        <v>Montelima</v>
      </c>
    </row>
    <row r="1146" spans="1:12" x14ac:dyDescent="0.3">
      <c r="A1146" s="29" t="str">
        <f>Detalle_OC[[#This Row],[Centro]]&amp;Detalle_OC[[#This Row],[Nom Almacen]]&amp;Detalle_OC[[#This Row],[Material]]&amp;Detalle_OC[[#This Row],[Pedido]]&amp;Detalle_OC[[#This Row],[Posicion]]</f>
        <v>Agricola del Chira PlantaMontelima72008981451157148530</v>
      </c>
      <c r="B1146" t="s">
        <v>200</v>
      </c>
      <c r="C1146" t="s">
        <v>297</v>
      </c>
      <c r="D1146" s="11">
        <v>45644</v>
      </c>
      <c r="E1146" t="s">
        <v>48</v>
      </c>
      <c r="F1146" t="s">
        <v>12</v>
      </c>
      <c r="G1146">
        <v>72008981</v>
      </c>
      <c r="H1146">
        <v>4511571485</v>
      </c>
      <c r="I1146">
        <v>30</v>
      </c>
      <c r="J1146" s="29">
        <v>1</v>
      </c>
      <c r="K1146" s="29" t="s">
        <v>1132</v>
      </c>
      <c r="L1146" t="str">
        <f>IFERROR(VLOOKUP(Detalle_OC[[#This Row],[Centro]]&amp;Detalle_OC[[#This Row],[Nro Almacen]],Almacen!A:D,4,FALSE),"")</f>
        <v>Montelima</v>
      </c>
    </row>
    <row r="1147" spans="1:12" x14ac:dyDescent="0.3">
      <c r="A1147" s="29" t="str">
        <f>Detalle_OC[[#This Row],[Centro]]&amp;Detalle_OC[[#This Row],[Nom Almacen]]&amp;Detalle_OC[[#This Row],[Material]]&amp;Detalle_OC[[#This Row],[Pedido]]&amp;Detalle_OC[[#This Row],[Posicion]]</f>
        <v>Agricola del Chira PlantaMontelima72008981451157148540</v>
      </c>
      <c r="B1147" t="s">
        <v>200</v>
      </c>
      <c r="C1147" t="s">
        <v>297</v>
      </c>
      <c r="D1147" s="11">
        <v>45644</v>
      </c>
      <c r="E1147" t="s">
        <v>48</v>
      </c>
      <c r="F1147" t="s">
        <v>12</v>
      </c>
      <c r="G1147">
        <v>72008981</v>
      </c>
      <c r="H1147">
        <v>4511571485</v>
      </c>
      <c r="I1147">
        <v>40</v>
      </c>
      <c r="J1147" s="29">
        <v>1</v>
      </c>
      <c r="K1147" s="29" t="s">
        <v>1132</v>
      </c>
      <c r="L1147" t="str">
        <f>IFERROR(VLOOKUP(Detalle_OC[[#This Row],[Centro]]&amp;Detalle_OC[[#This Row],[Nro Almacen]],Almacen!A:D,4,FALSE),"")</f>
        <v>Montelima</v>
      </c>
    </row>
    <row r="1148" spans="1:12" x14ac:dyDescent="0.3">
      <c r="A1148" s="29" t="str">
        <f>Detalle_OC[[#This Row],[Centro]]&amp;Detalle_OC[[#This Row],[Nom Almacen]]&amp;Detalle_OC[[#This Row],[Material]]&amp;Detalle_OC[[#This Row],[Pedido]]&amp;Detalle_OC[[#This Row],[Posicion]]</f>
        <v>Agricola del Chira PlantaMontelima72008981451157148550</v>
      </c>
      <c r="B1148" t="s">
        <v>200</v>
      </c>
      <c r="C1148" t="s">
        <v>297</v>
      </c>
      <c r="D1148" s="11">
        <v>45644</v>
      </c>
      <c r="E1148" t="s">
        <v>48</v>
      </c>
      <c r="F1148" t="s">
        <v>12</v>
      </c>
      <c r="G1148">
        <v>72008981</v>
      </c>
      <c r="H1148">
        <v>4511571485</v>
      </c>
      <c r="I1148">
        <v>50</v>
      </c>
      <c r="J1148" s="29">
        <v>1</v>
      </c>
      <c r="K1148" s="29" t="s">
        <v>1132</v>
      </c>
      <c r="L1148" t="str">
        <f>IFERROR(VLOOKUP(Detalle_OC[[#This Row],[Centro]]&amp;Detalle_OC[[#This Row],[Nro Almacen]],Almacen!A:D,4,FALSE),"")</f>
        <v>Montelima</v>
      </c>
    </row>
    <row r="1149" spans="1:12" x14ac:dyDescent="0.3">
      <c r="A1149" s="29" t="str">
        <f>Detalle_OC[[#This Row],[Centro]]&amp;Detalle_OC[[#This Row],[Nom Almacen]]&amp;Detalle_OC[[#This Row],[Material]]&amp;Detalle_OC[[#This Row],[Pedido]]&amp;Detalle_OC[[#This Row],[Posicion]]</f>
        <v>Agricola del Chira PlantaMontelima72008981451157148560</v>
      </c>
      <c r="B1149" t="s">
        <v>200</v>
      </c>
      <c r="C1149" t="s">
        <v>297</v>
      </c>
      <c r="D1149" s="11">
        <v>45644</v>
      </c>
      <c r="E1149" t="s">
        <v>48</v>
      </c>
      <c r="F1149" t="s">
        <v>12</v>
      </c>
      <c r="G1149">
        <v>72008981</v>
      </c>
      <c r="H1149">
        <v>4511571485</v>
      </c>
      <c r="I1149">
        <v>60</v>
      </c>
      <c r="J1149" s="29">
        <v>1</v>
      </c>
      <c r="K1149" s="29" t="s">
        <v>1132</v>
      </c>
      <c r="L1149" t="str">
        <f>IFERROR(VLOOKUP(Detalle_OC[[#This Row],[Centro]]&amp;Detalle_OC[[#This Row],[Nro Almacen]],Almacen!A:D,4,FALSE),"")</f>
        <v>Montelima</v>
      </c>
    </row>
    <row r="1150" spans="1:12" x14ac:dyDescent="0.3">
      <c r="A1150" s="29" t="str">
        <f>Detalle_OC[[#This Row],[Centro]]&amp;Detalle_OC[[#This Row],[Nom Almacen]]&amp;Detalle_OC[[#This Row],[Material]]&amp;Detalle_OC[[#This Row],[Pedido]]&amp;Detalle_OC[[#This Row],[Posicion]]</f>
        <v>Sucroalcolera del Chira PlantaMontelima72008981451157148610</v>
      </c>
      <c r="B1150" t="s">
        <v>200</v>
      </c>
      <c r="C1150" t="s">
        <v>297</v>
      </c>
      <c r="D1150" s="11">
        <v>45644</v>
      </c>
      <c r="E1150" t="s">
        <v>48</v>
      </c>
      <c r="F1150" t="s">
        <v>85</v>
      </c>
      <c r="G1150">
        <v>72008981</v>
      </c>
      <c r="H1150">
        <v>4511571486</v>
      </c>
      <c r="I1150">
        <v>10</v>
      </c>
      <c r="J1150" s="29">
        <v>1</v>
      </c>
      <c r="K1150" s="29" t="s">
        <v>1132</v>
      </c>
      <c r="L1150" t="str">
        <f>IFERROR(VLOOKUP(Detalle_OC[[#This Row],[Centro]]&amp;Detalle_OC[[#This Row],[Nro Almacen]],Almacen!A:D,4,FALSE),"")</f>
        <v>Montelima</v>
      </c>
    </row>
    <row r="1151" spans="1:12" x14ac:dyDescent="0.3">
      <c r="A1151" s="29" t="str">
        <f>Detalle_OC[[#This Row],[Centro]]&amp;Detalle_OC[[#This Row],[Nom Almacen]]&amp;Detalle_OC[[#This Row],[Material]]&amp;Detalle_OC[[#This Row],[Pedido]]&amp;Detalle_OC[[#This Row],[Posicion]]</f>
        <v>Sucroalcolera del Chira PlantaMontelima72008981451157148620</v>
      </c>
      <c r="B1151" t="s">
        <v>200</v>
      </c>
      <c r="C1151" t="s">
        <v>297</v>
      </c>
      <c r="D1151" s="11">
        <v>45644</v>
      </c>
      <c r="E1151" t="s">
        <v>48</v>
      </c>
      <c r="F1151" t="s">
        <v>85</v>
      </c>
      <c r="G1151">
        <v>72008981</v>
      </c>
      <c r="H1151">
        <v>4511571486</v>
      </c>
      <c r="I1151">
        <v>20</v>
      </c>
      <c r="J1151" s="29">
        <v>1</v>
      </c>
      <c r="K1151" s="29" t="s">
        <v>1132</v>
      </c>
      <c r="L1151" t="str">
        <f>IFERROR(VLOOKUP(Detalle_OC[[#This Row],[Centro]]&amp;Detalle_OC[[#This Row],[Nro Almacen]],Almacen!A:D,4,FALSE),"")</f>
        <v>Montelima</v>
      </c>
    </row>
    <row r="1152" spans="1:12" x14ac:dyDescent="0.3">
      <c r="A1152" s="29" t="str">
        <f>Detalle_OC[[#This Row],[Centro]]&amp;Detalle_OC[[#This Row],[Nom Almacen]]&amp;Detalle_OC[[#This Row],[Material]]&amp;Detalle_OC[[#This Row],[Pedido]]&amp;Detalle_OC[[#This Row],[Posicion]]</f>
        <v>Agricola del Chira PlantaSan Vicente70100392550002475130</v>
      </c>
      <c r="B1152" t="s">
        <v>28</v>
      </c>
      <c r="C1152" t="s">
        <v>54</v>
      </c>
      <c r="D1152" s="11">
        <v>45625</v>
      </c>
      <c r="E1152" t="s">
        <v>16</v>
      </c>
      <c r="F1152" t="s">
        <v>12</v>
      </c>
      <c r="G1152">
        <v>70100392</v>
      </c>
      <c r="H1152">
        <v>5500024751</v>
      </c>
      <c r="I1152">
        <v>30</v>
      </c>
      <c r="J1152" s="29">
        <v>3</v>
      </c>
      <c r="K1152" s="29" t="s">
        <v>1132</v>
      </c>
      <c r="L1152" t="str">
        <f>IFERROR(VLOOKUP(Detalle_OC[[#This Row],[Centro]]&amp;Detalle_OC[[#This Row],[Nro Almacen]],Almacen!A:D,4,FALSE),"")</f>
        <v>San Vicente</v>
      </c>
    </row>
    <row r="1153" spans="1:12" x14ac:dyDescent="0.3">
      <c r="A1153" s="29" t="str">
        <f>Detalle_OC[[#This Row],[Centro]]&amp;Detalle_OC[[#This Row],[Nom Almacen]]&amp;Detalle_OC[[#This Row],[Material]]&amp;Detalle_OC[[#This Row],[Pedido]]&amp;Detalle_OC[[#This Row],[Posicion]]</f>
        <v>Agricola del Chira PlantaSan Vicente700580015500024881170</v>
      </c>
      <c r="B1153" t="s">
        <v>28</v>
      </c>
      <c r="C1153" t="s">
        <v>52</v>
      </c>
      <c r="D1153" s="11">
        <v>45625</v>
      </c>
      <c r="E1153" t="s">
        <v>16</v>
      </c>
      <c r="F1153" t="s">
        <v>12</v>
      </c>
      <c r="G1153">
        <v>70058001</v>
      </c>
      <c r="H1153">
        <v>5500024881</v>
      </c>
      <c r="I1153">
        <v>170</v>
      </c>
      <c r="J1153" s="29">
        <v>3</v>
      </c>
      <c r="K1153" s="29" t="s">
        <v>1132</v>
      </c>
      <c r="L1153" t="str">
        <f>IFERROR(VLOOKUP(Detalle_OC[[#This Row],[Centro]]&amp;Detalle_OC[[#This Row],[Nro Almacen]],Almacen!A:D,4,FALSE),"")</f>
        <v>San Vicente</v>
      </c>
    </row>
    <row r="1154" spans="1:12" x14ac:dyDescent="0.3">
      <c r="A1154" s="29" t="str">
        <f>Detalle_OC[[#This Row],[Centro]]&amp;Detalle_OC[[#This Row],[Nom Almacen]]&amp;Detalle_OC[[#This Row],[Material]]&amp;Detalle_OC[[#This Row],[Pedido]]&amp;Detalle_OC[[#This Row],[Posicion]]</f>
        <v>Agricola del Chira PlantaLa Huaca873339451157131910</v>
      </c>
      <c r="B1154" t="s">
        <v>26</v>
      </c>
      <c r="C1154" t="s">
        <v>84</v>
      </c>
      <c r="D1154" s="11">
        <v>45632</v>
      </c>
      <c r="E1154" t="s">
        <v>16</v>
      </c>
      <c r="F1154" t="s">
        <v>12</v>
      </c>
      <c r="G1154">
        <v>873339</v>
      </c>
      <c r="H1154">
        <v>4511571319</v>
      </c>
      <c r="I1154">
        <v>10</v>
      </c>
      <c r="J1154" s="29">
        <v>2</v>
      </c>
      <c r="K1154" s="29" t="s">
        <v>1161</v>
      </c>
      <c r="L1154" t="str">
        <f>IFERROR(VLOOKUP(Detalle_OC[[#This Row],[Centro]]&amp;Detalle_OC[[#This Row],[Nro Almacen]],Almacen!A:D,4,FALSE),"")</f>
        <v>La Huaca</v>
      </c>
    </row>
    <row r="1155" spans="1:12" x14ac:dyDescent="0.3">
      <c r="A1155" s="29" t="str">
        <f>Detalle_OC[[#This Row],[Centro]]&amp;Detalle_OC[[#This Row],[Nom Almacen]]&amp;Detalle_OC[[#This Row],[Material]]&amp;Detalle_OC[[#This Row],[Pedido]]&amp;Detalle_OC[[#This Row],[Posicion]]</f>
        <v>Agricola del Chira PlantaLa Huaca70011440451157131920</v>
      </c>
      <c r="B1155" t="s">
        <v>26</v>
      </c>
      <c r="C1155" t="s">
        <v>84</v>
      </c>
      <c r="D1155" s="11">
        <v>45632</v>
      </c>
      <c r="E1155" t="s">
        <v>16</v>
      </c>
      <c r="F1155" t="s">
        <v>12</v>
      </c>
      <c r="G1155">
        <v>70011440</v>
      </c>
      <c r="H1155">
        <v>4511571319</v>
      </c>
      <c r="I1155">
        <v>20</v>
      </c>
      <c r="J1155" s="29">
        <v>2</v>
      </c>
      <c r="K1155" s="29" t="s">
        <v>1161</v>
      </c>
      <c r="L1155" t="str">
        <f>IFERROR(VLOOKUP(Detalle_OC[[#This Row],[Centro]]&amp;Detalle_OC[[#This Row],[Nro Almacen]],Almacen!A:D,4,FALSE),"")</f>
        <v>La Huaca</v>
      </c>
    </row>
    <row r="1156" spans="1:12" x14ac:dyDescent="0.3">
      <c r="A1156" s="29" t="str">
        <f>Detalle_OC[[#This Row],[Centro]]&amp;Detalle_OC[[#This Row],[Nom Almacen]]&amp;Detalle_OC[[#This Row],[Material]]&amp;Detalle_OC[[#This Row],[Pedido]]&amp;Detalle_OC[[#This Row],[Posicion]]</f>
        <v>Agricola del Chira PlantaMontelima757977451157132420</v>
      </c>
      <c r="B1156" t="s">
        <v>1140</v>
      </c>
      <c r="C1156" t="s">
        <v>44</v>
      </c>
      <c r="D1156" s="11">
        <v>45635</v>
      </c>
      <c r="E1156" t="s">
        <v>16</v>
      </c>
      <c r="F1156" t="s">
        <v>12</v>
      </c>
      <c r="G1156">
        <v>757977</v>
      </c>
      <c r="H1156">
        <v>4511571324</v>
      </c>
      <c r="I1156">
        <v>20</v>
      </c>
      <c r="J1156" s="29">
        <v>1</v>
      </c>
      <c r="K1156" s="29" t="s">
        <v>1161</v>
      </c>
      <c r="L1156" t="str">
        <f>IFERROR(VLOOKUP(Detalle_OC[[#This Row],[Centro]]&amp;Detalle_OC[[#This Row],[Nro Almacen]],Almacen!A:D,4,FALSE),"")</f>
        <v>Montelima</v>
      </c>
    </row>
    <row r="1157" spans="1:12" x14ac:dyDescent="0.3">
      <c r="A1157" s="29" t="str">
        <f>Detalle_OC[[#This Row],[Centro]]&amp;Detalle_OC[[#This Row],[Nom Almacen]]&amp;Detalle_OC[[#This Row],[Material]]&amp;Detalle_OC[[#This Row],[Pedido]]&amp;Detalle_OC[[#This Row],[Posicion]]</f>
        <v>Agricola del Chira PlantaMontelima873376451157132430</v>
      </c>
      <c r="B1157" t="s">
        <v>1140</v>
      </c>
      <c r="C1157" t="s">
        <v>44</v>
      </c>
      <c r="D1157" s="11">
        <v>45635</v>
      </c>
      <c r="E1157" t="s">
        <v>16</v>
      </c>
      <c r="F1157" t="s">
        <v>12</v>
      </c>
      <c r="G1157">
        <v>873376</v>
      </c>
      <c r="H1157">
        <v>4511571324</v>
      </c>
      <c r="I1157">
        <v>30</v>
      </c>
      <c r="J1157" s="29">
        <v>1</v>
      </c>
      <c r="K1157" s="29" t="s">
        <v>1161</v>
      </c>
      <c r="L1157" t="str">
        <f>IFERROR(VLOOKUP(Detalle_OC[[#This Row],[Centro]]&amp;Detalle_OC[[#This Row],[Nro Almacen]],Almacen!A:D,4,FALSE),"")</f>
        <v>Montelima</v>
      </c>
    </row>
    <row r="1158" spans="1:12" x14ac:dyDescent="0.3">
      <c r="A1158" s="29" t="str">
        <f>Detalle_OC[[#This Row],[Centro]]&amp;Detalle_OC[[#This Row],[Nom Almacen]]&amp;Detalle_OC[[#This Row],[Material]]&amp;Detalle_OC[[#This Row],[Pedido]]&amp;Detalle_OC[[#This Row],[Posicion]]</f>
        <v>Agricola del Chira PlantaMontelima705988451157132510</v>
      </c>
      <c r="B1158" t="s">
        <v>1140</v>
      </c>
      <c r="C1158" t="s">
        <v>44</v>
      </c>
      <c r="D1158" s="11">
        <v>45635</v>
      </c>
      <c r="E1158" t="s">
        <v>16</v>
      </c>
      <c r="F1158" t="s">
        <v>12</v>
      </c>
      <c r="G1158">
        <v>705988</v>
      </c>
      <c r="H1158">
        <v>4511571325</v>
      </c>
      <c r="I1158">
        <v>10</v>
      </c>
      <c r="J1158" s="29">
        <v>1</v>
      </c>
      <c r="K1158" s="29" t="s">
        <v>1161</v>
      </c>
      <c r="L1158" t="str">
        <f>IFERROR(VLOOKUP(Detalle_OC[[#This Row],[Centro]]&amp;Detalle_OC[[#This Row],[Nro Almacen]],Almacen!A:D,4,FALSE),"")</f>
        <v>Montelima</v>
      </c>
    </row>
    <row r="1159" spans="1:12" x14ac:dyDescent="0.3">
      <c r="A1159" s="29" t="str">
        <f>Detalle_OC[[#This Row],[Centro]]&amp;Detalle_OC[[#This Row],[Nom Almacen]]&amp;Detalle_OC[[#This Row],[Material]]&amp;Detalle_OC[[#This Row],[Pedido]]&amp;Detalle_OC[[#This Row],[Posicion]]</f>
        <v>Agricola del Chira PlantaMontelima877296451157132910</v>
      </c>
      <c r="B1159" t="s">
        <v>149</v>
      </c>
      <c r="C1159" t="s">
        <v>166</v>
      </c>
      <c r="D1159" s="11">
        <v>45635</v>
      </c>
      <c r="E1159" t="s">
        <v>16</v>
      </c>
      <c r="F1159" t="s">
        <v>12</v>
      </c>
      <c r="G1159">
        <v>877296</v>
      </c>
      <c r="H1159">
        <v>4511571329</v>
      </c>
      <c r="I1159">
        <v>10</v>
      </c>
      <c r="J1159" s="29">
        <v>1</v>
      </c>
      <c r="K1159" s="29" t="s">
        <v>1161</v>
      </c>
      <c r="L1159" t="str">
        <f>IFERROR(VLOOKUP(Detalle_OC[[#This Row],[Centro]]&amp;Detalle_OC[[#This Row],[Nro Almacen]],Almacen!A:D,4,FALSE),"")</f>
        <v>Montelima</v>
      </c>
    </row>
    <row r="1160" spans="1:12" x14ac:dyDescent="0.3">
      <c r="A1160" s="29" t="str">
        <f>Detalle_OC[[#This Row],[Centro]]&amp;Detalle_OC[[#This Row],[Nom Almacen]]&amp;Detalle_OC[[#This Row],[Material]]&amp;Detalle_OC[[#This Row],[Pedido]]&amp;Detalle_OC[[#This Row],[Posicion]]</f>
        <v>Sucroalcolera del Chira PlantaMontelima70135315451157133210</v>
      </c>
      <c r="B1160" t="s">
        <v>191</v>
      </c>
      <c r="C1160" t="s">
        <v>1142</v>
      </c>
      <c r="D1160" s="11">
        <v>45635</v>
      </c>
      <c r="E1160" t="s">
        <v>16</v>
      </c>
      <c r="F1160" t="s">
        <v>85</v>
      </c>
      <c r="G1160">
        <v>70135315</v>
      </c>
      <c r="H1160">
        <v>4511571332</v>
      </c>
      <c r="I1160">
        <v>10</v>
      </c>
      <c r="J1160" s="29">
        <v>1</v>
      </c>
      <c r="K1160" s="29" t="s">
        <v>1161</v>
      </c>
      <c r="L1160" t="str">
        <f>IFERROR(VLOOKUP(Detalle_OC[[#This Row],[Centro]]&amp;Detalle_OC[[#This Row],[Nro Almacen]],Almacen!A:D,4,FALSE),"")</f>
        <v>Montelima</v>
      </c>
    </row>
    <row r="1161" spans="1:12" x14ac:dyDescent="0.3">
      <c r="A1161" s="29" t="str">
        <f>Detalle_OC[[#This Row],[Centro]]&amp;Detalle_OC[[#This Row],[Nom Almacen]]&amp;Detalle_OC[[#This Row],[Material]]&amp;Detalle_OC[[#This Row],[Pedido]]&amp;Detalle_OC[[#This Row],[Posicion]]</f>
        <v>Agricola del Chira PlantaMontelima70085266451157138510</v>
      </c>
      <c r="B1161" t="s">
        <v>200</v>
      </c>
      <c r="C1161" t="s">
        <v>1162</v>
      </c>
      <c r="D1161" s="11">
        <v>45635</v>
      </c>
      <c r="E1161" t="s">
        <v>48</v>
      </c>
      <c r="F1161" t="s">
        <v>12</v>
      </c>
      <c r="G1161">
        <v>70085266</v>
      </c>
      <c r="H1161">
        <v>4511571385</v>
      </c>
      <c r="I1161">
        <v>10</v>
      </c>
      <c r="J1161" s="29">
        <v>1</v>
      </c>
      <c r="K1161" s="29" t="s">
        <v>1161</v>
      </c>
      <c r="L1161" t="str">
        <f>IFERROR(VLOOKUP(Detalle_OC[[#This Row],[Centro]]&amp;Detalle_OC[[#This Row],[Nro Almacen]],Almacen!A:D,4,FALSE),"")</f>
        <v>Montelima</v>
      </c>
    </row>
    <row r="1162" spans="1:12" x14ac:dyDescent="0.3">
      <c r="A1162" s="29" t="str">
        <f>Detalle_OC[[#This Row],[Centro]]&amp;Detalle_OC[[#This Row],[Nom Almacen]]&amp;Detalle_OC[[#This Row],[Material]]&amp;Detalle_OC[[#This Row],[Pedido]]&amp;Detalle_OC[[#This Row],[Posicion]]</f>
        <v>Agricola del Chira PlantaMontelima70085266451157138520</v>
      </c>
      <c r="B1162" t="s">
        <v>200</v>
      </c>
      <c r="C1162" t="s">
        <v>1162</v>
      </c>
      <c r="D1162" s="11">
        <v>45635</v>
      </c>
      <c r="E1162" t="s">
        <v>48</v>
      </c>
      <c r="F1162" t="s">
        <v>12</v>
      </c>
      <c r="G1162">
        <v>70085266</v>
      </c>
      <c r="H1162">
        <v>4511571385</v>
      </c>
      <c r="I1162">
        <v>20</v>
      </c>
      <c r="J1162" s="29">
        <v>1</v>
      </c>
      <c r="K1162" s="29" t="s">
        <v>1161</v>
      </c>
      <c r="L1162" t="str">
        <f>IFERROR(VLOOKUP(Detalle_OC[[#This Row],[Centro]]&amp;Detalle_OC[[#This Row],[Nro Almacen]],Almacen!A:D,4,FALSE),"")</f>
        <v>Montelima</v>
      </c>
    </row>
    <row r="1163" spans="1:12" x14ac:dyDescent="0.3">
      <c r="A1163" s="29" t="str">
        <f>Detalle_OC[[#This Row],[Centro]]&amp;Detalle_OC[[#This Row],[Nom Almacen]]&amp;Detalle_OC[[#This Row],[Material]]&amp;Detalle_OC[[#This Row],[Pedido]]&amp;Detalle_OC[[#This Row],[Posicion]]</f>
        <v>Agricola del Chira PlantaMontelima70085266451157138530</v>
      </c>
      <c r="B1163" t="s">
        <v>200</v>
      </c>
      <c r="C1163" t="s">
        <v>1162</v>
      </c>
      <c r="D1163" s="11">
        <v>45635</v>
      </c>
      <c r="E1163" t="s">
        <v>48</v>
      </c>
      <c r="F1163" t="s">
        <v>12</v>
      </c>
      <c r="G1163">
        <v>70085266</v>
      </c>
      <c r="H1163">
        <v>4511571385</v>
      </c>
      <c r="I1163">
        <v>30</v>
      </c>
      <c r="J1163" s="29">
        <v>1</v>
      </c>
      <c r="K1163" s="29" t="s">
        <v>1161</v>
      </c>
      <c r="L1163" t="str">
        <f>IFERROR(VLOOKUP(Detalle_OC[[#This Row],[Centro]]&amp;Detalle_OC[[#This Row],[Nro Almacen]],Almacen!A:D,4,FALSE),"")</f>
        <v>Montelima</v>
      </c>
    </row>
    <row r="1164" spans="1:12" x14ac:dyDescent="0.3">
      <c r="A1164" s="29" t="str">
        <f>Detalle_OC[[#This Row],[Centro]]&amp;Detalle_OC[[#This Row],[Nom Almacen]]&amp;Detalle_OC[[#This Row],[Material]]&amp;Detalle_OC[[#This Row],[Pedido]]&amp;Detalle_OC[[#This Row],[Posicion]]</f>
        <v>Agricola del Chira PlantaMontelima70135275451157138540</v>
      </c>
      <c r="B1164" t="s">
        <v>200</v>
      </c>
      <c r="C1164" t="s">
        <v>1162</v>
      </c>
      <c r="D1164" s="11">
        <v>45635</v>
      </c>
      <c r="E1164" t="s">
        <v>48</v>
      </c>
      <c r="F1164" t="s">
        <v>12</v>
      </c>
      <c r="G1164">
        <v>70135275</v>
      </c>
      <c r="H1164">
        <v>4511571385</v>
      </c>
      <c r="I1164">
        <v>40</v>
      </c>
      <c r="J1164" s="29">
        <v>1</v>
      </c>
      <c r="K1164" s="29" t="s">
        <v>1161</v>
      </c>
      <c r="L1164" t="str">
        <f>IFERROR(VLOOKUP(Detalle_OC[[#This Row],[Centro]]&amp;Detalle_OC[[#This Row],[Nro Almacen]],Almacen!A:D,4,FALSE),"")</f>
        <v>Montelima</v>
      </c>
    </row>
    <row r="1165" spans="1:12" x14ac:dyDescent="0.3">
      <c r="A1165" s="29" t="str">
        <f>Detalle_OC[[#This Row],[Centro]]&amp;Detalle_OC[[#This Row],[Nom Almacen]]&amp;Detalle_OC[[#This Row],[Material]]&amp;Detalle_OC[[#This Row],[Pedido]]&amp;Detalle_OC[[#This Row],[Posicion]]</f>
        <v>Agricola del Chira PlantaMontelima70135275451157138550</v>
      </c>
      <c r="B1165" t="s">
        <v>200</v>
      </c>
      <c r="C1165" t="s">
        <v>1162</v>
      </c>
      <c r="D1165" s="11">
        <v>45635</v>
      </c>
      <c r="E1165" t="s">
        <v>48</v>
      </c>
      <c r="F1165" t="s">
        <v>12</v>
      </c>
      <c r="G1165">
        <v>70135275</v>
      </c>
      <c r="H1165">
        <v>4511571385</v>
      </c>
      <c r="I1165">
        <v>50</v>
      </c>
      <c r="J1165" s="29">
        <v>1</v>
      </c>
      <c r="K1165" s="29" t="s">
        <v>1161</v>
      </c>
      <c r="L1165" t="str">
        <f>IFERROR(VLOOKUP(Detalle_OC[[#This Row],[Centro]]&amp;Detalle_OC[[#This Row],[Nro Almacen]],Almacen!A:D,4,FALSE),"")</f>
        <v>Montelima</v>
      </c>
    </row>
    <row r="1166" spans="1:12" x14ac:dyDescent="0.3">
      <c r="A1166" s="29" t="str">
        <f>Detalle_OC[[#This Row],[Centro]]&amp;Detalle_OC[[#This Row],[Nom Almacen]]&amp;Detalle_OC[[#This Row],[Material]]&amp;Detalle_OC[[#This Row],[Pedido]]&amp;Detalle_OC[[#This Row],[Posicion]]</f>
        <v>Agricola del Chira PlantaMontelima70135275451157138560</v>
      </c>
      <c r="B1166" t="s">
        <v>200</v>
      </c>
      <c r="C1166" t="s">
        <v>1162</v>
      </c>
      <c r="D1166" s="11">
        <v>45635</v>
      </c>
      <c r="E1166" t="s">
        <v>48</v>
      </c>
      <c r="F1166" t="s">
        <v>12</v>
      </c>
      <c r="G1166">
        <v>70135275</v>
      </c>
      <c r="H1166">
        <v>4511571385</v>
      </c>
      <c r="I1166">
        <v>60</v>
      </c>
      <c r="J1166" s="29">
        <v>1</v>
      </c>
      <c r="K1166" s="29" t="s">
        <v>1161</v>
      </c>
      <c r="L1166" t="str">
        <f>IFERROR(VLOOKUP(Detalle_OC[[#This Row],[Centro]]&amp;Detalle_OC[[#This Row],[Nro Almacen]],Almacen!A:D,4,FALSE),"")</f>
        <v>Montelima</v>
      </c>
    </row>
    <row r="1167" spans="1:12" x14ac:dyDescent="0.3">
      <c r="A1167" s="29" t="str">
        <f>Detalle_OC[[#This Row],[Centro]]&amp;Detalle_OC[[#This Row],[Nom Almacen]]&amp;Detalle_OC[[#This Row],[Material]]&amp;Detalle_OC[[#This Row],[Pedido]]&amp;Detalle_OC[[#This Row],[Posicion]]</f>
        <v>Agricola del Chira PlantaMontelima70085266451157138570</v>
      </c>
      <c r="B1167" t="s">
        <v>1163</v>
      </c>
      <c r="C1167" t="s">
        <v>1162</v>
      </c>
      <c r="D1167" s="11">
        <v>45635</v>
      </c>
      <c r="E1167" t="s">
        <v>48</v>
      </c>
      <c r="F1167" t="s">
        <v>12</v>
      </c>
      <c r="G1167">
        <v>70085266</v>
      </c>
      <c r="H1167">
        <v>4511571385</v>
      </c>
      <c r="I1167">
        <v>70</v>
      </c>
      <c r="J1167" s="29">
        <v>1</v>
      </c>
      <c r="K1167" s="29" t="s">
        <v>1161</v>
      </c>
      <c r="L1167" t="str">
        <f>IFERROR(VLOOKUP(Detalle_OC[[#This Row],[Centro]]&amp;Detalle_OC[[#This Row],[Nro Almacen]],Almacen!A:D,4,FALSE),"")</f>
        <v>Montelima</v>
      </c>
    </row>
    <row r="1168" spans="1:12" x14ac:dyDescent="0.3">
      <c r="A1168" s="29" t="str">
        <f>Detalle_OC[[#This Row],[Centro]]&amp;Detalle_OC[[#This Row],[Nom Almacen]]&amp;Detalle_OC[[#This Row],[Material]]&amp;Detalle_OC[[#This Row],[Pedido]]&amp;Detalle_OC[[#This Row],[Posicion]]</f>
        <v>Sucroalcolera del Chira PlantaMontelima70085266451157138610</v>
      </c>
      <c r="B1168" t="s">
        <v>200</v>
      </c>
      <c r="C1168" t="s">
        <v>1162</v>
      </c>
      <c r="D1168" s="11">
        <v>45635</v>
      </c>
      <c r="E1168" t="s">
        <v>48</v>
      </c>
      <c r="F1168" t="s">
        <v>85</v>
      </c>
      <c r="G1168">
        <v>70085266</v>
      </c>
      <c r="H1168">
        <v>4511571386</v>
      </c>
      <c r="I1168">
        <v>10</v>
      </c>
      <c r="J1168" s="29">
        <v>1</v>
      </c>
      <c r="K1168" s="29" t="s">
        <v>1161</v>
      </c>
      <c r="L1168" t="str">
        <f>IFERROR(VLOOKUP(Detalle_OC[[#This Row],[Centro]]&amp;Detalle_OC[[#This Row],[Nro Almacen]],Almacen!A:D,4,FALSE),"")</f>
        <v>Montelima</v>
      </c>
    </row>
    <row r="1169" spans="1:12" x14ac:dyDescent="0.3">
      <c r="A1169" s="29" t="str">
        <f>Detalle_OC[[#This Row],[Centro]]&amp;Detalle_OC[[#This Row],[Nom Almacen]]&amp;Detalle_OC[[#This Row],[Material]]&amp;Detalle_OC[[#This Row],[Pedido]]&amp;Detalle_OC[[#This Row],[Posicion]]</f>
        <v>Sucroalcolera del Chira PlantaMontelima70085266451157138620</v>
      </c>
      <c r="B1169" t="s">
        <v>200</v>
      </c>
      <c r="C1169" t="s">
        <v>1162</v>
      </c>
      <c r="D1169" s="11">
        <v>45635</v>
      </c>
      <c r="E1169" t="s">
        <v>48</v>
      </c>
      <c r="F1169" t="s">
        <v>85</v>
      </c>
      <c r="G1169">
        <v>70085266</v>
      </c>
      <c r="H1169">
        <v>4511571386</v>
      </c>
      <c r="I1169">
        <v>20</v>
      </c>
      <c r="J1169" s="29">
        <v>1</v>
      </c>
      <c r="K1169" s="29" t="s">
        <v>1161</v>
      </c>
      <c r="L1169" t="str">
        <f>IFERROR(VLOOKUP(Detalle_OC[[#This Row],[Centro]]&amp;Detalle_OC[[#This Row],[Nro Almacen]],Almacen!A:D,4,FALSE),"")</f>
        <v>Montelima</v>
      </c>
    </row>
    <row r="1170" spans="1:12" x14ac:dyDescent="0.3">
      <c r="A1170" s="29" t="str">
        <f>Detalle_OC[[#This Row],[Centro]]&amp;Detalle_OC[[#This Row],[Nom Almacen]]&amp;Detalle_OC[[#This Row],[Material]]&amp;Detalle_OC[[#This Row],[Pedido]]&amp;Detalle_OC[[#This Row],[Posicion]]</f>
        <v>Sucroalcolera del Chira PlantaMontelima70135275451157138630</v>
      </c>
      <c r="B1170" t="s">
        <v>200</v>
      </c>
      <c r="C1170" t="s">
        <v>1162</v>
      </c>
      <c r="D1170" s="11">
        <v>45635</v>
      </c>
      <c r="E1170" t="s">
        <v>48</v>
      </c>
      <c r="F1170" t="s">
        <v>85</v>
      </c>
      <c r="G1170">
        <v>70135275</v>
      </c>
      <c r="H1170">
        <v>4511571386</v>
      </c>
      <c r="I1170">
        <v>30</v>
      </c>
      <c r="J1170" s="29">
        <v>1</v>
      </c>
      <c r="K1170" s="29" t="s">
        <v>1161</v>
      </c>
      <c r="L1170" t="str">
        <f>IFERROR(VLOOKUP(Detalle_OC[[#This Row],[Centro]]&amp;Detalle_OC[[#This Row],[Nro Almacen]],Almacen!A:D,4,FALSE),"")</f>
        <v>Montelima</v>
      </c>
    </row>
    <row r="1171" spans="1:12" x14ac:dyDescent="0.3">
      <c r="A1171" s="29" t="str">
        <f>Detalle_OC[[#This Row],[Centro]]&amp;Detalle_OC[[#This Row],[Nom Almacen]]&amp;Detalle_OC[[#This Row],[Material]]&amp;Detalle_OC[[#This Row],[Pedido]]&amp;Detalle_OC[[#This Row],[Posicion]]</f>
        <v>Sucroalcolera del Chira PlantaMontelima70135275451157138640</v>
      </c>
      <c r="B1171" t="s">
        <v>200</v>
      </c>
      <c r="C1171" t="s">
        <v>1162</v>
      </c>
      <c r="D1171" s="11">
        <v>45635</v>
      </c>
      <c r="E1171" t="s">
        <v>48</v>
      </c>
      <c r="F1171" t="s">
        <v>85</v>
      </c>
      <c r="G1171">
        <v>70135275</v>
      </c>
      <c r="H1171">
        <v>4511571386</v>
      </c>
      <c r="I1171">
        <v>40</v>
      </c>
      <c r="J1171" s="29">
        <v>1</v>
      </c>
      <c r="K1171" s="29" t="s">
        <v>1161</v>
      </c>
      <c r="L1171" t="str">
        <f>IFERROR(VLOOKUP(Detalle_OC[[#This Row],[Centro]]&amp;Detalle_OC[[#This Row],[Nro Almacen]],Almacen!A:D,4,FALSE),"")</f>
        <v>Montelima</v>
      </c>
    </row>
    <row r="1172" spans="1:12" x14ac:dyDescent="0.3">
      <c r="A1172" s="29" t="str">
        <f>Detalle_OC[[#This Row],[Centro]]&amp;Detalle_OC[[#This Row],[Nom Almacen]]&amp;Detalle_OC[[#This Row],[Material]]&amp;Detalle_OC[[#This Row],[Pedido]]&amp;Detalle_OC[[#This Row],[Posicion]]</f>
        <v>Sucroalcolera del Chira PlantaMontelima70069779451157138650</v>
      </c>
      <c r="B1172" t="s">
        <v>1163</v>
      </c>
      <c r="C1172" t="s">
        <v>1162</v>
      </c>
      <c r="D1172" s="11">
        <v>45635</v>
      </c>
      <c r="E1172" t="s">
        <v>48</v>
      </c>
      <c r="F1172" t="s">
        <v>85</v>
      </c>
      <c r="G1172">
        <v>70069779</v>
      </c>
      <c r="H1172">
        <v>4511571386</v>
      </c>
      <c r="I1172">
        <v>50</v>
      </c>
      <c r="J1172" s="29">
        <v>1</v>
      </c>
      <c r="K1172" s="29" t="s">
        <v>1161</v>
      </c>
      <c r="L1172" t="str">
        <f>IFERROR(VLOOKUP(Detalle_OC[[#This Row],[Centro]]&amp;Detalle_OC[[#This Row],[Nro Almacen]],Almacen!A:D,4,FALSE),"")</f>
        <v>Montelima</v>
      </c>
    </row>
    <row r="1173" spans="1:12" x14ac:dyDescent="0.3">
      <c r="A1173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1173" t="s">
        <v>28</v>
      </c>
      <c r="C1173" t="s">
        <v>84</v>
      </c>
      <c r="D1173" s="11">
        <v>45624</v>
      </c>
      <c r="E1173" t="s">
        <v>16</v>
      </c>
      <c r="F1173" t="s">
        <v>85</v>
      </c>
      <c r="G1173">
        <v>806591</v>
      </c>
      <c r="H1173">
        <v>5500022336</v>
      </c>
      <c r="I1173">
        <v>20</v>
      </c>
      <c r="J1173" s="29">
        <v>1</v>
      </c>
      <c r="K1173" s="29" t="s">
        <v>1161</v>
      </c>
      <c r="L1173" t="str">
        <f>IFERROR(VLOOKUP(Detalle_OC[[#This Row],[Centro]]&amp;Detalle_OC[[#This Row],[Nro Almacen]],Almacen!A:D,4,FALSE),"")</f>
        <v>Montelima</v>
      </c>
    </row>
    <row r="1174" spans="1:12" x14ac:dyDescent="0.3">
      <c r="A1174" s="29" t="str">
        <f>Detalle_OC[[#This Row],[Centro]]&amp;Detalle_OC[[#This Row],[Nom Almacen]]&amp;Detalle_OC[[#This Row],[Material]]&amp;Detalle_OC[[#This Row],[Pedido]]&amp;Detalle_OC[[#This Row],[Posicion]]</f>
        <v>Agricola del Chira PlantaMontelima70084357550002468140</v>
      </c>
      <c r="B1174" t="s">
        <v>28</v>
      </c>
      <c r="C1174" t="s">
        <v>84</v>
      </c>
      <c r="D1174" s="11">
        <v>45624</v>
      </c>
      <c r="E1174" t="s">
        <v>16</v>
      </c>
      <c r="F1174" t="s">
        <v>12</v>
      </c>
      <c r="G1174">
        <v>70084357</v>
      </c>
      <c r="H1174">
        <v>5500024681</v>
      </c>
      <c r="I1174">
        <v>40</v>
      </c>
      <c r="J1174" s="29">
        <v>1</v>
      </c>
      <c r="K1174" s="29" t="s">
        <v>1161</v>
      </c>
      <c r="L1174" t="str">
        <f>IFERROR(VLOOKUP(Detalle_OC[[#This Row],[Centro]]&amp;Detalle_OC[[#This Row],[Nro Almacen]],Almacen!A:D,4,FALSE),"")</f>
        <v>Montelima</v>
      </c>
    </row>
    <row r="1175" spans="1:12" x14ac:dyDescent="0.3">
      <c r="A1175" s="29" t="str">
        <f>Detalle_OC[[#This Row],[Centro]]&amp;Detalle_OC[[#This Row],[Nom Almacen]]&amp;Detalle_OC[[#This Row],[Material]]&amp;Detalle_OC[[#This Row],[Pedido]]&amp;Detalle_OC[[#This Row],[Posicion]]</f>
        <v>Agricola del Chira PlantaMontelima70084367550002468170</v>
      </c>
      <c r="B1175" t="s">
        <v>28</v>
      </c>
      <c r="C1175" t="s">
        <v>84</v>
      </c>
      <c r="D1175" s="11">
        <v>45642</v>
      </c>
      <c r="E1175" t="s">
        <v>16</v>
      </c>
      <c r="F1175" t="s">
        <v>12</v>
      </c>
      <c r="G1175">
        <v>70084367</v>
      </c>
      <c r="H1175">
        <v>5500024681</v>
      </c>
      <c r="I1175">
        <v>70</v>
      </c>
      <c r="J1175" s="29">
        <v>1</v>
      </c>
      <c r="K1175" s="29" t="s">
        <v>1161</v>
      </c>
      <c r="L1175" t="str">
        <f>IFERROR(VLOOKUP(Detalle_OC[[#This Row],[Centro]]&amp;Detalle_OC[[#This Row],[Nro Almacen]],Almacen!A:D,4,FALSE),"")</f>
        <v>Montelima</v>
      </c>
    </row>
    <row r="1176" spans="1:12" x14ac:dyDescent="0.3">
      <c r="A1176" s="29" t="str">
        <f>Detalle_OC[[#This Row],[Centro]]&amp;Detalle_OC[[#This Row],[Nom Almacen]]&amp;Detalle_OC[[#This Row],[Material]]&amp;Detalle_OC[[#This Row],[Pedido]]&amp;Detalle_OC[[#This Row],[Posicion]]</f>
        <v>Agricola del Chira PlantaMontelima70084371550002468180</v>
      </c>
      <c r="B1176" t="s">
        <v>28</v>
      </c>
      <c r="C1176" t="s">
        <v>84</v>
      </c>
      <c r="D1176" s="11">
        <v>45624</v>
      </c>
      <c r="E1176" t="s">
        <v>16</v>
      </c>
      <c r="F1176" t="s">
        <v>12</v>
      </c>
      <c r="G1176">
        <v>70084371</v>
      </c>
      <c r="H1176">
        <v>5500024681</v>
      </c>
      <c r="I1176">
        <v>80</v>
      </c>
      <c r="J1176" s="29">
        <v>1</v>
      </c>
      <c r="K1176" s="29" t="s">
        <v>1161</v>
      </c>
      <c r="L1176" t="str">
        <f>IFERROR(VLOOKUP(Detalle_OC[[#This Row],[Centro]]&amp;Detalle_OC[[#This Row],[Nro Almacen]],Almacen!A:D,4,FALSE),"")</f>
        <v>Montelima</v>
      </c>
    </row>
    <row r="1177" spans="1:12" x14ac:dyDescent="0.3">
      <c r="A1177" s="29" t="str">
        <f>Detalle_OC[[#This Row],[Centro]]&amp;Detalle_OC[[#This Row],[Nom Almacen]]&amp;Detalle_OC[[#This Row],[Material]]&amp;Detalle_OC[[#This Row],[Pedido]]&amp;Detalle_OC[[#This Row],[Posicion]]</f>
        <v>Sucroalcolera del Chira PlantaMontelima70084359550002468230</v>
      </c>
      <c r="B1177" t="s">
        <v>28</v>
      </c>
      <c r="C1177" t="s">
        <v>84</v>
      </c>
      <c r="D1177" s="11">
        <v>45643</v>
      </c>
      <c r="E1177" t="s">
        <v>16</v>
      </c>
      <c r="F1177" t="s">
        <v>85</v>
      </c>
      <c r="G1177">
        <v>70084359</v>
      </c>
      <c r="H1177">
        <v>5500024682</v>
      </c>
      <c r="I1177">
        <v>30</v>
      </c>
      <c r="J1177" s="29">
        <v>1</v>
      </c>
      <c r="K1177" s="29" t="s">
        <v>1161</v>
      </c>
      <c r="L1177" t="str">
        <f>IFERROR(VLOOKUP(Detalle_OC[[#This Row],[Centro]]&amp;Detalle_OC[[#This Row],[Nro Almacen]],Almacen!A:D,4,FALSE),"")</f>
        <v>Montelima</v>
      </c>
    </row>
    <row r="1178" spans="1:12" x14ac:dyDescent="0.3">
      <c r="A1178" s="29" t="str">
        <f>Detalle_OC[[#This Row],[Centro]]&amp;Detalle_OC[[#This Row],[Nom Almacen]]&amp;Detalle_OC[[#This Row],[Material]]&amp;Detalle_OC[[#This Row],[Pedido]]&amp;Detalle_OC[[#This Row],[Posicion]]</f>
        <v>Sucroalcolera del Chira PlantaMontelima700843695500024682100</v>
      </c>
      <c r="B1178" t="s">
        <v>28</v>
      </c>
      <c r="C1178" t="s">
        <v>84</v>
      </c>
      <c r="D1178" s="11">
        <v>45631</v>
      </c>
      <c r="E1178" t="s">
        <v>16</v>
      </c>
      <c r="F1178" t="s">
        <v>85</v>
      </c>
      <c r="G1178">
        <v>70084369</v>
      </c>
      <c r="H1178">
        <v>5500024682</v>
      </c>
      <c r="I1178">
        <v>100</v>
      </c>
      <c r="J1178" s="29">
        <v>1</v>
      </c>
      <c r="K1178" s="29" t="s">
        <v>1161</v>
      </c>
      <c r="L1178" t="str">
        <f>IFERROR(VLOOKUP(Detalle_OC[[#This Row],[Centro]]&amp;Detalle_OC[[#This Row],[Nro Almacen]],Almacen!A:D,4,FALSE),"")</f>
        <v>Montelima</v>
      </c>
    </row>
    <row r="1179" spans="1:12" x14ac:dyDescent="0.3">
      <c r="A1179" s="29" t="str">
        <f>Detalle_OC[[#This Row],[Centro]]&amp;Detalle_OC[[#This Row],[Nom Almacen]]&amp;Detalle_OC[[#This Row],[Material]]&amp;Detalle_OC[[#This Row],[Pedido]]&amp;Detalle_OC[[#This Row],[Posicion]]</f>
        <v>Agricola del Chira PlantaFERTI LOBO 2701226550002476620</v>
      </c>
      <c r="B1179" t="s">
        <v>28</v>
      </c>
      <c r="C1179" t="s">
        <v>112</v>
      </c>
      <c r="D1179" s="11">
        <v>45624</v>
      </c>
      <c r="E1179" t="s">
        <v>16</v>
      </c>
      <c r="F1179" t="s">
        <v>12</v>
      </c>
      <c r="G1179">
        <v>701226</v>
      </c>
      <c r="H1179">
        <v>5500024766</v>
      </c>
      <c r="I1179">
        <v>20</v>
      </c>
      <c r="J1179" s="29">
        <v>23</v>
      </c>
      <c r="K1179" s="29" t="s">
        <v>1161</v>
      </c>
      <c r="L1179" t="str">
        <f>IFERROR(VLOOKUP(Detalle_OC[[#This Row],[Centro]]&amp;Detalle_OC[[#This Row],[Nro Almacen]],Almacen!A:D,4,FALSE),"")</f>
        <v>FERTI LOBO 2</v>
      </c>
    </row>
    <row r="1180" spans="1:12" x14ac:dyDescent="0.3">
      <c r="A1180" s="29" t="str">
        <f>Detalle_OC[[#This Row],[Centro]]&amp;Detalle_OC[[#This Row],[Nom Almacen]]&amp;Detalle_OC[[#This Row],[Material]]&amp;Detalle_OC[[#This Row],[Pedido]]&amp;Detalle_OC[[#This Row],[Posicion]]</f>
        <v>Sucroalcolera del Chira PlantaMontelimaMWSODACAUSTICA    550002478030</v>
      </c>
      <c r="B1180" t="s">
        <v>28</v>
      </c>
      <c r="C1180" t="s">
        <v>94</v>
      </c>
      <c r="D1180" s="11">
        <v>45624</v>
      </c>
      <c r="E1180" t="s">
        <v>16</v>
      </c>
      <c r="F1180" t="s">
        <v>85</v>
      </c>
      <c r="G1180" t="s">
        <v>1010</v>
      </c>
      <c r="H1180">
        <v>5500024780</v>
      </c>
      <c r="I1180">
        <v>30</v>
      </c>
      <c r="J1180" s="29">
        <v>1</v>
      </c>
      <c r="K1180" s="29" t="s">
        <v>1161</v>
      </c>
      <c r="L1180" t="str">
        <f>IFERROR(VLOOKUP(Detalle_OC[[#This Row],[Centro]]&amp;Detalle_OC[[#This Row],[Nro Almacen]],Almacen!A:D,4,FALSE),"")</f>
        <v>Montelima</v>
      </c>
    </row>
    <row r="1181" spans="1:12" x14ac:dyDescent="0.3">
      <c r="A1181" s="29" t="str">
        <f>Detalle_OC[[#This Row],[Centro]]&amp;Detalle_OC[[#This Row],[Nom Almacen]]&amp;Detalle_OC[[#This Row],[Material]]&amp;Detalle_OC[[#This Row],[Pedido]]&amp;Detalle_OC[[#This Row],[Posicion]]</f>
        <v>Sucroalcolera del Chira PlantaMontelima70132901550002489230</v>
      </c>
      <c r="B1181" t="s">
        <v>28</v>
      </c>
      <c r="C1181" t="s">
        <v>52</v>
      </c>
      <c r="D1181" s="11">
        <v>45624</v>
      </c>
      <c r="E1181" t="s">
        <v>16</v>
      </c>
      <c r="F1181" t="s">
        <v>85</v>
      </c>
      <c r="G1181">
        <v>70132901</v>
      </c>
      <c r="H1181">
        <v>5500024892</v>
      </c>
      <c r="I1181">
        <v>30</v>
      </c>
      <c r="J1181" s="29">
        <v>1</v>
      </c>
      <c r="K1181" s="29" t="s">
        <v>1161</v>
      </c>
      <c r="L1181" t="str">
        <f>IFERROR(VLOOKUP(Detalle_OC[[#This Row],[Centro]]&amp;Detalle_OC[[#This Row],[Nro Almacen]],Almacen!A:D,4,FALSE),"")</f>
        <v>Montelima</v>
      </c>
    </row>
    <row r="1182" spans="1:12" x14ac:dyDescent="0.3">
      <c r="A1182" s="29" t="str">
        <f>Detalle_OC[[#This Row],[Centro]]&amp;Detalle_OC[[#This Row],[Nom Almacen]]&amp;Detalle_OC[[#This Row],[Material]]&amp;Detalle_OC[[#This Row],[Pedido]]&amp;Detalle_OC[[#This Row],[Posicion]]</f>
        <v>Agricola del Chira PlantaMontelimaCT905226          550002490170</v>
      </c>
      <c r="B1182" t="s">
        <v>28</v>
      </c>
      <c r="C1182" t="s">
        <v>84</v>
      </c>
      <c r="D1182" s="11">
        <v>45624</v>
      </c>
      <c r="E1182" t="s">
        <v>16</v>
      </c>
      <c r="F1182" t="s">
        <v>12</v>
      </c>
      <c r="G1182" t="s">
        <v>1164</v>
      </c>
      <c r="H1182">
        <v>5500024901</v>
      </c>
      <c r="I1182">
        <v>70</v>
      </c>
      <c r="J1182" s="29">
        <v>1</v>
      </c>
      <c r="K1182" s="29" t="s">
        <v>1161</v>
      </c>
      <c r="L1182" t="str">
        <f>IFERROR(VLOOKUP(Detalle_OC[[#This Row],[Centro]]&amp;Detalle_OC[[#This Row],[Nro Almacen]],Almacen!A:D,4,FALSE),"")</f>
        <v>Montelima</v>
      </c>
    </row>
    <row r="1183" spans="1:12" x14ac:dyDescent="0.3">
      <c r="A1183" s="29" t="str">
        <f>Detalle_OC[[#This Row],[Centro]]&amp;Detalle_OC[[#This Row],[Nom Almacen]]&amp;Detalle_OC[[#This Row],[Material]]&amp;Detalle_OC[[#This Row],[Pedido]]&amp;Detalle_OC[[#This Row],[Posicion]]</f>
        <v>Agricola del Chira PlantaMontelima8031515500024901140</v>
      </c>
      <c r="B1183" t="s">
        <v>28</v>
      </c>
      <c r="C1183" t="s">
        <v>84</v>
      </c>
      <c r="D1183" s="11">
        <v>45624</v>
      </c>
      <c r="E1183" t="s">
        <v>16</v>
      </c>
      <c r="F1183" t="s">
        <v>12</v>
      </c>
      <c r="G1183">
        <v>803151</v>
      </c>
      <c r="H1183">
        <v>5500024901</v>
      </c>
      <c r="I1183">
        <v>140</v>
      </c>
      <c r="J1183" s="29">
        <v>1</v>
      </c>
      <c r="K1183" s="29" t="s">
        <v>1161</v>
      </c>
      <c r="L1183" t="str">
        <f>IFERROR(VLOOKUP(Detalle_OC[[#This Row],[Centro]]&amp;Detalle_OC[[#This Row],[Nro Almacen]],Almacen!A:D,4,FALSE),"")</f>
        <v>Montelima</v>
      </c>
    </row>
    <row r="1184" spans="1:12" x14ac:dyDescent="0.3">
      <c r="A1184" s="29" t="str">
        <f>Detalle_OC[[#This Row],[Centro]]&amp;Detalle_OC[[#This Row],[Nom Almacen]]&amp;Detalle_OC[[#This Row],[Material]]&amp;Detalle_OC[[#This Row],[Pedido]]&amp;Detalle_OC[[#This Row],[Posicion]]</f>
        <v>Sucroalcolera del Chira PlantaMontelima862994451157116110</v>
      </c>
      <c r="B1184" t="s">
        <v>138</v>
      </c>
      <c r="C1184" t="s">
        <v>179</v>
      </c>
      <c r="D1184" s="11">
        <v>45632</v>
      </c>
      <c r="E1184" t="s">
        <v>16</v>
      </c>
      <c r="F1184" t="s">
        <v>85</v>
      </c>
      <c r="G1184">
        <v>862994</v>
      </c>
      <c r="H1184">
        <v>4511571161</v>
      </c>
      <c r="I1184">
        <v>10</v>
      </c>
      <c r="J1184" s="29">
        <v>1</v>
      </c>
      <c r="K1184" s="29" t="s">
        <v>1165</v>
      </c>
      <c r="L1184" t="str">
        <f>IFERROR(VLOOKUP(Detalle_OC[[#This Row],[Centro]]&amp;Detalle_OC[[#This Row],[Nro Almacen]],Almacen!A:D,4,FALSE),"")</f>
        <v>Montelima</v>
      </c>
    </row>
    <row r="1185" spans="1:12" x14ac:dyDescent="0.3">
      <c r="A1185" s="29" t="str">
        <f>Detalle_OC[[#This Row],[Centro]]&amp;Detalle_OC[[#This Row],[Nom Almacen]]&amp;Detalle_OC[[#This Row],[Material]]&amp;Detalle_OC[[#This Row],[Pedido]]&amp;Detalle_OC[[#This Row],[Posicion]]</f>
        <v>Agricola del Chira PlantaMontelima813003451157116810</v>
      </c>
      <c r="B1185" t="s">
        <v>149</v>
      </c>
      <c r="C1185" t="s">
        <v>166</v>
      </c>
      <c r="D1185" s="11">
        <v>45637</v>
      </c>
      <c r="E1185" t="s">
        <v>16</v>
      </c>
      <c r="F1185" t="s">
        <v>12</v>
      </c>
      <c r="G1185">
        <v>813003</v>
      </c>
      <c r="H1185">
        <v>4511571168</v>
      </c>
      <c r="I1185">
        <v>10</v>
      </c>
      <c r="J1185" s="29">
        <v>1</v>
      </c>
      <c r="K1185" s="29" t="s">
        <v>1165</v>
      </c>
      <c r="L1185" t="str">
        <f>IFERROR(VLOOKUP(Detalle_OC[[#This Row],[Centro]]&amp;Detalle_OC[[#This Row],[Nro Almacen]],Almacen!A:D,4,FALSE),"")</f>
        <v>Montelima</v>
      </c>
    </row>
    <row r="1186" spans="1:12" x14ac:dyDescent="0.3">
      <c r="A1186" s="29" t="str">
        <f>Detalle_OC[[#This Row],[Centro]]&amp;Detalle_OC[[#This Row],[Nom Almacen]]&amp;Detalle_OC[[#This Row],[Material]]&amp;Detalle_OC[[#This Row],[Pedido]]&amp;Detalle_OC[[#This Row],[Posicion]]</f>
        <v>Agricola del Chira PlantaMontelima813004451157116820</v>
      </c>
      <c r="B1186" t="s">
        <v>149</v>
      </c>
      <c r="C1186" t="s">
        <v>166</v>
      </c>
      <c r="D1186" s="11">
        <v>45637</v>
      </c>
      <c r="E1186" t="s">
        <v>16</v>
      </c>
      <c r="F1186" t="s">
        <v>12</v>
      </c>
      <c r="G1186">
        <v>813004</v>
      </c>
      <c r="H1186">
        <v>4511571168</v>
      </c>
      <c r="I1186">
        <v>20</v>
      </c>
      <c r="J1186" s="29">
        <v>1</v>
      </c>
      <c r="K1186" s="29" t="s">
        <v>1165</v>
      </c>
      <c r="L1186" t="str">
        <f>IFERROR(VLOOKUP(Detalle_OC[[#This Row],[Centro]]&amp;Detalle_OC[[#This Row],[Nro Almacen]],Almacen!A:D,4,FALSE),"")</f>
        <v>Montelima</v>
      </c>
    </row>
    <row r="1187" spans="1:12" x14ac:dyDescent="0.3">
      <c r="A1187" s="29" t="str">
        <f>Detalle_OC[[#This Row],[Centro]]&amp;Detalle_OC[[#This Row],[Nom Almacen]]&amp;Detalle_OC[[#This Row],[Material]]&amp;Detalle_OC[[#This Row],[Pedido]]&amp;Detalle_OC[[#This Row],[Posicion]]</f>
        <v>Agricola del Chira PlantaMontelima813006451157116830</v>
      </c>
      <c r="B1187" t="s">
        <v>149</v>
      </c>
      <c r="C1187" t="s">
        <v>166</v>
      </c>
      <c r="D1187" s="11">
        <v>45637</v>
      </c>
      <c r="E1187" t="s">
        <v>16</v>
      </c>
      <c r="F1187" t="s">
        <v>12</v>
      </c>
      <c r="G1187">
        <v>813006</v>
      </c>
      <c r="H1187">
        <v>4511571168</v>
      </c>
      <c r="I1187">
        <v>30</v>
      </c>
      <c r="J1187" s="29">
        <v>1</v>
      </c>
      <c r="K1187" s="29" t="s">
        <v>1165</v>
      </c>
      <c r="L1187" t="str">
        <f>IFERROR(VLOOKUP(Detalle_OC[[#This Row],[Centro]]&amp;Detalle_OC[[#This Row],[Nro Almacen]],Almacen!A:D,4,FALSE),"")</f>
        <v>Montelima</v>
      </c>
    </row>
    <row r="1188" spans="1:12" x14ac:dyDescent="0.3">
      <c r="A1188" s="29" t="str">
        <f>Detalle_OC[[#This Row],[Centro]]&amp;Detalle_OC[[#This Row],[Nom Almacen]]&amp;Detalle_OC[[#This Row],[Material]]&amp;Detalle_OC[[#This Row],[Pedido]]&amp;Detalle_OC[[#This Row],[Posicion]]</f>
        <v>Agricola del Chira PlantaMontelima828087451157116840</v>
      </c>
      <c r="B1188" t="s">
        <v>149</v>
      </c>
      <c r="C1188" t="s">
        <v>166</v>
      </c>
      <c r="D1188" s="11">
        <v>45637</v>
      </c>
      <c r="E1188" t="s">
        <v>16</v>
      </c>
      <c r="F1188" t="s">
        <v>12</v>
      </c>
      <c r="G1188">
        <v>828087</v>
      </c>
      <c r="H1188">
        <v>4511571168</v>
      </c>
      <c r="I1188">
        <v>40</v>
      </c>
      <c r="J1188" s="29">
        <v>1</v>
      </c>
      <c r="K1188" s="29" t="s">
        <v>1165</v>
      </c>
      <c r="L1188" t="str">
        <f>IFERROR(VLOOKUP(Detalle_OC[[#This Row],[Centro]]&amp;Detalle_OC[[#This Row],[Nro Almacen]],Almacen!A:D,4,FALSE),"")</f>
        <v>Montelima</v>
      </c>
    </row>
    <row r="1189" spans="1:12" x14ac:dyDescent="0.3">
      <c r="A1189" s="29" t="str">
        <f>Detalle_OC[[#This Row],[Centro]]&amp;Detalle_OC[[#This Row],[Nom Almacen]]&amp;Detalle_OC[[#This Row],[Material]]&amp;Detalle_OC[[#This Row],[Pedido]]&amp;Detalle_OC[[#This Row],[Posicion]]</f>
        <v>Agricola del Chira PlantaMontelima895691451157116850</v>
      </c>
      <c r="B1189" t="s">
        <v>149</v>
      </c>
      <c r="C1189" t="s">
        <v>166</v>
      </c>
      <c r="D1189" s="11">
        <v>45637</v>
      </c>
      <c r="E1189" t="s">
        <v>16</v>
      </c>
      <c r="F1189" t="s">
        <v>12</v>
      </c>
      <c r="G1189">
        <v>895691</v>
      </c>
      <c r="H1189">
        <v>4511571168</v>
      </c>
      <c r="I1189">
        <v>50</v>
      </c>
      <c r="J1189" s="29">
        <v>1</v>
      </c>
      <c r="K1189" s="29" t="s">
        <v>1165</v>
      </c>
      <c r="L1189" t="str">
        <f>IFERROR(VLOOKUP(Detalle_OC[[#This Row],[Centro]]&amp;Detalle_OC[[#This Row],[Nro Almacen]],Almacen!A:D,4,FALSE),"")</f>
        <v>Montelima</v>
      </c>
    </row>
    <row r="1190" spans="1:12" x14ac:dyDescent="0.3">
      <c r="A1190" s="29" t="str">
        <f>Detalle_OC[[#This Row],[Centro]]&amp;Detalle_OC[[#This Row],[Nom Almacen]]&amp;Detalle_OC[[#This Row],[Material]]&amp;Detalle_OC[[#This Row],[Pedido]]&amp;Detalle_OC[[#This Row],[Posicion]]</f>
        <v>Agricola del Chira PlantaMontelima70006290451157116860</v>
      </c>
      <c r="B1190" t="s">
        <v>149</v>
      </c>
      <c r="C1190" t="s">
        <v>166</v>
      </c>
      <c r="D1190" s="11">
        <v>45637</v>
      </c>
      <c r="E1190" t="s">
        <v>16</v>
      </c>
      <c r="F1190" t="s">
        <v>12</v>
      </c>
      <c r="G1190">
        <v>70006290</v>
      </c>
      <c r="H1190">
        <v>4511571168</v>
      </c>
      <c r="I1190">
        <v>60</v>
      </c>
      <c r="J1190" s="29">
        <v>1</v>
      </c>
      <c r="K1190" s="29" t="s">
        <v>1165</v>
      </c>
      <c r="L1190" t="str">
        <f>IFERROR(VLOOKUP(Detalle_OC[[#This Row],[Centro]]&amp;Detalle_OC[[#This Row],[Nro Almacen]],Almacen!A:D,4,FALSE),"")</f>
        <v>Montelima</v>
      </c>
    </row>
    <row r="1191" spans="1:12" x14ac:dyDescent="0.3">
      <c r="A1191" s="29" t="str">
        <f>Detalle_OC[[#This Row],[Centro]]&amp;Detalle_OC[[#This Row],[Nom Almacen]]&amp;Detalle_OC[[#This Row],[Material]]&amp;Detalle_OC[[#This Row],[Pedido]]&amp;Detalle_OC[[#This Row],[Posicion]]</f>
        <v>Agricola del Chira PlantaMontelima70006292451157116870</v>
      </c>
      <c r="B1191" t="s">
        <v>149</v>
      </c>
      <c r="C1191" t="s">
        <v>166</v>
      </c>
      <c r="D1191" s="11">
        <v>45637</v>
      </c>
      <c r="E1191" t="s">
        <v>16</v>
      </c>
      <c r="F1191" t="s">
        <v>12</v>
      </c>
      <c r="G1191">
        <v>70006292</v>
      </c>
      <c r="H1191">
        <v>4511571168</v>
      </c>
      <c r="I1191">
        <v>70</v>
      </c>
      <c r="J1191" s="29">
        <v>1</v>
      </c>
      <c r="K1191" s="29" t="s">
        <v>1165</v>
      </c>
      <c r="L1191" t="str">
        <f>IFERROR(VLOOKUP(Detalle_OC[[#This Row],[Centro]]&amp;Detalle_OC[[#This Row],[Nro Almacen]],Almacen!A:D,4,FALSE),"")</f>
        <v>Montelima</v>
      </c>
    </row>
    <row r="1192" spans="1:12" x14ac:dyDescent="0.3">
      <c r="A1192" s="29" t="str">
        <f>Detalle_OC[[#This Row],[Centro]]&amp;Detalle_OC[[#This Row],[Nom Almacen]]&amp;Detalle_OC[[#This Row],[Material]]&amp;Detalle_OC[[#This Row],[Pedido]]&amp;Detalle_OC[[#This Row],[Posicion]]</f>
        <v>Agricola del Chira PlantaMontelima70006294451157116880</v>
      </c>
      <c r="B1192" t="s">
        <v>149</v>
      </c>
      <c r="C1192" t="s">
        <v>166</v>
      </c>
      <c r="D1192" s="11">
        <v>45637</v>
      </c>
      <c r="E1192" t="s">
        <v>16</v>
      </c>
      <c r="F1192" t="s">
        <v>12</v>
      </c>
      <c r="G1192">
        <v>70006294</v>
      </c>
      <c r="H1192">
        <v>4511571168</v>
      </c>
      <c r="I1192">
        <v>80</v>
      </c>
      <c r="J1192" s="29">
        <v>1</v>
      </c>
      <c r="K1192" s="29" t="s">
        <v>1165</v>
      </c>
      <c r="L1192" t="str">
        <f>IFERROR(VLOOKUP(Detalle_OC[[#This Row],[Centro]]&amp;Detalle_OC[[#This Row],[Nro Almacen]],Almacen!A:D,4,FALSE),"")</f>
        <v>Montelima</v>
      </c>
    </row>
    <row r="1193" spans="1:12" x14ac:dyDescent="0.3">
      <c r="A1193" s="29" t="str">
        <f>Detalle_OC[[#This Row],[Centro]]&amp;Detalle_OC[[#This Row],[Nom Almacen]]&amp;Detalle_OC[[#This Row],[Material]]&amp;Detalle_OC[[#This Row],[Pedido]]&amp;Detalle_OC[[#This Row],[Posicion]]</f>
        <v>Agricola del Chira PlantaMontelima70006304451157116890</v>
      </c>
      <c r="B1193" t="s">
        <v>149</v>
      </c>
      <c r="C1193" t="s">
        <v>166</v>
      </c>
      <c r="D1193" s="11">
        <v>45637</v>
      </c>
      <c r="E1193" t="s">
        <v>16</v>
      </c>
      <c r="F1193" t="s">
        <v>12</v>
      </c>
      <c r="G1193">
        <v>70006304</v>
      </c>
      <c r="H1193">
        <v>4511571168</v>
      </c>
      <c r="I1193">
        <v>90</v>
      </c>
      <c r="J1193" s="29">
        <v>1</v>
      </c>
      <c r="K1193" s="29" t="s">
        <v>1165</v>
      </c>
      <c r="L1193" t="str">
        <f>IFERROR(VLOOKUP(Detalle_OC[[#This Row],[Centro]]&amp;Detalle_OC[[#This Row],[Nro Almacen]],Almacen!A:D,4,FALSE),"")</f>
        <v>Montelima</v>
      </c>
    </row>
    <row r="1194" spans="1:12" x14ac:dyDescent="0.3">
      <c r="A1194" s="29" t="str">
        <f>Detalle_OC[[#This Row],[Centro]]&amp;Detalle_OC[[#This Row],[Nom Almacen]]&amp;Detalle_OC[[#This Row],[Material]]&amp;Detalle_OC[[#This Row],[Pedido]]&amp;Detalle_OC[[#This Row],[Posicion]]</f>
        <v>Agricola del Chira PlantaMontelima700153344511571168110</v>
      </c>
      <c r="B1194" t="s">
        <v>149</v>
      </c>
      <c r="C1194" t="s">
        <v>166</v>
      </c>
      <c r="D1194" s="11">
        <v>45637</v>
      </c>
      <c r="E1194" t="s">
        <v>16</v>
      </c>
      <c r="F1194" t="s">
        <v>12</v>
      </c>
      <c r="G1194">
        <v>70015334</v>
      </c>
      <c r="H1194">
        <v>4511571168</v>
      </c>
      <c r="I1194">
        <v>110</v>
      </c>
      <c r="J1194" s="29">
        <v>1</v>
      </c>
      <c r="K1194" s="29" t="s">
        <v>1165</v>
      </c>
      <c r="L1194" t="str">
        <f>IFERROR(VLOOKUP(Detalle_OC[[#This Row],[Centro]]&amp;Detalle_OC[[#This Row],[Nro Almacen]],Almacen!A:D,4,FALSE),"")</f>
        <v>Montelima</v>
      </c>
    </row>
    <row r="1195" spans="1:12" x14ac:dyDescent="0.3">
      <c r="A1195" s="29" t="str">
        <f>Detalle_OC[[#This Row],[Centro]]&amp;Detalle_OC[[#This Row],[Nom Almacen]]&amp;Detalle_OC[[#This Row],[Material]]&amp;Detalle_OC[[#This Row],[Pedido]]&amp;Detalle_OC[[#This Row],[Posicion]]</f>
        <v>Agricola del Chira PlantaMontelima700198144511571168120</v>
      </c>
      <c r="B1195" t="s">
        <v>149</v>
      </c>
      <c r="C1195" t="s">
        <v>166</v>
      </c>
      <c r="D1195" s="11">
        <v>45637</v>
      </c>
      <c r="E1195" t="s">
        <v>16</v>
      </c>
      <c r="F1195" t="s">
        <v>12</v>
      </c>
      <c r="G1195">
        <v>70019814</v>
      </c>
      <c r="H1195">
        <v>4511571168</v>
      </c>
      <c r="I1195">
        <v>120</v>
      </c>
      <c r="J1195" s="29">
        <v>1</v>
      </c>
      <c r="K1195" s="29" t="s">
        <v>1165</v>
      </c>
      <c r="L1195" t="str">
        <f>IFERROR(VLOOKUP(Detalle_OC[[#This Row],[Centro]]&amp;Detalle_OC[[#This Row],[Nro Almacen]],Almacen!A:D,4,FALSE),"")</f>
        <v>Montelima</v>
      </c>
    </row>
    <row r="1196" spans="1:12" x14ac:dyDescent="0.3">
      <c r="A1196" s="29" t="str">
        <f>Detalle_OC[[#This Row],[Centro]]&amp;Detalle_OC[[#This Row],[Nom Almacen]]&amp;Detalle_OC[[#This Row],[Material]]&amp;Detalle_OC[[#This Row],[Pedido]]&amp;Detalle_OC[[#This Row],[Posicion]]</f>
        <v>Agricola del Chira PlantaMontelima700235884511571168130</v>
      </c>
      <c r="B1196" t="s">
        <v>149</v>
      </c>
      <c r="C1196" t="s">
        <v>166</v>
      </c>
      <c r="D1196" s="11">
        <v>45637</v>
      </c>
      <c r="E1196" t="s">
        <v>16</v>
      </c>
      <c r="F1196" t="s">
        <v>12</v>
      </c>
      <c r="G1196">
        <v>70023588</v>
      </c>
      <c r="H1196">
        <v>4511571168</v>
      </c>
      <c r="I1196">
        <v>130</v>
      </c>
      <c r="J1196" s="29">
        <v>1</v>
      </c>
      <c r="K1196" s="29" t="s">
        <v>1165</v>
      </c>
      <c r="L1196" t="str">
        <f>IFERROR(VLOOKUP(Detalle_OC[[#This Row],[Centro]]&amp;Detalle_OC[[#This Row],[Nro Almacen]],Almacen!A:D,4,FALSE),"")</f>
        <v>Montelima</v>
      </c>
    </row>
    <row r="1197" spans="1:12" x14ac:dyDescent="0.3">
      <c r="A1197" s="29" t="str">
        <f>Detalle_OC[[#This Row],[Centro]]&amp;Detalle_OC[[#This Row],[Nom Almacen]]&amp;Detalle_OC[[#This Row],[Material]]&amp;Detalle_OC[[#This Row],[Pedido]]&amp;Detalle_OC[[#This Row],[Posicion]]</f>
        <v>Agricola del Chira PlantaMontelima700298534511571168140</v>
      </c>
      <c r="B1197" t="s">
        <v>149</v>
      </c>
      <c r="C1197" t="s">
        <v>166</v>
      </c>
      <c r="D1197" s="11">
        <v>45637</v>
      </c>
      <c r="E1197" t="s">
        <v>16</v>
      </c>
      <c r="F1197" t="s">
        <v>12</v>
      </c>
      <c r="G1197">
        <v>70029853</v>
      </c>
      <c r="H1197">
        <v>4511571168</v>
      </c>
      <c r="I1197">
        <v>140</v>
      </c>
      <c r="J1197" s="29">
        <v>1</v>
      </c>
      <c r="K1197" s="29" t="s">
        <v>1165</v>
      </c>
      <c r="L1197" t="str">
        <f>IFERROR(VLOOKUP(Detalle_OC[[#This Row],[Centro]]&amp;Detalle_OC[[#This Row],[Nro Almacen]],Almacen!A:D,4,FALSE),"")</f>
        <v>Montelima</v>
      </c>
    </row>
    <row r="1198" spans="1:12" x14ac:dyDescent="0.3">
      <c r="A1198" s="29" t="str">
        <f>Detalle_OC[[#This Row],[Centro]]&amp;Detalle_OC[[#This Row],[Nom Almacen]]&amp;Detalle_OC[[#This Row],[Material]]&amp;Detalle_OC[[#This Row],[Pedido]]&amp;Detalle_OC[[#This Row],[Posicion]]</f>
        <v>Agricola del Chira PlantaMontelima700814194511571168150</v>
      </c>
      <c r="B1198" t="s">
        <v>149</v>
      </c>
      <c r="C1198" t="s">
        <v>166</v>
      </c>
      <c r="D1198" s="11">
        <v>45637</v>
      </c>
      <c r="E1198" t="s">
        <v>16</v>
      </c>
      <c r="F1198" t="s">
        <v>12</v>
      </c>
      <c r="G1198">
        <v>70081419</v>
      </c>
      <c r="H1198">
        <v>4511571168</v>
      </c>
      <c r="I1198">
        <v>150</v>
      </c>
      <c r="J1198" s="29">
        <v>1</v>
      </c>
      <c r="K1198" s="29" t="s">
        <v>1165</v>
      </c>
      <c r="L1198" t="str">
        <f>IFERROR(VLOOKUP(Detalle_OC[[#This Row],[Centro]]&amp;Detalle_OC[[#This Row],[Nro Almacen]],Almacen!A:D,4,FALSE),"")</f>
        <v>Montelima</v>
      </c>
    </row>
    <row r="1199" spans="1:12" x14ac:dyDescent="0.3">
      <c r="A1199" s="29" t="str">
        <f>Detalle_OC[[#This Row],[Centro]]&amp;Detalle_OC[[#This Row],[Nom Almacen]]&amp;Detalle_OC[[#This Row],[Material]]&amp;Detalle_OC[[#This Row],[Pedido]]&amp;Detalle_OC[[#This Row],[Posicion]]</f>
        <v>Sucroalcolera del Chira PlantaMontelima890456451157117410</v>
      </c>
      <c r="B1199" t="s">
        <v>1145</v>
      </c>
      <c r="C1199" t="s">
        <v>284</v>
      </c>
      <c r="D1199" s="11">
        <v>45684</v>
      </c>
      <c r="E1199" t="s">
        <v>16</v>
      </c>
      <c r="F1199" t="s">
        <v>85</v>
      </c>
      <c r="G1199">
        <v>890456</v>
      </c>
      <c r="H1199">
        <v>4511571174</v>
      </c>
      <c r="I1199">
        <v>10</v>
      </c>
      <c r="J1199" s="29">
        <v>1</v>
      </c>
      <c r="K1199" s="29" t="s">
        <v>1165</v>
      </c>
      <c r="L1199" t="str">
        <f>IFERROR(VLOOKUP(Detalle_OC[[#This Row],[Centro]]&amp;Detalle_OC[[#This Row],[Nro Almacen]],Almacen!A:D,4,FALSE),"")</f>
        <v>Montelima</v>
      </c>
    </row>
    <row r="1200" spans="1:12" x14ac:dyDescent="0.3">
      <c r="A1200" s="29" t="str">
        <f>Detalle_OC[[#This Row],[Centro]]&amp;Detalle_OC[[#This Row],[Nom Almacen]]&amp;Detalle_OC[[#This Row],[Material]]&amp;Detalle_OC[[#This Row],[Pedido]]&amp;Detalle_OC[[#This Row],[Posicion]]</f>
        <v>Sucroalcolera del Chira PlantaMontelima890457451157117420</v>
      </c>
      <c r="B1200" t="s">
        <v>1145</v>
      </c>
      <c r="C1200" t="s">
        <v>284</v>
      </c>
      <c r="D1200" s="11">
        <v>45684</v>
      </c>
      <c r="E1200" t="s">
        <v>16</v>
      </c>
      <c r="F1200" t="s">
        <v>85</v>
      </c>
      <c r="G1200">
        <v>890457</v>
      </c>
      <c r="H1200">
        <v>4511571174</v>
      </c>
      <c r="I1200">
        <v>20</v>
      </c>
      <c r="J1200" s="29">
        <v>1</v>
      </c>
      <c r="K1200" s="29" t="s">
        <v>1165</v>
      </c>
      <c r="L1200" t="str">
        <f>IFERROR(VLOOKUP(Detalle_OC[[#This Row],[Centro]]&amp;Detalle_OC[[#This Row],[Nro Almacen]],Almacen!A:D,4,FALSE),"")</f>
        <v>Montelima</v>
      </c>
    </row>
    <row r="1201" spans="1:12" x14ac:dyDescent="0.3">
      <c r="A1201" s="29" t="str">
        <f>Detalle_OC[[#This Row],[Centro]]&amp;Detalle_OC[[#This Row],[Nom Almacen]]&amp;Detalle_OC[[#This Row],[Material]]&amp;Detalle_OC[[#This Row],[Pedido]]&amp;Detalle_OC[[#This Row],[Posicion]]</f>
        <v>Sucroalcolera del Chira PlantaMontelima893100451157117430</v>
      </c>
      <c r="B1201" t="s">
        <v>1145</v>
      </c>
      <c r="C1201" t="s">
        <v>284</v>
      </c>
      <c r="D1201" s="11">
        <v>45684</v>
      </c>
      <c r="E1201" t="s">
        <v>16</v>
      </c>
      <c r="F1201" t="s">
        <v>85</v>
      </c>
      <c r="G1201">
        <v>893100</v>
      </c>
      <c r="H1201">
        <v>4511571174</v>
      </c>
      <c r="I1201">
        <v>30</v>
      </c>
      <c r="J1201" s="29">
        <v>1</v>
      </c>
      <c r="K1201" s="29" t="s">
        <v>1165</v>
      </c>
      <c r="L1201" t="str">
        <f>IFERROR(VLOOKUP(Detalle_OC[[#This Row],[Centro]]&amp;Detalle_OC[[#This Row],[Nro Almacen]],Almacen!A:D,4,FALSE),"")</f>
        <v>Montelima</v>
      </c>
    </row>
    <row r="1202" spans="1:12" x14ac:dyDescent="0.3">
      <c r="A1202" s="29" t="str">
        <f>Detalle_OC[[#This Row],[Centro]]&amp;Detalle_OC[[#This Row],[Nom Almacen]]&amp;Detalle_OC[[#This Row],[Material]]&amp;Detalle_OC[[#This Row],[Pedido]]&amp;Detalle_OC[[#This Row],[Posicion]]</f>
        <v>Sucroalcolera del Chira PlantaMontelima805076451157122410</v>
      </c>
      <c r="B1202" t="s">
        <v>1145</v>
      </c>
      <c r="C1202" t="s">
        <v>1135</v>
      </c>
      <c r="D1202" s="11">
        <v>45644</v>
      </c>
      <c r="E1202" t="s">
        <v>16</v>
      </c>
      <c r="F1202" t="s">
        <v>85</v>
      </c>
      <c r="G1202">
        <v>805076</v>
      </c>
      <c r="H1202">
        <v>4511571224</v>
      </c>
      <c r="I1202">
        <v>10</v>
      </c>
      <c r="J1202" s="29">
        <v>1</v>
      </c>
      <c r="K1202" s="29" t="s">
        <v>1165</v>
      </c>
      <c r="L1202" t="str">
        <f>IFERROR(VLOOKUP(Detalle_OC[[#This Row],[Centro]]&amp;Detalle_OC[[#This Row],[Nro Almacen]],Almacen!A:D,4,FALSE),"")</f>
        <v>Montelima</v>
      </c>
    </row>
    <row r="1203" spans="1:12" x14ac:dyDescent="0.3">
      <c r="A1203" s="29" t="str">
        <f>Detalle_OC[[#This Row],[Centro]]&amp;Detalle_OC[[#This Row],[Nom Almacen]]&amp;Detalle_OC[[#This Row],[Material]]&amp;Detalle_OC[[#This Row],[Pedido]]&amp;Detalle_OC[[#This Row],[Posicion]]</f>
        <v>Agricola del Chira PlantaMontelima70076141451157122510</v>
      </c>
      <c r="B1203" t="s">
        <v>188</v>
      </c>
      <c r="C1203" t="s">
        <v>300</v>
      </c>
      <c r="D1203" s="11">
        <v>45635</v>
      </c>
      <c r="E1203" t="s">
        <v>16</v>
      </c>
      <c r="F1203" t="s">
        <v>12</v>
      </c>
      <c r="G1203">
        <v>70076141</v>
      </c>
      <c r="H1203">
        <v>4511571225</v>
      </c>
      <c r="I1203">
        <v>10</v>
      </c>
      <c r="J1203" s="29">
        <v>1</v>
      </c>
      <c r="K1203" s="29" t="s">
        <v>1165</v>
      </c>
      <c r="L1203" t="str">
        <f>IFERROR(VLOOKUP(Detalle_OC[[#This Row],[Centro]]&amp;Detalle_OC[[#This Row],[Nro Almacen]],Almacen!A:D,4,FALSE),"")</f>
        <v>Montelima</v>
      </c>
    </row>
    <row r="1204" spans="1:12" x14ac:dyDescent="0.3">
      <c r="A1204" s="29" t="str">
        <f>Detalle_OC[[#This Row],[Centro]]&amp;Detalle_OC[[#This Row],[Nom Almacen]]&amp;Detalle_OC[[#This Row],[Material]]&amp;Detalle_OC[[#This Row],[Pedido]]&amp;Detalle_OC[[#This Row],[Posicion]]</f>
        <v>Sucroalcolera del Chira PlantaMontelima831839451157123510</v>
      </c>
      <c r="B1204" t="s">
        <v>1166</v>
      </c>
      <c r="C1204" t="s">
        <v>288</v>
      </c>
      <c r="D1204" s="11">
        <v>45626</v>
      </c>
      <c r="E1204" t="s">
        <v>16</v>
      </c>
      <c r="F1204" t="s">
        <v>85</v>
      </c>
      <c r="G1204">
        <v>831839</v>
      </c>
      <c r="H1204">
        <v>4511571235</v>
      </c>
      <c r="I1204">
        <v>10</v>
      </c>
      <c r="J1204" s="29">
        <v>1</v>
      </c>
      <c r="K1204" s="29" t="s">
        <v>1165</v>
      </c>
      <c r="L1204" t="str">
        <f>IFERROR(VLOOKUP(Detalle_OC[[#This Row],[Centro]]&amp;Detalle_OC[[#This Row],[Nro Almacen]],Almacen!A:D,4,FALSE),"")</f>
        <v>Montelima</v>
      </c>
    </row>
    <row r="1205" spans="1:12" x14ac:dyDescent="0.3">
      <c r="A1205" s="29" t="str">
        <f>Detalle_OC[[#This Row],[Centro]]&amp;Detalle_OC[[#This Row],[Nom Almacen]]&amp;Detalle_OC[[#This Row],[Material]]&amp;Detalle_OC[[#This Row],[Pedido]]&amp;Detalle_OC[[#This Row],[Posicion]]</f>
        <v>Sucroalcolera del Chira PlantaMontelima831839451157123520</v>
      </c>
      <c r="B1205" t="s">
        <v>1166</v>
      </c>
      <c r="C1205" t="s">
        <v>288</v>
      </c>
      <c r="D1205" s="11">
        <v>45657</v>
      </c>
      <c r="E1205" t="s">
        <v>16</v>
      </c>
      <c r="F1205" t="s">
        <v>85</v>
      </c>
      <c r="G1205">
        <v>831839</v>
      </c>
      <c r="H1205">
        <v>4511571235</v>
      </c>
      <c r="I1205">
        <v>20</v>
      </c>
      <c r="J1205" s="29">
        <v>1</v>
      </c>
      <c r="K1205" s="29" t="s">
        <v>1165</v>
      </c>
      <c r="L1205" t="str">
        <f>IFERROR(VLOOKUP(Detalle_OC[[#This Row],[Centro]]&amp;Detalle_OC[[#This Row],[Nro Almacen]],Almacen!A:D,4,FALSE),"")</f>
        <v>Montelima</v>
      </c>
    </row>
    <row r="1206" spans="1:12" x14ac:dyDescent="0.3">
      <c r="A1206" s="29" t="str">
        <f>Detalle_OC[[#This Row],[Centro]]&amp;Detalle_OC[[#This Row],[Nom Almacen]]&amp;Detalle_OC[[#This Row],[Material]]&amp;Detalle_OC[[#This Row],[Pedido]]&amp;Detalle_OC[[#This Row],[Posicion]]</f>
        <v>Agricola del Chira PlantaMontelima70073896451157125810</v>
      </c>
      <c r="B1206" t="s">
        <v>1143</v>
      </c>
      <c r="C1206" t="s">
        <v>212</v>
      </c>
      <c r="D1206" s="11">
        <v>45628</v>
      </c>
      <c r="E1206" t="s">
        <v>48</v>
      </c>
      <c r="F1206" t="s">
        <v>12</v>
      </c>
      <c r="G1206">
        <v>70073896</v>
      </c>
      <c r="H1206">
        <v>4511571258</v>
      </c>
      <c r="I1206">
        <v>10</v>
      </c>
      <c r="J1206" s="29">
        <v>1</v>
      </c>
      <c r="K1206" s="29" t="s">
        <v>1165</v>
      </c>
      <c r="L1206" t="str">
        <f>IFERROR(VLOOKUP(Detalle_OC[[#This Row],[Centro]]&amp;Detalle_OC[[#This Row],[Nro Almacen]],Almacen!A:D,4,FALSE),"")</f>
        <v>Montelima</v>
      </c>
    </row>
    <row r="1207" spans="1:12" x14ac:dyDescent="0.3">
      <c r="A1207" s="29" t="str">
        <f>Detalle_OC[[#This Row],[Centro]]&amp;Detalle_OC[[#This Row],[Nom Almacen]]&amp;Detalle_OC[[#This Row],[Material]]&amp;Detalle_OC[[#This Row],[Pedido]]&amp;Detalle_OC[[#This Row],[Posicion]]</f>
        <v>Agricola del Chira PlantaMontelima70135485451157125910</v>
      </c>
      <c r="B1207" t="s">
        <v>188</v>
      </c>
      <c r="C1207" t="s">
        <v>49</v>
      </c>
      <c r="D1207" s="11">
        <v>45635</v>
      </c>
      <c r="E1207" t="s">
        <v>16</v>
      </c>
      <c r="F1207" t="s">
        <v>12</v>
      </c>
      <c r="G1207">
        <v>70135485</v>
      </c>
      <c r="H1207">
        <v>4511571259</v>
      </c>
      <c r="I1207">
        <v>10</v>
      </c>
      <c r="J1207" s="29">
        <v>1</v>
      </c>
      <c r="K1207" s="29" t="s">
        <v>1165</v>
      </c>
      <c r="L1207" t="str">
        <f>IFERROR(VLOOKUP(Detalle_OC[[#This Row],[Centro]]&amp;Detalle_OC[[#This Row],[Nro Almacen]],Almacen!A:D,4,FALSE),"")</f>
        <v>Montelima</v>
      </c>
    </row>
    <row r="1208" spans="1:12" x14ac:dyDescent="0.3">
      <c r="A1208" s="29" t="str">
        <f>Detalle_OC[[#This Row],[Centro]]&amp;Detalle_OC[[#This Row],[Nom Almacen]]&amp;Detalle_OC[[#This Row],[Material]]&amp;Detalle_OC[[#This Row],[Pedido]]&amp;Detalle_OC[[#This Row],[Posicion]]</f>
        <v>Agricola del Chira PlantaMontelima718668451157126410</v>
      </c>
      <c r="B1208" t="s">
        <v>198</v>
      </c>
      <c r="C1208" t="s">
        <v>44</v>
      </c>
      <c r="D1208" s="11">
        <v>45641</v>
      </c>
      <c r="E1208" t="s">
        <v>48</v>
      </c>
      <c r="F1208" t="s">
        <v>12</v>
      </c>
      <c r="G1208">
        <v>718668</v>
      </c>
      <c r="H1208">
        <v>4511571264</v>
      </c>
      <c r="I1208">
        <v>10</v>
      </c>
      <c r="J1208" s="29">
        <v>1</v>
      </c>
      <c r="K1208" s="29" t="s">
        <v>1165</v>
      </c>
      <c r="L1208" t="str">
        <f>IFERROR(VLOOKUP(Detalle_OC[[#This Row],[Centro]]&amp;Detalle_OC[[#This Row],[Nro Almacen]],Almacen!A:D,4,FALSE),"")</f>
        <v>Montelima</v>
      </c>
    </row>
    <row r="1209" spans="1:12" x14ac:dyDescent="0.3">
      <c r="A1209" s="29" t="str">
        <f>Detalle_OC[[#This Row],[Centro]]&amp;Detalle_OC[[#This Row],[Nom Almacen]]&amp;Detalle_OC[[#This Row],[Material]]&amp;Detalle_OC[[#This Row],[Pedido]]&amp;Detalle_OC[[#This Row],[Posicion]]</f>
        <v>Agricola del Chira PlantaMontelima718869451157126420</v>
      </c>
      <c r="B1209" t="s">
        <v>198</v>
      </c>
      <c r="C1209" t="s">
        <v>44</v>
      </c>
      <c r="D1209" s="11">
        <v>45641</v>
      </c>
      <c r="E1209" t="s">
        <v>48</v>
      </c>
      <c r="F1209" t="s">
        <v>12</v>
      </c>
      <c r="G1209">
        <v>718869</v>
      </c>
      <c r="H1209">
        <v>4511571264</v>
      </c>
      <c r="I1209">
        <v>20</v>
      </c>
      <c r="J1209" s="29">
        <v>1</v>
      </c>
      <c r="K1209" s="29" t="s">
        <v>1165</v>
      </c>
      <c r="L1209" t="str">
        <f>IFERROR(VLOOKUP(Detalle_OC[[#This Row],[Centro]]&amp;Detalle_OC[[#This Row],[Nro Almacen]],Almacen!A:D,4,FALSE),"")</f>
        <v>Montelima</v>
      </c>
    </row>
    <row r="1210" spans="1:12" x14ac:dyDescent="0.3">
      <c r="A1210" s="29" t="str">
        <f>Detalle_OC[[#This Row],[Centro]]&amp;Detalle_OC[[#This Row],[Nom Almacen]]&amp;Detalle_OC[[#This Row],[Material]]&amp;Detalle_OC[[#This Row],[Pedido]]&amp;Detalle_OC[[#This Row],[Posicion]]</f>
        <v>Agricola del Chira PlantaMontelima734967451157126430</v>
      </c>
      <c r="B1210" t="s">
        <v>198</v>
      </c>
      <c r="C1210" t="s">
        <v>44</v>
      </c>
      <c r="D1210" s="11">
        <v>45641</v>
      </c>
      <c r="E1210" t="s">
        <v>48</v>
      </c>
      <c r="F1210" t="s">
        <v>12</v>
      </c>
      <c r="G1210">
        <v>734967</v>
      </c>
      <c r="H1210">
        <v>4511571264</v>
      </c>
      <c r="I1210">
        <v>30</v>
      </c>
      <c r="J1210" s="29">
        <v>1</v>
      </c>
      <c r="K1210" s="29" t="s">
        <v>1165</v>
      </c>
      <c r="L1210" t="str">
        <f>IFERROR(VLOOKUP(Detalle_OC[[#This Row],[Centro]]&amp;Detalle_OC[[#This Row],[Nro Almacen]],Almacen!A:D,4,FALSE),"")</f>
        <v>Montelima</v>
      </c>
    </row>
    <row r="1211" spans="1:12" x14ac:dyDescent="0.3">
      <c r="A1211" s="29" t="str">
        <f>Detalle_OC[[#This Row],[Centro]]&amp;Detalle_OC[[#This Row],[Nom Almacen]]&amp;Detalle_OC[[#This Row],[Material]]&amp;Detalle_OC[[#This Row],[Pedido]]&amp;Detalle_OC[[#This Row],[Posicion]]</f>
        <v>Agricola del Chira PlantaMontelima764020451157126440</v>
      </c>
      <c r="B1211" t="s">
        <v>198</v>
      </c>
      <c r="C1211" t="s">
        <v>44</v>
      </c>
      <c r="D1211" s="11">
        <v>45641</v>
      </c>
      <c r="E1211" t="s">
        <v>48</v>
      </c>
      <c r="F1211" t="s">
        <v>12</v>
      </c>
      <c r="G1211">
        <v>764020</v>
      </c>
      <c r="H1211">
        <v>4511571264</v>
      </c>
      <c r="I1211">
        <v>40</v>
      </c>
      <c r="J1211" s="29">
        <v>1</v>
      </c>
      <c r="K1211" s="29" t="s">
        <v>1165</v>
      </c>
      <c r="L1211" t="str">
        <f>IFERROR(VLOOKUP(Detalle_OC[[#This Row],[Centro]]&amp;Detalle_OC[[#This Row],[Nro Almacen]],Almacen!A:D,4,FALSE),"")</f>
        <v>Montelima</v>
      </c>
    </row>
    <row r="1212" spans="1:12" x14ac:dyDescent="0.3">
      <c r="A1212" s="29" t="str">
        <f>Detalle_OC[[#This Row],[Centro]]&amp;Detalle_OC[[#This Row],[Nom Almacen]]&amp;Detalle_OC[[#This Row],[Material]]&amp;Detalle_OC[[#This Row],[Pedido]]&amp;Detalle_OC[[#This Row],[Posicion]]</f>
        <v>Agricola del Chira PlantaMontelima764064451157126450</v>
      </c>
      <c r="B1212" t="s">
        <v>198</v>
      </c>
      <c r="C1212" t="s">
        <v>44</v>
      </c>
      <c r="D1212" s="11">
        <v>45641</v>
      </c>
      <c r="E1212" t="s">
        <v>48</v>
      </c>
      <c r="F1212" t="s">
        <v>12</v>
      </c>
      <c r="G1212">
        <v>764064</v>
      </c>
      <c r="H1212">
        <v>4511571264</v>
      </c>
      <c r="I1212">
        <v>50</v>
      </c>
      <c r="J1212" s="29">
        <v>1</v>
      </c>
      <c r="K1212" s="29" t="s">
        <v>1165</v>
      </c>
      <c r="L1212" t="str">
        <f>IFERROR(VLOOKUP(Detalle_OC[[#This Row],[Centro]]&amp;Detalle_OC[[#This Row],[Nro Almacen]],Almacen!A:D,4,FALSE),"")</f>
        <v>Montelima</v>
      </c>
    </row>
    <row r="1213" spans="1:12" x14ac:dyDescent="0.3">
      <c r="A1213" s="29" t="str">
        <f>Detalle_OC[[#This Row],[Centro]]&amp;Detalle_OC[[#This Row],[Nom Almacen]]&amp;Detalle_OC[[#This Row],[Material]]&amp;Detalle_OC[[#This Row],[Pedido]]&amp;Detalle_OC[[#This Row],[Posicion]]</f>
        <v>Agricola del Chira PlantaMontelimaCC11190445        451157126460</v>
      </c>
      <c r="B1213" t="s">
        <v>198</v>
      </c>
      <c r="C1213" t="s">
        <v>44</v>
      </c>
      <c r="D1213" s="11">
        <v>45641</v>
      </c>
      <c r="E1213" t="s">
        <v>48</v>
      </c>
      <c r="F1213" t="s">
        <v>12</v>
      </c>
      <c r="G1213" t="s">
        <v>246</v>
      </c>
      <c r="H1213">
        <v>4511571264</v>
      </c>
      <c r="I1213">
        <v>60</v>
      </c>
      <c r="J1213" s="29">
        <v>1</v>
      </c>
      <c r="K1213" s="29" t="s">
        <v>1165</v>
      </c>
      <c r="L1213" t="str">
        <f>IFERROR(VLOOKUP(Detalle_OC[[#This Row],[Centro]]&amp;Detalle_OC[[#This Row],[Nro Almacen]],Almacen!A:D,4,FALSE),"")</f>
        <v>Montelima</v>
      </c>
    </row>
    <row r="1214" spans="1:12" x14ac:dyDescent="0.3">
      <c r="A1214" s="29" t="str">
        <f>Detalle_OC[[#This Row],[Centro]]&amp;Detalle_OC[[#This Row],[Nom Almacen]]&amp;Detalle_OC[[#This Row],[Material]]&amp;Detalle_OC[[#This Row],[Pedido]]&amp;Detalle_OC[[#This Row],[Posicion]]</f>
        <v>Agricola del Chira PlantaMontelimaCET0711342        451157126470</v>
      </c>
      <c r="B1214" t="s">
        <v>198</v>
      </c>
      <c r="C1214" t="s">
        <v>44</v>
      </c>
      <c r="D1214" s="11">
        <v>45641</v>
      </c>
      <c r="E1214" t="s">
        <v>48</v>
      </c>
      <c r="F1214" t="s">
        <v>12</v>
      </c>
      <c r="G1214" t="s">
        <v>249</v>
      </c>
      <c r="H1214">
        <v>4511571264</v>
      </c>
      <c r="I1214">
        <v>70</v>
      </c>
      <c r="J1214" s="29">
        <v>1</v>
      </c>
      <c r="K1214" s="29" t="s">
        <v>1165</v>
      </c>
      <c r="L1214" t="str">
        <f>IFERROR(VLOOKUP(Detalle_OC[[#This Row],[Centro]]&amp;Detalle_OC[[#This Row],[Nro Almacen]],Almacen!A:D,4,FALSE),"")</f>
        <v>Montelima</v>
      </c>
    </row>
    <row r="1215" spans="1:12" x14ac:dyDescent="0.3">
      <c r="A1215" s="29" t="str">
        <f>Detalle_OC[[#This Row],[Centro]]&amp;Detalle_OC[[#This Row],[Nom Almacen]]&amp;Detalle_OC[[#This Row],[Material]]&amp;Detalle_OC[[#This Row],[Pedido]]&amp;Detalle_OC[[#This Row],[Posicion]]</f>
        <v>Agricola del Chira PlantaMontelimaCK00000121        451157126480</v>
      </c>
      <c r="B1215" t="s">
        <v>198</v>
      </c>
      <c r="C1215" t="s">
        <v>44</v>
      </c>
      <c r="D1215" s="11">
        <v>45641</v>
      </c>
      <c r="E1215" t="s">
        <v>48</v>
      </c>
      <c r="F1215" t="s">
        <v>12</v>
      </c>
      <c r="G1215" t="s">
        <v>247</v>
      </c>
      <c r="H1215">
        <v>4511571264</v>
      </c>
      <c r="I1215">
        <v>80</v>
      </c>
      <c r="J1215" s="29">
        <v>1</v>
      </c>
      <c r="K1215" s="29" t="s">
        <v>1165</v>
      </c>
      <c r="L1215" t="str">
        <f>IFERROR(VLOOKUP(Detalle_OC[[#This Row],[Centro]]&amp;Detalle_OC[[#This Row],[Nro Almacen]],Almacen!A:D,4,FALSE),"")</f>
        <v>Montelima</v>
      </c>
    </row>
    <row r="1216" spans="1:12" x14ac:dyDescent="0.3">
      <c r="A1216" s="29" t="str">
        <f>Detalle_OC[[#This Row],[Centro]]&amp;Detalle_OC[[#This Row],[Nom Almacen]]&amp;Detalle_OC[[#This Row],[Material]]&amp;Detalle_OC[[#This Row],[Pedido]]&amp;Detalle_OC[[#This Row],[Posicion]]</f>
        <v>Agricola del Chira PlantaMontelimaCK00000122        451157126490</v>
      </c>
      <c r="B1216" t="s">
        <v>198</v>
      </c>
      <c r="C1216" t="s">
        <v>44</v>
      </c>
      <c r="D1216" s="11">
        <v>45641</v>
      </c>
      <c r="E1216" t="s">
        <v>48</v>
      </c>
      <c r="F1216" t="s">
        <v>12</v>
      </c>
      <c r="G1216" t="s">
        <v>248</v>
      </c>
      <c r="H1216">
        <v>4511571264</v>
      </c>
      <c r="I1216">
        <v>90</v>
      </c>
      <c r="J1216" s="29">
        <v>1</v>
      </c>
      <c r="K1216" s="29" t="s">
        <v>1165</v>
      </c>
      <c r="L1216" t="str">
        <f>IFERROR(VLOOKUP(Detalle_OC[[#This Row],[Centro]]&amp;Detalle_OC[[#This Row],[Nro Almacen]],Almacen!A:D,4,FALSE),"")</f>
        <v>Montelima</v>
      </c>
    </row>
    <row r="1217" spans="1:12" x14ac:dyDescent="0.3">
      <c r="A1217" s="29" t="str">
        <f>Detalle_OC[[#This Row],[Centro]]&amp;Detalle_OC[[#This Row],[Nom Almacen]]&amp;Detalle_OC[[#This Row],[Material]]&amp;Detalle_OC[[#This Row],[Pedido]]&amp;Detalle_OC[[#This Row],[Posicion]]</f>
        <v>Agricola del Chira PlantaMontelimaCK00000123        4511571264100</v>
      </c>
      <c r="B1217" t="s">
        <v>198</v>
      </c>
      <c r="C1217" t="s">
        <v>44</v>
      </c>
      <c r="D1217" s="11">
        <v>45641</v>
      </c>
      <c r="E1217" t="s">
        <v>48</v>
      </c>
      <c r="F1217" t="s">
        <v>12</v>
      </c>
      <c r="G1217" t="s">
        <v>250</v>
      </c>
      <c r="H1217">
        <v>4511571264</v>
      </c>
      <c r="I1217">
        <v>100</v>
      </c>
      <c r="J1217" s="29">
        <v>1</v>
      </c>
      <c r="K1217" s="29" t="s">
        <v>1165</v>
      </c>
      <c r="L1217" t="str">
        <f>IFERROR(VLOOKUP(Detalle_OC[[#This Row],[Centro]]&amp;Detalle_OC[[#This Row],[Nro Almacen]],Almacen!A:D,4,FALSE),"")</f>
        <v>Montelima</v>
      </c>
    </row>
    <row r="1218" spans="1:12" x14ac:dyDescent="0.3">
      <c r="A1218" s="29" t="str">
        <f>Detalle_OC[[#This Row],[Centro]]&amp;Detalle_OC[[#This Row],[Nom Almacen]]&amp;Detalle_OC[[#This Row],[Material]]&amp;Detalle_OC[[#This Row],[Pedido]]&amp;Detalle_OC[[#This Row],[Posicion]]</f>
        <v>Agricola del Chira PlantaSan Vicente70086240451157104810</v>
      </c>
      <c r="B1218" t="s">
        <v>33</v>
      </c>
      <c r="C1218" t="s">
        <v>143</v>
      </c>
      <c r="D1218" s="11">
        <v>45639</v>
      </c>
      <c r="E1218" t="s">
        <v>16</v>
      </c>
      <c r="F1218" t="s">
        <v>12</v>
      </c>
      <c r="G1218">
        <v>70086240</v>
      </c>
      <c r="H1218">
        <v>4511571048</v>
      </c>
      <c r="I1218">
        <v>10</v>
      </c>
      <c r="J1218" s="29">
        <v>3</v>
      </c>
      <c r="K1218" s="29" t="s">
        <v>1167</v>
      </c>
      <c r="L1218" t="str">
        <f>IFERROR(VLOOKUP(Detalle_OC[[#This Row],[Centro]]&amp;Detalle_OC[[#This Row],[Nro Almacen]],Almacen!A:D,4,FALSE),"")</f>
        <v>San Vicente</v>
      </c>
    </row>
    <row r="1219" spans="1:12" x14ac:dyDescent="0.3">
      <c r="A1219" s="29" t="str">
        <f>Detalle_OC[[#This Row],[Centro]]&amp;Detalle_OC[[#This Row],[Nom Almacen]]&amp;Detalle_OC[[#This Row],[Material]]&amp;Detalle_OC[[#This Row],[Pedido]]&amp;Detalle_OC[[#This Row],[Posicion]]</f>
        <v>Bioenergía del Chira Planta806002451157105510</v>
      </c>
      <c r="B1219" t="s">
        <v>196</v>
      </c>
      <c r="C1219" t="s">
        <v>272</v>
      </c>
      <c r="D1219" s="11">
        <v>45628</v>
      </c>
      <c r="E1219" t="s">
        <v>16</v>
      </c>
      <c r="F1219" t="s">
        <v>86</v>
      </c>
      <c r="G1219">
        <v>806002</v>
      </c>
      <c r="H1219">
        <v>4511571055</v>
      </c>
      <c r="I1219">
        <v>10</v>
      </c>
      <c r="J1219" s="29" t="s">
        <v>155</v>
      </c>
      <c r="K1219" s="29" t="s">
        <v>1167</v>
      </c>
      <c r="L1219" t="str">
        <f>IFERROR(VLOOKUP(Detalle_OC[[#This Row],[Centro]]&amp;Detalle_OC[[#This Row],[Nro Almacen]],Almacen!A:D,4,FALSE),"")</f>
        <v/>
      </c>
    </row>
    <row r="1220" spans="1:12" x14ac:dyDescent="0.3">
      <c r="A1220" s="29" t="str">
        <f>Detalle_OC[[#This Row],[Centro]]&amp;Detalle_OC[[#This Row],[Nom Almacen]]&amp;Detalle_OC[[#This Row],[Material]]&amp;Detalle_OC[[#This Row],[Pedido]]&amp;Detalle_OC[[#This Row],[Posicion]]</f>
        <v>Agricola del Chira PlantaMontelima827680451157105710</v>
      </c>
      <c r="B1220" t="s">
        <v>149</v>
      </c>
      <c r="C1220" t="s">
        <v>166</v>
      </c>
      <c r="D1220" s="11">
        <v>45632</v>
      </c>
      <c r="E1220" t="s">
        <v>16</v>
      </c>
      <c r="F1220" t="s">
        <v>12</v>
      </c>
      <c r="G1220">
        <v>827680</v>
      </c>
      <c r="H1220">
        <v>4511571057</v>
      </c>
      <c r="I1220">
        <v>10</v>
      </c>
      <c r="J1220" s="29">
        <v>1</v>
      </c>
      <c r="K1220" s="29" t="s">
        <v>1167</v>
      </c>
      <c r="L1220" t="str">
        <f>IFERROR(VLOOKUP(Detalle_OC[[#This Row],[Centro]]&amp;Detalle_OC[[#This Row],[Nro Almacen]],Almacen!A:D,4,FALSE),"")</f>
        <v>Montelima</v>
      </c>
    </row>
    <row r="1221" spans="1:12" x14ac:dyDescent="0.3">
      <c r="A1221" s="29" t="str">
        <f>Detalle_OC[[#This Row],[Centro]]&amp;Detalle_OC[[#This Row],[Nom Almacen]]&amp;Detalle_OC[[#This Row],[Material]]&amp;Detalle_OC[[#This Row],[Pedido]]&amp;Detalle_OC[[#This Row],[Posicion]]</f>
        <v>Agricola del Chira PlantaMontelima841686451157105720</v>
      </c>
      <c r="B1221" t="s">
        <v>149</v>
      </c>
      <c r="C1221" t="s">
        <v>166</v>
      </c>
      <c r="D1221" s="11">
        <v>45632</v>
      </c>
      <c r="E1221" t="s">
        <v>16</v>
      </c>
      <c r="F1221" t="s">
        <v>12</v>
      </c>
      <c r="G1221">
        <v>841686</v>
      </c>
      <c r="H1221">
        <v>4511571057</v>
      </c>
      <c r="I1221">
        <v>20</v>
      </c>
      <c r="J1221" s="29">
        <v>1</v>
      </c>
      <c r="K1221" s="29" t="s">
        <v>1167</v>
      </c>
      <c r="L1221" t="str">
        <f>IFERROR(VLOOKUP(Detalle_OC[[#This Row],[Centro]]&amp;Detalle_OC[[#This Row],[Nro Almacen]],Almacen!A:D,4,FALSE),"")</f>
        <v>Montelima</v>
      </c>
    </row>
    <row r="1222" spans="1:12" x14ac:dyDescent="0.3">
      <c r="A1222" s="29" t="str">
        <f>Detalle_OC[[#This Row],[Centro]]&amp;Detalle_OC[[#This Row],[Nom Almacen]]&amp;Detalle_OC[[#This Row],[Material]]&amp;Detalle_OC[[#This Row],[Pedido]]&amp;Detalle_OC[[#This Row],[Posicion]]</f>
        <v>Agricola del Chira PlantaMontelima868371451157105730</v>
      </c>
      <c r="B1222" t="s">
        <v>149</v>
      </c>
      <c r="C1222" t="s">
        <v>166</v>
      </c>
      <c r="D1222" s="11">
        <v>45632</v>
      </c>
      <c r="E1222" t="s">
        <v>16</v>
      </c>
      <c r="F1222" t="s">
        <v>12</v>
      </c>
      <c r="G1222">
        <v>868371</v>
      </c>
      <c r="H1222">
        <v>4511571057</v>
      </c>
      <c r="I1222">
        <v>30</v>
      </c>
      <c r="J1222" s="29">
        <v>1</v>
      </c>
      <c r="K1222" s="29" t="s">
        <v>1167</v>
      </c>
      <c r="L1222" t="str">
        <f>IFERROR(VLOOKUP(Detalle_OC[[#This Row],[Centro]]&amp;Detalle_OC[[#This Row],[Nro Almacen]],Almacen!A:D,4,FALSE),"")</f>
        <v>Montelima</v>
      </c>
    </row>
    <row r="1223" spans="1:12" x14ac:dyDescent="0.3">
      <c r="A1223" s="29" t="str">
        <f>Detalle_OC[[#This Row],[Centro]]&amp;Detalle_OC[[#This Row],[Nom Almacen]]&amp;Detalle_OC[[#This Row],[Material]]&amp;Detalle_OC[[#This Row],[Pedido]]&amp;Detalle_OC[[#This Row],[Posicion]]</f>
        <v>Agricola del Chira PlantaMontelima871077451157105740</v>
      </c>
      <c r="B1223" t="s">
        <v>149</v>
      </c>
      <c r="C1223" t="s">
        <v>166</v>
      </c>
      <c r="D1223" s="11">
        <v>45632</v>
      </c>
      <c r="E1223" t="s">
        <v>16</v>
      </c>
      <c r="F1223" t="s">
        <v>12</v>
      </c>
      <c r="G1223">
        <v>871077</v>
      </c>
      <c r="H1223">
        <v>4511571057</v>
      </c>
      <c r="I1223">
        <v>40</v>
      </c>
      <c r="J1223" s="29">
        <v>1</v>
      </c>
      <c r="K1223" s="29" t="s">
        <v>1167</v>
      </c>
      <c r="L1223" t="str">
        <f>IFERROR(VLOOKUP(Detalle_OC[[#This Row],[Centro]]&amp;Detalle_OC[[#This Row],[Nro Almacen]],Almacen!A:D,4,FALSE),"")</f>
        <v>Montelima</v>
      </c>
    </row>
    <row r="1224" spans="1:12" x14ac:dyDescent="0.3">
      <c r="A1224" s="29" t="str">
        <f>Detalle_OC[[#This Row],[Centro]]&amp;Detalle_OC[[#This Row],[Nom Almacen]]&amp;Detalle_OC[[#This Row],[Material]]&amp;Detalle_OC[[#This Row],[Pedido]]&amp;Detalle_OC[[#This Row],[Posicion]]</f>
        <v>Agricola del Chira PlantaMontelima70001772451157105750</v>
      </c>
      <c r="B1224" t="s">
        <v>149</v>
      </c>
      <c r="C1224" t="s">
        <v>166</v>
      </c>
      <c r="D1224" s="11">
        <v>45632</v>
      </c>
      <c r="E1224" t="s">
        <v>16</v>
      </c>
      <c r="F1224" t="s">
        <v>12</v>
      </c>
      <c r="G1224">
        <v>70001772</v>
      </c>
      <c r="H1224">
        <v>4511571057</v>
      </c>
      <c r="I1224">
        <v>50</v>
      </c>
      <c r="J1224" s="29">
        <v>1</v>
      </c>
      <c r="K1224" s="29" t="s">
        <v>1167</v>
      </c>
      <c r="L1224" t="str">
        <f>IFERROR(VLOOKUP(Detalle_OC[[#This Row],[Centro]]&amp;Detalle_OC[[#This Row],[Nro Almacen]],Almacen!A:D,4,FALSE),"")</f>
        <v>Montelima</v>
      </c>
    </row>
    <row r="1225" spans="1:12" x14ac:dyDescent="0.3">
      <c r="A1225" s="29" t="str">
        <f>Detalle_OC[[#This Row],[Centro]]&amp;Detalle_OC[[#This Row],[Nom Almacen]]&amp;Detalle_OC[[#This Row],[Material]]&amp;Detalle_OC[[#This Row],[Pedido]]&amp;Detalle_OC[[#This Row],[Posicion]]</f>
        <v>Agricola del Chira PlantaMontelima70001775451157105760</v>
      </c>
      <c r="B1225" t="s">
        <v>149</v>
      </c>
      <c r="C1225" t="s">
        <v>166</v>
      </c>
      <c r="D1225" s="11">
        <v>45635</v>
      </c>
      <c r="E1225" t="s">
        <v>16</v>
      </c>
      <c r="F1225" t="s">
        <v>12</v>
      </c>
      <c r="G1225">
        <v>70001775</v>
      </c>
      <c r="H1225">
        <v>4511571057</v>
      </c>
      <c r="I1225">
        <v>60</v>
      </c>
      <c r="J1225" s="29">
        <v>1</v>
      </c>
      <c r="K1225" s="29" t="s">
        <v>1167</v>
      </c>
      <c r="L1225" t="str">
        <f>IFERROR(VLOOKUP(Detalle_OC[[#This Row],[Centro]]&amp;Detalle_OC[[#This Row],[Nro Almacen]],Almacen!A:D,4,FALSE),"")</f>
        <v>Montelima</v>
      </c>
    </row>
    <row r="1226" spans="1:12" x14ac:dyDescent="0.3">
      <c r="A1226" s="29" t="str">
        <f>Detalle_OC[[#This Row],[Centro]]&amp;Detalle_OC[[#This Row],[Nom Almacen]]&amp;Detalle_OC[[#This Row],[Material]]&amp;Detalle_OC[[#This Row],[Pedido]]&amp;Detalle_OC[[#This Row],[Posicion]]</f>
        <v>Agricola del Chira PlantaMontelima70004794451157105770</v>
      </c>
      <c r="B1226" t="s">
        <v>149</v>
      </c>
      <c r="C1226" t="s">
        <v>166</v>
      </c>
      <c r="D1226" s="11">
        <v>45632</v>
      </c>
      <c r="E1226" t="s">
        <v>16</v>
      </c>
      <c r="F1226" t="s">
        <v>12</v>
      </c>
      <c r="G1226">
        <v>70004794</v>
      </c>
      <c r="H1226">
        <v>4511571057</v>
      </c>
      <c r="I1226">
        <v>70</v>
      </c>
      <c r="J1226" s="29">
        <v>1</v>
      </c>
      <c r="K1226" s="29" t="s">
        <v>1167</v>
      </c>
      <c r="L1226" t="str">
        <f>IFERROR(VLOOKUP(Detalle_OC[[#This Row],[Centro]]&amp;Detalle_OC[[#This Row],[Nro Almacen]],Almacen!A:D,4,FALSE),"")</f>
        <v>Montelima</v>
      </c>
    </row>
    <row r="1227" spans="1:12" x14ac:dyDescent="0.3">
      <c r="A1227" s="29" t="str">
        <f>Detalle_OC[[#This Row],[Centro]]&amp;Detalle_OC[[#This Row],[Nom Almacen]]&amp;Detalle_OC[[#This Row],[Material]]&amp;Detalle_OC[[#This Row],[Pedido]]&amp;Detalle_OC[[#This Row],[Posicion]]</f>
        <v>Agricola del Chira PlantaMontelima70006884451157105780</v>
      </c>
      <c r="B1227" t="s">
        <v>149</v>
      </c>
      <c r="C1227" t="s">
        <v>166</v>
      </c>
      <c r="D1227" s="11">
        <v>45632</v>
      </c>
      <c r="E1227" t="s">
        <v>16</v>
      </c>
      <c r="F1227" t="s">
        <v>12</v>
      </c>
      <c r="G1227">
        <v>70006884</v>
      </c>
      <c r="H1227">
        <v>4511571057</v>
      </c>
      <c r="I1227">
        <v>80</v>
      </c>
      <c r="J1227" s="29">
        <v>1</v>
      </c>
      <c r="K1227" s="29" t="s">
        <v>1167</v>
      </c>
      <c r="L1227" t="str">
        <f>IFERROR(VLOOKUP(Detalle_OC[[#This Row],[Centro]]&amp;Detalle_OC[[#This Row],[Nro Almacen]],Almacen!A:D,4,FALSE),"")</f>
        <v>Montelima</v>
      </c>
    </row>
    <row r="1228" spans="1:12" x14ac:dyDescent="0.3">
      <c r="A1228" s="29" t="str">
        <f>Detalle_OC[[#This Row],[Centro]]&amp;Detalle_OC[[#This Row],[Nom Almacen]]&amp;Detalle_OC[[#This Row],[Material]]&amp;Detalle_OC[[#This Row],[Pedido]]&amp;Detalle_OC[[#This Row],[Posicion]]</f>
        <v>Agricola del Chira PlantaMontelima70007002451157105790</v>
      </c>
      <c r="B1228" t="s">
        <v>149</v>
      </c>
      <c r="C1228" t="s">
        <v>166</v>
      </c>
      <c r="D1228" s="11">
        <v>45632</v>
      </c>
      <c r="E1228" t="s">
        <v>16</v>
      </c>
      <c r="F1228" t="s">
        <v>12</v>
      </c>
      <c r="G1228">
        <v>70007002</v>
      </c>
      <c r="H1228">
        <v>4511571057</v>
      </c>
      <c r="I1228">
        <v>90</v>
      </c>
      <c r="J1228" s="29">
        <v>1</v>
      </c>
      <c r="K1228" s="29" t="s">
        <v>1167</v>
      </c>
      <c r="L1228" t="str">
        <f>IFERROR(VLOOKUP(Detalle_OC[[#This Row],[Centro]]&amp;Detalle_OC[[#This Row],[Nro Almacen]],Almacen!A:D,4,FALSE),"")</f>
        <v>Montelima</v>
      </c>
    </row>
    <row r="1229" spans="1:12" x14ac:dyDescent="0.3">
      <c r="A1229" s="29" t="str">
        <f>Detalle_OC[[#This Row],[Centro]]&amp;Detalle_OC[[#This Row],[Nom Almacen]]&amp;Detalle_OC[[#This Row],[Material]]&amp;Detalle_OC[[#This Row],[Pedido]]&amp;Detalle_OC[[#This Row],[Posicion]]</f>
        <v>Agricola del Chira PlantaMontelima700104824511571057100</v>
      </c>
      <c r="B1229" t="s">
        <v>149</v>
      </c>
      <c r="C1229" t="s">
        <v>166</v>
      </c>
      <c r="D1229" s="11">
        <v>45632</v>
      </c>
      <c r="E1229" t="s">
        <v>16</v>
      </c>
      <c r="F1229" t="s">
        <v>12</v>
      </c>
      <c r="G1229">
        <v>70010482</v>
      </c>
      <c r="H1229">
        <v>4511571057</v>
      </c>
      <c r="I1229">
        <v>100</v>
      </c>
      <c r="J1229" s="29">
        <v>1</v>
      </c>
      <c r="K1229" s="29" t="s">
        <v>1167</v>
      </c>
      <c r="L1229" t="str">
        <f>IFERROR(VLOOKUP(Detalle_OC[[#This Row],[Centro]]&amp;Detalle_OC[[#This Row],[Nro Almacen]],Almacen!A:D,4,FALSE),"")</f>
        <v>Montelima</v>
      </c>
    </row>
    <row r="1230" spans="1:12" x14ac:dyDescent="0.3">
      <c r="A1230" s="29" t="str">
        <f>Detalle_OC[[#This Row],[Centro]]&amp;Detalle_OC[[#This Row],[Nom Almacen]]&amp;Detalle_OC[[#This Row],[Material]]&amp;Detalle_OC[[#This Row],[Pedido]]&amp;Detalle_OC[[#This Row],[Posicion]]</f>
        <v>Agricola del Chira PlantaMontelima700110614511571057110</v>
      </c>
      <c r="B1230" t="s">
        <v>149</v>
      </c>
      <c r="C1230" t="s">
        <v>166</v>
      </c>
      <c r="D1230" s="11">
        <v>45632</v>
      </c>
      <c r="E1230" t="s">
        <v>16</v>
      </c>
      <c r="F1230" t="s">
        <v>12</v>
      </c>
      <c r="G1230">
        <v>70011061</v>
      </c>
      <c r="H1230">
        <v>4511571057</v>
      </c>
      <c r="I1230">
        <v>110</v>
      </c>
      <c r="J1230" s="29">
        <v>1</v>
      </c>
      <c r="K1230" s="29" t="s">
        <v>1167</v>
      </c>
      <c r="L1230" t="str">
        <f>IFERROR(VLOOKUP(Detalle_OC[[#This Row],[Centro]]&amp;Detalle_OC[[#This Row],[Nro Almacen]],Almacen!A:D,4,FALSE),"")</f>
        <v>Montelima</v>
      </c>
    </row>
    <row r="1231" spans="1:12" x14ac:dyDescent="0.3">
      <c r="A1231" s="29" t="str">
        <f>Detalle_OC[[#This Row],[Centro]]&amp;Detalle_OC[[#This Row],[Nom Almacen]]&amp;Detalle_OC[[#This Row],[Material]]&amp;Detalle_OC[[#This Row],[Pedido]]&amp;Detalle_OC[[#This Row],[Posicion]]</f>
        <v>Agricola del Chira PlantaMontelima700113664511571057120</v>
      </c>
      <c r="B1231" t="s">
        <v>149</v>
      </c>
      <c r="C1231" t="s">
        <v>166</v>
      </c>
      <c r="D1231" s="11">
        <v>45632</v>
      </c>
      <c r="E1231" t="s">
        <v>16</v>
      </c>
      <c r="F1231" t="s">
        <v>12</v>
      </c>
      <c r="G1231">
        <v>70011366</v>
      </c>
      <c r="H1231">
        <v>4511571057</v>
      </c>
      <c r="I1231">
        <v>120</v>
      </c>
      <c r="J1231" s="29">
        <v>1</v>
      </c>
      <c r="K1231" s="29" t="s">
        <v>1167</v>
      </c>
      <c r="L1231" t="str">
        <f>IFERROR(VLOOKUP(Detalle_OC[[#This Row],[Centro]]&amp;Detalle_OC[[#This Row],[Nro Almacen]],Almacen!A:D,4,FALSE),"")</f>
        <v>Montelima</v>
      </c>
    </row>
    <row r="1232" spans="1:12" x14ac:dyDescent="0.3">
      <c r="A1232" s="29" t="str">
        <f>Detalle_OC[[#This Row],[Centro]]&amp;Detalle_OC[[#This Row],[Nom Almacen]]&amp;Detalle_OC[[#This Row],[Material]]&amp;Detalle_OC[[#This Row],[Pedido]]&amp;Detalle_OC[[#This Row],[Posicion]]</f>
        <v>Agricola del Chira PlantaMontelima700223554511571057130</v>
      </c>
      <c r="B1232" t="s">
        <v>149</v>
      </c>
      <c r="C1232" t="s">
        <v>166</v>
      </c>
      <c r="D1232" s="11">
        <v>45632</v>
      </c>
      <c r="E1232" t="s">
        <v>16</v>
      </c>
      <c r="F1232" t="s">
        <v>12</v>
      </c>
      <c r="G1232">
        <v>70022355</v>
      </c>
      <c r="H1232">
        <v>4511571057</v>
      </c>
      <c r="I1232">
        <v>130</v>
      </c>
      <c r="J1232" s="29">
        <v>1</v>
      </c>
      <c r="K1232" s="29" t="s">
        <v>1167</v>
      </c>
      <c r="L1232" t="str">
        <f>IFERROR(VLOOKUP(Detalle_OC[[#This Row],[Centro]]&amp;Detalle_OC[[#This Row],[Nro Almacen]],Almacen!A:D,4,FALSE),"")</f>
        <v>Montelima</v>
      </c>
    </row>
    <row r="1233" spans="1:12" x14ac:dyDescent="0.3">
      <c r="A1233" s="29" t="str">
        <f>Detalle_OC[[#This Row],[Centro]]&amp;Detalle_OC[[#This Row],[Nom Almacen]]&amp;Detalle_OC[[#This Row],[Material]]&amp;Detalle_OC[[#This Row],[Pedido]]&amp;Detalle_OC[[#This Row],[Posicion]]</f>
        <v>Agricola del Chira PlantaMontelima700940574511571057140</v>
      </c>
      <c r="B1233" t="s">
        <v>149</v>
      </c>
      <c r="C1233" t="s">
        <v>166</v>
      </c>
      <c r="D1233" s="11">
        <v>45635</v>
      </c>
      <c r="E1233" t="s">
        <v>16</v>
      </c>
      <c r="F1233" t="s">
        <v>12</v>
      </c>
      <c r="G1233">
        <v>70094057</v>
      </c>
      <c r="H1233">
        <v>4511571057</v>
      </c>
      <c r="I1233">
        <v>140</v>
      </c>
      <c r="J1233" s="29">
        <v>1</v>
      </c>
      <c r="K1233" s="29" t="s">
        <v>1167</v>
      </c>
      <c r="L1233" t="str">
        <f>IFERROR(VLOOKUP(Detalle_OC[[#This Row],[Centro]]&amp;Detalle_OC[[#This Row],[Nro Almacen]],Almacen!A:D,4,FALSE),"")</f>
        <v>Montelima</v>
      </c>
    </row>
    <row r="1234" spans="1:12" x14ac:dyDescent="0.3">
      <c r="A1234" s="29" t="str">
        <f>Detalle_OC[[#This Row],[Centro]]&amp;Detalle_OC[[#This Row],[Nom Almacen]]&amp;Detalle_OC[[#This Row],[Material]]&amp;Detalle_OC[[#This Row],[Pedido]]&amp;Detalle_OC[[#This Row],[Posicion]]</f>
        <v>Agricola del Chira PlantaAlmacen Lobo758946451157108110</v>
      </c>
      <c r="B1234" t="s">
        <v>149</v>
      </c>
      <c r="C1234" t="s">
        <v>32</v>
      </c>
      <c r="D1234" s="11">
        <v>45632</v>
      </c>
      <c r="E1234" t="s">
        <v>16</v>
      </c>
      <c r="F1234" t="s">
        <v>12</v>
      </c>
      <c r="G1234">
        <v>758946</v>
      </c>
      <c r="H1234">
        <v>4511571081</v>
      </c>
      <c r="I1234">
        <v>10</v>
      </c>
      <c r="J1234" s="29">
        <v>7</v>
      </c>
      <c r="K1234" s="29" t="s">
        <v>1167</v>
      </c>
      <c r="L1234" t="str">
        <f>IFERROR(VLOOKUP(Detalle_OC[[#This Row],[Centro]]&amp;Detalle_OC[[#This Row],[Nro Almacen]],Almacen!A:D,4,FALSE),"")</f>
        <v>Almacen Lobo</v>
      </c>
    </row>
    <row r="1235" spans="1:12" x14ac:dyDescent="0.3">
      <c r="A1235" s="29" t="str">
        <f>Detalle_OC[[#This Row],[Centro]]&amp;Detalle_OC[[#This Row],[Nom Almacen]]&amp;Detalle_OC[[#This Row],[Material]]&amp;Detalle_OC[[#This Row],[Pedido]]&amp;Detalle_OC[[#This Row],[Posicion]]</f>
        <v>Agricola del Chira PlantaMontelima774344451157108120</v>
      </c>
      <c r="B1235" t="s">
        <v>33</v>
      </c>
      <c r="C1235" t="s">
        <v>32</v>
      </c>
      <c r="D1235" s="11">
        <v>45632</v>
      </c>
      <c r="E1235" t="s">
        <v>16</v>
      </c>
      <c r="F1235" t="s">
        <v>12</v>
      </c>
      <c r="G1235">
        <v>774344</v>
      </c>
      <c r="H1235">
        <v>4511571081</v>
      </c>
      <c r="I1235">
        <v>20</v>
      </c>
      <c r="J1235" s="29">
        <v>1</v>
      </c>
      <c r="K1235" s="29" t="s">
        <v>1167</v>
      </c>
      <c r="L1235" t="str">
        <f>IFERROR(VLOOKUP(Detalle_OC[[#This Row],[Centro]]&amp;Detalle_OC[[#This Row],[Nro Almacen]],Almacen!A:D,4,FALSE),"")</f>
        <v>Montelima</v>
      </c>
    </row>
    <row r="1236" spans="1:12" x14ac:dyDescent="0.3">
      <c r="A1236" s="29" t="str">
        <f>Detalle_OC[[#This Row],[Centro]]&amp;Detalle_OC[[#This Row],[Nom Almacen]]&amp;Detalle_OC[[#This Row],[Material]]&amp;Detalle_OC[[#This Row],[Pedido]]&amp;Detalle_OC[[#This Row],[Posicion]]</f>
        <v>Agricola del Chira PlantaAlmacen Lobo828329451157108130</v>
      </c>
      <c r="B1236" t="s">
        <v>149</v>
      </c>
      <c r="C1236" t="s">
        <v>32</v>
      </c>
      <c r="D1236" s="11">
        <v>45632</v>
      </c>
      <c r="E1236" t="s">
        <v>16</v>
      </c>
      <c r="F1236" t="s">
        <v>12</v>
      </c>
      <c r="G1236">
        <v>828329</v>
      </c>
      <c r="H1236">
        <v>4511571081</v>
      </c>
      <c r="I1236">
        <v>30</v>
      </c>
      <c r="J1236" s="29">
        <v>7</v>
      </c>
      <c r="K1236" s="29" t="s">
        <v>1167</v>
      </c>
      <c r="L1236" t="str">
        <f>IFERROR(VLOOKUP(Detalle_OC[[#This Row],[Centro]]&amp;Detalle_OC[[#This Row],[Nro Almacen]],Almacen!A:D,4,FALSE),"")</f>
        <v>Almacen Lobo</v>
      </c>
    </row>
    <row r="1237" spans="1:12" x14ac:dyDescent="0.3">
      <c r="A1237" s="29" t="str">
        <f>Detalle_OC[[#This Row],[Centro]]&amp;Detalle_OC[[#This Row],[Nom Almacen]]&amp;Detalle_OC[[#This Row],[Material]]&amp;Detalle_OC[[#This Row],[Pedido]]&amp;Detalle_OC[[#This Row],[Posicion]]</f>
        <v>Agricola del Chira PlantaMontelima70034342451157108140</v>
      </c>
      <c r="B1237" t="s">
        <v>33</v>
      </c>
      <c r="C1237" t="s">
        <v>32</v>
      </c>
      <c r="D1237" s="11">
        <v>45632</v>
      </c>
      <c r="E1237" t="s">
        <v>16</v>
      </c>
      <c r="F1237" t="s">
        <v>12</v>
      </c>
      <c r="G1237">
        <v>70034342</v>
      </c>
      <c r="H1237">
        <v>4511571081</v>
      </c>
      <c r="I1237">
        <v>40</v>
      </c>
      <c r="J1237" s="29">
        <v>1</v>
      </c>
      <c r="K1237" s="29" t="s">
        <v>1167</v>
      </c>
      <c r="L1237" t="str">
        <f>IFERROR(VLOOKUP(Detalle_OC[[#This Row],[Centro]]&amp;Detalle_OC[[#This Row],[Nro Almacen]],Almacen!A:D,4,FALSE),"")</f>
        <v>Montelima</v>
      </c>
    </row>
    <row r="1238" spans="1:12" x14ac:dyDescent="0.3">
      <c r="A1238" s="29" t="str">
        <f>Detalle_OC[[#This Row],[Centro]]&amp;Detalle_OC[[#This Row],[Nom Almacen]]&amp;Detalle_OC[[#This Row],[Material]]&amp;Detalle_OC[[#This Row],[Pedido]]&amp;Detalle_OC[[#This Row],[Posicion]]</f>
        <v>Agricola del Chira PlantaMontelima70044851451157108150</v>
      </c>
      <c r="B1238" t="s">
        <v>149</v>
      </c>
      <c r="C1238" t="s">
        <v>32</v>
      </c>
      <c r="D1238" s="11">
        <v>45632</v>
      </c>
      <c r="E1238" t="s">
        <v>16</v>
      </c>
      <c r="F1238" t="s">
        <v>12</v>
      </c>
      <c r="G1238">
        <v>70044851</v>
      </c>
      <c r="H1238">
        <v>4511571081</v>
      </c>
      <c r="I1238">
        <v>50</v>
      </c>
      <c r="J1238" s="29">
        <v>1</v>
      </c>
      <c r="K1238" s="29" t="s">
        <v>1167</v>
      </c>
      <c r="L1238" t="str">
        <f>IFERROR(VLOOKUP(Detalle_OC[[#This Row],[Centro]]&amp;Detalle_OC[[#This Row],[Nro Almacen]],Almacen!A:D,4,FALSE),"")</f>
        <v>Montelima</v>
      </c>
    </row>
    <row r="1239" spans="1:12" x14ac:dyDescent="0.3">
      <c r="A1239" s="29" t="str">
        <f>Detalle_OC[[#This Row],[Centro]]&amp;Detalle_OC[[#This Row],[Nom Almacen]]&amp;Detalle_OC[[#This Row],[Material]]&amp;Detalle_OC[[#This Row],[Pedido]]&amp;Detalle_OC[[#This Row],[Posicion]]</f>
        <v>Agricola del Chira PlantaMontelima70069048451157108160</v>
      </c>
      <c r="B1239" t="s">
        <v>145</v>
      </c>
      <c r="C1239" t="s">
        <v>32</v>
      </c>
      <c r="D1239" s="11">
        <v>45632</v>
      </c>
      <c r="E1239" t="s">
        <v>16</v>
      </c>
      <c r="F1239" t="s">
        <v>12</v>
      </c>
      <c r="G1239">
        <v>70069048</v>
      </c>
      <c r="H1239">
        <v>4511571081</v>
      </c>
      <c r="I1239">
        <v>60</v>
      </c>
      <c r="J1239" s="29">
        <v>1</v>
      </c>
      <c r="K1239" s="29" t="s">
        <v>1167</v>
      </c>
      <c r="L1239" t="str">
        <f>IFERROR(VLOOKUP(Detalle_OC[[#This Row],[Centro]]&amp;Detalle_OC[[#This Row],[Nro Almacen]],Almacen!A:D,4,FALSE),"")</f>
        <v>Montelima</v>
      </c>
    </row>
    <row r="1240" spans="1:12" x14ac:dyDescent="0.3">
      <c r="A1240" s="29" t="str">
        <f>Detalle_OC[[#This Row],[Centro]]&amp;Detalle_OC[[#This Row],[Nom Almacen]]&amp;Detalle_OC[[#This Row],[Material]]&amp;Detalle_OC[[#This Row],[Pedido]]&amp;Detalle_OC[[#This Row],[Posicion]]</f>
        <v>Agricola del Chira PlantaAlmacen Lobo70108161451157108170</v>
      </c>
      <c r="B1240" t="s">
        <v>33</v>
      </c>
      <c r="C1240" t="s">
        <v>32</v>
      </c>
      <c r="D1240" s="11">
        <v>45632</v>
      </c>
      <c r="E1240" t="s">
        <v>16</v>
      </c>
      <c r="F1240" t="s">
        <v>12</v>
      </c>
      <c r="G1240">
        <v>70108161</v>
      </c>
      <c r="H1240">
        <v>4511571081</v>
      </c>
      <c r="I1240">
        <v>70</v>
      </c>
      <c r="J1240" s="29">
        <v>7</v>
      </c>
      <c r="K1240" s="29" t="s">
        <v>1167</v>
      </c>
      <c r="L1240" t="str">
        <f>IFERROR(VLOOKUP(Detalle_OC[[#This Row],[Centro]]&amp;Detalle_OC[[#This Row],[Nro Almacen]],Almacen!A:D,4,FALSE),"")</f>
        <v>Almacen Lobo</v>
      </c>
    </row>
    <row r="1241" spans="1:12" x14ac:dyDescent="0.3">
      <c r="A1241" s="29" t="str">
        <f>Detalle_OC[[#This Row],[Centro]]&amp;Detalle_OC[[#This Row],[Nom Almacen]]&amp;Detalle_OC[[#This Row],[Material]]&amp;Detalle_OC[[#This Row],[Pedido]]&amp;Detalle_OC[[#This Row],[Posicion]]</f>
        <v>Agricola del Chira PlantaLa Huaca745473451157108310</v>
      </c>
      <c r="B1241" t="s">
        <v>50</v>
      </c>
      <c r="C1241" t="s">
        <v>22</v>
      </c>
      <c r="D1241" s="11">
        <v>45632</v>
      </c>
      <c r="E1241" t="s">
        <v>16</v>
      </c>
      <c r="F1241" t="s">
        <v>12</v>
      </c>
      <c r="G1241">
        <v>745473</v>
      </c>
      <c r="H1241">
        <v>4511571083</v>
      </c>
      <c r="I1241">
        <v>10</v>
      </c>
      <c r="J1241" s="29">
        <v>2</v>
      </c>
      <c r="K1241" s="29" t="s">
        <v>1167</v>
      </c>
      <c r="L1241" t="str">
        <f>IFERROR(VLOOKUP(Detalle_OC[[#This Row],[Centro]]&amp;Detalle_OC[[#This Row],[Nro Almacen]],Almacen!A:D,4,FALSE),"")</f>
        <v>La Huaca</v>
      </c>
    </row>
    <row r="1242" spans="1:12" x14ac:dyDescent="0.3">
      <c r="A1242" s="29" t="str">
        <f>Detalle_OC[[#This Row],[Centro]]&amp;Detalle_OC[[#This Row],[Nom Almacen]]&amp;Detalle_OC[[#This Row],[Material]]&amp;Detalle_OC[[#This Row],[Pedido]]&amp;Detalle_OC[[#This Row],[Posicion]]</f>
        <v>Agricola del Chira PlantaLa Huaca70076584451157108320</v>
      </c>
      <c r="B1242" t="s">
        <v>50</v>
      </c>
      <c r="C1242" t="s">
        <v>22</v>
      </c>
      <c r="D1242" s="11">
        <v>45632</v>
      </c>
      <c r="E1242" t="s">
        <v>16</v>
      </c>
      <c r="F1242" t="s">
        <v>12</v>
      </c>
      <c r="G1242">
        <v>70076584</v>
      </c>
      <c r="H1242">
        <v>4511571083</v>
      </c>
      <c r="I1242">
        <v>20</v>
      </c>
      <c r="J1242" s="29">
        <v>2</v>
      </c>
      <c r="K1242" s="29" t="s">
        <v>1167</v>
      </c>
      <c r="L1242" t="str">
        <f>IFERROR(VLOOKUP(Detalle_OC[[#This Row],[Centro]]&amp;Detalle_OC[[#This Row],[Nro Almacen]],Almacen!A:D,4,FALSE),"")</f>
        <v>La Huaca</v>
      </c>
    </row>
    <row r="1243" spans="1:12" x14ac:dyDescent="0.3">
      <c r="A1243" s="29" t="str">
        <f>Detalle_OC[[#This Row],[Centro]]&amp;Detalle_OC[[#This Row],[Nom Almacen]]&amp;Detalle_OC[[#This Row],[Material]]&amp;Detalle_OC[[#This Row],[Pedido]]&amp;Detalle_OC[[#This Row],[Posicion]]</f>
        <v>Agricola del Chira PlantaMontelima70127271451157108610</v>
      </c>
      <c r="B1243" t="s">
        <v>145</v>
      </c>
      <c r="C1243" t="s">
        <v>143</v>
      </c>
      <c r="D1243" s="11">
        <v>45632</v>
      </c>
      <c r="E1243" t="s">
        <v>16</v>
      </c>
      <c r="F1243" t="s">
        <v>12</v>
      </c>
      <c r="G1243">
        <v>70127271</v>
      </c>
      <c r="H1243">
        <v>4511571086</v>
      </c>
      <c r="I1243">
        <v>10</v>
      </c>
      <c r="J1243" s="29">
        <v>1</v>
      </c>
      <c r="K1243" s="29" t="s">
        <v>1167</v>
      </c>
      <c r="L1243" t="str">
        <f>IFERROR(VLOOKUP(Detalle_OC[[#This Row],[Centro]]&amp;Detalle_OC[[#This Row],[Nro Almacen]],Almacen!A:D,4,FALSE),"")</f>
        <v>Montelima</v>
      </c>
    </row>
    <row r="1244" spans="1:12" x14ac:dyDescent="0.3">
      <c r="A1244" s="29" t="str">
        <f>Detalle_OC[[#This Row],[Centro]]&amp;Detalle_OC[[#This Row],[Nom Almacen]]&amp;Detalle_OC[[#This Row],[Material]]&amp;Detalle_OC[[#This Row],[Pedido]]&amp;Detalle_OC[[#This Row],[Posicion]]</f>
        <v>Agricola del Chira PlantaMontelima820873451157108810</v>
      </c>
      <c r="B1244" t="s">
        <v>148</v>
      </c>
      <c r="C1244" t="s">
        <v>44</v>
      </c>
      <c r="D1244" s="11">
        <v>45632</v>
      </c>
      <c r="E1244" t="s">
        <v>16</v>
      </c>
      <c r="F1244" t="s">
        <v>12</v>
      </c>
      <c r="G1244">
        <v>820873</v>
      </c>
      <c r="H1244">
        <v>4511571088</v>
      </c>
      <c r="I1244">
        <v>10</v>
      </c>
      <c r="J1244" s="29">
        <v>1</v>
      </c>
      <c r="K1244" s="29" t="s">
        <v>1167</v>
      </c>
      <c r="L1244" t="str">
        <f>IFERROR(VLOOKUP(Detalle_OC[[#This Row],[Centro]]&amp;Detalle_OC[[#This Row],[Nro Almacen]],Almacen!A:D,4,FALSE),"")</f>
        <v>Montelima</v>
      </c>
    </row>
    <row r="1245" spans="1:12" x14ac:dyDescent="0.3">
      <c r="A1245" s="29" t="str">
        <f>Detalle_OC[[#This Row],[Centro]]&amp;Detalle_OC[[#This Row],[Nom Almacen]]&amp;Detalle_OC[[#This Row],[Material]]&amp;Detalle_OC[[#This Row],[Pedido]]&amp;Detalle_OC[[#This Row],[Posicion]]</f>
        <v>Agricola del Chira PlantaMontelima758951451157110010</v>
      </c>
      <c r="B1245" t="s">
        <v>149</v>
      </c>
      <c r="C1245" t="s">
        <v>292</v>
      </c>
      <c r="D1245" s="11">
        <v>45628</v>
      </c>
      <c r="E1245" t="s">
        <v>16</v>
      </c>
      <c r="F1245" t="s">
        <v>12</v>
      </c>
      <c r="G1245">
        <v>758951</v>
      </c>
      <c r="H1245">
        <v>4511571100</v>
      </c>
      <c r="I1245">
        <v>10</v>
      </c>
      <c r="J1245" s="29">
        <v>1</v>
      </c>
      <c r="K1245" s="29" t="s">
        <v>1167</v>
      </c>
      <c r="L1245" t="str">
        <f>IFERROR(VLOOKUP(Detalle_OC[[#This Row],[Centro]]&amp;Detalle_OC[[#This Row],[Nro Almacen]],Almacen!A:D,4,FALSE),"")</f>
        <v>Montelima</v>
      </c>
    </row>
    <row r="1246" spans="1:12" x14ac:dyDescent="0.3">
      <c r="A1246" s="29" t="str">
        <f>Detalle_OC[[#This Row],[Centro]]&amp;Detalle_OC[[#This Row],[Nom Almacen]]&amp;Detalle_OC[[#This Row],[Material]]&amp;Detalle_OC[[#This Row],[Pedido]]&amp;Detalle_OC[[#This Row],[Posicion]]</f>
        <v>Agricola del Chira PlantaAlmacen Lobo70014752451157110210</v>
      </c>
      <c r="B1246" t="s">
        <v>33</v>
      </c>
      <c r="C1246" t="s">
        <v>161</v>
      </c>
      <c r="D1246" s="11">
        <v>45632</v>
      </c>
      <c r="E1246" t="s">
        <v>16</v>
      </c>
      <c r="F1246" t="s">
        <v>12</v>
      </c>
      <c r="G1246">
        <v>70014752</v>
      </c>
      <c r="H1246">
        <v>4511571102</v>
      </c>
      <c r="I1246">
        <v>10</v>
      </c>
      <c r="J1246" s="29">
        <v>7</v>
      </c>
      <c r="K1246" s="29" t="s">
        <v>1167</v>
      </c>
      <c r="L1246" t="str">
        <f>IFERROR(VLOOKUP(Detalle_OC[[#This Row],[Centro]]&amp;Detalle_OC[[#This Row],[Nro Almacen]],Almacen!A:D,4,FALSE),"")</f>
        <v>Almacen Lobo</v>
      </c>
    </row>
    <row r="1247" spans="1:12" x14ac:dyDescent="0.3">
      <c r="A1247" s="29" t="str">
        <f>Detalle_OC[[#This Row],[Centro]]&amp;Detalle_OC[[#This Row],[Nom Almacen]]&amp;Detalle_OC[[#This Row],[Material]]&amp;Detalle_OC[[#This Row],[Pedido]]&amp;Detalle_OC[[#This Row],[Posicion]]</f>
        <v>Agricola del Chira PlantaAlmacen Lobo70079072451157110220</v>
      </c>
      <c r="B1247" t="s">
        <v>33</v>
      </c>
      <c r="C1247" t="s">
        <v>161</v>
      </c>
      <c r="D1247" s="11">
        <v>45632</v>
      </c>
      <c r="E1247" t="s">
        <v>16</v>
      </c>
      <c r="F1247" t="s">
        <v>12</v>
      </c>
      <c r="G1247">
        <v>70079072</v>
      </c>
      <c r="H1247">
        <v>4511571102</v>
      </c>
      <c r="I1247">
        <v>20</v>
      </c>
      <c r="J1247" s="29">
        <v>7</v>
      </c>
      <c r="K1247" s="29" t="s">
        <v>1167</v>
      </c>
      <c r="L1247" t="str">
        <f>IFERROR(VLOOKUP(Detalle_OC[[#This Row],[Centro]]&amp;Detalle_OC[[#This Row],[Nro Almacen]],Almacen!A:D,4,FALSE),"")</f>
        <v>Almacen Lobo</v>
      </c>
    </row>
    <row r="1248" spans="1:12" x14ac:dyDescent="0.3">
      <c r="A1248" s="29" t="str">
        <f>Detalle_OC[[#This Row],[Centro]]&amp;Detalle_OC[[#This Row],[Nom Almacen]]&amp;Detalle_OC[[#This Row],[Material]]&amp;Detalle_OC[[#This Row],[Pedido]]&amp;Detalle_OC[[#This Row],[Posicion]]</f>
        <v>Agricola del Chira PlantaMontelima70129232451157110230</v>
      </c>
      <c r="B1248" t="s">
        <v>202</v>
      </c>
      <c r="C1248" t="s">
        <v>161</v>
      </c>
      <c r="D1248" s="11">
        <v>45632</v>
      </c>
      <c r="E1248" t="s">
        <v>16</v>
      </c>
      <c r="F1248" t="s">
        <v>12</v>
      </c>
      <c r="G1248">
        <v>70129232</v>
      </c>
      <c r="H1248">
        <v>4511571102</v>
      </c>
      <c r="I1248">
        <v>30</v>
      </c>
      <c r="J1248" s="29">
        <v>1</v>
      </c>
      <c r="K1248" s="29" t="s">
        <v>1167</v>
      </c>
      <c r="L1248" t="str">
        <f>IFERROR(VLOOKUP(Detalle_OC[[#This Row],[Centro]]&amp;Detalle_OC[[#This Row],[Nro Almacen]],Almacen!A:D,4,FALSE),"")</f>
        <v>Montelima</v>
      </c>
    </row>
    <row r="1249" spans="1:12" x14ac:dyDescent="0.3">
      <c r="A1249" s="29" t="str">
        <f>Detalle_OC[[#This Row],[Centro]]&amp;Detalle_OC[[#This Row],[Nom Almacen]]&amp;Detalle_OC[[#This Row],[Material]]&amp;Detalle_OC[[#This Row],[Pedido]]&amp;Detalle_OC[[#This Row],[Posicion]]</f>
        <v>Agricola del Chira PlantaMontelima70043580451157110510</v>
      </c>
      <c r="B1249" t="s">
        <v>149</v>
      </c>
      <c r="C1249" t="s">
        <v>235</v>
      </c>
      <c r="D1249" s="11">
        <v>45642</v>
      </c>
      <c r="E1249" t="s">
        <v>16</v>
      </c>
      <c r="F1249" t="s">
        <v>12</v>
      </c>
      <c r="G1249">
        <v>70043580</v>
      </c>
      <c r="H1249">
        <v>4511571105</v>
      </c>
      <c r="I1249">
        <v>10</v>
      </c>
      <c r="J1249" s="29">
        <v>1</v>
      </c>
      <c r="K1249" s="29" t="s">
        <v>1167</v>
      </c>
      <c r="L1249" t="str">
        <f>IFERROR(VLOOKUP(Detalle_OC[[#This Row],[Centro]]&amp;Detalle_OC[[#This Row],[Nro Almacen]],Almacen!A:D,4,FALSE),"")</f>
        <v>Montelima</v>
      </c>
    </row>
    <row r="1250" spans="1:12" x14ac:dyDescent="0.3">
      <c r="A1250" s="29" t="str">
        <f>Detalle_OC[[#This Row],[Centro]]&amp;Detalle_OC[[#This Row],[Nom Almacen]]&amp;Detalle_OC[[#This Row],[Material]]&amp;Detalle_OC[[#This Row],[Pedido]]&amp;Detalle_OC[[#This Row],[Posicion]]</f>
        <v>Agricola del Chira PlantaMontelima866336451157110520</v>
      </c>
      <c r="B1250" t="s">
        <v>149</v>
      </c>
      <c r="C1250" t="s">
        <v>235</v>
      </c>
      <c r="D1250" s="11">
        <v>45642</v>
      </c>
      <c r="E1250" t="s">
        <v>16</v>
      </c>
      <c r="F1250" t="s">
        <v>12</v>
      </c>
      <c r="G1250">
        <v>866336</v>
      </c>
      <c r="H1250">
        <v>4511571105</v>
      </c>
      <c r="I1250">
        <v>20</v>
      </c>
      <c r="J1250" s="29">
        <v>1</v>
      </c>
      <c r="K1250" s="29" t="s">
        <v>1167</v>
      </c>
      <c r="L1250" t="str">
        <f>IFERROR(VLOOKUP(Detalle_OC[[#This Row],[Centro]]&amp;Detalle_OC[[#This Row],[Nro Almacen]],Almacen!A:D,4,FALSE),"")</f>
        <v>Montelima</v>
      </c>
    </row>
    <row r="1251" spans="1:12" x14ac:dyDescent="0.3">
      <c r="A1251" s="29" t="str">
        <f>Detalle_OC[[#This Row],[Centro]]&amp;Detalle_OC[[#This Row],[Nom Almacen]]&amp;Detalle_OC[[#This Row],[Material]]&amp;Detalle_OC[[#This Row],[Pedido]]&amp;Detalle_OC[[#This Row],[Posicion]]</f>
        <v>Bioenergía del Chira PlantaMontelima70133683451157110910</v>
      </c>
      <c r="B1251" t="s">
        <v>1168</v>
      </c>
      <c r="C1251" t="s">
        <v>1169</v>
      </c>
      <c r="D1251" s="11">
        <v>45656</v>
      </c>
      <c r="E1251" t="s">
        <v>16</v>
      </c>
      <c r="F1251" t="s">
        <v>86</v>
      </c>
      <c r="G1251">
        <v>70133683</v>
      </c>
      <c r="H1251">
        <v>4511571109</v>
      </c>
      <c r="I1251">
        <v>10</v>
      </c>
      <c r="J1251" s="29">
        <v>1</v>
      </c>
      <c r="K1251" s="29" t="s">
        <v>1167</v>
      </c>
      <c r="L1251" t="str">
        <f>IFERROR(VLOOKUP(Detalle_OC[[#This Row],[Centro]]&amp;Detalle_OC[[#This Row],[Nro Almacen]],Almacen!A:D,4,FALSE),"")</f>
        <v>Montelima</v>
      </c>
    </row>
    <row r="1252" spans="1:12" x14ac:dyDescent="0.3">
      <c r="A1252" s="29" t="str">
        <f>Detalle_OC[[#This Row],[Centro]]&amp;Detalle_OC[[#This Row],[Nom Almacen]]&amp;Detalle_OC[[#This Row],[Material]]&amp;Detalle_OC[[#This Row],[Pedido]]&amp;Detalle_OC[[#This Row],[Posicion]]</f>
        <v>Sucroalcolera del Chira PlantaMontelima70124128451157111310</v>
      </c>
      <c r="B1252" t="s">
        <v>191</v>
      </c>
      <c r="C1252" t="s">
        <v>254</v>
      </c>
      <c r="D1252" s="11">
        <v>45637</v>
      </c>
      <c r="E1252" t="s">
        <v>16</v>
      </c>
      <c r="F1252" t="s">
        <v>85</v>
      </c>
      <c r="G1252">
        <v>70124128</v>
      </c>
      <c r="H1252">
        <v>4511571113</v>
      </c>
      <c r="I1252">
        <v>10</v>
      </c>
      <c r="J1252" s="29">
        <v>1</v>
      </c>
      <c r="K1252" s="29" t="s">
        <v>1167</v>
      </c>
      <c r="L1252" t="str">
        <f>IFERROR(VLOOKUP(Detalle_OC[[#This Row],[Centro]]&amp;Detalle_OC[[#This Row],[Nro Almacen]],Almacen!A:D,4,FALSE),"")</f>
        <v>Montelima</v>
      </c>
    </row>
    <row r="1253" spans="1:12" x14ac:dyDescent="0.3">
      <c r="A1253" s="29" t="str">
        <f>Detalle_OC[[#This Row],[Centro]]&amp;Detalle_OC[[#This Row],[Nom Almacen]]&amp;Detalle_OC[[#This Row],[Material]]&amp;Detalle_OC[[#This Row],[Pedido]]&amp;Detalle_OC[[#This Row],[Posicion]]</f>
        <v>Agricola del Chira PlantaMontelima70033746451157111410</v>
      </c>
      <c r="B1253" t="s">
        <v>198</v>
      </c>
      <c r="C1253" t="s">
        <v>435</v>
      </c>
      <c r="D1253" s="11">
        <v>45635</v>
      </c>
      <c r="E1253" t="s">
        <v>16</v>
      </c>
      <c r="F1253" t="s">
        <v>12</v>
      </c>
      <c r="G1253">
        <v>70033746</v>
      </c>
      <c r="H1253">
        <v>4511571114</v>
      </c>
      <c r="I1253">
        <v>10</v>
      </c>
      <c r="J1253" s="29">
        <v>1</v>
      </c>
      <c r="K1253" s="29" t="s">
        <v>1167</v>
      </c>
      <c r="L1253" t="str">
        <f>IFERROR(VLOOKUP(Detalle_OC[[#This Row],[Centro]]&amp;Detalle_OC[[#This Row],[Nro Almacen]],Almacen!A:D,4,FALSE),"")</f>
        <v>Montelima</v>
      </c>
    </row>
    <row r="1254" spans="1:12" x14ac:dyDescent="0.3">
      <c r="A1254" s="29" t="str">
        <f>Detalle_OC[[#This Row],[Centro]]&amp;Detalle_OC[[#This Row],[Nom Almacen]]&amp;Detalle_OC[[#This Row],[Material]]&amp;Detalle_OC[[#This Row],[Pedido]]&amp;Detalle_OC[[#This Row],[Posicion]]</f>
        <v>Sucroalcolera del Chira PlantaMontelima70132812451157112210</v>
      </c>
      <c r="B1254" t="s">
        <v>138</v>
      </c>
      <c r="C1254" t="s">
        <v>331</v>
      </c>
      <c r="D1254" s="11">
        <v>45646</v>
      </c>
      <c r="E1254" t="s">
        <v>16</v>
      </c>
      <c r="F1254" t="s">
        <v>85</v>
      </c>
      <c r="G1254">
        <v>70132812</v>
      </c>
      <c r="H1254">
        <v>4511571122</v>
      </c>
      <c r="I1254">
        <v>10</v>
      </c>
      <c r="J1254" s="29">
        <v>1</v>
      </c>
      <c r="K1254" s="29" t="s">
        <v>1167</v>
      </c>
      <c r="L1254" t="str">
        <f>IFERROR(VLOOKUP(Detalle_OC[[#This Row],[Centro]]&amp;Detalle_OC[[#This Row],[Nro Almacen]],Almacen!A:D,4,FALSE),"")</f>
        <v>Montelima</v>
      </c>
    </row>
    <row r="1255" spans="1:12" x14ac:dyDescent="0.3">
      <c r="A1255" s="29" t="str">
        <f>Detalle_OC[[#This Row],[Centro]]&amp;Detalle_OC[[#This Row],[Nom Almacen]]&amp;Detalle_OC[[#This Row],[Material]]&amp;Detalle_OC[[#This Row],[Pedido]]&amp;Detalle_OC[[#This Row],[Posicion]]</f>
        <v>Sucroalcolera del Chira PlantaMontelima70132815451157112220</v>
      </c>
      <c r="B1255" t="s">
        <v>138</v>
      </c>
      <c r="C1255" t="s">
        <v>331</v>
      </c>
      <c r="D1255" s="11">
        <v>45646</v>
      </c>
      <c r="E1255" t="s">
        <v>16</v>
      </c>
      <c r="F1255" t="s">
        <v>85</v>
      </c>
      <c r="G1255">
        <v>70132815</v>
      </c>
      <c r="H1255">
        <v>4511571122</v>
      </c>
      <c r="I1255">
        <v>20</v>
      </c>
      <c r="J1255" s="29">
        <v>1</v>
      </c>
      <c r="K1255" s="29" t="s">
        <v>1167</v>
      </c>
      <c r="L1255" t="str">
        <f>IFERROR(VLOOKUP(Detalle_OC[[#This Row],[Centro]]&amp;Detalle_OC[[#This Row],[Nro Almacen]],Almacen!A:D,4,FALSE),"")</f>
        <v>Montelima</v>
      </c>
    </row>
    <row r="1256" spans="1:12" x14ac:dyDescent="0.3">
      <c r="A1256" s="29" t="str">
        <f>Detalle_OC[[#This Row],[Centro]]&amp;Detalle_OC[[#This Row],[Nom Almacen]]&amp;Detalle_OC[[#This Row],[Material]]&amp;Detalle_OC[[#This Row],[Pedido]]&amp;Detalle_OC[[#This Row],[Posicion]]</f>
        <v>Agricola del Chira PlantaMontelima804177451157112610</v>
      </c>
      <c r="B1256" t="s">
        <v>149</v>
      </c>
      <c r="C1256" t="s">
        <v>216</v>
      </c>
      <c r="D1256" s="11">
        <v>45635</v>
      </c>
      <c r="E1256" t="s">
        <v>16</v>
      </c>
      <c r="F1256" t="s">
        <v>12</v>
      </c>
      <c r="G1256">
        <v>804177</v>
      </c>
      <c r="H1256">
        <v>4511571126</v>
      </c>
      <c r="I1256">
        <v>10</v>
      </c>
      <c r="J1256" s="29">
        <v>1</v>
      </c>
      <c r="K1256" s="29" t="s">
        <v>1167</v>
      </c>
      <c r="L1256" t="str">
        <f>IFERROR(VLOOKUP(Detalle_OC[[#This Row],[Centro]]&amp;Detalle_OC[[#This Row],[Nro Almacen]],Almacen!A:D,4,FALSE),"")</f>
        <v>Montelima</v>
      </c>
    </row>
    <row r="1257" spans="1:12" x14ac:dyDescent="0.3">
      <c r="A1257" s="29" t="str">
        <f>Detalle_OC[[#This Row],[Centro]]&amp;Detalle_OC[[#This Row],[Nom Almacen]]&amp;Detalle_OC[[#This Row],[Material]]&amp;Detalle_OC[[#This Row],[Pedido]]&amp;Detalle_OC[[#This Row],[Posicion]]</f>
        <v>Agricola del Chira PlantaMontelima804191451157112620</v>
      </c>
      <c r="B1257" t="s">
        <v>149</v>
      </c>
      <c r="C1257" t="s">
        <v>216</v>
      </c>
      <c r="D1257" s="11">
        <v>45635</v>
      </c>
      <c r="E1257" t="s">
        <v>16</v>
      </c>
      <c r="F1257" t="s">
        <v>12</v>
      </c>
      <c r="G1257">
        <v>804191</v>
      </c>
      <c r="H1257">
        <v>4511571126</v>
      </c>
      <c r="I1257">
        <v>20</v>
      </c>
      <c r="J1257" s="29">
        <v>1</v>
      </c>
      <c r="K1257" s="29" t="s">
        <v>1167</v>
      </c>
      <c r="L1257" t="str">
        <f>IFERROR(VLOOKUP(Detalle_OC[[#This Row],[Centro]]&amp;Detalle_OC[[#This Row],[Nro Almacen]],Almacen!A:D,4,FALSE),"")</f>
        <v>Montelima</v>
      </c>
    </row>
    <row r="1258" spans="1:12" x14ac:dyDescent="0.3">
      <c r="A1258" s="29" t="str">
        <f>Detalle_OC[[#This Row],[Centro]]&amp;Detalle_OC[[#This Row],[Nom Almacen]]&amp;Detalle_OC[[#This Row],[Material]]&amp;Detalle_OC[[#This Row],[Pedido]]&amp;Detalle_OC[[#This Row],[Posicion]]</f>
        <v>Agricola del Chira PlantaMontelima804192451157112630</v>
      </c>
      <c r="B1258" t="s">
        <v>149</v>
      </c>
      <c r="C1258" t="s">
        <v>216</v>
      </c>
      <c r="D1258" s="11">
        <v>45635</v>
      </c>
      <c r="E1258" t="s">
        <v>16</v>
      </c>
      <c r="F1258" t="s">
        <v>12</v>
      </c>
      <c r="G1258">
        <v>804192</v>
      </c>
      <c r="H1258">
        <v>4511571126</v>
      </c>
      <c r="I1258">
        <v>30</v>
      </c>
      <c r="J1258" s="29">
        <v>1</v>
      </c>
      <c r="K1258" s="29" t="s">
        <v>1167</v>
      </c>
      <c r="L1258" t="str">
        <f>IFERROR(VLOOKUP(Detalle_OC[[#This Row],[Centro]]&amp;Detalle_OC[[#This Row],[Nro Almacen]],Almacen!A:D,4,FALSE),"")</f>
        <v>Montelima</v>
      </c>
    </row>
    <row r="1259" spans="1:12" x14ac:dyDescent="0.3">
      <c r="A1259" s="29" t="str">
        <f>Detalle_OC[[#This Row],[Centro]]&amp;Detalle_OC[[#This Row],[Nom Almacen]]&amp;Detalle_OC[[#This Row],[Material]]&amp;Detalle_OC[[#This Row],[Pedido]]&amp;Detalle_OC[[#This Row],[Posicion]]</f>
        <v>Agricola del Chira PlantaMontelima818111451157112640</v>
      </c>
      <c r="B1259" t="s">
        <v>149</v>
      </c>
      <c r="C1259" t="s">
        <v>216</v>
      </c>
      <c r="D1259" s="11">
        <v>45635</v>
      </c>
      <c r="E1259" t="s">
        <v>16</v>
      </c>
      <c r="F1259" t="s">
        <v>12</v>
      </c>
      <c r="G1259">
        <v>818111</v>
      </c>
      <c r="H1259">
        <v>4511571126</v>
      </c>
      <c r="I1259">
        <v>40</v>
      </c>
      <c r="J1259" s="29">
        <v>1</v>
      </c>
      <c r="K1259" s="29" t="s">
        <v>1167</v>
      </c>
      <c r="L1259" t="str">
        <f>IFERROR(VLOOKUP(Detalle_OC[[#This Row],[Centro]]&amp;Detalle_OC[[#This Row],[Nro Almacen]],Almacen!A:D,4,FALSE),"")</f>
        <v>Montelima</v>
      </c>
    </row>
    <row r="1260" spans="1:12" x14ac:dyDescent="0.3">
      <c r="A1260" s="29" t="str">
        <f>Detalle_OC[[#This Row],[Centro]]&amp;Detalle_OC[[#This Row],[Nom Almacen]]&amp;Detalle_OC[[#This Row],[Material]]&amp;Detalle_OC[[#This Row],[Pedido]]&amp;Detalle_OC[[#This Row],[Posicion]]</f>
        <v>Agricola del Chira PlantaMontelima846551451157112650</v>
      </c>
      <c r="B1260" t="s">
        <v>149</v>
      </c>
      <c r="C1260" t="s">
        <v>216</v>
      </c>
      <c r="D1260" s="11">
        <v>45649</v>
      </c>
      <c r="E1260" t="s">
        <v>16</v>
      </c>
      <c r="F1260" t="s">
        <v>12</v>
      </c>
      <c r="G1260">
        <v>846551</v>
      </c>
      <c r="H1260">
        <v>4511571126</v>
      </c>
      <c r="I1260">
        <v>50</v>
      </c>
      <c r="J1260" s="29">
        <v>1</v>
      </c>
      <c r="K1260" s="29" t="s">
        <v>1167</v>
      </c>
      <c r="L1260" t="str">
        <f>IFERROR(VLOOKUP(Detalle_OC[[#This Row],[Centro]]&amp;Detalle_OC[[#This Row],[Nro Almacen]],Almacen!A:D,4,FALSE),"")</f>
        <v>Montelima</v>
      </c>
    </row>
    <row r="1261" spans="1:12" x14ac:dyDescent="0.3">
      <c r="A1261" s="29" t="str">
        <f>Detalle_OC[[#This Row],[Centro]]&amp;Detalle_OC[[#This Row],[Nom Almacen]]&amp;Detalle_OC[[#This Row],[Material]]&amp;Detalle_OC[[#This Row],[Pedido]]&amp;Detalle_OC[[#This Row],[Posicion]]</f>
        <v>Agricola del Chira PlantaMontelima810525451157112660</v>
      </c>
      <c r="B1261" t="s">
        <v>149</v>
      </c>
      <c r="C1261" t="s">
        <v>216</v>
      </c>
      <c r="D1261" s="11">
        <v>45635</v>
      </c>
      <c r="E1261" t="s">
        <v>16</v>
      </c>
      <c r="F1261" t="s">
        <v>12</v>
      </c>
      <c r="G1261">
        <v>810525</v>
      </c>
      <c r="H1261">
        <v>4511571126</v>
      </c>
      <c r="I1261">
        <v>60</v>
      </c>
      <c r="J1261" s="29">
        <v>1</v>
      </c>
      <c r="K1261" s="29" t="s">
        <v>1167</v>
      </c>
      <c r="L1261" t="str">
        <f>IFERROR(VLOOKUP(Detalle_OC[[#This Row],[Centro]]&amp;Detalle_OC[[#This Row],[Nro Almacen]],Almacen!A:D,4,FALSE),"")</f>
        <v>Montelima</v>
      </c>
    </row>
    <row r="1262" spans="1:12" x14ac:dyDescent="0.3">
      <c r="A1262" s="29" t="str">
        <f>Detalle_OC[[#This Row],[Centro]]&amp;Detalle_OC[[#This Row],[Nom Almacen]]&amp;Detalle_OC[[#This Row],[Material]]&amp;Detalle_OC[[#This Row],[Pedido]]&amp;Detalle_OC[[#This Row],[Posicion]]</f>
        <v>Agricola del Chira PlantaMontelima800763451157112680</v>
      </c>
      <c r="B1262" t="s">
        <v>149</v>
      </c>
      <c r="C1262" t="s">
        <v>216</v>
      </c>
      <c r="D1262" s="11">
        <v>45635</v>
      </c>
      <c r="E1262" t="s">
        <v>16</v>
      </c>
      <c r="F1262" t="s">
        <v>12</v>
      </c>
      <c r="G1262">
        <v>800763</v>
      </c>
      <c r="H1262">
        <v>4511571126</v>
      </c>
      <c r="I1262">
        <v>80</v>
      </c>
      <c r="J1262" s="29">
        <v>1</v>
      </c>
      <c r="K1262" s="29" t="s">
        <v>1167</v>
      </c>
      <c r="L1262" t="str">
        <f>IFERROR(VLOOKUP(Detalle_OC[[#This Row],[Centro]]&amp;Detalle_OC[[#This Row],[Nro Almacen]],Almacen!A:D,4,FALSE),"")</f>
        <v>Montelima</v>
      </c>
    </row>
    <row r="1263" spans="1:12" x14ac:dyDescent="0.3">
      <c r="A1263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1263" t="s">
        <v>28</v>
      </c>
      <c r="C1263" t="s">
        <v>94</v>
      </c>
      <c r="D1263" s="11">
        <v>45621</v>
      </c>
      <c r="E1263" t="s">
        <v>16</v>
      </c>
      <c r="F1263" t="s">
        <v>85</v>
      </c>
      <c r="G1263" t="s">
        <v>95</v>
      </c>
      <c r="H1263">
        <v>5500024746</v>
      </c>
      <c r="I1263">
        <v>10</v>
      </c>
      <c r="J1263" s="29">
        <v>1</v>
      </c>
      <c r="K1263" s="29" t="s">
        <v>1167</v>
      </c>
      <c r="L1263" t="str">
        <f>IFERROR(VLOOKUP(Detalle_OC[[#This Row],[Centro]]&amp;Detalle_OC[[#This Row],[Nro Almacen]],Almacen!A:D,4,FALSE),"")</f>
        <v>Montelima</v>
      </c>
    </row>
    <row r="1264" spans="1:12" x14ac:dyDescent="0.3">
      <c r="A1264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1264" t="s">
        <v>28</v>
      </c>
      <c r="C1264" t="s">
        <v>54</v>
      </c>
      <c r="D1264" s="11">
        <v>45622</v>
      </c>
      <c r="E1264" t="s">
        <v>16</v>
      </c>
      <c r="F1264" t="s">
        <v>12</v>
      </c>
      <c r="G1264">
        <v>70100392</v>
      </c>
      <c r="H1264">
        <v>5500024751</v>
      </c>
      <c r="I1264">
        <v>20</v>
      </c>
      <c r="J1264" s="29">
        <v>2</v>
      </c>
      <c r="K1264" s="29" t="s">
        <v>1167</v>
      </c>
      <c r="L1264" t="str">
        <f>IFERROR(VLOOKUP(Detalle_OC[[#This Row],[Centro]]&amp;Detalle_OC[[#This Row],[Nro Almacen]],Almacen!A:D,4,FALSE),"")</f>
        <v>La Huaca</v>
      </c>
    </row>
    <row r="1265" spans="1:12" x14ac:dyDescent="0.3">
      <c r="A1265" s="29" t="str">
        <f>Detalle_OC[[#This Row],[Centro]]&amp;Detalle_OC[[#This Row],[Nom Almacen]]&amp;Detalle_OC[[#This Row],[Material]]&amp;Detalle_OC[[#This Row],[Pedido]]&amp;Detalle_OC[[#This Row],[Posicion]]</f>
        <v>Agricola del Chira PlantaMontelima723109550002489610</v>
      </c>
      <c r="B1265" t="s">
        <v>28</v>
      </c>
      <c r="C1265" t="s">
        <v>27</v>
      </c>
      <c r="D1265" s="11">
        <v>45622</v>
      </c>
      <c r="E1265" t="s">
        <v>16</v>
      </c>
      <c r="F1265" t="s">
        <v>12</v>
      </c>
      <c r="G1265">
        <v>723109</v>
      </c>
      <c r="H1265">
        <v>5500024896</v>
      </c>
      <c r="I1265">
        <v>10</v>
      </c>
      <c r="J1265" s="29">
        <v>1</v>
      </c>
      <c r="K1265" s="29" t="s">
        <v>1167</v>
      </c>
      <c r="L1265" t="str">
        <f>IFERROR(VLOOKUP(Detalle_OC[[#This Row],[Centro]]&amp;Detalle_OC[[#This Row],[Nro Almacen]],Almacen!A:D,4,FALSE),"")</f>
        <v>Montelima</v>
      </c>
    </row>
    <row r="1266" spans="1:12" x14ac:dyDescent="0.3">
      <c r="A1266" s="29" t="str">
        <f>Detalle_OC[[#This Row],[Centro]]&amp;Detalle_OC[[#This Row],[Nom Almacen]]&amp;Detalle_OC[[#This Row],[Material]]&amp;Detalle_OC[[#This Row],[Pedido]]&amp;Detalle_OC[[#This Row],[Posicion]]</f>
        <v>Sucroalcolera del Chira PlantaMontelima825448451156975820</v>
      </c>
      <c r="B1266" t="s">
        <v>138</v>
      </c>
      <c r="C1266" t="s">
        <v>24</v>
      </c>
      <c r="D1266" s="11">
        <v>45628</v>
      </c>
      <c r="E1266" t="s">
        <v>16</v>
      </c>
      <c r="F1266" t="s">
        <v>85</v>
      </c>
      <c r="G1266">
        <v>825448</v>
      </c>
      <c r="H1266">
        <v>4511569758</v>
      </c>
      <c r="I1266">
        <v>20</v>
      </c>
      <c r="J1266" s="29">
        <v>1</v>
      </c>
      <c r="K1266" s="29" t="s">
        <v>1170</v>
      </c>
      <c r="L1266" t="str">
        <f>IFERROR(VLOOKUP(Detalle_OC[[#This Row],[Centro]]&amp;Detalle_OC[[#This Row],[Nro Almacen]],Almacen!A:D,4,FALSE),"")</f>
        <v>Montelima</v>
      </c>
    </row>
    <row r="1267" spans="1:12" x14ac:dyDescent="0.3">
      <c r="A1267" s="29" t="str">
        <f>Detalle_OC[[#This Row],[Centro]]&amp;Detalle_OC[[#This Row],[Nom Almacen]]&amp;Detalle_OC[[#This Row],[Material]]&amp;Detalle_OC[[#This Row],[Pedido]]&amp;Detalle_OC[[#This Row],[Posicion]]</f>
        <v>Agricola del Chira PlantaMontelima70129232451157092610</v>
      </c>
      <c r="B1267" t="s">
        <v>202</v>
      </c>
      <c r="C1267" t="s">
        <v>161</v>
      </c>
      <c r="D1267" s="11">
        <v>45628</v>
      </c>
      <c r="E1267" t="s">
        <v>16</v>
      </c>
      <c r="F1267" t="s">
        <v>12</v>
      </c>
      <c r="G1267">
        <v>70129232</v>
      </c>
      <c r="H1267">
        <v>4511570926</v>
      </c>
      <c r="I1267">
        <v>10</v>
      </c>
      <c r="J1267" s="29">
        <v>1</v>
      </c>
      <c r="K1267" s="29" t="s">
        <v>1170</v>
      </c>
      <c r="L1267" t="str">
        <f>IFERROR(VLOOKUP(Detalle_OC[[#This Row],[Centro]]&amp;Detalle_OC[[#This Row],[Nro Almacen]],Almacen!A:D,4,FALSE),"")</f>
        <v>Montelima</v>
      </c>
    </row>
    <row r="1268" spans="1:12" x14ac:dyDescent="0.3">
      <c r="A1268" s="29" t="str">
        <f>Detalle_OC[[#This Row],[Centro]]&amp;Detalle_OC[[#This Row],[Nom Almacen]]&amp;Detalle_OC[[#This Row],[Material]]&amp;Detalle_OC[[#This Row],[Pedido]]&amp;Detalle_OC[[#This Row],[Posicion]]</f>
        <v>Agricola del Chira PlantaLa HuacaCB03285           451157092620</v>
      </c>
      <c r="B1268" t="s">
        <v>26</v>
      </c>
      <c r="C1268" t="s">
        <v>161</v>
      </c>
      <c r="D1268" s="11">
        <v>45628</v>
      </c>
      <c r="E1268" t="s">
        <v>16</v>
      </c>
      <c r="F1268" t="s">
        <v>12</v>
      </c>
      <c r="G1268" t="s">
        <v>1103</v>
      </c>
      <c r="H1268">
        <v>4511570926</v>
      </c>
      <c r="I1268">
        <v>20</v>
      </c>
      <c r="J1268" s="29">
        <v>2</v>
      </c>
      <c r="K1268" s="29" t="s">
        <v>1170</v>
      </c>
      <c r="L1268" t="str">
        <f>IFERROR(VLOOKUP(Detalle_OC[[#This Row],[Centro]]&amp;Detalle_OC[[#This Row],[Nro Almacen]],Almacen!A:D,4,FALSE),"")</f>
        <v>La Huaca</v>
      </c>
    </row>
    <row r="1269" spans="1:12" x14ac:dyDescent="0.3">
      <c r="A1269" s="29" t="str">
        <f>Detalle_OC[[#This Row],[Centro]]&amp;Detalle_OC[[#This Row],[Nom Almacen]]&amp;Detalle_OC[[#This Row],[Material]]&amp;Detalle_OC[[#This Row],[Pedido]]&amp;Detalle_OC[[#This Row],[Posicion]]</f>
        <v>Agricola del Chira PlantaAlmacen Lobo70034342451157093210</v>
      </c>
      <c r="B1269" t="s">
        <v>277</v>
      </c>
      <c r="C1269" t="s">
        <v>32</v>
      </c>
      <c r="D1269" s="11">
        <v>45628</v>
      </c>
      <c r="E1269" t="s">
        <v>16</v>
      </c>
      <c r="F1269" t="s">
        <v>12</v>
      </c>
      <c r="G1269">
        <v>70034342</v>
      </c>
      <c r="H1269">
        <v>4511570932</v>
      </c>
      <c r="I1269">
        <v>10</v>
      </c>
      <c r="J1269" s="29">
        <v>7</v>
      </c>
      <c r="K1269" s="29" t="s">
        <v>1170</v>
      </c>
      <c r="L1269" t="str">
        <f>IFERROR(VLOOKUP(Detalle_OC[[#This Row],[Centro]]&amp;Detalle_OC[[#This Row],[Nro Almacen]],Almacen!A:D,4,FALSE),"")</f>
        <v>Almacen Lobo</v>
      </c>
    </row>
    <row r="1270" spans="1:12" x14ac:dyDescent="0.3">
      <c r="A1270" s="29" t="str">
        <f>Detalle_OC[[#This Row],[Centro]]&amp;Detalle_OC[[#This Row],[Nom Almacen]]&amp;Detalle_OC[[#This Row],[Material]]&amp;Detalle_OC[[#This Row],[Pedido]]&amp;Detalle_OC[[#This Row],[Posicion]]</f>
        <v>Agricola del Chira PlantaMontelima828329451157093220</v>
      </c>
      <c r="B1270" t="s">
        <v>149</v>
      </c>
      <c r="C1270" t="s">
        <v>32</v>
      </c>
      <c r="D1270" s="11">
        <v>45628</v>
      </c>
      <c r="E1270" t="s">
        <v>16</v>
      </c>
      <c r="F1270" t="s">
        <v>12</v>
      </c>
      <c r="G1270">
        <v>828329</v>
      </c>
      <c r="H1270">
        <v>4511570932</v>
      </c>
      <c r="I1270">
        <v>20</v>
      </c>
      <c r="J1270" s="29">
        <v>1</v>
      </c>
      <c r="K1270" s="29" t="s">
        <v>1170</v>
      </c>
      <c r="L1270" t="str">
        <f>IFERROR(VLOOKUP(Detalle_OC[[#This Row],[Centro]]&amp;Detalle_OC[[#This Row],[Nro Almacen]],Almacen!A:D,4,FALSE),"")</f>
        <v>Montelima</v>
      </c>
    </row>
    <row r="1271" spans="1:12" x14ac:dyDescent="0.3">
      <c r="A1271" s="29" t="str">
        <f>Detalle_OC[[#This Row],[Centro]]&amp;Detalle_OC[[#This Row],[Nom Almacen]]&amp;Detalle_OC[[#This Row],[Material]]&amp;Detalle_OC[[#This Row],[Pedido]]&amp;Detalle_OC[[#This Row],[Posicion]]</f>
        <v>Agricola del Chira PlantaLa Huaca844106451157093230</v>
      </c>
      <c r="B1271" t="s">
        <v>26</v>
      </c>
      <c r="C1271" t="s">
        <v>32</v>
      </c>
      <c r="D1271" s="11">
        <v>45628</v>
      </c>
      <c r="E1271" t="s">
        <v>16</v>
      </c>
      <c r="F1271" t="s">
        <v>12</v>
      </c>
      <c r="G1271">
        <v>844106</v>
      </c>
      <c r="H1271">
        <v>4511570932</v>
      </c>
      <c r="I1271">
        <v>30</v>
      </c>
      <c r="J1271" s="29">
        <v>2</v>
      </c>
      <c r="K1271" s="29" t="s">
        <v>1170</v>
      </c>
      <c r="L1271" t="str">
        <f>IFERROR(VLOOKUP(Detalle_OC[[#This Row],[Centro]]&amp;Detalle_OC[[#This Row],[Nro Almacen]],Almacen!A:D,4,FALSE),"")</f>
        <v>La Huaca</v>
      </c>
    </row>
    <row r="1272" spans="1:12" x14ac:dyDescent="0.3">
      <c r="A1272" s="29" t="str">
        <f>Detalle_OC[[#This Row],[Centro]]&amp;Detalle_OC[[#This Row],[Nom Almacen]]&amp;Detalle_OC[[#This Row],[Material]]&amp;Detalle_OC[[#This Row],[Pedido]]&amp;Detalle_OC[[#This Row],[Posicion]]</f>
        <v>Sucroalcolera del Chira PlantaMontelima749451451157093310</v>
      </c>
      <c r="B1272" t="s">
        <v>138</v>
      </c>
      <c r="C1272" t="s">
        <v>32</v>
      </c>
      <c r="D1272" s="11">
        <v>45628</v>
      </c>
      <c r="E1272" t="s">
        <v>16</v>
      </c>
      <c r="F1272" t="s">
        <v>85</v>
      </c>
      <c r="G1272">
        <v>749451</v>
      </c>
      <c r="H1272">
        <v>4511570933</v>
      </c>
      <c r="I1272">
        <v>10</v>
      </c>
      <c r="J1272" s="29">
        <v>1</v>
      </c>
      <c r="K1272" s="29" t="s">
        <v>1170</v>
      </c>
      <c r="L1272" t="str">
        <f>IFERROR(VLOOKUP(Detalle_OC[[#This Row],[Centro]]&amp;Detalle_OC[[#This Row],[Nro Almacen]],Almacen!A:D,4,FALSE),"")</f>
        <v>Montelima</v>
      </c>
    </row>
    <row r="1273" spans="1:12" x14ac:dyDescent="0.3">
      <c r="A1273" s="29" t="str">
        <f>Detalle_OC[[#This Row],[Centro]]&amp;Detalle_OC[[#This Row],[Nom Almacen]]&amp;Detalle_OC[[#This Row],[Material]]&amp;Detalle_OC[[#This Row],[Pedido]]&amp;Detalle_OC[[#This Row],[Posicion]]</f>
        <v>Sucroalcolera del Chira PlantaMontelima844225451157093320</v>
      </c>
      <c r="B1273" t="s">
        <v>138</v>
      </c>
      <c r="C1273" t="s">
        <v>32</v>
      </c>
      <c r="D1273" s="11">
        <v>45628</v>
      </c>
      <c r="E1273" t="s">
        <v>16</v>
      </c>
      <c r="F1273" t="s">
        <v>85</v>
      </c>
      <c r="G1273">
        <v>844225</v>
      </c>
      <c r="H1273">
        <v>4511570933</v>
      </c>
      <c r="I1273">
        <v>20</v>
      </c>
      <c r="J1273" s="29">
        <v>1</v>
      </c>
      <c r="K1273" s="29" t="s">
        <v>1170</v>
      </c>
      <c r="L1273" t="str">
        <f>IFERROR(VLOOKUP(Detalle_OC[[#This Row],[Centro]]&amp;Detalle_OC[[#This Row],[Nro Almacen]],Almacen!A:D,4,FALSE),"")</f>
        <v>Montelima</v>
      </c>
    </row>
    <row r="1274" spans="1:12" x14ac:dyDescent="0.3">
      <c r="A1274" s="29" t="str">
        <f>Detalle_OC[[#This Row],[Centro]]&amp;Detalle_OC[[#This Row],[Nom Almacen]]&amp;Detalle_OC[[#This Row],[Material]]&amp;Detalle_OC[[#This Row],[Pedido]]&amp;Detalle_OC[[#This Row],[Posicion]]</f>
        <v>Sucroalcolera del Chira PlantaMontelima844225451157093330</v>
      </c>
      <c r="B1274" t="s">
        <v>138</v>
      </c>
      <c r="C1274" t="s">
        <v>32</v>
      </c>
      <c r="D1274" s="11">
        <v>45628</v>
      </c>
      <c r="E1274" t="s">
        <v>16</v>
      </c>
      <c r="F1274" t="s">
        <v>85</v>
      </c>
      <c r="G1274">
        <v>844225</v>
      </c>
      <c r="H1274">
        <v>4511570933</v>
      </c>
      <c r="I1274">
        <v>30</v>
      </c>
      <c r="J1274" s="29">
        <v>1</v>
      </c>
      <c r="K1274" s="29" t="s">
        <v>1170</v>
      </c>
      <c r="L1274" t="str">
        <f>IFERROR(VLOOKUP(Detalle_OC[[#This Row],[Centro]]&amp;Detalle_OC[[#This Row],[Nro Almacen]],Almacen!A:D,4,FALSE),"")</f>
        <v>Montelima</v>
      </c>
    </row>
    <row r="1275" spans="1:12" x14ac:dyDescent="0.3">
      <c r="A1275" s="29" t="str">
        <f>Detalle_OC[[#This Row],[Centro]]&amp;Detalle_OC[[#This Row],[Nom Almacen]]&amp;Detalle_OC[[#This Row],[Material]]&amp;Detalle_OC[[#This Row],[Pedido]]&amp;Detalle_OC[[#This Row],[Posicion]]</f>
        <v>Sucroalcolera del Chira PlantaMontelima893089451157093340</v>
      </c>
      <c r="B1275" t="s">
        <v>138</v>
      </c>
      <c r="C1275" t="s">
        <v>32</v>
      </c>
      <c r="D1275" s="11">
        <v>45628</v>
      </c>
      <c r="E1275" t="s">
        <v>16</v>
      </c>
      <c r="F1275" t="s">
        <v>85</v>
      </c>
      <c r="G1275">
        <v>893089</v>
      </c>
      <c r="H1275">
        <v>4511570933</v>
      </c>
      <c r="I1275">
        <v>40</v>
      </c>
      <c r="J1275" s="29">
        <v>1</v>
      </c>
      <c r="K1275" s="29" t="s">
        <v>1170</v>
      </c>
      <c r="L1275" t="str">
        <f>IFERROR(VLOOKUP(Detalle_OC[[#This Row],[Centro]]&amp;Detalle_OC[[#This Row],[Nro Almacen]],Almacen!A:D,4,FALSE),"")</f>
        <v>Montelima</v>
      </c>
    </row>
    <row r="1276" spans="1:12" x14ac:dyDescent="0.3">
      <c r="A1276" s="29" t="str">
        <f>Detalle_OC[[#This Row],[Centro]]&amp;Detalle_OC[[#This Row],[Nom Almacen]]&amp;Detalle_OC[[#This Row],[Material]]&amp;Detalle_OC[[#This Row],[Pedido]]&amp;Detalle_OC[[#This Row],[Posicion]]</f>
        <v>Agricola del Chira PlantaMontelimaCH00490           451157094010</v>
      </c>
      <c r="B1276" t="s">
        <v>258</v>
      </c>
      <c r="C1276" t="s">
        <v>212</v>
      </c>
      <c r="D1276" s="11">
        <v>45646</v>
      </c>
      <c r="E1276" t="s">
        <v>16</v>
      </c>
      <c r="F1276" t="s">
        <v>12</v>
      </c>
      <c r="G1276" t="s">
        <v>1091</v>
      </c>
      <c r="H1276">
        <v>4511570940</v>
      </c>
      <c r="I1276">
        <v>10</v>
      </c>
      <c r="J1276" s="29">
        <v>1</v>
      </c>
      <c r="K1276" s="29" t="s">
        <v>1170</v>
      </c>
      <c r="L1276" t="str">
        <f>IFERROR(VLOOKUP(Detalle_OC[[#This Row],[Centro]]&amp;Detalle_OC[[#This Row],[Nro Almacen]],Almacen!A:D,4,FALSE),"")</f>
        <v>Montelima</v>
      </c>
    </row>
    <row r="1277" spans="1:12" x14ac:dyDescent="0.3">
      <c r="A1277" s="29" t="str">
        <f>Detalle_OC[[#This Row],[Centro]]&amp;Detalle_OC[[#This Row],[Nom Almacen]]&amp;Detalle_OC[[#This Row],[Material]]&amp;Detalle_OC[[#This Row],[Pedido]]&amp;Detalle_OC[[#This Row],[Posicion]]</f>
        <v>Agricola del Chira PlantaMontelimaMWAGR00040        451157094310</v>
      </c>
      <c r="B1277" t="s">
        <v>1171</v>
      </c>
      <c r="C1277" t="s">
        <v>1172</v>
      </c>
      <c r="D1277" s="11">
        <v>45632</v>
      </c>
      <c r="E1277" t="s">
        <v>16</v>
      </c>
      <c r="F1277" t="s">
        <v>12</v>
      </c>
      <c r="G1277" t="s">
        <v>1096</v>
      </c>
      <c r="H1277">
        <v>4511570943</v>
      </c>
      <c r="I1277">
        <v>10</v>
      </c>
      <c r="J1277" s="29">
        <v>1</v>
      </c>
      <c r="K1277" s="29" t="s">
        <v>1170</v>
      </c>
      <c r="L1277" t="str">
        <f>IFERROR(VLOOKUP(Detalle_OC[[#This Row],[Centro]]&amp;Detalle_OC[[#This Row],[Nro Almacen]],Almacen!A:D,4,FALSE),"")</f>
        <v>Montelima</v>
      </c>
    </row>
    <row r="1278" spans="1:12" x14ac:dyDescent="0.3">
      <c r="A1278" s="29" t="str">
        <f>Detalle_OC[[#This Row],[Centro]]&amp;Detalle_OC[[#This Row],[Nom Almacen]]&amp;Detalle_OC[[#This Row],[Material]]&amp;Detalle_OC[[#This Row],[Pedido]]&amp;Detalle_OC[[#This Row],[Posicion]]</f>
        <v>Agricola del Chira PlantaMontelimaCB03530           451157095310</v>
      </c>
      <c r="B1278" t="s">
        <v>149</v>
      </c>
      <c r="C1278" t="s">
        <v>137</v>
      </c>
      <c r="D1278" s="11">
        <v>45637</v>
      </c>
      <c r="E1278" t="s">
        <v>16</v>
      </c>
      <c r="F1278" t="s">
        <v>12</v>
      </c>
      <c r="G1278" t="s">
        <v>317</v>
      </c>
      <c r="H1278">
        <v>4511570953</v>
      </c>
      <c r="I1278">
        <v>10</v>
      </c>
      <c r="J1278" s="29">
        <v>1</v>
      </c>
      <c r="K1278" s="29" t="s">
        <v>1170</v>
      </c>
      <c r="L1278" t="str">
        <f>IFERROR(VLOOKUP(Detalle_OC[[#This Row],[Centro]]&amp;Detalle_OC[[#This Row],[Nro Almacen]],Almacen!A:D,4,FALSE),"")</f>
        <v>Montelima</v>
      </c>
    </row>
    <row r="1279" spans="1:12" x14ac:dyDescent="0.3">
      <c r="A1279" s="29" t="str">
        <f>Detalle_OC[[#This Row],[Centro]]&amp;Detalle_OC[[#This Row],[Nom Almacen]]&amp;Detalle_OC[[#This Row],[Material]]&amp;Detalle_OC[[#This Row],[Pedido]]&amp;Detalle_OC[[#This Row],[Posicion]]</f>
        <v>Sucroalcolera del Chira PlantaMontelima70022058451157095610</v>
      </c>
      <c r="B1279" t="s">
        <v>138</v>
      </c>
      <c r="C1279" t="s">
        <v>255</v>
      </c>
      <c r="D1279" s="11">
        <v>45639</v>
      </c>
      <c r="E1279" t="s">
        <v>16</v>
      </c>
      <c r="F1279" t="s">
        <v>85</v>
      </c>
      <c r="G1279">
        <v>70022058</v>
      </c>
      <c r="H1279">
        <v>4511570956</v>
      </c>
      <c r="I1279">
        <v>10</v>
      </c>
      <c r="J1279" s="29">
        <v>1</v>
      </c>
      <c r="K1279" s="29" t="s">
        <v>1170</v>
      </c>
      <c r="L1279" t="str">
        <f>IFERROR(VLOOKUP(Detalle_OC[[#This Row],[Centro]]&amp;Detalle_OC[[#This Row],[Nro Almacen]],Almacen!A:D,4,FALSE),"")</f>
        <v>Montelima</v>
      </c>
    </row>
    <row r="1280" spans="1:12" x14ac:dyDescent="0.3">
      <c r="A1280" s="29" t="str">
        <f>Detalle_OC[[#This Row],[Centro]]&amp;Detalle_OC[[#This Row],[Nom Almacen]]&amp;Detalle_OC[[#This Row],[Material]]&amp;Detalle_OC[[#This Row],[Pedido]]&amp;Detalle_OC[[#This Row],[Posicion]]</f>
        <v>Bioenergía del Chira PlantaParada fábrica70102702451157095710</v>
      </c>
      <c r="B1280" t="s">
        <v>180</v>
      </c>
      <c r="C1280" t="s">
        <v>254</v>
      </c>
      <c r="D1280" s="11">
        <v>45656</v>
      </c>
      <c r="E1280" t="s">
        <v>16</v>
      </c>
      <c r="F1280" t="s">
        <v>86</v>
      </c>
      <c r="G1280">
        <v>70102702</v>
      </c>
      <c r="H1280">
        <v>4511570957</v>
      </c>
      <c r="I1280">
        <v>10</v>
      </c>
      <c r="J1280" s="29">
        <v>4</v>
      </c>
      <c r="K1280" s="29" t="s">
        <v>1170</v>
      </c>
      <c r="L1280" t="str">
        <f>IFERROR(VLOOKUP(Detalle_OC[[#This Row],[Centro]]&amp;Detalle_OC[[#This Row],[Nro Almacen]],Almacen!A:D,4,FALSE),"")</f>
        <v>Parada fábrica</v>
      </c>
    </row>
    <row r="1281" spans="1:12" x14ac:dyDescent="0.3">
      <c r="A1281" s="29" t="str">
        <f>Detalle_OC[[#This Row],[Centro]]&amp;Detalle_OC[[#This Row],[Nom Almacen]]&amp;Detalle_OC[[#This Row],[Material]]&amp;Detalle_OC[[#This Row],[Pedido]]&amp;Detalle_OC[[#This Row],[Posicion]]</f>
        <v>Sucroalcolera del Chira PlantaMontelima806002451157095810</v>
      </c>
      <c r="B1281" t="s">
        <v>202</v>
      </c>
      <c r="C1281" t="s">
        <v>272</v>
      </c>
      <c r="D1281" s="11">
        <v>45635</v>
      </c>
      <c r="E1281" t="s">
        <v>16</v>
      </c>
      <c r="F1281" t="s">
        <v>85</v>
      </c>
      <c r="G1281">
        <v>806002</v>
      </c>
      <c r="H1281">
        <v>4511570958</v>
      </c>
      <c r="I1281">
        <v>10</v>
      </c>
      <c r="J1281" s="29">
        <v>1</v>
      </c>
      <c r="K1281" s="29" t="s">
        <v>1170</v>
      </c>
      <c r="L1281" t="str">
        <f>IFERROR(VLOOKUP(Detalle_OC[[#This Row],[Centro]]&amp;Detalle_OC[[#This Row],[Nro Almacen]],Almacen!A:D,4,FALSE),"")</f>
        <v>Montelima</v>
      </c>
    </row>
    <row r="1282" spans="1:12" x14ac:dyDescent="0.3">
      <c r="A1282" s="29" t="str">
        <f>Detalle_OC[[#This Row],[Centro]]&amp;Detalle_OC[[#This Row],[Nom Almacen]]&amp;Detalle_OC[[#This Row],[Material]]&amp;Detalle_OC[[#This Row],[Pedido]]&amp;Detalle_OC[[#This Row],[Posicion]]</f>
        <v>Sucroalcolera del Chira PlantaMontelima869926451157095820</v>
      </c>
      <c r="B1282" t="s">
        <v>202</v>
      </c>
      <c r="C1282" t="s">
        <v>272</v>
      </c>
      <c r="D1282" s="11">
        <v>45632</v>
      </c>
      <c r="E1282" t="s">
        <v>16</v>
      </c>
      <c r="F1282" t="s">
        <v>85</v>
      </c>
      <c r="G1282">
        <v>869926</v>
      </c>
      <c r="H1282">
        <v>4511570958</v>
      </c>
      <c r="I1282">
        <v>20</v>
      </c>
      <c r="J1282" s="29">
        <v>1</v>
      </c>
      <c r="K1282" s="29" t="s">
        <v>1170</v>
      </c>
      <c r="L1282" t="str">
        <f>IFERROR(VLOOKUP(Detalle_OC[[#This Row],[Centro]]&amp;Detalle_OC[[#This Row],[Nro Almacen]],Almacen!A:D,4,FALSE),"")</f>
        <v>Montelima</v>
      </c>
    </row>
    <row r="1283" spans="1:12" x14ac:dyDescent="0.3">
      <c r="A1283" s="29" t="str">
        <f>Detalle_OC[[#This Row],[Centro]]&amp;Detalle_OC[[#This Row],[Nom Almacen]]&amp;Detalle_OC[[#This Row],[Material]]&amp;Detalle_OC[[#This Row],[Pedido]]&amp;Detalle_OC[[#This Row],[Posicion]]</f>
        <v>Sucroalcolera del Chira PlantaMontelima70088384451157095830</v>
      </c>
      <c r="B1283" t="s">
        <v>142</v>
      </c>
      <c r="C1283" t="s">
        <v>272</v>
      </c>
      <c r="D1283" s="11">
        <v>45632</v>
      </c>
      <c r="E1283" t="s">
        <v>16</v>
      </c>
      <c r="F1283" t="s">
        <v>85</v>
      </c>
      <c r="G1283">
        <v>70088384</v>
      </c>
      <c r="H1283">
        <v>4511570958</v>
      </c>
      <c r="I1283">
        <v>30</v>
      </c>
      <c r="J1283" s="29">
        <v>1</v>
      </c>
      <c r="K1283" s="29" t="s">
        <v>1170</v>
      </c>
      <c r="L1283" t="str">
        <f>IFERROR(VLOOKUP(Detalle_OC[[#This Row],[Centro]]&amp;Detalle_OC[[#This Row],[Nro Almacen]],Almacen!A:D,4,FALSE),"")</f>
        <v>Montelima</v>
      </c>
    </row>
    <row r="1284" spans="1:12" x14ac:dyDescent="0.3">
      <c r="A1284" s="29" t="str">
        <f>Detalle_OC[[#This Row],[Centro]]&amp;Detalle_OC[[#This Row],[Nom Almacen]]&amp;Detalle_OC[[#This Row],[Material]]&amp;Detalle_OC[[#This Row],[Pedido]]&amp;Detalle_OC[[#This Row],[Posicion]]</f>
        <v>Sucroalcolera del Chira PlantaMontelimaCS20010102        451157095840</v>
      </c>
      <c r="B1284" t="s">
        <v>202</v>
      </c>
      <c r="C1284" t="s">
        <v>272</v>
      </c>
      <c r="D1284" s="11">
        <v>45632</v>
      </c>
      <c r="E1284" t="s">
        <v>16</v>
      </c>
      <c r="F1284" t="s">
        <v>85</v>
      </c>
      <c r="G1284" t="s">
        <v>974</v>
      </c>
      <c r="H1284">
        <v>4511570958</v>
      </c>
      <c r="I1284">
        <v>40</v>
      </c>
      <c r="J1284" s="29">
        <v>1</v>
      </c>
      <c r="K1284" s="29" t="s">
        <v>1170</v>
      </c>
      <c r="L1284" t="str">
        <f>IFERROR(VLOOKUP(Detalle_OC[[#This Row],[Centro]]&amp;Detalle_OC[[#This Row],[Nro Almacen]],Almacen!A:D,4,FALSE),"")</f>
        <v>Montelima</v>
      </c>
    </row>
    <row r="1285" spans="1:12" x14ac:dyDescent="0.3">
      <c r="A1285" s="29" t="str">
        <f>Detalle_OC[[#This Row],[Centro]]&amp;Detalle_OC[[#This Row],[Nom Almacen]]&amp;Detalle_OC[[#This Row],[Material]]&amp;Detalle_OC[[#This Row],[Pedido]]&amp;Detalle_OC[[#This Row],[Posicion]]</f>
        <v>Bioenergía del Chira PlantaMontelima787980451157096010</v>
      </c>
      <c r="B1285" t="s">
        <v>182</v>
      </c>
      <c r="C1285" t="s">
        <v>272</v>
      </c>
      <c r="D1285" s="11">
        <v>45632</v>
      </c>
      <c r="E1285" t="s">
        <v>16</v>
      </c>
      <c r="F1285" t="s">
        <v>86</v>
      </c>
      <c r="G1285">
        <v>787980</v>
      </c>
      <c r="H1285">
        <v>4511570960</v>
      </c>
      <c r="I1285">
        <v>10</v>
      </c>
      <c r="J1285" s="29">
        <v>1</v>
      </c>
      <c r="K1285" s="29" t="s">
        <v>1170</v>
      </c>
      <c r="L1285" t="str">
        <f>IFERROR(VLOOKUP(Detalle_OC[[#This Row],[Centro]]&amp;Detalle_OC[[#This Row],[Nro Almacen]],Almacen!A:D,4,FALSE),"")</f>
        <v>Montelima</v>
      </c>
    </row>
    <row r="1286" spans="1:12" x14ac:dyDescent="0.3">
      <c r="A1286" s="29" t="str">
        <f>Detalle_OC[[#This Row],[Centro]]&amp;Detalle_OC[[#This Row],[Nom Almacen]]&amp;Detalle_OC[[#This Row],[Material]]&amp;Detalle_OC[[#This Row],[Pedido]]&amp;Detalle_OC[[#This Row],[Posicion]]</f>
        <v>Agricola del Chira PlantaMontelima70108182451157096110</v>
      </c>
      <c r="B1286" t="s">
        <v>1163</v>
      </c>
      <c r="C1286" t="s">
        <v>1173</v>
      </c>
      <c r="D1286" s="11">
        <v>45657</v>
      </c>
      <c r="E1286" t="s">
        <v>48</v>
      </c>
      <c r="F1286" t="s">
        <v>12</v>
      </c>
      <c r="G1286">
        <v>70108182</v>
      </c>
      <c r="H1286">
        <v>4511570961</v>
      </c>
      <c r="I1286">
        <v>10</v>
      </c>
      <c r="J1286" s="29">
        <v>1</v>
      </c>
      <c r="K1286" s="29" t="s">
        <v>1170</v>
      </c>
      <c r="L1286" t="str">
        <f>IFERROR(VLOOKUP(Detalle_OC[[#This Row],[Centro]]&amp;Detalle_OC[[#This Row],[Nro Almacen]],Almacen!A:D,4,FALSE),"")</f>
        <v>Montelima</v>
      </c>
    </row>
    <row r="1287" spans="1:12" x14ac:dyDescent="0.3">
      <c r="A1287" s="29" t="str">
        <f>Detalle_OC[[#This Row],[Centro]]&amp;Detalle_OC[[#This Row],[Nom Almacen]]&amp;Detalle_OC[[#This Row],[Material]]&amp;Detalle_OC[[#This Row],[Pedido]]&amp;Detalle_OC[[#This Row],[Posicion]]</f>
        <v>Sucroalcolera del Chira PlantaMontelima718210451157097510</v>
      </c>
      <c r="B1287" t="s">
        <v>200</v>
      </c>
      <c r="C1287" t="s">
        <v>44</v>
      </c>
      <c r="D1287" s="11">
        <v>45630</v>
      </c>
      <c r="E1287" t="s">
        <v>48</v>
      </c>
      <c r="F1287" t="s">
        <v>85</v>
      </c>
      <c r="G1287">
        <v>718210</v>
      </c>
      <c r="H1287">
        <v>4511570975</v>
      </c>
      <c r="I1287">
        <v>10</v>
      </c>
      <c r="J1287" s="29">
        <v>1</v>
      </c>
      <c r="K1287" s="29" t="s">
        <v>1170</v>
      </c>
      <c r="L1287" t="str">
        <f>IFERROR(VLOOKUP(Detalle_OC[[#This Row],[Centro]]&amp;Detalle_OC[[#This Row],[Nro Almacen]],Almacen!A:D,4,FALSE),"")</f>
        <v>Montelima</v>
      </c>
    </row>
    <row r="1288" spans="1:12" x14ac:dyDescent="0.3">
      <c r="A1288" s="29" t="str">
        <f>Detalle_OC[[#This Row],[Centro]]&amp;Detalle_OC[[#This Row],[Nom Almacen]]&amp;Detalle_OC[[#This Row],[Material]]&amp;Detalle_OC[[#This Row],[Pedido]]&amp;Detalle_OC[[#This Row],[Posicion]]</f>
        <v>Sucroalcolera del Chira PlantaMontelima718210451157097520</v>
      </c>
      <c r="B1288" t="s">
        <v>200</v>
      </c>
      <c r="C1288" t="s">
        <v>44</v>
      </c>
      <c r="D1288" s="11">
        <v>45630</v>
      </c>
      <c r="E1288" t="s">
        <v>48</v>
      </c>
      <c r="F1288" t="s">
        <v>85</v>
      </c>
      <c r="G1288">
        <v>718210</v>
      </c>
      <c r="H1288">
        <v>4511570975</v>
      </c>
      <c r="I1288">
        <v>20</v>
      </c>
      <c r="J1288" s="29">
        <v>1</v>
      </c>
      <c r="K1288" s="29" t="s">
        <v>1170</v>
      </c>
      <c r="L1288" t="str">
        <f>IFERROR(VLOOKUP(Detalle_OC[[#This Row],[Centro]]&amp;Detalle_OC[[#This Row],[Nro Almacen]],Almacen!A:D,4,FALSE),"")</f>
        <v>Montelima</v>
      </c>
    </row>
    <row r="1289" spans="1:12" x14ac:dyDescent="0.3">
      <c r="A1289" s="29" t="str">
        <f>Detalle_OC[[#This Row],[Centro]]&amp;Detalle_OC[[#This Row],[Nom Almacen]]&amp;Detalle_OC[[#This Row],[Material]]&amp;Detalle_OC[[#This Row],[Pedido]]&amp;Detalle_OC[[#This Row],[Posicion]]</f>
        <v>Sucroalcolera del Chira PlantaMontelima769799451157098010</v>
      </c>
      <c r="B1289" t="s">
        <v>151</v>
      </c>
      <c r="C1289" t="s">
        <v>168</v>
      </c>
      <c r="D1289" s="11">
        <v>45637</v>
      </c>
      <c r="E1289" t="s">
        <v>51</v>
      </c>
      <c r="F1289" t="s">
        <v>85</v>
      </c>
      <c r="G1289">
        <v>769799</v>
      </c>
      <c r="H1289">
        <v>4511570980</v>
      </c>
      <c r="I1289">
        <v>10</v>
      </c>
      <c r="J1289" s="29">
        <v>1</v>
      </c>
      <c r="K1289" s="29" t="s">
        <v>1170</v>
      </c>
      <c r="L1289" t="str">
        <f>IFERROR(VLOOKUP(Detalle_OC[[#This Row],[Centro]]&amp;Detalle_OC[[#This Row],[Nro Almacen]],Almacen!A:D,4,FALSE),"")</f>
        <v>Montelima</v>
      </c>
    </row>
    <row r="1290" spans="1:12" x14ac:dyDescent="0.3">
      <c r="A1290" s="29" t="str">
        <f>Detalle_OC[[#This Row],[Centro]]&amp;Detalle_OC[[#This Row],[Nom Almacen]]&amp;Detalle_OC[[#This Row],[Material]]&amp;Detalle_OC[[#This Row],[Pedido]]&amp;Detalle_OC[[#This Row],[Posicion]]</f>
        <v>Agricola del Chira PlantaMontelima822253451157098110</v>
      </c>
      <c r="B1290" t="s">
        <v>149</v>
      </c>
      <c r="C1290" t="s">
        <v>44</v>
      </c>
      <c r="D1290" s="11">
        <v>45632</v>
      </c>
      <c r="E1290" t="s">
        <v>16</v>
      </c>
      <c r="F1290" t="s">
        <v>12</v>
      </c>
      <c r="G1290">
        <v>822253</v>
      </c>
      <c r="H1290">
        <v>4511570981</v>
      </c>
      <c r="I1290">
        <v>10</v>
      </c>
      <c r="J1290" s="29">
        <v>1</v>
      </c>
      <c r="K1290" s="29" t="s">
        <v>1170</v>
      </c>
      <c r="L1290" t="str">
        <f>IFERROR(VLOOKUP(Detalle_OC[[#This Row],[Centro]]&amp;Detalle_OC[[#This Row],[Nro Almacen]],Almacen!A:D,4,FALSE),"")</f>
        <v>Montelima</v>
      </c>
    </row>
    <row r="1291" spans="1:12" x14ac:dyDescent="0.3">
      <c r="A1291" s="29" t="str">
        <f>Detalle_OC[[#This Row],[Centro]]&amp;Detalle_OC[[#This Row],[Nom Almacen]]&amp;Detalle_OC[[#This Row],[Material]]&amp;Detalle_OC[[#This Row],[Pedido]]&amp;Detalle_OC[[#This Row],[Posicion]]</f>
        <v>Agricola del Chira PlantaAlmacen Lobo899361451157098210</v>
      </c>
      <c r="B1291" t="s">
        <v>33</v>
      </c>
      <c r="C1291" t="s">
        <v>44</v>
      </c>
      <c r="D1291" s="11">
        <v>45637</v>
      </c>
      <c r="E1291" t="s">
        <v>16</v>
      </c>
      <c r="F1291" t="s">
        <v>12</v>
      </c>
      <c r="G1291">
        <v>899361</v>
      </c>
      <c r="H1291">
        <v>4511570982</v>
      </c>
      <c r="I1291">
        <v>10</v>
      </c>
      <c r="J1291" s="29">
        <v>7</v>
      </c>
      <c r="K1291" s="29" t="s">
        <v>1170</v>
      </c>
      <c r="L1291" t="str">
        <f>IFERROR(VLOOKUP(Detalle_OC[[#This Row],[Centro]]&amp;Detalle_OC[[#This Row],[Nro Almacen]],Almacen!A:D,4,FALSE),"")</f>
        <v>Almacen Lobo</v>
      </c>
    </row>
    <row r="1292" spans="1:12" x14ac:dyDescent="0.3">
      <c r="A1292" s="29" t="str">
        <f>Detalle_OC[[#This Row],[Centro]]&amp;Detalle_OC[[#This Row],[Nom Almacen]]&amp;Detalle_OC[[#This Row],[Material]]&amp;Detalle_OC[[#This Row],[Pedido]]&amp;Detalle_OC[[#This Row],[Posicion]]</f>
        <v>Bioenergía del Chira PlantaMontelima871464451157098310</v>
      </c>
      <c r="B1292" t="s">
        <v>1116</v>
      </c>
      <c r="C1292" t="s">
        <v>1117</v>
      </c>
      <c r="D1292" s="11">
        <v>45637</v>
      </c>
      <c r="E1292" t="b">
        <v>0</v>
      </c>
      <c r="F1292" t="s">
        <v>86</v>
      </c>
      <c r="G1292">
        <v>871464</v>
      </c>
      <c r="H1292">
        <v>4511570983</v>
      </c>
      <c r="I1292">
        <v>10</v>
      </c>
      <c r="J1292" s="29">
        <v>1</v>
      </c>
      <c r="K1292" s="29" t="s">
        <v>1170</v>
      </c>
      <c r="L1292" t="str">
        <f>IFERROR(VLOOKUP(Detalle_OC[[#This Row],[Centro]]&amp;Detalle_OC[[#This Row],[Nro Almacen]],Almacen!A:D,4,FALSE),"")</f>
        <v>Montelima</v>
      </c>
    </row>
    <row r="1293" spans="1:12" x14ac:dyDescent="0.3">
      <c r="A1293" s="29" t="str">
        <f>Detalle_OC[[#This Row],[Centro]]&amp;Detalle_OC[[#This Row],[Nom Almacen]]&amp;Detalle_OC[[#This Row],[Material]]&amp;Detalle_OC[[#This Row],[Pedido]]&amp;Detalle_OC[[#This Row],[Posicion]]</f>
        <v>Sucroalcolera del Chira PlantaMontelima871464451157098410</v>
      </c>
      <c r="B1293" t="s">
        <v>1118</v>
      </c>
      <c r="C1293" t="s">
        <v>1117</v>
      </c>
      <c r="D1293" s="11">
        <v>45637</v>
      </c>
      <c r="E1293" t="b">
        <v>0</v>
      </c>
      <c r="F1293" t="s">
        <v>85</v>
      </c>
      <c r="G1293">
        <v>871464</v>
      </c>
      <c r="H1293">
        <v>4511570984</v>
      </c>
      <c r="I1293">
        <v>10</v>
      </c>
      <c r="J1293" s="29">
        <v>1</v>
      </c>
      <c r="K1293" s="29" t="s">
        <v>1170</v>
      </c>
      <c r="L1293" t="str">
        <f>IFERROR(VLOOKUP(Detalle_OC[[#This Row],[Centro]]&amp;Detalle_OC[[#This Row],[Nro Almacen]],Almacen!A:D,4,FALSE),"")</f>
        <v>Montelima</v>
      </c>
    </row>
    <row r="1294" spans="1:12" x14ac:dyDescent="0.3">
      <c r="A1294" s="29" t="str">
        <f>Detalle_OC[[#This Row],[Centro]]&amp;Detalle_OC[[#This Row],[Nom Almacen]]&amp;Detalle_OC[[#This Row],[Material]]&amp;Detalle_OC[[#This Row],[Pedido]]&amp;Detalle_OC[[#This Row],[Posicion]]</f>
        <v>Agricola del Chira PlantaMontelima890681451157098510</v>
      </c>
      <c r="B1294" t="s">
        <v>200</v>
      </c>
      <c r="C1294" t="s">
        <v>1174</v>
      </c>
      <c r="D1294" s="11">
        <v>45637</v>
      </c>
      <c r="E1294" t="s">
        <v>16</v>
      </c>
      <c r="F1294" t="s">
        <v>12</v>
      </c>
      <c r="G1294">
        <v>890681</v>
      </c>
      <c r="H1294">
        <v>4511570985</v>
      </c>
      <c r="I1294">
        <v>10</v>
      </c>
      <c r="J1294" s="29">
        <v>1</v>
      </c>
      <c r="K1294" s="29" t="s">
        <v>1170</v>
      </c>
      <c r="L1294" t="str">
        <f>IFERROR(VLOOKUP(Detalle_OC[[#This Row],[Centro]]&amp;Detalle_OC[[#This Row],[Nro Almacen]],Almacen!A:D,4,FALSE),"")</f>
        <v>Montelima</v>
      </c>
    </row>
    <row r="1295" spans="1:12" x14ac:dyDescent="0.3">
      <c r="A1295" s="29" t="str">
        <f>Detalle_OC[[#This Row],[Centro]]&amp;Detalle_OC[[#This Row],[Nom Almacen]]&amp;Detalle_OC[[#This Row],[Material]]&amp;Detalle_OC[[#This Row],[Pedido]]&amp;Detalle_OC[[#This Row],[Posicion]]</f>
        <v>Sucroalcolera del Chira PlantaMontelima890681451157098610</v>
      </c>
      <c r="B1295" t="s">
        <v>200</v>
      </c>
      <c r="C1295" t="s">
        <v>1174</v>
      </c>
      <c r="D1295" s="11">
        <v>45637</v>
      </c>
      <c r="E1295" t="s">
        <v>16</v>
      </c>
      <c r="F1295" t="s">
        <v>85</v>
      </c>
      <c r="G1295">
        <v>890681</v>
      </c>
      <c r="H1295">
        <v>4511570986</v>
      </c>
      <c r="I1295">
        <v>10</v>
      </c>
      <c r="J1295" s="29">
        <v>1</v>
      </c>
      <c r="K1295" s="29" t="s">
        <v>1170</v>
      </c>
      <c r="L1295" t="str">
        <f>IFERROR(VLOOKUP(Detalle_OC[[#This Row],[Centro]]&amp;Detalle_OC[[#This Row],[Nro Almacen]],Almacen!A:D,4,FALSE),"")</f>
        <v>Montelima</v>
      </c>
    </row>
    <row r="1296" spans="1:12" x14ac:dyDescent="0.3">
      <c r="A1296" s="29" t="str">
        <f>Detalle_OC[[#This Row],[Centro]]&amp;Detalle_OC[[#This Row],[Nom Almacen]]&amp;Detalle_OC[[#This Row],[Material]]&amp;Detalle_OC[[#This Row],[Pedido]]&amp;Detalle_OC[[#This Row],[Posicion]]</f>
        <v>Sucroalcolera del Chira PlantaMontelima747883451157098810</v>
      </c>
      <c r="B1296" t="s">
        <v>138</v>
      </c>
      <c r="C1296" t="s">
        <v>137</v>
      </c>
      <c r="D1296" s="11">
        <v>45637</v>
      </c>
      <c r="E1296" t="s">
        <v>16</v>
      </c>
      <c r="F1296" t="s">
        <v>85</v>
      </c>
      <c r="G1296">
        <v>747883</v>
      </c>
      <c r="H1296">
        <v>4511570988</v>
      </c>
      <c r="I1296">
        <v>10</v>
      </c>
      <c r="J1296" s="29">
        <v>1</v>
      </c>
      <c r="K1296" s="29" t="s">
        <v>1170</v>
      </c>
      <c r="L1296" t="str">
        <f>IFERROR(VLOOKUP(Detalle_OC[[#This Row],[Centro]]&amp;Detalle_OC[[#This Row],[Nro Almacen]],Almacen!A:D,4,FALSE),"")</f>
        <v>Montelima</v>
      </c>
    </row>
    <row r="1297" spans="1:12" x14ac:dyDescent="0.3">
      <c r="A1297" s="29" t="str">
        <f>Detalle_OC[[#This Row],[Centro]]&amp;Detalle_OC[[#This Row],[Nom Almacen]]&amp;Detalle_OC[[#This Row],[Material]]&amp;Detalle_OC[[#This Row],[Pedido]]&amp;Detalle_OC[[#This Row],[Posicion]]</f>
        <v>Sucroalcolera del Chira PlantaMontelima747883451157098820</v>
      </c>
      <c r="B1297" t="s">
        <v>138</v>
      </c>
      <c r="C1297" t="s">
        <v>137</v>
      </c>
      <c r="D1297" s="11">
        <v>45637</v>
      </c>
      <c r="E1297" t="s">
        <v>16</v>
      </c>
      <c r="F1297" t="s">
        <v>85</v>
      </c>
      <c r="G1297">
        <v>747883</v>
      </c>
      <c r="H1297">
        <v>4511570988</v>
      </c>
      <c r="I1297">
        <v>20</v>
      </c>
      <c r="J1297" s="29">
        <v>1</v>
      </c>
      <c r="K1297" s="29" t="s">
        <v>1170</v>
      </c>
      <c r="L1297" t="str">
        <f>IFERROR(VLOOKUP(Detalle_OC[[#This Row],[Centro]]&amp;Detalle_OC[[#This Row],[Nro Almacen]],Almacen!A:D,4,FALSE),"")</f>
        <v>Montelima</v>
      </c>
    </row>
    <row r="1298" spans="1:12" x14ac:dyDescent="0.3">
      <c r="A1298" s="29" t="str">
        <f>Detalle_OC[[#This Row],[Centro]]&amp;Detalle_OC[[#This Row],[Nom Almacen]]&amp;Detalle_OC[[#This Row],[Material]]&amp;Detalle_OC[[#This Row],[Pedido]]&amp;Detalle_OC[[#This Row],[Posicion]]</f>
        <v>Sucroalcolera del Chira PlantaMontelima770350451157098910</v>
      </c>
      <c r="B1298" t="s">
        <v>1149</v>
      </c>
      <c r="C1298" t="s">
        <v>278</v>
      </c>
      <c r="D1298" s="11">
        <v>45639</v>
      </c>
      <c r="E1298" t="s">
        <v>16</v>
      </c>
      <c r="F1298" t="s">
        <v>85</v>
      </c>
      <c r="G1298">
        <v>770350</v>
      </c>
      <c r="H1298">
        <v>4511570989</v>
      </c>
      <c r="I1298">
        <v>10</v>
      </c>
      <c r="J1298" s="29">
        <v>1</v>
      </c>
      <c r="K1298" s="29" t="s">
        <v>1170</v>
      </c>
      <c r="L1298" t="str">
        <f>IFERROR(VLOOKUP(Detalle_OC[[#This Row],[Centro]]&amp;Detalle_OC[[#This Row],[Nro Almacen]],Almacen!A:D,4,FALSE),"")</f>
        <v>Montelima</v>
      </c>
    </row>
    <row r="1299" spans="1:12" x14ac:dyDescent="0.3">
      <c r="A1299" s="29" t="str">
        <f>Detalle_OC[[#This Row],[Centro]]&amp;Detalle_OC[[#This Row],[Nom Almacen]]&amp;Detalle_OC[[#This Row],[Material]]&amp;Detalle_OC[[#This Row],[Pedido]]&amp;Detalle_OC[[#This Row],[Posicion]]</f>
        <v>Sucroalcolera del Chira PlantaMontelima767529451157098920</v>
      </c>
      <c r="B1299" t="s">
        <v>138</v>
      </c>
      <c r="C1299" t="s">
        <v>278</v>
      </c>
      <c r="D1299" s="11">
        <v>45639</v>
      </c>
      <c r="E1299" t="s">
        <v>16</v>
      </c>
      <c r="F1299" t="s">
        <v>85</v>
      </c>
      <c r="G1299">
        <v>767529</v>
      </c>
      <c r="H1299">
        <v>4511570989</v>
      </c>
      <c r="I1299">
        <v>20</v>
      </c>
      <c r="J1299" s="29">
        <v>1</v>
      </c>
      <c r="K1299" s="29" t="s">
        <v>1170</v>
      </c>
      <c r="L1299" t="str">
        <f>IFERROR(VLOOKUP(Detalle_OC[[#This Row],[Centro]]&amp;Detalle_OC[[#This Row],[Nro Almacen]],Almacen!A:D,4,FALSE),"")</f>
        <v>Montelima</v>
      </c>
    </row>
    <row r="1300" spans="1:12" x14ac:dyDescent="0.3">
      <c r="A1300" s="29" t="str">
        <f>Detalle_OC[[#This Row],[Centro]]&amp;Detalle_OC[[#This Row],[Nom Almacen]]&amp;Detalle_OC[[#This Row],[Material]]&amp;Detalle_OC[[#This Row],[Pedido]]&amp;Detalle_OC[[#This Row],[Posicion]]</f>
        <v>Sucroalcolera del Chira PlantaMontelimaCT905028          451157098930</v>
      </c>
      <c r="B1300" t="s">
        <v>138</v>
      </c>
      <c r="C1300" t="s">
        <v>278</v>
      </c>
      <c r="D1300" s="11">
        <v>45639</v>
      </c>
      <c r="E1300" t="s">
        <v>16</v>
      </c>
      <c r="F1300" t="s">
        <v>85</v>
      </c>
      <c r="G1300" t="s">
        <v>1064</v>
      </c>
      <c r="H1300">
        <v>4511570989</v>
      </c>
      <c r="I1300">
        <v>30</v>
      </c>
      <c r="J1300" s="29">
        <v>1</v>
      </c>
      <c r="K1300" s="29" t="s">
        <v>1170</v>
      </c>
      <c r="L1300" t="str">
        <f>IFERROR(VLOOKUP(Detalle_OC[[#This Row],[Centro]]&amp;Detalle_OC[[#This Row],[Nro Almacen]],Almacen!A:D,4,FALSE),"")</f>
        <v>Montelima</v>
      </c>
    </row>
    <row r="1301" spans="1:12" x14ac:dyDescent="0.3">
      <c r="A1301" s="29" t="str">
        <f>Detalle_OC[[#This Row],[Centro]]&amp;Detalle_OC[[#This Row],[Nom Almacen]]&amp;Detalle_OC[[#This Row],[Material]]&amp;Detalle_OC[[#This Row],[Pedido]]&amp;Detalle_OC[[#This Row],[Posicion]]</f>
        <v>Agricola del Chira PlantaAlmacen Lobo825294451157099010</v>
      </c>
      <c r="B1301" t="s">
        <v>26</v>
      </c>
      <c r="C1301" t="s">
        <v>278</v>
      </c>
      <c r="D1301" s="11">
        <v>45637</v>
      </c>
      <c r="E1301" t="s">
        <v>16</v>
      </c>
      <c r="F1301" t="s">
        <v>12</v>
      </c>
      <c r="G1301">
        <v>825294</v>
      </c>
      <c r="H1301">
        <v>4511570990</v>
      </c>
      <c r="I1301">
        <v>10</v>
      </c>
      <c r="J1301" s="29">
        <v>7</v>
      </c>
      <c r="K1301" s="29" t="s">
        <v>1170</v>
      </c>
      <c r="L1301" t="str">
        <f>IFERROR(VLOOKUP(Detalle_OC[[#This Row],[Centro]]&amp;Detalle_OC[[#This Row],[Nro Almacen]],Almacen!A:D,4,FALSE),"")</f>
        <v>Almacen Lobo</v>
      </c>
    </row>
    <row r="1302" spans="1:12" x14ac:dyDescent="0.3">
      <c r="A1302" s="29" t="str">
        <f>Detalle_OC[[#This Row],[Centro]]&amp;Detalle_OC[[#This Row],[Nom Almacen]]&amp;Detalle_OC[[#This Row],[Material]]&amp;Detalle_OC[[#This Row],[Pedido]]&amp;Detalle_OC[[#This Row],[Posicion]]</f>
        <v>Sucroalcolera del Chira PlantaMontelima822061451157099120</v>
      </c>
      <c r="B1302" t="s">
        <v>15</v>
      </c>
      <c r="C1302" t="s">
        <v>96</v>
      </c>
      <c r="D1302" s="11">
        <v>45667</v>
      </c>
      <c r="E1302" t="s">
        <v>16</v>
      </c>
      <c r="F1302" t="s">
        <v>85</v>
      </c>
      <c r="G1302">
        <v>822061</v>
      </c>
      <c r="H1302">
        <v>4511570991</v>
      </c>
      <c r="I1302">
        <v>20</v>
      </c>
      <c r="J1302" s="29">
        <v>1</v>
      </c>
      <c r="K1302" s="29" t="s">
        <v>1170</v>
      </c>
      <c r="L1302" t="str">
        <f>IFERROR(VLOOKUP(Detalle_OC[[#This Row],[Centro]]&amp;Detalle_OC[[#This Row],[Nro Almacen]],Almacen!A:D,4,FALSE),"")</f>
        <v>Montelima</v>
      </c>
    </row>
    <row r="1303" spans="1:12" x14ac:dyDescent="0.3">
      <c r="A1303" s="29" t="str">
        <f>Detalle_OC[[#This Row],[Centro]]&amp;Detalle_OC[[#This Row],[Nom Almacen]]&amp;Detalle_OC[[#This Row],[Material]]&amp;Detalle_OC[[#This Row],[Pedido]]&amp;Detalle_OC[[#This Row],[Posicion]]</f>
        <v>Agricola del Chira PlantaLa Huaca70083243451157099310</v>
      </c>
      <c r="B1303" t="s">
        <v>50</v>
      </c>
      <c r="C1303" t="s">
        <v>197</v>
      </c>
      <c r="D1303" s="11">
        <v>45656</v>
      </c>
      <c r="E1303" t="s">
        <v>16</v>
      </c>
      <c r="F1303" t="s">
        <v>12</v>
      </c>
      <c r="G1303">
        <v>70083243</v>
      </c>
      <c r="H1303">
        <v>4511570993</v>
      </c>
      <c r="I1303">
        <v>10</v>
      </c>
      <c r="J1303" s="29">
        <v>2</v>
      </c>
      <c r="K1303" s="29" t="s">
        <v>1170</v>
      </c>
      <c r="L1303" t="str">
        <f>IFERROR(VLOOKUP(Detalle_OC[[#This Row],[Centro]]&amp;Detalle_OC[[#This Row],[Nro Almacen]],Almacen!A:D,4,FALSE),"")</f>
        <v>La Huaca</v>
      </c>
    </row>
    <row r="1304" spans="1:12" x14ac:dyDescent="0.3">
      <c r="A1304" s="29" t="str">
        <f>Detalle_OC[[#This Row],[Centro]]&amp;Detalle_OC[[#This Row],[Nom Almacen]]&amp;Detalle_OC[[#This Row],[Material]]&amp;Detalle_OC[[#This Row],[Pedido]]&amp;Detalle_OC[[#This Row],[Posicion]]</f>
        <v>Agricola del Chira PlantaMontelima721556550002485560</v>
      </c>
      <c r="B1304" t="s">
        <v>28</v>
      </c>
      <c r="C1304" t="s">
        <v>96</v>
      </c>
      <c r="D1304" s="11">
        <v>45624</v>
      </c>
      <c r="E1304" t="s">
        <v>16</v>
      </c>
      <c r="F1304" t="s">
        <v>12</v>
      </c>
      <c r="G1304">
        <v>721556</v>
      </c>
      <c r="H1304">
        <v>5500024855</v>
      </c>
      <c r="I1304">
        <v>60</v>
      </c>
      <c r="J1304" s="29">
        <v>1</v>
      </c>
      <c r="K1304" s="29" t="s">
        <v>1170</v>
      </c>
      <c r="L1304" t="str">
        <f>IFERROR(VLOOKUP(Detalle_OC[[#This Row],[Centro]]&amp;Detalle_OC[[#This Row],[Nro Almacen]],Almacen!A:D,4,FALSE),"")</f>
        <v>Montelima</v>
      </c>
    </row>
    <row r="1305" spans="1:12" x14ac:dyDescent="0.3">
      <c r="A1305" s="29" t="str">
        <f>Detalle_OC[[#This Row],[Centro]]&amp;Detalle_OC[[#This Row],[Nom Almacen]]&amp;Detalle_OC[[#This Row],[Material]]&amp;Detalle_OC[[#This Row],[Pedido]]&amp;Detalle_OC[[#This Row],[Posicion]]</f>
        <v>Agricola del Chira PlantaAlmacen Lobo701021385500024881150</v>
      </c>
      <c r="B1305" t="s">
        <v>28</v>
      </c>
      <c r="C1305" t="s">
        <v>52</v>
      </c>
      <c r="D1305" s="11">
        <v>45621</v>
      </c>
      <c r="E1305" t="s">
        <v>16</v>
      </c>
      <c r="F1305" t="s">
        <v>12</v>
      </c>
      <c r="G1305">
        <v>70102138</v>
      </c>
      <c r="H1305">
        <v>5500024881</v>
      </c>
      <c r="I1305">
        <v>150</v>
      </c>
      <c r="J1305" s="29">
        <v>7</v>
      </c>
      <c r="K1305" s="29" t="s">
        <v>1170</v>
      </c>
      <c r="L1305" t="str">
        <f>IFERROR(VLOOKUP(Detalle_OC[[#This Row],[Centro]]&amp;Detalle_OC[[#This Row],[Nro Almacen]],Almacen!A:D,4,FALSE),"")</f>
        <v>Almacen Lobo</v>
      </c>
    </row>
    <row r="1306" spans="1:12" x14ac:dyDescent="0.3">
      <c r="A1306" s="29" t="str">
        <f>Detalle_OC[[#This Row],[Centro]]&amp;Detalle_OC[[#This Row],[Nom Almacen]]&amp;Detalle_OC[[#This Row],[Material]]&amp;Detalle_OC[[#This Row],[Pedido]]&amp;Detalle_OC[[#This Row],[Posicion]]</f>
        <v>Agricola del Chira PlantaMontelima700580015500024881160</v>
      </c>
      <c r="B1306" t="s">
        <v>28</v>
      </c>
      <c r="C1306" t="s">
        <v>52</v>
      </c>
      <c r="D1306" s="11">
        <v>45621</v>
      </c>
      <c r="E1306" t="s">
        <v>16</v>
      </c>
      <c r="F1306" t="s">
        <v>12</v>
      </c>
      <c r="G1306">
        <v>70058001</v>
      </c>
      <c r="H1306">
        <v>5500024881</v>
      </c>
      <c r="I1306">
        <v>160</v>
      </c>
      <c r="J1306" s="29">
        <v>1</v>
      </c>
      <c r="K1306" s="29" t="s">
        <v>1170</v>
      </c>
      <c r="L1306" t="str">
        <f>IFERROR(VLOOKUP(Detalle_OC[[#This Row],[Centro]]&amp;Detalle_OC[[#This Row],[Nro Almacen]],Almacen!A:D,4,FALSE),"")</f>
        <v>Montelima</v>
      </c>
    </row>
    <row r="1307" spans="1:12" x14ac:dyDescent="0.3">
      <c r="A1307" s="29" t="str">
        <f>Detalle_OC[[#This Row],[Centro]]&amp;Detalle_OC[[#This Row],[Nom Almacen]]&amp;Detalle_OC[[#This Row],[Material]]&amp;Detalle_OC[[#This Row],[Pedido]]&amp;Detalle_OC[[#This Row],[Posicion]]</f>
        <v>Agricola del Chira PlantaAlmacen Lobo759403451157077710</v>
      </c>
      <c r="B1307" t="s">
        <v>149</v>
      </c>
      <c r="C1307" t="s">
        <v>22</v>
      </c>
      <c r="D1307" s="11">
        <v>45628</v>
      </c>
      <c r="E1307" t="s">
        <v>16</v>
      </c>
      <c r="F1307" t="s">
        <v>12</v>
      </c>
      <c r="G1307">
        <v>759403</v>
      </c>
      <c r="H1307">
        <v>4511570777</v>
      </c>
      <c r="I1307">
        <v>10</v>
      </c>
      <c r="J1307" s="29">
        <v>7</v>
      </c>
      <c r="K1307" s="29" t="s">
        <v>1175</v>
      </c>
      <c r="L1307" t="str">
        <f>IFERROR(VLOOKUP(Detalle_OC[[#This Row],[Centro]]&amp;Detalle_OC[[#This Row],[Nro Almacen]],Almacen!A:D,4,FALSE),"")</f>
        <v>Almacen Lobo</v>
      </c>
    </row>
    <row r="1308" spans="1:12" x14ac:dyDescent="0.3">
      <c r="A1308" s="29" t="str">
        <f>Detalle_OC[[#This Row],[Centro]]&amp;Detalle_OC[[#This Row],[Nom Almacen]]&amp;Detalle_OC[[#This Row],[Material]]&amp;Detalle_OC[[#This Row],[Pedido]]&amp;Detalle_OC[[#This Row],[Posicion]]</f>
        <v>Agricola del Chira PlantaSan Vicente802317451157077720</v>
      </c>
      <c r="B1308" t="s">
        <v>15</v>
      </c>
      <c r="C1308" t="s">
        <v>22</v>
      </c>
      <c r="D1308" s="11">
        <v>45628</v>
      </c>
      <c r="E1308" t="s">
        <v>16</v>
      </c>
      <c r="F1308" t="s">
        <v>12</v>
      </c>
      <c r="G1308">
        <v>802317</v>
      </c>
      <c r="H1308">
        <v>4511570777</v>
      </c>
      <c r="I1308">
        <v>20</v>
      </c>
      <c r="J1308" s="29">
        <v>3</v>
      </c>
      <c r="K1308" s="29" t="s">
        <v>1175</v>
      </c>
      <c r="L1308" t="str">
        <f>IFERROR(VLOOKUP(Detalle_OC[[#This Row],[Centro]]&amp;Detalle_OC[[#This Row],[Nro Almacen]],Almacen!A:D,4,FALSE),"")</f>
        <v>San Vicente</v>
      </c>
    </row>
    <row r="1309" spans="1:12" x14ac:dyDescent="0.3">
      <c r="A1309" s="29" t="str">
        <f>Detalle_OC[[#This Row],[Centro]]&amp;Detalle_OC[[#This Row],[Nom Almacen]]&amp;Detalle_OC[[#This Row],[Material]]&amp;Detalle_OC[[#This Row],[Pedido]]&amp;Detalle_OC[[#This Row],[Posicion]]</f>
        <v>Agricola del Chira PlantaSan VicenteCP190038          451157077730</v>
      </c>
      <c r="B1309" t="s">
        <v>15</v>
      </c>
      <c r="C1309" t="s">
        <v>22</v>
      </c>
      <c r="D1309" s="11">
        <v>45628</v>
      </c>
      <c r="E1309" t="s">
        <v>16</v>
      </c>
      <c r="F1309" t="s">
        <v>12</v>
      </c>
      <c r="G1309" t="s">
        <v>218</v>
      </c>
      <c r="H1309">
        <v>4511570777</v>
      </c>
      <c r="I1309">
        <v>30</v>
      </c>
      <c r="J1309" s="29">
        <v>3</v>
      </c>
      <c r="K1309" s="29" t="s">
        <v>1175</v>
      </c>
      <c r="L1309" t="str">
        <f>IFERROR(VLOOKUP(Detalle_OC[[#This Row],[Centro]]&amp;Detalle_OC[[#This Row],[Nro Almacen]],Almacen!A:D,4,FALSE),"")</f>
        <v>San Vicente</v>
      </c>
    </row>
    <row r="1310" spans="1:12" x14ac:dyDescent="0.3">
      <c r="A1310" s="29" t="str">
        <f>Detalle_OC[[#This Row],[Centro]]&amp;Detalle_OC[[#This Row],[Nom Almacen]]&amp;Detalle_OC[[#This Row],[Material]]&amp;Detalle_OC[[#This Row],[Pedido]]&amp;Detalle_OC[[#This Row],[Posicion]]</f>
        <v>Agricola del Chira PlantaAlmacen LoboCP190038          451157077740</v>
      </c>
      <c r="B1310" t="s">
        <v>149</v>
      </c>
      <c r="C1310" t="s">
        <v>22</v>
      </c>
      <c r="D1310" s="11">
        <v>45628</v>
      </c>
      <c r="E1310" t="s">
        <v>16</v>
      </c>
      <c r="F1310" t="s">
        <v>12</v>
      </c>
      <c r="G1310" t="s">
        <v>218</v>
      </c>
      <c r="H1310">
        <v>4511570777</v>
      </c>
      <c r="I1310">
        <v>40</v>
      </c>
      <c r="J1310" s="29">
        <v>7</v>
      </c>
      <c r="K1310" s="29" t="s">
        <v>1175</v>
      </c>
      <c r="L1310" t="str">
        <f>IFERROR(VLOOKUP(Detalle_OC[[#This Row],[Centro]]&amp;Detalle_OC[[#This Row],[Nro Almacen]],Almacen!A:D,4,FALSE),"")</f>
        <v>Almacen Lobo</v>
      </c>
    </row>
    <row r="1311" spans="1:12" x14ac:dyDescent="0.3">
      <c r="A1311" s="29" t="str">
        <f>Detalle_OC[[#This Row],[Centro]]&amp;Detalle_OC[[#This Row],[Nom Almacen]]&amp;Detalle_OC[[#This Row],[Material]]&amp;Detalle_OC[[#This Row],[Pedido]]&amp;Detalle_OC[[#This Row],[Posicion]]</f>
        <v>Agricola del Chira PlantaAlmacen LoboCS310420          451157077750</v>
      </c>
      <c r="B1311" t="s">
        <v>15</v>
      </c>
      <c r="C1311" t="s">
        <v>22</v>
      </c>
      <c r="D1311" s="11">
        <v>45628</v>
      </c>
      <c r="E1311" t="s">
        <v>16</v>
      </c>
      <c r="F1311" t="s">
        <v>12</v>
      </c>
      <c r="G1311" t="s">
        <v>203</v>
      </c>
      <c r="H1311">
        <v>4511570777</v>
      </c>
      <c r="I1311">
        <v>50</v>
      </c>
      <c r="J1311" s="29">
        <v>7</v>
      </c>
      <c r="K1311" s="29" t="s">
        <v>1175</v>
      </c>
      <c r="L1311" t="str">
        <f>IFERROR(VLOOKUP(Detalle_OC[[#This Row],[Centro]]&amp;Detalle_OC[[#This Row],[Nro Almacen]],Almacen!A:D,4,FALSE),"")</f>
        <v>Almacen Lobo</v>
      </c>
    </row>
    <row r="1312" spans="1:12" x14ac:dyDescent="0.3">
      <c r="A1312" s="29" t="str">
        <f>Detalle_OC[[#This Row],[Centro]]&amp;Detalle_OC[[#This Row],[Nom Almacen]]&amp;Detalle_OC[[#This Row],[Material]]&amp;Detalle_OC[[#This Row],[Pedido]]&amp;Detalle_OC[[#This Row],[Posicion]]</f>
        <v>Agricola del Chira PlantaMontelima808835451157080710</v>
      </c>
      <c r="B1312" t="s">
        <v>149</v>
      </c>
      <c r="C1312" t="s">
        <v>272</v>
      </c>
      <c r="D1312" s="11">
        <v>45628</v>
      </c>
      <c r="E1312" t="s">
        <v>16</v>
      </c>
      <c r="F1312" t="s">
        <v>12</v>
      </c>
      <c r="G1312">
        <v>808835</v>
      </c>
      <c r="H1312">
        <v>4511570807</v>
      </c>
      <c r="I1312">
        <v>10</v>
      </c>
      <c r="J1312" s="29">
        <v>1</v>
      </c>
      <c r="K1312" s="29" t="s">
        <v>1175</v>
      </c>
      <c r="L1312" t="str">
        <f>IFERROR(VLOOKUP(Detalle_OC[[#This Row],[Centro]]&amp;Detalle_OC[[#This Row],[Nro Almacen]],Almacen!A:D,4,FALSE),"")</f>
        <v>Montelima</v>
      </c>
    </row>
    <row r="1313" spans="1:12" x14ac:dyDescent="0.3">
      <c r="A1313" s="29" t="str">
        <f>Detalle_OC[[#This Row],[Centro]]&amp;Detalle_OC[[#This Row],[Nom Almacen]]&amp;Detalle_OC[[#This Row],[Material]]&amp;Detalle_OC[[#This Row],[Pedido]]&amp;Detalle_OC[[#This Row],[Posicion]]</f>
        <v>Agricola del Chira PlantaAlmacen Lobo818110451157080720</v>
      </c>
      <c r="B1313" t="s">
        <v>149</v>
      </c>
      <c r="C1313" t="s">
        <v>272</v>
      </c>
      <c r="D1313" s="11">
        <v>45628</v>
      </c>
      <c r="E1313" t="s">
        <v>16</v>
      </c>
      <c r="F1313" t="s">
        <v>12</v>
      </c>
      <c r="G1313">
        <v>818110</v>
      </c>
      <c r="H1313">
        <v>4511570807</v>
      </c>
      <c r="I1313">
        <v>20</v>
      </c>
      <c r="J1313" s="29">
        <v>7</v>
      </c>
      <c r="K1313" s="29" t="s">
        <v>1175</v>
      </c>
      <c r="L1313" t="str">
        <f>IFERROR(VLOOKUP(Detalle_OC[[#This Row],[Centro]]&amp;Detalle_OC[[#This Row],[Nro Almacen]],Almacen!A:D,4,FALSE),"")</f>
        <v>Almacen Lobo</v>
      </c>
    </row>
    <row r="1314" spans="1:12" x14ac:dyDescent="0.3">
      <c r="A1314" s="29" t="str">
        <f>Detalle_OC[[#This Row],[Centro]]&amp;Detalle_OC[[#This Row],[Nom Almacen]]&amp;Detalle_OC[[#This Row],[Material]]&amp;Detalle_OC[[#This Row],[Pedido]]&amp;Detalle_OC[[#This Row],[Posicion]]</f>
        <v>Agricola del Chira PlantaMontelima70108182451157080810</v>
      </c>
      <c r="B1314" t="s">
        <v>220</v>
      </c>
      <c r="C1314" t="s">
        <v>1173</v>
      </c>
      <c r="D1314" s="11">
        <v>45657</v>
      </c>
      <c r="E1314" t="s">
        <v>48</v>
      </c>
      <c r="F1314" t="s">
        <v>12</v>
      </c>
      <c r="G1314">
        <v>70108182</v>
      </c>
      <c r="H1314">
        <v>4511570808</v>
      </c>
      <c r="I1314">
        <v>10</v>
      </c>
      <c r="J1314" s="29">
        <v>1</v>
      </c>
      <c r="K1314" s="29" t="s">
        <v>1175</v>
      </c>
      <c r="L1314" t="str">
        <f>IFERROR(VLOOKUP(Detalle_OC[[#This Row],[Centro]]&amp;Detalle_OC[[#This Row],[Nro Almacen]],Almacen!A:D,4,FALSE),"")</f>
        <v>Montelima</v>
      </c>
    </row>
    <row r="1315" spans="1:12" x14ac:dyDescent="0.3">
      <c r="A1315" s="29" t="str">
        <f>Detalle_OC[[#This Row],[Centro]]&amp;Detalle_OC[[#This Row],[Nom Almacen]]&amp;Detalle_OC[[#This Row],[Material]]&amp;Detalle_OC[[#This Row],[Pedido]]&amp;Detalle_OC[[#This Row],[Posicion]]</f>
        <v>Agricola del Chira PlantaMontelima70108182451157080820</v>
      </c>
      <c r="B1315" t="s">
        <v>220</v>
      </c>
      <c r="C1315" t="s">
        <v>1173</v>
      </c>
      <c r="D1315" s="11">
        <v>45657</v>
      </c>
      <c r="E1315" t="s">
        <v>48</v>
      </c>
      <c r="F1315" t="s">
        <v>12</v>
      </c>
      <c r="G1315">
        <v>70108182</v>
      </c>
      <c r="H1315">
        <v>4511570808</v>
      </c>
      <c r="I1315">
        <v>20</v>
      </c>
      <c r="J1315" s="29">
        <v>1</v>
      </c>
      <c r="K1315" s="29" t="s">
        <v>1175</v>
      </c>
      <c r="L1315" t="str">
        <f>IFERROR(VLOOKUP(Detalle_OC[[#This Row],[Centro]]&amp;Detalle_OC[[#This Row],[Nro Almacen]],Almacen!A:D,4,FALSE),"")</f>
        <v>Montelima</v>
      </c>
    </row>
    <row r="1316" spans="1:12" x14ac:dyDescent="0.3">
      <c r="A1316" s="29" t="str">
        <f>Detalle_OC[[#This Row],[Centro]]&amp;Detalle_OC[[#This Row],[Nom Almacen]]&amp;Detalle_OC[[#This Row],[Material]]&amp;Detalle_OC[[#This Row],[Pedido]]&amp;Detalle_OC[[#This Row],[Posicion]]</f>
        <v>Agricola del Chira PlantaMontelima70108182451157080830</v>
      </c>
      <c r="B1316" t="s">
        <v>220</v>
      </c>
      <c r="C1316" t="s">
        <v>1173</v>
      </c>
      <c r="D1316" s="11">
        <v>45657</v>
      </c>
      <c r="E1316" t="s">
        <v>48</v>
      </c>
      <c r="F1316" t="s">
        <v>12</v>
      </c>
      <c r="G1316">
        <v>70108182</v>
      </c>
      <c r="H1316">
        <v>4511570808</v>
      </c>
      <c r="I1316">
        <v>30</v>
      </c>
      <c r="J1316" s="29">
        <v>1</v>
      </c>
      <c r="K1316" s="29" t="s">
        <v>1175</v>
      </c>
      <c r="L1316" t="str">
        <f>IFERROR(VLOOKUP(Detalle_OC[[#This Row],[Centro]]&amp;Detalle_OC[[#This Row],[Nro Almacen]],Almacen!A:D,4,FALSE),"")</f>
        <v>Montelima</v>
      </c>
    </row>
    <row r="1317" spans="1:12" x14ac:dyDescent="0.3">
      <c r="A1317" s="29" t="str">
        <f>Detalle_OC[[#This Row],[Centro]]&amp;Detalle_OC[[#This Row],[Nom Almacen]]&amp;Detalle_OC[[#This Row],[Material]]&amp;Detalle_OC[[#This Row],[Pedido]]&amp;Detalle_OC[[#This Row],[Posicion]]</f>
        <v>Agricola del Chira PlantaMontelima70108182451157080840</v>
      </c>
      <c r="B1317" t="s">
        <v>220</v>
      </c>
      <c r="C1317" t="s">
        <v>1173</v>
      </c>
      <c r="D1317" s="11">
        <v>45657</v>
      </c>
      <c r="E1317" t="s">
        <v>48</v>
      </c>
      <c r="F1317" t="s">
        <v>12</v>
      </c>
      <c r="G1317">
        <v>70108182</v>
      </c>
      <c r="H1317">
        <v>4511570808</v>
      </c>
      <c r="I1317">
        <v>40</v>
      </c>
      <c r="J1317" s="29">
        <v>1</v>
      </c>
      <c r="K1317" s="29" t="s">
        <v>1175</v>
      </c>
      <c r="L1317" t="str">
        <f>IFERROR(VLOOKUP(Detalle_OC[[#This Row],[Centro]]&amp;Detalle_OC[[#This Row],[Nro Almacen]],Almacen!A:D,4,FALSE),"")</f>
        <v>Montelima</v>
      </c>
    </row>
    <row r="1318" spans="1:12" x14ac:dyDescent="0.3">
      <c r="A1318" s="29" t="str">
        <f>Detalle_OC[[#This Row],[Centro]]&amp;Detalle_OC[[#This Row],[Nom Almacen]]&amp;Detalle_OC[[#This Row],[Material]]&amp;Detalle_OC[[#This Row],[Pedido]]&amp;Detalle_OC[[#This Row],[Posicion]]</f>
        <v>Agricola del Chira PlantaMontelima70108182451157080860</v>
      </c>
      <c r="B1318" t="s">
        <v>220</v>
      </c>
      <c r="C1318" t="s">
        <v>1173</v>
      </c>
      <c r="D1318" s="11">
        <v>45657</v>
      </c>
      <c r="E1318" t="s">
        <v>48</v>
      </c>
      <c r="F1318" t="s">
        <v>12</v>
      </c>
      <c r="G1318">
        <v>70108182</v>
      </c>
      <c r="H1318">
        <v>4511570808</v>
      </c>
      <c r="I1318">
        <v>60</v>
      </c>
      <c r="J1318" s="29">
        <v>1</v>
      </c>
      <c r="K1318" s="29" t="s">
        <v>1175</v>
      </c>
      <c r="L1318" t="str">
        <f>IFERROR(VLOOKUP(Detalle_OC[[#This Row],[Centro]]&amp;Detalle_OC[[#This Row],[Nro Almacen]],Almacen!A:D,4,FALSE),"")</f>
        <v>Montelima</v>
      </c>
    </row>
    <row r="1319" spans="1:12" x14ac:dyDescent="0.3">
      <c r="A1319" s="29" t="str">
        <f>Detalle_OC[[#This Row],[Centro]]&amp;Detalle_OC[[#This Row],[Nom Almacen]]&amp;Detalle_OC[[#This Row],[Material]]&amp;Detalle_OC[[#This Row],[Pedido]]&amp;Detalle_OC[[#This Row],[Posicion]]</f>
        <v>Agricola del Chira PlantaMontelima70108182451157080870</v>
      </c>
      <c r="B1319" t="s">
        <v>220</v>
      </c>
      <c r="C1319" t="s">
        <v>1173</v>
      </c>
      <c r="D1319" s="11">
        <v>45657</v>
      </c>
      <c r="E1319" t="s">
        <v>48</v>
      </c>
      <c r="F1319" t="s">
        <v>12</v>
      </c>
      <c r="G1319">
        <v>70108182</v>
      </c>
      <c r="H1319">
        <v>4511570808</v>
      </c>
      <c r="I1319">
        <v>70</v>
      </c>
      <c r="J1319" s="29">
        <v>1</v>
      </c>
      <c r="K1319" s="29" t="s">
        <v>1175</v>
      </c>
      <c r="L1319" t="str">
        <f>IFERROR(VLOOKUP(Detalle_OC[[#This Row],[Centro]]&amp;Detalle_OC[[#This Row],[Nro Almacen]],Almacen!A:D,4,FALSE),"")</f>
        <v>Montelima</v>
      </c>
    </row>
    <row r="1320" spans="1:12" x14ac:dyDescent="0.3">
      <c r="A1320" s="29" t="str">
        <f>Detalle_OC[[#This Row],[Centro]]&amp;Detalle_OC[[#This Row],[Nom Almacen]]&amp;Detalle_OC[[#This Row],[Material]]&amp;Detalle_OC[[#This Row],[Pedido]]&amp;Detalle_OC[[#This Row],[Posicion]]</f>
        <v>Agricola del Chira PlantaMontelima70108182451157080880</v>
      </c>
      <c r="B1320" t="s">
        <v>220</v>
      </c>
      <c r="C1320" t="s">
        <v>1173</v>
      </c>
      <c r="D1320" s="11">
        <v>45657</v>
      </c>
      <c r="E1320" t="s">
        <v>48</v>
      </c>
      <c r="F1320" t="s">
        <v>12</v>
      </c>
      <c r="G1320">
        <v>70108182</v>
      </c>
      <c r="H1320">
        <v>4511570808</v>
      </c>
      <c r="I1320">
        <v>80</v>
      </c>
      <c r="J1320" s="29">
        <v>1</v>
      </c>
      <c r="K1320" s="29" t="s">
        <v>1175</v>
      </c>
      <c r="L1320" t="str">
        <f>IFERROR(VLOOKUP(Detalle_OC[[#This Row],[Centro]]&amp;Detalle_OC[[#This Row],[Nro Almacen]],Almacen!A:D,4,FALSE),"")</f>
        <v>Montelima</v>
      </c>
    </row>
    <row r="1321" spans="1:12" x14ac:dyDescent="0.3">
      <c r="A1321" s="29" t="str">
        <f>Detalle_OC[[#This Row],[Centro]]&amp;Detalle_OC[[#This Row],[Nom Almacen]]&amp;Detalle_OC[[#This Row],[Material]]&amp;Detalle_OC[[#This Row],[Pedido]]&amp;Detalle_OC[[#This Row],[Posicion]]</f>
        <v>Agricola del Chira PlantaMontelima70108182451157080890</v>
      </c>
      <c r="B1321" t="s">
        <v>220</v>
      </c>
      <c r="C1321" t="s">
        <v>1173</v>
      </c>
      <c r="D1321" s="11">
        <v>45657</v>
      </c>
      <c r="E1321" t="s">
        <v>48</v>
      </c>
      <c r="F1321" t="s">
        <v>12</v>
      </c>
      <c r="G1321">
        <v>70108182</v>
      </c>
      <c r="H1321">
        <v>4511570808</v>
      </c>
      <c r="I1321">
        <v>90</v>
      </c>
      <c r="J1321" s="29">
        <v>1</v>
      </c>
      <c r="K1321" s="29" t="s">
        <v>1175</v>
      </c>
      <c r="L1321" t="str">
        <f>IFERROR(VLOOKUP(Detalle_OC[[#This Row],[Centro]]&amp;Detalle_OC[[#This Row],[Nro Almacen]],Almacen!A:D,4,FALSE),"")</f>
        <v>Montelima</v>
      </c>
    </row>
    <row r="1322" spans="1:12" x14ac:dyDescent="0.3">
      <c r="A1322" s="29" t="str">
        <f>Detalle_OC[[#This Row],[Centro]]&amp;Detalle_OC[[#This Row],[Nom Almacen]]&amp;Detalle_OC[[#This Row],[Material]]&amp;Detalle_OC[[#This Row],[Pedido]]&amp;Detalle_OC[[#This Row],[Posicion]]</f>
        <v>Agricola del Chira PlantaMontelima701081824511570808100</v>
      </c>
      <c r="B1322" t="s">
        <v>220</v>
      </c>
      <c r="C1322" t="s">
        <v>1173</v>
      </c>
      <c r="D1322" s="11">
        <v>45657</v>
      </c>
      <c r="E1322" t="s">
        <v>48</v>
      </c>
      <c r="F1322" t="s">
        <v>12</v>
      </c>
      <c r="G1322">
        <v>70108182</v>
      </c>
      <c r="H1322">
        <v>4511570808</v>
      </c>
      <c r="I1322">
        <v>100</v>
      </c>
      <c r="J1322" s="29">
        <v>1</v>
      </c>
      <c r="K1322" s="29" t="s">
        <v>1175</v>
      </c>
      <c r="L1322" t="str">
        <f>IFERROR(VLOOKUP(Detalle_OC[[#This Row],[Centro]]&amp;Detalle_OC[[#This Row],[Nro Almacen]],Almacen!A:D,4,FALSE),"")</f>
        <v>Montelima</v>
      </c>
    </row>
    <row r="1323" spans="1:12" x14ac:dyDescent="0.3">
      <c r="A1323" s="29" t="str">
        <f>Detalle_OC[[#This Row],[Centro]]&amp;Detalle_OC[[#This Row],[Nom Almacen]]&amp;Detalle_OC[[#This Row],[Material]]&amp;Detalle_OC[[#This Row],[Pedido]]&amp;Detalle_OC[[#This Row],[Posicion]]</f>
        <v>Agricola del Chira PlantaMontelima701081824511570808110</v>
      </c>
      <c r="B1323" t="s">
        <v>220</v>
      </c>
      <c r="C1323" t="s">
        <v>1173</v>
      </c>
      <c r="D1323" s="11">
        <v>45657</v>
      </c>
      <c r="E1323" t="s">
        <v>48</v>
      </c>
      <c r="F1323" t="s">
        <v>12</v>
      </c>
      <c r="G1323">
        <v>70108182</v>
      </c>
      <c r="H1323">
        <v>4511570808</v>
      </c>
      <c r="I1323">
        <v>110</v>
      </c>
      <c r="J1323" s="29">
        <v>1</v>
      </c>
      <c r="K1323" s="29" t="s">
        <v>1175</v>
      </c>
      <c r="L1323" t="str">
        <f>IFERROR(VLOOKUP(Detalle_OC[[#This Row],[Centro]]&amp;Detalle_OC[[#This Row],[Nro Almacen]],Almacen!A:D,4,FALSE),"")</f>
        <v>Montelima</v>
      </c>
    </row>
    <row r="1324" spans="1:12" x14ac:dyDescent="0.3">
      <c r="A1324" s="29" t="str">
        <f>Detalle_OC[[#This Row],[Centro]]&amp;Detalle_OC[[#This Row],[Nom Almacen]]&amp;Detalle_OC[[#This Row],[Material]]&amp;Detalle_OC[[#This Row],[Pedido]]&amp;Detalle_OC[[#This Row],[Posicion]]</f>
        <v>Agricola del Chira PlantaMontelima701081824511570808120</v>
      </c>
      <c r="B1324" t="s">
        <v>220</v>
      </c>
      <c r="C1324" t="s">
        <v>1173</v>
      </c>
      <c r="D1324" s="11">
        <v>45657</v>
      </c>
      <c r="E1324" t="s">
        <v>48</v>
      </c>
      <c r="F1324" t="s">
        <v>12</v>
      </c>
      <c r="G1324">
        <v>70108182</v>
      </c>
      <c r="H1324">
        <v>4511570808</v>
      </c>
      <c r="I1324">
        <v>120</v>
      </c>
      <c r="J1324" s="29">
        <v>1</v>
      </c>
      <c r="K1324" s="29" t="s">
        <v>1175</v>
      </c>
      <c r="L1324" t="str">
        <f>IFERROR(VLOOKUP(Detalle_OC[[#This Row],[Centro]]&amp;Detalle_OC[[#This Row],[Nro Almacen]],Almacen!A:D,4,FALSE),"")</f>
        <v>Montelima</v>
      </c>
    </row>
    <row r="1325" spans="1:12" x14ac:dyDescent="0.3">
      <c r="A1325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1325" t="s">
        <v>28</v>
      </c>
      <c r="C1325" t="s">
        <v>84</v>
      </c>
      <c r="D1325" s="11">
        <v>45624</v>
      </c>
      <c r="E1325" t="s">
        <v>16</v>
      </c>
      <c r="F1325" t="s">
        <v>85</v>
      </c>
      <c r="G1325">
        <v>801846</v>
      </c>
      <c r="H1325">
        <v>5500022336</v>
      </c>
      <c r="I1325">
        <v>10</v>
      </c>
      <c r="J1325" s="29">
        <v>1</v>
      </c>
      <c r="K1325" s="29" t="s">
        <v>1175</v>
      </c>
      <c r="L1325" t="str">
        <f>IFERROR(VLOOKUP(Detalle_OC[[#This Row],[Centro]]&amp;Detalle_OC[[#This Row],[Nro Almacen]],Almacen!A:D,4,FALSE),"")</f>
        <v>Montelima</v>
      </c>
    </row>
    <row r="1326" spans="1:12" x14ac:dyDescent="0.3">
      <c r="A1326" s="29" t="str">
        <f>Detalle_OC[[#This Row],[Centro]]&amp;Detalle_OC[[#This Row],[Nom Almacen]]&amp;Detalle_OC[[#This Row],[Material]]&amp;Detalle_OC[[#This Row],[Pedido]]&amp;Detalle_OC[[#This Row],[Posicion]]</f>
        <v>Sucroalcolera del Chira PlantaMontelima708707550002233640</v>
      </c>
      <c r="B1326" t="s">
        <v>28</v>
      </c>
      <c r="C1326" t="s">
        <v>84</v>
      </c>
      <c r="D1326" s="11">
        <v>45631</v>
      </c>
      <c r="E1326" t="s">
        <v>16</v>
      </c>
      <c r="F1326" t="s">
        <v>85</v>
      </c>
      <c r="G1326">
        <v>708707</v>
      </c>
      <c r="H1326">
        <v>5500022336</v>
      </c>
      <c r="I1326">
        <v>40</v>
      </c>
      <c r="J1326" s="29">
        <v>1</v>
      </c>
      <c r="K1326" s="29" t="s">
        <v>1175</v>
      </c>
      <c r="L1326" t="str">
        <f>IFERROR(VLOOKUP(Detalle_OC[[#This Row],[Centro]]&amp;Detalle_OC[[#This Row],[Nro Almacen]],Almacen!A:D,4,FALSE),"")</f>
        <v>Montelima</v>
      </c>
    </row>
    <row r="1327" spans="1:12" x14ac:dyDescent="0.3">
      <c r="A1327" s="29" t="str">
        <f>Detalle_OC[[#This Row],[Centro]]&amp;Detalle_OC[[#This Row],[Nom Almacen]]&amp;Detalle_OC[[#This Row],[Material]]&amp;Detalle_OC[[#This Row],[Pedido]]&amp;Detalle_OC[[#This Row],[Posicion]]</f>
        <v>Agricola del Chira PlantaAlmacen Lobo701675451157064010</v>
      </c>
      <c r="B1327" t="s">
        <v>15</v>
      </c>
      <c r="C1327" t="s">
        <v>36</v>
      </c>
      <c r="D1327" s="11">
        <v>45644</v>
      </c>
      <c r="E1327" t="s">
        <v>16</v>
      </c>
      <c r="F1327" t="s">
        <v>12</v>
      </c>
      <c r="G1327">
        <v>701675</v>
      </c>
      <c r="H1327">
        <v>4511570640</v>
      </c>
      <c r="I1327">
        <v>10</v>
      </c>
      <c r="J1327" s="29">
        <v>7</v>
      </c>
      <c r="K1327" s="29" t="s">
        <v>1176</v>
      </c>
      <c r="L1327" t="str">
        <f>IFERROR(VLOOKUP(Detalle_OC[[#This Row],[Centro]]&amp;Detalle_OC[[#This Row],[Nro Almacen]],Almacen!A:D,4,FALSE),"")</f>
        <v>Almacen Lobo</v>
      </c>
    </row>
    <row r="1328" spans="1:12" x14ac:dyDescent="0.3">
      <c r="A1328" s="29" t="str">
        <f>Detalle_OC[[#This Row],[Centro]]&amp;Detalle_OC[[#This Row],[Nom Almacen]]&amp;Detalle_OC[[#This Row],[Material]]&amp;Detalle_OC[[#This Row],[Pedido]]&amp;Detalle_OC[[#This Row],[Posicion]]</f>
        <v>Agricola del Chira PlantaAlmacen Lobo728974451157064020</v>
      </c>
      <c r="B1328" t="s">
        <v>15</v>
      </c>
      <c r="C1328" t="s">
        <v>36</v>
      </c>
      <c r="D1328" s="11">
        <v>45644</v>
      </c>
      <c r="E1328" t="s">
        <v>16</v>
      </c>
      <c r="F1328" t="s">
        <v>12</v>
      </c>
      <c r="G1328">
        <v>728974</v>
      </c>
      <c r="H1328">
        <v>4511570640</v>
      </c>
      <c r="I1328">
        <v>20</v>
      </c>
      <c r="J1328" s="29">
        <v>7</v>
      </c>
      <c r="K1328" s="29" t="s">
        <v>1176</v>
      </c>
      <c r="L1328" t="str">
        <f>IFERROR(VLOOKUP(Detalle_OC[[#This Row],[Centro]]&amp;Detalle_OC[[#This Row],[Nro Almacen]],Almacen!A:D,4,FALSE),"")</f>
        <v>Almacen Lobo</v>
      </c>
    </row>
    <row r="1329" spans="1:12" x14ac:dyDescent="0.3">
      <c r="A1329" s="29" t="str">
        <f>Detalle_OC[[#This Row],[Centro]]&amp;Detalle_OC[[#This Row],[Nom Almacen]]&amp;Detalle_OC[[#This Row],[Material]]&amp;Detalle_OC[[#This Row],[Pedido]]&amp;Detalle_OC[[#This Row],[Posicion]]</f>
        <v>Sucroalcolera del Chira PlantaMontelima810347451157064110</v>
      </c>
      <c r="B1329" t="s">
        <v>15</v>
      </c>
      <c r="C1329" t="s">
        <v>36</v>
      </c>
      <c r="D1329" s="11">
        <v>45644</v>
      </c>
      <c r="E1329" t="s">
        <v>16</v>
      </c>
      <c r="F1329" t="s">
        <v>85</v>
      </c>
      <c r="G1329">
        <v>810347</v>
      </c>
      <c r="H1329">
        <v>4511570641</v>
      </c>
      <c r="I1329">
        <v>10</v>
      </c>
      <c r="J1329" s="29">
        <v>1</v>
      </c>
      <c r="K1329" s="29" t="s">
        <v>1176</v>
      </c>
      <c r="L1329" t="str">
        <f>IFERROR(VLOOKUP(Detalle_OC[[#This Row],[Centro]]&amp;Detalle_OC[[#This Row],[Nro Almacen]],Almacen!A:D,4,FALSE),"")</f>
        <v>Montelima</v>
      </c>
    </row>
    <row r="1330" spans="1:12" x14ac:dyDescent="0.3">
      <c r="A1330" s="29" t="str">
        <f>Detalle_OC[[#This Row],[Centro]]&amp;Detalle_OC[[#This Row],[Nom Almacen]]&amp;Detalle_OC[[#This Row],[Material]]&amp;Detalle_OC[[#This Row],[Pedido]]&amp;Detalle_OC[[#This Row],[Posicion]]</f>
        <v>Sucroalcolera del Chira PlantaMontelima873427451157064120</v>
      </c>
      <c r="B1330" t="s">
        <v>15</v>
      </c>
      <c r="C1330" t="s">
        <v>36</v>
      </c>
      <c r="D1330" s="11">
        <v>45644</v>
      </c>
      <c r="E1330" t="s">
        <v>16</v>
      </c>
      <c r="F1330" t="s">
        <v>85</v>
      </c>
      <c r="G1330">
        <v>873427</v>
      </c>
      <c r="H1330">
        <v>4511570641</v>
      </c>
      <c r="I1330">
        <v>20</v>
      </c>
      <c r="J1330" s="29">
        <v>1</v>
      </c>
      <c r="K1330" s="29" t="s">
        <v>1176</v>
      </c>
      <c r="L1330" t="str">
        <f>IFERROR(VLOOKUP(Detalle_OC[[#This Row],[Centro]]&amp;Detalle_OC[[#This Row],[Nro Almacen]],Almacen!A:D,4,FALSE),"")</f>
        <v>Montelima</v>
      </c>
    </row>
    <row r="1331" spans="1:12" x14ac:dyDescent="0.3">
      <c r="A1331" s="29" t="str">
        <f>Detalle_OC[[#This Row],[Centro]]&amp;Detalle_OC[[#This Row],[Nom Almacen]]&amp;Detalle_OC[[#This Row],[Material]]&amp;Detalle_OC[[#This Row],[Pedido]]&amp;Detalle_OC[[#This Row],[Posicion]]</f>
        <v>Sucroalcolera del Chira PlantaMontelima70047595451157064130</v>
      </c>
      <c r="B1331" t="s">
        <v>15</v>
      </c>
      <c r="C1331" t="s">
        <v>36</v>
      </c>
      <c r="D1331" s="11">
        <v>45644</v>
      </c>
      <c r="E1331" t="s">
        <v>16</v>
      </c>
      <c r="F1331" t="s">
        <v>85</v>
      </c>
      <c r="G1331">
        <v>70047595</v>
      </c>
      <c r="H1331">
        <v>4511570641</v>
      </c>
      <c r="I1331">
        <v>30</v>
      </c>
      <c r="J1331" s="29">
        <v>1</v>
      </c>
      <c r="K1331" s="29" t="s">
        <v>1176</v>
      </c>
      <c r="L1331" t="str">
        <f>IFERROR(VLOOKUP(Detalle_OC[[#This Row],[Centro]]&amp;Detalle_OC[[#This Row],[Nro Almacen]],Almacen!A:D,4,FALSE),"")</f>
        <v>Montelima</v>
      </c>
    </row>
    <row r="1332" spans="1:12" x14ac:dyDescent="0.3">
      <c r="A1332" s="29" t="str">
        <f>Detalle_OC[[#This Row],[Centro]]&amp;Detalle_OC[[#This Row],[Nom Almacen]]&amp;Detalle_OC[[#This Row],[Material]]&amp;Detalle_OC[[#This Row],[Pedido]]&amp;Detalle_OC[[#This Row],[Posicion]]</f>
        <v>Sucroalcolera del Chira PlantaMontelima70047596451157064140</v>
      </c>
      <c r="B1332" t="s">
        <v>15</v>
      </c>
      <c r="C1332" t="s">
        <v>36</v>
      </c>
      <c r="D1332" s="11">
        <v>45644</v>
      </c>
      <c r="E1332" t="s">
        <v>16</v>
      </c>
      <c r="F1332" t="s">
        <v>85</v>
      </c>
      <c r="G1332">
        <v>70047596</v>
      </c>
      <c r="H1332">
        <v>4511570641</v>
      </c>
      <c r="I1332">
        <v>40</v>
      </c>
      <c r="J1332" s="29">
        <v>1</v>
      </c>
      <c r="K1332" s="29" t="s">
        <v>1176</v>
      </c>
      <c r="L1332" t="str">
        <f>IFERROR(VLOOKUP(Detalle_OC[[#This Row],[Centro]]&amp;Detalle_OC[[#This Row],[Nro Almacen]],Almacen!A:D,4,FALSE),"")</f>
        <v>Montelima</v>
      </c>
    </row>
    <row r="1333" spans="1:12" x14ac:dyDescent="0.3">
      <c r="A1333" s="29" t="str">
        <f>Detalle_OC[[#This Row],[Centro]]&amp;Detalle_OC[[#This Row],[Nom Almacen]]&amp;Detalle_OC[[#This Row],[Material]]&amp;Detalle_OC[[#This Row],[Pedido]]&amp;Detalle_OC[[#This Row],[Posicion]]</f>
        <v>Sucroalcolera del Chira PlantaMontelima70035060451157064310</v>
      </c>
      <c r="B1333" t="s">
        <v>138</v>
      </c>
      <c r="C1333" t="s">
        <v>44</v>
      </c>
      <c r="D1333" s="11">
        <v>45628</v>
      </c>
      <c r="E1333" t="s">
        <v>16</v>
      </c>
      <c r="F1333" t="s">
        <v>85</v>
      </c>
      <c r="G1333">
        <v>70035060</v>
      </c>
      <c r="H1333">
        <v>4511570643</v>
      </c>
      <c r="I1333">
        <v>10</v>
      </c>
      <c r="J1333" s="29">
        <v>1</v>
      </c>
      <c r="K1333" s="29" t="s">
        <v>1176</v>
      </c>
      <c r="L1333" t="str">
        <f>IFERROR(VLOOKUP(Detalle_OC[[#This Row],[Centro]]&amp;Detalle_OC[[#This Row],[Nro Almacen]],Almacen!A:D,4,FALSE),"")</f>
        <v>Montelima</v>
      </c>
    </row>
    <row r="1334" spans="1:12" x14ac:dyDescent="0.3">
      <c r="A1334" s="29" t="str">
        <f>Detalle_OC[[#This Row],[Centro]]&amp;Detalle_OC[[#This Row],[Nom Almacen]]&amp;Detalle_OC[[#This Row],[Material]]&amp;Detalle_OC[[#This Row],[Pedido]]&amp;Detalle_OC[[#This Row],[Posicion]]</f>
        <v>Agricola del Chira PlantaAlmacen Lobo70135205451157065910</v>
      </c>
      <c r="B1334" t="s">
        <v>265</v>
      </c>
      <c r="C1334" t="s">
        <v>1177</v>
      </c>
      <c r="D1334" s="11">
        <v>45642</v>
      </c>
      <c r="E1334" t="s">
        <v>16</v>
      </c>
      <c r="F1334" t="s">
        <v>12</v>
      </c>
      <c r="G1334">
        <v>70135205</v>
      </c>
      <c r="H1334">
        <v>4511570659</v>
      </c>
      <c r="I1334">
        <v>10</v>
      </c>
      <c r="J1334" s="29">
        <v>7</v>
      </c>
      <c r="K1334" s="29" t="s">
        <v>1176</v>
      </c>
      <c r="L1334" t="str">
        <f>IFERROR(VLOOKUP(Detalle_OC[[#This Row],[Centro]]&amp;Detalle_OC[[#This Row],[Nro Almacen]],Almacen!A:D,4,FALSE),"")</f>
        <v>Almacen Lobo</v>
      </c>
    </row>
    <row r="1335" spans="1:12" x14ac:dyDescent="0.3">
      <c r="A1335" s="29" t="str">
        <f>Detalle_OC[[#This Row],[Centro]]&amp;Detalle_OC[[#This Row],[Nom Almacen]]&amp;Detalle_OC[[#This Row],[Material]]&amp;Detalle_OC[[#This Row],[Pedido]]&amp;Detalle_OC[[#This Row],[Posicion]]</f>
        <v>Agricola del Chira PlantaSan Vicente70135205451157065920</v>
      </c>
      <c r="B1335" t="s">
        <v>265</v>
      </c>
      <c r="C1335" t="s">
        <v>1177</v>
      </c>
      <c r="D1335" s="11">
        <v>45642</v>
      </c>
      <c r="E1335" t="s">
        <v>16</v>
      </c>
      <c r="F1335" t="s">
        <v>12</v>
      </c>
      <c r="G1335">
        <v>70135205</v>
      </c>
      <c r="H1335">
        <v>4511570659</v>
      </c>
      <c r="I1335">
        <v>20</v>
      </c>
      <c r="J1335" s="29">
        <v>3</v>
      </c>
      <c r="K1335" s="29" t="s">
        <v>1176</v>
      </c>
      <c r="L1335" t="str">
        <f>IFERROR(VLOOKUP(Detalle_OC[[#This Row],[Centro]]&amp;Detalle_OC[[#This Row],[Nro Almacen]],Almacen!A:D,4,FALSE),"")</f>
        <v>San Vicente</v>
      </c>
    </row>
    <row r="1336" spans="1:12" x14ac:dyDescent="0.3">
      <c r="A1336" s="29" t="str">
        <f>Detalle_OC[[#This Row],[Centro]]&amp;Detalle_OC[[#This Row],[Nom Almacen]]&amp;Detalle_OC[[#This Row],[Material]]&amp;Detalle_OC[[#This Row],[Pedido]]&amp;Detalle_OC[[#This Row],[Posicion]]</f>
        <v>Agricola del Chira PlantaMontelima70135205451157065930</v>
      </c>
      <c r="B1336" t="s">
        <v>265</v>
      </c>
      <c r="C1336" t="s">
        <v>1177</v>
      </c>
      <c r="D1336" s="11">
        <v>45642</v>
      </c>
      <c r="E1336" t="s">
        <v>16</v>
      </c>
      <c r="F1336" t="s">
        <v>12</v>
      </c>
      <c r="G1336">
        <v>70135205</v>
      </c>
      <c r="H1336">
        <v>4511570659</v>
      </c>
      <c r="I1336">
        <v>30</v>
      </c>
      <c r="J1336" s="29">
        <v>1</v>
      </c>
      <c r="K1336" s="29" t="s">
        <v>1176</v>
      </c>
      <c r="L1336" t="str">
        <f>IFERROR(VLOOKUP(Detalle_OC[[#This Row],[Centro]]&amp;Detalle_OC[[#This Row],[Nro Almacen]],Almacen!A:D,4,FALSE),"")</f>
        <v>Montelima</v>
      </c>
    </row>
    <row r="1337" spans="1:12" x14ac:dyDescent="0.3">
      <c r="A1337" s="29" t="str">
        <f>Detalle_OC[[#This Row],[Centro]]&amp;Detalle_OC[[#This Row],[Nom Almacen]]&amp;Detalle_OC[[#This Row],[Material]]&amp;Detalle_OC[[#This Row],[Pedido]]&amp;Detalle_OC[[#This Row],[Posicion]]</f>
        <v>Sucroalcolera del Chira PlantaMontelima842942451157066710</v>
      </c>
      <c r="B1337" t="s">
        <v>138</v>
      </c>
      <c r="C1337" t="s">
        <v>292</v>
      </c>
      <c r="D1337" s="11">
        <v>45628</v>
      </c>
      <c r="E1337" t="s">
        <v>16</v>
      </c>
      <c r="F1337" t="s">
        <v>85</v>
      </c>
      <c r="G1337">
        <v>842942</v>
      </c>
      <c r="H1337">
        <v>4511570667</v>
      </c>
      <c r="I1337">
        <v>10</v>
      </c>
      <c r="J1337" s="29">
        <v>1</v>
      </c>
      <c r="K1337" s="29" t="s">
        <v>1176</v>
      </c>
      <c r="L1337" t="str">
        <f>IFERROR(VLOOKUP(Detalle_OC[[#This Row],[Centro]]&amp;Detalle_OC[[#This Row],[Nro Almacen]],Almacen!A:D,4,FALSE),"")</f>
        <v>Montelima</v>
      </c>
    </row>
    <row r="1338" spans="1:12" x14ac:dyDescent="0.3">
      <c r="A1338" s="29" t="str">
        <f>Detalle_OC[[#This Row],[Centro]]&amp;Detalle_OC[[#This Row],[Nom Almacen]]&amp;Detalle_OC[[#This Row],[Material]]&amp;Detalle_OC[[#This Row],[Pedido]]&amp;Detalle_OC[[#This Row],[Posicion]]</f>
        <v>Sucroalcolera del Chira PlantaMontelima884774451157067610</v>
      </c>
      <c r="B1338" t="s">
        <v>138</v>
      </c>
      <c r="C1338" t="s">
        <v>197</v>
      </c>
      <c r="D1338" s="11">
        <v>45635</v>
      </c>
      <c r="E1338" t="s">
        <v>16</v>
      </c>
      <c r="F1338" t="s">
        <v>85</v>
      </c>
      <c r="G1338">
        <v>884774</v>
      </c>
      <c r="H1338">
        <v>4511570676</v>
      </c>
      <c r="I1338">
        <v>10</v>
      </c>
      <c r="J1338" s="29">
        <v>1</v>
      </c>
      <c r="K1338" s="29" t="s">
        <v>1176</v>
      </c>
      <c r="L1338" t="str">
        <f>IFERROR(VLOOKUP(Detalle_OC[[#This Row],[Centro]]&amp;Detalle_OC[[#This Row],[Nro Almacen]],Almacen!A:D,4,FALSE),"")</f>
        <v>Montelima</v>
      </c>
    </row>
    <row r="1339" spans="1:12" x14ac:dyDescent="0.3">
      <c r="A1339" s="29" t="str">
        <f>Detalle_OC[[#This Row],[Centro]]&amp;Detalle_OC[[#This Row],[Nom Almacen]]&amp;Detalle_OC[[#This Row],[Material]]&amp;Detalle_OC[[#This Row],[Pedido]]&amp;Detalle_OC[[#This Row],[Posicion]]</f>
        <v>Sucroalcolera del Chira PlantaMontelima70072995451157067620</v>
      </c>
      <c r="B1339" t="s">
        <v>138</v>
      </c>
      <c r="C1339" t="s">
        <v>197</v>
      </c>
      <c r="D1339" s="11">
        <v>45635</v>
      </c>
      <c r="E1339" t="s">
        <v>16</v>
      </c>
      <c r="F1339" t="s">
        <v>85</v>
      </c>
      <c r="G1339">
        <v>70072995</v>
      </c>
      <c r="H1339">
        <v>4511570676</v>
      </c>
      <c r="I1339">
        <v>20</v>
      </c>
      <c r="J1339" s="29">
        <v>1</v>
      </c>
      <c r="K1339" s="29" t="s">
        <v>1176</v>
      </c>
      <c r="L1339" t="str">
        <f>IFERROR(VLOOKUP(Detalle_OC[[#This Row],[Centro]]&amp;Detalle_OC[[#This Row],[Nro Almacen]],Almacen!A:D,4,FALSE),"")</f>
        <v>Montelima</v>
      </c>
    </row>
    <row r="1340" spans="1:12" x14ac:dyDescent="0.3">
      <c r="A1340" s="29" t="str">
        <f>Detalle_OC[[#This Row],[Centro]]&amp;Detalle_OC[[#This Row],[Nom Almacen]]&amp;Detalle_OC[[#This Row],[Material]]&amp;Detalle_OC[[#This Row],[Pedido]]&amp;Detalle_OC[[#This Row],[Posicion]]</f>
        <v>Sucroalcolera del Chira PlantaMontelima844502451157068230</v>
      </c>
      <c r="B1340" t="s">
        <v>142</v>
      </c>
      <c r="C1340" t="s">
        <v>82</v>
      </c>
      <c r="D1340" s="11">
        <v>45635</v>
      </c>
      <c r="E1340" t="s">
        <v>16</v>
      </c>
      <c r="F1340" t="s">
        <v>85</v>
      </c>
      <c r="G1340">
        <v>844502</v>
      </c>
      <c r="H1340">
        <v>4511570682</v>
      </c>
      <c r="I1340">
        <v>30</v>
      </c>
      <c r="J1340" s="29">
        <v>1</v>
      </c>
      <c r="K1340" s="29" t="s">
        <v>1176</v>
      </c>
      <c r="L1340" t="str">
        <f>IFERROR(VLOOKUP(Detalle_OC[[#This Row],[Centro]]&amp;Detalle_OC[[#This Row],[Nro Almacen]],Almacen!A:D,4,FALSE),"")</f>
        <v>Montelima</v>
      </c>
    </row>
    <row r="1341" spans="1:12" x14ac:dyDescent="0.3">
      <c r="A1341" s="29" t="str">
        <f>Detalle_OC[[#This Row],[Centro]]&amp;Detalle_OC[[#This Row],[Nom Almacen]]&amp;Detalle_OC[[#This Row],[Material]]&amp;Detalle_OC[[#This Row],[Pedido]]&amp;Detalle_OC[[#This Row],[Posicion]]</f>
        <v>Sucroalcolera del Chira PlantaMontelima844511451157068240</v>
      </c>
      <c r="B1341" t="s">
        <v>142</v>
      </c>
      <c r="C1341" t="s">
        <v>82</v>
      </c>
      <c r="D1341" s="11">
        <v>45635</v>
      </c>
      <c r="E1341" t="s">
        <v>16</v>
      </c>
      <c r="F1341" t="s">
        <v>85</v>
      </c>
      <c r="G1341">
        <v>844511</v>
      </c>
      <c r="H1341">
        <v>4511570682</v>
      </c>
      <c r="I1341">
        <v>40</v>
      </c>
      <c r="J1341" s="29">
        <v>1</v>
      </c>
      <c r="K1341" s="29" t="s">
        <v>1176</v>
      </c>
      <c r="L1341" t="str">
        <f>IFERROR(VLOOKUP(Detalle_OC[[#This Row],[Centro]]&amp;Detalle_OC[[#This Row],[Nro Almacen]],Almacen!A:D,4,FALSE),"")</f>
        <v>Montelima</v>
      </c>
    </row>
    <row r="1342" spans="1:12" x14ac:dyDescent="0.3">
      <c r="A1342" s="29" t="str">
        <f>Detalle_OC[[#This Row],[Centro]]&amp;Detalle_OC[[#This Row],[Nom Almacen]]&amp;Detalle_OC[[#This Row],[Material]]&amp;Detalle_OC[[#This Row],[Pedido]]&amp;Detalle_OC[[#This Row],[Posicion]]</f>
        <v>Sucroalcolera del Chira PlantaMontelima70029660451157068250</v>
      </c>
      <c r="B1342" t="s">
        <v>142</v>
      </c>
      <c r="C1342" t="s">
        <v>82</v>
      </c>
      <c r="D1342" s="11">
        <v>45635</v>
      </c>
      <c r="E1342" t="s">
        <v>16</v>
      </c>
      <c r="F1342" t="s">
        <v>85</v>
      </c>
      <c r="G1342">
        <v>70029660</v>
      </c>
      <c r="H1342">
        <v>4511570682</v>
      </c>
      <c r="I1342">
        <v>50</v>
      </c>
      <c r="J1342" s="29">
        <v>1</v>
      </c>
      <c r="K1342" s="29" t="s">
        <v>1176</v>
      </c>
      <c r="L1342" t="str">
        <f>IFERROR(VLOOKUP(Detalle_OC[[#This Row],[Centro]]&amp;Detalle_OC[[#This Row],[Nro Almacen]],Almacen!A:D,4,FALSE),"")</f>
        <v>Montelima</v>
      </c>
    </row>
    <row r="1343" spans="1:12" x14ac:dyDescent="0.3">
      <c r="A1343" s="29" t="str">
        <f>Detalle_OC[[#This Row],[Centro]]&amp;Detalle_OC[[#This Row],[Nom Almacen]]&amp;Detalle_OC[[#This Row],[Material]]&amp;Detalle_OC[[#This Row],[Pedido]]&amp;Detalle_OC[[#This Row],[Posicion]]</f>
        <v>Sucroalcolera del Chira PlantaMontelima70030879451157068260</v>
      </c>
      <c r="B1343" t="s">
        <v>142</v>
      </c>
      <c r="C1343" t="s">
        <v>82</v>
      </c>
      <c r="D1343" s="11">
        <v>45635</v>
      </c>
      <c r="E1343" t="s">
        <v>16</v>
      </c>
      <c r="F1343" t="s">
        <v>85</v>
      </c>
      <c r="G1343">
        <v>70030879</v>
      </c>
      <c r="H1343">
        <v>4511570682</v>
      </c>
      <c r="I1343">
        <v>60</v>
      </c>
      <c r="J1343" s="29">
        <v>1</v>
      </c>
      <c r="K1343" s="29" t="s">
        <v>1176</v>
      </c>
      <c r="L1343" t="str">
        <f>IFERROR(VLOOKUP(Detalle_OC[[#This Row],[Centro]]&amp;Detalle_OC[[#This Row],[Nro Almacen]],Almacen!A:D,4,FALSE),"")</f>
        <v>Montelima</v>
      </c>
    </row>
    <row r="1344" spans="1:12" x14ac:dyDescent="0.3">
      <c r="A1344" s="29" t="str">
        <f>Detalle_OC[[#This Row],[Centro]]&amp;Detalle_OC[[#This Row],[Nom Almacen]]&amp;Detalle_OC[[#This Row],[Material]]&amp;Detalle_OC[[#This Row],[Pedido]]&amp;Detalle_OC[[#This Row],[Posicion]]</f>
        <v>Agricola del Chira PlantaSan Vicente70014752451157068410</v>
      </c>
      <c r="B1344" t="s">
        <v>33</v>
      </c>
      <c r="C1344" t="s">
        <v>161</v>
      </c>
      <c r="D1344" s="11">
        <v>45637</v>
      </c>
      <c r="E1344" t="s">
        <v>16</v>
      </c>
      <c r="F1344" t="s">
        <v>12</v>
      </c>
      <c r="G1344">
        <v>70014752</v>
      </c>
      <c r="H1344">
        <v>4511570684</v>
      </c>
      <c r="I1344">
        <v>10</v>
      </c>
      <c r="J1344" s="29">
        <v>3</v>
      </c>
      <c r="K1344" s="29" t="s">
        <v>1176</v>
      </c>
      <c r="L1344" t="str">
        <f>IFERROR(VLOOKUP(Detalle_OC[[#This Row],[Centro]]&amp;Detalle_OC[[#This Row],[Nro Almacen]],Almacen!A:D,4,FALSE),"")</f>
        <v>San Vicente</v>
      </c>
    </row>
    <row r="1345" spans="1:12" x14ac:dyDescent="0.3">
      <c r="A1345" s="29" t="str">
        <f>Detalle_OC[[#This Row],[Centro]]&amp;Detalle_OC[[#This Row],[Nom Almacen]]&amp;Detalle_OC[[#This Row],[Material]]&amp;Detalle_OC[[#This Row],[Pedido]]&amp;Detalle_OC[[#This Row],[Posicion]]</f>
        <v>Agricola del Chira PlantaSan Vicente70079072451157068420</v>
      </c>
      <c r="B1345" t="s">
        <v>33</v>
      </c>
      <c r="C1345" t="s">
        <v>161</v>
      </c>
      <c r="D1345" s="11">
        <v>45637</v>
      </c>
      <c r="E1345" t="s">
        <v>16</v>
      </c>
      <c r="F1345" t="s">
        <v>12</v>
      </c>
      <c r="G1345">
        <v>70079072</v>
      </c>
      <c r="H1345">
        <v>4511570684</v>
      </c>
      <c r="I1345">
        <v>20</v>
      </c>
      <c r="J1345" s="29">
        <v>3</v>
      </c>
      <c r="K1345" s="29" t="s">
        <v>1176</v>
      </c>
      <c r="L1345" t="str">
        <f>IFERROR(VLOOKUP(Detalle_OC[[#This Row],[Centro]]&amp;Detalle_OC[[#This Row],[Nro Almacen]],Almacen!A:D,4,FALSE),"")</f>
        <v>San Vicente</v>
      </c>
    </row>
    <row r="1346" spans="1:12" x14ac:dyDescent="0.3">
      <c r="A1346" s="29" t="str">
        <f>Detalle_OC[[#This Row],[Centro]]&amp;Detalle_OC[[#This Row],[Nom Almacen]]&amp;Detalle_OC[[#This Row],[Material]]&amp;Detalle_OC[[#This Row],[Pedido]]&amp;Detalle_OC[[#This Row],[Posicion]]</f>
        <v>Agricola del Chira PlantaMontelima70030646451157068710</v>
      </c>
      <c r="B1346" t="s">
        <v>149</v>
      </c>
      <c r="C1346" t="s">
        <v>166</v>
      </c>
      <c r="D1346" s="11">
        <v>45635</v>
      </c>
      <c r="E1346" t="s">
        <v>16</v>
      </c>
      <c r="F1346" t="s">
        <v>12</v>
      </c>
      <c r="G1346">
        <v>70030646</v>
      </c>
      <c r="H1346">
        <v>4511570687</v>
      </c>
      <c r="I1346">
        <v>10</v>
      </c>
      <c r="J1346" s="29">
        <v>1</v>
      </c>
      <c r="K1346" s="29" t="s">
        <v>1176</v>
      </c>
      <c r="L1346" t="str">
        <f>IFERROR(VLOOKUP(Detalle_OC[[#This Row],[Centro]]&amp;Detalle_OC[[#This Row],[Nro Almacen]],Almacen!A:D,4,FALSE),"")</f>
        <v>Montelima</v>
      </c>
    </row>
    <row r="1347" spans="1:12" x14ac:dyDescent="0.3">
      <c r="A1347" s="29" t="str">
        <f>Detalle_OC[[#This Row],[Centro]]&amp;Detalle_OC[[#This Row],[Nom Almacen]]&amp;Detalle_OC[[#This Row],[Material]]&amp;Detalle_OC[[#This Row],[Pedido]]&amp;Detalle_OC[[#This Row],[Posicion]]</f>
        <v>Agricola del Chira PlantaAlmacen Lobo70101747451157068810</v>
      </c>
      <c r="B1347" t="s">
        <v>149</v>
      </c>
      <c r="C1347" t="s">
        <v>272</v>
      </c>
      <c r="D1347" s="11">
        <v>45630</v>
      </c>
      <c r="E1347" t="s">
        <v>16</v>
      </c>
      <c r="F1347" t="s">
        <v>12</v>
      </c>
      <c r="G1347">
        <v>70101747</v>
      </c>
      <c r="H1347">
        <v>4511570688</v>
      </c>
      <c r="I1347">
        <v>10</v>
      </c>
      <c r="J1347" s="29">
        <v>7</v>
      </c>
      <c r="K1347" s="29" t="s">
        <v>1176</v>
      </c>
      <c r="L1347" t="str">
        <f>IFERROR(VLOOKUP(Detalle_OC[[#This Row],[Centro]]&amp;Detalle_OC[[#This Row],[Nro Almacen]],Almacen!A:D,4,FALSE),"")</f>
        <v>Almacen Lobo</v>
      </c>
    </row>
    <row r="1348" spans="1:12" x14ac:dyDescent="0.3">
      <c r="A1348" s="29" t="str">
        <f>Detalle_OC[[#This Row],[Centro]]&amp;Detalle_OC[[#This Row],[Nom Almacen]]&amp;Detalle_OC[[#This Row],[Material]]&amp;Detalle_OC[[#This Row],[Pedido]]&amp;Detalle_OC[[#This Row],[Posicion]]</f>
        <v>Agricola del Chira PlantaSan Vicente744278451157071910</v>
      </c>
      <c r="B1348" t="s">
        <v>26</v>
      </c>
      <c r="C1348" t="s">
        <v>24</v>
      </c>
      <c r="D1348" s="11">
        <v>45632</v>
      </c>
      <c r="E1348" t="s">
        <v>16</v>
      </c>
      <c r="F1348" t="s">
        <v>12</v>
      </c>
      <c r="G1348">
        <v>744278</v>
      </c>
      <c r="H1348">
        <v>4511570719</v>
      </c>
      <c r="I1348">
        <v>10</v>
      </c>
      <c r="J1348" s="29">
        <v>3</v>
      </c>
      <c r="K1348" s="29" t="s">
        <v>1176</v>
      </c>
      <c r="L1348" t="str">
        <f>IFERROR(VLOOKUP(Detalle_OC[[#This Row],[Centro]]&amp;Detalle_OC[[#This Row],[Nro Almacen]],Almacen!A:D,4,FALSE),"")</f>
        <v>San Vicente</v>
      </c>
    </row>
    <row r="1349" spans="1:12" x14ac:dyDescent="0.3">
      <c r="A1349" s="29" t="str">
        <f>Detalle_OC[[#This Row],[Centro]]&amp;Detalle_OC[[#This Row],[Nom Almacen]]&amp;Detalle_OC[[#This Row],[Material]]&amp;Detalle_OC[[#This Row],[Pedido]]&amp;Detalle_OC[[#This Row],[Posicion]]</f>
        <v>Agricola del Chira PlantaSan Vicente809511451157071920</v>
      </c>
      <c r="B1349" t="s">
        <v>26</v>
      </c>
      <c r="C1349" t="s">
        <v>24</v>
      </c>
      <c r="D1349" s="11">
        <v>45632</v>
      </c>
      <c r="E1349" t="s">
        <v>16</v>
      </c>
      <c r="F1349" t="s">
        <v>12</v>
      </c>
      <c r="G1349">
        <v>809511</v>
      </c>
      <c r="H1349">
        <v>4511570719</v>
      </c>
      <c r="I1349">
        <v>20</v>
      </c>
      <c r="J1349" s="29">
        <v>3</v>
      </c>
      <c r="K1349" s="29" t="s">
        <v>1176</v>
      </c>
      <c r="L1349" t="str">
        <f>IFERROR(VLOOKUP(Detalle_OC[[#This Row],[Centro]]&amp;Detalle_OC[[#This Row],[Nro Almacen]],Almacen!A:D,4,FALSE),"")</f>
        <v>San Vicente</v>
      </c>
    </row>
    <row r="1350" spans="1:12" x14ac:dyDescent="0.3">
      <c r="A1350" s="29" t="str">
        <f>Detalle_OC[[#This Row],[Centro]]&amp;Detalle_OC[[#This Row],[Nom Almacen]]&amp;Detalle_OC[[#This Row],[Material]]&amp;Detalle_OC[[#This Row],[Pedido]]&amp;Detalle_OC[[#This Row],[Posicion]]</f>
        <v>Agricola del Chira PlantaMontelima813492451157071930</v>
      </c>
      <c r="B1350" t="s">
        <v>26</v>
      </c>
      <c r="C1350" t="s">
        <v>24</v>
      </c>
      <c r="D1350" s="11">
        <v>45632</v>
      </c>
      <c r="E1350" t="s">
        <v>16</v>
      </c>
      <c r="F1350" t="s">
        <v>12</v>
      </c>
      <c r="G1350">
        <v>813492</v>
      </c>
      <c r="H1350">
        <v>4511570719</v>
      </c>
      <c r="I1350">
        <v>30</v>
      </c>
      <c r="J1350" s="29">
        <v>1</v>
      </c>
      <c r="K1350" s="29" t="s">
        <v>1176</v>
      </c>
      <c r="L1350" t="str">
        <f>IFERROR(VLOOKUP(Detalle_OC[[#This Row],[Centro]]&amp;Detalle_OC[[#This Row],[Nro Almacen]],Almacen!A:D,4,FALSE),"")</f>
        <v>Montelima</v>
      </c>
    </row>
    <row r="1351" spans="1:12" x14ac:dyDescent="0.3">
      <c r="A1351" s="29" t="str">
        <f>Detalle_OC[[#This Row],[Centro]]&amp;Detalle_OC[[#This Row],[Nom Almacen]]&amp;Detalle_OC[[#This Row],[Material]]&amp;Detalle_OC[[#This Row],[Pedido]]&amp;Detalle_OC[[#This Row],[Posicion]]</f>
        <v>Agricola del Chira PlantaSan Vicente813495451157071940</v>
      </c>
      <c r="B1351" t="s">
        <v>26</v>
      </c>
      <c r="C1351" t="s">
        <v>24</v>
      </c>
      <c r="D1351" s="11">
        <v>45632</v>
      </c>
      <c r="E1351" t="s">
        <v>16</v>
      </c>
      <c r="F1351" t="s">
        <v>12</v>
      </c>
      <c r="G1351">
        <v>813495</v>
      </c>
      <c r="H1351">
        <v>4511570719</v>
      </c>
      <c r="I1351">
        <v>40</v>
      </c>
      <c r="J1351" s="29">
        <v>3</v>
      </c>
      <c r="K1351" s="29" t="s">
        <v>1176</v>
      </c>
      <c r="L1351" t="str">
        <f>IFERROR(VLOOKUP(Detalle_OC[[#This Row],[Centro]]&amp;Detalle_OC[[#This Row],[Nro Almacen]],Almacen!A:D,4,FALSE),"")</f>
        <v>San Vicente</v>
      </c>
    </row>
    <row r="1352" spans="1:12" x14ac:dyDescent="0.3">
      <c r="A1352" s="29" t="str">
        <f>Detalle_OC[[#This Row],[Centro]]&amp;Detalle_OC[[#This Row],[Nom Almacen]]&amp;Detalle_OC[[#This Row],[Material]]&amp;Detalle_OC[[#This Row],[Pedido]]&amp;Detalle_OC[[#This Row],[Posicion]]</f>
        <v>Agricola del Chira PlantaMontelima813506451157071950</v>
      </c>
      <c r="B1352" t="s">
        <v>26</v>
      </c>
      <c r="C1352" t="s">
        <v>24</v>
      </c>
      <c r="D1352" s="11">
        <v>45632</v>
      </c>
      <c r="E1352" t="s">
        <v>16</v>
      </c>
      <c r="F1352" t="s">
        <v>12</v>
      </c>
      <c r="G1352">
        <v>813506</v>
      </c>
      <c r="H1352">
        <v>4511570719</v>
      </c>
      <c r="I1352">
        <v>50</v>
      </c>
      <c r="J1352" s="29">
        <v>1</v>
      </c>
      <c r="K1352" s="29" t="s">
        <v>1176</v>
      </c>
      <c r="L1352" t="str">
        <f>IFERROR(VLOOKUP(Detalle_OC[[#This Row],[Centro]]&amp;Detalle_OC[[#This Row],[Nro Almacen]],Almacen!A:D,4,FALSE),"")</f>
        <v>Montelima</v>
      </c>
    </row>
    <row r="1353" spans="1:12" x14ac:dyDescent="0.3">
      <c r="A1353" s="29" t="str">
        <f>Detalle_OC[[#This Row],[Centro]]&amp;Detalle_OC[[#This Row],[Nom Almacen]]&amp;Detalle_OC[[#This Row],[Material]]&amp;Detalle_OC[[#This Row],[Pedido]]&amp;Detalle_OC[[#This Row],[Posicion]]</f>
        <v>Agricola del Chira PlantaMontelima825336451157071960</v>
      </c>
      <c r="B1353" t="s">
        <v>26</v>
      </c>
      <c r="C1353" t="s">
        <v>24</v>
      </c>
      <c r="D1353" s="11">
        <v>45632</v>
      </c>
      <c r="E1353" t="s">
        <v>16</v>
      </c>
      <c r="F1353" t="s">
        <v>12</v>
      </c>
      <c r="G1353">
        <v>825336</v>
      </c>
      <c r="H1353">
        <v>4511570719</v>
      </c>
      <c r="I1353">
        <v>60</v>
      </c>
      <c r="J1353" s="29">
        <v>1</v>
      </c>
      <c r="K1353" s="29" t="s">
        <v>1176</v>
      </c>
      <c r="L1353" t="str">
        <f>IFERROR(VLOOKUP(Detalle_OC[[#This Row],[Centro]]&amp;Detalle_OC[[#This Row],[Nro Almacen]],Almacen!A:D,4,FALSE),"")</f>
        <v>Montelima</v>
      </c>
    </row>
    <row r="1354" spans="1:12" x14ac:dyDescent="0.3">
      <c r="A1354" s="29" t="str">
        <f>Detalle_OC[[#This Row],[Centro]]&amp;Detalle_OC[[#This Row],[Nom Almacen]]&amp;Detalle_OC[[#This Row],[Material]]&amp;Detalle_OC[[#This Row],[Pedido]]&amp;Detalle_OC[[#This Row],[Posicion]]</f>
        <v>Agricola del Chira PlantaMontelima70001611451157072010</v>
      </c>
      <c r="B1354" t="s">
        <v>149</v>
      </c>
      <c r="C1354" t="s">
        <v>22</v>
      </c>
      <c r="D1354" s="11">
        <v>45625</v>
      </c>
      <c r="E1354" t="s">
        <v>16</v>
      </c>
      <c r="F1354" t="s">
        <v>12</v>
      </c>
      <c r="G1354">
        <v>70001611</v>
      </c>
      <c r="H1354">
        <v>4511570720</v>
      </c>
      <c r="I1354">
        <v>10</v>
      </c>
      <c r="J1354" s="29">
        <v>1</v>
      </c>
      <c r="K1354" s="29" t="s">
        <v>1176</v>
      </c>
      <c r="L1354" t="str">
        <f>IFERROR(VLOOKUP(Detalle_OC[[#This Row],[Centro]]&amp;Detalle_OC[[#This Row],[Nro Almacen]],Almacen!A:D,4,FALSE),"")</f>
        <v>Montelima</v>
      </c>
    </row>
    <row r="1355" spans="1:12" x14ac:dyDescent="0.3">
      <c r="A1355" s="29" t="str">
        <f>Detalle_OC[[#This Row],[Centro]]&amp;Detalle_OC[[#This Row],[Nom Almacen]]&amp;Detalle_OC[[#This Row],[Material]]&amp;Detalle_OC[[#This Row],[Pedido]]&amp;Detalle_OC[[#This Row],[Posicion]]</f>
        <v>Agricola del Chira PlantaMontelima716997451157072210</v>
      </c>
      <c r="B1355" t="s">
        <v>149</v>
      </c>
      <c r="C1355" t="s">
        <v>137</v>
      </c>
      <c r="D1355" s="11">
        <v>45635</v>
      </c>
      <c r="E1355" t="s">
        <v>16</v>
      </c>
      <c r="F1355" t="s">
        <v>12</v>
      </c>
      <c r="G1355">
        <v>716997</v>
      </c>
      <c r="H1355">
        <v>4511570722</v>
      </c>
      <c r="I1355">
        <v>10</v>
      </c>
      <c r="J1355" s="29">
        <v>1</v>
      </c>
      <c r="K1355" s="29" t="s">
        <v>1176</v>
      </c>
      <c r="L1355" t="str">
        <f>IFERROR(VLOOKUP(Detalle_OC[[#This Row],[Centro]]&amp;Detalle_OC[[#This Row],[Nro Almacen]],Almacen!A:D,4,FALSE),"")</f>
        <v>Montelima</v>
      </c>
    </row>
    <row r="1356" spans="1:12" x14ac:dyDescent="0.3">
      <c r="A1356" s="29" t="str">
        <f>Detalle_OC[[#This Row],[Centro]]&amp;Detalle_OC[[#This Row],[Nom Almacen]]&amp;Detalle_OC[[#This Row],[Material]]&amp;Detalle_OC[[#This Row],[Pedido]]&amp;Detalle_OC[[#This Row],[Posicion]]</f>
        <v>Sucroalcolera del Chira PlantaMontelima716984451157072310</v>
      </c>
      <c r="B1356" t="s">
        <v>156</v>
      </c>
      <c r="C1356" t="s">
        <v>137</v>
      </c>
      <c r="D1356" s="11">
        <v>45635</v>
      </c>
      <c r="E1356" t="s">
        <v>16</v>
      </c>
      <c r="F1356" t="s">
        <v>85</v>
      </c>
      <c r="G1356">
        <v>716984</v>
      </c>
      <c r="H1356">
        <v>4511570723</v>
      </c>
      <c r="I1356">
        <v>10</v>
      </c>
      <c r="J1356" s="29">
        <v>1</v>
      </c>
      <c r="K1356" s="29" t="s">
        <v>1176</v>
      </c>
      <c r="L1356" t="str">
        <f>IFERROR(VLOOKUP(Detalle_OC[[#This Row],[Centro]]&amp;Detalle_OC[[#This Row],[Nro Almacen]],Almacen!A:D,4,FALSE),"")</f>
        <v>Montelima</v>
      </c>
    </row>
    <row r="1357" spans="1:12" x14ac:dyDescent="0.3">
      <c r="A1357" s="29" t="str">
        <f>Detalle_OC[[#This Row],[Centro]]&amp;Detalle_OC[[#This Row],[Nom Almacen]]&amp;Detalle_OC[[#This Row],[Material]]&amp;Detalle_OC[[#This Row],[Pedido]]&amp;Detalle_OC[[#This Row],[Posicion]]</f>
        <v>Agricola del Chira PlantaMontelima70069779451157072410</v>
      </c>
      <c r="B1357" t="s">
        <v>200</v>
      </c>
      <c r="C1357" t="s">
        <v>1162</v>
      </c>
      <c r="D1357" s="11">
        <v>45657</v>
      </c>
      <c r="E1357" t="s">
        <v>48</v>
      </c>
      <c r="F1357" t="s">
        <v>12</v>
      </c>
      <c r="G1357">
        <v>70069779</v>
      </c>
      <c r="H1357">
        <v>4511570724</v>
      </c>
      <c r="I1357">
        <v>10</v>
      </c>
      <c r="J1357" s="29">
        <v>1</v>
      </c>
      <c r="K1357" s="29" t="s">
        <v>1176</v>
      </c>
      <c r="L1357" t="str">
        <f>IFERROR(VLOOKUP(Detalle_OC[[#This Row],[Centro]]&amp;Detalle_OC[[#This Row],[Nro Almacen]],Almacen!A:D,4,FALSE),"")</f>
        <v>Montelima</v>
      </c>
    </row>
    <row r="1358" spans="1:12" x14ac:dyDescent="0.3">
      <c r="A1358" s="29" t="str">
        <f>Detalle_OC[[#This Row],[Centro]]&amp;Detalle_OC[[#This Row],[Nom Almacen]]&amp;Detalle_OC[[#This Row],[Material]]&amp;Detalle_OC[[#This Row],[Pedido]]&amp;Detalle_OC[[#This Row],[Posicion]]</f>
        <v>Agricola del Chira PlantaMontelima817847451157072710</v>
      </c>
      <c r="B1358" t="s">
        <v>149</v>
      </c>
      <c r="C1358" t="s">
        <v>44</v>
      </c>
      <c r="D1358" s="11">
        <v>45632</v>
      </c>
      <c r="E1358" t="s">
        <v>16</v>
      </c>
      <c r="F1358" t="s">
        <v>12</v>
      </c>
      <c r="G1358">
        <v>817847</v>
      </c>
      <c r="H1358">
        <v>4511570727</v>
      </c>
      <c r="I1358">
        <v>10</v>
      </c>
      <c r="J1358" s="29">
        <v>1</v>
      </c>
      <c r="K1358" s="29" t="s">
        <v>1176</v>
      </c>
      <c r="L1358" t="str">
        <f>IFERROR(VLOOKUP(Detalle_OC[[#This Row],[Centro]]&amp;Detalle_OC[[#This Row],[Nro Almacen]],Almacen!A:D,4,FALSE),"")</f>
        <v>Montelima</v>
      </c>
    </row>
    <row r="1359" spans="1:12" x14ac:dyDescent="0.3">
      <c r="A1359" s="29" t="str">
        <f>Detalle_OC[[#This Row],[Centro]]&amp;Detalle_OC[[#This Row],[Nom Almacen]]&amp;Detalle_OC[[#This Row],[Material]]&amp;Detalle_OC[[#This Row],[Pedido]]&amp;Detalle_OC[[#This Row],[Posicion]]</f>
        <v>Agricola del Chira PlantaMontelima880205451157072720</v>
      </c>
      <c r="B1359" t="s">
        <v>15</v>
      </c>
      <c r="C1359" t="s">
        <v>44</v>
      </c>
      <c r="D1359" s="11">
        <v>45632</v>
      </c>
      <c r="E1359" t="s">
        <v>16</v>
      </c>
      <c r="F1359" t="s">
        <v>12</v>
      </c>
      <c r="G1359">
        <v>880205</v>
      </c>
      <c r="H1359">
        <v>4511570727</v>
      </c>
      <c r="I1359">
        <v>20</v>
      </c>
      <c r="J1359" s="29">
        <v>1</v>
      </c>
      <c r="K1359" s="29" t="s">
        <v>1176</v>
      </c>
      <c r="L1359" t="str">
        <f>IFERROR(VLOOKUP(Detalle_OC[[#This Row],[Centro]]&amp;Detalle_OC[[#This Row],[Nro Almacen]],Almacen!A:D,4,FALSE),"")</f>
        <v>Montelima</v>
      </c>
    </row>
    <row r="1360" spans="1:12" x14ac:dyDescent="0.3">
      <c r="A1360" s="29" t="str">
        <f>Detalle_OC[[#This Row],[Centro]]&amp;Detalle_OC[[#This Row],[Nom Almacen]]&amp;Detalle_OC[[#This Row],[Material]]&amp;Detalle_OC[[#This Row],[Pedido]]&amp;Detalle_OC[[#This Row],[Posicion]]</f>
        <v>Agricola del Chira PlantaMontelima784819451157072810</v>
      </c>
      <c r="B1360" t="s">
        <v>149</v>
      </c>
      <c r="C1360" t="s">
        <v>166</v>
      </c>
      <c r="D1360" s="11">
        <v>45630</v>
      </c>
      <c r="E1360" t="s">
        <v>16</v>
      </c>
      <c r="F1360" t="s">
        <v>12</v>
      </c>
      <c r="G1360">
        <v>784819</v>
      </c>
      <c r="H1360">
        <v>4511570728</v>
      </c>
      <c r="I1360">
        <v>10</v>
      </c>
      <c r="J1360" s="29">
        <v>1</v>
      </c>
      <c r="K1360" s="29" t="s">
        <v>1176</v>
      </c>
      <c r="L1360" t="str">
        <f>IFERROR(VLOOKUP(Detalle_OC[[#This Row],[Centro]]&amp;Detalle_OC[[#This Row],[Nro Almacen]],Almacen!A:D,4,FALSE),"")</f>
        <v>Montelima</v>
      </c>
    </row>
    <row r="1361" spans="1:12" x14ac:dyDescent="0.3">
      <c r="A1361" s="29" t="str">
        <f>Detalle_OC[[#This Row],[Centro]]&amp;Detalle_OC[[#This Row],[Nom Almacen]]&amp;Detalle_OC[[#This Row],[Material]]&amp;Detalle_OC[[#This Row],[Pedido]]&amp;Detalle_OC[[#This Row],[Posicion]]</f>
        <v>Agricola del Chira PlantaMontelima803236451157072820</v>
      </c>
      <c r="B1361" t="s">
        <v>149</v>
      </c>
      <c r="C1361" t="s">
        <v>166</v>
      </c>
      <c r="D1361" s="11">
        <v>45630</v>
      </c>
      <c r="E1361" t="s">
        <v>16</v>
      </c>
      <c r="F1361" t="s">
        <v>12</v>
      </c>
      <c r="G1361">
        <v>803236</v>
      </c>
      <c r="H1361">
        <v>4511570728</v>
      </c>
      <c r="I1361">
        <v>20</v>
      </c>
      <c r="J1361" s="29">
        <v>1</v>
      </c>
      <c r="K1361" s="29" t="s">
        <v>1176</v>
      </c>
      <c r="L1361" t="str">
        <f>IFERROR(VLOOKUP(Detalle_OC[[#This Row],[Centro]]&amp;Detalle_OC[[#This Row],[Nro Almacen]],Almacen!A:D,4,FALSE),"")</f>
        <v>Montelima</v>
      </c>
    </row>
    <row r="1362" spans="1:12" x14ac:dyDescent="0.3">
      <c r="A1362" s="29" t="str">
        <f>Detalle_OC[[#This Row],[Centro]]&amp;Detalle_OC[[#This Row],[Nom Almacen]]&amp;Detalle_OC[[#This Row],[Material]]&amp;Detalle_OC[[#This Row],[Pedido]]&amp;Detalle_OC[[#This Row],[Posicion]]</f>
        <v>Agricola del Chira PlantaAlmacen Lobo803344451157072830</v>
      </c>
      <c r="B1362" t="s">
        <v>149</v>
      </c>
      <c r="C1362" t="s">
        <v>166</v>
      </c>
      <c r="D1362" s="11">
        <v>45630</v>
      </c>
      <c r="E1362" t="s">
        <v>16</v>
      </c>
      <c r="F1362" t="s">
        <v>12</v>
      </c>
      <c r="G1362">
        <v>803344</v>
      </c>
      <c r="H1362">
        <v>4511570728</v>
      </c>
      <c r="I1362">
        <v>30</v>
      </c>
      <c r="J1362" s="29">
        <v>7</v>
      </c>
      <c r="K1362" s="29" t="s">
        <v>1176</v>
      </c>
      <c r="L1362" t="str">
        <f>IFERROR(VLOOKUP(Detalle_OC[[#This Row],[Centro]]&amp;Detalle_OC[[#This Row],[Nro Almacen]],Almacen!A:D,4,FALSE),"")</f>
        <v>Almacen Lobo</v>
      </c>
    </row>
    <row r="1363" spans="1:12" x14ac:dyDescent="0.3">
      <c r="A1363" s="29" t="str">
        <f>Detalle_OC[[#This Row],[Centro]]&amp;Detalle_OC[[#This Row],[Nom Almacen]]&amp;Detalle_OC[[#This Row],[Material]]&amp;Detalle_OC[[#This Row],[Pedido]]&amp;Detalle_OC[[#This Row],[Posicion]]</f>
        <v>Agricola del Chira PlantaMontelima813002451157072840</v>
      </c>
      <c r="B1363" t="s">
        <v>149</v>
      </c>
      <c r="C1363" t="s">
        <v>166</v>
      </c>
      <c r="D1363" s="11">
        <v>45630</v>
      </c>
      <c r="E1363" t="s">
        <v>16</v>
      </c>
      <c r="F1363" t="s">
        <v>12</v>
      </c>
      <c r="G1363">
        <v>813002</v>
      </c>
      <c r="H1363">
        <v>4511570728</v>
      </c>
      <c r="I1363">
        <v>40</v>
      </c>
      <c r="J1363" s="29">
        <v>1</v>
      </c>
      <c r="K1363" s="29" t="s">
        <v>1176</v>
      </c>
      <c r="L1363" t="str">
        <f>IFERROR(VLOOKUP(Detalle_OC[[#This Row],[Centro]]&amp;Detalle_OC[[#This Row],[Nro Almacen]],Almacen!A:D,4,FALSE),"")</f>
        <v>Montelima</v>
      </c>
    </row>
    <row r="1364" spans="1:12" x14ac:dyDescent="0.3">
      <c r="A1364" s="29" t="str">
        <f>Detalle_OC[[#This Row],[Centro]]&amp;Detalle_OC[[#This Row],[Nom Almacen]]&amp;Detalle_OC[[#This Row],[Material]]&amp;Detalle_OC[[#This Row],[Pedido]]&amp;Detalle_OC[[#This Row],[Posicion]]</f>
        <v>Agricola del Chira PlantaMontelima822811451157072850</v>
      </c>
      <c r="B1364" t="s">
        <v>149</v>
      </c>
      <c r="C1364" t="s">
        <v>166</v>
      </c>
      <c r="D1364" s="11">
        <v>45630</v>
      </c>
      <c r="E1364" t="s">
        <v>16</v>
      </c>
      <c r="F1364" t="s">
        <v>12</v>
      </c>
      <c r="G1364">
        <v>822811</v>
      </c>
      <c r="H1364">
        <v>4511570728</v>
      </c>
      <c r="I1364">
        <v>50</v>
      </c>
      <c r="J1364" s="29">
        <v>1</v>
      </c>
      <c r="K1364" s="29" t="s">
        <v>1176</v>
      </c>
      <c r="L1364" t="str">
        <f>IFERROR(VLOOKUP(Detalle_OC[[#This Row],[Centro]]&amp;Detalle_OC[[#This Row],[Nro Almacen]],Almacen!A:D,4,FALSE),"")</f>
        <v>Montelima</v>
      </c>
    </row>
    <row r="1365" spans="1:12" x14ac:dyDescent="0.3">
      <c r="A1365" s="29" t="str">
        <f>Detalle_OC[[#This Row],[Centro]]&amp;Detalle_OC[[#This Row],[Nom Almacen]]&amp;Detalle_OC[[#This Row],[Material]]&amp;Detalle_OC[[#This Row],[Pedido]]&amp;Detalle_OC[[#This Row],[Posicion]]</f>
        <v>Agricola del Chira PlantaAlmacen Lobo822811451157072860</v>
      </c>
      <c r="B1365" t="s">
        <v>149</v>
      </c>
      <c r="C1365" t="s">
        <v>166</v>
      </c>
      <c r="D1365" s="11">
        <v>45630</v>
      </c>
      <c r="E1365" t="s">
        <v>16</v>
      </c>
      <c r="F1365" t="s">
        <v>12</v>
      </c>
      <c r="G1365">
        <v>822811</v>
      </c>
      <c r="H1365">
        <v>4511570728</v>
      </c>
      <c r="I1365">
        <v>60</v>
      </c>
      <c r="J1365" s="29">
        <v>7</v>
      </c>
      <c r="K1365" s="29" t="s">
        <v>1176</v>
      </c>
      <c r="L1365" t="str">
        <f>IFERROR(VLOOKUP(Detalle_OC[[#This Row],[Centro]]&amp;Detalle_OC[[#This Row],[Nro Almacen]],Almacen!A:D,4,FALSE),"")</f>
        <v>Almacen Lobo</v>
      </c>
    </row>
    <row r="1366" spans="1:12" x14ac:dyDescent="0.3">
      <c r="A1366" s="29" t="str">
        <f>Detalle_OC[[#This Row],[Centro]]&amp;Detalle_OC[[#This Row],[Nom Almacen]]&amp;Detalle_OC[[#This Row],[Material]]&amp;Detalle_OC[[#This Row],[Pedido]]&amp;Detalle_OC[[#This Row],[Posicion]]</f>
        <v>Agricola del Chira PlantaMontelima827622451157072870</v>
      </c>
      <c r="B1366" t="s">
        <v>149</v>
      </c>
      <c r="C1366" t="s">
        <v>166</v>
      </c>
      <c r="D1366" s="11">
        <v>45630</v>
      </c>
      <c r="E1366" t="s">
        <v>16</v>
      </c>
      <c r="F1366" t="s">
        <v>12</v>
      </c>
      <c r="G1366">
        <v>827622</v>
      </c>
      <c r="H1366">
        <v>4511570728</v>
      </c>
      <c r="I1366">
        <v>70</v>
      </c>
      <c r="J1366" s="29">
        <v>1</v>
      </c>
      <c r="K1366" s="29" t="s">
        <v>1176</v>
      </c>
      <c r="L1366" t="str">
        <f>IFERROR(VLOOKUP(Detalle_OC[[#This Row],[Centro]]&amp;Detalle_OC[[#This Row],[Nro Almacen]],Almacen!A:D,4,FALSE),"")</f>
        <v>Montelima</v>
      </c>
    </row>
    <row r="1367" spans="1:12" x14ac:dyDescent="0.3">
      <c r="A1367" s="29" t="str">
        <f>Detalle_OC[[#This Row],[Centro]]&amp;Detalle_OC[[#This Row],[Nom Almacen]]&amp;Detalle_OC[[#This Row],[Material]]&amp;Detalle_OC[[#This Row],[Pedido]]&amp;Detalle_OC[[#This Row],[Posicion]]</f>
        <v>Agricola del Chira PlantaMontelima839437451157072880</v>
      </c>
      <c r="B1367" t="s">
        <v>149</v>
      </c>
      <c r="C1367" t="s">
        <v>166</v>
      </c>
      <c r="D1367" s="11">
        <v>45630</v>
      </c>
      <c r="E1367" t="s">
        <v>16</v>
      </c>
      <c r="F1367" t="s">
        <v>12</v>
      </c>
      <c r="G1367">
        <v>839437</v>
      </c>
      <c r="H1367">
        <v>4511570728</v>
      </c>
      <c r="I1367">
        <v>80</v>
      </c>
      <c r="J1367" s="29">
        <v>1</v>
      </c>
      <c r="K1367" s="29" t="s">
        <v>1176</v>
      </c>
      <c r="L1367" t="str">
        <f>IFERROR(VLOOKUP(Detalle_OC[[#This Row],[Centro]]&amp;Detalle_OC[[#This Row],[Nro Almacen]],Almacen!A:D,4,FALSE),"")</f>
        <v>Montelima</v>
      </c>
    </row>
    <row r="1368" spans="1:12" x14ac:dyDescent="0.3">
      <c r="A1368" s="29" t="str">
        <f>Detalle_OC[[#This Row],[Centro]]&amp;Detalle_OC[[#This Row],[Nom Almacen]]&amp;Detalle_OC[[#This Row],[Material]]&amp;Detalle_OC[[#This Row],[Pedido]]&amp;Detalle_OC[[#This Row],[Posicion]]</f>
        <v>Agricola del Chira PlantaAlmacen Lobo839904451157072890</v>
      </c>
      <c r="B1368" t="s">
        <v>149</v>
      </c>
      <c r="C1368" t="s">
        <v>166</v>
      </c>
      <c r="D1368" s="11">
        <v>45630</v>
      </c>
      <c r="E1368" t="s">
        <v>16</v>
      </c>
      <c r="F1368" t="s">
        <v>12</v>
      </c>
      <c r="G1368">
        <v>839904</v>
      </c>
      <c r="H1368">
        <v>4511570728</v>
      </c>
      <c r="I1368">
        <v>90</v>
      </c>
      <c r="J1368" s="29">
        <v>7</v>
      </c>
      <c r="K1368" s="29" t="s">
        <v>1176</v>
      </c>
      <c r="L1368" t="str">
        <f>IFERROR(VLOOKUP(Detalle_OC[[#This Row],[Centro]]&amp;Detalle_OC[[#This Row],[Nro Almacen]],Almacen!A:D,4,FALSE),"")</f>
        <v>Almacen Lobo</v>
      </c>
    </row>
    <row r="1369" spans="1:12" x14ac:dyDescent="0.3">
      <c r="A1369" s="29" t="str">
        <f>Detalle_OC[[#This Row],[Centro]]&amp;Detalle_OC[[#This Row],[Nom Almacen]]&amp;Detalle_OC[[#This Row],[Material]]&amp;Detalle_OC[[#This Row],[Pedido]]&amp;Detalle_OC[[#This Row],[Posicion]]</f>
        <v>Agricola del Chira PlantaMontelima8646364511570728100</v>
      </c>
      <c r="B1369" t="s">
        <v>149</v>
      </c>
      <c r="C1369" t="s">
        <v>166</v>
      </c>
      <c r="D1369" s="11">
        <v>45630</v>
      </c>
      <c r="E1369" t="s">
        <v>16</v>
      </c>
      <c r="F1369" t="s">
        <v>12</v>
      </c>
      <c r="G1369">
        <v>864636</v>
      </c>
      <c r="H1369">
        <v>4511570728</v>
      </c>
      <c r="I1369">
        <v>100</v>
      </c>
      <c r="J1369" s="29">
        <v>1</v>
      </c>
      <c r="K1369" s="29" t="s">
        <v>1176</v>
      </c>
      <c r="L1369" t="str">
        <f>IFERROR(VLOOKUP(Detalle_OC[[#This Row],[Centro]]&amp;Detalle_OC[[#This Row],[Nro Almacen]],Almacen!A:D,4,FALSE),"")</f>
        <v>Montelima</v>
      </c>
    </row>
    <row r="1370" spans="1:12" x14ac:dyDescent="0.3">
      <c r="A1370" s="29" t="str">
        <f>Detalle_OC[[#This Row],[Centro]]&amp;Detalle_OC[[#This Row],[Nom Almacen]]&amp;Detalle_OC[[#This Row],[Material]]&amp;Detalle_OC[[#This Row],[Pedido]]&amp;Detalle_OC[[#This Row],[Posicion]]</f>
        <v>Agricola del Chira PlantaMontelima8692524511570728110</v>
      </c>
      <c r="B1370" t="s">
        <v>149</v>
      </c>
      <c r="C1370" t="s">
        <v>166</v>
      </c>
      <c r="D1370" s="11">
        <v>45630</v>
      </c>
      <c r="E1370" t="s">
        <v>16</v>
      </c>
      <c r="F1370" t="s">
        <v>12</v>
      </c>
      <c r="G1370">
        <v>869252</v>
      </c>
      <c r="H1370">
        <v>4511570728</v>
      </c>
      <c r="I1370">
        <v>110</v>
      </c>
      <c r="J1370" s="29">
        <v>1</v>
      </c>
      <c r="K1370" s="29" t="s">
        <v>1176</v>
      </c>
      <c r="L1370" t="str">
        <f>IFERROR(VLOOKUP(Detalle_OC[[#This Row],[Centro]]&amp;Detalle_OC[[#This Row],[Nro Almacen]],Almacen!A:D,4,FALSE),"")</f>
        <v>Montelima</v>
      </c>
    </row>
    <row r="1371" spans="1:12" x14ac:dyDescent="0.3">
      <c r="A1371" s="29" t="str">
        <f>Detalle_OC[[#This Row],[Centro]]&amp;Detalle_OC[[#This Row],[Nom Almacen]]&amp;Detalle_OC[[#This Row],[Material]]&amp;Detalle_OC[[#This Row],[Pedido]]&amp;Detalle_OC[[#This Row],[Posicion]]</f>
        <v>Agricola del Chira PlantaAlmacen Lobo8895394511570728120</v>
      </c>
      <c r="B1371" t="s">
        <v>149</v>
      </c>
      <c r="C1371" t="s">
        <v>166</v>
      </c>
      <c r="D1371" s="11">
        <v>45630</v>
      </c>
      <c r="E1371" t="s">
        <v>16</v>
      </c>
      <c r="F1371" t="s">
        <v>12</v>
      </c>
      <c r="G1371">
        <v>889539</v>
      </c>
      <c r="H1371">
        <v>4511570728</v>
      </c>
      <c r="I1371">
        <v>120</v>
      </c>
      <c r="J1371" s="29">
        <v>7</v>
      </c>
      <c r="K1371" s="29" t="s">
        <v>1176</v>
      </c>
      <c r="L1371" t="str">
        <f>IFERROR(VLOOKUP(Detalle_OC[[#This Row],[Centro]]&amp;Detalle_OC[[#This Row],[Nro Almacen]],Almacen!A:D,4,FALSE),"")</f>
        <v>Almacen Lobo</v>
      </c>
    </row>
    <row r="1372" spans="1:12" x14ac:dyDescent="0.3">
      <c r="A1372" s="29" t="str">
        <f>Detalle_OC[[#This Row],[Centro]]&amp;Detalle_OC[[#This Row],[Nom Almacen]]&amp;Detalle_OC[[#This Row],[Material]]&amp;Detalle_OC[[#This Row],[Pedido]]&amp;Detalle_OC[[#This Row],[Posicion]]</f>
        <v>Agricola del Chira PlantaMontelima700074234511570728130</v>
      </c>
      <c r="B1372" t="s">
        <v>149</v>
      </c>
      <c r="C1372" t="s">
        <v>166</v>
      </c>
      <c r="D1372" s="11">
        <v>45630</v>
      </c>
      <c r="E1372" t="s">
        <v>16</v>
      </c>
      <c r="F1372" t="s">
        <v>12</v>
      </c>
      <c r="G1372">
        <v>70007423</v>
      </c>
      <c r="H1372">
        <v>4511570728</v>
      </c>
      <c r="I1372">
        <v>130</v>
      </c>
      <c r="J1372" s="29">
        <v>1</v>
      </c>
      <c r="K1372" s="29" t="s">
        <v>1176</v>
      </c>
      <c r="L1372" t="str">
        <f>IFERROR(VLOOKUP(Detalle_OC[[#This Row],[Centro]]&amp;Detalle_OC[[#This Row],[Nro Almacen]],Almacen!A:D,4,FALSE),"")</f>
        <v>Montelima</v>
      </c>
    </row>
    <row r="1373" spans="1:12" x14ac:dyDescent="0.3">
      <c r="A1373" s="29" t="str">
        <f>Detalle_OC[[#This Row],[Centro]]&amp;Detalle_OC[[#This Row],[Nom Almacen]]&amp;Detalle_OC[[#This Row],[Material]]&amp;Detalle_OC[[#This Row],[Pedido]]&amp;Detalle_OC[[#This Row],[Posicion]]</f>
        <v>Agricola del Chira PlantaMontelima700113294511570728140</v>
      </c>
      <c r="B1373" t="s">
        <v>149</v>
      </c>
      <c r="C1373" t="s">
        <v>166</v>
      </c>
      <c r="D1373" s="11">
        <v>45630</v>
      </c>
      <c r="E1373" t="s">
        <v>16</v>
      </c>
      <c r="F1373" t="s">
        <v>12</v>
      </c>
      <c r="G1373">
        <v>70011329</v>
      </c>
      <c r="H1373">
        <v>4511570728</v>
      </c>
      <c r="I1373">
        <v>140</v>
      </c>
      <c r="J1373" s="29">
        <v>1</v>
      </c>
      <c r="K1373" s="29" t="s">
        <v>1176</v>
      </c>
      <c r="L1373" t="str">
        <f>IFERROR(VLOOKUP(Detalle_OC[[#This Row],[Centro]]&amp;Detalle_OC[[#This Row],[Nro Almacen]],Almacen!A:D,4,FALSE),"")</f>
        <v>Montelima</v>
      </c>
    </row>
    <row r="1374" spans="1:12" x14ac:dyDescent="0.3">
      <c r="A1374" s="29" t="str">
        <f>Detalle_OC[[#This Row],[Centro]]&amp;Detalle_OC[[#This Row],[Nom Almacen]]&amp;Detalle_OC[[#This Row],[Material]]&amp;Detalle_OC[[#This Row],[Pedido]]&amp;Detalle_OC[[#This Row],[Posicion]]</f>
        <v>Agricola del Chira PlantaMontelima700363584511570728150</v>
      </c>
      <c r="B1374" t="s">
        <v>149</v>
      </c>
      <c r="C1374" t="s">
        <v>166</v>
      </c>
      <c r="D1374" s="11">
        <v>45630</v>
      </c>
      <c r="E1374" t="s">
        <v>16</v>
      </c>
      <c r="F1374" t="s">
        <v>12</v>
      </c>
      <c r="G1374">
        <v>70036358</v>
      </c>
      <c r="H1374">
        <v>4511570728</v>
      </c>
      <c r="I1374">
        <v>150</v>
      </c>
      <c r="J1374" s="29">
        <v>1</v>
      </c>
      <c r="K1374" s="29" t="s">
        <v>1176</v>
      </c>
      <c r="L1374" t="str">
        <f>IFERROR(VLOOKUP(Detalle_OC[[#This Row],[Centro]]&amp;Detalle_OC[[#This Row],[Nro Almacen]],Almacen!A:D,4,FALSE),"")</f>
        <v>Montelima</v>
      </c>
    </row>
    <row r="1375" spans="1:12" x14ac:dyDescent="0.3">
      <c r="A1375" s="29" t="str">
        <f>Detalle_OC[[#This Row],[Centro]]&amp;Detalle_OC[[#This Row],[Nom Almacen]]&amp;Detalle_OC[[#This Row],[Material]]&amp;Detalle_OC[[#This Row],[Pedido]]&amp;Detalle_OC[[#This Row],[Posicion]]</f>
        <v>Agricola del Chira PlantaMontelima700582974511570728160</v>
      </c>
      <c r="B1375" t="s">
        <v>149</v>
      </c>
      <c r="C1375" t="s">
        <v>166</v>
      </c>
      <c r="D1375" s="11">
        <v>45630</v>
      </c>
      <c r="E1375" t="s">
        <v>16</v>
      </c>
      <c r="F1375" t="s">
        <v>12</v>
      </c>
      <c r="G1375">
        <v>70058297</v>
      </c>
      <c r="H1375">
        <v>4511570728</v>
      </c>
      <c r="I1375">
        <v>160</v>
      </c>
      <c r="J1375" s="29">
        <v>1</v>
      </c>
      <c r="K1375" s="29" t="s">
        <v>1176</v>
      </c>
      <c r="L1375" t="str">
        <f>IFERROR(VLOOKUP(Detalle_OC[[#This Row],[Centro]]&amp;Detalle_OC[[#This Row],[Nro Almacen]],Almacen!A:D,4,FALSE),"")</f>
        <v>Montelima</v>
      </c>
    </row>
    <row r="1376" spans="1:12" x14ac:dyDescent="0.3">
      <c r="A1376" s="29" t="str">
        <f>Detalle_OC[[#This Row],[Centro]]&amp;Detalle_OC[[#This Row],[Nom Almacen]]&amp;Detalle_OC[[#This Row],[Material]]&amp;Detalle_OC[[#This Row],[Pedido]]&amp;Detalle_OC[[#This Row],[Posicion]]</f>
        <v>Agricola del Chira PlantaMontelima701327234511570728170</v>
      </c>
      <c r="B1376" t="s">
        <v>149</v>
      </c>
      <c r="C1376" t="s">
        <v>166</v>
      </c>
      <c r="D1376" s="11">
        <v>45646</v>
      </c>
      <c r="E1376" t="s">
        <v>16</v>
      </c>
      <c r="F1376" t="s">
        <v>12</v>
      </c>
      <c r="G1376">
        <v>70132723</v>
      </c>
      <c r="H1376">
        <v>4511570728</v>
      </c>
      <c r="I1376">
        <v>170</v>
      </c>
      <c r="J1376" s="29">
        <v>1</v>
      </c>
      <c r="K1376" s="29" t="s">
        <v>1176</v>
      </c>
      <c r="L1376" t="str">
        <f>IFERROR(VLOOKUP(Detalle_OC[[#This Row],[Centro]]&amp;Detalle_OC[[#This Row],[Nro Almacen]],Almacen!A:D,4,FALSE),"")</f>
        <v>Montelima</v>
      </c>
    </row>
    <row r="1377" spans="1:12" x14ac:dyDescent="0.3">
      <c r="A1377" s="29" t="str">
        <f>Detalle_OC[[#This Row],[Centro]]&amp;Detalle_OC[[#This Row],[Nom Almacen]]&amp;Detalle_OC[[#This Row],[Material]]&amp;Detalle_OC[[#This Row],[Pedido]]&amp;Detalle_OC[[#This Row],[Posicion]]</f>
        <v>Agricola del Chira PlantaMontelima701351044511570728180</v>
      </c>
      <c r="B1377" t="s">
        <v>186</v>
      </c>
      <c r="C1377" t="s">
        <v>166</v>
      </c>
      <c r="D1377" s="11">
        <v>45630</v>
      </c>
      <c r="E1377" t="s">
        <v>16</v>
      </c>
      <c r="F1377" t="s">
        <v>12</v>
      </c>
      <c r="G1377">
        <v>70135104</v>
      </c>
      <c r="H1377">
        <v>4511570728</v>
      </c>
      <c r="I1377">
        <v>180</v>
      </c>
      <c r="J1377" s="29">
        <v>1</v>
      </c>
      <c r="K1377" s="29" t="s">
        <v>1176</v>
      </c>
      <c r="L1377" t="str">
        <f>IFERROR(VLOOKUP(Detalle_OC[[#This Row],[Centro]]&amp;Detalle_OC[[#This Row],[Nro Almacen]],Almacen!A:D,4,FALSE),"")</f>
        <v>Montelima</v>
      </c>
    </row>
    <row r="1378" spans="1:12" x14ac:dyDescent="0.3">
      <c r="A1378" s="29" t="str">
        <f>Detalle_OC[[#This Row],[Centro]]&amp;Detalle_OC[[#This Row],[Nom Almacen]]&amp;Detalle_OC[[#This Row],[Material]]&amp;Detalle_OC[[#This Row],[Pedido]]&amp;Detalle_OC[[#This Row],[Posicion]]</f>
        <v>Agricola del Chira PlantaMontelima896987451157073110</v>
      </c>
      <c r="B1378" t="s">
        <v>145</v>
      </c>
      <c r="C1378" t="s">
        <v>213</v>
      </c>
      <c r="D1378" s="11">
        <v>45639</v>
      </c>
      <c r="E1378" t="s">
        <v>16</v>
      </c>
      <c r="F1378" t="s">
        <v>12</v>
      </c>
      <c r="G1378">
        <v>896987</v>
      </c>
      <c r="H1378">
        <v>4511570731</v>
      </c>
      <c r="I1378">
        <v>10</v>
      </c>
      <c r="J1378" s="29">
        <v>1</v>
      </c>
      <c r="K1378" s="29" t="s">
        <v>1176</v>
      </c>
      <c r="L1378" t="str">
        <f>IFERROR(VLOOKUP(Detalle_OC[[#This Row],[Centro]]&amp;Detalle_OC[[#This Row],[Nro Almacen]],Almacen!A:D,4,FALSE),"")</f>
        <v>Montelima</v>
      </c>
    </row>
    <row r="1379" spans="1:12" x14ac:dyDescent="0.3">
      <c r="A1379" s="29" t="str">
        <f>Detalle_OC[[#This Row],[Centro]]&amp;Detalle_OC[[#This Row],[Nom Almacen]]&amp;Detalle_OC[[#This Row],[Material]]&amp;Detalle_OC[[#This Row],[Pedido]]&amp;Detalle_OC[[#This Row],[Posicion]]</f>
        <v>Agricola del Chira PlantaMontelima895925451157073210</v>
      </c>
      <c r="B1379" t="s">
        <v>149</v>
      </c>
      <c r="C1379" t="s">
        <v>1178</v>
      </c>
      <c r="D1379" s="11">
        <v>45635</v>
      </c>
      <c r="E1379" t="s">
        <v>16</v>
      </c>
      <c r="F1379" t="s">
        <v>12</v>
      </c>
      <c r="G1379">
        <v>895925</v>
      </c>
      <c r="H1379">
        <v>4511570732</v>
      </c>
      <c r="I1379">
        <v>10</v>
      </c>
      <c r="J1379" s="29">
        <v>1</v>
      </c>
      <c r="K1379" s="29" t="s">
        <v>1176</v>
      </c>
      <c r="L1379" t="str">
        <f>IFERROR(VLOOKUP(Detalle_OC[[#This Row],[Centro]]&amp;Detalle_OC[[#This Row],[Nro Almacen]],Almacen!A:D,4,FALSE),"")</f>
        <v>Montelima</v>
      </c>
    </row>
    <row r="1380" spans="1:12" x14ac:dyDescent="0.3">
      <c r="A1380" s="29" t="str">
        <f>Detalle_OC[[#This Row],[Centro]]&amp;Detalle_OC[[#This Row],[Nom Almacen]]&amp;Detalle_OC[[#This Row],[Material]]&amp;Detalle_OC[[#This Row],[Pedido]]&amp;Detalle_OC[[#This Row],[Posicion]]</f>
        <v>Agricola del Chira PlantaAlmacen Lobo895925451157073220</v>
      </c>
      <c r="B1380" t="s">
        <v>149</v>
      </c>
      <c r="C1380" t="s">
        <v>1178</v>
      </c>
      <c r="D1380" s="11">
        <v>45635</v>
      </c>
      <c r="E1380" t="s">
        <v>16</v>
      </c>
      <c r="F1380" t="s">
        <v>12</v>
      </c>
      <c r="G1380">
        <v>895925</v>
      </c>
      <c r="H1380">
        <v>4511570732</v>
      </c>
      <c r="I1380">
        <v>20</v>
      </c>
      <c r="J1380" s="29">
        <v>7</v>
      </c>
      <c r="K1380" s="29" t="s">
        <v>1176</v>
      </c>
      <c r="L1380" t="str">
        <f>IFERROR(VLOOKUP(Detalle_OC[[#This Row],[Centro]]&amp;Detalle_OC[[#This Row],[Nro Almacen]],Almacen!A:D,4,FALSE),"")</f>
        <v>Almacen Lobo</v>
      </c>
    </row>
    <row r="1381" spans="1:12" x14ac:dyDescent="0.3">
      <c r="A1381" s="29" t="str">
        <f>Detalle_OC[[#This Row],[Centro]]&amp;Detalle_OC[[#This Row],[Nom Almacen]]&amp;Detalle_OC[[#This Row],[Material]]&amp;Detalle_OC[[#This Row],[Pedido]]&amp;Detalle_OC[[#This Row],[Posicion]]</f>
        <v>Agricola del Chira PlantaLa Huaca748341451157073410</v>
      </c>
      <c r="B1381" t="s">
        <v>26</v>
      </c>
      <c r="C1381" t="s">
        <v>173</v>
      </c>
      <c r="D1381" s="11">
        <v>45635</v>
      </c>
      <c r="E1381" t="s">
        <v>16</v>
      </c>
      <c r="F1381" t="s">
        <v>12</v>
      </c>
      <c r="G1381">
        <v>748341</v>
      </c>
      <c r="H1381">
        <v>4511570734</v>
      </c>
      <c r="I1381">
        <v>10</v>
      </c>
      <c r="J1381" s="29">
        <v>2</v>
      </c>
      <c r="K1381" s="29" t="s">
        <v>1176</v>
      </c>
      <c r="L1381" t="str">
        <f>IFERROR(VLOOKUP(Detalle_OC[[#This Row],[Centro]]&amp;Detalle_OC[[#This Row],[Nro Almacen]],Almacen!A:D,4,FALSE),"")</f>
        <v>La Huaca</v>
      </c>
    </row>
    <row r="1382" spans="1:12" x14ac:dyDescent="0.3">
      <c r="A1382" s="29" t="str">
        <f>Detalle_OC[[#This Row],[Centro]]&amp;Detalle_OC[[#This Row],[Nom Almacen]]&amp;Detalle_OC[[#This Row],[Material]]&amp;Detalle_OC[[#This Row],[Pedido]]&amp;Detalle_OC[[#This Row],[Posicion]]</f>
        <v>Agricola del Chira PlantaMontelima709179550002233820</v>
      </c>
      <c r="B1382" t="s">
        <v>28</v>
      </c>
      <c r="C1382" t="s">
        <v>84</v>
      </c>
      <c r="D1382" s="11">
        <v>45617</v>
      </c>
      <c r="E1382" t="s">
        <v>16</v>
      </c>
      <c r="F1382" t="s">
        <v>12</v>
      </c>
      <c r="G1382">
        <v>709179</v>
      </c>
      <c r="H1382">
        <v>5500022338</v>
      </c>
      <c r="I1382">
        <v>20</v>
      </c>
      <c r="J1382" s="29">
        <v>1</v>
      </c>
      <c r="K1382" s="29" t="s">
        <v>1176</v>
      </c>
      <c r="L1382" t="str">
        <f>IFERROR(VLOOKUP(Detalle_OC[[#This Row],[Centro]]&amp;Detalle_OC[[#This Row],[Nro Almacen]],Almacen!A:D,4,FALSE),"")</f>
        <v>Montelima</v>
      </c>
    </row>
    <row r="1383" spans="1:12" x14ac:dyDescent="0.3">
      <c r="A1383" s="29" t="str">
        <f>Detalle_OC[[#This Row],[Centro]]&amp;Detalle_OC[[#This Row],[Nom Almacen]]&amp;Detalle_OC[[#This Row],[Material]]&amp;Detalle_OC[[#This Row],[Pedido]]&amp;Detalle_OC[[#This Row],[Posicion]]</f>
        <v>Agricola del Chira PlantaMontelima708707550002233850</v>
      </c>
      <c r="B1383" t="s">
        <v>28</v>
      </c>
      <c r="C1383" t="s">
        <v>84</v>
      </c>
      <c r="D1383" s="11">
        <v>45617</v>
      </c>
      <c r="E1383" t="s">
        <v>16</v>
      </c>
      <c r="F1383" t="s">
        <v>12</v>
      </c>
      <c r="G1383">
        <v>708707</v>
      </c>
      <c r="H1383">
        <v>5500022338</v>
      </c>
      <c r="I1383">
        <v>50</v>
      </c>
      <c r="J1383" s="29">
        <v>1</v>
      </c>
      <c r="K1383" s="29" t="s">
        <v>1176</v>
      </c>
      <c r="L1383" t="str">
        <f>IFERROR(VLOOKUP(Detalle_OC[[#This Row],[Centro]]&amp;Detalle_OC[[#This Row],[Nro Almacen]],Almacen!A:D,4,FALSE),"")</f>
        <v>Montelima</v>
      </c>
    </row>
    <row r="1384" spans="1:12" x14ac:dyDescent="0.3">
      <c r="A1384" s="29" t="str">
        <f>Detalle_OC[[#This Row],[Centro]]&amp;Detalle_OC[[#This Row],[Nom Almacen]]&amp;Detalle_OC[[#This Row],[Material]]&amp;Detalle_OC[[#This Row],[Pedido]]&amp;Detalle_OC[[#This Row],[Posicion]]</f>
        <v>Agricola del Chira PlantaMontelima813224550002233870</v>
      </c>
      <c r="B1384" t="s">
        <v>28</v>
      </c>
      <c r="C1384" t="s">
        <v>84</v>
      </c>
      <c r="D1384" s="11">
        <v>45617</v>
      </c>
      <c r="E1384" t="s">
        <v>16</v>
      </c>
      <c r="F1384" t="s">
        <v>12</v>
      </c>
      <c r="G1384">
        <v>813224</v>
      </c>
      <c r="H1384">
        <v>5500022338</v>
      </c>
      <c r="I1384">
        <v>70</v>
      </c>
      <c r="J1384" s="29">
        <v>1</v>
      </c>
      <c r="K1384" s="29" t="s">
        <v>1176</v>
      </c>
      <c r="L1384" t="str">
        <f>IFERROR(VLOOKUP(Detalle_OC[[#This Row],[Centro]]&amp;Detalle_OC[[#This Row],[Nro Almacen]],Almacen!A:D,4,FALSE),"")</f>
        <v>Montelima</v>
      </c>
    </row>
    <row r="1385" spans="1:12" x14ac:dyDescent="0.3">
      <c r="A1385" s="29" t="str">
        <f>Detalle_OC[[#This Row],[Centro]]&amp;Detalle_OC[[#This Row],[Nom Almacen]]&amp;Detalle_OC[[#This Row],[Material]]&amp;Detalle_OC[[#This Row],[Pedido]]&amp;Detalle_OC[[#This Row],[Posicion]]</f>
        <v>Agricola del Chira PlantaMontelima70084360550002468150</v>
      </c>
      <c r="B1385" t="s">
        <v>28</v>
      </c>
      <c r="C1385" t="s">
        <v>84</v>
      </c>
      <c r="D1385" s="11">
        <v>45617</v>
      </c>
      <c r="E1385" t="s">
        <v>16</v>
      </c>
      <c r="F1385" t="s">
        <v>12</v>
      </c>
      <c r="G1385">
        <v>70084360</v>
      </c>
      <c r="H1385">
        <v>5500024681</v>
      </c>
      <c r="I1385">
        <v>50</v>
      </c>
      <c r="J1385" s="29">
        <v>1</v>
      </c>
      <c r="K1385" s="29" t="s">
        <v>1176</v>
      </c>
      <c r="L1385" t="str">
        <f>IFERROR(VLOOKUP(Detalle_OC[[#This Row],[Centro]]&amp;Detalle_OC[[#This Row],[Nro Almacen]],Almacen!A:D,4,FALSE),"")</f>
        <v>Montelima</v>
      </c>
    </row>
    <row r="1386" spans="1:12" x14ac:dyDescent="0.3">
      <c r="A1386" s="29" t="str">
        <f>Detalle_OC[[#This Row],[Centro]]&amp;Detalle_OC[[#This Row],[Nom Almacen]]&amp;Detalle_OC[[#This Row],[Material]]&amp;Detalle_OC[[#This Row],[Pedido]]&amp;Detalle_OC[[#This Row],[Posicion]]</f>
        <v>Agricola del Chira PlantaSan Vicente70100392550002475130</v>
      </c>
      <c r="B1386" t="s">
        <v>28</v>
      </c>
      <c r="C1386" t="s">
        <v>54</v>
      </c>
      <c r="D1386" s="11">
        <v>45617</v>
      </c>
      <c r="E1386" t="s">
        <v>16</v>
      </c>
      <c r="F1386" t="s">
        <v>12</v>
      </c>
      <c r="G1386">
        <v>70100392</v>
      </c>
      <c r="H1386">
        <v>5500024751</v>
      </c>
      <c r="I1386">
        <v>30</v>
      </c>
      <c r="J1386" s="29">
        <v>3</v>
      </c>
      <c r="K1386" s="29" t="s">
        <v>1176</v>
      </c>
      <c r="L1386" t="str">
        <f>IFERROR(VLOOKUP(Detalle_OC[[#This Row],[Centro]]&amp;Detalle_OC[[#This Row],[Nro Almacen]],Almacen!A:D,4,FALSE),"")</f>
        <v>San Vicente</v>
      </c>
    </row>
    <row r="1387" spans="1:12" x14ac:dyDescent="0.3">
      <c r="A1387" s="29" t="str">
        <f>Detalle_OC[[#This Row],[Centro]]&amp;Detalle_OC[[#This Row],[Nom Almacen]]&amp;Detalle_OC[[#This Row],[Material]]&amp;Detalle_OC[[#This Row],[Pedido]]&amp;Detalle_OC[[#This Row],[Posicion]]</f>
        <v>Agricola del Chira PlantaLa HuacaMWAGR000058       550002481510</v>
      </c>
      <c r="B1387" t="s">
        <v>28</v>
      </c>
      <c r="C1387" t="s">
        <v>112</v>
      </c>
      <c r="D1387" s="11">
        <v>45617</v>
      </c>
      <c r="E1387" t="s">
        <v>16</v>
      </c>
      <c r="F1387" t="s">
        <v>12</v>
      </c>
      <c r="G1387" t="s">
        <v>113</v>
      </c>
      <c r="H1387">
        <v>5500024815</v>
      </c>
      <c r="I1387">
        <v>10</v>
      </c>
      <c r="J1387" s="29">
        <v>2</v>
      </c>
      <c r="K1387" s="29" t="s">
        <v>1176</v>
      </c>
      <c r="L1387" t="str">
        <f>IFERROR(VLOOKUP(Detalle_OC[[#This Row],[Centro]]&amp;Detalle_OC[[#This Row],[Nro Almacen]],Almacen!A:D,4,FALSE),"")</f>
        <v>La Huaca</v>
      </c>
    </row>
    <row r="1388" spans="1:12" x14ac:dyDescent="0.3">
      <c r="A1388" s="29" t="str">
        <f>Detalle_OC[[#This Row],[Centro]]&amp;Detalle_OC[[#This Row],[Nom Almacen]]&amp;Detalle_OC[[#This Row],[Material]]&amp;Detalle_OC[[#This Row],[Pedido]]&amp;Detalle_OC[[#This Row],[Posicion]]</f>
        <v>Agricola del Chira PlantaMontelima70004459550002489630</v>
      </c>
      <c r="B1388" t="s">
        <v>28</v>
      </c>
      <c r="C1388" t="s">
        <v>27</v>
      </c>
      <c r="D1388" s="11">
        <v>45617</v>
      </c>
      <c r="E1388" t="s">
        <v>16</v>
      </c>
      <c r="F1388" t="s">
        <v>12</v>
      </c>
      <c r="G1388">
        <v>70004459</v>
      </c>
      <c r="H1388">
        <v>5500024896</v>
      </c>
      <c r="I1388">
        <v>30</v>
      </c>
      <c r="J1388" s="29">
        <v>1</v>
      </c>
      <c r="K1388" s="29" t="s">
        <v>1176</v>
      </c>
      <c r="L1388" t="str">
        <f>IFERROR(VLOOKUP(Detalle_OC[[#This Row],[Centro]]&amp;Detalle_OC[[#This Row],[Nro Almacen]],Almacen!A:D,4,FALSE),"")</f>
        <v>Montelima</v>
      </c>
    </row>
    <row r="1389" spans="1:12" x14ac:dyDescent="0.3">
      <c r="A1389" s="29" t="str">
        <f>Detalle_OC[[#This Row],[Centro]]&amp;Detalle_OC[[#This Row],[Nom Almacen]]&amp;Detalle_OC[[#This Row],[Material]]&amp;Detalle_OC[[#This Row],[Pedido]]&amp;Detalle_OC[[#This Row],[Posicion]]</f>
        <v>Agricola del Chira PlantaMontelima892843550002489640</v>
      </c>
      <c r="B1389" t="s">
        <v>28</v>
      </c>
      <c r="C1389" t="s">
        <v>27</v>
      </c>
      <c r="D1389" s="11">
        <v>45617</v>
      </c>
      <c r="E1389" t="s">
        <v>16</v>
      </c>
      <c r="F1389" t="s">
        <v>12</v>
      </c>
      <c r="G1389">
        <v>892843</v>
      </c>
      <c r="H1389">
        <v>5500024896</v>
      </c>
      <c r="I1389">
        <v>40</v>
      </c>
      <c r="J1389" s="29">
        <v>1</v>
      </c>
      <c r="K1389" s="29" t="s">
        <v>1176</v>
      </c>
      <c r="L1389" t="str">
        <f>IFERROR(VLOOKUP(Detalle_OC[[#This Row],[Centro]]&amp;Detalle_OC[[#This Row],[Nro Almacen]],Almacen!A:D,4,FALSE),"")</f>
        <v>Montelima</v>
      </c>
    </row>
    <row r="1390" spans="1:12" x14ac:dyDescent="0.3">
      <c r="A1390" s="29" t="str">
        <f>Detalle_OC[[#This Row],[Centro]]&amp;Detalle_OC[[#This Row],[Nom Almacen]]&amp;Detalle_OC[[#This Row],[Material]]&amp;Detalle_OC[[#This Row],[Pedido]]&amp;Detalle_OC[[#This Row],[Posicion]]</f>
        <v>Agricola del Chira PlantaMontelimaCET55406232       550002489650</v>
      </c>
      <c r="B1390" t="s">
        <v>28</v>
      </c>
      <c r="C1390" t="s">
        <v>27</v>
      </c>
      <c r="D1390" s="11">
        <v>45617</v>
      </c>
      <c r="E1390" t="s">
        <v>16</v>
      </c>
      <c r="F1390" t="s">
        <v>12</v>
      </c>
      <c r="G1390" t="s">
        <v>55</v>
      </c>
      <c r="H1390">
        <v>5500024896</v>
      </c>
      <c r="I1390">
        <v>50</v>
      </c>
      <c r="J1390" s="29">
        <v>1</v>
      </c>
      <c r="K1390" s="29" t="s">
        <v>1176</v>
      </c>
      <c r="L1390" t="str">
        <f>IFERROR(VLOOKUP(Detalle_OC[[#This Row],[Centro]]&amp;Detalle_OC[[#This Row],[Nro Almacen]],Almacen!A:D,4,FALSE),"")</f>
        <v>Montelima</v>
      </c>
    </row>
    <row r="1391" spans="1:12" x14ac:dyDescent="0.3">
      <c r="A1391" s="29" t="str">
        <f>Detalle_OC[[#This Row],[Centro]]&amp;Detalle_OC[[#This Row],[Nom Almacen]]&amp;Detalle_OC[[#This Row],[Material]]&amp;Detalle_OC[[#This Row],[Pedido]]&amp;Detalle_OC[[#This Row],[Posicion]]</f>
        <v>Agricola del Chira PlantaMontelima885066550002489660</v>
      </c>
      <c r="B1391" t="s">
        <v>28</v>
      </c>
      <c r="C1391" t="s">
        <v>27</v>
      </c>
      <c r="D1391" s="11">
        <v>45617</v>
      </c>
      <c r="E1391" t="s">
        <v>16</v>
      </c>
      <c r="F1391" t="s">
        <v>12</v>
      </c>
      <c r="G1391">
        <v>885066</v>
      </c>
      <c r="H1391">
        <v>5500024896</v>
      </c>
      <c r="I1391">
        <v>60</v>
      </c>
      <c r="J1391" s="29">
        <v>1</v>
      </c>
      <c r="K1391" s="29" t="s">
        <v>1176</v>
      </c>
      <c r="L1391" t="str">
        <f>IFERROR(VLOOKUP(Detalle_OC[[#This Row],[Centro]]&amp;Detalle_OC[[#This Row],[Nro Almacen]],Almacen!A:D,4,FALSE),"")</f>
        <v>Montelima</v>
      </c>
    </row>
    <row r="1392" spans="1:12" x14ac:dyDescent="0.3">
      <c r="A1392" s="29" t="str">
        <f>Detalle_OC[[#This Row],[Centro]]&amp;Detalle_OC[[#This Row],[Nom Almacen]]&amp;Detalle_OC[[#This Row],[Material]]&amp;Detalle_OC[[#This Row],[Pedido]]&amp;Detalle_OC[[#This Row],[Posicion]]</f>
        <v>Agricola del Chira PlantaMontelima722587550002489690</v>
      </c>
      <c r="B1392" t="s">
        <v>28</v>
      </c>
      <c r="C1392" t="s">
        <v>27</v>
      </c>
      <c r="D1392" s="11">
        <v>45617</v>
      </c>
      <c r="E1392" t="s">
        <v>16</v>
      </c>
      <c r="F1392" t="s">
        <v>12</v>
      </c>
      <c r="G1392">
        <v>722587</v>
      </c>
      <c r="H1392">
        <v>5500024896</v>
      </c>
      <c r="I1392">
        <v>90</v>
      </c>
      <c r="J1392" s="29">
        <v>1</v>
      </c>
      <c r="K1392" s="29" t="s">
        <v>1176</v>
      </c>
      <c r="L1392" t="str">
        <f>IFERROR(VLOOKUP(Detalle_OC[[#This Row],[Centro]]&amp;Detalle_OC[[#This Row],[Nro Almacen]],Almacen!A:D,4,FALSE),"")</f>
        <v>Montelima</v>
      </c>
    </row>
    <row r="1393" spans="1:12" x14ac:dyDescent="0.3">
      <c r="A1393" s="29" t="str">
        <f>Detalle_OC[[#This Row],[Centro]]&amp;Detalle_OC[[#This Row],[Nom Almacen]]&amp;Detalle_OC[[#This Row],[Material]]&amp;Detalle_OC[[#This Row],[Pedido]]&amp;Detalle_OC[[#This Row],[Posicion]]</f>
        <v>Agricola del Chira PlantaAlmacen LoboCET55406232       5500024896140</v>
      </c>
      <c r="B1393" t="s">
        <v>28</v>
      </c>
      <c r="C1393" t="s">
        <v>27</v>
      </c>
      <c r="D1393" s="11">
        <v>45617</v>
      </c>
      <c r="E1393" t="s">
        <v>16</v>
      </c>
      <c r="F1393" t="s">
        <v>12</v>
      </c>
      <c r="G1393" t="s">
        <v>55</v>
      </c>
      <c r="H1393">
        <v>5500024896</v>
      </c>
      <c r="I1393">
        <v>140</v>
      </c>
      <c r="J1393" s="29">
        <v>7</v>
      </c>
      <c r="K1393" s="29" t="s">
        <v>1176</v>
      </c>
      <c r="L1393" t="str">
        <f>IFERROR(VLOOKUP(Detalle_OC[[#This Row],[Centro]]&amp;Detalle_OC[[#This Row],[Nro Almacen]],Almacen!A:D,4,FALSE),"")</f>
        <v>Almacen Lobo</v>
      </c>
    </row>
    <row r="1394" spans="1:12" x14ac:dyDescent="0.3">
      <c r="A1394" s="29" t="str">
        <f>Detalle_OC[[#This Row],[Centro]]&amp;Detalle_OC[[#This Row],[Nom Almacen]]&amp;Detalle_OC[[#This Row],[Material]]&amp;Detalle_OC[[#This Row],[Pedido]]&amp;Detalle_OC[[#This Row],[Posicion]]</f>
        <v>Agricola del Chira PlantaMontelima8393955500024901130</v>
      </c>
      <c r="B1394" t="s">
        <v>28</v>
      </c>
      <c r="C1394" t="s">
        <v>84</v>
      </c>
      <c r="D1394" s="11">
        <v>45617</v>
      </c>
      <c r="E1394" t="s">
        <v>16</v>
      </c>
      <c r="F1394" t="s">
        <v>12</v>
      </c>
      <c r="G1394">
        <v>839395</v>
      </c>
      <c r="H1394">
        <v>5500024901</v>
      </c>
      <c r="I1394">
        <v>130</v>
      </c>
      <c r="J1394" s="29">
        <v>1</v>
      </c>
      <c r="K1394" s="29" t="s">
        <v>1176</v>
      </c>
      <c r="L1394" t="str">
        <f>IFERROR(VLOOKUP(Detalle_OC[[#This Row],[Centro]]&amp;Detalle_OC[[#This Row],[Nro Almacen]],Almacen!A:D,4,FALSE),"")</f>
        <v>Montelima</v>
      </c>
    </row>
    <row r="1395" spans="1:12" x14ac:dyDescent="0.3">
      <c r="A1395" s="29" t="str">
        <f>Detalle_OC[[#This Row],[Centro]]&amp;Detalle_OC[[#This Row],[Nom Almacen]]&amp;Detalle_OC[[#This Row],[Material]]&amp;Detalle_OC[[#This Row],[Pedido]]&amp;Detalle_OC[[#This Row],[Posicion]]</f>
        <v>Agricola del Chira PlantaMontelima8031565500024901150</v>
      </c>
      <c r="B1395" t="s">
        <v>28</v>
      </c>
      <c r="C1395" t="s">
        <v>84</v>
      </c>
      <c r="D1395" s="11">
        <v>45617</v>
      </c>
      <c r="E1395" t="s">
        <v>16</v>
      </c>
      <c r="F1395" t="s">
        <v>12</v>
      </c>
      <c r="G1395">
        <v>803156</v>
      </c>
      <c r="H1395">
        <v>5500024901</v>
      </c>
      <c r="I1395">
        <v>150</v>
      </c>
      <c r="J1395" s="29">
        <v>1</v>
      </c>
      <c r="K1395" s="29" t="s">
        <v>1176</v>
      </c>
      <c r="L1395" t="str">
        <f>IFERROR(VLOOKUP(Detalle_OC[[#This Row],[Centro]]&amp;Detalle_OC[[#This Row],[Nro Almacen]],Almacen!A:D,4,FALSE),"")</f>
        <v>Montelima</v>
      </c>
    </row>
    <row r="1396" spans="1:12" x14ac:dyDescent="0.3">
      <c r="A1396" s="29" t="str">
        <f>Detalle_OC[[#This Row],[Centro]]&amp;Detalle_OC[[#This Row],[Nom Almacen]]&amp;Detalle_OC[[#This Row],[Material]]&amp;Detalle_OC[[#This Row],[Pedido]]&amp;Detalle_OC[[#This Row],[Posicion]]</f>
        <v>Agricola del Chira PlantaMontelima8406415500024901170</v>
      </c>
      <c r="B1396" t="s">
        <v>28</v>
      </c>
      <c r="C1396" t="s">
        <v>84</v>
      </c>
      <c r="D1396" s="11">
        <v>45617</v>
      </c>
      <c r="E1396" t="s">
        <v>16</v>
      </c>
      <c r="F1396" t="s">
        <v>12</v>
      </c>
      <c r="G1396">
        <v>840641</v>
      </c>
      <c r="H1396">
        <v>5500024901</v>
      </c>
      <c r="I1396">
        <v>170</v>
      </c>
      <c r="J1396" s="29">
        <v>1</v>
      </c>
      <c r="K1396" s="29" t="s">
        <v>1176</v>
      </c>
      <c r="L1396" t="str">
        <f>IFERROR(VLOOKUP(Detalle_OC[[#This Row],[Centro]]&amp;Detalle_OC[[#This Row],[Nro Almacen]],Almacen!A:D,4,FALSE),"")</f>
        <v>Montelima</v>
      </c>
    </row>
    <row r="1397" spans="1:12" x14ac:dyDescent="0.3">
      <c r="A1397" s="29" t="str">
        <f>Detalle_OC[[#This Row],[Centro]]&amp;Detalle_OC[[#This Row],[Nom Almacen]]&amp;Detalle_OC[[#This Row],[Material]]&amp;Detalle_OC[[#This Row],[Pedido]]&amp;Detalle_OC[[#This Row],[Posicion]]</f>
        <v>Agricola del Chira PlantaMontelima8131045500024901250</v>
      </c>
      <c r="B1397" t="s">
        <v>28</v>
      </c>
      <c r="C1397" t="s">
        <v>84</v>
      </c>
      <c r="D1397" s="11">
        <v>45617</v>
      </c>
      <c r="E1397" t="s">
        <v>16</v>
      </c>
      <c r="F1397" t="s">
        <v>12</v>
      </c>
      <c r="G1397">
        <v>813104</v>
      </c>
      <c r="H1397">
        <v>5500024901</v>
      </c>
      <c r="I1397">
        <v>250</v>
      </c>
      <c r="J1397" s="29">
        <v>1</v>
      </c>
      <c r="K1397" s="29" t="s">
        <v>1176</v>
      </c>
      <c r="L1397" t="str">
        <f>IFERROR(VLOOKUP(Detalle_OC[[#This Row],[Centro]]&amp;Detalle_OC[[#This Row],[Nro Almacen]],Almacen!A:D,4,FALSE),"")</f>
        <v>Montelima</v>
      </c>
    </row>
    <row r="1398" spans="1:12" x14ac:dyDescent="0.3">
      <c r="A1398" s="29" t="str">
        <f>Detalle_OC[[#This Row],[Centro]]&amp;Detalle_OC[[#This Row],[Nom Almacen]]&amp;Detalle_OC[[#This Row],[Material]]&amp;Detalle_OC[[#This Row],[Pedido]]&amp;Detalle_OC[[#This Row],[Posicion]]</f>
        <v>Agricola del Chira PlantaMontelima701084515500024901270</v>
      </c>
      <c r="B1398" t="s">
        <v>28</v>
      </c>
      <c r="C1398" t="s">
        <v>84</v>
      </c>
      <c r="D1398" s="11">
        <v>45617</v>
      </c>
      <c r="E1398" t="s">
        <v>16</v>
      </c>
      <c r="F1398" t="s">
        <v>12</v>
      </c>
      <c r="G1398">
        <v>70108451</v>
      </c>
      <c r="H1398">
        <v>5500024901</v>
      </c>
      <c r="I1398">
        <v>270</v>
      </c>
      <c r="J1398" s="29">
        <v>1</v>
      </c>
      <c r="K1398" s="29" t="s">
        <v>1176</v>
      </c>
      <c r="L1398" t="str">
        <f>IFERROR(VLOOKUP(Detalle_OC[[#This Row],[Centro]]&amp;Detalle_OC[[#This Row],[Nro Almacen]],Almacen!A:D,4,FALSE),"")</f>
        <v>Montelima</v>
      </c>
    </row>
    <row r="1399" spans="1:12" x14ac:dyDescent="0.3">
      <c r="A1399" s="29" t="str">
        <f>Detalle_OC[[#This Row],[Centro]]&amp;Detalle_OC[[#This Row],[Nom Almacen]]&amp;Detalle_OC[[#This Row],[Material]]&amp;Detalle_OC[[#This Row],[Pedido]]&amp;Detalle_OC[[#This Row],[Posicion]]</f>
        <v>Agricola del Chira PlantaMontelima7301495500024901290</v>
      </c>
      <c r="B1399" t="s">
        <v>28</v>
      </c>
      <c r="C1399" t="s">
        <v>84</v>
      </c>
      <c r="D1399" s="11">
        <v>45617</v>
      </c>
      <c r="E1399" t="s">
        <v>16</v>
      </c>
      <c r="F1399" t="s">
        <v>12</v>
      </c>
      <c r="G1399">
        <v>730149</v>
      </c>
      <c r="H1399">
        <v>5500024901</v>
      </c>
      <c r="I1399">
        <v>290</v>
      </c>
      <c r="J1399" s="29">
        <v>1</v>
      </c>
      <c r="K1399" s="29" t="s">
        <v>1176</v>
      </c>
      <c r="L1399" t="str">
        <f>IFERROR(VLOOKUP(Detalle_OC[[#This Row],[Centro]]&amp;Detalle_OC[[#This Row],[Nro Almacen]],Almacen!A:D,4,FALSE),"")</f>
        <v>Montelima</v>
      </c>
    </row>
    <row r="1400" spans="1:12" x14ac:dyDescent="0.3">
      <c r="A1400" s="29" t="str">
        <f>Detalle_OC[[#This Row],[Centro]]&amp;Detalle_OC[[#This Row],[Nom Almacen]]&amp;Detalle_OC[[#This Row],[Material]]&amp;Detalle_OC[[#This Row],[Pedido]]&amp;Detalle_OC[[#This Row],[Posicion]]</f>
        <v>Agricola del Chira PlantaMontelimaCC11214760        5500024901310</v>
      </c>
      <c r="B1400" t="s">
        <v>28</v>
      </c>
      <c r="C1400" t="s">
        <v>84</v>
      </c>
      <c r="D1400" s="11">
        <v>45617</v>
      </c>
      <c r="E1400" t="s">
        <v>16</v>
      </c>
      <c r="F1400" t="s">
        <v>12</v>
      </c>
      <c r="G1400" t="s">
        <v>1062</v>
      </c>
      <c r="H1400">
        <v>5500024901</v>
      </c>
      <c r="I1400">
        <v>310</v>
      </c>
      <c r="J1400" s="29">
        <v>1</v>
      </c>
      <c r="K1400" s="29" t="s">
        <v>1176</v>
      </c>
      <c r="L1400" t="str">
        <f>IFERROR(VLOOKUP(Detalle_OC[[#This Row],[Centro]]&amp;Detalle_OC[[#This Row],[Nro Almacen]],Almacen!A:D,4,FALSE),"")</f>
        <v>Montelima</v>
      </c>
    </row>
    <row r="1401" spans="1:12" x14ac:dyDescent="0.3">
      <c r="A1401" s="29" t="str">
        <f>Detalle_OC[[#This Row],[Centro]]&amp;Detalle_OC[[#This Row],[Nom Almacen]]&amp;Detalle_OC[[#This Row],[Material]]&amp;Detalle_OC[[#This Row],[Pedido]]&amp;Detalle_OC[[#This Row],[Posicion]]</f>
        <v>Agricola del Chira PlantaSan Vicente751779451157046310</v>
      </c>
      <c r="B1401" t="s">
        <v>15</v>
      </c>
      <c r="C1401" t="s">
        <v>36</v>
      </c>
      <c r="D1401" s="11">
        <v>45635</v>
      </c>
      <c r="E1401" t="s">
        <v>16</v>
      </c>
      <c r="F1401" t="s">
        <v>12</v>
      </c>
      <c r="G1401">
        <v>751779</v>
      </c>
      <c r="H1401">
        <v>4511570463</v>
      </c>
      <c r="I1401">
        <v>10</v>
      </c>
      <c r="J1401" s="29">
        <v>3</v>
      </c>
      <c r="K1401" s="29" t="s">
        <v>1179</v>
      </c>
      <c r="L1401" t="str">
        <f>IFERROR(VLOOKUP(Detalle_OC[[#This Row],[Centro]]&amp;Detalle_OC[[#This Row],[Nro Almacen]],Almacen!A:D,4,FALSE),"")</f>
        <v>San Vicente</v>
      </c>
    </row>
    <row r="1402" spans="1:12" x14ac:dyDescent="0.3">
      <c r="A1402" s="29" t="str">
        <f>Detalle_OC[[#This Row],[Centro]]&amp;Detalle_OC[[#This Row],[Nom Almacen]]&amp;Detalle_OC[[#This Row],[Material]]&amp;Detalle_OC[[#This Row],[Pedido]]&amp;Detalle_OC[[#This Row],[Posicion]]</f>
        <v>Agricola del Chira PlantaMontelima767346451157046320</v>
      </c>
      <c r="B1402" t="s">
        <v>15</v>
      </c>
      <c r="C1402" t="s">
        <v>36</v>
      </c>
      <c r="D1402" s="11">
        <v>45635</v>
      </c>
      <c r="E1402" t="s">
        <v>16</v>
      </c>
      <c r="F1402" t="s">
        <v>12</v>
      </c>
      <c r="G1402">
        <v>767346</v>
      </c>
      <c r="H1402">
        <v>4511570463</v>
      </c>
      <c r="I1402">
        <v>20</v>
      </c>
      <c r="J1402" s="29">
        <v>1</v>
      </c>
      <c r="K1402" s="29" t="s">
        <v>1179</v>
      </c>
      <c r="L1402" t="str">
        <f>IFERROR(VLOOKUP(Detalle_OC[[#This Row],[Centro]]&amp;Detalle_OC[[#This Row],[Nro Almacen]],Almacen!A:D,4,FALSE),"")</f>
        <v>Montelima</v>
      </c>
    </row>
    <row r="1403" spans="1:12" x14ac:dyDescent="0.3">
      <c r="A1403" s="29" t="str">
        <f>Detalle_OC[[#This Row],[Centro]]&amp;Detalle_OC[[#This Row],[Nom Almacen]]&amp;Detalle_OC[[#This Row],[Material]]&amp;Detalle_OC[[#This Row],[Pedido]]&amp;Detalle_OC[[#This Row],[Posicion]]</f>
        <v>Agricola del Chira PlantaAlmacen Lobo817725451157046330</v>
      </c>
      <c r="B1403" t="s">
        <v>15</v>
      </c>
      <c r="C1403" t="s">
        <v>36</v>
      </c>
      <c r="D1403" s="11">
        <v>45635</v>
      </c>
      <c r="E1403" t="s">
        <v>16</v>
      </c>
      <c r="F1403" t="s">
        <v>12</v>
      </c>
      <c r="G1403">
        <v>817725</v>
      </c>
      <c r="H1403">
        <v>4511570463</v>
      </c>
      <c r="I1403">
        <v>30</v>
      </c>
      <c r="J1403" s="29">
        <v>7</v>
      </c>
      <c r="K1403" s="29" t="s">
        <v>1179</v>
      </c>
      <c r="L1403" t="str">
        <f>IFERROR(VLOOKUP(Detalle_OC[[#This Row],[Centro]]&amp;Detalle_OC[[#This Row],[Nro Almacen]],Almacen!A:D,4,FALSE),"")</f>
        <v>Almacen Lobo</v>
      </c>
    </row>
    <row r="1404" spans="1:12" x14ac:dyDescent="0.3">
      <c r="A1404" s="29" t="str">
        <f>Detalle_OC[[#This Row],[Centro]]&amp;Detalle_OC[[#This Row],[Nom Almacen]]&amp;Detalle_OC[[#This Row],[Material]]&amp;Detalle_OC[[#This Row],[Pedido]]&amp;Detalle_OC[[#This Row],[Posicion]]</f>
        <v>Agricola del Chira PlantaMontelima873427451157046340</v>
      </c>
      <c r="B1404" t="s">
        <v>15</v>
      </c>
      <c r="C1404" t="s">
        <v>36</v>
      </c>
      <c r="D1404" s="11">
        <v>45635</v>
      </c>
      <c r="E1404" t="s">
        <v>16</v>
      </c>
      <c r="F1404" t="s">
        <v>12</v>
      </c>
      <c r="G1404">
        <v>873427</v>
      </c>
      <c r="H1404">
        <v>4511570463</v>
      </c>
      <c r="I1404">
        <v>40</v>
      </c>
      <c r="J1404" s="29">
        <v>1</v>
      </c>
      <c r="K1404" s="29" t="s">
        <v>1179</v>
      </c>
      <c r="L1404" t="str">
        <f>IFERROR(VLOOKUP(Detalle_OC[[#This Row],[Centro]]&amp;Detalle_OC[[#This Row],[Nro Almacen]],Almacen!A:D,4,FALSE),"")</f>
        <v>Montelima</v>
      </c>
    </row>
    <row r="1405" spans="1:12" x14ac:dyDescent="0.3">
      <c r="A1405" s="29" t="str">
        <f>Detalle_OC[[#This Row],[Centro]]&amp;Detalle_OC[[#This Row],[Nom Almacen]]&amp;Detalle_OC[[#This Row],[Material]]&amp;Detalle_OC[[#This Row],[Pedido]]&amp;Detalle_OC[[#This Row],[Posicion]]</f>
        <v>Agricola del Chira PlantaSan Vicente873427451157046350</v>
      </c>
      <c r="B1405" t="s">
        <v>15</v>
      </c>
      <c r="C1405" t="s">
        <v>36</v>
      </c>
      <c r="D1405" s="11">
        <v>45635</v>
      </c>
      <c r="E1405" t="s">
        <v>16</v>
      </c>
      <c r="F1405" t="s">
        <v>12</v>
      </c>
      <c r="G1405">
        <v>873427</v>
      </c>
      <c r="H1405">
        <v>4511570463</v>
      </c>
      <c r="I1405">
        <v>50</v>
      </c>
      <c r="J1405" s="29">
        <v>3</v>
      </c>
      <c r="K1405" s="29" t="s">
        <v>1179</v>
      </c>
      <c r="L1405" t="str">
        <f>IFERROR(VLOOKUP(Detalle_OC[[#This Row],[Centro]]&amp;Detalle_OC[[#This Row],[Nro Almacen]],Almacen!A:D,4,FALSE),"")</f>
        <v>San Vicente</v>
      </c>
    </row>
    <row r="1406" spans="1:12" x14ac:dyDescent="0.3">
      <c r="A1406" s="29" t="str">
        <f>Detalle_OC[[#This Row],[Centro]]&amp;Detalle_OC[[#This Row],[Nom Almacen]]&amp;Detalle_OC[[#This Row],[Material]]&amp;Detalle_OC[[#This Row],[Pedido]]&amp;Detalle_OC[[#This Row],[Posicion]]</f>
        <v>Agricola del Chira PlantaMontelima886970451157046360</v>
      </c>
      <c r="B1406" t="s">
        <v>15</v>
      </c>
      <c r="C1406" t="s">
        <v>36</v>
      </c>
      <c r="D1406" s="11">
        <v>45635</v>
      </c>
      <c r="E1406" t="s">
        <v>16</v>
      </c>
      <c r="F1406" t="s">
        <v>12</v>
      </c>
      <c r="G1406">
        <v>886970</v>
      </c>
      <c r="H1406">
        <v>4511570463</v>
      </c>
      <c r="I1406">
        <v>60</v>
      </c>
      <c r="J1406" s="29">
        <v>1</v>
      </c>
      <c r="K1406" s="29" t="s">
        <v>1179</v>
      </c>
      <c r="L1406" t="str">
        <f>IFERROR(VLOOKUP(Detalle_OC[[#This Row],[Centro]]&amp;Detalle_OC[[#This Row],[Nro Almacen]],Almacen!A:D,4,FALSE),"")</f>
        <v>Montelima</v>
      </c>
    </row>
    <row r="1407" spans="1:12" x14ac:dyDescent="0.3">
      <c r="A1407" s="29" t="str">
        <f>Detalle_OC[[#This Row],[Centro]]&amp;Detalle_OC[[#This Row],[Nom Almacen]]&amp;Detalle_OC[[#This Row],[Material]]&amp;Detalle_OC[[#This Row],[Pedido]]&amp;Detalle_OC[[#This Row],[Posicion]]</f>
        <v>Agricola del Chira PlantaMontelima70010960451157046380</v>
      </c>
      <c r="B1407" t="s">
        <v>15</v>
      </c>
      <c r="C1407" t="s">
        <v>36</v>
      </c>
      <c r="D1407" s="11">
        <v>45635</v>
      </c>
      <c r="E1407" t="s">
        <v>16</v>
      </c>
      <c r="F1407" t="s">
        <v>12</v>
      </c>
      <c r="G1407">
        <v>70010960</v>
      </c>
      <c r="H1407">
        <v>4511570463</v>
      </c>
      <c r="I1407">
        <v>80</v>
      </c>
      <c r="J1407" s="29">
        <v>1</v>
      </c>
      <c r="K1407" s="29" t="s">
        <v>1179</v>
      </c>
      <c r="L1407" t="str">
        <f>IFERROR(VLOOKUP(Detalle_OC[[#This Row],[Centro]]&amp;Detalle_OC[[#This Row],[Nro Almacen]],Almacen!A:D,4,FALSE),"")</f>
        <v>Montelima</v>
      </c>
    </row>
    <row r="1408" spans="1:12" x14ac:dyDescent="0.3">
      <c r="A1408" s="29" t="str">
        <f>Detalle_OC[[#This Row],[Centro]]&amp;Detalle_OC[[#This Row],[Nom Almacen]]&amp;Detalle_OC[[#This Row],[Material]]&amp;Detalle_OC[[#This Row],[Pedido]]&amp;Detalle_OC[[#This Row],[Posicion]]</f>
        <v>Sucroalcolera del Chira PlantaMontelima746580451157046420</v>
      </c>
      <c r="B1408" t="s">
        <v>15</v>
      </c>
      <c r="C1408" t="s">
        <v>36</v>
      </c>
      <c r="D1408" s="11">
        <v>45635</v>
      </c>
      <c r="E1408" t="s">
        <v>16</v>
      </c>
      <c r="F1408" t="s">
        <v>85</v>
      </c>
      <c r="G1408">
        <v>746580</v>
      </c>
      <c r="H1408">
        <v>4511570464</v>
      </c>
      <c r="I1408">
        <v>20</v>
      </c>
      <c r="J1408" s="29">
        <v>1</v>
      </c>
      <c r="K1408" s="29" t="s">
        <v>1179</v>
      </c>
      <c r="L1408" t="str">
        <f>IFERROR(VLOOKUP(Detalle_OC[[#This Row],[Centro]]&amp;Detalle_OC[[#This Row],[Nro Almacen]],Almacen!A:D,4,FALSE),"")</f>
        <v>Montelima</v>
      </c>
    </row>
    <row r="1409" spans="1:12" x14ac:dyDescent="0.3">
      <c r="A1409" s="29" t="str">
        <f>Detalle_OC[[#This Row],[Centro]]&amp;Detalle_OC[[#This Row],[Nom Almacen]]&amp;Detalle_OC[[#This Row],[Material]]&amp;Detalle_OC[[#This Row],[Pedido]]&amp;Detalle_OC[[#This Row],[Posicion]]</f>
        <v>Sucroalcolera del Chira PlantaMontelima772905451157046430</v>
      </c>
      <c r="B1409" t="s">
        <v>15</v>
      </c>
      <c r="C1409" t="s">
        <v>36</v>
      </c>
      <c r="D1409" s="11">
        <v>45635</v>
      </c>
      <c r="E1409" t="s">
        <v>16</v>
      </c>
      <c r="F1409" t="s">
        <v>85</v>
      </c>
      <c r="G1409">
        <v>772905</v>
      </c>
      <c r="H1409">
        <v>4511570464</v>
      </c>
      <c r="I1409">
        <v>30</v>
      </c>
      <c r="J1409" s="29">
        <v>1</v>
      </c>
      <c r="K1409" s="29" t="s">
        <v>1179</v>
      </c>
      <c r="L1409" t="str">
        <f>IFERROR(VLOOKUP(Detalle_OC[[#This Row],[Centro]]&amp;Detalle_OC[[#This Row],[Nro Almacen]],Almacen!A:D,4,FALSE),"")</f>
        <v>Montelima</v>
      </c>
    </row>
    <row r="1410" spans="1:12" x14ac:dyDescent="0.3">
      <c r="A1410" s="29" t="str">
        <f>Detalle_OC[[#This Row],[Centro]]&amp;Detalle_OC[[#This Row],[Nom Almacen]]&amp;Detalle_OC[[#This Row],[Material]]&amp;Detalle_OC[[#This Row],[Pedido]]&amp;Detalle_OC[[#This Row],[Posicion]]</f>
        <v>Sucroalcolera del Chira PlantaMontelima886970451157046440</v>
      </c>
      <c r="B1410" t="s">
        <v>15</v>
      </c>
      <c r="C1410" t="s">
        <v>36</v>
      </c>
      <c r="D1410" s="11">
        <v>45635</v>
      </c>
      <c r="E1410" t="s">
        <v>16</v>
      </c>
      <c r="F1410" t="s">
        <v>85</v>
      </c>
      <c r="G1410">
        <v>886970</v>
      </c>
      <c r="H1410">
        <v>4511570464</v>
      </c>
      <c r="I1410">
        <v>40</v>
      </c>
      <c r="J1410" s="29">
        <v>1</v>
      </c>
      <c r="K1410" s="29" t="s">
        <v>1179</v>
      </c>
      <c r="L1410" t="str">
        <f>IFERROR(VLOOKUP(Detalle_OC[[#This Row],[Centro]]&amp;Detalle_OC[[#This Row],[Nro Almacen]],Almacen!A:D,4,FALSE),"")</f>
        <v>Montelima</v>
      </c>
    </row>
    <row r="1411" spans="1:12" x14ac:dyDescent="0.3">
      <c r="A1411" s="29" t="str">
        <f>Detalle_OC[[#This Row],[Centro]]&amp;Detalle_OC[[#This Row],[Nom Almacen]]&amp;Detalle_OC[[#This Row],[Material]]&amp;Detalle_OC[[#This Row],[Pedido]]&amp;Detalle_OC[[#This Row],[Posicion]]</f>
        <v>Sucroalcolera del Chira PlantaMontelima70010960451157046450</v>
      </c>
      <c r="B1411" t="s">
        <v>15</v>
      </c>
      <c r="C1411" t="s">
        <v>36</v>
      </c>
      <c r="D1411" s="11">
        <v>45635</v>
      </c>
      <c r="E1411" t="s">
        <v>16</v>
      </c>
      <c r="F1411" t="s">
        <v>85</v>
      </c>
      <c r="G1411">
        <v>70010960</v>
      </c>
      <c r="H1411">
        <v>4511570464</v>
      </c>
      <c r="I1411">
        <v>50</v>
      </c>
      <c r="J1411" s="29">
        <v>1</v>
      </c>
      <c r="K1411" s="29" t="s">
        <v>1179</v>
      </c>
      <c r="L1411" t="str">
        <f>IFERROR(VLOOKUP(Detalle_OC[[#This Row],[Centro]]&amp;Detalle_OC[[#This Row],[Nro Almacen]],Almacen!A:D,4,FALSE),"")</f>
        <v>Montelima</v>
      </c>
    </row>
    <row r="1412" spans="1:12" x14ac:dyDescent="0.3">
      <c r="A1412" s="29" t="str">
        <f>Detalle_OC[[#This Row],[Centro]]&amp;Detalle_OC[[#This Row],[Nom Almacen]]&amp;Detalle_OC[[#This Row],[Material]]&amp;Detalle_OC[[#This Row],[Pedido]]&amp;Detalle_OC[[#This Row],[Posicion]]</f>
        <v>Sucroalcolera del Chira PlantaMontelima70032803451157046470</v>
      </c>
      <c r="B1412" t="s">
        <v>15</v>
      </c>
      <c r="C1412" t="s">
        <v>36</v>
      </c>
      <c r="D1412" s="11">
        <v>45635</v>
      </c>
      <c r="E1412" t="s">
        <v>16</v>
      </c>
      <c r="F1412" t="s">
        <v>85</v>
      </c>
      <c r="G1412">
        <v>70032803</v>
      </c>
      <c r="H1412">
        <v>4511570464</v>
      </c>
      <c r="I1412">
        <v>70</v>
      </c>
      <c r="J1412" s="29">
        <v>1</v>
      </c>
      <c r="K1412" s="29" t="s">
        <v>1179</v>
      </c>
      <c r="L1412" t="str">
        <f>IFERROR(VLOOKUP(Detalle_OC[[#This Row],[Centro]]&amp;Detalle_OC[[#This Row],[Nro Almacen]],Almacen!A:D,4,FALSE),"")</f>
        <v>Montelima</v>
      </c>
    </row>
    <row r="1413" spans="1:12" x14ac:dyDescent="0.3">
      <c r="A1413" s="29" t="str">
        <f>Detalle_OC[[#This Row],[Centro]]&amp;Detalle_OC[[#This Row],[Nom Almacen]]&amp;Detalle_OC[[#This Row],[Material]]&amp;Detalle_OC[[#This Row],[Pedido]]&amp;Detalle_OC[[#This Row],[Posicion]]</f>
        <v>Sucroalcolera del Chira PlantaMontelima70047596451157046480</v>
      </c>
      <c r="B1413" t="s">
        <v>15</v>
      </c>
      <c r="C1413" t="s">
        <v>36</v>
      </c>
      <c r="D1413" s="11">
        <v>45635</v>
      </c>
      <c r="E1413" t="s">
        <v>16</v>
      </c>
      <c r="F1413" t="s">
        <v>85</v>
      </c>
      <c r="G1413">
        <v>70047596</v>
      </c>
      <c r="H1413">
        <v>4511570464</v>
      </c>
      <c r="I1413">
        <v>80</v>
      </c>
      <c r="J1413" s="29">
        <v>1</v>
      </c>
      <c r="K1413" s="29" t="s">
        <v>1179</v>
      </c>
      <c r="L1413" t="str">
        <f>IFERROR(VLOOKUP(Detalle_OC[[#This Row],[Centro]]&amp;Detalle_OC[[#This Row],[Nro Almacen]],Almacen!A:D,4,FALSE),"")</f>
        <v>Montelima</v>
      </c>
    </row>
    <row r="1414" spans="1:12" x14ac:dyDescent="0.3">
      <c r="A1414" s="29" t="str">
        <f>Detalle_OC[[#This Row],[Centro]]&amp;Detalle_OC[[#This Row],[Nom Almacen]]&amp;Detalle_OC[[#This Row],[Material]]&amp;Detalle_OC[[#This Row],[Pedido]]&amp;Detalle_OC[[#This Row],[Posicion]]</f>
        <v>Agricola del Chira PlantaAlmacen Lobo70001699451157046810</v>
      </c>
      <c r="B1414" t="s">
        <v>1150</v>
      </c>
      <c r="C1414" t="s">
        <v>212</v>
      </c>
      <c r="D1414" s="11">
        <v>45646</v>
      </c>
      <c r="E1414" t="s">
        <v>16</v>
      </c>
      <c r="F1414" t="s">
        <v>12</v>
      </c>
      <c r="G1414">
        <v>70001699</v>
      </c>
      <c r="H1414">
        <v>4511570468</v>
      </c>
      <c r="I1414">
        <v>10</v>
      </c>
      <c r="J1414" s="29">
        <v>7</v>
      </c>
      <c r="K1414" s="29" t="s">
        <v>1179</v>
      </c>
      <c r="L1414" t="str">
        <f>IFERROR(VLOOKUP(Detalle_OC[[#This Row],[Centro]]&amp;Detalle_OC[[#This Row],[Nro Almacen]],Almacen!A:D,4,FALSE),"")</f>
        <v>Almacen Lobo</v>
      </c>
    </row>
    <row r="1415" spans="1:12" x14ac:dyDescent="0.3">
      <c r="A1415" s="29" t="str">
        <f>Detalle_OC[[#This Row],[Centro]]&amp;Detalle_OC[[#This Row],[Nom Almacen]]&amp;Detalle_OC[[#This Row],[Material]]&amp;Detalle_OC[[#This Row],[Pedido]]&amp;Detalle_OC[[#This Row],[Posicion]]</f>
        <v>Agricola del Chira PlantaMontelima728974451157048410</v>
      </c>
      <c r="B1415" t="s">
        <v>15</v>
      </c>
      <c r="C1415" t="s">
        <v>36</v>
      </c>
      <c r="D1415" s="11">
        <v>45644</v>
      </c>
      <c r="E1415" t="s">
        <v>16</v>
      </c>
      <c r="F1415" t="s">
        <v>12</v>
      </c>
      <c r="G1415">
        <v>728974</v>
      </c>
      <c r="H1415">
        <v>4511570484</v>
      </c>
      <c r="I1415">
        <v>10</v>
      </c>
      <c r="J1415" s="29">
        <v>1</v>
      </c>
      <c r="K1415" s="29" t="s">
        <v>1179</v>
      </c>
      <c r="L1415" t="str">
        <f>IFERROR(VLOOKUP(Detalle_OC[[#This Row],[Centro]]&amp;Detalle_OC[[#This Row],[Nro Almacen]],Almacen!A:D,4,FALSE),"")</f>
        <v>Montelima</v>
      </c>
    </row>
    <row r="1416" spans="1:12" x14ac:dyDescent="0.3">
      <c r="A1416" s="29" t="str">
        <f>Detalle_OC[[#This Row],[Centro]]&amp;Detalle_OC[[#This Row],[Nom Almacen]]&amp;Detalle_OC[[#This Row],[Material]]&amp;Detalle_OC[[#This Row],[Pedido]]&amp;Detalle_OC[[#This Row],[Posicion]]</f>
        <v>Agricola del Chira PlantaMontelima70008763451157048430</v>
      </c>
      <c r="B1416" t="s">
        <v>15</v>
      </c>
      <c r="C1416" t="s">
        <v>36</v>
      </c>
      <c r="D1416" s="11">
        <v>45644</v>
      </c>
      <c r="E1416" t="s">
        <v>16</v>
      </c>
      <c r="F1416" t="s">
        <v>12</v>
      </c>
      <c r="G1416">
        <v>70008763</v>
      </c>
      <c r="H1416">
        <v>4511570484</v>
      </c>
      <c r="I1416">
        <v>30</v>
      </c>
      <c r="J1416" s="29">
        <v>1</v>
      </c>
      <c r="K1416" s="29" t="s">
        <v>1179</v>
      </c>
      <c r="L1416" t="str">
        <f>IFERROR(VLOOKUP(Detalle_OC[[#This Row],[Centro]]&amp;Detalle_OC[[#This Row],[Nro Almacen]],Almacen!A:D,4,FALSE),"")</f>
        <v>Montelima</v>
      </c>
    </row>
    <row r="1417" spans="1:12" x14ac:dyDescent="0.3">
      <c r="A1417" s="29" t="str">
        <f>Detalle_OC[[#This Row],[Centro]]&amp;Detalle_OC[[#This Row],[Nom Almacen]]&amp;Detalle_OC[[#This Row],[Material]]&amp;Detalle_OC[[#This Row],[Pedido]]&amp;Detalle_OC[[#This Row],[Posicion]]</f>
        <v>Sucroalcolera del Chira PlantaMontelima767346451157048510</v>
      </c>
      <c r="B1417" t="s">
        <v>15</v>
      </c>
      <c r="C1417" t="s">
        <v>36</v>
      </c>
      <c r="D1417" s="11">
        <v>45644</v>
      </c>
      <c r="E1417" t="s">
        <v>16</v>
      </c>
      <c r="F1417" t="s">
        <v>85</v>
      </c>
      <c r="G1417">
        <v>767346</v>
      </c>
      <c r="H1417">
        <v>4511570485</v>
      </c>
      <c r="I1417">
        <v>10</v>
      </c>
      <c r="J1417" s="29">
        <v>1</v>
      </c>
      <c r="K1417" s="29" t="s">
        <v>1179</v>
      </c>
      <c r="L1417" t="str">
        <f>IFERROR(VLOOKUP(Detalle_OC[[#This Row],[Centro]]&amp;Detalle_OC[[#This Row],[Nro Almacen]],Almacen!A:D,4,FALSE),"")</f>
        <v>Montelima</v>
      </c>
    </row>
    <row r="1418" spans="1:12" x14ac:dyDescent="0.3">
      <c r="A1418" s="29" t="str">
        <f>Detalle_OC[[#This Row],[Centro]]&amp;Detalle_OC[[#This Row],[Nom Almacen]]&amp;Detalle_OC[[#This Row],[Material]]&amp;Detalle_OC[[#This Row],[Pedido]]&amp;Detalle_OC[[#This Row],[Posicion]]</f>
        <v>Agricola del Chira PlantaMontelima822253451157048610</v>
      </c>
      <c r="B1418" t="s">
        <v>149</v>
      </c>
      <c r="C1418" t="s">
        <v>44</v>
      </c>
      <c r="D1418" s="11">
        <v>45625</v>
      </c>
      <c r="E1418" t="s">
        <v>16</v>
      </c>
      <c r="F1418" t="s">
        <v>12</v>
      </c>
      <c r="G1418">
        <v>822253</v>
      </c>
      <c r="H1418">
        <v>4511570486</v>
      </c>
      <c r="I1418">
        <v>10</v>
      </c>
      <c r="J1418" s="29">
        <v>1</v>
      </c>
      <c r="K1418" s="29" t="s">
        <v>1179</v>
      </c>
      <c r="L1418" t="str">
        <f>IFERROR(VLOOKUP(Detalle_OC[[#This Row],[Centro]]&amp;Detalle_OC[[#This Row],[Nro Almacen]],Almacen!A:D,4,FALSE),"")</f>
        <v>Montelima</v>
      </c>
    </row>
    <row r="1419" spans="1:12" x14ac:dyDescent="0.3">
      <c r="A1419" s="29" t="str">
        <f>Detalle_OC[[#This Row],[Centro]]&amp;Detalle_OC[[#This Row],[Nom Almacen]]&amp;Detalle_OC[[#This Row],[Material]]&amp;Detalle_OC[[#This Row],[Pedido]]&amp;Detalle_OC[[#This Row],[Posicion]]</f>
        <v>Agricola del Chira PlantaMontelima70012903451157048620</v>
      </c>
      <c r="B1419" t="s">
        <v>145</v>
      </c>
      <c r="C1419" t="s">
        <v>44</v>
      </c>
      <c r="D1419" s="11">
        <v>45625</v>
      </c>
      <c r="E1419" t="s">
        <v>16</v>
      </c>
      <c r="F1419" t="s">
        <v>12</v>
      </c>
      <c r="G1419">
        <v>70012903</v>
      </c>
      <c r="H1419">
        <v>4511570486</v>
      </c>
      <c r="I1419">
        <v>20</v>
      </c>
      <c r="J1419" s="29">
        <v>1</v>
      </c>
      <c r="K1419" s="29" t="s">
        <v>1179</v>
      </c>
      <c r="L1419" t="str">
        <f>IFERROR(VLOOKUP(Detalle_OC[[#This Row],[Centro]]&amp;Detalle_OC[[#This Row],[Nro Almacen]],Almacen!A:D,4,FALSE),"")</f>
        <v>Montelima</v>
      </c>
    </row>
    <row r="1420" spans="1:12" x14ac:dyDescent="0.3">
      <c r="A1420" s="29" t="str">
        <f>Detalle_OC[[#This Row],[Centro]]&amp;Detalle_OC[[#This Row],[Nom Almacen]]&amp;Detalle_OC[[#This Row],[Material]]&amp;Detalle_OC[[#This Row],[Pedido]]&amp;Detalle_OC[[#This Row],[Posicion]]</f>
        <v>Agricola del Chira PlantaMontelima70006833451157050310</v>
      </c>
      <c r="B1420" t="s">
        <v>149</v>
      </c>
      <c r="C1420" t="s">
        <v>166</v>
      </c>
      <c r="D1420" s="11">
        <v>45635</v>
      </c>
      <c r="E1420" t="s">
        <v>16</v>
      </c>
      <c r="F1420" t="s">
        <v>12</v>
      </c>
      <c r="G1420">
        <v>70006833</v>
      </c>
      <c r="H1420">
        <v>4511570503</v>
      </c>
      <c r="I1420">
        <v>10</v>
      </c>
      <c r="J1420" s="29">
        <v>1</v>
      </c>
      <c r="K1420" s="29" t="s">
        <v>1179</v>
      </c>
      <c r="L1420" t="str">
        <f>IFERROR(VLOOKUP(Detalle_OC[[#This Row],[Centro]]&amp;Detalle_OC[[#This Row],[Nro Almacen]],Almacen!A:D,4,FALSE),"")</f>
        <v>Montelima</v>
      </c>
    </row>
    <row r="1421" spans="1:12" x14ac:dyDescent="0.3">
      <c r="A1421" s="29" t="str">
        <f>Detalle_OC[[#This Row],[Centro]]&amp;Detalle_OC[[#This Row],[Nom Almacen]]&amp;Detalle_OC[[#This Row],[Material]]&amp;Detalle_OC[[#This Row],[Pedido]]&amp;Detalle_OC[[#This Row],[Posicion]]</f>
        <v>Agricola del Chira PlantaMontelima724413451157059510</v>
      </c>
      <c r="B1421" t="s">
        <v>33</v>
      </c>
      <c r="C1421" t="s">
        <v>49</v>
      </c>
      <c r="D1421" s="11">
        <v>45635</v>
      </c>
      <c r="E1421" t="s">
        <v>16</v>
      </c>
      <c r="F1421" t="s">
        <v>12</v>
      </c>
      <c r="G1421">
        <v>724413</v>
      </c>
      <c r="H1421">
        <v>4511570595</v>
      </c>
      <c r="I1421">
        <v>10</v>
      </c>
      <c r="J1421" s="29">
        <v>1</v>
      </c>
      <c r="K1421" s="29" t="s">
        <v>1179</v>
      </c>
      <c r="L1421" t="str">
        <f>IFERROR(VLOOKUP(Detalle_OC[[#This Row],[Centro]]&amp;Detalle_OC[[#This Row],[Nro Almacen]],Almacen!A:D,4,FALSE),"")</f>
        <v>Montelima</v>
      </c>
    </row>
    <row r="1422" spans="1:12" x14ac:dyDescent="0.3">
      <c r="A1422" s="29" t="str">
        <f>Detalle_OC[[#This Row],[Centro]]&amp;Detalle_OC[[#This Row],[Nom Almacen]]&amp;Detalle_OC[[#This Row],[Material]]&amp;Detalle_OC[[#This Row],[Pedido]]&amp;Detalle_OC[[#This Row],[Posicion]]</f>
        <v>Agricola del Chira PlantaSan Vicente724413451157059520</v>
      </c>
      <c r="B1422" t="s">
        <v>33</v>
      </c>
      <c r="C1422" t="s">
        <v>49</v>
      </c>
      <c r="D1422" s="11">
        <v>45635</v>
      </c>
      <c r="E1422" t="s">
        <v>16</v>
      </c>
      <c r="F1422" t="s">
        <v>12</v>
      </c>
      <c r="G1422">
        <v>724413</v>
      </c>
      <c r="H1422">
        <v>4511570595</v>
      </c>
      <c r="I1422">
        <v>20</v>
      </c>
      <c r="J1422" s="29">
        <v>3</v>
      </c>
      <c r="K1422" s="29" t="s">
        <v>1179</v>
      </c>
      <c r="L1422" t="str">
        <f>IFERROR(VLOOKUP(Detalle_OC[[#This Row],[Centro]]&amp;Detalle_OC[[#This Row],[Nro Almacen]],Almacen!A:D,4,FALSE),"")</f>
        <v>San Vicente</v>
      </c>
    </row>
    <row r="1423" spans="1:12" x14ac:dyDescent="0.3">
      <c r="A1423" s="29" t="str">
        <f>Detalle_OC[[#This Row],[Centro]]&amp;Detalle_OC[[#This Row],[Nom Almacen]]&amp;Detalle_OC[[#This Row],[Material]]&amp;Detalle_OC[[#This Row],[Pedido]]&amp;Detalle_OC[[#This Row],[Posicion]]</f>
        <v>Agricola del Chira PlantaAlmacen Lobo724413451157059530</v>
      </c>
      <c r="B1423" t="s">
        <v>33</v>
      </c>
      <c r="C1423" t="s">
        <v>49</v>
      </c>
      <c r="D1423" s="11">
        <v>45635</v>
      </c>
      <c r="E1423" t="s">
        <v>16</v>
      </c>
      <c r="F1423" t="s">
        <v>12</v>
      </c>
      <c r="G1423">
        <v>724413</v>
      </c>
      <c r="H1423">
        <v>4511570595</v>
      </c>
      <c r="I1423">
        <v>30</v>
      </c>
      <c r="J1423" s="29">
        <v>7</v>
      </c>
      <c r="K1423" s="29" t="s">
        <v>1179</v>
      </c>
      <c r="L1423" t="str">
        <f>IFERROR(VLOOKUP(Detalle_OC[[#This Row],[Centro]]&amp;Detalle_OC[[#This Row],[Nro Almacen]],Almacen!A:D,4,FALSE),"")</f>
        <v>Almacen Lobo</v>
      </c>
    </row>
    <row r="1424" spans="1:12" x14ac:dyDescent="0.3">
      <c r="A1424" s="29" t="str">
        <f>Detalle_OC[[#This Row],[Centro]]&amp;Detalle_OC[[#This Row],[Nom Almacen]]&amp;Detalle_OC[[#This Row],[Material]]&amp;Detalle_OC[[#This Row],[Pedido]]&amp;Detalle_OC[[#This Row],[Posicion]]</f>
        <v>Bioenergía del Chira PlantaMontelima815326451157031710</v>
      </c>
      <c r="B1424" t="s">
        <v>180</v>
      </c>
      <c r="C1424" t="s">
        <v>177</v>
      </c>
      <c r="D1424" s="11">
        <v>45625</v>
      </c>
      <c r="E1424" t="s">
        <v>16</v>
      </c>
      <c r="F1424" t="s">
        <v>86</v>
      </c>
      <c r="G1424">
        <v>815326</v>
      </c>
      <c r="H1424">
        <v>4511570317</v>
      </c>
      <c r="I1424">
        <v>10</v>
      </c>
      <c r="J1424" s="29">
        <v>1</v>
      </c>
      <c r="K1424" s="29" t="s">
        <v>83</v>
      </c>
      <c r="L1424" t="str">
        <f>IFERROR(VLOOKUP(Detalle_OC[[#This Row],[Centro]]&amp;Detalle_OC[[#This Row],[Nro Almacen]],Almacen!A:D,4,FALSE),"")</f>
        <v>Montelima</v>
      </c>
    </row>
    <row r="1425" spans="1:12" x14ac:dyDescent="0.3">
      <c r="A1425" s="29" t="str">
        <f>Detalle_OC[[#This Row],[Centro]]&amp;Detalle_OC[[#This Row],[Nom Almacen]]&amp;Detalle_OC[[#This Row],[Material]]&amp;Detalle_OC[[#This Row],[Pedido]]&amp;Detalle_OC[[#This Row],[Posicion]]</f>
        <v>Sucroalcolera del Chira PlantaMontelima789403451157034910</v>
      </c>
      <c r="B1425" t="s">
        <v>138</v>
      </c>
      <c r="C1425" t="s">
        <v>177</v>
      </c>
      <c r="D1425" s="11">
        <v>45625</v>
      </c>
      <c r="E1425" t="s">
        <v>16</v>
      </c>
      <c r="F1425" t="s">
        <v>85</v>
      </c>
      <c r="G1425">
        <v>789403</v>
      </c>
      <c r="H1425">
        <v>4511570349</v>
      </c>
      <c r="I1425">
        <v>10</v>
      </c>
      <c r="J1425" s="29">
        <v>1</v>
      </c>
      <c r="K1425" s="29" t="s">
        <v>83</v>
      </c>
      <c r="L1425" t="str">
        <f>IFERROR(VLOOKUP(Detalle_OC[[#This Row],[Centro]]&amp;Detalle_OC[[#This Row],[Nro Almacen]],Almacen!A:D,4,FALSE),"")</f>
        <v>Montelima</v>
      </c>
    </row>
    <row r="1426" spans="1:12" x14ac:dyDescent="0.3">
      <c r="A1426" s="29" t="str">
        <f>Detalle_OC[[#This Row],[Centro]]&amp;Detalle_OC[[#This Row],[Nom Almacen]]&amp;Detalle_OC[[#This Row],[Material]]&amp;Detalle_OC[[#This Row],[Pedido]]&amp;Detalle_OC[[#This Row],[Posicion]]</f>
        <v>Sucroalcolera del Chira PlantaMontelima70135115451157034920</v>
      </c>
      <c r="B1426" t="s">
        <v>138</v>
      </c>
      <c r="C1426" t="s">
        <v>177</v>
      </c>
      <c r="D1426" s="11">
        <v>45625</v>
      </c>
      <c r="E1426" t="s">
        <v>16</v>
      </c>
      <c r="F1426" t="s">
        <v>85</v>
      </c>
      <c r="G1426">
        <v>70135115</v>
      </c>
      <c r="H1426">
        <v>4511570349</v>
      </c>
      <c r="I1426">
        <v>20</v>
      </c>
      <c r="J1426" s="29">
        <v>1</v>
      </c>
      <c r="K1426" s="29" t="s">
        <v>83</v>
      </c>
      <c r="L1426" t="str">
        <f>IFERROR(VLOOKUP(Detalle_OC[[#This Row],[Centro]]&amp;Detalle_OC[[#This Row],[Nro Almacen]],Almacen!A:D,4,FALSE),"")</f>
        <v>Montelima</v>
      </c>
    </row>
    <row r="1427" spans="1:12" x14ac:dyDescent="0.3">
      <c r="A1427" s="29" t="str">
        <f>Detalle_OC[[#This Row],[Centro]]&amp;Detalle_OC[[#This Row],[Nom Almacen]]&amp;Detalle_OC[[#This Row],[Material]]&amp;Detalle_OC[[#This Row],[Pedido]]&amp;Detalle_OC[[#This Row],[Posicion]]</f>
        <v>Sucroalcolera del Chira PlantaMontelimaCC11214830        451157034940</v>
      </c>
      <c r="B1427" t="s">
        <v>138</v>
      </c>
      <c r="C1427" t="s">
        <v>177</v>
      </c>
      <c r="D1427" s="11">
        <v>45625</v>
      </c>
      <c r="E1427" t="s">
        <v>16</v>
      </c>
      <c r="F1427" t="s">
        <v>85</v>
      </c>
      <c r="G1427" t="s">
        <v>1105</v>
      </c>
      <c r="H1427">
        <v>4511570349</v>
      </c>
      <c r="I1427">
        <v>40</v>
      </c>
      <c r="J1427" s="29">
        <v>1</v>
      </c>
      <c r="K1427" s="29" t="s">
        <v>83</v>
      </c>
      <c r="L1427" t="str">
        <f>IFERROR(VLOOKUP(Detalle_OC[[#This Row],[Centro]]&amp;Detalle_OC[[#This Row],[Nro Almacen]],Almacen!A:D,4,FALSE),"")</f>
        <v>Montelima</v>
      </c>
    </row>
    <row r="1428" spans="1:12" x14ac:dyDescent="0.3">
      <c r="A1428" s="29" t="str">
        <f>Detalle_OC[[#This Row],[Centro]]&amp;Detalle_OC[[#This Row],[Nom Almacen]]&amp;Detalle_OC[[#This Row],[Material]]&amp;Detalle_OC[[#This Row],[Pedido]]&amp;Detalle_OC[[#This Row],[Posicion]]</f>
        <v>Sucroalcolera del Chira PlantaMontelimaCM103000          451157034950</v>
      </c>
      <c r="B1428" t="s">
        <v>138</v>
      </c>
      <c r="C1428" t="s">
        <v>177</v>
      </c>
      <c r="D1428" s="11">
        <v>45625</v>
      </c>
      <c r="E1428" t="s">
        <v>16</v>
      </c>
      <c r="F1428" t="s">
        <v>85</v>
      </c>
      <c r="G1428" t="s">
        <v>1106</v>
      </c>
      <c r="H1428">
        <v>4511570349</v>
      </c>
      <c r="I1428">
        <v>50</v>
      </c>
      <c r="J1428" s="29">
        <v>1</v>
      </c>
      <c r="K1428" s="29" t="s">
        <v>83</v>
      </c>
      <c r="L1428" t="str">
        <f>IFERROR(VLOOKUP(Detalle_OC[[#This Row],[Centro]]&amp;Detalle_OC[[#This Row],[Nro Almacen]],Almacen!A:D,4,FALSE),"")</f>
        <v>Montelima</v>
      </c>
    </row>
    <row r="1429" spans="1:12" x14ac:dyDescent="0.3">
      <c r="A1429" s="29" t="str">
        <f>Detalle_OC[[#This Row],[Centro]]&amp;Detalle_OC[[#This Row],[Nom Almacen]]&amp;Detalle_OC[[#This Row],[Material]]&amp;Detalle_OC[[#This Row],[Pedido]]&amp;Detalle_OC[[#This Row],[Posicion]]</f>
        <v>Agricola del Chira PlantaMontelima70135105451157035610</v>
      </c>
      <c r="B1429" t="s">
        <v>306</v>
      </c>
      <c r="C1429" t="s">
        <v>1180</v>
      </c>
      <c r="D1429" s="11">
        <v>45625</v>
      </c>
      <c r="E1429" t="s">
        <v>16</v>
      </c>
      <c r="F1429" t="s">
        <v>12</v>
      </c>
      <c r="G1429">
        <v>70135105</v>
      </c>
      <c r="H1429">
        <v>4511570356</v>
      </c>
      <c r="I1429">
        <v>10</v>
      </c>
      <c r="J1429" s="29">
        <v>1</v>
      </c>
      <c r="K1429" s="29" t="s">
        <v>83</v>
      </c>
      <c r="L1429" t="str">
        <f>IFERROR(VLOOKUP(Detalle_OC[[#This Row],[Centro]]&amp;Detalle_OC[[#This Row],[Nro Almacen]],Almacen!A:D,4,FALSE),"")</f>
        <v>Montelima</v>
      </c>
    </row>
    <row r="1430" spans="1:12" x14ac:dyDescent="0.3">
      <c r="A1430" s="29" t="str">
        <f>Detalle_OC[[#This Row],[Centro]]&amp;Detalle_OC[[#This Row],[Nom Almacen]]&amp;Detalle_OC[[#This Row],[Material]]&amp;Detalle_OC[[#This Row],[Pedido]]&amp;Detalle_OC[[#This Row],[Posicion]]</f>
        <v>Agricola del Chira PlantaMontelima70135106451157035620</v>
      </c>
      <c r="B1430" t="s">
        <v>306</v>
      </c>
      <c r="C1430" t="s">
        <v>1180</v>
      </c>
      <c r="D1430" s="11">
        <v>45625</v>
      </c>
      <c r="E1430" t="s">
        <v>16</v>
      </c>
      <c r="F1430" t="s">
        <v>12</v>
      </c>
      <c r="G1430">
        <v>70135106</v>
      </c>
      <c r="H1430">
        <v>4511570356</v>
      </c>
      <c r="I1430">
        <v>20</v>
      </c>
      <c r="J1430" s="29">
        <v>1</v>
      </c>
      <c r="K1430" s="29" t="s">
        <v>83</v>
      </c>
      <c r="L1430" t="str">
        <f>IFERROR(VLOOKUP(Detalle_OC[[#This Row],[Centro]]&amp;Detalle_OC[[#This Row],[Nro Almacen]],Almacen!A:D,4,FALSE),"")</f>
        <v>Montelima</v>
      </c>
    </row>
    <row r="1431" spans="1:12" x14ac:dyDescent="0.3">
      <c r="A1431" s="29" t="str">
        <f>Detalle_OC[[#This Row],[Centro]]&amp;Detalle_OC[[#This Row],[Nom Almacen]]&amp;Detalle_OC[[#This Row],[Material]]&amp;Detalle_OC[[#This Row],[Pedido]]&amp;Detalle_OC[[#This Row],[Posicion]]</f>
        <v>Agricola del Chira PlantaMontelima70135107451157035630</v>
      </c>
      <c r="B1431" t="s">
        <v>306</v>
      </c>
      <c r="C1431" t="s">
        <v>1180</v>
      </c>
      <c r="D1431" s="11">
        <v>45625</v>
      </c>
      <c r="E1431" t="s">
        <v>16</v>
      </c>
      <c r="F1431" t="s">
        <v>12</v>
      </c>
      <c r="G1431">
        <v>70135107</v>
      </c>
      <c r="H1431">
        <v>4511570356</v>
      </c>
      <c r="I1431">
        <v>30</v>
      </c>
      <c r="J1431" s="29">
        <v>1</v>
      </c>
      <c r="K1431" s="29" t="s">
        <v>83</v>
      </c>
      <c r="L1431" t="str">
        <f>IFERROR(VLOOKUP(Detalle_OC[[#This Row],[Centro]]&amp;Detalle_OC[[#This Row],[Nro Almacen]],Almacen!A:D,4,FALSE),"")</f>
        <v>Montelima</v>
      </c>
    </row>
    <row r="1432" spans="1:12" x14ac:dyDescent="0.3">
      <c r="A1432" s="29" t="str">
        <f>Detalle_OC[[#This Row],[Centro]]&amp;Detalle_OC[[#This Row],[Nom Almacen]]&amp;Detalle_OC[[#This Row],[Material]]&amp;Detalle_OC[[#This Row],[Pedido]]&amp;Detalle_OC[[#This Row],[Posicion]]</f>
        <v>Agricola del Chira PlantaLa Huaca70135105451157035640</v>
      </c>
      <c r="B1432" t="s">
        <v>306</v>
      </c>
      <c r="C1432" t="s">
        <v>1180</v>
      </c>
      <c r="D1432" s="11">
        <v>45625</v>
      </c>
      <c r="E1432" t="s">
        <v>16</v>
      </c>
      <c r="F1432" t="s">
        <v>12</v>
      </c>
      <c r="G1432">
        <v>70135105</v>
      </c>
      <c r="H1432">
        <v>4511570356</v>
      </c>
      <c r="I1432">
        <v>40</v>
      </c>
      <c r="J1432" s="29">
        <v>2</v>
      </c>
      <c r="K1432" s="29" t="s">
        <v>83</v>
      </c>
      <c r="L1432" t="str">
        <f>IFERROR(VLOOKUP(Detalle_OC[[#This Row],[Centro]]&amp;Detalle_OC[[#This Row],[Nro Almacen]],Almacen!A:D,4,FALSE),"")</f>
        <v>La Huaca</v>
      </c>
    </row>
    <row r="1433" spans="1:12" x14ac:dyDescent="0.3">
      <c r="A1433" s="29" t="str">
        <f>Detalle_OC[[#This Row],[Centro]]&amp;Detalle_OC[[#This Row],[Nom Almacen]]&amp;Detalle_OC[[#This Row],[Material]]&amp;Detalle_OC[[#This Row],[Pedido]]&amp;Detalle_OC[[#This Row],[Posicion]]</f>
        <v>Agricola del Chira PlantaLa Huaca70135106451157035650</v>
      </c>
      <c r="B1433" t="s">
        <v>306</v>
      </c>
      <c r="C1433" t="s">
        <v>1180</v>
      </c>
      <c r="D1433" s="11">
        <v>45625</v>
      </c>
      <c r="E1433" t="s">
        <v>16</v>
      </c>
      <c r="F1433" t="s">
        <v>12</v>
      </c>
      <c r="G1433">
        <v>70135106</v>
      </c>
      <c r="H1433">
        <v>4511570356</v>
      </c>
      <c r="I1433">
        <v>50</v>
      </c>
      <c r="J1433" s="29">
        <v>2</v>
      </c>
      <c r="K1433" s="29" t="s">
        <v>83</v>
      </c>
      <c r="L1433" t="str">
        <f>IFERROR(VLOOKUP(Detalle_OC[[#This Row],[Centro]]&amp;Detalle_OC[[#This Row],[Nro Almacen]],Almacen!A:D,4,FALSE),"")</f>
        <v>La Huaca</v>
      </c>
    </row>
    <row r="1434" spans="1:12" x14ac:dyDescent="0.3">
      <c r="A1434" s="29" t="str">
        <f>Detalle_OC[[#This Row],[Centro]]&amp;Detalle_OC[[#This Row],[Nom Almacen]]&amp;Detalle_OC[[#This Row],[Material]]&amp;Detalle_OC[[#This Row],[Pedido]]&amp;Detalle_OC[[#This Row],[Posicion]]</f>
        <v>Agricola del Chira PlantaLa Huaca70135107451157035660</v>
      </c>
      <c r="B1434" t="s">
        <v>306</v>
      </c>
      <c r="C1434" t="s">
        <v>1180</v>
      </c>
      <c r="D1434" s="11">
        <v>45625</v>
      </c>
      <c r="E1434" t="s">
        <v>16</v>
      </c>
      <c r="F1434" t="s">
        <v>12</v>
      </c>
      <c r="G1434">
        <v>70135107</v>
      </c>
      <c r="H1434">
        <v>4511570356</v>
      </c>
      <c r="I1434">
        <v>60</v>
      </c>
      <c r="J1434" s="29">
        <v>2</v>
      </c>
      <c r="K1434" s="29" t="s">
        <v>83</v>
      </c>
      <c r="L1434" t="str">
        <f>IFERROR(VLOOKUP(Detalle_OC[[#This Row],[Centro]]&amp;Detalle_OC[[#This Row],[Nro Almacen]],Almacen!A:D,4,FALSE),"")</f>
        <v>La Huaca</v>
      </c>
    </row>
    <row r="1435" spans="1:12" x14ac:dyDescent="0.3">
      <c r="A1435" s="29" t="str">
        <f>Detalle_OC[[#This Row],[Centro]]&amp;Detalle_OC[[#This Row],[Nom Almacen]]&amp;Detalle_OC[[#This Row],[Material]]&amp;Detalle_OC[[#This Row],[Pedido]]&amp;Detalle_OC[[#This Row],[Posicion]]</f>
        <v>Agricola del Chira PlantaSan Vicente70135105451157035670</v>
      </c>
      <c r="B1435" t="s">
        <v>306</v>
      </c>
      <c r="C1435" t="s">
        <v>1180</v>
      </c>
      <c r="D1435" s="11">
        <v>45625</v>
      </c>
      <c r="E1435" t="s">
        <v>16</v>
      </c>
      <c r="F1435" t="s">
        <v>12</v>
      </c>
      <c r="G1435">
        <v>70135105</v>
      </c>
      <c r="H1435">
        <v>4511570356</v>
      </c>
      <c r="I1435">
        <v>70</v>
      </c>
      <c r="J1435" s="29">
        <v>3</v>
      </c>
      <c r="K1435" s="29" t="s">
        <v>83</v>
      </c>
      <c r="L1435" t="str">
        <f>IFERROR(VLOOKUP(Detalle_OC[[#This Row],[Centro]]&amp;Detalle_OC[[#This Row],[Nro Almacen]],Almacen!A:D,4,FALSE),"")</f>
        <v>San Vicente</v>
      </c>
    </row>
    <row r="1436" spans="1:12" x14ac:dyDescent="0.3">
      <c r="A1436" s="29" t="str">
        <f>Detalle_OC[[#This Row],[Centro]]&amp;Detalle_OC[[#This Row],[Nom Almacen]]&amp;Detalle_OC[[#This Row],[Material]]&amp;Detalle_OC[[#This Row],[Pedido]]&amp;Detalle_OC[[#This Row],[Posicion]]</f>
        <v>Agricola del Chira PlantaSan Vicente70135106451157035680</v>
      </c>
      <c r="B1436" t="s">
        <v>306</v>
      </c>
      <c r="C1436" t="s">
        <v>1180</v>
      </c>
      <c r="D1436" s="11">
        <v>45625</v>
      </c>
      <c r="E1436" t="s">
        <v>16</v>
      </c>
      <c r="F1436" t="s">
        <v>12</v>
      </c>
      <c r="G1436">
        <v>70135106</v>
      </c>
      <c r="H1436">
        <v>4511570356</v>
      </c>
      <c r="I1436">
        <v>80</v>
      </c>
      <c r="J1436" s="29">
        <v>3</v>
      </c>
      <c r="K1436" s="29" t="s">
        <v>83</v>
      </c>
      <c r="L1436" t="str">
        <f>IFERROR(VLOOKUP(Detalle_OC[[#This Row],[Centro]]&amp;Detalle_OC[[#This Row],[Nro Almacen]],Almacen!A:D,4,FALSE),"")</f>
        <v>San Vicente</v>
      </c>
    </row>
    <row r="1437" spans="1:12" x14ac:dyDescent="0.3">
      <c r="A1437" s="29" t="str">
        <f>Detalle_OC[[#This Row],[Centro]]&amp;Detalle_OC[[#This Row],[Nom Almacen]]&amp;Detalle_OC[[#This Row],[Material]]&amp;Detalle_OC[[#This Row],[Pedido]]&amp;Detalle_OC[[#This Row],[Posicion]]</f>
        <v>Agricola del Chira PlantaSan Vicente70135107451157035690</v>
      </c>
      <c r="B1437" t="s">
        <v>306</v>
      </c>
      <c r="C1437" t="s">
        <v>1180</v>
      </c>
      <c r="D1437" s="11">
        <v>45625</v>
      </c>
      <c r="E1437" t="s">
        <v>16</v>
      </c>
      <c r="F1437" t="s">
        <v>12</v>
      </c>
      <c r="G1437">
        <v>70135107</v>
      </c>
      <c r="H1437">
        <v>4511570356</v>
      </c>
      <c r="I1437">
        <v>90</v>
      </c>
      <c r="J1437" s="29">
        <v>3</v>
      </c>
      <c r="K1437" s="29" t="s">
        <v>83</v>
      </c>
      <c r="L1437" t="str">
        <f>IFERROR(VLOOKUP(Detalle_OC[[#This Row],[Centro]]&amp;Detalle_OC[[#This Row],[Nro Almacen]],Almacen!A:D,4,FALSE),"")</f>
        <v>San Vicente</v>
      </c>
    </row>
    <row r="1438" spans="1:12" x14ac:dyDescent="0.3">
      <c r="A1438" s="29" t="str">
        <f>Detalle_OC[[#This Row],[Centro]]&amp;Detalle_OC[[#This Row],[Nom Almacen]]&amp;Detalle_OC[[#This Row],[Material]]&amp;Detalle_OC[[#This Row],[Pedido]]&amp;Detalle_OC[[#This Row],[Posicion]]</f>
        <v>Agricola del Chira PlantaAlmacen Lobo701351054511570356100</v>
      </c>
      <c r="B1438" t="s">
        <v>306</v>
      </c>
      <c r="C1438" t="s">
        <v>1180</v>
      </c>
      <c r="D1438" s="11">
        <v>45625</v>
      </c>
      <c r="E1438" t="s">
        <v>16</v>
      </c>
      <c r="F1438" t="s">
        <v>12</v>
      </c>
      <c r="G1438">
        <v>70135105</v>
      </c>
      <c r="H1438">
        <v>4511570356</v>
      </c>
      <c r="I1438">
        <v>100</v>
      </c>
      <c r="J1438" s="29">
        <v>7</v>
      </c>
      <c r="K1438" s="29" t="s">
        <v>83</v>
      </c>
      <c r="L1438" t="str">
        <f>IFERROR(VLOOKUP(Detalle_OC[[#This Row],[Centro]]&amp;Detalle_OC[[#This Row],[Nro Almacen]],Almacen!A:D,4,FALSE),"")</f>
        <v>Almacen Lobo</v>
      </c>
    </row>
    <row r="1439" spans="1:12" x14ac:dyDescent="0.3">
      <c r="A1439" s="29" t="str">
        <f>Detalle_OC[[#This Row],[Centro]]&amp;Detalle_OC[[#This Row],[Nom Almacen]]&amp;Detalle_OC[[#This Row],[Material]]&amp;Detalle_OC[[#This Row],[Pedido]]&amp;Detalle_OC[[#This Row],[Posicion]]</f>
        <v>Agricola del Chira PlantaAlmacen Lobo701351064511570356110</v>
      </c>
      <c r="B1439" t="s">
        <v>306</v>
      </c>
      <c r="C1439" t="s">
        <v>1180</v>
      </c>
      <c r="D1439" s="11">
        <v>45625</v>
      </c>
      <c r="E1439" t="s">
        <v>16</v>
      </c>
      <c r="F1439" t="s">
        <v>12</v>
      </c>
      <c r="G1439">
        <v>70135106</v>
      </c>
      <c r="H1439">
        <v>4511570356</v>
      </c>
      <c r="I1439">
        <v>110</v>
      </c>
      <c r="J1439" s="29">
        <v>7</v>
      </c>
      <c r="K1439" s="29" t="s">
        <v>83</v>
      </c>
      <c r="L1439" t="str">
        <f>IFERROR(VLOOKUP(Detalle_OC[[#This Row],[Centro]]&amp;Detalle_OC[[#This Row],[Nro Almacen]],Almacen!A:D,4,FALSE),"")</f>
        <v>Almacen Lobo</v>
      </c>
    </row>
    <row r="1440" spans="1:12" x14ac:dyDescent="0.3">
      <c r="A1440" s="29" t="str">
        <f>Detalle_OC[[#This Row],[Centro]]&amp;Detalle_OC[[#This Row],[Nom Almacen]]&amp;Detalle_OC[[#This Row],[Material]]&amp;Detalle_OC[[#This Row],[Pedido]]&amp;Detalle_OC[[#This Row],[Posicion]]</f>
        <v>Agricola del Chira PlantaAlmacen Lobo701351074511570356120</v>
      </c>
      <c r="B1440" t="s">
        <v>306</v>
      </c>
      <c r="C1440" t="s">
        <v>1180</v>
      </c>
      <c r="D1440" s="11">
        <v>45625</v>
      </c>
      <c r="E1440" t="s">
        <v>16</v>
      </c>
      <c r="F1440" t="s">
        <v>12</v>
      </c>
      <c r="G1440">
        <v>70135107</v>
      </c>
      <c r="H1440">
        <v>4511570356</v>
      </c>
      <c r="I1440">
        <v>120</v>
      </c>
      <c r="J1440" s="29">
        <v>7</v>
      </c>
      <c r="K1440" s="29" t="s">
        <v>83</v>
      </c>
      <c r="L1440" t="str">
        <f>IFERROR(VLOOKUP(Detalle_OC[[#This Row],[Centro]]&amp;Detalle_OC[[#This Row],[Nro Almacen]],Almacen!A:D,4,FALSE),"")</f>
        <v>Almacen Lobo</v>
      </c>
    </row>
    <row r="1441" spans="1:12" x14ac:dyDescent="0.3">
      <c r="A1441" s="29" t="str">
        <f>Detalle_OC[[#This Row],[Centro]]&amp;Detalle_OC[[#This Row],[Nom Almacen]]&amp;Detalle_OC[[#This Row],[Material]]&amp;Detalle_OC[[#This Row],[Pedido]]&amp;Detalle_OC[[#This Row],[Posicion]]</f>
        <v>Agricola del Chira PlantaMontelima888690451157040710</v>
      </c>
      <c r="B1441" t="s">
        <v>149</v>
      </c>
      <c r="C1441" t="s">
        <v>168</v>
      </c>
      <c r="D1441" s="11">
        <v>45644</v>
      </c>
      <c r="E1441" t="s">
        <v>16</v>
      </c>
      <c r="F1441" t="s">
        <v>12</v>
      </c>
      <c r="G1441">
        <v>888690</v>
      </c>
      <c r="H1441">
        <v>4511570407</v>
      </c>
      <c r="I1441">
        <v>10</v>
      </c>
      <c r="J1441" s="29">
        <v>1</v>
      </c>
      <c r="K1441" s="29" t="s">
        <v>83</v>
      </c>
      <c r="L1441" t="str">
        <f>IFERROR(VLOOKUP(Detalle_OC[[#This Row],[Centro]]&amp;Detalle_OC[[#This Row],[Nro Almacen]],Almacen!A:D,4,FALSE),"")</f>
        <v>Montelima</v>
      </c>
    </row>
    <row r="1442" spans="1:12" x14ac:dyDescent="0.3">
      <c r="A1442" s="29" t="str">
        <f>Detalle_OC[[#This Row],[Centro]]&amp;Detalle_OC[[#This Row],[Nom Almacen]]&amp;Detalle_OC[[#This Row],[Material]]&amp;Detalle_OC[[#This Row],[Pedido]]&amp;Detalle_OC[[#This Row],[Posicion]]</f>
        <v>Agricola del Chira PlantaMontelima725425451157040720</v>
      </c>
      <c r="B1442" t="s">
        <v>159</v>
      </c>
      <c r="C1442" t="s">
        <v>168</v>
      </c>
      <c r="D1442" s="11">
        <v>45632</v>
      </c>
      <c r="E1442" t="s">
        <v>16</v>
      </c>
      <c r="F1442" t="s">
        <v>12</v>
      </c>
      <c r="G1442">
        <v>725425</v>
      </c>
      <c r="H1442">
        <v>4511570407</v>
      </c>
      <c r="I1442">
        <v>20</v>
      </c>
      <c r="J1442" s="29">
        <v>1</v>
      </c>
      <c r="K1442" s="29" t="s">
        <v>83</v>
      </c>
      <c r="L1442" t="str">
        <f>IFERROR(VLOOKUP(Detalle_OC[[#This Row],[Centro]]&amp;Detalle_OC[[#This Row],[Nro Almacen]],Almacen!A:D,4,FALSE),"")</f>
        <v>Montelima</v>
      </c>
    </row>
    <row r="1443" spans="1:12" x14ac:dyDescent="0.3">
      <c r="A1443" s="29" t="str">
        <f>Detalle_OC[[#This Row],[Centro]]&amp;Detalle_OC[[#This Row],[Nom Almacen]]&amp;Detalle_OC[[#This Row],[Material]]&amp;Detalle_OC[[#This Row],[Pedido]]&amp;Detalle_OC[[#This Row],[Posicion]]</f>
        <v>Agricola del Chira PlantaMontelima726316451157040730</v>
      </c>
      <c r="B1443" t="s">
        <v>149</v>
      </c>
      <c r="C1443" t="s">
        <v>168</v>
      </c>
      <c r="D1443" s="11">
        <v>45644</v>
      </c>
      <c r="E1443" t="s">
        <v>16</v>
      </c>
      <c r="F1443" t="s">
        <v>12</v>
      </c>
      <c r="G1443">
        <v>726316</v>
      </c>
      <c r="H1443">
        <v>4511570407</v>
      </c>
      <c r="I1443">
        <v>30</v>
      </c>
      <c r="J1443" s="29">
        <v>1</v>
      </c>
      <c r="K1443" s="29" t="s">
        <v>83</v>
      </c>
      <c r="L1443" t="str">
        <f>IFERROR(VLOOKUP(Detalle_OC[[#This Row],[Centro]]&amp;Detalle_OC[[#This Row],[Nro Almacen]],Almacen!A:D,4,FALSE),"")</f>
        <v>Montelima</v>
      </c>
    </row>
    <row r="1444" spans="1:12" x14ac:dyDescent="0.3">
      <c r="A1444" s="29" t="str">
        <f>Detalle_OC[[#This Row],[Centro]]&amp;Detalle_OC[[#This Row],[Nom Almacen]]&amp;Detalle_OC[[#This Row],[Material]]&amp;Detalle_OC[[#This Row],[Pedido]]&amp;Detalle_OC[[#This Row],[Posicion]]</f>
        <v>Agricola del Chira PlantaMontelimaCK00000035        451157041110</v>
      </c>
      <c r="B1444" t="s">
        <v>259</v>
      </c>
      <c r="C1444" t="s">
        <v>44</v>
      </c>
      <c r="D1444" s="11">
        <v>45641</v>
      </c>
      <c r="E1444" t="s">
        <v>48</v>
      </c>
      <c r="F1444" t="s">
        <v>12</v>
      </c>
      <c r="G1444" t="s">
        <v>1080</v>
      </c>
      <c r="H1444">
        <v>4511570411</v>
      </c>
      <c r="I1444">
        <v>10</v>
      </c>
      <c r="J1444" s="29">
        <v>1</v>
      </c>
      <c r="K1444" s="29" t="s">
        <v>83</v>
      </c>
      <c r="L1444" t="str">
        <f>IFERROR(VLOOKUP(Detalle_OC[[#This Row],[Centro]]&amp;Detalle_OC[[#This Row],[Nro Almacen]],Almacen!A:D,4,FALSE),"")</f>
        <v>Montelima</v>
      </c>
    </row>
    <row r="1445" spans="1:12" x14ac:dyDescent="0.3">
      <c r="A1445" s="29" t="str">
        <f>Detalle_OC[[#This Row],[Centro]]&amp;Detalle_OC[[#This Row],[Nom Almacen]]&amp;Detalle_OC[[#This Row],[Material]]&amp;Detalle_OC[[#This Row],[Pedido]]&amp;Detalle_OC[[#This Row],[Posicion]]</f>
        <v>Agricola del Chira PlantaMontelima721548451157041120</v>
      </c>
      <c r="B1445" t="s">
        <v>259</v>
      </c>
      <c r="C1445" t="s">
        <v>44</v>
      </c>
      <c r="D1445" s="11">
        <v>45641</v>
      </c>
      <c r="E1445" t="s">
        <v>48</v>
      </c>
      <c r="F1445" t="s">
        <v>12</v>
      </c>
      <c r="G1445">
        <v>721548</v>
      </c>
      <c r="H1445">
        <v>4511570411</v>
      </c>
      <c r="I1445">
        <v>20</v>
      </c>
      <c r="J1445" s="29">
        <v>1</v>
      </c>
      <c r="K1445" s="29" t="s">
        <v>83</v>
      </c>
      <c r="L1445" t="str">
        <f>IFERROR(VLOOKUP(Detalle_OC[[#This Row],[Centro]]&amp;Detalle_OC[[#This Row],[Nro Almacen]],Almacen!A:D,4,FALSE),"")</f>
        <v>Montelima</v>
      </c>
    </row>
    <row r="1446" spans="1:12" x14ac:dyDescent="0.3">
      <c r="A1446" s="29" t="str">
        <f>Detalle_OC[[#This Row],[Centro]]&amp;Detalle_OC[[#This Row],[Nom Almacen]]&amp;Detalle_OC[[#This Row],[Material]]&amp;Detalle_OC[[#This Row],[Pedido]]&amp;Detalle_OC[[#This Row],[Posicion]]</f>
        <v>Agricola del Chira PlantaMontelima721558451157041130</v>
      </c>
      <c r="B1446" t="s">
        <v>259</v>
      </c>
      <c r="C1446" t="s">
        <v>44</v>
      </c>
      <c r="D1446" s="11">
        <v>45641</v>
      </c>
      <c r="E1446" t="s">
        <v>48</v>
      </c>
      <c r="F1446" t="s">
        <v>12</v>
      </c>
      <c r="G1446">
        <v>721558</v>
      </c>
      <c r="H1446">
        <v>4511570411</v>
      </c>
      <c r="I1446">
        <v>30</v>
      </c>
      <c r="J1446" s="29">
        <v>1</v>
      </c>
      <c r="K1446" s="29" t="s">
        <v>83</v>
      </c>
      <c r="L1446" t="str">
        <f>IFERROR(VLOOKUP(Detalle_OC[[#This Row],[Centro]]&amp;Detalle_OC[[#This Row],[Nro Almacen]],Almacen!A:D,4,FALSE),"")</f>
        <v>Montelima</v>
      </c>
    </row>
    <row r="1447" spans="1:12" x14ac:dyDescent="0.3">
      <c r="A1447" s="29" t="str">
        <f>Detalle_OC[[#This Row],[Centro]]&amp;Detalle_OC[[#This Row],[Nom Almacen]]&amp;Detalle_OC[[#This Row],[Material]]&amp;Detalle_OC[[#This Row],[Pedido]]&amp;Detalle_OC[[#This Row],[Posicion]]</f>
        <v>Agricola del Chira PlantaMontelima718753451157041140</v>
      </c>
      <c r="B1447" t="s">
        <v>259</v>
      </c>
      <c r="C1447" t="s">
        <v>44</v>
      </c>
      <c r="D1447" s="11">
        <v>45641</v>
      </c>
      <c r="E1447" t="s">
        <v>48</v>
      </c>
      <c r="F1447" t="s">
        <v>12</v>
      </c>
      <c r="G1447">
        <v>718753</v>
      </c>
      <c r="H1447">
        <v>4511570411</v>
      </c>
      <c r="I1447">
        <v>40</v>
      </c>
      <c r="J1447" s="29">
        <v>1</v>
      </c>
      <c r="K1447" s="29" t="s">
        <v>83</v>
      </c>
      <c r="L1447" t="str">
        <f>IFERROR(VLOOKUP(Detalle_OC[[#This Row],[Centro]]&amp;Detalle_OC[[#This Row],[Nro Almacen]],Almacen!A:D,4,FALSE),"")</f>
        <v>Montelima</v>
      </c>
    </row>
    <row r="1448" spans="1:12" x14ac:dyDescent="0.3">
      <c r="A1448" s="29" t="str">
        <f>Detalle_OC[[#This Row],[Centro]]&amp;Detalle_OC[[#This Row],[Nom Almacen]]&amp;Detalle_OC[[#This Row],[Material]]&amp;Detalle_OC[[#This Row],[Pedido]]&amp;Detalle_OC[[#This Row],[Posicion]]</f>
        <v>Agricola del Chira PlantaMontelima763987451157041150</v>
      </c>
      <c r="B1448" t="s">
        <v>259</v>
      </c>
      <c r="C1448" t="s">
        <v>44</v>
      </c>
      <c r="D1448" s="11">
        <v>45641</v>
      </c>
      <c r="E1448" t="s">
        <v>48</v>
      </c>
      <c r="F1448" t="s">
        <v>12</v>
      </c>
      <c r="G1448">
        <v>763987</v>
      </c>
      <c r="H1448">
        <v>4511570411</v>
      </c>
      <c r="I1448">
        <v>50</v>
      </c>
      <c r="J1448" s="29">
        <v>1</v>
      </c>
      <c r="K1448" s="29" t="s">
        <v>83</v>
      </c>
      <c r="L1448" t="str">
        <f>IFERROR(VLOOKUP(Detalle_OC[[#This Row],[Centro]]&amp;Detalle_OC[[#This Row],[Nro Almacen]],Almacen!A:D,4,FALSE),"")</f>
        <v>Montelima</v>
      </c>
    </row>
    <row r="1449" spans="1:12" x14ac:dyDescent="0.3">
      <c r="A1449" s="29" t="str">
        <f>Detalle_OC[[#This Row],[Centro]]&amp;Detalle_OC[[#This Row],[Nom Almacen]]&amp;Detalle_OC[[#This Row],[Material]]&amp;Detalle_OC[[#This Row],[Pedido]]&amp;Detalle_OC[[#This Row],[Posicion]]</f>
        <v>Agricola del Chira PlantaMontelima718631451157041160</v>
      </c>
      <c r="B1449" t="s">
        <v>259</v>
      </c>
      <c r="C1449" t="s">
        <v>44</v>
      </c>
      <c r="D1449" s="11">
        <v>45641</v>
      </c>
      <c r="E1449" t="s">
        <v>48</v>
      </c>
      <c r="F1449" t="s">
        <v>12</v>
      </c>
      <c r="G1449">
        <v>718631</v>
      </c>
      <c r="H1449">
        <v>4511570411</v>
      </c>
      <c r="I1449">
        <v>60</v>
      </c>
      <c r="J1449" s="29">
        <v>1</v>
      </c>
      <c r="K1449" s="29" t="s">
        <v>83</v>
      </c>
      <c r="L1449" t="str">
        <f>IFERROR(VLOOKUP(Detalle_OC[[#This Row],[Centro]]&amp;Detalle_OC[[#This Row],[Nro Almacen]],Almacen!A:D,4,FALSE),"")</f>
        <v>Montelima</v>
      </c>
    </row>
    <row r="1450" spans="1:12" x14ac:dyDescent="0.3">
      <c r="A1450" s="29" t="str">
        <f>Detalle_OC[[#This Row],[Centro]]&amp;Detalle_OC[[#This Row],[Nom Almacen]]&amp;Detalle_OC[[#This Row],[Material]]&amp;Detalle_OC[[#This Row],[Pedido]]&amp;Detalle_OC[[#This Row],[Posicion]]</f>
        <v>Agricola del Chira PlantaMontelima734967451157041170</v>
      </c>
      <c r="B1450" t="s">
        <v>259</v>
      </c>
      <c r="C1450" t="s">
        <v>44</v>
      </c>
      <c r="D1450" s="11">
        <v>45641</v>
      </c>
      <c r="E1450" t="s">
        <v>48</v>
      </c>
      <c r="F1450" t="s">
        <v>12</v>
      </c>
      <c r="G1450">
        <v>734967</v>
      </c>
      <c r="H1450">
        <v>4511570411</v>
      </c>
      <c r="I1450">
        <v>70</v>
      </c>
      <c r="J1450" s="29">
        <v>1</v>
      </c>
      <c r="K1450" s="29" t="s">
        <v>83</v>
      </c>
      <c r="L1450" t="str">
        <f>IFERROR(VLOOKUP(Detalle_OC[[#This Row],[Centro]]&amp;Detalle_OC[[#This Row],[Nro Almacen]],Almacen!A:D,4,FALSE),"")</f>
        <v>Montelima</v>
      </c>
    </row>
    <row r="1451" spans="1:12" x14ac:dyDescent="0.3">
      <c r="A1451" s="29" t="str">
        <f>Detalle_OC[[#This Row],[Centro]]&amp;Detalle_OC[[#This Row],[Nom Almacen]]&amp;Detalle_OC[[#This Row],[Material]]&amp;Detalle_OC[[#This Row],[Pedido]]&amp;Detalle_OC[[#This Row],[Posicion]]</f>
        <v>Agricola del Chira PlantaMontelima718625451157041180</v>
      </c>
      <c r="B1451" t="s">
        <v>259</v>
      </c>
      <c r="C1451" t="s">
        <v>44</v>
      </c>
      <c r="D1451" s="11">
        <v>45641</v>
      </c>
      <c r="E1451" t="s">
        <v>48</v>
      </c>
      <c r="F1451" t="s">
        <v>12</v>
      </c>
      <c r="G1451">
        <v>718625</v>
      </c>
      <c r="H1451">
        <v>4511570411</v>
      </c>
      <c r="I1451">
        <v>80</v>
      </c>
      <c r="J1451" s="29">
        <v>1</v>
      </c>
      <c r="K1451" s="29" t="s">
        <v>83</v>
      </c>
      <c r="L1451" t="str">
        <f>IFERROR(VLOOKUP(Detalle_OC[[#This Row],[Centro]]&amp;Detalle_OC[[#This Row],[Nro Almacen]],Almacen!A:D,4,FALSE),"")</f>
        <v>Montelima</v>
      </c>
    </row>
    <row r="1452" spans="1:12" x14ac:dyDescent="0.3">
      <c r="A1452" s="29" t="str">
        <f>Detalle_OC[[#This Row],[Centro]]&amp;Detalle_OC[[#This Row],[Nom Almacen]]&amp;Detalle_OC[[#This Row],[Material]]&amp;Detalle_OC[[#This Row],[Pedido]]&amp;Detalle_OC[[#This Row],[Posicion]]</f>
        <v>Agricola del Chira PlantaMontelima718647451157041190</v>
      </c>
      <c r="B1452" t="s">
        <v>259</v>
      </c>
      <c r="C1452" t="s">
        <v>44</v>
      </c>
      <c r="D1452" s="11">
        <v>45641</v>
      </c>
      <c r="E1452" t="s">
        <v>48</v>
      </c>
      <c r="F1452" t="s">
        <v>12</v>
      </c>
      <c r="G1452">
        <v>718647</v>
      </c>
      <c r="H1452">
        <v>4511570411</v>
      </c>
      <c r="I1452">
        <v>90</v>
      </c>
      <c r="J1452" s="29">
        <v>1</v>
      </c>
      <c r="K1452" s="29" t="s">
        <v>83</v>
      </c>
      <c r="L1452" t="str">
        <f>IFERROR(VLOOKUP(Detalle_OC[[#This Row],[Centro]]&amp;Detalle_OC[[#This Row],[Nro Almacen]],Almacen!A:D,4,FALSE),"")</f>
        <v>Montelima</v>
      </c>
    </row>
    <row r="1453" spans="1:12" x14ac:dyDescent="0.3">
      <c r="A1453" s="29" t="str">
        <f>Detalle_OC[[#This Row],[Centro]]&amp;Detalle_OC[[#This Row],[Nom Almacen]]&amp;Detalle_OC[[#This Row],[Material]]&amp;Detalle_OC[[#This Row],[Pedido]]&amp;Detalle_OC[[#This Row],[Posicion]]</f>
        <v>Agricola del Chira PlantaMontelima7186144511570411100</v>
      </c>
      <c r="B1453" t="s">
        <v>259</v>
      </c>
      <c r="C1453" t="s">
        <v>44</v>
      </c>
      <c r="D1453" s="11">
        <v>45641</v>
      </c>
      <c r="E1453" t="s">
        <v>48</v>
      </c>
      <c r="F1453" t="s">
        <v>12</v>
      </c>
      <c r="G1453">
        <v>718614</v>
      </c>
      <c r="H1453">
        <v>4511570411</v>
      </c>
      <c r="I1453">
        <v>100</v>
      </c>
      <c r="J1453" s="29">
        <v>1</v>
      </c>
      <c r="K1453" s="29" t="s">
        <v>83</v>
      </c>
      <c r="L1453" t="str">
        <f>IFERROR(VLOOKUP(Detalle_OC[[#This Row],[Centro]]&amp;Detalle_OC[[#This Row],[Nro Almacen]],Almacen!A:D,4,FALSE),"")</f>
        <v>Montelima</v>
      </c>
    </row>
    <row r="1454" spans="1:12" x14ac:dyDescent="0.3">
      <c r="A1454" s="29" t="str">
        <f>Detalle_OC[[#This Row],[Centro]]&amp;Detalle_OC[[#This Row],[Nom Almacen]]&amp;Detalle_OC[[#This Row],[Material]]&amp;Detalle_OC[[#This Row],[Pedido]]&amp;Detalle_OC[[#This Row],[Posicion]]</f>
        <v>Agricola del Chira PlantaMontelima7795754511570411110</v>
      </c>
      <c r="B1454" t="s">
        <v>259</v>
      </c>
      <c r="C1454" t="s">
        <v>44</v>
      </c>
      <c r="D1454" s="11">
        <v>45641</v>
      </c>
      <c r="E1454" t="s">
        <v>48</v>
      </c>
      <c r="F1454" t="s">
        <v>12</v>
      </c>
      <c r="G1454">
        <v>779575</v>
      </c>
      <c r="H1454">
        <v>4511570411</v>
      </c>
      <c r="I1454">
        <v>110</v>
      </c>
      <c r="J1454" s="29">
        <v>1</v>
      </c>
      <c r="K1454" s="29" t="s">
        <v>83</v>
      </c>
      <c r="L1454" t="str">
        <f>IFERROR(VLOOKUP(Detalle_OC[[#This Row],[Centro]]&amp;Detalle_OC[[#This Row],[Nro Almacen]],Almacen!A:D,4,FALSE),"")</f>
        <v>Montelima</v>
      </c>
    </row>
    <row r="1455" spans="1:12" x14ac:dyDescent="0.3">
      <c r="A1455" s="29" t="str">
        <f>Detalle_OC[[#This Row],[Centro]]&amp;Detalle_OC[[#This Row],[Nom Almacen]]&amp;Detalle_OC[[#This Row],[Material]]&amp;Detalle_OC[[#This Row],[Pedido]]&amp;Detalle_OC[[#This Row],[Posicion]]</f>
        <v>Agricola del Chira PlantaMontelimaCK00000092        4511570411120</v>
      </c>
      <c r="B1455" t="s">
        <v>259</v>
      </c>
      <c r="C1455" t="s">
        <v>44</v>
      </c>
      <c r="D1455" s="11">
        <v>45641</v>
      </c>
      <c r="E1455" t="s">
        <v>48</v>
      </c>
      <c r="F1455" t="s">
        <v>12</v>
      </c>
      <c r="G1455" t="s">
        <v>1081</v>
      </c>
      <c r="H1455">
        <v>4511570411</v>
      </c>
      <c r="I1455">
        <v>120</v>
      </c>
      <c r="J1455" s="29">
        <v>1</v>
      </c>
      <c r="K1455" s="29" t="s">
        <v>83</v>
      </c>
      <c r="L1455" t="str">
        <f>IFERROR(VLOOKUP(Detalle_OC[[#This Row],[Centro]]&amp;Detalle_OC[[#This Row],[Nro Almacen]],Almacen!A:D,4,FALSE),"")</f>
        <v>Montelima</v>
      </c>
    </row>
    <row r="1456" spans="1:12" x14ac:dyDescent="0.3">
      <c r="A1456" s="29" t="str">
        <f>Detalle_OC[[#This Row],[Centro]]&amp;Detalle_OC[[#This Row],[Nom Almacen]]&amp;Detalle_OC[[#This Row],[Material]]&amp;Detalle_OC[[#This Row],[Pedido]]&amp;Detalle_OC[[#This Row],[Posicion]]</f>
        <v>Agricola del Chira PlantaMontelima7280374511570411130</v>
      </c>
      <c r="B1456" t="s">
        <v>259</v>
      </c>
      <c r="C1456" t="s">
        <v>44</v>
      </c>
      <c r="D1456" s="11">
        <v>45641</v>
      </c>
      <c r="E1456" t="s">
        <v>48</v>
      </c>
      <c r="F1456" t="s">
        <v>12</v>
      </c>
      <c r="G1456">
        <v>728037</v>
      </c>
      <c r="H1456">
        <v>4511570411</v>
      </c>
      <c r="I1456">
        <v>130</v>
      </c>
      <c r="J1456" s="29">
        <v>1</v>
      </c>
      <c r="K1456" s="29" t="s">
        <v>83</v>
      </c>
      <c r="L1456" t="str">
        <f>IFERROR(VLOOKUP(Detalle_OC[[#This Row],[Centro]]&amp;Detalle_OC[[#This Row],[Nro Almacen]],Almacen!A:D,4,FALSE),"")</f>
        <v>Montelima</v>
      </c>
    </row>
    <row r="1457" spans="1:12" x14ac:dyDescent="0.3">
      <c r="A1457" s="29" t="str">
        <f>Detalle_OC[[#This Row],[Centro]]&amp;Detalle_OC[[#This Row],[Nom Almacen]]&amp;Detalle_OC[[#This Row],[Material]]&amp;Detalle_OC[[#This Row],[Pedido]]&amp;Detalle_OC[[#This Row],[Posicion]]</f>
        <v>Agricola del Chira PlantaMontelima7640124511570411140</v>
      </c>
      <c r="B1457" t="s">
        <v>259</v>
      </c>
      <c r="C1457" t="s">
        <v>44</v>
      </c>
      <c r="D1457" s="11">
        <v>45641</v>
      </c>
      <c r="E1457" t="s">
        <v>48</v>
      </c>
      <c r="F1457" t="s">
        <v>12</v>
      </c>
      <c r="G1457">
        <v>764012</v>
      </c>
      <c r="H1457">
        <v>4511570411</v>
      </c>
      <c r="I1457">
        <v>140</v>
      </c>
      <c r="J1457" s="29">
        <v>1</v>
      </c>
      <c r="K1457" s="29" t="s">
        <v>83</v>
      </c>
      <c r="L1457" t="str">
        <f>IFERROR(VLOOKUP(Detalle_OC[[#This Row],[Centro]]&amp;Detalle_OC[[#This Row],[Nro Almacen]],Almacen!A:D,4,FALSE),"")</f>
        <v>Montelima</v>
      </c>
    </row>
    <row r="1458" spans="1:12" x14ac:dyDescent="0.3">
      <c r="A1458" s="29" t="str">
        <f>Detalle_OC[[#This Row],[Centro]]&amp;Detalle_OC[[#This Row],[Nom Almacen]]&amp;Detalle_OC[[#This Row],[Material]]&amp;Detalle_OC[[#This Row],[Pedido]]&amp;Detalle_OC[[#This Row],[Posicion]]</f>
        <v>Agricola del Chira PlantaMontelima7186334511570411150</v>
      </c>
      <c r="B1458" t="s">
        <v>259</v>
      </c>
      <c r="C1458" t="s">
        <v>44</v>
      </c>
      <c r="D1458" s="11">
        <v>45641</v>
      </c>
      <c r="E1458" t="s">
        <v>48</v>
      </c>
      <c r="F1458" t="s">
        <v>12</v>
      </c>
      <c r="G1458">
        <v>718633</v>
      </c>
      <c r="H1458">
        <v>4511570411</v>
      </c>
      <c r="I1458">
        <v>150</v>
      </c>
      <c r="J1458" s="29">
        <v>1</v>
      </c>
      <c r="K1458" s="29" t="s">
        <v>83</v>
      </c>
      <c r="L1458" t="str">
        <f>IFERROR(VLOOKUP(Detalle_OC[[#This Row],[Centro]]&amp;Detalle_OC[[#This Row],[Nro Almacen]],Almacen!A:D,4,FALSE),"")</f>
        <v>Montelima</v>
      </c>
    </row>
    <row r="1459" spans="1:12" x14ac:dyDescent="0.3">
      <c r="A1459" s="29" t="str">
        <f>Detalle_OC[[#This Row],[Centro]]&amp;Detalle_OC[[#This Row],[Nom Almacen]]&amp;Detalle_OC[[#This Row],[Material]]&amp;Detalle_OC[[#This Row],[Pedido]]&amp;Detalle_OC[[#This Row],[Posicion]]</f>
        <v>Agricola del Chira PlantaMontelimaCK00000103        4511570411160</v>
      </c>
      <c r="B1459" t="s">
        <v>259</v>
      </c>
      <c r="C1459" t="s">
        <v>44</v>
      </c>
      <c r="D1459" s="11">
        <v>45641</v>
      </c>
      <c r="E1459" t="s">
        <v>48</v>
      </c>
      <c r="F1459" t="s">
        <v>12</v>
      </c>
      <c r="G1459" t="s">
        <v>269</v>
      </c>
      <c r="H1459">
        <v>4511570411</v>
      </c>
      <c r="I1459">
        <v>160</v>
      </c>
      <c r="J1459" s="29">
        <v>1</v>
      </c>
      <c r="K1459" s="29" t="s">
        <v>83</v>
      </c>
      <c r="L1459" t="str">
        <f>IFERROR(VLOOKUP(Detalle_OC[[#This Row],[Centro]]&amp;Detalle_OC[[#This Row],[Nro Almacen]],Almacen!A:D,4,FALSE),"")</f>
        <v>Montelima</v>
      </c>
    </row>
    <row r="1460" spans="1:12" x14ac:dyDescent="0.3">
      <c r="A1460" s="29" t="str">
        <f>Detalle_OC[[#This Row],[Centro]]&amp;Detalle_OC[[#This Row],[Nom Almacen]]&amp;Detalle_OC[[#This Row],[Material]]&amp;Detalle_OC[[#This Row],[Pedido]]&amp;Detalle_OC[[#This Row],[Posicion]]</f>
        <v>Agricola del Chira PlantaMontelima7671914511570411170</v>
      </c>
      <c r="B1460" t="s">
        <v>259</v>
      </c>
      <c r="C1460" t="s">
        <v>44</v>
      </c>
      <c r="D1460" s="11">
        <v>45641</v>
      </c>
      <c r="E1460" t="s">
        <v>48</v>
      </c>
      <c r="F1460" t="s">
        <v>12</v>
      </c>
      <c r="G1460">
        <v>767191</v>
      </c>
      <c r="H1460">
        <v>4511570411</v>
      </c>
      <c r="I1460">
        <v>170</v>
      </c>
      <c r="J1460" s="29">
        <v>1</v>
      </c>
      <c r="K1460" s="29" t="s">
        <v>83</v>
      </c>
      <c r="L1460" t="str">
        <f>IFERROR(VLOOKUP(Detalle_OC[[#This Row],[Centro]]&amp;Detalle_OC[[#This Row],[Nro Almacen]],Almacen!A:D,4,FALSE),"")</f>
        <v>Montelima</v>
      </c>
    </row>
    <row r="1461" spans="1:12" x14ac:dyDescent="0.3">
      <c r="A1461" s="29" t="str">
        <f>Detalle_OC[[#This Row],[Centro]]&amp;Detalle_OC[[#This Row],[Nom Almacen]]&amp;Detalle_OC[[#This Row],[Material]]&amp;Detalle_OC[[#This Row],[Pedido]]&amp;Detalle_OC[[#This Row],[Posicion]]</f>
        <v>Agricola del Chira PlantaMontelima7300324511570411180</v>
      </c>
      <c r="B1461" t="s">
        <v>259</v>
      </c>
      <c r="C1461" t="s">
        <v>44</v>
      </c>
      <c r="D1461" s="11">
        <v>45641</v>
      </c>
      <c r="E1461" t="s">
        <v>48</v>
      </c>
      <c r="F1461" t="s">
        <v>12</v>
      </c>
      <c r="G1461">
        <v>730032</v>
      </c>
      <c r="H1461">
        <v>4511570411</v>
      </c>
      <c r="I1461">
        <v>180</v>
      </c>
      <c r="J1461" s="29">
        <v>1</v>
      </c>
      <c r="K1461" s="29" t="s">
        <v>83</v>
      </c>
      <c r="L1461" t="str">
        <f>IFERROR(VLOOKUP(Detalle_OC[[#This Row],[Centro]]&amp;Detalle_OC[[#This Row],[Nro Almacen]],Almacen!A:D,4,FALSE),"")</f>
        <v>Montelima</v>
      </c>
    </row>
    <row r="1462" spans="1:12" x14ac:dyDescent="0.3">
      <c r="A1462" s="29" t="str">
        <f>Detalle_OC[[#This Row],[Centro]]&amp;Detalle_OC[[#This Row],[Nom Almacen]]&amp;Detalle_OC[[#This Row],[Material]]&amp;Detalle_OC[[#This Row],[Pedido]]&amp;Detalle_OC[[#This Row],[Posicion]]</f>
        <v>Agricola del Chira PlantaMontelima7188694511570411190</v>
      </c>
      <c r="B1462" t="s">
        <v>259</v>
      </c>
      <c r="C1462" t="s">
        <v>44</v>
      </c>
      <c r="D1462" s="11">
        <v>45641</v>
      </c>
      <c r="E1462" t="s">
        <v>48</v>
      </c>
      <c r="F1462" t="s">
        <v>12</v>
      </c>
      <c r="G1462">
        <v>718869</v>
      </c>
      <c r="H1462">
        <v>4511570411</v>
      </c>
      <c r="I1462">
        <v>190</v>
      </c>
      <c r="J1462" s="29">
        <v>1</v>
      </c>
      <c r="K1462" s="29" t="s">
        <v>83</v>
      </c>
      <c r="L1462" t="str">
        <f>IFERROR(VLOOKUP(Detalle_OC[[#This Row],[Centro]]&amp;Detalle_OC[[#This Row],[Nro Almacen]],Almacen!A:D,4,FALSE),"")</f>
        <v>Montelima</v>
      </c>
    </row>
    <row r="1463" spans="1:12" x14ac:dyDescent="0.3">
      <c r="A1463" s="29" t="str">
        <f>Detalle_OC[[#This Row],[Centro]]&amp;Detalle_OC[[#This Row],[Nom Almacen]]&amp;Detalle_OC[[#This Row],[Material]]&amp;Detalle_OC[[#This Row],[Pedido]]&amp;Detalle_OC[[#This Row],[Posicion]]</f>
        <v>Agricola del Chira PlantaMontelimaCK00000598        4511570411200</v>
      </c>
      <c r="B1463" t="s">
        <v>259</v>
      </c>
      <c r="C1463" t="s">
        <v>44</v>
      </c>
      <c r="D1463" s="11">
        <v>45641</v>
      </c>
      <c r="E1463" t="s">
        <v>48</v>
      </c>
      <c r="F1463" t="s">
        <v>12</v>
      </c>
      <c r="G1463" t="s">
        <v>233</v>
      </c>
      <c r="H1463">
        <v>4511570411</v>
      </c>
      <c r="I1463">
        <v>200</v>
      </c>
      <c r="J1463" s="29">
        <v>1</v>
      </c>
      <c r="K1463" s="29" t="s">
        <v>83</v>
      </c>
      <c r="L1463" t="str">
        <f>IFERROR(VLOOKUP(Detalle_OC[[#This Row],[Centro]]&amp;Detalle_OC[[#This Row],[Nro Almacen]],Almacen!A:D,4,FALSE),"")</f>
        <v>Montelima</v>
      </c>
    </row>
    <row r="1464" spans="1:12" x14ac:dyDescent="0.3">
      <c r="A1464" s="29" t="str">
        <f>Detalle_OC[[#This Row],[Centro]]&amp;Detalle_OC[[#This Row],[Nom Almacen]]&amp;Detalle_OC[[#This Row],[Material]]&amp;Detalle_OC[[#This Row],[Pedido]]&amp;Detalle_OC[[#This Row],[Posicion]]</f>
        <v>Agricola del Chira PlantaMontelimaCK00000122        4511570411210</v>
      </c>
      <c r="B1464" t="s">
        <v>259</v>
      </c>
      <c r="C1464" t="s">
        <v>44</v>
      </c>
      <c r="D1464" s="11">
        <v>45641</v>
      </c>
      <c r="E1464" t="s">
        <v>48</v>
      </c>
      <c r="F1464" t="s">
        <v>12</v>
      </c>
      <c r="G1464" t="s">
        <v>248</v>
      </c>
      <c r="H1464">
        <v>4511570411</v>
      </c>
      <c r="I1464">
        <v>210</v>
      </c>
      <c r="J1464" s="29">
        <v>1</v>
      </c>
      <c r="K1464" s="29" t="s">
        <v>83</v>
      </c>
      <c r="L1464" t="str">
        <f>IFERROR(VLOOKUP(Detalle_OC[[#This Row],[Centro]]&amp;Detalle_OC[[#This Row],[Nro Almacen]],Almacen!A:D,4,FALSE),"")</f>
        <v>Montelima</v>
      </c>
    </row>
    <row r="1465" spans="1:12" x14ac:dyDescent="0.3">
      <c r="A1465" s="29" t="str">
        <f>Detalle_OC[[#This Row],[Centro]]&amp;Detalle_OC[[#This Row],[Nom Almacen]]&amp;Detalle_OC[[#This Row],[Material]]&amp;Detalle_OC[[#This Row],[Pedido]]&amp;Detalle_OC[[#This Row],[Posicion]]</f>
        <v>Agricola del Chira PlantaMontelimaCK00000121        4511570411220</v>
      </c>
      <c r="B1465" t="s">
        <v>259</v>
      </c>
      <c r="C1465" t="s">
        <v>44</v>
      </c>
      <c r="D1465" s="11">
        <v>45641</v>
      </c>
      <c r="E1465" t="s">
        <v>48</v>
      </c>
      <c r="F1465" t="s">
        <v>12</v>
      </c>
      <c r="G1465" t="s">
        <v>247</v>
      </c>
      <c r="H1465">
        <v>4511570411</v>
      </c>
      <c r="I1465">
        <v>220</v>
      </c>
      <c r="J1465" s="29">
        <v>1</v>
      </c>
      <c r="K1465" s="29" t="s">
        <v>83</v>
      </c>
      <c r="L1465" t="str">
        <f>IFERROR(VLOOKUP(Detalle_OC[[#This Row],[Centro]]&amp;Detalle_OC[[#This Row],[Nro Almacen]],Almacen!A:D,4,FALSE),"")</f>
        <v>Montelima</v>
      </c>
    </row>
    <row r="1466" spans="1:12" x14ac:dyDescent="0.3">
      <c r="A1466" s="29" t="str">
        <f>Detalle_OC[[#This Row],[Centro]]&amp;Detalle_OC[[#This Row],[Nom Almacen]]&amp;Detalle_OC[[#This Row],[Material]]&amp;Detalle_OC[[#This Row],[Pedido]]&amp;Detalle_OC[[#This Row],[Posicion]]</f>
        <v>Agricola del Chira PlantaMontelimaCK00000123        4511570411230</v>
      </c>
      <c r="B1466" t="s">
        <v>259</v>
      </c>
      <c r="C1466" t="s">
        <v>44</v>
      </c>
      <c r="D1466" s="11">
        <v>45641</v>
      </c>
      <c r="E1466" t="s">
        <v>48</v>
      </c>
      <c r="F1466" t="s">
        <v>12</v>
      </c>
      <c r="G1466" t="s">
        <v>250</v>
      </c>
      <c r="H1466">
        <v>4511570411</v>
      </c>
      <c r="I1466">
        <v>230</v>
      </c>
      <c r="J1466" s="29">
        <v>1</v>
      </c>
      <c r="K1466" s="29" t="s">
        <v>83</v>
      </c>
      <c r="L1466" t="str">
        <f>IFERROR(VLOOKUP(Detalle_OC[[#This Row],[Centro]]&amp;Detalle_OC[[#This Row],[Nro Almacen]],Almacen!A:D,4,FALSE),"")</f>
        <v>Montelima</v>
      </c>
    </row>
    <row r="1467" spans="1:12" x14ac:dyDescent="0.3">
      <c r="A1467" s="29" t="str">
        <f>Detalle_OC[[#This Row],[Centro]]&amp;Detalle_OC[[#This Row],[Nom Almacen]]&amp;Detalle_OC[[#This Row],[Material]]&amp;Detalle_OC[[#This Row],[Pedido]]&amp;Detalle_OC[[#This Row],[Posicion]]</f>
        <v>Agricola del Chira PlantaMontelimaCET0711342        4511570411240</v>
      </c>
      <c r="B1467" t="s">
        <v>259</v>
      </c>
      <c r="C1467" t="s">
        <v>44</v>
      </c>
      <c r="D1467" s="11">
        <v>45641</v>
      </c>
      <c r="E1467" t="s">
        <v>48</v>
      </c>
      <c r="F1467" t="s">
        <v>12</v>
      </c>
      <c r="G1467" t="s">
        <v>249</v>
      </c>
      <c r="H1467">
        <v>4511570411</v>
      </c>
      <c r="I1467">
        <v>240</v>
      </c>
      <c r="J1467" s="29">
        <v>1</v>
      </c>
      <c r="K1467" s="29" t="s">
        <v>83</v>
      </c>
      <c r="L1467" t="str">
        <f>IFERROR(VLOOKUP(Detalle_OC[[#This Row],[Centro]]&amp;Detalle_OC[[#This Row],[Nro Almacen]],Almacen!A:D,4,FALSE),"")</f>
        <v>Montelima</v>
      </c>
    </row>
    <row r="1468" spans="1:12" x14ac:dyDescent="0.3">
      <c r="A1468" s="29" t="str">
        <f>Detalle_OC[[#This Row],[Centro]]&amp;Detalle_OC[[#This Row],[Nom Almacen]]&amp;Detalle_OC[[#This Row],[Material]]&amp;Detalle_OC[[#This Row],[Pedido]]&amp;Detalle_OC[[#This Row],[Posicion]]</f>
        <v>Agricola del Chira PlantaMontelimaCP243432          4511570411250</v>
      </c>
      <c r="B1468" t="s">
        <v>259</v>
      </c>
      <c r="C1468" t="s">
        <v>44</v>
      </c>
      <c r="D1468" s="11">
        <v>45641</v>
      </c>
      <c r="E1468" t="s">
        <v>48</v>
      </c>
      <c r="F1468" t="s">
        <v>12</v>
      </c>
      <c r="G1468" t="s">
        <v>251</v>
      </c>
      <c r="H1468">
        <v>4511570411</v>
      </c>
      <c r="I1468">
        <v>250</v>
      </c>
      <c r="J1468" s="29">
        <v>1</v>
      </c>
      <c r="K1468" s="29" t="s">
        <v>83</v>
      </c>
      <c r="L1468" t="str">
        <f>IFERROR(VLOOKUP(Detalle_OC[[#This Row],[Centro]]&amp;Detalle_OC[[#This Row],[Nro Almacen]],Almacen!A:D,4,FALSE),"")</f>
        <v>Montelima</v>
      </c>
    </row>
    <row r="1469" spans="1:12" x14ac:dyDescent="0.3">
      <c r="A1469" s="29" t="str">
        <f>Detalle_OC[[#This Row],[Centro]]&amp;Detalle_OC[[#This Row],[Nom Almacen]]&amp;Detalle_OC[[#This Row],[Material]]&amp;Detalle_OC[[#This Row],[Pedido]]&amp;Detalle_OC[[#This Row],[Posicion]]</f>
        <v>Agricola del Chira PlantaMontelima7639964511570411260</v>
      </c>
      <c r="B1469" t="s">
        <v>259</v>
      </c>
      <c r="C1469" t="s">
        <v>44</v>
      </c>
      <c r="D1469" s="11">
        <v>45641</v>
      </c>
      <c r="E1469" t="s">
        <v>48</v>
      </c>
      <c r="F1469" t="s">
        <v>12</v>
      </c>
      <c r="G1469">
        <v>763996</v>
      </c>
      <c r="H1469">
        <v>4511570411</v>
      </c>
      <c r="I1469">
        <v>260</v>
      </c>
      <c r="J1469" s="29">
        <v>1</v>
      </c>
      <c r="K1469" s="29" t="s">
        <v>83</v>
      </c>
      <c r="L1469" t="str">
        <f>IFERROR(VLOOKUP(Detalle_OC[[#This Row],[Centro]]&amp;Detalle_OC[[#This Row],[Nro Almacen]],Almacen!A:D,4,FALSE),"")</f>
        <v>Montelima</v>
      </c>
    </row>
    <row r="1470" spans="1:12" x14ac:dyDescent="0.3">
      <c r="A1470" s="29" t="str">
        <f>Detalle_OC[[#This Row],[Centro]]&amp;Detalle_OC[[#This Row],[Nom Almacen]]&amp;Detalle_OC[[#This Row],[Material]]&amp;Detalle_OC[[#This Row],[Pedido]]&amp;Detalle_OC[[#This Row],[Posicion]]</f>
        <v>Agricola del Chira PlantaMontelima7188154511570411270</v>
      </c>
      <c r="B1470" t="s">
        <v>259</v>
      </c>
      <c r="C1470" t="s">
        <v>44</v>
      </c>
      <c r="D1470" s="11">
        <v>45641</v>
      </c>
      <c r="E1470" t="s">
        <v>48</v>
      </c>
      <c r="F1470" t="s">
        <v>12</v>
      </c>
      <c r="G1470">
        <v>718815</v>
      </c>
      <c r="H1470">
        <v>4511570411</v>
      </c>
      <c r="I1470">
        <v>270</v>
      </c>
      <c r="J1470" s="29">
        <v>1</v>
      </c>
      <c r="K1470" s="29" t="s">
        <v>83</v>
      </c>
      <c r="L1470" t="str">
        <f>IFERROR(VLOOKUP(Detalle_OC[[#This Row],[Centro]]&amp;Detalle_OC[[#This Row],[Nro Almacen]],Almacen!A:D,4,FALSE),"")</f>
        <v>Montelima</v>
      </c>
    </row>
    <row r="1471" spans="1:12" x14ac:dyDescent="0.3">
      <c r="A1471" s="29" t="str">
        <f>Detalle_OC[[#This Row],[Centro]]&amp;Detalle_OC[[#This Row],[Nom Almacen]]&amp;Detalle_OC[[#This Row],[Material]]&amp;Detalle_OC[[#This Row],[Pedido]]&amp;Detalle_OC[[#This Row],[Posicion]]</f>
        <v>Agricola del Chira PlantaMontelima7665414511570411280</v>
      </c>
      <c r="B1471" t="s">
        <v>259</v>
      </c>
      <c r="C1471" t="s">
        <v>44</v>
      </c>
      <c r="D1471" s="11">
        <v>45641</v>
      </c>
      <c r="E1471" t="s">
        <v>48</v>
      </c>
      <c r="F1471" t="s">
        <v>12</v>
      </c>
      <c r="G1471">
        <v>766541</v>
      </c>
      <c r="H1471">
        <v>4511570411</v>
      </c>
      <c r="I1471">
        <v>280</v>
      </c>
      <c r="J1471" s="29">
        <v>1</v>
      </c>
      <c r="K1471" s="29" t="s">
        <v>83</v>
      </c>
      <c r="L1471" t="str">
        <f>IFERROR(VLOOKUP(Detalle_OC[[#This Row],[Centro]]&amp;Detalle_OC[[#This Row],[Nro Almacen]],Almacen!A:D,4,FALSE),"")</f>
        <v>Montelima</v>
      </c>
    </row>
    <row r="1472" spans="1:12" x14ac:dyDescent="0.3">
      <c r="A1472" s="29" t="str">
        <f>Detalle_OC[[#This Row],[Centro]]&amp;Detalle_OC[[#This Row],[Nom Almacen]]&amp;Detalle_OC[[#This Row],[Material]]&amp;Detalle_OC[[#This Row],[Pedido]]&amp;Detalle_OC[[#This Row],[Posicion]]</f>
        <v>Sucroalcolera del Chira PlantaMontelimaMWCALHIDRATADA    451157042510</v>
      </c>
      <c r="B1472" t="s">
        <v>153</v>
      </c>
      <c r="C1472" t="s">
        <v>1155</v>
      </c>
      <c r="D1472" s="11">
        <v>45621</v>
      </c>
      <c r="E1472" t="s">
        <v>16</v>
      </c>
      <c r="F1472" t="s">
        <v>85</v>
      </c>
      <c r="G1472" t="s">
        <v>187</v>
      </c>
      <c r="H1472">
        <v>4511570425</v>
      </c>
      <c r="I1472">
        <v>10</v>
      </c>
      <c r="J1472" s="29">
        <v>1</v>
      </c>
      <c r="K1472" s="29" t="s">
        <v>83</v>
      </c>
      <c r="L1472" t="str">
        <f>IFERROR(VLOOKUP(Detalle_OC[[#This Row],[Centro]]&amp;Detalle_OC[[#This Row],[Nro Almacen]],Almacen!A:D,4,FALSE),"")</f>
        <v>Montelima</v>
      </c>
    </row>
    <row r="1473" spans="1:12" x14ac:dyDescent="0.3">
      <c r="A1473" s="29" t="str">
        <f>Detalle_OC[[#This Row],[Centro]]&amp;Detalle_OC[[#This Row],[Nom Almacen]]&amp;Detalle_OC[[#This Row],[Material]]&amp;Detalle_OC[[#This Row],[Pedido]]&amp;Detalle_OC[[#This Row],[Posicion]]</f>
        <v>Agricola del Chira PlantaLa Huaca70052954451157042910</v>
      </c>
      <c r="B1473" t="s">
        <v>26</v>
      </c>
      <c r="C1473" t="s">
        <v>168</v>
      </c>
      <c r="D1473" s="11">
        <v>45644</v>
      </c>
      <c r="E1473" t="s">
        <v>16</v>
      </c>
      <c r="F1473" t="s">
        <v>12</v>
      </c>
      <c r="G1473">
        <v>70052954</v>
      </c>
      <c r="H1473">
        <v>4511570429</v>
      </c>
      <c r="I1473">
        <v>10</v>
      </c>
      <c r="J1473" s="29">
        <v>2</v>
      </c>
      <c r="K1473" s="29" t="s">
        <v>83</v>
      </c>
      <c r="L1473" t="str">
        <f>IFERROR(VLOOKUP(Detalle_OC[[#This Row],[Centro]]&amp;Detalle_OC[[#This Row],[Nro Almacen]],Almacen!A:D,4,FALSE),"")</f>
        <v>La Huaca</v>
      </c>
    </row>
    <row r="1474" spans="1:12" x14ac:dyDescent="0.3">
      <c r="A1474" s="29" t="str">
        <f>Detalle_OC[[#This Row],[Centro]]&amp;Detalle_OC[[#This Row],[Nom Almacen]]&amp;Detalle_OC[[#This Row],[Material]]&amp;Detalle_OC[[#This Row],[Pedido]]&amp;Detalle_OC[[#This Row],[Posicion]]</f>
        <v>Agricola del Chira PlantaAlmacen Lobo70052954451157042920</v>
      </c>
      <c r="B1474" t="s">
        <v>26</v>
      </c>
      <c r="C1474" t="s">
        <v>168</v>
      </c>
      <c r="D1474" s="11">
        <v>45644</v>
      </c>
      <c r="E1474" t="s">
        <v>16</v>
      </c>
      <c r="F1474" t="s">
        <v>12</v>
      </c>
      <c r="G1474">
        <v>70052954</v>
      </c>
      <c r="H1474">
        <v>4511570429</v>
      </c>
      <c r="I1474">
        <v>20</v>
      </c>
      <c r="J1474" s="29">
        <v>7</v>
      </c>
      <c r="K1474" s="29" t="s">
        <v>83</v>
      </c>
      <c r="L1474" t="str">
        <f>IFERROR(VLOOKUP(Detalle_OC[[#This Row],[Centro]]&amp;Detalle_OC[[#This Row],[Nro Almacen]],Almacen!A:D,4,FALSE),"")</f>
        <v>Almacen Lobo</v>
      </c>
    </row>
    <row r="1475" spans="1:12" x14ac:dyDescent="0.3">
      <c r="A1475" s="29" t="str">
        <f>Detalle_OC[[#This Row],[Centro]]&amp;Detalle_OC[[#This Row],[Nom Almacen]]&amp;Detalle_OC[[#This Row],[Material]]&amp;Detalle_OC[[#This Row],[Pedido]]&amp;Detalle_OC[[#This Row],[Posicion]]</f>
        <v>Agricola del Chira PlantaMontelima762980451157043510</v>
      </c>
      <c r="B1475" t="s">
        <v>145</v>
      </c>
      <c r="C1475" t="s">
        <v>272</v>
      </c>
      <c r="D1475" s="11">
        <v>45628</v>
      </c>
      <c r="E1475" t="s">
        <v>16</v>
      </c>
      <c r="F1475" t="s">
        <v>12</v>
      </c>
      <c r="G1475">
        <v>762980</v>
      </c>
      <c r="H1475">
        <v>4511570435</v>
      </c>
      <c r="I1475">
        <v>10</v>
      </c>
      <c r="J1475" s="29">
        <v>1</v>
      </c>
      <c r="K1475" s="29" t="s">
        <v>83</v>
      </c>
      <c r="L1475" t="str">
        <f>IFERROR(VLOOKUP(Detalle_OC[[#This Row],[Centro]]&amp;Detalle_OC[[#This Row],[Nro Almacen]],Almacen!A:D,4,FALSE),"")</f>
        <v>Montelima</v>
      </c>
    </row>
    <row r="1476" spans="1:12" x14ac:dyDescent="0.3">
      <c r="A1476" s="29" t="str">
        <f>Detalle_OC[[#This Row],[Centro]]&amp;Detalle_OC[[#This Row],[Nom Almacen]]&amp;Detalle_OC[[#This Row],[Material]]&amp;Detalle_OC[[#This Row],[Pedido]]&amp;Detalle_OC[[#This Row],[Posicion]]</f>
        <v>Sucroalcolera del Chira PlantaMontelima70135116451157044310</v>
      </c>
      <c r="B1476" t="s">
        <v>138</v>
      </c>
      <c r="C1476" t="s">
        <v>161</v>
      </c>
      <c r="D1476" s="11">
        <v>45642</v>
      </c>
      <c r="E1476" t="s">
        <v>16</v>
      </c>
      <c r="F1476" t="s">
        <v>85</v>
      </c>
      <c r="G1476">
        <v>70135116</v>
      </c>
      <c r="H1476">
        <v>4511570443</v>
      </c>
      <c r="I1476">
        <v>10</v>
      </c>
      <c r="J1476" s="29">
        <v>1</v>
      </c>
      <c r="K1476" s="29" t="s">
        <v>83</v>
      </c>
      <c r="L1476" t="str">
        <f>IFERROR(VLOOKUP(Detalle_OC[[#This Row],[Centro]]&amp;Detalle_OC[[#This Row],[Nro Almacen]],Almacen!A:D,4,FALSE),"")</f>
        <v>Montelima</v>
      </c>
    </row>
    <row r="1477" spans="1:12" x14ac:dyDescent="0.3">
      <c r="A1477" s="29" t="str">
        <f>Detalle_OC[[#This Row],[Centro]]&amp;Detalle_OC[[#This Row],[Nom Almacen]]&amp;Detalle_OC[[#This Row],[Material]]&amp;Detalle_OC[[#This Row],[Pedido]]&amp;Detalle_OC[[#This Row],[Posicion]]</f>
        <v>Agricola del Chira PlantaMontelima70130986451157045310</v>
      </c>
      <c r="B1477" t="s">
        <v>145</v>
      </c>
      <c r="C1477" t="s">
        <v>143</v>
      </c>
      <c r="D1477" s="11">
        <v>45635</v>
      </c>
      <c r="E1477" t="s">
        <v>16</v>
      </c>
      <c r="F1477" t="s">
        <v>12</v>
      </c>
      <c r="G1477">
        <v>70130986</v>
      </c>
      <c r="H1477">
        <v>4511570453</v>
      </c>
      <c r="I1477">
        <v>10</v>
      </c>
      <c r="J1477" s="29">
        <v>1</v>
      </c>
      <c r="K1477" s="29" t="s">
        <v>83</v>
      </c>
      <c r="L1477" t="str">
        <f>IFERROR(VLOOKUP(Detalle_OC[[#This Row],[Centro]]&amp;Detalle_OC[[#This Row],[Nro Almacen]],Almacen!A:D,4,FALSE),"")</f>
        <v>Montelima</v>
      </c>
    </row>
    <row r="1478" spans="1:12" x14ac:dyDescent="0.3">
      <c r="A1478" s="29" t="str">
        <f>Detalle_OC[[#This Row],[Centro]]&amp;Detalle_OC[[#This Row],[Nom Almacen]]&amp;Detalle_OC[[#This Row],[Material]]&amp;Detalle_OC[[#This Row],[Pedido]]&amp;Detalle_OC[[#This Row],[Posicion]]</f>
        <v>Agricola del Chira PlantaAlmacen Lobo888968451157045410</v>
      </c>
      <c r="B1478" t="s">
        <v>159</v>
      </c>
      <c r="C1478" t="s">
        <v>212</v>
      </c>
      <c r="D1478" s="11">
        <v>45646</v>
      </c>
      <c r="E1478" t="s">
        <v>16</v>
      </c>
      <c r="F1478" t="s">
        <v>12</v>
      </c>
      <c r="G1478">
        <v>888968</v>
      </c>
      <c r="H1478">
        <v>4511570454</v>
      </c>
      <c r="I1478">
        <v>10</v>
      </c>
      <c r="J1478" s="29">
        <v>7</v>
      </c>
      <c r="K1478" s="29" t="s">
        <v>83</v>
      </c>
      <c r="L1478" t="str">
        <f>IFERROR(VLOOKUP(Detalle_OC[[#This Row],[Centro]]&amp;Detalle_OC[[#This Row],[Nro Almacen]],Almacen!A:D,4,FALSE),"")</f>
        <v>Almacen Lobo</v>
      </c>
    </row>
    <row r="1479" spans="1:12" x14ac:dyDescent="0.3">
      <c r="A1479" s="29" t="str">
        <f>Detalle_OC[[#This Row],[Centro]]&amp;Detalle_OC[[#This Row],[Nom Almacen]]&amp;Detalle_OC[[#This Row],[Material]]&amp;Detalle_OC[[#This Row],[Pedido]]&amp;Detalle_OC[[#This Row],[Posicion]]</f>
        <v>Agricola del Chira PlantaMontelima70025935451157045420</v>
      </c>
      <c r="B1479" t="s">
        <v>149</v>
      </c>
      <c r="C1479" t="s">
        <v>212</v>
      </c>
      <c r="D1479" s="11">
        <v>45646</v>
      </c>
      <c r="E1479" t="s">
        <v>16</v>
      </c>
      <c r="F1479" t="s">
        <v>12</v>
      </c>
      <c r="G1479">
        <v>70025935</v>
      </c>
      <c r="H1479">
        <v>4511570454</v>
      </c>
      <c r="I1479">
        <v>20</v>
      </c>
      <c r="J1479" s="29">
        <v>1</v>
      </c>
      <c r="K1479" s="29" t="s">
        <v>83</v>
      </c>
      <c r="L1479" t="str">
        <f>IFERROR(VLOOKUP(Detalle_OC[[#This Row],[Centro]]&amp;Detalle_OC[[#This Row],[Nro Almacen]],Almacen!A:D,4,FALSE),"")</f>
        <v>Montelima</v>
      </c>
    </row>
    <row r="1480" spans="1:12" x14ac:dyDescent="0.3">
      <c r="A1480" s="29" t="str">
        <f>Detalle_OC[[#This Row],[Centro]]&amp;Detalle_OC[[#This Row],[Nom Almacen]]&amp;Detalle_OC[[#This Row],[Material]]&amp;Detalle_OC[[#This Row],[Pedido]]&amp;Detalle_OC[[#This Row],[Posicion]]</f>
        <v>Agricola del Chira PlantaMontelima70025935451157045430</v>
      </c>
      <c r="B1480" t="s">
        <v>186</v>
      </c>
      <c r="C1480" t="s">
        <v>212</v>
      </c>
      <c r="D1480" s="11">
        <v>45646</v>
      </c>
      <c r="E1480" t="s">
        <v>16</v>
      </c>
      <c r="F1480" t="s">
        <v>12</v>
      </c>
      <c r="G1480">
        <v>70025935</v>
      </c>
      <c r="H1480">
        <v>4511570454</v>
      </c>
      <c r="I1480">
        <v>30</v>
      </c>
      <c r="J1480" s="29">
        <v>1</v>
      </c>
      <c r="K1480" s="29" t="s">
        <v>83</v>
      </c>
      <c r="L1480" t="str">
        <f>IFERROR(VLOOKUP(Detalle_OC[[#This Row],[Centro]]&amp;Detalle_OC[[#This Row],[Nro Almacen]],Almacen!A:D,4,FALSE),"")</f>
        <v>Montelima</v>
      </c>
    </row>
    <row r="1481" spans="1:12" x14ac:dyDescent="0.3">
      <c r="A1481" s="29" t="str">
        <f>Detalle_OC[[#This Row],[Centro]]&amp;Detalle_OC[[#This Row],[Nom Almacen]]&amp;Detalle_OC[[#This Row],[Material]]&amp;Detalle_OC[[#This Row],[Pedido]]&amp;Detalle_OC[[#This Row],[Posicion]]</f>
        <v>Agricola del Chira PlantaMontelima70033684451157045440</v>
      </c>
      <c r="B1481" t="s">
        <v>186</v>
      </c>
      <c r="C1481" t="s">
        <v>212</v>
      </c>
      <c r="D1481" s="11">
        <v>45646</v>
      </c>
      <c r="E1481" t="s">
        <v>16</v>
      </c>
      <c r="F1481" t="s">
        <v>12</v>
      </c>
      <c r="G1481">
        <v>70033684</v>
      </c>
      <c r="H1481">
        <v>4511570454</v>
      </c>
      <c r="I1481">
        <v>40</v>
      </c>
      <c r="J1481" s="29">
        <v>1</v>
      </c>
      <c r="K1481" s="29" t="s">
        <v>83</v>
      </c>
      <c r="L1481" t="str">
        <f>IFERROR(VLOOKUP(Detalle_OC[[#This Row],[Centro]]&amp;Detalle_OC[[#This Row],[Nro Almacen]],Almacen!A:D,4,FALSE),"")</f>
        <v>Montelima</v>
      </c>
    </row>
    <row r="1482" spans="1:12" x14ac:dyDescent="0.3">
      <c r="A1482" s="29" t="str">
        <f>Detalle_OC[[#This Row],[Centro]]&amp;Detalle_OC[[#This Row],[Nom Almacen]]&amp;Detalle_OC[[#This Row],[Material]]&amp;Detalle_OC[[#This Row],[Pedido]]&amp;Detalle_OC[[#This Row],[Posicion]]</f>
        <v>Agricola del Chira PlantaMontelima70033685451157045450</v>
      </c>
      <c r="B1482" t="s">
        <v>186</v>
      </c>
      <c r="C1482" t="s">
        <v>212</v>
      </c>
      <c r="D1482" s="11">
        <v>45646</v>
      </c>
      <c r="E1482" t="s">
        <v>16</v>
      </c>
      <c r="F1482" t="s">
        <v>12</v>
      </c>
      <c r="G1482">
        <v>70033685</v>
      </c>
      <c r="H1482">
        <v>4511570454</v>
      </c>
      <c r="I1482">
        <v>50</v>
      </c>
      <c r="J1482" s="29">
        <v>1</v>
      </c>
      <c r="K1482" s="29" t="s">
        <v>83</v>
      </c>
      <c r="L1482" t="str">
        <f>IFERROR(VLOOKUP(Detalle_OC[[#This Row],[Centro]]&amp;Detalle_OC[[#This Row],[Nro Almacen]],Almacen!A:D,4,FALSE),"")</f>
        <v>Montelima</v>
      </c>
    </row>
    <row r="1483" spans="1:12" x14ac:dyDescent="0.3">
      <c r="A1483" s="29" t="str">
        <f>Detalle_OC[[#This Row],[Centro]]&amp;Detalle_OC[[#This Row],[Nom Almacen]]&amp;Detalle_OC[[#This Row],[Material]]&amp;Detalle_OC[[#This Row],[Pedido]]&amp;Detalle_OC[[#This Row],[Posicion]]</f>
        <v>Agricola del Chira PlantaMontelima722108451157045910</v>
      </c>
      <c r="B1483" t="s">
        <v>188</v>
      </c>
      <c r="C1483" t="s">
        <v>22</v>
      </c>
      <c r="D1483" s="11">
        <v>45628</v>
      </c>
      <c r="E1483" t="s">
        <v>16</v>
      </c>
      <c r="F1483" t="s">
        <v>12</v>
      </c>
      <c r="G1483">
        <v>722108</v>
      </c>
      <c r="H1483">
        <v>4511570459</v>
      </c>
      <c r="I1483">
        <v>10</v>
      </c>
      <c r="J1483" s="29">
        <v>1</v>
      </c>
      <c r="K1483" s="29" t="s">
        <v>83</v>
      </c>
      <c r="L1483" t="str">
        <f>IFERROR(VLOOKUP(Detalle_OC[[#This Row],[Centro]]&amp;Detalle_OC[[#This Row],[Nro Almacen]],Almacen!A:D,4,FALSE),"")</f>
        <v>Montelima</v>
      </c>
    </row>
    <row r="1484" spans="1:12" x14ac:dyDescent="0.3">
      <c r="A1484" s="29" t="str">
        <f>Detalle_OC[[#This Row],[Centro]]&amp;Detalle_OC[[#This Row],[Nom Almacen]]&amp;Detalle_OC[[#This Row],[Material]]&amp;Detalle_OC[[#This Row],[Pedido]]&amp;Detalle_OC[[#This Row],[Posicion]]</f>
        <v>Agricola del Chira PlantaMontelima733280451157045920</v>
      </c>
      <c r="B1484" t="s">
        <v>188</v>
      </c>
      <c r="C1484" t="s">
        <v>22</v>
      </c>
      <c r="D1484" s="11">
        <v>45628</v>
      </c>
      <c r="E1484" t="s">
        <v>16</v>
      </c>
      <c r="F1484" t="s">
        <v>12</v>
      </c>
      <c r="G1484">
        <v>733280</v>
      </c>
      <c r="H1484">
        <v>4511570459</v>
      </c>
      <c r="I1484">
        <v>20</v>
      </c>
      <c r="J1484" s="29">
        <v>1</v>
      </c>
      <c r="K1484" s="29" t="s">
        <v>83</v>
      </c>
      <c r="L1484" t="str">
        <f>IFERROR(VLOOKUP(Detalle_OC[[#This Row],[Centro]]&amp;Detalle_OC[[#This Row],[Nro Almacen]],Almacen!A:D,4,FALSE),"")</f>
        <v>Montelima</v>
      </c>
    </row>
    <row r="1485" spans="1:12" x14ac:dyDescent="0.3">
      <c r="A1485" s="29" t="str">
        <f>Detalle_OC[[#This Row],[Centro]]&amp;Detalle_OC[[#This Row],[Nom Almacen]]&amp;Detalle_OC[[#This Row],[Material]]&amp;Detalle_OC[[#This Row],[Pedido]]&amp;Detalle_OC[[#This Row],[Posicion]]</f>
        <v>Agricola del Chira PlantaMontelima735760451157045930</v>
      </c>
      <c r="B1485" t="s">
        <v>188</v>
      </c>
      <c r="C1485" t="s">
        <v>22</v>
      </c>
      <c r="D1485" s="11">
        <v>45628</v>
      </c>
      <c r="E1485" t="s">
        <v>16</v>
      </c>
      <c r="F1485" t="s">
        <v>12</v>
      </c>
      <c r="G1485">
        <v>735760</v>
      </c>
      <c r="H1485">
        <v>4511570459</v>
      </c>
      <c r="I1485">
        <v>30</v>
      </c>
      <c r="J1485" s="29">
        <v>1</v>
      </c>
      <c r="K1485" s="29" t="s">
        <v>83</v>
      </c>
      <c r="L1485" t="str">
        <f>IFERROR(VLOOKUP(Detalle_OC[[#This Row],[Centro]]&amp;Detalle_OC[[#This Row],[Nro Almacen]],Almacen!A:D,4,FALSE),"")</f>
        <v>Montelima</v>
      </c>
    </row>
    <row r="1486" spans="1:12" x14ac:dyDescent="0.3">
      <c r="A1486" s="29" t="str">
        <f>Detalle_OC[[#This Row],[Centro]]&amp;Detalle_OC[[#This Row],[Nom Almacen]]&amp;Detalle_OC[[#This Row],[Material]]&amp;Detalle_OC[[#This Row],[Pedido]]&amp;Detalle_OC[[#This Row],[Posicion]]</f>
        <v>Agricola del Chira PlantaMontelima757786451157045950</v>
      </c>
      <c r="B1486" t="s">
        <v>188</v>
      </c>
      <c r="C1486" t="s">
        <v>22</v>
      </c>
      <c r="D1486" s="11">
        <v>45628</v>
      </c>
      <c r="E1486" t="s">
        <v>16</v>
      </c>
      <c r="F1486" t="s">
        <v>12</v>
      </c>
      <c r="G1486">
        <v>757786</v>
      </c>
      <c r="H1486">
        <v>4511570459</v>
      </c>
      <c r="I1486">
        <v>50</v>
      </c>
      <c r="J1486" s="29">
        <v>1</v>
      </c>
      <c r="K1486" s="29" t="s">
        <v>83</v>
      </c>
      <c r="L1486" t="str">
        <f>IFERROR(VLOOKUP(Detalle_OC[[#This Row],[Centro]]&amp;Detalle_OC[[#This Row],[Nro Almacen]],Almacen!A:D,4,FALSE),"")</f>
        <v>Montelima</v>
      </c>
    </row>
    <row r="1487" spans="1:12" x14ac:dyDescent="0.3">
      <c r="A1487" s="29" t="str">
        <f>Detalle_OC[[#This Row],[Centro]]&amp;Detalle_OC[[#This Row],[Nom Almacen]]&amp;Detalle_OC[[#This Row],[Material]]&amp;Detalle_OC[[#This Row],[Pedido]]&amp;Detalle_OC[[#This Row],[Posicion]]</f>
        <v>Agricola del Chira PlantaMontelima771788451157045960</v>
      </c>
      <c r="B1487" t="s">
        <v>188</v>
      </c>
      <c r="C1487" t="s">
        <v>22</v>
      </c>
      <c r="D1487" s="11">
        <v>45628</v>
      </c>
      <c r="E1487" t="s">
        <v>16</v>
      </c>
      <c r="F1487" t="s">
        <v>12</v>
      </c>
      <c r="G1487">
        <v>771788</v>
      </c>
      <c r="H1487">
        <v>4511570459</v>
      </c>
      <c r="I1487">
        <v>60</v>
      </c>
      <c r="J1487" s="29">
        <v>1</v>
      </c>
      <c r="K1487" s="29" t="s">
        <v>83</v>
      </c>
      <c r="L1487" t="str">
        <f>IFERROR(VLOOKUP(Detalle_OC[[#This Row],[Centro]]&amp;Detalle_OC[[#This Row],[Nro Almacen]],Almacen!A:D,4,FALSE),"")</f>
        <v>Montelima</v>
      </c>
    </row>
    <row r="1488" spans="1:12" x14ac:dyDescent="0.3">
      <c r="A1488" s="29" t="str">
        <f>Detalle_OC[[#This Row],[Centro]]&amp;Detalle_OC[[#This Row],[Nom Almacen]]&amp;Detalle_OC[[#This Row],[Material]]&amp;Detalle_OC[[#This Row],[Pedido]]&amp;Detalle_OC[[#This Row],[Posicion]]</f>
        <v>Agricola del Chira PlantaMontelima771790451157045970</v>
      </c>
      <c r="B1488" t="s">
        <v>188</v>
      </c>
      <c r="C1488" t="s">
        <v>22</v>
      </c>
      <c r="D1488" s="11">
        <v>45628</v>
      </c>
      <c r="E1488" t="s">
        <v>16</v>
      </c>
      <c r="F1488" t="s">
        <v>12</v>
      </c>
      <c r="G1488">
        <v>771790</v>
      </c>
      <c r="H1488">
        <v>4511570459</v>
      </c>
      <c r="I1488">
        <v>70</v>
      </c>
      <c r="J1488" s="29">
        <v>1</v>
      </c>
      <c r="K1488" s="29" t="s">
        <v>83</v>
      </c>
      <c r="L1488" t="str">
        <f>IFERROR(VLOOKUP(Detalle_OC[[#This Row],[Centro]]&amp;Detalle_OC[[#This Row],[Nro Almacen]],Almacen!A:D,4,FALSE),"")</f>
        <v>Montelima</v>
      </c>
    </row>
    <row r="1489" spans="1:12" x14ac:dyDescent="0.3">
      <c r="A1489" s="29" t="str">
        <f>Detalle_OC[[#This Row],[Centro]]&amp;Detalle_OC[[#This Row],[Nom Almacen]]&amp;Detalle_OC[[#This Row],[Material]]&amp;Detalle_OC[[#This Row],[Pedido]]&amp;Detalle_OC[[#This Row],[Posicion]]</f>
        <v>Agricola del Chira PlantaMontelima771810451157045980</v>
      </c>
      <c r="B1489" t="s">
        <v>188</v>
      </c>
      <c r="C1489" t="s">
        <v>22</v>
      </c>
      <c r="D1489" s="11">
        <v>45628</v>
      </c>
      <c r="E1489" t="s">
        <v>16</v>
      </c>
      <c r="F1489" t="s">
        <v>12</v>
      </c>
      <c r="G1489">
        <v>771810</v>
      </c>
      <c r="H1489">
        <v>4511570459</v>
      </c>
      <c r="I1489">
        <v>80</v>
      </c>
      <c r="J1489" s="29">
        <v>1</v>
      </c>
      <c r="K1489" s="29" t="s">
        <v>83</v>
      </c>
      <c r="L1489" t="str">
        <f>IFERROR(VLOOKUP(Detalle_OC[[#This Row],[Centro]]&amp;Detalle_OC[[#This Row],[Nro Almacen]],Almacen!A:D,4,FALSE),"")</f>
        <v>Montelima</v>
      </c>
    </row>
    <row r="1490" spans="1:12" x14ac:dyDescent="0.3">
      <c r="A1490" s="29" t="str">
        <f>Detalle_OC[[#This Row],[Centro]]&amp;Detalle_OC[[#This Row],[Nom Almacen]]&amp;Detalle_OC[[#This Row],[Material]]&amp;Detalle_OC[[#This Row],[Pedido]]&amp;Detalle_OC[[#This Row],[Posicion]]</f>
        <v>Agricola del Chira PlantaMontelima778701451157045990</v>
      </c>
      <c r="B1490" t="s">
        <v>145</v>
      </c>
      <c r="C1490" t="s">
        <v>22</v>
      </c>
      <c r="D1490" s="11">
        <v>45628</v>
      </c>
      <c r="E1490" t="s">
        <v>16</v>
      </c>
      <c r="F1490" t="s">
        <v>12</v>
      </c>
      <c r="G1490">
        <v>778701</v>
      </c>
      <c r="H1490">
        <v>4511570459</v>
      </c>
      <c r="I1490">
        <v>90</v>
      </c>
      <c r="J1490" s="29">
        <v>1</v>
      </c>
      <c r="K1490" s="29" t="s">
        <v>83</v>
      </c>
      <c r="L1490" t="str">
        <f>IFERROR(VLOOKUP(Detalle_OC[[#This Row],[Centro]]&amp;Detalle_OC[[#This Row],[Nro Almacen]],Almacen!A:D,4,FALSE),"")</f>
        <v>Montelima</v>
      </c>
    </row>
    <row r="1491" spans="1:12" x14ac:dyDescent="0.3">
      <c r="A1491" s="29" t="str">
        <f>Detalle_OC[[#This Row],[Centro]]&amp;Detalle_OC[[#This Row],[Nom Almacen]]&amp;Detalle_OC[[#This Row],[Material]]&amp;Detalle_OC[[#This Row],[Pedido]]&amp;Detalle_OC[[#This Row],[Posicion]]</f>
        <v>Agricola del Chira PlantaMontelima8023174511570459100</v>
      </c>
      <c r="B1491" t="s">
        <v>149</v>
      </c>
      <c r="C1491" t="s">
        <v>22</v>
      </c>
      <c r="D1491" s="11">
        <v>45628</v>
      </c>
      <c r="E1491" t="s">
        <v>16</v>
      </c>
      <c r="F1491" t="s">
        <v>12</v>
      </c>
      <c r="G1491">
        <v>802317</v>
      </c>
      <c r="H1491">
        <v>4511570459</v>
      </c>
      <c r="I1491">
        <v>100</v>
      </c>
      <c r="J1491" s="29">
        <v>1</v>
      </c>
      <c r="K1491" s="29" t="s">
        <v>83</v>
      </c>
      <c r="L1491" t="str">
        <f>IFERROR(VLOOKUP(Detalle_OC[[#This Row],[Centro]]&amp;Detalle_OC[[#This Row],[Nro Almacen]],Almacen!A:D,4,FALSE),"")</f>
        <v>Montelima</v>
      </c>
    </row>
    <row r="1492" spans="1:12" x14ac:dyDescent="0.3">
      <c r="A1492" s="29" t="str">
        <f>Detalle_OC[[#This Row],[Centro]]&amp;Detalle_OC[[#This Row],[Nom Almacen]]&amp;Detalle_OC[[#This Row],[Material]]&amp;Detalle_OC[[#This Row],[Pedido]]&amp;Detalle_OC[[#This Row],[Posicion]]</f>
        <v>Agricola del Chira PlantaMontelima8860624511570459110</v>
      </c>
      <c r="B1492" t="s">
        <v>149</v>
      </c>
      <c r="C1492" t="s">
        <v>22</v>
      </c>
      <c r="D1492" s="11">
        <v>45628</v>
      </c>
      <c r="E1492" t="s">
        <v>16</v>
      </c>
      <c r="F1492" t="s">
        <v>12</v>
      </c>
      <c r="G1492">
        <v>886062</v>
      </c>
      <c r="H1492">
        <v>4511570459</v>
      </c>
      <c r="I1492">
        <v>110</v>
      </c>
      <c r="J1492" s="29">
        <v>1</v>
      </c>
      <c r="K1492" s="29" t="s">
        <v>83</v>
      </c>
      <c r="L1492" t="str">
        <f>IFERROR(VLOOKUP(Detalle_OC[[#This Row],[Centro]]&amp;Detalle_OC[[#This Row],[Nro Almacen]],Almacen!A:D,4,FALSE),"")</f>
        <v>Montelima</v>
      </c>
    </row>
    <row r="1493" spans="1:12" x14ac:dyDescent="0.3">
      <c r="A1493" s="29" t="str">
        <f>Detalle_OC[[#This Row],[Centro]]&amp;Detalle_OC[[#This Row],[Nom Almacen]]&amp;Detalle_OC[[#This Row],[Material]]&amp;Detalle_OC[[#This Row],[Pedido]]&amp;Detalle_OC[[#This Row],[Posicion]]</f>
        <v>Agricola del Chira PlantaMontelima8938774511570459120</v>
      </c>
      <c r="B1493" t="s">
        <v>188</v>
      </c>
      <c r="C1493" t="s">
        <v>22</v>
      </c>
      <c r="D1493" s="11">
        <v>45628</v>
      </c>
      <c r="E1493" t="s">
        <v>16</v>
      </c>
      <c r="F1493" t="s">
        <v>12</v>
      </c>
      <c r="G1493">
        <v>893877</v>
      </c>
      <c r="H1493">
        <v>4511570459</v>
      </c>
      <c r="I1493">
        <v>120</v>
      </c>
      <c r="J1493" s="29">
        <v>1</v>
      </c>
      <c r="K1493" s="29" t="s">
        <v>83</v>
      </c>
      <c r="L1493" t="str">
        <f>IFERROR(VLOOKUP(Detalle_OC[[#This Row],[Centro]]&amp;Detalle_OC[[#This Row],[Nro Almacen]],Almacen!A:D,4,FALSE),"")</f>
        <v>Montelima</v>
      </c>
    </row>
    <row r="1494" spans="1:12" x14ac:dyDescent="0.3">
      <c r="A1494" s="29" t="str">
        <f>Detalle_OC[[#This Row],[Centro]]&amp;Detalle_OC[[#This Row],[Nom Almacen]]&amp;Detalle_OC[[#This Row],[Material]]&amp;Detalle_OC[[#This Row],[Pedido]]&amp;Detalle_OC[[#This Row],[Posicion]]</f>
        <v>Agricola del Chira PlantaSan Vicente700767524511570459130</v>
      </c>
      <c r="B1494" t="s">
        <v>33</v>
      </c>
      <c r="C1494" t="s">
        <v>22</v>
      </c>
      <c r="D1494" s="11">
        <v>45628</v>
      </c>
      <c r="E1494" t="s">
        <v>16</v>
      </c>
      <c r="F1494" t="s">
        <v>12</v>
      </c>
      <c r="G1494">
        <v>70076752</v>
      </c>
      <c r="H1494">
        <v>4511570459</v>
      </c>
      <c r="I1494">
        <v>130</v>
      </c>
      <c r="J1494" s="29">
        <v>3</v>
      </c>
      <c r="K1494" s="29" t="s">
        <v>83</v>
      </c>
      <c r="L1494" t="str">
        <f>IFERROR(VLOOKUP(Detalle_OC[[#This Row],[Centro]]&amp;Detalle_OC[[#This Row],[Nro Almacen]],Almacen!A:D,4,FALSE),"")</f>
        <v>San Vicente</v>
      </c>
    </row>
    <row r="1495" spans="1:12" x14ac:dyDescent="0.3">
      <c r="A1495" s="29" t="str">
        <f>Detalle_OC[[#This Row],[Centro]]&amp;Detalle_OC[[#This Row],[Nom Almacen]]&amp;Detalle_OC[[#This Row],[Material]]&amp;Detalle_OC[[#This Row],[Pedido]]&amp;Detalle_OC[[#This Row],[Posicion]]</f>
        <v>Agricola del Chira PlantaMontelima701333244511570459140</v>
      </c>
      <c r="B1495" t="s">
        <v>188</v>
      </c>
      <c r="C1495" t="s">
        <v>22</v>
      </c>
      <c r="D1495" s="11">
        <v>45628</v>
      </c>
      <c r="E1495" t="s">
        <v>16</v>
      </c>
      <c r="F1495" t="s">
        <v>12</v>
      </c>
      <c r="G1495">
        <v>70133324</v>
      </c>
      <c r="H1495">
        <v>4511570459</v>
      </c>
      <c r="I1495">
        <v>140</v>
      </c>
      <c r="J1495" s="29">
        <v>1</v>
      </c>
      <c r="K1495" s="29" t="s">
        <v>83</v>
      </c>
      <c r="L1495" t="str">
        <f>IFERROR(VLOOKUP(Detalle_OC[[#This Row],[Centro]]&amp;Detalle_OC[[#This Row],[Nro Almacen]],Almacen!A:D,4,FALSE),"")</f>
        <v>Montelima</v>
      </c>
    </row>
    <row r="1496" spans="1:12" x14ac:dyDescent="0.3">
      <c r="A1496" s="29" t="str">
        <f>Detalle_OC[[#This Row],[Centro]]&amp;Detalle_OC[[#This Row],[Nom Almacen]]&amp;Detalle_OC[[#This Row],[Material]]&amp;Detalle_OC[[#This Row],[Pedido]]&amp;Detalle_OC[[#This Row],[Posicion]]</f>
        <v>Agricola del Chira PlantaMontelimaCS601222          4511570459150</v>
      </c>
      <c r="B1496" t="s">
        <v>149</v>
      </c>
      <c r="C1496" t="s">
        <v>22</v>
      </c>
      <c r="D1496" s="11">
        <v>45628</v>
      </c>
      <c r="E1496" t="s">
        <v>16</v>
      </c>
      <c r="F1496" t="s">
        <v>12</v>
      </c>
      <c r="G1496" t="s">
        <v>323</v>
      </c>
      <c r="H1496">
        <v>4511570459</v>
      </c>
      <c r="I1496">
        <v>150</v>
      </c>
      <c r="J1496" s="29">
        <v>1</v>
      </c>
      <c r="K1496" s="29" t="s">
        <v>83</v>
      </c>
      <c r="L1496" t="str">
        <f>IFERROR(VLOOKUP(Detalle_OC[[#This Row],[Centro]]&amp;Detalle_OC[[#This Row],[Nro Almacen]],Almacen!A:D,4,FALSE),"")</f>
        <v>Montelima</v>
      </c>
    </row>
    <row r="1497" spans="1:12" x14ac:dyDescent="0.3">
      <c r="A1497" s="29" t="str">
        <f>Detalle_OC[[#This Row],[Centro]]&amp;Detalle_OC[[#This Row],[Nom Almacen]]&amp;Detalle_OC[[#This Row],[Material]]&amp;Detalle_OC[[#This Row],[Pedido]]&amp;Detalle_OC[[#This Row],[Posicion]]</f>
        <v>Agricola del Chira PlantaMontelima864960452009518310</v>
      </c>
      <c r="B1497" t="s">
        <v>234</v>
      </c>
      <c r="C1497" t="s">
        <v>1181</v>
      </c>
      <c r="D1497" s="11">
        <v>45674</v>
      </c>
      <c r="E1497" t="s">
        <v>16</v>
      </c>
      <c r="F1497" t="s">
        <v>12</v>
      </c>
      <c r="G1497">
        <v>864960</v>
      </c>
      <c r="H1497">
        <v>4520095183</v>
      </c>
      <c r="I1497">
        <v>10</v>
      </c>
      <c r="J1497" s="29">
        <v>1</v>
      </c>
      <c r="K1497" s="29" t="s">
        <v>83</v>
      </c>
      <c r="L1497" t="str">
        <f>IFERROR(VLOOKUP(Detalle_OC[[#This Row],[Centro]]&amp;Detalle_OC[[#This Row],[Nro Almacen]],Almacen!A:D,4,FALSE),"")</f>
        <v>Montelima</v>
      </c>
    </row>
    <row r="1498" spans="1:12" x14ac:dyDescent="0.3">
      <c r="A1498" s="29" t="str">
        <f>Detalle_OC[[#This Row],[Centro]]&amp;Detalle_OC[[#This Row],[Nom Almacen]]&amp;Detalle_OC[[#This Row],[Material]]&amp;Detalle_OC[[#This Row],[Pedido]]&amp;Detalle_OC[[#This Row],[Posicion]]</f>
        <v>Agricola del Chira PlantaAlmacen Lobo864960452009518320</v>
      </c>
      <c r="B1498" t="s">
        <v>234</v>
      </c>
      <c r="C1498" t="s">
        <v>1181</v>
      </c>
      <c r="D1498" s="11">
        <v>45674</v>
      </c>
      <c r="E1498" t="s">
        <v>16</v>
      </c>
      <c r="F1498" t="s">
        <v>12</v>
      </c>
      <c r="G1498">
        <v>864960</v>
      </c>
      <c r="H1498">
        <v>4520095183</v>
      </c>
      <c r="I1498">
        <v>20</v>
      </c>
      <c r="J1498" s="29">
        <v>7</v>
      </c>
      <c r="K1498" s="29" t="s">
        <v>83</v>
      </c>
      <c r="L1498" t="str">
        <f>IFERROR(VLOOKUP(Detalle_OC[[#This Row],[Centro]]&amp;Detalle_OC[[#This Row],[Nro Almacen]],Almacen!A:D,4,FALSE),"")</f>
        <v>Almacen Lobo</v>
      </c>
    </row>
    <row r="1499" spans="1:12" x14ac:dyDescent="0.3">
      <c r="A1499" s="29" t="str">
        <f>Detalle_OC[[#This Row],[Centro]]&amp;Detalle_OC[[#This Row],[Nom Almacen]]&amp;Detalle_OC[[#This Row],[Material]]&amp;Detalle_OC[[#This Row],[Pedido]]&amp;Detalle_OC[[#This Row],[Posicion]]</f>
        <v>Agricola del Chira PlantaMontelima70019740452009518330</v>
      </c>
      <c r="B1499" t="s">
        <v>234</v>
      </c>
      <c r="C1499" t="s">
        <v>1181</v>
      </c>
      <c r="D1499" s="11">
        <v>45674</v>
      </c>
      <c r="E1499" t="s">
        <v>16</v>
      </c>
      <c r="F1499" t="s">
        <v>12</v>
      </c>
      <c r="G1499">
        <v>70019740</v>
      </c>
      <c r="H1499">
        <v>4520095183</v>
      </c>
      <c r="I1499">
        <v>30</v>
      </c>
      <c r="J1499" s="29">
        <v>1</v>
      </c>
      <c r="K1499" s="29" t="s">
        <v>83</v>
      </c>
      <c r="L1499" t="str">
        <f>IFERROR(VLOOKUP(Detalle_OC[[#This Row],[Centro]]&amp;Detalle_OC[[#This Row],[Nro Almacen]],Almacen!A:D,4,FALSE),"")</f>
        <v>Montelima</v>
      </c>
    </row>
    <row r="1500" spans="1:12" x14ac:dyDescent="0.3">
      <c r="A1500" s="29" t="str">
        <f>Detalle_OC[[#This Row],[Centro]]&amp;Detalle_OC[[#This Row],[Nom Almacen]]&amp;Detalle_OC[[#This Row],[Material]]&amp;Detalle_OC[[#This Row],[Pedido]]&amp;Detalle_OC[[#This Row],[Posicion]]</f>
        <v>Agricola del Chira PlantaAlmacen Lobo70019740452009518340</v>
      </c>
      <c r="B1500" t="s">
        <v>234</v>
      </c>
      <c r="C1500" t="s">
        <v>1181</v>
      </c>
      <c r="D1500" s="11">
        <v>45674</v>
      </c>
      <c r="E1500" t="s">
        <v>16</v>
      </c>
      <c r="F1500" t="s">
        <v>12</v>
      </c>
      <c r="G1500">
        <v>70019740</v>
      </c>
      <c r="H1500">
        <v>4520095183</v>
      </c>
      <c r="I1500">
        <v>40</v>
      </c>
      <c r="J1500" s="29">
        <v>7</v>
      </c>
      <c r="K1500" s="29" t="s">
        <v>83</v>
      </c>
      <c r="L1500" t="str">
        <f>IFERROR(VLOOKUP(Detalle_OC[[#This Row],[Centro]]&amp;Detalle_OC[[#This Row],[Nro Almacen]],Almacen!A:D,4,FALSE),"")</f>
        <v>Almacen Lobo</v>
      </c>
    </row>
    <row r="1501" spans="1:12" x14ac:dyDescent="0.3">
      <c r="A1501" s="29" t="str">
        <f>Detalle_OC[[#This Row],[Centro]]&amp;Detalle_OC[[#This Row],[Nom Almacen]]&amp;Detalle_OC[[#This Row],[Material]]&amp;Detalle_OC[[#This Row],[Pedido]]&amp;Detalle_OC[[#This Row],[Posicion]]</f>
        <v>Agricola del Chira PlantaMontelima70046815452009518350</v>
      </c>
      <c r="B1501" t="s">
        <v>234</v>
      </c>
      <c r="C1501" t="s">
        <v>1181</v>
      </c>
      <c r="D1501" s="11">
        <v>45674</v>
      </c>
      <c r="E1501" t="s">
        <v>16</v>
      </c>
      <c r="F1501" t="s">
        <v>12</v>
      </c>
      <c r="G1501">
        <v>70046815</v>
      </c>
      <c r="H1501">
        <v>4520095183</v>
      </c>
      <c r="I1501">
        <v>50</v>
      </c>
      <c r="J1501" s="29">
        <v>1</v>
      </c>
      <c r="K1501" s="29" t="s">
        <v>83</v>
      </c>
      <c r="L1501" t="str">
        <f>IFERROR(VLOOKUP(Detalle_OC[[#This Row],[Centro]]&amp;Detalle_OC[[#This Row],[Nro Almacen]],Almacen!A:D,4,FALSE),"")</f>
        <v>Montelima</v>
      </c>
    </row>
    <row r="1502" spans="1:12" x14ac:dyDescent="0.3">
      <c r="A1502" s="29" t="str">
        <f>Detalle_OC[[#This Row],[Centro]]&amp;Detalle_OC[[#This Row],[Nom Almacen]]&amp;Detalle_OC[[#This Row],[Material]]&amp;Detalle_OC[[#This Row],[Pedido]]&amp;Detalle_OC[[#This Row],[Posicion]]</f>
        <v>Agricola del Chira PlantaAlmacen Lobo70046815452009518360</v>
      </c>
      <c r="B1502" t="s">
        <v>234</v>
      </c>
      <c r="C1502" t="s">
        <v>1181</v>
      </c>
      <c r="D1502" s="11">
        <v>45674</v>
      </c>
      <c r="E1502" t="s">
        <v>16</v>
      </c>
      <c r="F1502" t="s">
        <v>12</v>
      </c>
      <c r="G1502">
        <v>70046815</v>
      </c>
      <c r="H1502">
        <v>4520095183</v>
      </c>
      <c r="I1502">
        <v>60</v>
      </c>
      <c r="J1502" s="29">
        <v>7</v>
      </c>
      <c r="K1502" s="29" t="s">
        <v>83</v>
      </c>
      <c r="L1502" t="str">
        <f>IFERROR(VLOOKUP(Detalle_OC[[#This Row],[Centro]]&amp;Detalle_OC[[#This Row],[Nro Almacen]],Almacen!A:D,4,FALSE),"")</f>
        <v>Almacen Lobo</v>
      </c>
    </row>
    <row r="1503" spans="1:12" x14ac:dyDescent="0.3">
      <c r="A1503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1503" t="s">
        <v>28</v>
      </c>
      <c r="C1503" t="s">
        <v>94</v>
      </c>
      <c r="D1503" s="11">
        <v>45614</v>
      </c>
      <c r="E1503" t="s">
        <v>16</v>
      </c>
      <c r="F1503" t="s">
        <v>85</v>
      </c>
      <c r="G1503" t="s">
        <v>95</v>
      </c>
      <c r="H1503">
        <v>5500024746</v>
      </c>
      <c r="I1503">
        <v>10</v>
      </c>
      <c r="J1503" s="29">
        <v>1</v>
      </c>
      <c r="K1503" s="29" t="s">
        <v>83</v>
      </c>
      <c r="L1503" t="str">
        <f>IFERROR(VLOOKUP(Detalle_OC[[#This Row],[Centro]]&amp;Detalle_OC[[#This Row],[Nro Almacen]],Almacen!A:D,4,FALSE),"")</f>
        <v>Montelima</v>
      </c>
    </row>
    <row r="1504" spans="1:12" x14ac:dyDescent="0.3">
      <c r="A1504" s="29" t="str">
        <f>Detalle_OC[[#This Row],[Centro]]&amp;Detalle_OC[[#This Row],[Nom Almacen]]&amp;Detalle_OC[[#This Row],[Material]]&amp;Detalle_OC[[#This Row],[Pedido]]&amp;Detalle_OC[[#This Row],[Posicion]]</f>
        <v>Sucroalcolera del Chira PlantaMontelima70118260550002491110</v>
      </c>
      <c r="B1504" t="s">
        <v>28</v>
      </c>
      <c r="C1504" t="s">
        <v>112</v>
      </c>
      <c r="D1504" s="11">
        <v>45614</v>
      </c>
      <c r="E1504" t="s">
        <v>16</v>
      </c>
      <c r="F1504" t="s">
        <v>85</v>
      </c>
      <c r="G1504">
        <v>70118260</v>
      </c>
      <c r="H1504">
        <v>5500024911</v>
      </c>
      <c r="I1504">
        <v>10</v>
      </c>
      <c r="J1504" s="29">
        <v>1</v>
      </c>
      <c r="K1504" s="29" t="s">
        <v>83</v>
      </c>
      <c r="L1504" t="str">
        <f>IFERROR(VLOOKUP(Detalle_OC[[#This Row],[Centro]]&amp;Detalle_OC[[#This Row],[Nro Almacen]],Almacen!A:D,4,FALSE),"")</f>
        <v>Montelima</v>
      </c>
    </row>
    <row r="1505" spans="1:12" x14ac:dyDescent="0.3">
      <c r="A1505" s="29" t="str">
        <f>Detalle_OC[[#This Row],[Centro]]&amp;Detalle_OC[[#This Row],[Nom Almacen]]&amp;Detalle_OC[[#This Row],[Material]]&amp;Detalle_OC[[#This Row],[Pedido]]&amp;Detalle_OC[[#This Row],[Posicion]]</f>
        <v>Agricola del Chira PlantaMontelima70057474451157021710</v>
      </c>
      <c r="B1505" t="s">
        <v>200</v>
      </c>
      <c r="C1505" t="s">
        <v>297</v>
      </c>
      <c r="D1505" s="11">
        <v>45657</v>
      </c>
      <c r="E1505" t="s">
        <v>48</v>
      </c>
      <c r="F1505" t="s">
        <v>12</v>
      </c>
      <c r="G1505">
        <v>70057474</v>
      </c>
      <c r="H1505">
        <v>4511570217</v>
      </c>
      <c r="I1505">
        <v>10</v>
      </c>
      <c r="J1505" s="29">
        <v>1</v>
      </c>
      <c r="K1505" s="29" t="s">
        <v>87</v>
      </c>
      <c r="L1505" t="str">
        <f>IFERROR(VLOOKUP(Detalle_OC[[#This Row],[Centro]]&amp;Detalle_OC[[#This Row],[Nro Almacen]],Almacen!A:D,4,FALSE),"")</f>
        <v>Montelima</v>
      </c>
    </row>
    <row r="1506" spans="1:12" x14ac:dyDescent="0.3">
      <c r="A1506" s="29" t="str">
        <f>Detalle_OC[[#This Row],[Centro]]&amp;Detalle_OC[[#This Row],[Nom Almacen]]&amp;Detalle_OC[[#This Row],[Material]]&amp;Detalle_OC[[#This Row],[Pedido]]&amp;Detalle_OC[[#This Row],[Posicion]]</f>
        <v>Agricola del Chira PlantaMontelima70057474451157021720</v>
      </c>
      <c r="B1506" t="s">
        <v>200</v>
      </c>
      <c r="C1506" t="s">
        <v>297</v>
      </c>
      <c r="D1506" s="11">
        <v>45657</v>
      </c>
      <c r="E1506" t="s">
        <v>48</v>
      </c>
      <c r="F1506" t="s">
        <v>12</v>
      </c>
      <c r="G1506">
        <v>70057474</v>
      </c>
      <c r="H1506">
        <v>4511570217</v>
      </c>
      <c r="I1506">
        <v>20</v>
      </c>
      <c r="J1506" s="29">
        <v>1</v>
      </c>
      <c r="K1506" s="29" t="s">
        <v>87</v>
      </c>
      <c r="L1506" t="str">
        <f>IFERROR(VLOOKUP(Detalle_OC[[#This Row],[Centro]]&amp;Detalle_OC[[#This Row],[Nro Almacen]],Almacen!A:D,4,FALSE),"")</f>
        <v>Montelima</v>
      </c>
    </row>
    <row r="1507" spans="1:12" x14ac:dyDescent="0.3">
      <c r="A1507" s="29" t="str">
        <f>Detalle_OC[[#This Row],[Centro]]&amp;Detalle_OC[[#This Row],[Nom Almacen]]&amp;Detalle_OC[[#This Row],[Material]]&amp;Detalle_OC[[#This Row],[Pedido]]&amp;Detalle_OC[[#This Row],[Posicion]]</f>
        <v>Agricola del Chira PlantaMontelima70057474451157021730</v>
      </c>
      <c r="B1507" t="s">
        <v>200</v>
      </c>
      <c r="C1507" t="s">
        <v>297</v>
      </c>
      <c r="D1507" s="11">
        <v>45657</v>
      </c>
      <c r="E1507" t="s">
        <v>48</v>
      </c>
      <c r="F1507" t="s">
        <v>12</v>
      </c>
      <c r="G1507">
        <v>70057474</v>
      </c>
      <c r="H1507">
        <v>4511570217</v>
      </c>
      <c r="I1507">
        <v>30</v>
      </c>
      <c r="J1507" s="29">
        <v>1</v>
      </c>
      <c r="K1507" s="29" t="s">
        <v>87</v>
      </c>
      <c r="L1507" t="str">
        <f>IFERROR(VLOOKUP(Detalle_OC[[#This Row],[Centro]]&amp;Detalle_OC[[#This Row],[Nro Almacen]],Almacen!A:D,4,FALSE),"")</f>
        <v>Montelima</v>
      </c>
    </row>
    <row r="1508" spans="1:12" x14ac:dyDescent="0.3">
      <c r="A1508" s="29" t="str">
        <f>Detalle_OC[[#This Row],[Centro]]&amp;Detalle_OC[[#This Row],[Nom Almacen]]&amp;Detalle_OC[[#This Row],[Material]]&amp;Detalle_OC[[#This Row],[Pedido]]&amp;Detalle_OC[[#This Row],[Posicion]]</f>
        <v>Agricola del Chira PlantaMontelima70057474451157021740</v>
      </c>
      <c r="B1508" t="s">
        <v>200</v>
      </c>
      <c r="C1508" t="s">
        <v>297</v>
      </c>
      <c r="D1508" s="11">
        <v>45657</v>
      </c>
      <c r="E1508" t="s">
        <v>48</v>
      </c>
      <c r="F1508" t="s">
        <v>12</v>
      </c>
      <c r="G1508">
        <v>70057474</v>
      </c>
      <c r="H1508">
        <v>4511570217</v>
      </c>
      <c r="I1508">
        <v>40</v>
      </c>
      <c r="J1508" s="29">
        <v>1</v>
      </c>
      <c r="K1508" s="29" t="s">
        <v>87</v>
      </c>
      <c r="L1508" t="str">
        <f>IFERROR(VLOOKUP(Detalle_OC[[#This Row],[Centro]]&amp;Detalle_OC[[#This Row],[Nro Almacen]],Almacen!A:D,4,FALSE),"")</f>
        <v>Montelima</v>
      </c>
    </row>
    <row r="1509" spans="1:12" x14ac:dyDescent="0.3">
      <c r="A1509" s="29" t="str">
        <f>Detalle_OC[[#This Row],[Centro]]&amp;Detalle_OC[[#This Row],[Nom Almacen]]&amp;Detalle_OC[[#This Row],[Material]]&amp;Detalle_OC[[#This Row],[Pedido]]&amp;Detalle_OC[[#This Row],[Posicion]]</f>
        <v>Agricola del Chira PlantaMontelima70057474451157021750</v>
      </c>
      <c r="B1509" t="s">
        <v>200</v>
      </c>
      <c r="C1509" t="s">
        <v>297</v>
      </c>
      <c r="D1509" s="11">
        <v>45657</v>
      </c>
      <c r="E1509" t="s">
        <v>48</v>
      </c>
      <c r="F1509" t="s">
        <v>12</v>
      </c>
      <c r="G1509">
        <v>70057474</v>
      </c>
      <c r="H1509">
        <v>4511570217</v>
      </c>
      <c r="I1509">
        <v>50</v>
      </c>
      <c r="J1509" s="29">
        <v>1</v>
      </c>
      <c r="K1509" s="29" t="s">
        <v>87</v>
      </c>
      <c r="L1509" t="str">
        <f>IFERROR(VLOOKUP(Detalle_OC[[#This Row],[Centro]]&amp;Detalle_OC[[#This Row],[Nro Almacen]],Almacen!A:D,4,FALSE),"")</f>
        <v>Montelima</v>
      </c>
    </row>
    <row r="1510" spans="1:12" x14ac:dyDescent="0.3">
      <c r="A1510" s="29" t="str">
        <f>Detalle_OC[[#This Row],[Centro]]&amp;Detalle_OC[[#This Row],[Nom Almacen]]&amp;Detalle_OC[[#This Row],[Material]]&amp;Detalle_OC[[#This Row],[Pedido]]&amp;Detalle_OC[[#This Row],[Posicion]]</f>
        <v>Agricola del Chira PlantaMontelima70057474451157021760</v>
      </c>
      <c r="B1510" t="s">
        <v>200</v>
      </c>
      <c r="C1510" t="s">
        <v>297</v>
      </c>
      <c r="D1510" s="11">
        <v>45657</v>
      </c>
      <c r="E1510" t="s">
        <v>48</v>
      </c>
      <c r="F1510" t="s">
        <v>12</v>
      </c>
      <c r="G1510">
        <v>70057474</v>
      </c>
      <c r="H1510">
        <v>4511570217</v>
      </c>
      <c r="I1510">
        <v>60</v>
      </c>
      <c r="J1510" s="29">
        <v>1</v>
      </c>
      <c r="K1510" s="29" t="s">
        <v>87</v>
      </c>
      <c r="L1510" t="str">
        <f>IFERROR(VLOOKUP(Detalle_OC[[#This Row],[Centro]]&amp;Detalle_OC[[#This Row],[Nro Almacen]],Almacen!A:D,4,FALSE),"")</f>
        <v>Montelima</v>
      </c>
    </row>
    <row r="1511" spans="1:12" x14ac:dyDescent="0.3">
      <c r="A1511" s="29" t="str">
        <f>Detalle_OC[[#This Row],[Centro]]&amp;Detalle_OC[[#This Row],[Nom Almacen]]&amp;Detalle_OC[[#This Row],[Material]]&amp;Detalle_OC[[#This Row],[Pedido]]&amp;Detalle_OC[[#This Row],[Posicion]]</f>
        <v>Sucroalcolera del Chira PlantaMontelima70057474451157021810</v>
      </c>
      <c r="B1511" t="s">
        <v>200</v>
      </c>
      <c r="C1511" t="s">
        <v>297</v>
      </c>
      <c r="D1511" s="11">
        <v>45657</v>
      </c>
      <c r="E1511" t="s">
        <v>48</v>
      </c>
      <c r="F1511" t="s">
        <v>85</v>
      </c>
      <c r="G1511">
        <v>70057474</v>
      </c>
      <c r="H1511">
        <v>4511570218</v>
      </c>
      <c r="I1511">
        <v>10</v>
      </c>
      <c r="J1511" s="29">
        <v>1</v>
      </c>
      <c r="K1511" s="29" t="s">
        <v>87</v>
      </c>
      <c r="L1511" t="str">
        <f>IFERROR(VLOOKUP(Detalle_OC[[#This Row],[Centro]]&amp;Detalle_OC[[#This Row],[Nro Almacen]],Almacen!A:D,4,FALSE),"")</f>
        <v>Montelima</v>
      </c>
    </row>
    <row r="1512" spans="1:12" x14ac:dyDescent="0.3">
      <c r="A1512" s="29" t="str">
        <f>Detalle_OC[[#This Row],[Centro]]&amp;Detalle_OC[[#This Row],[Nom Almacen]]&amp;Detalle_OC[[#This Row],[Material]]&amp;Detalle_OC[[#This Row],[Pedido]]&amp;Detalle_OC[[#This Row],[Posicion]]</f>
        <v>Sucroalcolera del Chira PlantaMontelima70057474451157021820</v>
      </c>
      <c r="B1512" t="s">
        <v>200</v>
      </c>
      <c r="C1512" t="s">
        <v>297</v>
      </c>
      <c r="D1512" s="11">
        <v>45657</v>
      </c>
      <c r="E1512" t="s">
        <v>48</v>
      </c>
      <c r="F1512" t="s">
        <v>85</v>
      </c>
      <c r="G1512">
        <v>70057474</v>
      </c>
      <c r="H1512">
        <v>4511570218</v>
      </c>
      <c r="I1512">
        <v>20</v>
      </c>
      <c r="J1512" s="29">
        <v>1</v>
      </c>
      <c r="K1512" s="29" t="s">
        <v>87</v>
      </c>
      <c r="L1512" t="str">
        <f>IFERROR(VLOOKUP(Detalle_OC[[#This Row],[Centro]]&amp;Detalle_OC[[#This Row],[Nro Almacen]],Almacen!A:D,4,FALSE),"")</f>
        <v>Montelima</v>
      </c>
    </row>
    <row r="1513" spans="1:12" x14ac:dyDescent="0.3">
      <c r="A1513" s="29" t="str">
        <f>Detalle_OC[[#This Row],[Centro]]&amp;Detalle_OC[[#This Row],[Nom Almacen]]&amp;Detalle_OC[[#This Row],[Material]]&amp;Detalle_OC[[#This Row],[Pedido]]&amp;Detalle_OC[[#This Row],[Posicion]]</f>
        <v>Sucroalcolera del Chira PlantaMontelimaMWCARAMELO858     451157023810</v>
      </c>
      <c r="B1513" t="s">
        <v>175</v>
      </c>
      <c r="C1513" t="s">
        <v>1182</v>
      </c>
      <c r="D1513" s="11">
        <v>45657</v>
      </c>
      <c r="E1513" t="s">
        <v>16</v>
      </c>
      <c r="F1513" t="s">
        <v>85</v>
      </c>
      <c r="G1513" t="s">
        <v>1074</v>
      </c>
      <c r="H1513">
        <v>4511570238</v>
      </c>
      <c r="I1513">
        <v>10</v>
      </c>
      <c r="J1513" s="29">
        <v>1</v>
      </c>
      <c r="K1513" s="29" t="s">
        <v>87</v>
      </c>
      <c r="L1513" t="str">
        <f>IFERROR(VLOOKUP(Detalle_OC[[#This Row],[Centro]]&amp;Detalle_OC[[#This Row],[Nro Almacen]],Almacen!A:D,4,FALSE),"")</f>
        <v>Montelima</v>
      </c>
    </row>
    <row r="1514" spans="1:12" x14ac:dyDescent="0.3">
      <c r="A1514" s="29" t="str">
        <f>Detalle_OC[[#This Row],[Centro]]&amp;Detalle_OC[[#This Row],[Nom Almacen]]&amp;Detalle_OC[[#This Row],[Material]]&amp;Detalle_OC[[#This Row],[Pedido]]&amp;Detalle_OC[[#This Row],[Posicion]]</f>
        <v>Sucroalcolera del Chira PlantaMontelima872000451157023910</v>
      </c>
      <c r="B1514" t="s">
        <v>138</v>
      </c>
      <c r="C1514" t="s">
        <v>197</v>
      </c>
      <c r="D1514" s="11">
        <v>45635</v>
      </c>
      <c r="E1514" t="s">
        <v>16</v>
      </c>
      <c r="F1514" t="s">
        <v>85</v>
      </c>
      <c r="G1514">
        <v>872000</v>
      </c>
      <c r="H1514">
        <v>4511570239</v>
      </c>
      <c r="I1514">
        <v>10</v>
      </c>
      <c r="J1514" s="29">
        <v>1</v>
      </c>
      <c r="K1514" s="29" t="s">
        <v>87</v>
      </c>
      <c r="L1514" t="str">
        <f>IFERROR(VLOOKUP(Detalle_OC[[#This Row],[Centro]]&amp;Detalle_OC[[#This Row],[Nro Almacen]],Almacen!A:D,4,FALSE),"")</f>
        <v>Montelima</v>
      </c>
    </row>
    <row r="1515" spans="1:12" x14ac:dyDescent="0.3">
      <c r="A1515" s="29" t="str">
        <f>Detalle_OC[[#This Row],[Centro]]&amp;Detalle_OC[[#This Row],[Nom Almacen]]&amp;Detalle_OC[[#This Row],[Material]]&amp;Detalle_OC[[#This Row],[Pedido]]&amp;Detalle_OC[[#This Row],[Posicion]]</f>
        <v>Agricola del Chira PlantaLa Huaca760364451157025710</v>
      </c>
      <c r="B1515" t="s">
        <v>26</v>
      </c>
      <c r="C1515" t="s">
        <v>240</v>
      </c>
      <c r="D1515" s="11">
        <v>45637</v>
      </c>
      <c r="E1515" t="s">
        <v>16</v>
      </c>
      <c r="F1515" t="s">
        <v>12</v>
      </c>
      <c r="G1515">
        <v>760364</v>
      </c>
      <c r="H1515">
        <v>4511570257</v>
      </c>
      <c r="I1515">
        <v>10</v>
      </c>
      <c r="J1515" s="29">
        <v>2</v>
      </c>
      <c r="K1515" s="29" t="s">
        <v>87</v>
      </c>
      <c r="L1515" t="str">
        <f>IFERROR(VLOOKUP(Detalle_OC[[#This Row],[Centro]]&amp;Detalle_OC[[#This Row],[Nro Almacen]],Almacen!A:D,4,FALSE),"")</f>
        <v>La Huaca</v>
      </c>
    </row>
    <row r="1516" spans="1:12" x14ac:dyDescent="0.3">
      <c r="A1516" s="29" t="str">
        <f>Detalle_OC[[#This Row],[Centro]]&amp;Detalle_OC[[#This Row],[Nom Almacen]]&amp;Detalle_OC[[#This Row],[Material]]&amp;Detalle_OC[[#This Row],[Pedido]]&amp;Detalle_OC[[#This Row],[Posicion]]</f>
        <v>Sucroalcolera del Chira PlantaMontelima860096451157026210</v>
      </c>
      <c r="B1516" t="s">
        <v>202</v>
      </c>
      <c r="C1516" t="s">
        <v>272</v>
      </c>
      <c r="D1516" s="11">
        <v>45625</v>
      </c>
      <c r="E1516" t="s">
        <v>16</v>
      </c>
      <c r="F1516" t="s">
        <v>85</v>
      </c>
      <c r="G1516">
        <v>860096</v>
      </c>
      <c r="H1516">
        <v>4511570262</v>
      </c>
      <c r="I1516">
        <v>10</v>
      </c>
      <c r="J1516" s="29">
        <v>1</v>
      </c>
      <c r="K1516" s="29" t="s">
        <v>87</v>
      </c>
      <c r="L1516" t="str">
        <f>IFERROR(VLOOKUP(Detalle_OC[[#This Row],[Centro]]&amp;Detalle_OC[[#This Row],[Nro Almacen]],Almacen!A:D,4,FALSE),"")</f>
        <v>Montelima</v>
      </c>
    </row>
    <row r="1517" spans="1:12" x14ac:dyDescent="0.3">
      <c r="A1517" s="29" t="str">
        <f>Detalle_OC[[#This Row],[Centro]]&amp;Detalle_OC[[#This Row],[Nom Almacen]]&amp;Detalle_OC[[#This Row],[Material]]&amp;Detalle_OC[[#This Row],[Pedido]]&amp;Detalle_OC[[#This Row],[Posicion]]</f>
        <v>Sucroalcolera del Chira PlantaMontelima70096511451157026220</v>
      </c>
      <c r="B1517" t="s">
        <v>156</v>
      </c>
      <c r="C1517" t="s">
        <v>272</v>
      </c>
      <c r="D1517" s="11">
        <v>45625</v>
      </c>
      <c r="E1517" t="s">
        <v>16</v>
      </c>
      <c r="F1517" t="s">
        <v>85</v>
      </c>
      <c r="G1517">
        <v>70096511</v>
      </c>
      <c r="H1517">
        <v>4511570262</v>
      </c>
      <c r="I1517">
        <v>20</v>
      </c>
      <c r="J1517" s="29">
        <v>1</v>
      </c>
      <c r="K1517" s="29" t="s">
        <v>87</v>
      </c>
      <c r="L1517" t="str">
        <f>IFERROR(VLOOKUP(Detalle_OC[[#This Row],[Centro]]&amp;Detalle_OC[[#This Row],[Nro Almacen]],Almacen!A:D,4,FALSE),"")</f>
        <v>Montelima</v>
      </c>
    </row>
    <row r="1518" spans="1:12" x14ac:dyDescent="0.3">
      <c r="A1518" s="29" t="str">
        <f>Detalle_OC[[#This Row],[Centro]]&amp;Detalle_OC[[#This Row],[Nom Almacen]]&amp;Detalle_OC[[#This Row],[Material]]&amp;Detalle_OC[[#This Row],[Pedido]]&amp;Detalle_OC[[#This Row],[Posicion]]</f>
        <v>FALSO</v>
      </c>
      <c r="B1518" t="s">
        <v>163</v>
      </c>
      <c r="D1518" s="11" t="s">
        <v>164</v>
      </c>
      <c r="E1518" t="b">
        <v>0</v>
      </c>
      <c r="F1518" t="b">
        <v>0</v>
      </c>
      <c r="J1518" s="29"/>
      <c r="K1518" s="29"/>
      <c r="L1518" t="str">
        <f>IFERROR(VLOOKUP(Detalle_OC[[#This Row],[Centro]]&amp;Detalle_OC[[#This Row],[Nro Almacen]],Almacen!A:D,4,FALSE),"")</f>
        <v/>
      </c>
    </row>
    <row r="1519" spans="1:12" x14ac:dyDescent="0.3">
      <c r="A1519" s="29" t="str">
        <f>Detalle_OC[[#This Row],[Centro]]&amp;Detalle_OC[[#This Row],[Nom Almacen]]&amp;Detalle_OC[[#This Row],[Material]]&amp;Detalle_OC[[#This Row],[Pedido]]&amp;Detalle_OC[[#This Row],[Posicion]]</f>
        <v>FALSO4511570266101</v>
      </c>
      <c r="B1519" t="s">
        <v>207</v>
      </c>
      <c r="C1519" t="s">
        <v>886</v>
      </c>
      <c r="D1519" s="11" t="s">
        <v>1229</v>
      </c>
      <c r="E1519" t="b">
        <v>0</v>
      </c>
      <c r="F1519" t="b">
        <v>0</v>
      </c>
      <c r="G1519">
        <v>4511570266</v>
      </c>
      <c r="H1519">
        <v>10</v>
      </c>
      <c r="I1519">
        <v>1</v>
      </c>
      <c r="J1519" s="29" t="s">
        <v>87</v>
      </c>
      <c r="K1519" s="29"/>
      <c r="L1519" t="str">
        <f>IFERROR(VLOOKUP(Detalle_OC[[#This Row],[Centro]]&amp;Detalle_OC[[#This Row],[Nro Almacen]],Almacen!A:D,4,FALSE),"")</f>
        <v/>
      </c>
    </row>
    <row r="1520" spans="1:12" x14ac:dyDescent="0.3">
      <c r="A1520" s="29" t="str">
        <f>Detalle_OC[[#This Row],[Centro]]&amp;Detalle_OC[[#This Row],[Nom Almacen]]&amp;Detalle_OC[[#This Row],[Material]]&amp;Detalle_OC[[#This Row],[Pedido]]&amp;Detalle_OC[[#This Row],[Posicion]]</f>
        <v>Agricola del Chira PlantaMontelima839407451157027910</v>
      </c>
      <c r="B1520" t="s">
        <v>149</v>
      </c>
      <c r="C1520" t="s">
        <v>166</v>
      </c>
      <c r="D1520" s="11">
        <v>45635</v>
      </c>
      <c r="E1520" t="s">
        <v>16</v>
      </c>
      <c r="F1520" t="s">
        <v>12</v>
      </c>
      <c r="G1520">
        <v>839407</v>
      </c>
      <c r="H1520">
        <v>4511570279</v>
      </c>
      <c r="I1520">
        <v>10</v>
      </c>
      <c r="J1520" s="29">
        <v>1</v>
      </c>
      <c r="K1520" s="29" t="s">
        <v>87</v>
      </c>
      <c r="L1520" t="str">
        <f>IFERROR(VLOOKUP(Detalle_OC[[#This Row],[Centro]]&amp;Detalle_OC[[#This Row],[Nro Almacen]],Almacen!A:D,4,FALSE),"")</f>
        <v>Montelima</v>
      </c>
    </row>
    <row r="1521" spans="1:12" x14ac:dyDescent="0.3">
      <c r="A1521" s="29" t="str">
        <f>Detalle_OC[[#This Row],[Centro]]&amp;Detalle_OC[[#This Row],[Nom Almacen]]&amp;Detalle_OC[[#This Row],[Material]]&amp;Detalle_OC[[#This Row],[Pedido]]&amp;Detalle_OC[[#This Row],[Posicion]]</f>
        <v>Agricola del Chira PlantaMontelima839409451157027920</v>
      </c>
      <c r="B1521" t="s">
        <v>149</v>
      </c>
      <c r="C1521" t="s">
        <v>166</v>
      </c>
      <c r="D1521" s="11">
        <v>45635</v>
      </c>
      <c r="E1521" t="s">
        <v>16</v>
      </c>
      <c r="F1521" t="s">
        <v>12</v>
      </c>
      <c r="G1521">
        <v>839409</v>
      </c>
      <c r="H1521">
        <v>4511570279</v>
      </c>
      <c r="I1521">
        <v>20</v>
      </c>
      <c r="J1521" s="29">
        <v>1</v>
      </c>
      <c r="K1521" s="29" t="s">
        <v>87</v>
      </c>
      <c r="L1521" t="str">
        <f>IFERROR(VLOOKUP(Detalle_OC[[#This Row],[Centro]]&amp;Detalle_OC[[#This Row],[Nro Almacen]],Almacen!A:D,4,FALSE),"")</f>
        <v>Montelima</v>
      </c>
    </row>
    <row r="1522" spans="1:12" x14ac:dyDescent="0.3">
      <c r="A1522" s="29" t="str">
        <f>Detalle_OC[[#This Row],[Centro]]&amp;Detalle_OC[[#This Row],[Nom Almacen]]&amp;Detalle_OC[[#This Row],[Material]]&amp;Detalle_OC[[#This Row],[Pedido]]&amp;Detalle_OC[[#This Row],[Posicion]]</f>
        <v>Agricola del Chira PlantaMontelima880920451157027930</v>
      </c>
      <c r="B1522" t="s">
        <v>188</v>
      </c>
      <c r="C1522" t="s">
        <v>166</v>
      </c>
      <c r="D1522" s="11">
        <v>45635</v>
      </c>
      <c r="E1522" t="s">
        <v>16</v>
      </c>
      <c r="F1522" t="s">
        <v>12</v>
      </c>
      <c r="G1522">
        <v>880920</v>
      </c>
      <c r="H1522">
        <v>4511570279</v>
      </c>
      <c r="I1522">
        <v>30</v>
      </c>
      <c r="J1522" s="29">
        <v>1</v>
      </c>
      <c r="K1522" s="29" t="s">
        <v>87</v>
      </c>
      <c r="L1522" t="str">
        <f>IFERROR(VLOOKUP(Detalle_OC[[#This Row],[Centro]]&amp;Detalle_OC[[#This Row],[Nro Almacen]],Almacen!A:D,4,FALSE),"")</f>
        <v>Montelima</v>
      </c>
    </row>
    <row r="1523" spans="1:12" x14ac:dyDescent="0.3">
      <c r="A1523" s="29" t="str">
        <f>Detalle_OC[[#This Row],[Centro]]&amp;Detalle_OC[[#This Row],[Nom Almacen]]&amp;Detalle_OC[[#This Row],[Material]]&amp;Detalle_OC[[#This Row],[Pedido]]&amp;Detalle_OC[[#This Row],[Posicion]]</f>
        <v>Agricola del Chira PlantaMontelima70135087451157027950</v>
      </c>
      <c r="B1523" t="s">
        <v>149</v>
      </c>
      <c r="C1523" t="s">
        <v>166</v>
      </c>
      <c r="D1523" s="11">
        <v>45635</v>
      </c>
      <c r="E1523" t="s">
        <v>16</v>
      </c>
      <c r="F1523" t="s">
        <v>12</v>
      </c>
      <c r="G1523">
        <v>70135087</v>
      </c>
      <c r="H1523">
        <v>4511570279</v>
      </c>
      <c r="I1523">
        <v>50</v>
      </c>
      <c r="J1523" s="29">
        <v>1</v>
      </c>
      <c r="K1523" s="29" t="s">
        <v>87</v>
      </c>
      <c r="L1523" t="str">
        <f>IFERROR(VLOOKUP(Detalle_OC[[#This Row],[Centro]]&amp;Detalle_OC[[#This Row],[Nro Almacen]],Almacen!A:D,4,FALSE),"")</f>
        <v>Montelima</v>
      </c>
    </row>
    <row r="1524" spans="1:12" x14ac:dyDescent="0.3">
      <c r="A1524" s="29" t="str">
        <f>Detalle_OC[[#This Row],[Centro]]&amp;Detalle_OC[[#This Row],[Nom Almacen]]&amp;Detalle_OC[[#This Row],[Material]]&amp;Detalle_OC[[#This Row],[Pedido]]&amp;Detalle_OC[[#This Row],[Posicion]]</f>
        <v>Agricola del Chira PlantaMontelima758391451157027960</v>
      </c>
      <c r="B1524" t="s">
        <v>149</v>
      </c>
      <c r="C1524" t="s">
        <v>166</v>
      </c>
      <c r="D1524" s="11">
        <v>45635</v>
      </c>
      <c r="E1524" t="s">
        <v>16</v>
      </c>
      <c r="F1524" t="s">
        <v>12</v>
      </c>
      <c r="G1524">
        <v>758391</v>
      </c>
      <c r="H1524">
        <v>4511570279</v>
      </c>
      <c r="I1524">
        <v>60</v>
      </c>
      <c r="J1524" s="29">
        <v>1</v>
      </c>
      <c r="K1524" s="29" t="s">
        <v>87</v>
      </c>
      <c r="L1524" t="str">
        <f>IFERROR(VLOOKUP(Detalle_OC[[#This Row],[Centro]]&amp;Detalle_OC[[#This Row],[Nro Almacen]],Almacen!A:D,4,FALSE),"")</f>
        <v>Montelima</v>
      </c>
    </row>
    <row r="1525" spans="1:12" x14ac:dyDescent="0.3">
      <c r="A1525" s="29" t="str">
        <f>Detalle_OC[[#This Row],[Centro]]&amp;Detalle_OC[[#This Row],[Nom Almacen]]&amp;Detalle_OC[[#This Row],[Material]]&amp;Detalle_OC[[#This Row],[Pedido]]&amp;Detalle_OC[[#This Row],[Posicion]]</f>
        <v>Agricola del Chira PlantaMontelima810139451157027970</v>
      </c>
      <c r="B1525" t="s">
        <v>149</v>
      </c>
      <c r="C1525" t="s">
        <v>166</v>
      </c>
      <c r="D1525" s="11">
        <v>45635</v>
      </c>
      <c r="E1525" t="s">
        <v>16</v>
      </c>
      <c r="F1525" t="s">
        <v>12</v>
      </c>
      <c r="G1525">
        <v>810139</v>
      </c>
      <c r="H1525">
        <v>4511570279</v>
      </c>
      <c r="I1525">
        <v>70</v>
      </c>
      <c r="J1525" s="29">
        <v>1</v>
      </c>
      <c r="K1525" s="29" t="s">
        <v>87</v>
      </c>
      <c r="L1525" t="str">
        <f>IFERROR(VLOOKUP(Detalle_OC[[#This Row],[Centro]]&amp;Detalle_OC[[#This Row],[Nro Almacen]],Almacen!A:D,4,FALSE),"")</f>
        <v>Montelima</v>
      </c>
    </row>
    <row r="1526" spans="1:12" x14ac:dyDescent="0.3">
      <c r="A1526" s="29" t="str">
        <f>Detalle_OC[[#This Row],[Centro]]&amp;Detalle_OC[[#This Row],[Nom Almacen]]&amp;Detalle_OC[[#This Row],[Material]]&amp;Detalle_OC[[#This Row],[Pedido]]&amp;Detalle_OC[[#This Row],[Posicion]]</f>
        <v>Agricola del Chira PlantaMontelima822812451157027980</v>
      </c>
      <c r="B1526" t="s">
        <v>149</v>
      </c>
      <c r="C1526" t="s">
        <v>166</v>
      </c>
      <c r="D1526" s="11">
        <v>45635</v>
      </c>
      <c r="E1526" t="s">
        <v>16</v>
      </c>
      <c r="F1526" t="s">
        <v>12</v>
      </c>
      <c r="G1526">
        <v>822812</v>
      </c>
      <c r="H1526">
        <v>4511570279</v>
      </c>
      <c r="I1526">
        <v>80</v>
      </c>
      <c r="J1526" s="29">
        <v>1</v>
      </c>
      <c r="K1526" s="29" t="s">
        <v>87</v>
      </c>
      <c r="L1526" t="str">
        <f>IFERROR(VLOOKUP(Detalle_OC[[#This Row],[Centro]]&amp;Detalle_OC[[#This Row],[Nro Almacen]],Almacen!A:D,4,FALSE),"")</f>
        <v>Montelima</v>
      </c>
    </row>
    <row r="1527" spans="1:12" x14ac:dyDescent="0.3">
      <c r="A1527" s="29" t="str">
        <f>Detalle_OC[[#This Row],[Centro]]&amp;Detalle_OC[[#This Row],[Nom Almacen]]&amp;Detalle_OC[[#This Row],[Material]]&amp;Detalle_OC[[#This Row],[Pedido]]&amp;Detalle_OC[[#This Row],[Posicion]]</f>
        <v>Agricola del Chira PlantaAlmacen Lobo822812451157027990</v>
      </c>
      <c r="B1527" t="s">
        <v>149</v>
      </c>
      <c r="C1527" t="s">
        <v>166</v>
      </c>
      <c r="D1527" s="11">
        <v>45635</v>
      </c>
      <c r="E1527" t="s">
        <v>16</v>
      </c>
      <c r="F1527" t="s">
        <v>12</v>
      </c>
      <c r="G1527">
        <v>822812</v>
      </c>
      <c r="H1527">
        <v>4511570279</v>
      </c>
      <c r="I1527">
        <v>90</v>
      </c>
      <c r="J1527" s="29">
        <v>7</v>
      </c>
      <c r="K1527" s="29" t="s">
        <v>87</v>
      </c>
      <c r="L1527" t="str">
        <f>IFERROR(VLOOKUP(Detalle_OC[[#This Row],[Centro]]&amp;Detalle_OC[[#This Row],[Nro Almacen]],Almacen!A:D,4,FALSE),"")</f>
        <v>Almacen Lobo</v>
      </c>
    </row>
    <row r="1528" spans="1:12" x14ac:dyDescent="0.3">
      <c r="A1528" s="29" t="str">
        <f>Detalle_OC[[#This Row],[Centro]]&amp;Detalle_OC[[#This Row],[Nom Almacen]]&amp;Detalle_OC[[#This Row],[Material]]&amp;Detalle_OC[[#This Row],[Pedido]]&amp;Detalle_OC[[#This Row],[Posicion]]</f>
        <v>Agricola del Chira PlantaMontelima8446314511570279110</v>
      </c>
      <c r="B1528" t="s">
        <v>149</v>
      </c>
      <c r="C1528" t="s">
        <v>166</v>
      </c>
      <c r="D1528" s="11">
        <v>45635</v>
      </c>
      <c r="E1528" t="s">
        <v>16</v>
      </c>
      <c r="F1528" t="s">
        <v>12</v>
      </c>
      <c r="G1528">
        <v>844631</v>
      </c>
      <c r="H1528">
        <v>4511570279</v>
      </c>
      <c r="I1528">
        <v>110</v>
      </c>
      <c r="J1528" s="29">
        <v>1</v>
      </c>
      <c r="K1528" s="29" t="s">
        <v>87</v>
      </c>
      <c r="L1528" t="str">
        <f>IFERROR(VLOOKUP(Detalle_OC[[#This Row],[Centro]]&amp;Detalle_OC[[#This Row],[Nro Almacen]],Almacen!A:D,4,FALSE),"")</f>
        <v>Montelima</v>
      </c>
    </row>
    <row r="1529" spans="1:12" x14ac:dyDescent="0.3">
      <c r="A1529" s="29" t="str">
        <f>Detalle_OC[[#This Row],[Centro]]&amp;Detalle_OC[[#This Row],[Nom Almacen]]&amp;Detalle_OC[[#This Row],[Material]]&amp;Detalle_OC[[#This Row],[Pedido]]&amp;Detalle_OC[[#This Row],[Posicion]]</f>
        <v>Agricola del Chira PlantaMontelima8466484511570279120</v>
      </c>
      <c r="B1529" t="s">
        <v>149</v>
      </c>
      <c r="C1529" t="s">
        <v>166</v>
      </c>
      <c r="D1529" s="11">
        <v>45635</v>
      </c>
      <c r="E1529" t="s">
        <v>16</v>
      </c>
      <c r="F1529" t="s">
        <v>12</v>
      </c>
      <c r="G1529">
        <v>846648</v>
      </c>
      <c r="H1529">
        <v>4511570279</v>
      </c>
      <c r="I1529">
        <v>120</v>
      </c>
      <c r="J1529" s="29">
        <v>1</v>
      </c>
      <c r="K1529" s="29" t="s">
        <v>87</v>
      </c>
      <c r="L1529" t="str">
        <f>IFERROR(VLOOKUP(Detalle_OC[[#This Row],[Centro]]&amp;Detalle_OC[[#This Row],[Nro Almacen]],Almacen!A:D,4,FALSE),"")</f>
        <v>Montelima</v>
      </c>
    </row>
    <row r="1530" spans="1:12" x14ac:dyDescent="0.3">
      <c r="A1530" s="29" t="str">
        <f>Detalle_OC[[#This Row],[Centro]]&amp;Detalle_OC[[#This Row],[Nom Almacen]]&amp;Detalle_OC[[#This Row],[Material]]&amp;Detalle_OC[[#This Row],[Pedido]]&amp;Detalle_OC[[#This Row],[Posicion]]</f>
        <v>Agricola del Chira PlantaMontelima8473084511570279130</v>
      </c>
      <c r="B1530" t="s">
        <v>149</v>
      </c>
      <c r="C1530" t="s">
        <v>166</v>
      </c>
      <c r="D1530" s="11">
        <v>45635</v>
      </c>
      <c r="E1530" t="s">
        <v>16</v>
      </c>
      <c r="F1530" t="s">
        <v>12</v>
      </c>
      <c r="G1530">
        <v>847308</v>
      </c>
      <c r="H1530">
        <v>4511570279</v>
      </c>
      <c r="I1530">
        <v>130</v>
      </c>
      <c r="J1530" s="29">
        <v>1</v>
      </c>
      <c r="K1530" s="29" t="s">
        <v>87</v>
      </c>
      <c r="L1530" t="str">
        <f>IFERROR(VLOOKUP(Detalle_OC[[#This Row],[Centro]]&amp;Detalle_OC[[#This Row],[Nro Almacen]],Almacen!A:D,4,FALSE),"")</f>
        <v>Montelima</v>
      </c>
    </row>
    <row r="1531" spans="1:12" x14ac:dyDescent="0.3">
      <c r="A1531" s="29" t="str">
        <f>Detalle_OC[[#This Row],[Centro]]&amp;Detalle_OC[[#This Row],[Nom Almacen]]&amp;Detalle_OC[[#This Row],[Material]]&amp;Detalle_OC[[#This Row],[Pedido]]&amp;Detalle_OC[[#This Row],[Posicion]]</f>
        <v>Agricola del Chira PlantaMontelima8581814511570279140</v>
      </c>
      <c r="B1531" t="s">
        <v>149</v>
      </c>
      <c r="C1531" t="s">
        <v>166</v>
      </c>
      <c r="D1531" s="11">
        <v>45635</v>
      </c>
      <c r="E1531" t="s">
        <v>16</v>
      </c>
      <c r="F1531" t="s">
        <v>12</v>
      </c>
      <c r="G1531">
        <v>858181</v>
      </c>
      <c r="H1531">
        <v>4511570279</v>
      </c>
      <c r="I1531">
        <v>140</v>
      </c>
      <c r="J1531" s="29">
        <v>1</v>
      </c>
      <c r="K1531" s="29" t="s">
        <v>87</v>
      </c>
      <c r="L1531" t="str">
        <f>IFERROR(VLOOKUP(Detalle_OC[[#This Row],[Centro]]&amp;Detalle_OC[[#This Row],[Nro Almacen]],Almacen!A:D,4,FALSE),"")</f>
        <v>Montelima</v>
      </c>
    </row>
    <row r="1532" spans="1:12" x14ac:dyDescent="0.3">
      <c r="A1532" s="29" t="str">
        <f>Detalle_OC[[#This Row],[Centro]]&amp;Detalle_OC[[#This Row],[Nom Almacen]]&amp;Detalle_OC[[#This Row],[Material]]&amp;Detalle_OC[[#This Row],[Pedido]]&amp;Detalle_OC[[#This Row],[Posicion]]</f>
        <v>Agricola del Chira PlantaMontelima8718114511570279150</v>
      </c>
      <c r="B1532" t="s">
        <v>149</v>
      </c>
      <c r="C1532" t="s">
        <v>166</v>
      </c>
      <c r="D1532" s="11">
        <v>45635</v>
      </c>
      <c r="E1532" t="s">
        <v>16</v>
      </c>
      <c r="F1532" t="s">
        <v>12</v>
      </c>
      <c r="G1532">
        <v>871811</v>
      </c>
      <c r="H1532">
        <v>4511570279</v>
      </c>
      <c r="I1532">
        <v>150</v>
      </c>
      <c r="J1532" s="29">
        <v>1</v>
      </c>
      <c r="K1532" s="29" t="s">
        <v>87</v>
      </c>
      <c r="L1532" t="str">
        <f>IFERROR(VLOOKUP(Detalle_OC[[#This Row],[Centro]]&amp;Detalle_OC[[#This Row],[Nro Almacen]],Almacen!A:D,4,FALSE),"")</f>
        <v>Montelima</v>
      </c>
    </row>
    <row r="1533" spans="1:12" x14ac:dyDescent="0.3">
      <c r="A1533" s="29" t="str">
        <f>Detalle_OC[[#This Row],[Centro]]&amp;Detalle_OC[[#This Row],[Nom Almacen]]&amp;Detalle_OC[[#This Row],[Material]]&amp;Detalle_OC[[#This Row],[Pedido]]&amp;Detalle_OC[[#This Row],[Posicion]]</f>
        <v>Agricola del Chira PlantaMontelima8855994511570279160</v>
      </c>
      <c r="B1533" t="s">
        <v>149</v>
      </c>
      <c r="C1533" t="s">
        <v>166</v>
      </c>
      <c r="D1533" s="11">
        <v>45635</v>
      </c>
      <c r="E1533" t="s">
        <v>16</v>
      </c>
      <c r="F1533" t="s">
        <v>12</v>
      </c>
      <c r="G1533">
        <v>885599</v>
      </c>
      <c r="H1533">
        <v>4511570279</v>
      </c>
      <c r="I1533">
        <v>160</v>
      </c>
      <c r="J1533" s="29">
        <v>1</v>
      </c>
      <c r="K1533" s="29" t="s">
        <v>87</v>
      </c>
      <c r="L1533" t="str">
        <f>IFERROR(VLOOKUP(Detalle_OC[[#This Row],[Centro]]&amp;Detalle_OC[[#This Row],[Nro Almacen]],Almacen!A:D,4,FALSE),"")</f>
        <v>Montelima</v>
      </c>
    </row>
    <row r="1534" spans="1:12" x14ac:dyDescent="0.3">
      <c r="A1534" s="29" t="str">
        <f>Detalle_OC[[#This Row],[Centro]]&amp;Detalle_OC[[#This Row],[Nom Almacen]]&amp;Detalle_OC[[#This Row],[Material]]&amp;Detalle_OC[[#This Row],[Pedido]]&amp;Detalle_OC[[#This Row],[Posicion]]</f>
        <v>Agricola del Chira PlantaMontelima8856014511570279170</v>
      </c>
      <c r="B1534" t="s">
        <v>149</v>
      </c>
      <c r="C1534" t="s">
        <v>166</v>
      </c>
      <c r="D1534" s="11">
        <v>45635</v>
      </c>
      <c r="E1534" t="s">
        <v>16</v>
      </c>
      <c r="F1534" t="s">
        <v>12</v>
      </c>
      <c r="G1534">
        <v>885601</v>
      </c>
      <c r="H1534">
        <v>4511570279</v>
      </c>
      <c r="I1534">
        <v>170</v>
      </c>
      <c r="J1534" s="29">
        <v>1</v>
      </c>
      <c r="K1534" s="29" t="s">
        <v>87</v>
      </c>
      <c r="L1534" t="str">
        <f>IFERROR(VLOOKUP(Detalle_OC[[#This Row],[Centro]]&amp;Detalle_OC[[#This Row],[Nro Almacen]],Almacen!A:D,4,FALSE),"")</f>
        <v>Montelima</v>
      </c>
    </row>
    <row r="1535" spans="1:12" x14ac:dyDescent="0.3">
      <c r="A1535" s="29" t="str">
        <f>Detalle_OC[[#This Row],[Centro]]&amp;Detalle_OC[[#This Row],[Nom Almacen]]&amp;Detalle_OC[[#This Row],[Material]]&amp;Detalle_OC[[#This Row],[Pedido]]&amp;Detalle_OC[[#This Row],[Posicion]]</f>
        <v>Agricola del Chira PlantaMontelima8984374511570279180</v>
      </c>
      <c r="B1535" t="s">
        <v>149</v>
      </c>
      <c r="C1535" t="s">
        <v>166</v>
      </c>
      <c r="D1535" s="11">
        <v>45646</v>
      </c>
      <c r="E1535" t="s">
        <v>16</v>
      </c>
      <c r="F1535" t="s">
        <v>12</v>
      </c>
      <c r="G1535">
        <v>898437</v>
      </c>
      <c r="H1535">
        <v>4511570279</v>
      </c>
      <c r="I1535">
        <v>180</v>
      </c>
      <c r="J1535" s="29">
        <v>1</v>
      </c>
      <c r="K1535" s="29" t="s">
        <v>87</v>
      </c>
      <c r="L1535" t="str">
        <f>IFERROR(VLOOKUP(Detalle_OC[[#This Row],[Centro]]&amp;Detalle_OC[[#This Row],[Nro Almacen]],Almacen!A:D,4,FALSE),"")</f>
        <v>Montelima</v>
      </c>
    </row>
    <row r="1536" spans="1:12" x14ac:dyDescent="0.3">
      <c r="A1536" s="29" t="str">
        <f>Detalle_OC[[#This Row],[Centro]]&amp;Detalle_OC[[#This Row],[Nom Almacen]]&amp;Detalle_OC[[#This Row],[Material]]&amp;Detalle_OC[[#This Row],[Pedido]]&amp;Detalle_OC[[#This Row],[Posicion]]</f>
        <v>Agricola del Chira PlantaMontelima700289164511570279190</v>
      </c>
      <c r="B1536" t="s">
        <v>149</v>
      </c>
      <c r="C1536" t="s">
        <v>166</v>
      </c>
      <c r="D1536" s="11">
        <v>45635</v>
      </c>
      <c r="E1536" t="s">
        <v>16</v>
      </c>
      <c r="F1536" t="s">
        <v>12</v>
      </c>
      <c r="G1536">
        <v>70028916</v>
      </c>
      <c r="H1536">
        <v>4511570279</v>
      </c>
      <c r="I1536">
        <v>190</v>
      </c>
      <c r="J1536" s="29">
        <v>1</v>
      </c>
      <c r="K1536" s="29" t="s">
        <v>87</v>
      </c>
      <c r="L1536" t="str">
        <f>IFERROR(VLOOKUP(Detalle_OC[[#This Row],[Centro]]&amp;Detalle_OC[[#This Row],[Nro Almacen]],Almacen!A:D,4,FALSE),"")</f>
        <v>Montelima</v>
      </c>
    </row>
    <row r="1537" spans="1:12" x14ac:dyDescent="0.3">
      <c r="A1537" s="29" t="str">
        <f>Detalle_OC[[#This Row],[Centro]]&amp;Detalle_OC[[#This Row],[Nom Almacen]]&amp;Detalle_OC[[#This Row],[Material]]&amp;Detalle_OC[[#This Row],[Pedido]]&amp;Detalle_OC[[#This Row],[Posicion]]</f>
        <v>Agricola del Chira PlantaMontelima700587314511570279200</v>
      </c>
      <c r="B1537" t="s">
        <v>149</v>
      </c>
      <c r="C1537" t="s">
        <v>166</v>
      </c>
      <c r="D1537" s="11">
        <v>45635</v>
      </c>
      <c r="E1537" t="s">
        <v>16</v>
      </c>
      <c r="F1537" t="s">
        <v>12</v>
      </c>
      <c r="G1537">
        <v>70058731</v>
      </c>
      <c r="H1537">
        <v>4511570279</v>
      </c>
      <c r="I1537">
        <v>200</v>
      </c>
      <c r="J1537" s="29">
        <v>1</v>
      </c>
      <c r="K1537" s="29" t="s">
        <v>87</v>
      </c>
      <c r="L1537" t="str">
        <f>IFERROR(VLOOKUP(Detalle_OC[[#This Row],[Centro]]&amp;Detalle_OC[[#This Row],[Nro Almacen]],Almacen!A:D,4,FALSE),"")</f>
        <v>Montelima</v>
      </c>
    </row>
    <row r="1538" spans="1:12" x14ac:dyDescent="0.3">
      <c r="A1538" s="29" t="str">
        <f>Detalle_OC[[#This Row],[Centro]]&amp;Detalle_OC[[#This Row],[Nom Almacen]]&amp;Detalle_OC[[#This Row],[Material]]&amp;Detalle_OC[[#This Row],[Pedido]]&amp;Detalle_OC[[#This Row],[Posicion]]</f>
        <v>Agricola del Chira PlantaMontelima701350404511570279210</v>
      </c>
      <c r="B1538" t="s">
        <v>188</v>
      </c>
      <c r="C1538" t="s">
        <v>166</v>
      </c>
      <c r="D1538" s="11">
        <v>45635</v>
      </c>
      <c r="E1538" t="s">
        <v>16</v>
      </c>
      <c r="F1538" t="s">
        <v>12</v>
      </c>
      <c r="G1538">
        <v>70135040</v>
      </c>
      <c r="H1538">
        <v>4511570279</v>
      </c>
      <c r="I1538">
        <v>210</v>
      </c>
      <c r="J1538" s="29">
        <v>1</v>
      </c>
      <c r="K1538" s="29" t="s">
        <v>87</v>
      </c>
      <c r="L1538" t="str">
        <f>IFERROR(VLOOKUP(Detalle_OC[[#This Row],[Centro]]&amp;Detalle_OC[[#This Row],[Nro Almacen]],Almacen!A:D,4,FALSE),"")</f>
        <v>Montelima</v>
      </c>
    </row>
    <row r="1539" spans="1:12" x14ac:dyDescent="0.3">
      <c r="A1539" s="29" t="str">
        <f>Detalle_OC[[#This Row],[Centro]]&amp;Detalle_OC[[#This Row],[Nom Almacen]]&amp;Detalle_OC[[#This Row],[Material]]&amp;Detalle_OC[[#This Row],[Pedido]]&amp;Detalle_OC[[#This Row],[Posicion]]</f>
        <v>Agricola del Chira PlantaMontelima891078451157028710</v>
      </c>
      <c r="B1539" t="s">
        <v>149</v>
      </c>
      <c r="C1539" t="s">
        <v>238</v>
      </c>
      <c r="D1539" s="11">
        <v>45639</v>
      </c>
      <c r="E1539" t="s">
        <v>16</v>
      </c>
      <c r="F1539" t="s">
        <v>12</v>
      </c>
      <c r="G1539">
        <v>891078</v>
      </c>
      <c r="H1539">
        <v>4511570287</v>
      </c>
      <c r="I1539">
        <v>10</v>
      </c>
      <c r="J1539" s="29">
        <v>1</v>
      </c>
      <c r="K1539" s="29" t="s">
        <v>87</v>
      </c>
      <c r="L1539" t="str">
        <f>IFERROR(VLOOKUP(Detalle_OC[[#This Row],[Centro]]&amp;Detalle_OC[[#This Row],[Nro Almacen]],Almacen!A:D,4,FALSE),"")</f>
        <v>Montelima</v>
      </c>
    </row>
    <row r="1540" spans="1:12" x14ac:dyDescent="0.3">
      <c r="A1540" s="29" t="str">
        <f>Detalle_OC[[#This Row],[Centro]]&amp;Detalle_OC[[#This Row],[Nom Almacen]]&amp;Detalle_OC[[#This Row],[Material]]&amp;Detalle_OC[[#This Row],[Pedido]]&amp;Detalle_OC[[#This Row],[Posicion]]</f>
        <v>Bioenergía del Chira PlantaMontelima70069779451157028910</v>
      </c>
      <c r="B1540" t="s">
        <v>200</v>
      </c>
      <c r="C1540" t="s">
        <v>44</v>
      </c>
      <c r="D1540" s="11">
        <v>45646</v>
      </c>
      <c r="E1540" t="s">
        <v>48</v>
      </c>
      <c r="F1540" t="s">
        <v>86</v>
      </c>
      <c r="G1540">
        <v>70069779</v>
      </c>
      <c r="H1540">
        <v>4511570289</v>
      </c>
      <c r="I1540">
        <v>10</v>
      </c>
      <c r="J1540" s="29">
        <v>1</v>
      </c>
      <c r="K1540" s="29" t="s">
        <v>87</v>
      </c>
      <c r="L1540" t="str">
        <f>IFERROR(VLOOKUP(Detalle_OC[[#This Row],[Centro]]&amp;Detalle_OC[[#This Row],[Nro Almacen]],Almacen!A:D,4,FALSE),"")</f>
        <v>Montelima</v>
      </c>
    </row>
    <row r="1541" spans="1:12" x14ac:dyDescent="0.3">
      <c r="A1541" s="29" t="str">
        <f>Detalle_OC[[#This Row],[Centro]]&amp;Detalle_OC[[#This Row],[Nom Almacen]]&amp;Detalle_OC[[#This Row],[Material]]&amp;Detalle_OC[[#This Row],[Pedido]]&amp;Detalle_OC[[#This Row],[Posicion]]</f>
        <v>Agricola del Chira PlantaMontelima70018802451157029210</v>
      </c>
      <c r="B1541" t="s">
        <v>15</v>
      </c>
      <c r="C1541" t="s">
        <v>255</v>
      </c>
      <c r="D1541" s="11">
        <v>45635</v>
      </c>
      <c r="E1541" t="s">
        <v>16</v>
      </c>
      <c r="F1541" t="s">
        <v>12</v>
      </c>
      <c r="G1541">
        <v>70018802</v>
      </c>
      <c r="H1541">
        <v>4511570292</v>
      </c>
      <c r="I1541">
        <v>10</v>
      </c>
      <c r="J1541" s="29">
        <v>1</v>
      </c>
      <c r="K1541" s="29" t="s">
        <v>87</v>
      </c>
      <c r="L1541" t="str">
        <f>IFERROR(VLOOKUP(Detalle_OC[[#This Row],[Centro]]&amp;Detalle_OC[[#This Row],[Nro Almacen]],Almacen!A:D,4,FALSE),"")</f>
        <v>Montelima</v>
      </c>
    </row>
    <row r="1542" spans="1:12" x14ac:dyDescent="0.3">
      <c r="A1542" s="29" t="str">
        <f>Detalle_OC[[#This Row],[Centro]]&amp;Detalle_OC[[#This Row],[Nom Almacen]]&amp;Detalle_OC[[#This Row],[Material]]&amp;Detalle_OC[[#This Row],[Pedido]]&amp;Detalle_OC[[#This Row],[Posicion]]</f>
        <v>Agricola del Chira PlantaAlmacen Lobo70018802451157029220</v>
      </c>
      <c r="B1542" t="s">
        <v>15</v>
      </c>
      <c r="C1542" t="s">
        <v>255</v>
      </c>
      <c r="D1542" s="11">
        <v>45635</v>
      </c>
      <c r="E1542" t="s">
        <v>16</v>
      </c>
      <c r="F1542" t="s">
        <v>12</v>
      </c>
      <c r="G1542">
        <v>70018802</v>
      </c>
      <c r="H1542">
        <v>4511570292</v>
      </c>
      <c r="I1542">
        <v>20</v>
      </c>
      <c r="J1542" s="29">
        <v>7</v>
      </c>
      <c r="K1542" s="29" t="s">
        <v>87</v>
      </c>
      <c r="L1542" t="str">
        <f>IFERROR(VLOOKUP(Detalle_OC[[#This Row],[Centro]]&amp;Detalle_OC[[#This Row],[Nro Almacen]],Almacen!A:D,4,FALSE),"")</f>
        <v>Almacen Lobo</v>
      </c>
    </row>
    <row r="1543" spans="1:12" x14ac:dyDescent="0.3">
      <c r="A1543" s="29" t="str">
        <f>Detalle_OC[[#This Row],[Centro]]&amp;Detalle_OC[[#This Row],[Nom Almacen]]&amp;Detalle_OC[[#This Row],[Material]]&amp;Detalle_OC[[#This Row],[Pedido]]&amp;Detalle_OC[[#This Row],[Posicion]]</f>
        <v>Agricola del Chira PlantaMontelima70018803451157029230</v>
      </c>
      <c r="B1543" t="s">
        <v>15</v>
      </c>
      <c r="C1543" t="s">
        <v>255</v>
      </c>
      <c r="D1543" s="11">
        <v>45635</v>
      </c>
      <c r="E1543" t="s">
        <v>16</v>
      </c>
      <c r="F1543" t="s">
        <v>12</v>
      </c>
      <c r="G1543">
        <v>70018803</v>
      </c>
      <c r="H1543">
        <v>4511570292</v>
      </c>
      <c r="I1543">
        <v>30</v>
      </c>
      <c r="J1543" s="29">
        <v>1</v>
      </c>
      <c r="K1543" s="29" t="s">
        <v>87</v>
      </c>
      <c r="L1543" t="str">
        <f>IFERROR(VLOOKUP(Detalle_OC[[#This Row],[Centro]]&amp;Detalle_OC[[#This Row],[Nro Almacen]],Almacen!A:D,4,FALSE),"")</f>
        <v>Montelima</v>
      </c>
    </row>
    <row r="1544" spans="1:12" x14ac:dyDescent="0.3">
      <c r="A1544" s="29" t="str">
        <f>Detalle_OC[[#This Row],[Centro]]&amp;Detalle_OC[[#This Row],[Nom Almacen]]&amp;Detalle_OC[[#This Row],[Material]]&amp;Detalle_OC[[#This Row],[Pedido]]&amp;Detalle_OC[[#This Row],[Posicion]]</f>
        <v>Agricola del Chira PlantaMontelima721426550002484450</v>
      </c>
      <c r="B1544" t="s">
        <v>28</v>
      </c>
      <c r="C1544" t="s">
        <v>88</v>
      </c>
      <c r="D1544" s="11">
        <v>45614</v>
      </c>
      <c r="E1544" t="s">
        <v>16</v>
      </c>
      <c r="F1544" t="s">
        <v>12</v>
      </c>
      <c r="G1544">
        <v>721426</v>
      </c>
      <c r="H1544">
        <v>5500024844</v>
      </c>
      <c r="I1544">
        <v>50</v>
      </c>
      <c r="J1544" s="29">
        <v>1</v>
      </c>
      <c r="K1544" s="29" t="s">
        <v>87</v>
      </c>
      <c r="L1544" t="str">
        <f>IFERROR(VLOOKUP(Detalle_OC[[#This Row],[Centro]]&amp;Detalle_OC[[#This Row],[Nro Almacen]],Almacen!A:D,4,FALSE),"")</f>
        <v>Montelima</v>
      </c>
    </row>
    <row r="1545" spans="1:12" x14ac:dyDescent="0.3">
      <c r="A1545" s="29" t="str">
        <f>Detalle_OC[[#This Row],[Centro]]&amp;Detalle_OC[[#This Row],[Nom Almacen]]&amp;Detalle_OC[[#This Row],[Material]]&amp;Detalle_OC[[#This Row],[Pedido]]&amp;Detalle_OC[[#This Row],[Posicion]]</f>
        <v>Agricola del Chira PlantaMontelima761905550001918810</v>
      </c>
      <c r="B1545" t="s">
        <v>28</v>
      </c>
      <c r="C1545" t="s">
        <v>82</v>
      </c>
      <c r="D1545" s="11">
        <v>45612</v>
      </c>
      <c r="E1545" t="s">
        <v>16</v>
      </c>
      <c r="F1545" t="s">
        <v>12</v>
      </c>
      <c r="G1545">
        <v>761905</v>
      </c>
      <c r="H1545">
        <v>5500019188</v>
      </c>
      <c r="I1545">
        <v>10</v>
      </c>
      <c r="J1545" s="29">
        <v>1</v>
      </c>
      <c r="K1545" s="29" t="s">
        <v>90</v>
      </c>
      <c r="L1545" t="str">
        <f>IFERROR(VLOOKUP(Detalle_OC[[#This Row],[Centro]]&amp;Detalle_OC[[#This Row],[Nro Almacen]],Almacen!A:D,4,FALSE),"")</f>
        <v>Montelima</v>
      </c>
    </row>
    <row r="1546" spans="1:12" x14ac:dyDescent="0.3">
      <c r="A1546" s="29" t="str">
        <f>Detalle_OC[[#This Row],[Centro]]&amp;Detalle_OC[[#This Row],[Nom Almacen]]&amp;Detalle_OC[[#This Row],[Material]]&amp;Detalle_OC[[#This Row],[Pedido]]&amp;Detalle_OC[[#This Row],[Posicion]]</f>
        <v>Agricola del Chira PlantaMontelima8446025500019188110</v>
      </c>
      <c r="B1546" t="s">
        <v>28</v>
      </c>
      <c r="C1546" t="s">
        <v>82</v>
      </c>
      <c r="D1546" s="11">
        <v>45612</v>
      </c>
      <c r="E1546" t="s">
        <v>16</v>
      </c>
      <c r="F1546" t="s">
        <v>12</v>
      </c>
      <c r="G1546">
        <v>844602</v>
      </c>
      <c r="H1546">
        <v>5500019188</v>
      </c>
      <c r="I1546">
        <v>110</v>
      </c>
      <c r="J1546" s="29">
        <v>1</v>
      </c>
      <c r="K1546" s="29" t="s">
        <v>90</v>
      </c>
      <c r="L1546" t="str">
        <f>IFERROR(VLOOKUP(Detalle_OC[[#This Row],[Centro]]&amp;Detalle_OC[[#This Row],[Nro Almacen]],Almacen!A:D,4,FALSE),"")</f>
        <v>Montelima</v>
      </c>
    </row>
    <row r="1547" spans="1:12" x14ac:dyDescent="0.3">
      <c r="A1547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1547" t="s">
        <v>28</v>
      </c>
      <c r="C1547" t="s">
        <v>82</v>
      </c>
      <c r="D1547" s="11">
        <v>45612</v>
      </c>
      <c r="E1547" t="s">
        <v>16</v>
      </c>
      <c r="F1547" t="s">
        <v>12</v>
      </c>
      <c r="G1547">
        <v>844523</v>
      </c>
      <c r="H1547">
        <v>5500019188</v>
      </c>
      <c r="I1547">
        <v>140</v>
      </c>
      <c r="J1547" s="29">
        <v>1</v>
      </c>
      <c r="K1547" s="29" t="s">
        <v>90</v>
      </c>
      <c r="L1547" t="str">
        <f>IFERROR(VLOOKUP(Detalle_OC[[#This Row],[Centro]]&amp;Detalle_OC[[#This Row],[Nro Almacen]],Almacen!A:D,4,FALSE),"")</f>
        <v>Montelima</v>
      </c>
    </row>
    <row r="1548" spans="1:12" x14ac:dyDescent="0.3">
      <c r="A1548" s="29" t="str">
        <f>Detalle_OC[[#This Row],[Centro]]&amp;Detalle_OC[[#This Row],[Nom Almacen]]&amp;Detalle_OC[[#This Row],[Material]]&amp;Detalle_OC[[#This Row],[Pedido]]&amp;Detalle_OC[[#This Row],[Posicion]]</f>
        <v>Agricola del Chira PlantaMontelima8445245500019188210</v>
      </c>
      <c r="B1548" t="s">
        <v>28</v>
      </c>
      <c r="C1548" t="s">
        <v>82</v>
      </c>
      <c r="D1548" s="11">
        <v>45612</v>
      </c>
      <c r="E1548" t="s">
        <v>16</v>
      </c>
      <c r="F1548" t="s">
        <v>12</v>
      </c>
      <c r="G1548">
        <v>844524</v>
      </c>
      <c r="H1548">
        <v>5500019188</v>
      </c>
      <c r="I1548">
        <v>210</v>
      </c>
      <c r="J1548" s="29">
        <v>1</v>
      </c>
      <c r="K1548" s="29" t="s">
        <v>90</v>
      </c>
      <c r="L1548" t="str">
        <f>IFERROR(VLOOKUP(Detalle_OC[[#This Row],[Centro]]&amp;Detalle_OC[[#This Row],[Nro Almacen]],Almacen!A:D,4,FALSE),"")</f>
        <v>Montelima</v>
      </c>
    </row>
    <row r="1549" spans="1:12" x14ac:dyDescent="0.3">
      <c r="A1549" s="29" t="str">
        <f>Detalle_OC[[#This Row],[Centro]]&amp;Detalle_OC[[#This Row],[Nom Almacen]]&amp;Detalle_OC[[#This Row],[Material]]&amp;Detalle_OC[[#This Row],[Pedido]]&amp;Detalle_OC[[#This Row],[Posicion]]</f>
        <v>Agricola del Chira PlantaMontelima8445275500019188310</v>
      </c>
      <c r="B1549" t="s">
        <v>28</v>
      </c>
      <c r="C1549" t="s">
        <v>82</v>
      </c>
      <c r="D1549" s="11">
        <v>45612</v>
      </c>
      <c r="E1549" t="s">
        <v>16</v>
      </c>
      <c r="F1549" t="s">
        <v>12</v>
      </c>
      <c r="G1549">
        <v>844527</v>
      </c>
      <c r="H1549">
        <v>5500019188</v>
      </c>
      <c r="I1549">
        <v>310</v>
      </c>
      <c r="J1549" s="29">
        <v>1</v>
      </c>
      <c r="K1549" s="29" t="s">
        <v>90</v>
      </c>
      <c r="L1549" t="str">
        <f>IFERROR(VLOOKUP(Detalle_OC[[#This Row],[Centro]]&amp;Detalle_OC[[#This Row],[Nro Almacen]],Almacen!A:D,4,FALSE),"")</f>
        <v>Montelima</v>
      </c>
    </row>
    <row r="1550" spans="1:12" x14ac:dyDescent="0.3">
      <c r="A1550" s="29" t="str">
        <f>Detalle_OC[[#This Row],[Centro]]&amp;Detalle_OC[[#This Row],[Nom Almacen]]&amp;Detalle_OC[[#This Row],[Material]]&amp;Detalle_OC[[#This Row],[Pedido]]&amp;Detalle_OC[[#This Row],[Posicion]]</f>
        <v>Agricola del Chira PlantaMontelima8445515500019188320</v>
      </c>
      <c r="B1550" t="s">
        <v>28</v>
      </c>
      <c r="C1550" t="s">
        <v>82</v>
      </c>
      <c r="D1550" s="11">
        <v>45612</v>
      </c>
      <c r="E1550" t="s">
        <v>16</v>
      </c>
      <c r="F1550" t="s">
        <v>12</v>
      </c>
      <c r="G1550">
        <v>844551</v>
      </c>
      <c r="H1550">
        <v>5500019188</v>
      </c>
      <c r="I1550">
        <v>320</v>
      </c>
      <c r="J1550" s="29">
        <v>1</v>
      </c>
      <c r="K1550" s="29" t="s">
        <v>90</v>
      </c>
      <c r="L1550" t="str">
        <f>IFERROR(VLOOKUP(Detalle_OC[[#This Row],[Centro]]&amp;Detalle_OC[[#This Row],[Nro Almacen]],Almacen!A:D,4,FALSE),"")</f>
        <v>Montelima</v>
      </c>
    </row>
    <row r="1551" spans="1:12" x14ac:dyDescent="0.3">
      <c r="A1551" s="29" t="str">
        <f>Detalle_OC[[#This Row],[Centro]]&amp;Detalle_OC[[#This Row],[Nom Almacen]]&amp;Detalle_OC[[#This Row],[Material]]&amp;Detalle_OC[[#This Row],[Pedido]]&amp;Detalle_OC[[#This Row],[Posicion]]</f>
        <v>Agricola del Chira PlantaMontelima8445175500019188340</v>
      </c>
      <c r="B1551" t="s">
        <v>28</v>
      </c>
      <c r="C1551" t="s">
        <v>82</v>
      </c>
      <c r="D1551" s="11">
        <v>45612</v>
      </c>
      <c r="E1551" t="s">
        <v>16</v>
      </c>
      <c r="F1551" t="s">
        <v>12</v>
      </c>
      <c r="G1551">
        <v>844517</v>
      </c>
      <c r="H1551">
        <v>5500019188</v>
      </c>
      <c r="I1551">
        <v>340</v>
      </c>
      <c r="J1551" s="29">
        <v>1</v>
      </c>
      <c r="K1551" s="29" t="s">
        <v>90</v>
      </c>
      <c r="L1551" t="str">
        <f>IFERROR(VLOOKUP(Detalle_OC[[#This Row],[Centro]]&amp;Detalle_OC[[#This Row],[Nro Almacen]],Almacen!A:D,4,FALSE),"")</f>
        <v>Montelima</v>
      </c>
    </row>
    <row r="1552" spans="1:12" x14ac:dyDescent="0.3">
      <c r="A1552" s="29" t="str">
        <f>Detalle_OC[[#This Row],[Centro]]&amp;Detalle_OC[[#This Row],[Nom Almacen]]&amp;Detalle_OC[[#This Row],[Material]]&amp;Detalle_OC[[#This Row],[Pedido]]&amp;Detalle_OC[[#This Row],[Posicion]]</f>
        <v>Agricola del Chira PlantaMontelima8445285500019188360</v>
      </c>
      <c r="B1552" t="s">
        <v>28</v>
      </c>
      <c r="C1552" t="s">
        <v>82</v>
      </c>
      <c r="D1552" s="11">
        <v>45612</v>
      </c>
      <c r="E1552" t="s">
        <v>16</v>
      </c>
      <c r="F1552" t="s">
        <v>12</v>
      </c>
      <c r="G1552">
        <v>844528</v>
      </c>
      <c r="H1552">
        <v>5500019188</v>
      </c>
      <c r="I1552">
        <v>360</v>
      </c>
      <c r="J1552" s="29">
        <v>1</v>
      </c>
      <c r="K1552" s="29" t="s">
        <v>90</v>
      </c>
      <c r="L1552" t="str">
        <f>IFERROR(VLOOKUP(Detalle_OC[[#This Row],[Centro]]&amp;Detalle_OC[[#This Row],[Nro Almacen]],Almacen!A:D,4,FALSE),"")</f>
        <v>Montelima</v>
      </c>
    </row>
    <row r="1553" spans="1:12" x14ac:dyDescent="0.3">
      <c r="A1553" s="29" t="str">
        <f>Detalle_OC[[#This Row],[Centro]]&amp;Detalle_OC[[#This Row],[Nom Almacen]]&amp;Detalle_OC[[#This Row],[Material]]&amp;Detalle_OC[[#This Row],[Pedido]]&amp;Detalle_OC[[#This Row],[Posicion]]</f>
        <v>Agricola del Chira PlantaMontelima8445035500019188370</v>
      </c>
      <c r="B1553" t="s">
        <v>28</v>
      </c>
      <c r="C1553" t="s">
        <v>82</v>
      </c>
      <c r="D1553" s="11">
        <v>45612</v>
      </c>
      <c r="E1553" t="s">
        <v>16</v>
      </c>
      <c r="F1553" t="s">
        <v>12</v>
      </c>
      <c r="G1553">
        <v>844503</v>
      </c>
      <c r="H1553">
        <v>5500019188</v>
      </c>
      <c r="I1553">
        <v>370</v>
      </c>
      <c r="J1553" s="29">
        <v>1</v>
      </c>
      <c r="K1553" s="29" t="s">
        <v>90</v>
      </c>
      <c r="L1553" t="str">
        <f>IFERROR(VLOOKUP(Detalle_OC[[#This Row],[Centro]]&amp;Detalle_OC[[#This Row],[Nro Almacen]],Almacen!A:D,4,FALSE),"")</f>
        <v>Montelima</v>
      </c>
    </row>
    <row r="1554" spans="1:12" x14ac:dyDescent="0.3">
      <c r="A1554" s="29" t="str">
        <f>Detalle_OC[[#This Row],[Centro]]&amp;Detalle_OC[[#This Row],[Nom Almacen]]&amp;Detalle_OC[[#This Row],[Material]]&amp;Detalle_OC[[#This Row],[Pedido]]&amp;Detalle_OC[[#This Row],[Posicion]]</f>
        <v>Agricola del Chira PlantaMontelima8506365500019188510</v>
      </c>
      <c r="B1554" t="s">
        <v>28</v>
      </c>
      <c r="C1554" t="s">
        <v>82</v>
      </c>
      <c r="D1554" s="11">
        <v>45612</v>
      </c>
      <c r="E1554" t="s">
        <v>16</v>
      </c>
      <c r="F1554" t="s">
        <v>12</v>
      </c>
      <c r="G1554">
        <v>850636</v>
      </c>
      <c r="H1554">
        <v>5500019188</v>
      </c>
      <c r="I1554">
        <v>510</v>
      </c>
      <c r="J1554" s="29">
        <v>1</v>
      </c>
      <c r="K1554" s="29" t="s">
        <v>90</v>
      </c>
      <c r="L1554" t="str">
        <f>IFERROR(VLOOKUP(Detalle_OC[[#This Row],[Centro]]&amp;Detalle_OC[[#This Row],[Nro Almacen]],Almacen!A:D,4,FALSE),"")</f>
        <v>Montelima</v>
      </c>
    </row>
    <row r="1555" spans="1:12" x14ac:dyDescent="0.3">
      <c r="A1555" s="29" t="str">
        <f>Detalle_OC[[#This Row],[Centro]]&amp;Detalle_OC[[#This Row],[Nom Almacen]]&amp;Detalle_OC[[#This Row],[Material]]&amp;Detalle_OC[[#This Row],[Pedido]]&amp;Detalle_OC[[#This Row],[Posicion]]</f>
        <v>Agricola del Chira PlantaMontelima8445385500019188560</v>
      </c>
      <c r="B1555" t="s">
        <v>28</v>
      </c>
      <c r="C1555" t="s">
        <v>82</v>
      </c>
      <c r="D1555" s="11">
        <v>45612</v>
      </c>
      <c r="E1555" t="s">
        <v>16</v>
      </c>
      <c r="F1555" t="s">
        <v>12</v>
      </c>
      <c r="G1555">
        <v>844538</v>
      </c>
      <c r="H1555">
        <v>5500019188</v>
      </c>
      <c r="I1555">
        <v>560</v>
      </c>
      <c r="J1555" s="29">
        <v>1</v>
      </c>
      <c r="K1555" s="29" t="s">
        <v>90</v>
      </c>
      <c r="L1555" t="str">
        <f>IFERROR(VLOOKUP(Detalle_OC[[#This Row],[Centro]]&amp;Detalle_OC[[#This Row],[Nro Almacen]],Almacen!A:D,4,FALSE),"")</f>
        <v>Montelima</v>
      </c>
    </row>
    <row r="1556" spans="1:12" x14ac:dyDescent="0.3">
      <c r="A1556" s="29" t="str">
        <f>Detalle_OC[[#This Row],[Centro]]&amp;Detalle_OC[[#This Row],[Nom Almacen]]&amp;Detalle_OC[[#This Row],[Material]]&amp;Detalle_OC[[#This Row],[Pedido]]&amp;Detalle_OC[[#This Row],[Posicion]]</f>
        <v>Agricola del Chira PlantaMontelima82719955000191881020</v>
      </c>
      <c r="B1556" t="s">
        <v>28</v>
      </c>
      <c r="C1556" t="s">
        <v>82</v>
      </c>
      <c r="D1556" s="11">
        <v>45612</v>
      </c>
      <c r="E1556" t="s">
        <v>16</v>
      </c>
      <c r="F1556" t="s">
        <v>12</v>
      </c>
      <c r="G1556">
        <v>827199</v>
      </c>
      <c r="H1556">
        <v>5500019188</v>
      </c>
      <c r="I1556">
        <v>1020</v>
      </c>
      <c r="J1556" s="29">
        <v>1</v>
      </c>
      <c r="K1556" s="29" t="s">
        <v>90</v>
      </c>
      <c r="L1556" t="str">
        <f>IFERROR(VLOOKUP(Detalle_OC[[#This Row],[Centro]]&amp;Detalle_OC[[#This Row],[Nro Almacen]],Almacen!A:D,4,FALSE),"")</f>
        <v>Montelima</v>
      </c>
    </row>
    <row r="1557" spans="1:12" x14ac:dyDescent="0.3">
      <c r="A1557" s="29" t="str">
        <f>Detalle_OC[[#This Row],[Centro]]&amp;Detalle_OC[[#This Row],[Nom Almacen]]&amp;Detalle_OC[[#This Row],[Material]]&amp;Detalle_OC[[#This Row],[Pedido]]&amp;Detalle_OC[[#This Row],[Posicion]]</f>
        <v>Sucroalcolera del Chira PlantaMontelima70043991550002485670</v>
      </c>
      <c r="B1557" t="s">
        <v>28</v>
      </c>
      <c r="C1557" t="s">
        <v>96</v>
      </c>
      <c r="D1557" s="11">
        <v>45612</v>
      </c>
      <c r="E1557" t="s">
        <v>16</v>
      </c>
      <c r="F1557" t="s">
        <v>85</v>
      </c>
      <c r="G1557">
        <v>70043991</v>
      </c>
      <c r="H1557">
        <v>5500024856</v>
      </c>
      <c r="I1557">
        <v>70</v>
      </c>
      <c r="J1557" s="29">
        <v>1</v>
      </c>
      <c r="K1557" s="29" t="s">
        <v>90</v>
      </c>
      <c r="L1557" t="str">
        <f>IFERROR(VLOOKUP(Detalle_OC[[#This Row],[Centro]]&amp;Detalle_OC[[#This Row],[Nro Almacen]],Almacen!A:D,4,FALSE),"")</f>
        <v>Montelima</v>
      </c>
    </row>
    <row r="1558" spans="1:12" x14ac:dyDescent="0.3">
      <c r="A1558" s="29" t="str">
        <f>Detalle_OC[[#This Row],[Centro]]&amp;Detalle_OC[[#This Row],[Nom Almacen]]&amp;Detalle_OC[[#This Row],[Material]]&amp;Detalle_OC[[#This Row],[Pedido]]&amp;Detalle_OC[[#This Row],[Posicion]]</f>
        <v>Sucroalcolera del Chira PlantaMontelima700691885500024856100</v>
      </c>
      <c r="B1558" t="s">
        <v>28</v>
      </c>
      <c r="C1558" t="s">
        <v>96</v>
      </c>
      <c r="D1558" s="11">
        <v>45612</v>
      </c>
      <c r="E1558" t="s">
        <v>16</v>
      </c>
      <c r="F1558" t="s">
        <v>85</v>
      </c>
      <c r="G1558">
        <v>70069188</v>
      </c>
      <c r="H1558">
        <v>5500024856</v>
      </c>
      <c r="I1558">
        <v>100</v>
      </c>
      <c r="J1558" s="29">
        <v>1</v>
      </c>
      <c r="K1558" s="29" t="s">
        <v>90</v>
      </c>
      <c r="L1558" t="str">
        <f>IFERROR(VLOOKUP(Detalle_OC[[#This Row],[Centro]]&amp;Detalle_OC[[#This Row],[Nro Almacen]],Almacen!A:D,4,FALSE),"")</f>
        <v>Montelima</v>
      </c>
    </row>
    <row r="1559" spans="1:12" x14ac:dyDescent="0.3">
      <c r="A1559" s="29" t="str">
        <f>Detalle_OC[[#This Row],[Centro]]&amp;Detalle_OC[[#This Row],[Nom Almacen]]&amp;Detalle_OC[[#This Row],[Material]]&amp;Detalle_OC[[#This Row],[Pedido]]&amp;Detalle_OC[[#This Row],[Posicion]]</f>
        <v>Sucroalcolera del Chira PlantaMontelima700440065500024856140</v>
      </c>
      <c r="B1559" t="s">
        <v>28</v>
      </c>
      <c r="C1559" t="s">
        <v>96</v>
      </c>
      <c r="D1559" s="11">
        <v>45612</v>
      </c>
      <c r="E1559" t="s">
        <v>16</v>
      </c>
      <c r="F1559" t="s">
        <v>85</v>
      </c>
      <c r="G1559">
        <v>70044006</v>
      </c>
      <c r="H1559">
        <v>5500024856</v>
      </c>
      <c r="I1559">
        <v>140</v>
      </c>
      <c r="J1559" s="29">
        <v>1</v>
      </c>
      <c r="K1559" s="29" t="s">
        <v>90</v>
      </c>
      <c r="L1559" t="str">
        <f>IFERROR(VLOOKUP(Detalle_OC[[#This Row],[Centro]]&amp;Detalle_OC[[#This Row],[Nro Almacen]],Almacen!A:D,4,FALSE),"")</f>
        <v>Montelima</v>
      </c>
    </row>
    <row r="1560" spans="1:12" x14ac:dyDescent="0.3">
      <c r="A1560" s="29" t="str">
        <f>Detalle_OC[[#This Row],[Centro]]&amp;Detalle_OC[[#This Row],[Nom Almacen]]&amp;Detalle_OC[[#This Row],[Material]]&amp;Detalle_OC[[#This Row],[Pedido]]&amp;Detalle_OC[[#This Row],[Posicion]]</f>
        <v>Sucroalcolera del Chira PlantaMontelima70132900550002489220</v>
      </c>
      <c r="B1560" t="s">
        <v>28</v>
      </c>
      <c r="C1560" t="s">
        <v>52</v>
      </c>
      <c r="D1560" s="11">
        <v>45636</v>
      </c>
      <c r="E1560" t="s">
        <v>16</v>
      </c>
      <c r="F1560" t="s">
        <v>85</v>
      </c>
      <c r="G1560">
        <v>70132900</v>
      </c>
      <c r="H1560">
        <v>5500024892</v>
      </c>
      <c r="I1560">
        <v>20</v>
      </c>
      <c r="J1560" s="29">
        <v>1</v>
      </c>
      <c r="K1560" s="29" t="s">
        <v>90</v>
      </c>
      <c r="L1560" t="str">
        <f>IFERROR(VLOOKUP(Detalle_OC[[#This Row],[Centro]]&amp;Detalle_OC[[#This Row],[Nro Almacen]],Almacen!A:D,4,FALSE),"")</f>
        <v>Montelima</v>
      </c>
    </row>
    <row r="1561" spans="1:12" x14ac:dyDescent="0.3">
      <c r="A1561" s="29" t="str">
        <f>Detalle_OC[[#This Row],[Centro]]&amp;Detalle_OC[[#This Row],[Nom Almacen]]&amp;Detalle_OC[[#This Row],[Material]]&amp;Detalle_OC[[#This Row],[Pedido]]&amp;Detalle_OC[[#This Row],[Posicion]]</f>
        <v>Agricola del Chira PlantaMontelima723109550002489610</v>
      </c>
      <c r="B1561" t="s">
        <v>28</v>
      </c>
      <c r="C1561" t="s">
        <v>27</v>
      </c>
      <c r="D1561" s="11">
        <v>45617</v>
      </c>
      <c r="E1561" t="s">
        <v>16</v>
      </c>
      <c r="F1561" t="s">
        <v>12</v>
      </c>
      <c r="G1561">
        <v>723109</v>
      </c>
      <c r="H1561">
        <v>5500024896</v>
      </c>
      <c r="I1561">
        <v>10</v>
      </c>
      <c r="J1561" s="29">
        <v>1</v>
      </c>
      <c r="K1561" s="29" t="s">
        <v>90</v>
      </c>
      <c r="L1561" t="str">
        <f>IFERROR(VLOOKUP(Detalle_OC[[#This Row],[Centro]]&amp;Detalle_OC[[#This Row],[Nro Almacen]],Almacen!A:D,4,FALSE),"")</f>
        <v>Montelima</v>
      </c>
    </row>
    <row r="1562" spans="1:12" x14ac:dyDescent="0.3">
      <c r="A1562" s="29" t="str">
        <f>Detalle_OC[[#This Row],[Centro]]&amp;Detalle_OC[[#This Row],[Nom Almacen]]&amp;Detalle_OC[[#This Row],[Material]]&amp;Detalle_OC[[#This Row],[Pedido]]&amp;Detalle_OC[[#This Row],[Posicion]]</f>
        <v>Sucroalcolera del Chira PlantaMontelima894475451157010510</v>
      </c>
      <c r="B1562" t="s">
        <v>138</v>
      </c>
      <c r="C1562" t="s">
        <v>235</v>
      </c>
      <c r="D1562" s="11">
        <v>45625</v>
      </c>
      <c r="E1562" t="s">
        <v>16</v>
      </c>
      <c r="F1562" t="s">
        <v>85</v>
      </c>
      <c r="G1562">
        <v>894475</v>
      </c>
      <c r="H1562">
        <v>4511570105</v>
      </c>
      <c r="I1562">
        <v>10</v>
      </c>
      <c r="J1562" s="29">
        <v>1</v>
      </c>
      <c r="K1562" s="29" t="s">
        <v>93</v>
      </c>
      <c r="L1562" t="str">
        <f>IFERROR(VLOOKUP(Detalle_OC[[#This Row],[Centro]]&amp;Detalle_OC[[#This Row],[Nro Almacen]],Almacen!A:D,4,FALSE),"")</f>
        <v>Montelima</v>
      </c>
    </row>
    <row r="1563" spans="1:12" x14ac:dyDescent="0.3">
      <c r="A1563" s="29" t="str">
        <f>Detalle_OC[[#This Row],[Centro]]&amp;Detalle_OC[[#This Row],[Nom Almacen]]&amp;Detalle_OC[[#This Row],[Material]]&amp;Detalle_OC[[#This Row],[Pedido]]&amp;Detalle_OC[[#This Row],[Posicion]]</f>
        <v>Agricola del Chira PlantaMontelima70003711451157010610</v>
      </c>
      <c r="B1563" t="s">
        <v>149</v>
      </c>
      <c r="C1563" t="s">
        <v>235</v>
      </c>
      <c r="D1563" s="11">
        <v>45625</v>
      </c>
      <c r="E1563" t="s">
        <v>16</v>
      </c>
      <c r="F1563" t="s">
        <v>12</v>
      </c>
      <c r="G1563">
        <v>70003711</v>
      </c>
      <c r="H1563">
        <v>4511570106</v>
      </c>
      <c r="I1563">
        <v>10</v>
      </c>
      <c r="J1563" s="29">
        <v>1</v>
      </c>
      <c r="K1563" s="29" t="s">
        <v>93</v>
      </c>
      <c r="L1563" t="str">
        <f>IFERROR(VLOOKUP(Detalle_OC[[#This Row],[Centro]]&amp;Detalle_OC[[#This Row],[Nro Almacen]],Almacen!A:D,4,FALSE),"")</f>
        <v>Montelima</v>
      </c>
    </row>
    <row r="1564" spans="1:12" x14ac:dyDescent="0.3">
      <c r="A1564" s="29" t="str">
        <f>Detalle_OC[[#This Row],[Centro]]&amp;Detalle_OC[[#This Row],[Nom Almacen]]&amp;Detalle_OC[[#This Row],[Material]]&amp;Detalle_OC[[#This Row],[Pedido]]&amp;Detalle_OC[[#This Row],[Posicion]]</f>
        <v>Agricola del Chira PlantaMontelima844398451157010820</v>
      </c>
      <c r="B1564" t="s">
        <v>149</v>
      </c>
      <c r="C1564" t="s">
        <v>255</v>
      </c>
      <c r="D1564" s="11">
        <v>45635</v>
      </c>
      <c r="E1564" t="s">
        <v>16</v>
      </c>
      <c r="F1564" t="s">
        <v>12</v>
      </c>
      <c r="G1564">
        <v>844398</v>
      </c>
      <c r="H1564">
        <v>4511570108</v>
      </c>
      <c r="I1564">
        <v>20</v>
      </c>
      <c r="J1564" s="29">
        <v>1</v>
      </c>
      <c r="K1564" s="29" t="s">
        <v>93</v>
      </c>
      <c r="L1564" t="str">
        <f>IFERROR(VLOOKUP(Detalle_OC[[#This Row],[Centro]]&amp;Detalle_OC[[#This Row],[Nro Almacen]],Almacen!A:D,4,FALSE),"")</f>
        <v>Montelima</v>
      </c>
    </row>
    <row r="1565" spans="1:12" x14ac:dyDescent="0.3">
      <c r="A1565" s="29" t="str">
        <f>Detalle_OC[[#This Row],[Centro]]&amp;Detalle_OC[[#This Row],[Nom Almacen]]&amp;Detalle_OC[[#This Row],[Material]]&amp;Detalle_OC[[#This Row],[Pedido]]&amp;Detalle_OC[[#This Row],[Posicion]]</f>
        <v>Sucroalcolera del Chira PlantaMontelima70007733451157010910</v>
      </c>
      <c r="B1565" t="s">
        <v>138</v>
      </c>
      <c r="C1565" t="s">
        <v>213</v>
      </c>
      <c r="D1565" s="11">
        <v>45642</v>
      </c>
      <c r="E1565" t="s">
        <v>16</v>
      </c>
      <c r="F1565" t="s">
        <v>85</v>
      </c>
      <c r="G1565">
        <v>70007733</v>
      </c>
      <c r="H1565">
        <v>4511570109</v>
      </c>
      <c r="I1565">
        <v>10</v>
      </c>
      <c r="J1565" s="29">
        <v>1</v>
      </c>
      <c r="K1565" s="29" t="s">
        <v>93</v>
      </c>
      <c r="L1565" t="str">
        <f>IFERROR(VLOOKUP(Detalle_OC[[#This Row],[Centro]]&amp;Detalle_OC[[#This Row],[Nro Almacen]],Almacen!A:D,4,FALSE),"")</f>
        <v>Montelima</v>
      </c>
    </row>
    <row r="1566" spans="1:12" x14ac:dyDescent="0.3">
      <c r="A1566" s="29" t="str">
        <f>Detalle_OC[[#This Row],[Centro]]&amp;Detalle_OC[[#This Row],[Nom Almacen]]&amp;Detalle_OC[[#This Row],[Material]]&amp;Detalle_OC[[#This Row],[Pedido]]&amp;Detalle_OC[[#This Row],[Posicion]]</f>
        <v>Sucroalcolera del Chira PlantaMontelima860645451157011010</v>
      </c>
      <c r="B1566" t="s">
        <v>138</v>
      </c>
      <c r="C1566" t="s">
        <v>278</v>
      </c>
      <c r="D1566" s="11">
        <v>45625</v>
      </c>
      <c r="E1566" t="s">
        <v>16</v>
      </c>
      <c r="F1566" t="s">
        <v>85</v>
      </c>
      <c r="G1566">
        <v>860645</v>
      </c>
      <c r="H1566">
        <v>4511570110</v>
      </c>
      <c r="I1566">
        <v>10</v>
      </c>
      <c r="J1566" s="29">
        <v>1</v>
      </c>
      <c r="K1566" s="29" t="s">
        <v>93</v>
      </c>
      <c r="L1566" t="str">
        <f>IFERROR(VLOOKUP(Detalle_OC[[#This Row],[Centro]]&amp;Detalle_OC[[#This Row],[Nro Almacen]],Almacen!A:D,4,FALSE),"")</f>
        <v>Montelima</v>
      </c>
    </row>
    <row r="1567" spans="1:12" x14ac:dyDescent="0.3">
      <c r="A1567" s="29" t="str">
        <f>Detalle_OC[[#This Row],[Centro]]&amp;Detalle_OC[[#This Row],[Nom Almacen]]&amp;Detalle_OC[[#This Row],[Material]]&amp;Detalle_OC[[#This Row],[Pedido]]&amp;Detalle_OC[[#This Row],[Posicion]]</f>
        <v>Agricola del Chira PlantaMontelima839404451157012510</v>
      </c>
      <c r="B1567" t="s">
        <v>149</v>
      </c>
      <c r="C1567" t="s">
        <v>166</v>
      </c>
      <c r="D1567" s="11">
        <v>45625</v>
      </c>
      <c r="E1567" t="s">
        <v>16</v>
      </c>
      <c r="F1567" t="s">
        <v>12</v>
      </c>
      <c r="G1567">
        <v>839404</v>
      </c>
      <c r="H1567">
        <v>4511570125</v>
      </c>
      <c r="I1567">
        <v>10</v>
      </c>
      <c r="J1567" s="29">
        <v>1</v>
      </c>
      <c r="K1567" s="29" t="s">
        <v>93</v>
      </c>
      <c r="L1567" t="str">
        <f>IFERROR(VLOOKUP(Detalle_OC[[#This Row],[Centro]]&amp;Detalle_OC[[#This Row],[Nro Almacen]],Almacen!A:D,4,FALSE),"")</f>
        <v>Montelima</v>
      </c>
    </row>
    <row r="1568" spans="1:12" x14ac:dyDescent="0.3">
      <c r="A1568" s="29" t="str">
        <f>Detalle_OC[[#This Row],[Centro]]&amp;Detalle_OC[[#This Row],[Nom Almacen]]&amp;Detalle_OC[[#This Row],[Material]]&amp;Detalle_OC[[#This Row],[Pedido]]&amp;Detalle_OC[[#This Row],[Posicion]]</f>
        <v>Agricola del Chira PlantaMontelima851950451157012520</v>
      </c>
      <c r="B1568" t="s">
        <v>149</v>
      </c>
      <c r="C1568" t="s">
        <v>166</v>
      </c>
      <c r="D1568" s="11">
        <v>45625</v>
      </c>
      <c r="E1568" t="s">
        <v>16</v>
      </c>
      <c r="F1568" t="s">
        <v>12</v>
      </c>
      <c r="G1568">
        <v>851950</v>
      </c>
      <c r="H1568">
        <v>4511570125</v>
      </c>
      <c r="I1568">
        <v>20</v>
      </c>
      <c r="J1568" s="29">
        <v>1</v>
      </c>
      <c r="K1568" s="29" t="s">
        <v>93</v>
      </c>
      <c r="L1568" t="str">
        <f>IFERROR(VLOOKUP(Detalle_OC[[#This Row],[Centro]]&amp;Detalle_OC[[#This Row],[Nro Almacen]],Almacen!A:D,4,FALSE),"")</f>
        <v>Montelima</v>
      </c>
    </row>
    <row r="1569" spans="1:12" x14ac:dyDescent="0.3">
      <c r="A1569" s="29" t="str">
        <f>Detalle_OC[[#This Row],[Centro]]&amp;Detalle_OC[[#This Row],[Nom Almacen]]&amp;Detalle_OC[[#This Row],[Material]]&amp;Detalle_OC[[#This Row],[Pedido]]&amp;Detalle_OC[[#This Row],[Posicion]]</f>
        <v>Agricola del Chira PlantaAlmacen Lobo851950451157012530</v>
      </c>
      <c r="B1569" t="s">
        <v>149</v>
      </c>
      <c r="C1569" t="s">
        <v>166</v>
      </c>
      <c r="D1569" s="11">
        <v>45625</v>
      </c>
      <c r="E1569" t="s">
        <v>16</v>
      </c>
      <c r="F1569" t="s">
        <v>12</v>
      </c>
      <c r="G1569">
        <v>851950</v>
      </c>
      <c r="H1569">
        <v>4511570125</v>
      </c>
      <c r="I1569">
        <v>30</v>
      </c>
      <c r="J1569" s="29">
        <v>7</v>
      </c>
      <c r="K1569" s="29" t="s">
        <v>93</v>
      </c>
      <c r="L1569" t="str">
        <f>IFERROR(VLOOKUP(Detalle_OC[[#This Row],[Centro]]&amp;Detalle_OC[[#This Row],[Nro Almacen]],Almacen!A:D,4,FALSE),"")</f>
        <v>Almacen Lobo</v>
      </c>
    </row>
    <row r="1570" spans="1:12" x14ac:dyDescent="0.3">
      <c r="A1570" s="29" t="str">
        <f>Detalle_OC[[#This Row],[Centro]]&amp;Detalle_OC[[#This Row],[Nom Almacen]]&amp;Detalle_OC[[#This Row],[Material]]&amp;Detalle_OC[[#This Row],[Pedido]]&amp;Detalle_OC[[#This Row],[Posicion]]</f>
        <v>Agricola del Chira PlantaMontelima875540451157012540</v>
      </c>
      <c r="B1570" t="s">
        <v>149</v>
      </c>
      <c r="C1570" t="s">
        <v>166</v>
      </c>
      <c r="D1570" s="11">
        <v>45635</v>
      </c>
      <c r="E1570" t="s">
        <v>16</v>
      </c>
      <c r="F1570" t="s">
        <v>12</v>
      </c>
      <c r="G1570">
        <v>875540</v>
      </c>
      <c r="H1570">
        <v>4511570125</v>
      </c>
      <c r="I1570">
        <v>40</v>
      </c>
      <c r="J1570" s="29">
        <v>1</v>
      </c>
      <c r="K1570" s="29" t="s">
        <v>93</v>
      </c>
      <c r="L1570" t="str">
        <f>IFERROR(VLOOKUP(Detalle_OC[[#This Row],[Centro]]&amp;Detalle_OC[[#This Row],[Nro Almacen]],Almacen!A:D,4,FALSE),"")</f>
        <v>Montelima</v>
      </c>
    </row>
    <row r="1571" spans="1:12" x14ac:dyDescent="0.3">
      <c r="A1571" s="29" t="str">
        <f>Detalle_OC[[#This Row],[Centro]]&amp;Detalle_OC[[#This Row],[Nom Almacen]]&amp;Detalle_OC[[#This Row],[Material]]&amp;Detalle_OC[[#This Row],[Pedido]]&amp;Detalle_OC[[#This Row],[Posicion]]</f>
        <v>Agricola del Chira PlantaMontelima70006606451157012550</v>
      </c>
      <c r="B1571" t="s">
        <v>149</v>
      </c>
      <c r="C1571" t="s">
        <v>166</v>
      </c>
      <c r="D1571" s="11">
        <v>45625</v>
      </c>
      <c r="E1571" t="s">
        <v>16</v>
      </c>
      <c r="F1571" t="s">
        <v>12</v>
      </c>
      <c r="G1571">
        <v>70006606</v>
      </c>
      <c r="H1571">
        <v>4511570125</v>
      </c>
      <c r="I1571">
        <v>50</v>
      </c>
      <c r="J1571" s="29">
        <v>1</v>
      </c>
      <c r="K1571" s="29" t="s">
        <v>93</v>
      </c>
      <c r="L1571" t="str">
        <f>IFERROR(VLOOKUP(Detalle_OC[[#This Row],[Centro]]&amp;Detalle_OC[[#This Row],[Nro Almacen]],Almacen!A:D,4,FALSE),"")</f>
        <v>Montelima</v>
      </c>
    </row>
    <row r="1572" spans="1:12" x14ac:dyDescent="0.3">
      <c r="A1572" s="29" t="str">
        <f>Detalle_OC[[#This Row],[Centro]]&amp;Detalle_OC[[#This Row],[Nom Almacen]]&amp;Detalle_OC[[#This Row],[Material]]&amp;Detalle_OC[[#This Row],[Pedido]]&amp;Detalle_OC[[#This Row],[Posicion]]</f>
        <v>Agricola del Chira PlantaMontelima70011438451157012560</v>
      </c>
      <c r="B1572" t="s">
        <v>149</v>
      </c>
      <c r="C1572" t="s">
        <v>166</v>
      </c>
      <c r="D1572" s="11">
        <v>45625</v>
      </c>
      <c r="E1572" t="s">
        <v>16</v>
      </c>
      <c r="F1572" t="s">
        <v>12</v>
      </c>
      <c r="G1572">
        <v>70011438</v>
      </c>
      <c r="H1572">
        <v>4511570125</v>
      </c>
      <c r="I1572">
        <v>60</v>
      </c>
      <c r="J1572" s="29">
        <v>1</v>
      </c>
      <c r="K1572" s="29" t="s">
        <v>93</v>
      </c>
      <c r="L1572" t="str">
        <f>IFERROR(VLOOKUP(Detalle_OC[[#This Row],[Centro]]&amp;Detalle_OC[[#This Row],[Nro Almacen]],Almacen!A:D,4,FALSE),"")</f>
        <v>Montelima</v>
      </c>
    </row>
    <row r="1573" spans="1:12" x14ac:dyDescent="0.3">
      <c r="A1573" s="29" t="str">
        <f>Detalle_OC[[#This Row],[Centro]]&amp;Detalle_OC[[#This Row],[Nom Almacen]]&amp;Detalle_OC[[#This Row],[Material]]&amp;Detalle_OC[[#This Row],[Pedido]]&amp;Detalle_OC[[#This Row],[Posicion]]</f>
        <v>Agricola del Chira PlantaMontelima70022355451157012570</v>
      </c>
      <c r="B1573" t="s">
        <v>149</v>
      </c>
      <c r="C1573" t="s">
        <v>166</v>
      </c>
      <c r="D1573" s="11">
        <v>45625</v>
      </c>
      <c r="E1573" t="s">
        <v>16</v>
      </c>
      <c r="F1573" t="s">
        <v>12</v>
      </c>
      <c r="G1573">
        <v>70022355</v>
      </c>
      <c r="H1573">
        <v>4511570125</v>
      </c>
      <c r="I1573">
        <v>70</v>
      </c>
      <c r="J1573" s="29">
        <v>1</v>
      </c>
      <c r="K1573" s="29" t="s">
        <v>93</v>
      </c>
      <c r="L1573" t="str">
        <f>IFERROR(VLOOKUP(Detalle_OC[[#This Row],[Centro]]&amp;Detalle_OC[[#This Row],[Nro Almacen]],Almacen!A:D,4,FALSE),"")</f>
        <v>Montelima</v>
      </c>
    </row>
    <row r="1574" spans="1:12" x14ac:dyDescent="0.3">
      <c r="A1574" s="29" t="str">
        <f>Detalle_OC[[#This Row],[Centro]]&amp;Detalle_OC[[#This Row],[Nom Almacen]]&amp;Detalle_OC[[#This Row],[Material]]&amp;Detalle_OC[[#This Row],[Pedido]]&amp;Detalle_OC[[#This Row],[Posicion]]</f>
        <v>Agricola del Chira PlantaMontelima70035298451157012580</v>
      </c>
      <c r="B1574" t="s">
        <v>149</v>
      </c>
      <c r="C1574" t="s">
        <v>166</v>
      </c>
      <c r="D1574" s="11">
        <v>45625</v>
      </c>
      <c r="E1574" t="s">
        <v>16</v>
      </c>
      <c r="F1574" t="s">
        <v>12</v>
      </c>
      <c r="G1574">
        <v>70035298</v>
      </c>
      <c r="H1574">
        <v>4511570125</v>
      </c>
      <c r="I1574">
        <v>80</v>
      </c>
      <c r="J1574" s="29">
        <v>1</v>
      </c>
      <c r="K1574" s="29" t="s">
        <v>93</v>
      </c>
      <c r="L1574" t="str">
        <f>IFERROR(VLOOKUP(Detalle_OC[[#This Row],[Centro]]&amp;Detalle_OC[[#This Row],[Nro Almacen]],Almacen!A:D,4,FALSE),"")</f>
        <v>Montelima</v>
      </c>
    </row>
    <row r="1575" spans="1:12" x14ac:dyDescent="0.3">
      <c r="A1575" s="29" t="str">
        <f>Detalle_OC[[#This Row],[Centro]]&amp;Detalle_OC[[#This Row],[Nom Almacen]]&amp;Detalle_OC[[#This Row],[Material]]&amp;Detalle_OC[[#This Row],[Pedido]]&amp;Detalle_OC[[#This Row],[Posicion]]</f>
        <v>Agricola del Chira PlantaMontelima723318451157012710</v>
      </c>
      <c r="B1575" t="s">
        <v>149</v>
      </c>
      <c r="C1575" t="s">
        <v>84</v>
      </c>
      <c r="D1575" s="11">
        <v>45621</v>
      </c>
      <c r="E1575" t="s">
        <v>16</v>
      </c>
      <c r="F1575" t="s">
        <v>12</v>
      </c>
      <c r="G1575">
        <v>723318</v>
      </c>
      <c r="H1575">
        <v>4511570127</v>
      </c>
      <c r="I1575">
        <v>10</v>
      </c>
      <c r="J1575" s="29">
        <v>1</v>
      </c>
      <c r="K1575" s="29" t="s">
        <v>93</v>
      </c>
      <c r="L1575" t="str">
        <f>IFERROR(VLOOKUP(Detalle_OC[[#This Row],[Centro]]&amp;Detalle_OC[[#This Row],[Nro Almacen]],Almacen!A:D,4,FALSE),"")</f>
        <v>Montelima</v>
      </c>
    </row>
    <row r="1576" spans="1:12" x14ac:dyDescent="0.3">
      <c r="A1576" s="29" t="str">
        <f>Detalle_OC[[#This Row],[Centro]]&amp;Detalle_OC[[#This Row],[Nom Almacen]]&amp;Detalle_OC[[#This Row],[Material]]&amp;Detalle_OC[[#This Row],[Pedido]]&amp;Detalle_OC[[#This Row],[Posicion]]</f>
        <v>Agricola del Chira PlantaMontelima813884451157012720</v>
      </c>
      <c r="B1576" t="s">
        <v>149</v>
      </c>
      <c r="C1576" t="s">
        <v>84</v>
      </c>
      <c r="D1576" s="11">
        <v>45621</v>
      </c>
      <c r="E1576" t="s">
        <v>16</v>
      </c>
      <c r="F1576" t="s">
        <v>12</v>
      </c>
      <c r="G1576">
        <v>813884</v>
      </c>
      <c r="H1576">
        <v>4511570127</v>
      </c>
      <c r="I1576">
        <v>20</v>
      </c>
      <c r="J1576" s="29">
        <v>1</v>
      </c>
      <c r="K1576" s="29" t="s">
        <v>93</v>
      </c>
      <c r="L1576" t="str">
        <f>IFERROR(VLOOKUP(Detalle_OC[[#This Row],[Centro]]&amp;Detalle_OC[[#This Row],[Nro Almacen]],Almacen!A:D,4,FALSE),"")</f>
        <v>Montelima</v>
      </c>
    </row>
    <row r="1577" spans="1:12" x14ac:dyDescent="0.3">
      <c r="A1577" s="29" t="str">
        <f>Detalle_OC[[#This Row],[Centro]]&amp;Detalle_OC[[#This Row],[Nom Almacen]]&amp;Detalle_OC[[#This Row],[Material]]&amp;Detalle_OC[[#This Row],[Pedido]]&amp;Detalle_OC[[#This Row],[Posicion]]</f>
        <v>Agricola del Chira PlantaMontelima70113612451157012730</v>
      </c>
      <c r="B1577" t="s">
        <v>149</v>
      </c>
      <c r="C1577" t="s">
        <v>84</v>
      </c>
      <c r="D1577" s="11">
        <v>45621</v>
      </c>
      <c r="E1577" t="s">
        <v>16</v>
      </c>
      <c r="F1577" t="s">
        <v>12</v>
      </c>
      <c r="G1577">
        <v>70113612</v>
      </c>
      <c r="H1577">
        <v>4511570127</v>
      </c>
      <c r="I1577">
        <v>30</v>
      </c>
      <c r="J1577" s="29">
        <v>1</v>
      </c>
      <c r="K1577" s="29" t="s">
        <v>93</v>
      </c>
      <c r="L1577" t="str">
        <f>IFERROR(VLOOKUP(Detalle_OC[[#This Row],[Centro]]&amp;Detalle_OC[[#This Row],[Nro Almacen]],Almacen!A:D,4,FALSE),"")</f>
        <v>Montelima</v>
      </c>
    </row>
    <row r="1578" spans="1:12" x14ac:dyDescent="0.3">
      <c r="A1578" s="29" t="str">
        <f>Detalle_OC[[#This Row],[Centro]]&amp;Detalle_OC[[#This Row],[Nom Almacen]]&amp;Detalle_OC[[#This Row],[Material]]&amp;Detalle_OC[[#This Row],[Pedido]]&amp;Detalle_OC[[#This Row],[Posicion]]</f>
        <v>Agricola del Chira PlantaAlmacen Lobo813884451157012740</v>
      </c>
      <c r="B1578" t="s">
        <v>149</v>
      </c>
      <c r="C1578" t="s">
        <v>84</v>
      </c>
      <c r="D1578" s="11">
        <v>45621</v>
      </c>
      <c r="E1578" t="s">
        <v>16</v>
      </c>
      <c r="F1578" t="s">
        <v>12</v>
      </c>
      <c r="G1578">
        <v>813884</v>
      </c>
      <c r="H1578">
        <v>4511570127</v>
      </c>
      <c r="I1578">
        <v>40</v>
      </c>
      <c r="J1578" s="29">
        <v>7</v>
      </c>
      <c r="K1578" s="29" t="s">
        <v>93</v>
      </c>
      <c r="L1578" t="str">
        <f>IFERROR(VLOOKUP(Detalle_OC[[#This Row],[Centro]]&amp;Detalle_OC[[#This Row],[Nro Almacen]],Almacen!A:D,4,FALSE),"")</f>
        <v>Almacen Lobo</v>
      </c>
    </row>
    <row r="1579" spans="1:12" x14ac:dyDescent="0.3">
      <c r="A1579" s="29" t="str">
        <f>Detalle_OC[[#This Row],[Centro]]&amp;Detalle_OC[[#This Row],[Nom Almacen]]&amp;Detalle_OC[[#This Row],[Material]]&amp;Detalle_OC[[#This Row],[Pedido]]&amp;Detalle_OC[[#This Row],[Posicion]]</f>
        <v>Agricola del Chira PlantaAlmacen Lobo721576451157016170</v>
      </c>
      <c r="B1579" t="s">
        <v>26</v>
      </c>
      <c r="C1579" t="s">
        <v>22</v>
      </c>
      <c r="D1579" s="11">
        <v>45618</v>
      </c>
      <c r="E1579" t="s">
        <v>16</v>
      </c>
      <c r="F1579" t="s">
        <v>12</v>
      </c>
      <c r="G1579">
        <v>721576</v>
      </c>
      <c r="H1579">
        <v>4511570161</v>
      </c>
      <c r="I1579">
        <v>70</v>
      </c>
      <c r="J1579" s="29">
        <v>7</v>
      </c>
      <c r="K1579" s="29" t="s">
        <v>93</v>
      </c>
      <c r="L1579" t="str">
        <f>IFERROR(VLOOKUP(Detalle_OC[[#This Row],[Centro]]&amp;Detalle_OC[[#This Row],[Nro Almacen]],Almacen!A:D,4,FALSE),"")</f>
        <v>Almacen Lobo</v>
      </c>
    </row>
    <row r="1580" spans="1:12" x14ac:dyDescent="0.3">
      <c r="A1580" s="29" t="str">
        <f>Detalle_OC[[#This Row],[Centro]]&amp;Detalle_OC[[#This Row],[Nom Almacen]]&amp;Detalle_OC[[#This Row],[Material]]&amp;Detalle_OC[[#This Row],[Pedido]]&amp;Detalle_OC[[#This Row],[Posicion]]</f>
        <v>Sucroalcolera del Chira PlantaMontelima813224550002233650</v>
      </c>
      <c r="B1580" t="s">
        <v>28</v>
      </c>
      <c r="C1580" t="s">
        <v>84</v>
      </c>
      <c r="D1580" s="11">
        <v>45616</v>
      </c>
      <c r="E1580" t="s">
        <v>16</v>
      </c>
      <c r="F1580" t="s">
        <v>85</v>
      </c>
      <c r="G1580">
        <v>813224</v>
      </c>
      <c r="H1580">
        <v>5500022336</v>
      </c>
      <c r="I1580">
        <v>50</v>
      </c>
      <c r="J1580" s="29">
        <v>1</v>
      </c>
      <c r="K1580" s="29" t="s">
        <v>93</v>
      </c>
      <c r="L1580" t="str">
        <f>IFERROR(VLOOKUP(Detalle_OC[[#This Row],[Centro]]&amp;Detalle_OC[[#This Row],[Nro Almacen]],Almacen!A:D,4,FALSE),"")</f>
        <v>Montelima</v>
      </c>
    </row>
    <row r="1581" spans="1:12" x14ac:dyDescent="0.3">
      <c r="A1581" s="29" t="str">
        <f>Detalle_OC[[#This Row],[Centro]]&amp;Detalle_OC[[#This Row],[Nom Almacen]]&amp;Detalle_OC[[#This Row],[Material]]&amp;Detalle_OC[[#This Row],[Pedido]]&amp;Detalle_OC[[#This Row],[Posicion]]</f>
        <v>Sucroalcolera del Chira PlantaMontelima700843695500024682100</v>
      </c>
      <c r="B1581" t="s">
        <v>28</v>
      </c>
      <c r="C1581" t="s">
        <v>84</v>
      </c>
      <c r="D1581" s="11">
        <v>45616</v>
      </c>
      <c r="E1581" t="s">
        <v>16</v>
      </c>
      <c r="F1581" t="s">
        <v>85</v>
      </c>
      <c r="G1581">
        <v>70084369</v>
      </c>
      <c r="H1581">
        <v>5500024682</v>
      </c>
      <c r="I1581">
        <v>100</v>
      </c>
      <c r="J1581" s="29">
        <v>1</v>
      </c>
      <c r="K1581" s="29" t="s">
        <v>93</v>
      </c>
      <c r="L1581" t="str">
        <f>IFERROR(VLOOKUP(Detalle_OC[[#This Row],[Centro]]&amp;Detalle_OC[[#This Row],[Nro Almacen]],Almacen!A:D,4,FALSE),"")</f>
        <v>Montelima</v>
      </c>
    </row>
    <row r="1582" spans="1:12" x14ac:dyDescent="0.3">
      <c r="A1582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1582" t="s">
        <v>28</v>
      </c>
      <c r="C1582" t="s">
        <v>94</v>
      </c>
      <c r="D1582" s="11">
        <v>45611</v>
      </c>
      <c r="E1582" t="s">
        <v>16</v>
      </c>
      <c r="F1582" t="s">
        <v>85</v>
      </c>
      <c r="G1582" t="s">
        <v>95</v>
      </c>
      <c r="H1582">
        <v>5500024746</v>
      </c>
      <c r="I1582">
        <v>10</v>
      </c>
      <c r="J1582" s="29">
        <v>1</v>
      </c>
      <c r="K1582" s="29" t="s">
        <v>93</v>
      </c>
      <c r="L1582" t="str">
        <f>IFERROR(VLOOKUP(Detalle_OC[[#This Row],[Centro]]&amp;Detalle_OC[[#This Row],[Nro Almacen]],Almacen!A:D,4,FALSE),"")</f>
        <v>Montelima</v>
      </c>
    </row>
    <row r="1583" spans="1:12" x14ac:dyDescent="0.3">
      <c r="A1583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1583" t="s">
        <v>28</v>
      </c>
      <c r="C1583" t="s">
        <v>54</v>
      </c>
      <c r="D1583" s="11">
        <v>45611</v>
      </c>
      <c r="E1583" t="s">
        <v>16</v>
      </c>
      <c r="F1583" t="s">
        <v>12</v>
      </c>
      <c r="G1583">
        <v>70100392</v>
      </c>
      <c r="H1583">
        <v>5500024751</v>
      </c>
      <c r="I1583">
        <v>20</v>
      </c>
      <c r="J1583" s="29">
        <v>2</v>
      </c>
      <c r="K1583" s="29" t="s">
        <v>93</v>
      </c>
      <c r="L1583" t="str">
        <f>IFERROR(VLOOKUP(Detalle_OC[[#This Row],[Centro]]&amp;Detalle_OC[[#This Row],[Nro Almacen]],Almacen!A:D,4,FALSE),"")</f>
        <v>La Huaca</v>
      </c>
    </row>
    <row r="1584" spans="1:12" x14ac:dyDescent="0.3">
      <c r="A1584" s="29" t="str">
        <f>Detalle_OC[[#This Row],[Centro]]&amp;Detalle_OC[[#This Row],[Nom Almacen]]&amp;Detalle_OC[[#This Row],[Material]]&amp;Detalle_OC[[#This Row],[Pedido]]&amp;Detalle_OC[[#This Row],[Posicion]]</f>
        <v>Agricola del Chira PlantaSan Vicente70100392550002475130</v>
      </c>
      <c r="B1584" t="s">
        <v>28</v>
      </c>
      <c r="C1584" t="s">
        <v>54</v>
      </c>
      <c r="D1584" s="11">
        <v>45611</v>
      </c>
      <c r="E1584" t="s">
        <v>16</v>
      </c>
      <c r="F1584" t="s">
        <v>12</v>
      </c>
      <c r="G1584">
        <v>70100392</v>
      </c>
      <c r="H1584">
        <v>5500024751</v>
      </c>
      <c r="I1584">
        <v>30</v>
      </c>
      <c r="J1584" s="29">
        <v>3</v>
      </c>
      <c r="K1584" s="29" t="s">
        <v>93</v>
      </c>
      <c r="L1584" t="str">
        <f>IFERROR(VLOOKUP(Detalle_OC[[#This Row],[Centro]]&amp;Detalle_OC[[#This Row],[Nro Almacen]],Almacen!A:D,4,FALSE),"")</f>
        <v>San Vicente</v>
      </c>
    </row>
    <row r="1585" spans="1:12" x14ac:dyDescent="0.3">
      <c r="A1585" s="29" t="str">
        <f>Detalle_OC[[#This Row],[Centro]]&amp;Detalle_OC[[#This Row],[Nom Almacen]]&amp;Detalle_OC[[#This Row],[Material]]&amp;Detalle_OC[[#This Row],[Pedido]]&amp;Detalle_OC[[#This Row],[Posicion]]</f>
        <v>Agricola del Chira PlantaAlmacen Lobo701226550002476610</v>
      </c>
      <c r="B1585" t="s">
        <v>28</v>
      </c>
      <c r="C1585" t="s">
        <v>112</v>
      </c>
      <c r="D1585" s="11">
        <v>45611</v>
      </c>
      <c r="E1585" t="s">
        <v>16</v>
      </c>
      <c r="F1585" t="s">
        <v>12</v>
      </c>
      <c r="G1585">
        <v>701226</v>
      </c>
      <c r="H1585">
        <v>5500024766</v>
      </c>
      <c r="I1585">
        <v>10</v>
      </c>
      <c r="J1585" s="29">
        <v>7</v>
      </c>
      <c r="K1585" s="29" t="s">
        <v>93</v>
      </c>
      <c r="L1585" t="str">
        <f>IFERROR(VLOOKUP(Detalle_OC[[#This Row],[Centro]]&amp;Detalle_OC[[#This Row],[Nro Almacen]],Almacen!A:D,4,FALSE),"")</f>
        <v>Almacen Lobo</v>
      </c>
    </row>
    <row r="1586" spans="1:12" x14ac:dyDescent="0.3">
      <c r="A1586" s="29" t="str">
        <f>Detalle_OC[[#This Row],[Centro]]&amp;Detalle_OC[[#This Row],[Nom Almacen]]&amp;Detalle_OC[[#This Row],[Material]]&amp;Detalle_OC[[#This Row],[Pedido]]&amp;Detalle_OC[[#This Row],[Posicion]]</f>
        <v>Agricola del Chira PlantaMontelima70069181550002485510</v>
      </c>
      <c r="B1586" t="s">
        <v>28</v>
      </c>
      <c r="C1586" t="s">
        <v>96</v>
      </c>
      <c r="D1586" s="11">
        <v>45624</v>
      </c>
      <c r="E1586" t="s">
        <v>16</v>
      </c>
      <c r="F1586" t="s">
        <v>12</v>
      </c>
      <c r="G1586">
        <v>70069181</v>
      </c>
      <c r="H1586">
        <v>5500024855</v>
      </c>
      <c r="I1586">
        <v>10</v>
      </c>
      <c r="J1586" s="29">
        <v>1</v>
      </c>
      <c r="K1586" s="29" t="s">
        <v>93</v>
      </c>
      <c r="L1586" t="str">
        <f>IFERROR(VLOOKUP(Detalle_OC[[#This Row],[Centro]]&amp;Detalle_OC[[#This Row],[Nro Almacen]],Almacen!A:D,4,FALSE),"")</f>
        <v>Montelima</v>
      </c>
    </row>
    <row r="1587" spans="1:12" x14ac:dyDescent="0.3">
      <c r="A1587" s="29" t="str">
        <f>Detalle_OC[[#This Row],[Centro]]&amp;Detalle_OC[[#This Row],[Nom Almacen]]&amp;Detalle_OC[[#This Row],[Material]]&amp;Detalle_OC[[#This Row],[Pedido]]&amp;Detalle_OC[[#This Row],[Posicion]]</f>
        <v>Agricola del Chira PlantaMontelima836116451157004110</v>
      </c>
      <c r="B1587" t="s">
        <v>149</v>
      </c>
      <c r="C1587" t="s">
        <v>216</v>
      </c>
      <c r="D1587" s="11">
        <v>45623</v>
      </c>
      <c r="E1587" t="s">
        <v>16</v>
      </c>
      <c r="F1587" t="s">
        <v>12</v>
      </c>
      <c r="G1587">
        <v>836116</v>
      </c>
      <c r="H1587">
        <v>4511570041</v>
      </c>
      <c r="I1587">
        <v>10</v>
      </c>
      <c r="J1587" s="29">
        <v>1</v>
      </c>
      <c r="K1587" s="29" t="s">
        <v>97</v>
      </c>
      <c r="L1587" t="str">
        <f>IFERROR(VLOOKUP(Detalle_OC[[#This Row],[Centro]]&amp;Detalle_OC[[#This Row],[Nro Almacen]],Almacen!A:D,4,FALSE),"")</f>
        <v>Montelima</v>
      </c>
    </row>
    <row r="1588" spans="1:12" x14ac:dyDescent="0.3">
      <c r="A1588" s="29" t="str">
        <f>Detalle_OC[[#This Row],[Centro]]&amp;Detalle_OC[[#This Row],[Nom Almacen]]&amp;Detalle_OC[[#This Row],[Material]]&amp;Detalle_OC[[#This Row],[Pedido]]&amp;Detalle_OC[[#This Row],[Posicion]]</f>
        <v>Agricola del Chira PlantaMontelima841202451157004120</v>
      </c>
      <c r="B1588" t="s">
        <v>188</v>
      </c>
      <c r="C1588" t="s">
        <v>216</v>
      </c>
      <c r="D1588" s="11">
        <v>45623</v>
      </c>
      <c r="E1588" t="s">
        <v>16</v>
      </c>
      <c r="F1588" t="s">
        <v>12</v>
      </c>
      <c r="G1588">
        <v>841202</v>
      </c>
      <c r="H1588">
        <v>4511570041</v>
      </c>
      <c r="I1588">
        <v>20</v>
      </c>
      <c r="J1588" s="29">
        <v>1</v>
      </c>
      <c r="K1588" s="29" t="s">
        <v>97</v>
      </c>
      <c r="L1588" t="str">
        <f>IFERROR(VLOOKUP(Detalle_OC[[#This Row],[Centro]]&amp;Detalle_OC[[#This Row],[Nro Almacen]],Almacen!A:D,4,FALSE),"")</f>
        <v>Montelima</v>
      </c>
    </row>
    <row r="1589" spans="1:12" x14ac:dyDescent="0.3">
      <c r="A1589" s="29" t="str">
        <f>Detalle_OC[[#This Row],[Centro]]&amp;Detalle_OC[[#This Row],[Nom Almacen]]&amp;Detalle_OC[[#This Row],[Material]]&amp;Detalle_OC[[#This Row],[Pedido]]&amp;Detalle_OC[[#This Row],[Posicion]]</f>
        <v>Agricola del Chira PlantaMontelima850624451157004130</v>
      </c>
      <c r="B1589" t="s">
        <v>149</v>
      </c>
      <c r="C1589" t="s">
        <v>216</v>
      </c>
      <c r="D1589" s="11">
        <v>45623</v>
      </c>
      <c r="E1589" t="s">
        <v>16</v>
      </c>
      <c r="F1589" t="s">
        <v>12</v>
      </c>
      <c r="G1589">
        <v>850624</v>
      </c>
      <c r="H1589">
        <v>4511570041</v>
      </c>
      <c r="I1589">
        <v>30</v>
      </c>
      <c r="J1589" s="29">
        <v>1</v>
      </c>
      <c r="K1589" s="29" t="s">
        <v>97</v>
      </c>
      <c r="L1589" t="str">
        <f>IFERROR(VLOOKUP(Detalle_OC[[#This Row],[Centro]]&amp;Detalle_OC[[#This Row],[Nro Almacen]],Almacen!A:D,4,FALSE),"")</f>
        <v>Montelima</v>
      </c>
    </row>
    <row r="1590" spans="1:12" x14ac:dyDescent="0.3">
      <c r="A1590" s="29" t="str">
        <f>Detalle_OC[[#This Row],[Centro]]&amp;Detalle_OC[[#This Row],[Nom Almacen]]&amp;Detalle_OC[[#This Row],[Material]]&amp;Detalle_OC[[#This Row],[Pedido]]&amp;Detalle_OC[[#This Row],[Posicion]]</f>
        <v>Agricola del Chira PlantaMontelima858425451157004140</v>
      </c>
      <c r="B1590" t="s">
        <v>149</v>
      </c>
      <c r="C1590" t="s">
        <v>216</v>
      </c>
      <c r="D1590" s="11">
        <v>45623</v>
      </c>
      <c r="E1590" t="s">
        <v>16</v>
      </c>
      <c r="F1590" t="s">
        <v>12</v>
      </c>
      <c r="G1590">
        <v>858425</v>
      </c>
      <c r="H1590">
        <v>4511570041</v>
      </c>
      <c r="I1590">
        <v>40</v>
      </c>
      <c r="J1590" s="29">
        <v>1</v>
      </c>
      <c r="K1590" s="29" t="s">
        <v>97</v>
      </c>
      <c r="L1590" t="str">
        <f>IFERROR(VLOOKUP(Detalle_OC[[#This Row],[Centro]]&amp;Detalle_OC[[#This Row],[Nro Almacen]],Almacen!A:D,4,FALSE),"")</f>
        <v>Montelima</v>
      </c>
    </row>
    <row r="1591" spans="1:12" x14ac:dyDescent="0.3">
      <c r="A1591" s="29" t="str">
        <f>Detalle_OC[[#This Row],[Centro]]&amp;Detalle_OC[[#This Row],[Nom Almacen]]&amp;Detalle_OC[[#This Row],[Material]]&amp;Detalle_OC[[#This Row],[Pedido]]&amp;Detalle_OC[[#This Row],[Posicion]]</f>
        <v>Agricola del Chira PlantaMontelima745484451157006310</v>
      </c>
      <c r="B1591" t="s">
        <v>171</v>
      </c>
      <c r="C1591" t="s">
        <v>1183</v>
      </c>
      <c r="D1591" s="11">
        <v>45656</v>
      </c>
      <c r="E1591" t="s">
        <v>51</v>
      </c>
      <c r="F1591" t="s">
        <v>12</v>
      </c>
      <c r="G1591">
        <v>745484</v>
      </c>
      <c r="H1591">
        <v>4511570063</v>
      </c>
      <c r="I1591">
        <v>10</v>
      </c>
      <c r="J1591" s="29">
        <v>1</v>
      </c>
      <c r="K1591" s="29" t="s">
        <v>97</v>
      </c>
      <c r="L1591" t="str">
        <f>IFERROR(VLOOKUP(Detalle_OC[[#This Row],[Centro]]&amp;Detalle_OC[[#This Row],[Nro Almacen]],Almacen!A:D,4,FALSE),"")</f>
        <v>Montelima</v>
      </c>
    </row>
    <row r="1592" spans="1:12" x14ac:dyDescent="0.3">
      <c r="A1592" s="29" t="str">
        <f>Detalle_OC[[#This Row],[Centro]]&amp;Detalle_OC[[#This Row],[Nom Almacen]]&amp;Detalle_OC[[#This Row],[Material]]&amp;Detalle_OC[[#This Row],[Pedido]]&amp;Detalle_OC[[#This Row],[Posicion]]</f>
        <v>Agricola del Chira PlantaMontelima767927451157006320</v>
      </c>
      <c r="B1592" t="s">
        <v>171</v>
      </c>
      <c r="C1592" t="s">
        <v>1183</v>
      </c>
      <c r="D1592" s="11">
        <v>45656</v>
      </c>
      <c r="E1592" t="s">
        <v>51</v>
      </c>
      <c r="F1592" t="s">
        <v>12</v>
      </c>
      <c r="G1592">
        <v>767927</v>
      </c>
      <c r="H1592">
        <v>4511570063</v>
      </c>
      <c r="I1592">
        <v>20</v>
      </c>
      <c r="J1592" s="29">
        <v>1</v>
      </c>
      <c r="K1592" s="29" t="s">
        <v>97</v>
      </c>
      <c r="L1592" t="str">
        <f>IFERROR(VLOOKUP(Detalle_OC[[#This Row],[Centro]]&amp;Detalle_OC[[#This Row],[Nro Almacen]],Almacen!A:D,4,FALSE),"")</f>
        <v>Montelima</v>
      </c>
    </row>
    <row r="1593" spans="1:12" x14ac:dyDescent="0.3">
      <c r="A1593" s="29" t="str">
        <f>Detalle_OC[[#This Row],[Centro]]&amp;Detalle_OC[[#This Row],[Nom Almacen]]&amp;Detalle_OC[[#This Row],[Material]]&amp;Detalle_OC[[#This Row],[Pedido]]&amp;Detalle_OC[[#This Row],[Posicion]]</f>
        <v>Agricola del Chira PlantaMontelima774115451157006330</v>
      </c>
      <c r="B1593" t="s">
        <v>171</v>
      </c>
      <c r="C1593" t="s">
        <v>1183</v>
      </c>
      <c r="D1593" s="11">
        <v>45656</v>
      </c>
      <c r="E1593" t="s">
        <v>51</v>
      </c>
      <c r="F1593" t="s">
        <v>12</v>
      </c>
      <c r="G1593">
        <v>774115</v>
      </c>
      <c r="H1593">
        <v>4511570063</v>
      </c>
      <c r="I1593">
        <v>30</v>
      </c>
      <c r="J1593" s="29">
        <v>1</v>
      </c>
      <c r="K1593" s="29" t="s">
        <v>97</v>
      </c>
      <c r="L1593" t="str">
        <f>IFERROR(VLOOKUP(Detalle_OC[[#This Row],[Centro]]&amp;Detalle_OC[[#This Row],[Nro Almacen]],Almacen!A:D,4,FALSE),"")</f>
        <v>Montelima</v>
      </c>
    </row>
    <row r="1594" spans="1:12" x14ac:dyDescent="0.3">
      <c r="A1594" s="29" t="str">
        <f>Detalle_OC[[#This Row],[Centro]]&amp;Detalle_OC[[#This Row],[Nom Almacen]]&amp;Detalle_OC[[#This Row],[Material]]&amp;Detalle_OC[[#This Row],[Pedido]]&amp;Detalle_OC[[#This Row],[Posicion]]</f>
        <v>Agricola del Chira PlantaMontelima775758451157006340</v>
      </c>
      <c r="B1594" t="s">
        <v>171</v>
      </c>
      <c r="C1594" t="s">
        <v>1183</v>
      </c>
      <c r="D1594" s="11">
        <v>45656</v>
      </c>
      <c r="E1594" t="s">
        <v>51</v>
      </c>
      <c r="F1594" t="s">
        <v>12</v>
      </c>
      <c r="G1594">
        <v>775758</v>
      </c>
      <c r="H1594">
        <v>4511570063</v>
      </c>
      <c r="I1594">
        <v>40</v>
      </c>
      <c r="J1594" s="29">
        <v>1</v>
      </c>
      <c r="K1594" s="29" t="s">
        <v>97</v>
      </c>
      <c r="L1594" t="str">
        <f>IFERROR(VLOOKUP(Detalle_OC[[#This Row],[Centro]]&amp;Detalle_OC[[#This Row],[Nro Almacen]],Almacen!A:D,4,FALSE),"")</f>
        <v>Montelima</v>
      </c>
    </row>
    <row r="1595" spans="1:12" x14ac:dyDescent="0.3">
      <c r="A1595" s="29" t="str">
        <f>Detalle_OC[[#This Row],[Centro]]&amp;Detalle_OC[[#This Row],[Nom Almacen]]&amp;Detalle_OC[[#This Row],[Material]]&amp;Detalle_OC[[#This Row],[Pedido]]&amp;Detalle_OC[[#This Row],[Posicion]]</f>
        <v>Agricola del Chira PlantaMontelima799049451157006350</v>
      </c>
      <c r="B1595" t="s">
        <v>171</v>
      </c>
      <c r="C1595" t="s">
        <v>1183</v>
      </c>
      <c r="D1595" s="11">
        <v>45656</v>
      </c>
      <c r="E1595" t="s">
        <v>51</v>
      </c>
      <c r="F1595" t="s">
        <v>12</v>
      </c>
      <c r="G1595">
        <v>799049</v>
      </c>
      <c r="H1595">
        <v>4511570063</v>
      </c>
      <c r="I1595">
        <v>50</v>
      </c>
      <c r="J1595" s="29">
        <v>1</v>
      </c>
      <c r="K1595" s="29" t="s">
        <v>97</v>
      </c>
      <c r="L1595" t="str">
        <f>IFERROR(VLOOKUP(Detalle_OC[[#This Row],[Centro]]&amp;Detalle_OC[[#This Row],[Nro Almacen]],Almacen!A:D,4,FALSE),"")</f>
        <v>Montelima</v>
      </c>
    </row>
    <row r="1596" spans="1:12" x14ac:dyDescent="0.3">
      <c r="A1596" s="29" t="str">
        <f>Detalle_OC[[#This Row],[Centro]]&amp;Detalle_OC[[#This Row],[Nom Almacen]]&amp;Detalle_OC[[#This Row],[Material]]&amp;Detalle_OC[[#This Row],[Pedido]]&amp;Detalle_OC[[#This Row],[Posicion]]</f>
        <v>Agricola del Chira PlantaMontelima799049451157006360</v>
      </c>
      <c r="B1596" t="s">
        <v>171</v>
      </c>
      <c r="C1596" t="s">
        <v>1183</v>
      </c>
      <c r="D1596" s="11">
        <v>45656</v>
      </c>
      <c r="E1596" t="s">
        <v>51</v>
      </c>
      <c r="F1596" t="s">
        <v>12</v>
      </c>
      <c r="G1596">
        <v>799049</v>
      </c>
      <c r="H1596">
        <v>4511570063</v>
      </c>
      <c r="I1596">
        <v>60</v>
      </c>
      <c r="J1596" s="29">
        <v>1</v>
      </c>
      <c r="K1596" s="29" t="s">
        <v>97</v>
      </c>
      <c r="L1596" t="str">
        <f>IFERROR(VLOOKUP(Detalle_OC[[#This Row],[Centro]]&amp;Detalle_OC[[#This Row],[Nro Almacen]],Almacen!A:D,4,FALSE),"")</f>
        <v>Montelima</v>
      </c>
    </row>
    <row r="1597" spans="1:12" x14ac:dyDescent="0.3">
      <c r="A1597" s="29" t="str">
        <f>Detalle_OC[[#This Row],[Centro]]&amp;Detalle_OC[[#This Row],[Nom Almacen]]&amp;Detalle_OC[[#This Row],[Material]]&amp;Detalle_OC[[#This Row],[Pedido]]&amp;Detalle_OC[[#This Row],[Posicion]]</f>
        <v>Agricola del Chira PlantaMontelima70005651451157006370</v>
      </c>
      <c r="B1597" t="s">
        <v>171</v>
      </c>
      <c r="C1597" t="s">
        <v>1183</v>
      </c>
      <c r="D1597" s="11">
        <v>45656</v>
      </c>
      <c r="E1597" t="s">
        <v>51</v>
      </c>
      <c r="F1597" t="s">
        <v>12</v>
      </c>
      <c r="G1597">
        <v>70005651</v>
      </c>
      <c r="H1597">
        <v>4511570063</v>
      </c>
      <c r="I1597">
        <v>70</v>
      </c>
      <c r="J1597" s="29">
        <v>1</v>
      </c>
      <c r="K1597" s="29" t="s">
        <v>97</v>
      </c>
      <c r="L1597" t="str">
        <f>IFERROR(VLOOKUP(Detalle_OC[[#This Row],[Centro]]&amp;Detalle_OC[[#This Row],[Nro Almacen]],Almacen!A:D,4,FALSE),"")</f>
        <v>Montelima</v>
      </c>
    </row>
    <row r="1598" spans="1:12" x14ac:dyDescent="0.3">
      <c r="A1598" s="29" t="str">
        <f>Detalle_OC[[#This Row],[Centro]]&amp;Detalle_OC[[#This Row],[Nom Almacen]]&amp;Detalle_OC[[#This Row],[Material]]&amp;Detalle_OC[[#This Row],[Pedido]]&amp;Detalle_OC[[#This Row],[Posicion]]</f>
        <v>Agricola del Chira PlantaMontelima70005664451157006380</v>
      </c>
      <c r="B1598" t="s">
        <v>171</v>
      </c>
      <c r="C1598" t="s">
        <v>1183</v>
      </c>
      <c r="D1598" s="11">
        <v>45656</v>
      </c>
      <c r="E1598" t="s">
        <v>51</v>
      </c>
      <c r="F1598" t="s">
        <v>12</v>
      </c>
      <c r="G1598">
        <v>70005664</v>
      </c>
      <c r="H1598">
        <v>4511570063</v>
      </c>
      <c r="I1598">
        <v>80</v>
      </c>
      <c r="J1598" s="29">
        <v>1</v>
      </c>
      <c r="K1598" s="29" t="s">
        <v>97</v>
      </c>
      <c r="L1598" t="str">
        <f>IFERROR(VLOOKUP(Detalle_OC[[#This Row],[Centro]]&amp;Detalle_OC[[#This Row],[Nro Almacen]],Almacen!A:D,4,FALSE),"")</f>
        <v>Montelima</v>
      </c>
    </row>
    <row r="1599" spans="1:12" x14ac:dyDescent="0.3">
      <c r="A1599" s="29" t="str">
        <f>Detalle_OC[[#This Row],[Centro]]&amp;Detalle_OC[[#This Row],[Nom Almacen]]&amp;Detalle_OC[[#This Row],[Material]]&amp;Detalle_OC[[#This Row],[Pedido]]&amp;Detalle_OC[[#This Row],[Posicion]]</f>
        <v>Agricola del Chira PlantaMontelima70005665451157006390</v>
      </c>
      <c r="B1599" t="s">
        <v>171</v>
      </c>
      <c r="C1599" t="s">
        <v>1183</v>
      </c>
      <c r="D1599" s="11">
        <v>45656</v>
      </c>
      <c r="E1599" t="s">
        <v>51</v>
      </c>
      <c r="F1599" t="s">
        <v>12</v>
      </c>
      <c r="G1599">
        <v>70005665</v>
      </c>
      <c r="H1599">
        <v>4511570063</v>
      </c>
      <c r="I1599">
        <v>90</v>
      </c>
      <c r="J1599" s="29">
        <v>1</v>
      </c>
      <c r="K1599" s="29" t="s">
        <v>97</v>
      </c>
      <c r="L1599" t="str">
        <f>IFERROR(VLOOKUP(Detalle_OC[[#This Row],[Centro]]&amp;Detalle_OC[[#This Row],[Nro Almacen]],Almacen!A:D,4,FALSE),"")</f>
        <v>Montelima</v>
      </c>
    </row>
    <row r="1600" spans="1:12" x14ac:dyDescent="0.3">
      <c r="A1600" s="29" t="str">
        <f>Detalle_OC[[#This Row],[Centro]]&amp;Detalle_OC[[#This Row],[Nom Almacen]]&amp;Detalle_OC[[#This Row],[Material]]&amp;Detalle_OC[[#This Row],[Pedido]]&amp;Detalle_OC[[#This Row],[Posicion]]</f>
        <v>Agricola del Chira PlantaMontelima700056774511570063100</v>
      </c>
      <c r="B1600" t="s">
        <v>171</v>
      </c>
      <c r="C1600" t="s">
        <v>1183</v>
      </c>
      <c r="D1600" s="11">
        <v>45656</v>
      </c>
      <c r="E1600" t="s">
        <v>51</v>
      </c>
      <c r="F1600" t="s">
        <v>12</v>
      </c>
      <c r="G1600">
        <v>70005677</v>
      </c>
      <c r="H1600">
        <v>4511570063</v>
      </c>
      <c r="I1600">
        <v>100</v>
      </c>
      <c r="J1600" s="29">
        <v>1</v>
      </c>
      <c r="K1600" s="29" t="s">
        <v>97</v>
      </c>
      <c r="L1600" t="str">
        <f>IFERROR(VLOOKUP(Detalle_OC[[#This Row],[Centro]]&amp;Detalle_OC[[#This Row],[Nro Almacen]],Almacen!A:D,4,FALSE),"")</f>
        <v>Montelima</v>
      </c>
    </row>
    <row r="1601" spans="1:12" x14ac:dyDescent="0.3">
      <c r="A1601" s="29" t="str">
        <f>Detalle_OC[[#This Row],[Centro]]&amp;Detalle_OC[[#This Row],[Nom Almacen]]&amp;Detalle_OC[[#This Row],[Material]]&amp;Detalle_OC[[#This Row],[Pedido]]&amp;Detalle_OC[[#This Row],[Posicion]]</f>
        <v>Agricola del Chira PlantaMontelima700056794511570063110</v>
      </c>
      <c r="B1601" t="s">
        <v>171</v>
      </c>
      <c r="C1601" t="s">
        <v>1183</v>
      </c>
      <c r="D1601" s="11">
        <v>45656</v>
      </c>
      <c r="E1601" t="s">
        <v>51</v>
      </c>
      <c r="F1601" t="s">
        <v>12</v>
      </c>
      <c r="G1601">
        <v>70005679</v>
      </c>
      <c r="H1601">
        <v>4511570063</v>
      </c>
      <c r="I1601">
        <v>110</v>
      </c>
      <c r="J1601" s="29">
        <v>1</v>
      </c>
      <c r="K1601" s="29" t="s">
        <v>97</v>
      </c>
      <c r="L1601" t="str">
        <f>IFERROR(VLOOKUP(Detalle_OC[[#This Row],[Centro]]&amp;Detalle_OC[[#This Row],[Nro Almacen]],Almacen!A:D,4,FALSE),"")</f>
        <v>Montelima</v>
      </c>
    </row>
    <row r="1602" spans="1:12" x14ac:dyDescent="0.3">
      <c r="A1602" s="29" t="str">
        <f>Detalle_OC[[#This Row],[Centro]]&amp;Detalle_OC[[#This Row],[Nom Almacen]]&amp;Detalle_OC[[#This Row],[Material]]&amp;Detalle_OC[[#This Row],[Pedido]]&amp;Detalle_OC[[#This Row],[Posicion]]</f>
        <v>Agricola del Chira PlantaMontelima700056814511570063120</v>
      </c>
      <c r="B1602" t="s">
        <v>171</v>
      </c>
      <c r="C1602" t="s">
        <v>1183</v>
      </c>
      <c r="D1602" s="11">
        <v>45656</v>
      </c>
      <c r="E1602" t="s">
        <v>51</v>
      </c>
      <c r="F1602" t="s">
        <v>12</v>
      </c>
      <c r="G1602">
        <v>70005681</v>
      </c>
      <c r="H1602">
        <v>4511570063</v>
      </c>
      <c r="I1602">
        <v>120</v>
      </c>
      <c r="J1602" s="29">
        <v>1</v>
      </c>
      <c r="K1602" s="29" t="s">
        <v>97</v>
      </c>
      <c r="L1602" t="str">
        <f>IFERROR(VLOOKUP(Detalle_OC[[#This Row],[Centro]]&amp;Detalle_OC[[#This Row],[Nro Almacen]],Almacen!A:D,4,FALSE),"")</f>
        <v>Montelima</v>
      </c>
    </row>
    <row r="1603" spans="1:12" x14ac:dyDescent="0.3">
      <c r="A1603" s="29" t="str">
        <f>Detalle_OC[[#This Row],[Centro]]&amp;Detalle_OC[[#This Row],[Nom Almacen]]&amp;Detalle_OC[[#This Row],[Material]]&amp;Detalle_OC[[#This Row],[Pedido]]&amp;Detalle_OC[[#This Row],[Posicion]]</f>
        <v>Agricola del Chira PlantaMontelima700472704511570063130</v>
      </c>
      <c r="B1603" t="s">
        <v>171</v>
      </c>
      <c r="C1603" t="s">
        <v>1183</v>
      </c>
      <c r="D1603" s="11">
        <v>45656</v>
      </c>
      <c r="E1603" t="s">
        <v>51</v>
      </c>
      <c r="F1603" t="s">
        <v>12</v>
      </c>
      <c r="G1603">
        <v>70047270</v>
      </c>
      <c r="H1603">
        <v>4511570063</v>
      </c>
      <c r="I1603">
        <v>130</v>
      </c>
      <c r="J1603" s="29">
        <v>1</v>
      </c>
      <c r="K1603" s="29" t="s">
        <v>97</v>
      </c>
      <c r="L1603" t="str">
        <f>IFERROR(VLOOKUP(Detalle_OC[[#This Row],[Centro]]&amp;Detalle_OC[[#This Row],[Nro Almacen]],Almacen!A:D,4,FALSE),"")</f>
        <v>Montelima</v>
      </c>
    </row>
    <row r="1604" spans="1:12" x14ac:dyDescent="0.3">
      <c r="A1604" s="29" t="str">
        <f>Detalle_OC[[#This Row],[Centro]]&amp;Detalle_OC[[#This Row],[Nom Almacen]]&amp;Detalle_OC[[#This Row],[Material]]&amp;Detalle_OC[[#This Row],[Pedido]]&amp;Detalle_OC[[#This Row],[Posicion]]</f>
        <v>Agricola del Chira PlantaMontelima700480064511570063140</v>
      </c>
      <c r="B1604" t="s">
        <v>171</v>
      </c>
      <c r="C1604" t="s">
        <v>1183</v>
      </c>
      <c r="D1604" s="11">
        <v>45656</v>
      </c>
      <c r="E1604" t="s">
        <v>51</v>
      </c>
      <c r="F1604" t="s">
        <v>12</v>
      </c>
      <c r="G1604">
        <v>70048006</v>
      </c>
      <c r="H1604">
        <v>4511570063</v>
      </c>
      <c r="I1604">
        <v>140</v>
      </c>
      <c r="J1604" s="29">
        <v>1</v>
      </c>
      <c r="K1604" s="29" t="s">
        <v>97</v>
      </c>
      <c r="L1604" t="str">
        <f>IFERROR(VLOOKUP(Detalle_OC[[#This Row],[Centro]]&amp;Detalle_OC[[#This Row],[Nro Almacen]],Almacen!A:D,4,FALSE),"")</f>
        <v>Montelima</v>
      </c>
    </row>
    <row r="1605" spans="1:12" x14ac:dyDescent="0.3">
      <c r="A1605" s="29" t="str">
        <f>Detalle_OC[[#This Row],[Centro]]&amp;Detalle_OC[[#This Row],[Nom Almacen]]&amp;Detalle_OC[[#This Row],[Material]]&amp;Detalle_OC[[#This Row],[Pedido]]&amp;Detalle_OC[[#This Row],[Posicion]]</f>
        <v>Agricola del Chira PlantaMontelima700480064511570063150</v>
      </c>
      <c r="B1605" t="s">
        <v>171</v>
      </c>
      <c r="C1605" t="s">
        <v>1183</v>
      </c>
      <c r="D1605" s="11">
        <v>45656</v>
      </c>
      <c r="E1605" t="s">
        <v>51</v>
      </c>
      <c r="F1605" t="s">
        <v>12</v>
      </c>
      <c r="G1605">
        <v>70048006</v>
      </c>
      <c r="H1605">
        <v>4511570063</v>
      </c>
      <c r="I1605">
        <v>150</v>
      </c>
      <c r="J1605" s="29">
        <v>1</v>
      </c>
      <c r="K1605" s="29" t="s">
        <v>97</v>
      </c>
      <c r="L1605" t="str">
        <f>IFERROR(VLOOKUP(Detalle_OC[[#This Row],[Centro]]&amp;Detalle_OC[[#This Row],[Nro Almacen]],Almacen!A:D,4,FALSE),"")</f>
        <v>Montelima</v>
      </c>
    </row>
    <row r="1606" spans="1:12" x14ac:dyDescent="0.3">
      <c r="A1606" s="29" t="str">
        <f>Detalle_OC[[#This Row],[Centro]]&amp;Detalle_OC[[#This Row],[Nom Almacen]]&amp;Detalle_OC[[#This Row],[Material]]&amp;Detalle_OC[[#This Row],[Pedido]]&amp;Detalle_OC[[#This Row],[Posicion]]</f>
        <v>Agricola del Chira PlantaMontelima700480074511570063160</v>
      </c>
      <c r="B1606" t="s">
        <v>171</v>
      </c>
      <c r="C1606" t="s">
        <v>1183</v>
      </c>
      <c r="D1606" s="11">
        <v>45656</v>
      </c>
      <c r="E1606" t="s">
        <v>51</v>
      </c>
      <c r="F1606" t="s">
        <v>12</v>
      </c>
      <c r="G1606">
        <v>70048007</v>
      </c>
      <c r="H1606">
        <v>4511570063</v>
      </c>
      <c r="I1606">
        <v>160</v>
      </c>
      <c r="J1606" s="29">
        <v>1</v>
      </c>
      <c r="K1606" s="29" t="s">
        <v>97</v>
      </c>
      <c r="L1606" t="str">
        <f>IFERROR(VLOOKUP(Detalle_OC[[#This Row],[Centro]]&amp;Detalle_OC[[#This Row],[Nro Almacen]],Almacen!A:D,4,FALSE),"")</f>
        <v>Montelima</v>
      </c>
    </row>
    <row r="1607" spans="1:12" x14ac:dyDescent="0.3">
      <c r="A1607" s="29" t="str">
        <f>Detalle_OC[[#This Row],[Centro]]&amp;Detalle_OC[[#This Row],[Nom Almacen]]&amp;Detalle_OC[[#This Row],[Material]]&amp;Detalle_OC[[#This Row],[Pedido]]&amp;Detalle_OC[[#This Row],[Posicion]]</f>
        <v>Agricola del Chira PlantaMontelima700634614511570063170</v>
      </c>
      <c r="B1607" t="s">
        <v>171</v>
      </c>
      <c r="C1607" t="s">
        <v>1183</v>
      </c>
      <c r="D1607" s="11">
        <v>45656</v>
      </c>
      <c r="E1607" t="s">
        <v>51</v>
      </c>
      <c r="F1607" t="s">
        <v>12</v>
      </c>
      <c r="G1607">
        <v>70063461</v>
      </c>
      <c r="H1607">
        <v>4511570063</v>
      </c>
      <c r="I1607">
        <v>170</v>
      </c>
      <c r="J1607" s="29">
        <v>1</v>
      </c>
      <c r="K1607" s="29" t="s">
        <v>97</v>
      </c>
      <c r="L1607" t="str">
        <f>IFERROR(VLOOKUP(Detalle_OC[[#This Row],[Centro]]&amp;Detalle_OC[[#This Row],[Nro Almacen]],Almacen!A:D,4,FALSE),"")</f>
        <v>Montelima</v>
      </c>
    </row>
    <row r="1608" spans="1:12" x14ac:dyDescent="0.3">
      <c r="A1608" s="29" t="str">
        <f>Detalle_OC[[#This Row],[Centro]]&amp;Detalle_OC[[#This Row],[Nom Almacen]]&amp;Detalle_OC[[#This Row],[Material]]&amp;Detalle_OC[[#This Row],[Pedido]]&amp;Detalle_OC[[#This Row],[Posicion]]</f>
        <v>Agricola del Chira PlantaMontelima700968014511570063180</v>
      </c>
      <c r="B1608" t="s">
        <v>171</v>
      </c>
      <c r="C1608" t="s">
        <v>1183</v>
      </c>
      <c r="D1608" s="11">
        <v>45656</v>
      </c>
      <c r="E1608" t="s">
        <v>51</v>
      </c>
      <c r="F1608" t="s">
        <v>12</v>
      </c>
      <c r="G1608">
        <v>70096801</v>
      </c>
      <c r="H1608">
        <v>4511570063</v>
      </c>
      <c r="I1608">
        <v>180</v>
      </c>
      <c r="J1608" s="29">
        <v>1</v>
      </c>
      <c r="K1608" s="29" t="s">
        <v>97</v>
      </c>
      <c r="L1608" t="str">
        <f>IFERROR(VLOOKUP(Detalle_OC[[#This Row],[Centro]]&amp;Detalle_OC[[#This Row],[Nro Almacen]],Almacen!A:D,4,FALSE),"")</f>
        <v>Montelima</v>
      </c>
    </row>
    <row r="1609" spans="1:12" x14ac:dyDescent="0.3">
      <c r="A1609" s="29" t="str">
        <f>Detalle_OC[[#This Row],[Centro]]&amp;Detalle_OC[[#This Row],[Nom Almacen]]&amp;Detalle_OC[[#This Row],[Material]]&amp;Detalle_OC[[#This Row],[Pedido]]&amp;Detalle_OC[[#This Row],[Posicion]]</f>
        <v>Agricola del Chira PlantaMontelima701168534511570063190</v>
      </c>
      <c r="B1609" t="s">
        <v>171</v>
      </c>
      <c r="C1609" t="s">
        <v>1183</v>
      </c>
      <c r="D1609" s="11">
        <v>45656</v>
      </c>
      <c r="E1609" t="s">
        <v>51</v>
      </c>
      <c r="F1609" t="s">
        <v>12</v>
      </c>
      <c r="G1609">
        <v>70116853</v>
      </c>
      <c r="H1609">
        <v>4511570063</v>
      </c>
      <c r="I1609">
        <v>190</v>
      </c>
      <c r="J1609" s="29">
        <v>1</v>
      </c>
      <c r="K1609" s="29" t="s">
        <v>97</v>
      </c>
      <c r="L1609" t="str">
        <f>IFERROR(VLOOKUP(Detalle_OC[[#This Row],[Centro]]&amp;Detalle_OC[[#This Row],[Nro Almacen]],Almacen!A:D,4,FALSE),"")</f>
        <v>Montelima</v>
      </c>
    </row>
    <row r="1610" spans="1:12" x14ac:dyDescent="0.3">
      <c r="A1610" s="29" t="str">
        <f>Detalle_OC[[#This Row],[Centro]]&amp;Detalle_OC[[#This Row],[Nom Almacen]]&amp;Detalle_OC[[#This Row],[Material]]&amp;Detalle_OC[[#This Row],[Pedido]]&amp;Detalle_OC[[#This Row],[Posicion]]</f>
        <v>Agricola del Chira PlantaMontelima701318544511570063200</v>
      </c>
      <c r="B1610" t="s">
        <v>171</v>
      </c>
      <c r="C1610" t="s">
        <v>1183</v>
      </c>
      <c r="D1610" s="11">
        <v>45656</v>
      </c>
      <c r="E1610" t="s">
        <v>51</v>
      </c>
      <c r="F1610" t="s">
        <v>12</v>
      </c>
      <c r="G1610">
        <v>70131854</v>
      </c>
      <c r="H1610">
        <v>4511570063</v>
      </c>
      <c r="I1610">
        <v>200</v>
      </c>
      <c r="J1610" s="29">
        <v>1</v>
      </c>
      <c r="K1610" s="29" t="s">
        <v>97</v>
      </c>
      <c r="L1610" t="str">
        <f>IFERROR(VLOOKUP(Detalle_OC[[#This Row],[Centro]]&amp;Detalle_OC[[#This Row],[Nro Almacen]],Almacen!A:D,4,FALSE),"")</f>
        <v>Montelima</v>
      </c>
    </row>
    <row r="1611" spans="1:12" x14ac:dyDescent="0.3">
      <c r="A1611" s="29" t="str">
        <f>Detalle_OC[[#This Row],[Centro]]&amp;Detalle_OC[[#This Row],[Nom Almacen]]&amp;Detalle_OC[[#This Row],[Material]]&amp;Detalle_OC[[#This Row],[Pedido]]&amp;Detalle_OC[[#This Row],[Posicion]]</f>
        <v>Agricola del Chira PlantaMontelima701329244511570063210</v>
      </c>
      <c r="B1611" t="s">
        <v>171</v>
      </c>
      <c r="C1611" t="s">
        <v>1183</v>
      </c>
      <c r="D1611" s="11">
        <v>45656</v>
      </c>
      <c r="E1611" t="s">
        <v>51</v>
      </c>
      <c r="F1611" t="s">
        <v>12</v>
      </c>
      <c r="G1611">
        <v>70132924</v>
      </c>
      <c r="H1611">
        <v>4511570063</v>
      </c>
      <c r="I1611">
        <v>210</v>
      </c>
      <c r="J1611" s="29">
        <v>1</v>
      </c>
      <c r="K1611" s="29" t="s">
        <v>97</v>
      </c>
      <c r="L1611" t="str">
        <f>IFERROR(VLOOKUP(Detalle_OC[[#This Row],[Centro]]&amp;Detalle_OC[[#This Row],[Nro Almacen]],Almacen!A:D,4,FALSE),"")</f>
        <v>Montelima</v>
      </c>
    </row>
    <row r="1612" spans="1:12" x14ac:dyDescent="0.3">
      <c r="A1612" s="29" t="str">
        <f>Detalle_OC[[#This Row],[Centro]]&amp;Detalle_OC[[#This Row],[Nom Almacen]]&amp;Detalle_OC[[#This Row],[Material]]&amp;Detalle_OC[[#This Row],[Pedido]]&amp;Detalle_OC[[#This Row],[Posicion]]</f>
        <v>Agricola del Chira PlantaMontelima701329254511570063220</v>
      </c>
      <c r="B1612" t="s">
        <v>171</v>
      </c>
      <c r="C1612" t="s">
        <v>1183</v>
      </c>
      <c r="D1612" s="11">
        <v>45656</v>
      </c>
      <c r="E1612" t="s">
        <v>51</v>
      </c>
      <c r="F1612" t="s">
        <v>12</v>
      </c>
      <c r="G1612">
        <v>70132925</v>
      </c>
      <c r="H1612">
        <v>4511570063</v>
      </c>
      <c r="I1612">
        <v>220</v>
      </c>
      <c r="J1612" s="29">
        <v>1</v>
      </c>
      <c r="K1612" s="29" t="s">
        <v>97</v>
      </c>
      <c r="L1612" t="str">
        <f>IFERROR(VLOOKUP(Detalle_OC[[#This Row],[Centro]]&amp;Detalle_OC[[#This Row],[Nro Almacen]],Almacen!A:D,4,FALSE),"")</f>
        <v>Montelima</v>
      </c>
    </row>
    <row r="1613" spans="1:12" x14ac:dyDescent="0.3">
      <c r="A1613" s="29" t="str">
        <f>Detalle_OC[[#This Row],[Centro]]&amp;Detalle_OC[[#This Row],[Nom Almacen]]&amp;Detalle_OC[[#This Row],[Material]]&amp;Detalle_OC[[#This Row],[Pedido]]&amp;Detalle_OC[[#This Row],[Posicion]]</f>
        <v>Agricola del Chira PlantaMontelima701329264511570063230</v>
      </c>
      <c r="B1613" t="s">
        <v>171</v>
      </c>
      <c r="C1613" t="s">
        <v>1183</v>
      </c>
      <c r="D1613" s="11">
        <v>45656</v>
      </c>
      <c r="E1613" t="s">
        <v>51</v>
      </c>
      <c r="F1613" t="s">
        <v>12</v>
      </c>
      <c r="G1613">
        <v>70132926</v>
      </c>
      <c r="H1613">
        <v>4511570063</v>
      </c>
      <c r="I1613">
        <v>230</v>
      </c>
      <c r="J1613" s="29">
        <v>1</v>
      </c>
      <c r="K1613" s="29" t="s">
        <v>97</v>
      </c>
      <c r="L1613" t="str">
        <f>IFERROR(VLOOKUP(Detalle_OC[[#This Row],[Centro]]&amp;Detalle_OC[[#This Row],[Nro Almacen]],Almacen!A:D,4,FALSE),"")</f>
        <v>Montelima</v>
      </c>
    </row>
    <row r="1614" spans="1:12" x14ac:dyDescent="0.3">
      <c r="A1614" s="29" t="str">
        <f>Detalle_OC[[#This Row],[Centro]]&amp;Detalle_OC[[#This Row],[Nom Almacen]]&amp;Detalle_OC[[#This Row],[Material]]&amp;Detalle_OC[[#This Row],[Pedido]]&amp;Detalle_OC[[#This Row],[Posicion]]</f>
        <v>Agricola del Chira PlantaMontelima701329274511570063240</v>
      </c>
      <c r="B1614" t="s">
        <v>171</v>
      </c>
      <c r="C1614" t="s">
        <v>1183</v>
      </c>
      <c r="D1614" s="11">
        <v>45656</v>
      </c>
      <c r="E1614" t="s">
        <v>51</v>
      </c>
      <c r="F1614" t="s">
        <v>12</v>
      </c>
      <c r="G1614">
        <v>70132927</v>
      </c>
      <c r="H1614">
        <v>4511570063</v>
      </c>
      <c r="I1614">
        <v>240</v>
      </c>
      <c r="J1614" s="29">
        <v>1</v>
      </c>
      <c r="K1614" s="29" t="s">
        <v>97</v>
      </c>
      <c r="L1614" t="str">
        <f>IFERROR(VLOOKUP(Detalle_OC[[#This Row],[Centro]]&amp;Detalle_OC[[#This Row],[Nro Almacen]],Almacen!A:D,4,FALSE),"")</f>
        <v>Montelima</v>
      </c>
    </row>
    <row r="1615" spans="1:12" x14ac:dyDescent="0.3">
      <c r="A1615" s="29" t="str">
        <f>Detalle_OC[[#This Row],[Centro]]&amp;Detalle_OC[[#This Row],[Nom Almacen]]&amp;Detalle_OC[[#This Row],[Material]]&amp;Detalle_OC[[#This Row],[Pedido]]&amp;Detalle_OC[[#This Row],[Posicion]]</f>
        <v>Agricola del Chira PlantaMontelima701329294511570063250</v>
      </c>
      <c r="B1615" t="s">
        <v>171</v>
      </c>
      <c r="C1615" t="s">
        <v>1183</v>
      </c>
      <c r="D1615" s="11">
        <v>45656</v>
      </c>
      <c r="E1615" t="s">
        <v>51</v>
      </c>
      <c r="F1615" t="s">
        <v>12</v>
      </c>
      <c r="G1615">
        <v>70132929</v>
      </c>
      <c r="H1615">
        <v>4511570063</v>
      </c>
      <c r="I1615">
        <v>250</v>
      </c>
      <c r="J1615" s="29">
        <v>1</v>
      </c>
      <c r="K1615" s="29" t="s">
        <v>97</v>
      </c>
      <c r="L1615" t="str">
        <f>IFERROR(VLOOKUP(Detalle_OC[[#This Row],[Centro]]&amp;Detalle_OC[[#This Row],[Nro Almacen]],Almacen!A:D,4,FALSE),"")</f>
        <v>Montelima</v>
      </c>
    </row>
    <row r="1616" spans="1:12" x14ac:dyDescent="0.3">
      <c r="A1616" s="29" t="str">
        <f>Detalle_OC[[#This Row],[Centro]]&amp;Detalle_OC[[#This Row],[Nom Almacen]]&amp;Detalle_OC[[#This Row],[Material]]&amp;Detalle_OC[[#This Row],[Pedido]]&amp;Detalle_OC[[#This Row],[Posicion]]</f>
        <v>Agricola del Chira PlantaMontelima701329304511570063260</v>
      </c>
      <c r="B1616" t="s">
        <v>171</v>
      </c>
      <c r="C1616" t="s">
        <v>1183</v>
      </c>
      <c r="D1616" s="11">
        <v>45656</v>
      </c>
      <c r="E1616" t="s">
        <v>51</v>
      </c>
      <c r="F1616" t="s">
        <v>12</v>
      </c>
      <c r="G1616">
        <v>70132930</v>
      </c>
      <c r="H1616">
        <v>4511570063</v>
      </c>
      <c r="I1616">
        <v>260</v>
      </c>
      <c r="J1616" s="29">
        <v>1</v>
      </c>
      <c r="K1616" s="29" t="s">
        <v>97</v>
      </c>
      <c r="L1616" t="str">
        <f>IFERROR(VLOOKUP(Detalle_OC[[#This Row],[Centro]]&amp;Detalle_OC[[#This Row],[Nro Almacen]],Almacen!A:D,4,FALSE),"")</f>
        <v>Montelima</v>
      </c>
    </row>
    <row r="1617" spans="1:12" x14ac:dyDescent="0.3">
      <c r="A1617" s="29" t="str">
        <f>Detalle_OC[[#This Row],[Centro]]&amp;Detalle_OC[[#This Row],[Nom Almacen]]&amp;Detalle_OC[[#This Row],[Material]]&amp;Detalle_OC[[#This Row],[Pedido]]&amp;Detalle_OC[[#This Row],[Posicion]]</f>
        <v>Agricola del Chira PlantaMontelima701329314511570063270</v>
      </c>
      <c r="B1617" t="s">
        <v>171</v>
      </c>
      <c r="C1617" t="s">
        <v>1183</v>
      </c>
      <c r="D1617" s="11">
        <v>45656</v>
      </c>
      <c r="E1617" t="s">
        <v>51</v>
      </c>
      <c r="F1617" t="s">
        <v>12</v>
      </c>
      <c r="G1617">
        <v>70132931</v>
      </c>
      <c r="H1617">
        <v>4511570063</v>
      </c>
      <c r="I1617">
        <v>270</v>
      </c>
      <c r="J1617" s="29">
        <v>1</v>
      </c>
      <c r="K1617" s="29" t="s">
        <v>97</v>
      </c>
      <c r="L1617" t="str">
        <f>IFERROR(VLOOKUP(Detalle_OC[[#This Row],[Centro]]&amp;Detalle_OC[[#This Row],[Nro Almacen]],Almacen!A:D,4,FALSE),"")</f>
        <v>Montelima</v>
      </c>
    </row>
    <row r="1618" spans="1:12" x14ac:dyDescent="0.3">
      <c r="A1618" s="29" t="str">
        <f>Detalle_OC[[#This Row],[Centro]]&amp;Detalle_OC[[#This Row],[Nom Almacen]]&amp;Detalle_OC[[#This Row],[Material]]&amp;Detalle_OC[[#This Row],[Pedido]]&amp;Detalle_OC[[#This Row],[Posicion]]</f>
        <v>Agricola del Chira PlantaMontelima701329324511570063280</v>
      </c>
      <c r="B1618" t="s">
        <v>171</v>
      </c>
      <c r="C1618" t="s">
        <v>1183</v>
      </c>
      <c r="D1618" s="11">
        <v>45656</v>
      </c>
      <c r="E1618" t="s">
        <v>51</v>
      </c>
      <c r="F1618" t="s">
        <v>12</v>
      </c>
      <c r="G1618">
        <v>70132932</v>
      </c>
      <c r="H1618">
        <v>4511570063</v>
      </c>
      <c r="I1618">
        <v>280</v>
      </c>
      <c r="J1618" s="29">
        <v>1</v>
      </c>
      <c r="K1618" s="29" t="s">
        <v>97</v>
      </c>
      <c r="L1618" t="str">
        <f>IFERROR(VLOOKUP(Detalle_OC[[#This Row],[Centro]]&amp;Detalle_OC[[#This Row],[Nro Almacen]],Almacen!A:D,4,FALSE),"")</f>
        <v>Montelima</v>
      </c>
    </row>
    <row r="1619" spans="1:12" x14ac:dyDescent="0.3">
      <c r="A1619" s="29" t="str">
        <f>Detalle_OC[[#This Row],[Centro]]&amp;Detalle_OC[[#This Row],[Nom Almacen]]&amp;Detalle_OC[[#This Row],[Material]]&amp;Detalle_OC[[#This Row],[Pedido]]&amp;Detalle_OC[[#This Row],[Posicion]]</f>
        <v>Agricola del Chira PlantaMontelima701329334511570063290</v>
      </c>
      <c r="B1619" t="s">
        <v>171</v>
      </c>
      <c r="C1619" t="s">
        <v>1183</v>
      </c>
      <c r="D1619" s="11">
        <v>45656</v>
      </c>
      <c r="E1619" t="s">
        <v>51</v>
      </c>
      <c r="F1619" t="s">
        <v>12</v>
      </c>
      <c r="G1619">
        <v>70132933</v>
      </c>
      <c r="H1619">
        <v>4511570063</v>
      </c>
      <c r="I1619">
        <v>290</v>
      </c>
      <c r="J1619" s="29">
        <v>1</v>
      </c>
      <c r="K1619" s="29" t="s">
        <v>97</v>
      </c>
      <c r="L1619" t="str">
        <f>IFERROR(VLOOKUP(Detalle_OC[[#This Row],[Centro]]&amp;Detalle_OC[[#This Row],[Nro Almacen]],Almacen!A:D,4,FALSE),"")</f>
        <v>Montelima</v>
      </c>
    </row>
    <row r="1620" spans="1:12" x14ac:dyDescent="0.3">
      <c r="A1620" s="29" t="str">
        <f>Detalle_OC[[#This Row],[Centro]]&amp;Detalle_OC[[#This Row],[Nom Almacen]]&amp;Detalle_OC[[#This Row],[Material]]&amp;Detalle_OC[[#This Row],[Pedido]]&amp;Detalle_OC[[#This Row],[Posicion]]</f>
        <v>Agricola del Chira PlantaMontelima701329344511570063300</v>
      </c>
      <c r="B1620" t="s">
        <v>171</v>
      </c>
      <c r="C1620" t="s">
        <v>1183</v>
      </c>
      <c r="D1620" s="11">
        <v>45656</v>
      </c>
      <c r="E1620" t="s">
        <v>51</v>
      </c>
      <c r="F1620" t="s">
        <v>12</v>
      </c>
      <c r="G1620">
        <v>70132934</v>
      </c>
      <c r="H1620">
        <v>4511570063</v>
      </c>
      <c r="I1620">
        <v>300</v>
      </c>
      <c r="J1620" s="29">
        <v>1</v>
      </c>
      <c r="K1620" s="29" t="s">
        <v>97</v>
      </c>
      <c r="L1620" t="str">
        <f>IFERROR(VLOOKUP(Detalle_OC[[#This Row],[Centro]]&amp;Detalle_OC[[#This Row],[Nro Almacen]],Almacen!A:D,4,FALSE),"")</f>
        <v>Montelima</v>
      </c>
    </row>
    <row r="1621" spans="1:12" x14ac:dyDescent="0.3">
      <c r="A1621" s="29" t="str">
        <f>Detalle_OC[[#This Row],[Centro]]&amp;Detalle_OC[[#This Row],[Nom Almacen]]&amp;Detalle_OC[[#This Row],[Material]]&amp;Detalle_OC[[#This Row],[Pedido]]&amp;Detalle_OC[[#This Row],[Posicion]]</f>
        <v>Agricola del Chira PlantaMontelima701329354511570063310</v>
      </c>
      <c r="B1621" t="s">
        <v>171</v>
      </c>
      <c r="C1621" t="s">
        <v>1183</v>
      </c>
      <c r="D1621" s="11">
        <v>45656</v>
      </c>
      <c r="E1621" t="s">
        <v>51</v>
      </c>
      <c r="F1621" t="s">
        <v>12</v>
      </c>
      <c r="G1621">
        <v>70132935</v>
      </c>
      <c r="H1621">
        <v>4511570063</v>
      </c>
      <c r="I1621">
        <v>310</v>
      </c>
      <c r="J1621" s="29">
        <v>1</v>
      </c>
      <c r="K1621" s="29" t="s">
        <v>97</v>
      </c>
      <c r="L1621" t="str">
        <f>IFERROR(VLOOKUP(Detalle_OC[[#This Row],[Centro]]&amp;Detalle_OC[[#This Row],[Nro Almacen]],Almacen!A:D,4,FALSE),"")</f>
        <v>Montelima</v>
      </c>
    </row>
    <row r="1622" spans="1:12" x14ac:dyDescent="0.3">
      <c r="A1622" s="29" t="str">
        <f>Detalle_OC[[#This Row],[Centro]]&amp;Detalle_OC[[#This Row],[Nom Almacen]]&amp;Detalle_OC[[#This Row],[Material]]&amp;Detalle_OC[[#This Row],[Pedido]]&amp;Detalle_OC[[#This Row],[Posicion]]</f>
        <v>Agricola del Chira PlantaMontelima701329364511570063320</v>
      </c>
      <c r="B1622" t="s">
        <v>171</v>
      </c>
      <c r="C1622" t="s">
        <v>1183</v>
      </c>
      <c r="D1622" s="11">
        <v>45656</v>
      </c>
      <c r="E1622" t="s">
        <v>51</v>
      </c>
      <c r="F1622" t="s">
        <v>12</v>
      </c>
      <c r="G1622">
        <v>70132936</v>
      </c>
      <c r="H1622">
        <v>4511570063</v>
      </c>
      <c r="I1622">
        <v>320</v>
      </c>
      <c r="J1622" s="29">
        <v>1</v>
      </c>
      <c r="K1622" s="29" t="s">
        <v>97</v>
      </c>
      <c r="L1622" t="str">
        <f>IFERROR(VLOOKUP(Detalle_OC[[#This Row],[Centro]]&amp;Detalle_OC[[#This Row],[Nro Almacen]],Almacen!A:D,4,FALSE),"")</f>
        <v>Montelima</v>
      </c>
    </row>
    <row r="1623" spans="1:12" x14ac:dyDescent="0.3">
      <c r="A1623" s="29" t="str">
        <f>Detalle_OC[[#This Row],[Centro]]&amp;Detalle_OC[[#This Row],[Nom Almacen]]&amp;Detalle_OC[[#This Row],[Material]]&amp;Detalle_OC[[#This Row],[Pedido]]&amp;Detalle_OC[[#This Row],[Posicion]]</f>
        <v>Agricola del Chira PlantaMontelima701329374511570063330</v>
      </c>
      <c r="B1623" t="s">
        <v>171</v>
      </c>
      <c r="C1623" t="s">
        <v>1183</v>
      </c>
      <c r="D1623" s="11">
        <v>45656</v>
      </c>
      <c r="E1623" t="s">
        <v>51</v>
      </c>
      <c r="F1623" t="s">
        <v>12</v>
      </c>
      <c r="G1623">
        <v>70132937</v>
      </c>
      <c r="H1623">
        <v>4511570063</v>
      </c>
      <c r="I1623">
        <v>330</v>
      </c>
      <c r="J1623" s="29">
        <v>1</v>
      </c>
      <c r="K1623" s="29" t="s">
        <v>97</v>
      </c>
      <c r="L1623" t="str">
        <f>IFERROR(VLOOKUP(Detalle_OC[[#This Row],[Centro]]&amp;Detalle_OC[[#This Row],[Nro Almacen]],Almacen!A:D,4,FALSE),"")</f>
        <v>Montelima</v>
      </c>
    </row>
    <row r="1624" spans="1:12" x14ac:dyDescent="0.3">
      <c r="A1624" s="29" t="str">
        <f>Detalle_OC[[#This Row],[Centro]]&amp;Detalle_OC[[#This Row],[Nom Almacen]]&amp;Detalle_OC[[#This Row],[Material]]&amp;Detalle_OC[[#This Row],[Pedido]]&amp;Detalle_OC[[#This Row],[Posicion]]</f>
        <v>Agricola del Chira PlantaMontelima701329384511570063340</v>
      </c>
      <c r="B1624" t="s">
        <v>171</v>
      </c>
      <c r="C1624" t="s">
        <v>1183</v>
      </c>
      <c r="D1624" s="11">
        <v>45656</v>
      </c>
      <c r="E1624" t="s">
        <v>51</v>
      </c>
      <c r="F1624" t="s">
        <v>12</v>
      </c>
      <c r="G1624">
        <v>70132938</v>
      </c>
      <c r="H1624">
        <v>4511570063</v>
      </c>
      <c r="I1624">
        <v>340</v>
      </c>
      <c r="J1624" s="29">
        <v>1</v>
      </c>
      <c r="K1624" s="29" t="s">
        <v>97</v>
      </c>
      <c r="L1624" t="str">
        <f>IFERROR(VLOOKUP(Detalle_OC[[#This Row],[Centro]]&amp;Detalle_OC[[#This Row],[Nro Almacen]],Almacen!A:D,4,FALSE),"")</f>
        <v>Montelima</v>
      </c>
    </row>
    <row r="1625" spans="1:12" x14ac:dyDescent="0.3">
      <c r="A1625" s="29" t="str">
        <f>Detalle_OC[[#This Row],[Centro]]&amp;Detalle_OC[[#This Row],[Nom Almacen]]&amp;Detalle_OC[[#This Row],[Material]]&amp;Detalle_OC[[#This Row],[Pedido]]&amp;Detalle_OC[[#This Row],[Posicion]]</f>
        <v>Agricola del Chira PlantaMontelima701329394511570063350</v>
      </c>
      <c r="B1625" t="s">
        <v>171</v>
      </c>
      <c r="C1625" t="s">
        <v>1183</v>
      </c>
      <c r="D1625" s="11">
        <v>45656</v>
      </c>
      <c r="E1625" t="s">
        <v>51</v>
      </c>
      <c r="F1625" t="s">
        <v>12</v>
      </c>
      <c r="G1625">
        <v>70132939</v>
      </c>
      <c r="H1625">
        <v>4511570063</v>
      </c>
      <c r="I1625">
        <v>350</v>
      </c>
      <c r="J1625" s="29">
        <v>1</v>
      </c>
      <c r="K1625" s="29" t="s">
        <v>97</v>
      </c>
      <c r="L1625" t="str">
        <f>IFERROR(VLOOKUP(Detalle_OC[[#This Row],[Centro]]&amp;Detalle_OC[[#This Row],[Nro Almacen]],Almacen!A:D,4,FALSE),"")</f>
        <v>Montelima</v>
      </c>
    </row>
    <row r="1626" spans="1:12" x14ac:dyDescent="0.3">
      <c r="A1626" s="29" t="str">
        <f>Detalle_OC[[#This Row],[Centro]]&amp;Detalle_OC[[#This Row],[Nom Almacen]]&amp;Detalle_OC[[#This Row],[Material]]&amp;Detalle_OC[[#This Row],[Pedido]]&amp;Detalle_OC[[#This Row],[Posicion]]</f>
        <v>Agricola del Chira PlantaMontelima701329404511570063360</v>
      </c>
      <c r="B1626" t="s">
        <v>171</v>
      </c>
      <c r="C1626" t="s">
        <v>1183</v>
      </c>
      <c r="D1626" s="11">
        <v>45656</v>
      </c>
      <c r="E1626" t="s">
        <v>51</v>
      </c>
      <c r="F1626" t="s">
        <v>12</v>
      </c>
      <c r="G1626">
        <v>70132940</v>
      </c>
      <c r="H1626">
        <v>4511570063</v>
      </c>
      <c r="I1626">
        <v>360</v>
      </c>
      <c r="J1626" s="29">
        <v>1</v>
      </c>
      <c r="K1626" s="29" t="s">
        <v>97</v>
      </c>
      <c r="L1626" t="str">
        <f>IFERROR(VLOOKUP(Detalle_OC[[#This Row],[Centro]]&amp;Detalle_OC[[#This Row],[Nro Almacen]],Almacen!A:D,4,FALSE),"")</f>
        <v>Montelima</v>
      </c>
    </row>
    <row r="1627" spans="1:12" x14ac:dyDescent="0.3">
      <c r="A1627" s="29" t="str">
        <f>Detalle_OC[[#This Row],[Centro]]&amp;Detalle_OC[[#This Row],[Nom Almacen]]&amp;Detalle_OC[[#This Row],[Material]]&amp;Detalle_OC[[#This Row],[Pedido]]&amp;Detalle_OC[[#This Row],[Posicion]]</f>
        <v>Agricola del Chira PlantaMontelima701329414511570063370</v>
      </c>
      <c r="B1627" t="s">
        <v>171</v>
      </c>
      <c r="C1627" t="s">
        <v>1183</v>
      </c>
      <c r="D1627" s="11">
        <v>45656</v>
      </c>
      <c r="E1627" t="s">
        <v>51</v>
      </c>
      <c r="F1627" t="s">
        <v>12</v>
      </c>
      <c r="G1627">
        <v>70132941</v>
      </c>
      <c r="H1627">
        <v>4511570063</v>
      </c>
      <c r="I1627">
        <v>370</v>
      </c>
      <c r="J1627" s="29">
        <v>1</v>
      </c>
      <c r="K1627" s="29" t="s">
        <v>97</v>
      </c>
      <c r="L1627" t="str">
        <f>IFERROR(VLOOKUP(Detalle_OC[[#This Row],[Centro]]&amp;Detalle_OC[[#This Row],[Nro Almacen]],Almacen!A:D,4,FALSE),"")</f>
        <v>Montelima</v>
      </c>
    </row>
    <row r="1628" spans="1:12" x14ac:dyDescent="0.3">
      <c r="A1628" s="29" t="str">
        <f>Detalle_OC[[#This Row],[Centro]]&amp;Detalle_OC[[#This Row],[Nom Almacen]]&amp;Detalle_OC[[#This Row],[Material]]&amp;Detalle_OC[[#This Row],[Pedido]]&amp;Detalle_OC[[#This Row],[Posicion]]</f>
        <v>Agricola del Chira PlantaMontelima701329424511570063380</v>
      </c>
      <c r="B1628" t="s">
        <v>171</v>
      </c>
      <c r="C1628" t="s">
        <v>1183</v>
      </c>
      <c r="D1628" s="11">
        <v>45656</v>
      </c>
      <c r="E1628" t="s">
        <v>51</v>
      </c>
      <c r="F1628" t="s">
        <v>12</v>
      </c>
      <c r="G1628">
        <v>70132942</v>
      </c>
      <c r="H1628">
        <v>4511570063</v>
      </c>
      <c r="I1628">
        <v>380</v>
      </c>
      <c r="J1628" s="29">
        <v>1</v>
      </c>
      <c r="K1628" s="29" t="s">
        <v>97</v>
      </c>
      <c r="L1628" t="str">
        <f>IFERROR(VLOOKUP(Detalle_OC[[#This Row],[Centro]]&amp;Detalle_OC[[#This Row],[Nro Almacen]],Almacen!A:D,4,FALSE),"")</f>
        <v>Montelima</v>
      </c>
    </row>
    <row r="1629" spans="1:12" x14ac:dyDescent="0.3">
      <c r="A1629" s="29" t="str">
        <f>Detalle_OC[[#This Row],[Centro]]&amp;Detalle_OC[[#This Row],[Nom Almacen]]&amp;Detalle_OC[[#This Row],[Material]]&amp;Detalle_OC[[#This Row],[Pedido]]&amp;Detalle_OC[[#This Row],[Posicion]]</f>
        <v>Agricola del Chira PlantaMontelima701329434511570063390</v>
      </c>
      <c r="B1629" t="s">
        <v>171</v>
      </c>
      <c r="C1629" t="s">
        <v>1183</v>
      </c>
      <c r="D1629" s="11">
        <v>45656</v>
      </c>
      <c r="E1629" t="s">
        <v>51</v>
      </c>
      <c r="F1629" t="s">
        <v>12</v>
      </c>
      <c r="G1629">
        <v>70132943</v>
      </c>
      <c r="H1629">
        <v>4511570063</v>
      </c>
      <c r="I1629">
        <v>390</v>
      </c>
      <c r="J1629" s="29">
        <v>1</v>
      </c>
      <c r="K1629" s="29" t="s">
        <v>97</v>
      </c>
      <c r="L1629" t="str">
        <f>IFERROR(VLOOKUP(Detalle_OC[[#This Row],[Centro]]&amp;Detalle_OC[[#This Row],[Nro Almacen]],Almacen!A:D,4,FALSE),"")</f>
        <v>Montelima</v>
      </c>
    </row>
    <row r="1630" spans="1:12" x14ac:dyDescent="0.3">
      <c r="A1630" s="29" t="str">
        <f>Detalle_OC[[#This Row],[Centro]]&amp;Detalle_OC[[#This Row],[Nom Almacen]]&amp;Detalle_OC[[#This Row],[Material]]&amp;Detalle_OC[[#This Row],[Pedido]]&amp;Detalle_OC[[#This Row],[Posicion]]</f>
        <v>Agricola del Chira PlantaMontelima701329444511570063400</v>
      </c>
      <c r="B1630" t="s">
        <v>171</v>
      </c>
      <c r="C1630" t="s">
        <v>1183</v>
      </c>
      <c r="D1630" s="11">
        <v>45656</v>
      </c>
      <c r="E1630" t="s">
        <v>51</v>
      </c>
      <c r="F1630" t="s">
        <v>12</v>
      </c>
      <c r="G1630">
        <v>70132944</v>
      </c>
      <c r="H1630">
        <v>4511570063</v>
      </c>
      <c r="I1630">
        <v>400</v>
      </c>
      <c r="J1630" s="29">
        <v>1</v>
      </c>
      <c r="K1630" s="29" t="s">
        <v>97</v>
      </c>
      <c r="L1630" t="str">
        <f>IFERROR(VLOOKUP(Detalle_OC[[#This Row],[Centro]]&amp;Detalle_OC[[#This Row],[Nro Almacen]],Almacen!A:D,4,FALSE),"")</f>
        <v>Montelima</v>
      </c>
    </row>
    <row r="1631" spans="1:12" x14ac:dyDescent="0.3">
      <c r="A1631" s="29" t="str">
        <f>Detalle_OC[[#This Row],[Centro]]&amp;Detalle_OC[[#This Row],[Nom Almacen]]&amp;Detalle_OC[[#This Row],[Material]]&amp;Detalle_OC[[#This Row],[Pedido]]&amp;Detalle_OC[[#This Row],[Posicion]]</f>
        <v>Agricola del Chira PlantaMontelima701329474511570063410</v>
      </c>
      <c r="B1631" t="s">
        <v>171</v>
      </c>
      <c r="C1631" t="s">
        <v>1183</v>
      </c>
      <c r="D1631" s="11">
        <v>45656</v>
      </c>
      <c r="E1631" t="s">
        <v>51</v>
      </c>
      <c r="F1631" t="s">
        <v>12</v>
      </c>
      <c r="G1631">
        <v>70132947</v>
      </c>
      <c r="H1631">
        <v>4511570063</v>
      </c>
      <c r="I1631">
        <v>410</v>
      </c>
      <c r="J1631" s="29">
        <v>1</v>
      </c>
      <c r="K1631" s="29" t="s">
        <v>97</v>
      </c>
      <c r="L1631" t="str">
        <f>IFERROR(VLOOKUP(Detalle_OC[[#This Row],[Centro]]&amp;Detalle_OC[[#This Row],[Nro Almacen]],Almacen!A:D,4,FALSE),"")</f>
        <v>Montelima</v>
      </c>
    </row>
    <row r="1632" spans="1:12" x14ac:dyDescent="0.3">
      <c r="A1632" s="29" t="str">
        <f>Detalle_OC[[#This Row],[Centro]]&amp;Detalle_OC[[#This Row],[Nom Almacen]]&amp;Detalle_OC[[#This Row],[Material]]&amp;Detalle_OC[[#This Row],[Pedido]]&amp;Detalle_OC[[#This Row],[Posicion]]</f>
        <v>Agricola del Chira PlantaMontelima701329484511570063420</v>
      </c>
      <c r="B1632" t="s">
        <v>171</v>
      </c>
      <c r="C1632" t="s">
        <v>1183</v>
      </c>
      <c r="D1632" s="11">
        <v>45656</v>
      </c>
      <c r="E1632" t="s">
        <v>51</v>
      </c>
      <c r="F1632" t="s">
        <v>12</v>
      </c>
      <c r="G1632">
        <v>70132948</v>
      </c>
      <c r="H1632">
        <v>4511570063</v>
      </c>
      <c r="I1632">
        <v>420</v>
      </c>
      <c r="J1632" s="29">
        <v>1</v>
      </c>
      <c r="K1632" s="29" t="s">
        <v>97</v>
      </c>
      <c r="L1632" t="str">
        <f>IFERROR(VLOOKUP(Detalle_OC[[#This Row],[Centro]]&amp;Detalle_OC[[#This Row],[Nro Almacen]],Almacen!A:D,4,FALSE),"")</f>
        <v>Montelima</v>
      </c>
    </row>
    <row r="1633" spans="1:12" x14ac:dyDescent="0.3">
      <c r="A1633" s="29" t="str">
        <f>Detalle_OC[[#This Row],[Centro]]&amp;Detalle_OC[[#This Row],[Nom Almacen]]&amp;Detalle_OC[[#This Row],[Material]]&amp;Detalle_OC[[#This Row],[Pedido]]&amp;Detalle_OC[[#This Row],[Posicion]]</f>
        <v>Agricola del Chira PlantaMontelima701329574511570063430</v>
      </c>
      <c r="B1633" t="s">
        <v>171</v>
      </c>
      <c r="C1633" t="s">
        <v>1183</v>
      </c>
      <c r="D1633" s="11">
        <v>45656</v>
      </c>
      <c r="E1633" t="s">
        <v>51</v>
      </c>
      <c r="F1633" t="s">
        <v>12</v>
      </c>
      <c r="G1633">
        <v>70132957</v>
      </c>
      <c r="H1633">
        <v>4511570063</v>
      </c>
      <c r="I1633">
        <v>430</v>
      </c>
      <c r="J1633" s="29">
        <v>1</v>
      </c>
      <c r="K1633" s="29" t="s">
        <v>97</v>
      </c>
      <c r="L1633" t="str">
        <f>IFERROR(VLOOKUP(Detalle_OC[[#This Row],[Centro]]&amp;Detalle_OC[[#This Row],[Nro Almacen]],Almacen!A:D,4,FALSE),"")</f>
        <v>Montelima</v>
      </c>
    </row>
    <row r="1634" spans="1:12" x14ac:dyDescent="0.3">
      <c r="A1634" s="29" t="str">
        <f>Detalle_OC[[#This Row],[Centro]]&amp;Detalle_OC[[#This Row],[Nom Almacen]]&amp;Detalle_OC[[#This Row],[Material]]&amp;Detalle_OC[[#This Row],[Pedido]]&amp;Detalle_OC[[#This Row],[Posicion]]</f>
        <v>Agricola del Chira PlantaMontelima701329584511570063440</v>
      </c>
      <c r="B1634" t="s">
        <v>171</v>
      </c>
      <c r="C1634" t="s">
        <v>1183</v>
      </c>
      <c r="D1634" s="11">
        <v>45656</v>
      </c>
      <c r="E1634" t="s">
        <v>51</v>
      </c>
      <c r="F1634" t="s">
        <v>12</v>
      </c>
      <c r="G1634">
        <v>70132958</v>
      </c>
      <c r="H1634">
        <v>4511570063</v>
      </c>
      <c r="I1634">
        <v>440</v>
      </c>
      <c r="J1634" s="29">
        <v>1</v>
      </c>
      <c r="K1634" s="29" t="s">
        <v>97</v>
      </c>
      <c r="L1634" t="str">
        <f>IFERROR(VLOOKUP(Detalle_OC[[#This Row],[Centro]]&amp;Detalle_OC[[#This Row],[Nro Almacen]],Almacen!A:D,4,FALSE),"")</f>
        <v>Montelima</v>
      </c>
    </row>
    <row r="1635" spans="1:12" x14ac:dyDescent="0.3">
      <c r="A1635" s="29" t="str">
        <f>Detalle_OC[[#This Row],[Centro]]&amp;Detalle_OC[[#This Row],[Nom Almacen]]&amp;Detalle_OC[[#This Row],[Material]]&amp;Detalle_OC[[#This Row],[Pedido]]&amp;Detalle_OC[[#This Row],[Posicion]]</f>
        <v>Agricola del Chira PlantaMontelima701335724511570063450</v>
      </c>
      <c r="B1635" t="s">
        <v>171</v>
      </c>
      <c r="C1635" t="s">
        <v>1183</v>
      </c>
      <c r="D1635" s="11">
        <v>45656</v>
      </c>
      <c r="E1635" t="s">
        <v>51</v>
      </c>
      <c r="F1635" t="s">
        <v>12</v>
      </c>
      <c r="G1635">
        <v>70133572</v>
      </c>
      <c r="H1635">
        <v>4511570063</v>
      </c>
      <c r="I1635">
        <v>450</v>
      </c>
      <c r="J1635" s="29">
        <v>1</v>
      </c>
      <c r="K1635" s="29" t="s">
        <v>97</v>
      </c>
      <c r="L1635" t="str">
        <f>IFERROR(VLOOKUP(Detalle_OC[[#This Row],[Centro]]&amp;Detalle_OC[[#This Row],[Nro Almacen]],Almacen!A:D,4,FALSE),"")</f>
        <v>Montelima</v>
      </c>
    </row>
    <row r="1636" spans="1:12" x14ac:dyDescent="0.3">
      <c r="A1636" s="29" t="str">
        <f>Detalle_OC[[#This Row],[Centro]]&amp;Detalle_OC[[#This Row],[Nom Almacen]]&amp;Detalle_OC[[#This Row],[Material]]&amp;Detalle_OC[[#This Row],[Pedido]]&amp;Detalle_OC[[#This Row],[Posicion]]</f>
        <v>Agricola del Chira PlantaMontelima701335734511570063460</v>
      </c>
      <c r="B1636" t="s">
        <v>171</v>
      </c>
      <c r="C1636" t="s">
        <v>1183</v>
      </c>
      <c r="D1636" s="11">
        <v>45656</v>
      </c>
      <c r="E1636" t="s">
        <v>51</v>
      </c>
      <c r="F1636" t="s">
        <v>12</v>
      </c>
      <c r="G1636">
        <v>70133573</v>
      </c>
      <c r="H1636">
        <v>4511570063</v>
      </c>
      <c r="I1636">
        <v>460</v>
      </c>
      <c r="J1636" s="29">
        <v>1</v>
      </c>
      <c r="K1636" s="29" t="s">
        <v>97</v>
      </c>
      <c r="L1636" t="str">
        <f>IFERROR(VLOOKUP(Detalle_OC[[#This Row],[Centro]]&amp;Detalle_OC[[#This Row],[Nro Almacen]],Almacen!A:D,4,FALSE),"")</f>
        <v>Montelima</v>
      </c>
    </row>
    <row r="1637" spans="1:12" x14ac:dyDescent="0.3">
      <c r="A1637" s="29" t="str">
        <f>Detalle_OC[[#This Row],[Centro]]&amp;Detalle_OC[[#This Row],[Nom Almacen]]&amp;Detalle_OC[[#This Row],[Material]]&amp;Detalle_OC[[#This Row],[Pedido]]&amp;Detalle_OC[[#This Row],[Posicion]]</f>
        <v>Agricola del Chira PlantaMontelima701335744511570063470</v>
      </c>
      <c r="B1637" t="s">
        <v>171</v>
      </c>
      <c r="C1637" t="s">
        <v>1183</v>
      </c>
      <c r="D1637" s="11">
        <v>45656</v>
      </c>
      <c r="E1637" t="s">
        <v>51</v>
      </c>
      <c r="F1637" t="s">
        <v>12</v>
      </c>
      <c r="G1637">
        <v>70133574</v>
      </c>
      <c r="H1637">
        <v>4511570063</v>
      </c>
      <c r="I1637">
        <v>470</v>
      </c>
      <c r="J1637" s="29">
        <v>1</v>
      </c>
      <c r="K1637" s="29" t="s">
        <v>97</v>
      </c>
      <c r="L1637" t="str">
        <f>IFERROR(VLOOKUP(Detalle_OC[[#This Row],[Centro]]&amp;Detalle_OC[[#This Row],[Nro Almacen]],Almacen!A:D,4,FALSE),"")</f>
        <v>Montelima</v>
      </c>
    </row>
    <row r="1638" spans="1:12" x14ac:dyDescent="0.3">
      <c r="A1638" s="29" t="str">
        <f>Detalle_OC[[#This Row],[Centro]]&amp;Detalle_OC[[#This Row],[Nom Almacen]]&amp;Detalle_OC[[#This Row],[Material]]&amp;Detalle_OC[[#This Row],[Pedido]]&amp;Detalle_OC[[#This Row],[Posicion]]</f>
        <v>Agricola del Chira PlantaMontelima701335754511570063480</v>
      </c>
      <c r="B1638" t="s">
        <v>171</v>
      </c>
      <c r="C1638" t="s">
        <v>1183</v>
      </c>
      <c r="D1638" s="11">
        <v>45656</v>
      </c>
      <c r="E1638" t="s">
        <v>51</v>
      </c>
      <c r="F1638" t="s">
        <v>12</v>
      </c>
      <c r="G1638">
        <v>70133575</v>
      </c>
      <c r="H1638">
        <v>4511570063</v>
      </c>
      <c r="I1638">
        <v>480</v>
      </c>
      <c r="J1638" s="29">
        <v>1</v>
      </c>
      <c r="K1638" s="29" t="s">
        <v>97</v>
      </c>
      <c r="L1638" t="str">
        <f>IFERROR(VLOOKUP(Detalle_OC[[#This Row],[Centro]]&amp;Detalle_OC[[#This Row],[Nro Almacen]],Almacen!A:D,4,FALSE),"")</f>
        <v>Montelima</v>
      </c>
    </row>
    <row r="1639" spans="1:12" x14ac:dyDescent="0.3">
      <c r="A1639" s="29" t="str">
        <f>Detalle_OC[[#This Row],[Centro]]&amp;Detalle_OC[[#This Row],[Nom Almacen]]&amp;Detalle_OC[[#This Row],[Material]]&amp;Detalle_OC[[#This Row],[Pedido]]&amp;Detalle_OC[[#This Row],[Posicion]]</f>
        <v>Agricola del Chira PlantaMontelima701335774511570063490</v>
      </c>
      <c r="B1639" t="s">
        <v>171</v>
      </c>
      <c r="C1639" t="s">
        <v>1183</v>
      </c>
      <c r="D1639" s="11">
        <v>45656</v>
      </c>
      <c r="E1639" t="s">
        <v>51</v>
      </c>
      <c r="F1639" t="s">
        <v>12</v>
      </c>
      <c r="G1639">
        <v>70133577</v>
      </c>
      <c r="H1639">
        <v>4511570063</v>
      </c>
      <c r="I1639">
        <v>490</v>
      </c>
      <c r="J1639" s="29">
        <v>1</v>
      </c>
      <c r="K1639" s="29" t="s">
        <v>97</v>
      </c>
      <c r="L1639" t="str">
        <f>IFERROR(VLOOKUP(Detalle_OC[[#This Row],[Centro]]&amp;Detalle_OC[[#This Row],[Nro Almacen]],Almacen!A:D,4,FALSE),"")</f>
        <v>Montelima</v>
      </c>
    </row>
    <row r="1640" spans="1:12" x14ac:dyDescent="0.3">
      <c r="A1640" s="29" t="str">
        <f>Detalle_OC[[#This Row],[Centro]]&amp;Detalle_OC[[#This Row],[Nom Almacen]]&amp;Detalle_OC[[#This Row],[Material]]&amp;Detalle_OC[[#This Row],[Pedido]]&amp;Detalle_OC[[#This Row],[Posicion]]</f>
        <v>Agricola del Chira PlantaMontelima701335784511570063500</v>
      </c>
      <c r="B1640" t="s">
        <v>171</v>
      </c>
      <c r="C1640" t="s">
        <v>1183</v>
      </c>
      <c r="D1640" s="11">
        <v>45656</v>
      </c>
      <c r="E1640" t="s">
        <v>51</v>
      </c>
      <c r="F1640" t="s">
        <v>12</v>
      </c>
      <c r="G1640">
        <v>70133578</v>
      </c>
      <c r="H1640">
        <v>4511570063</v>
      </c>
      <c r="I1640">
        <v>500</v>
      </c>
      <c r="J1640" s="29">
        <v>1</v>
      </c>
      <c r="K1640" s="29" t="s">
        <v>97</v>
      </c>
      <c r="L1640" t="str">
        <f>IFERROR(VLOOKUP(Detalle_OC[[#This Row],[Centro]]&amp;Detalle_OC[[#This Row],[Nro Almacen]],Almacen!A:D,4,FALSE),"")</f>
        <v>Montelima</v>
      </c>
    </row>
    <row r="1641" spans="1:12" x14ac:dyDescent="0.3">
      <c r="A1641" s="29" t="str">
        <f>Detalle_OC[[#This Row],[Centro]]&amp;Detalle_OC[[#This Row],[Nom Almacen]]&amp;Detalle_OC[[#This Row],[Material]]&amp;Detalle_OC[[#This Row],[Pedido]]&amp;Detalle_OC[[#This Row],[Posicion]]</f>
        <v>Agricola del Chira PlantaMontelima701350614511570063510</v>
      </c>
      <c r="B1641" t="s">
        <v>171</v>
      </c>
      <c r="C1641" t="s">
        <v>1183</v>
      </c>
      <c r="D1641" s="11">
        <v>45656</v>
      </c>
      <c r="E1641" t="s">
        <v>51</v>
      </c>
      <c r="F1641" t="s">
        <v>12</v>
      </c>
      <c r="G1641">
        <v>70135061</v>
      </c>
      <c r="H1641">
        <v>4511570063</v>
      </c>
      <c r="I1641">
        <v>510</v>
      </c>
      <c r="J1641" s="29">
        <v>1</v>
      </c>
      <c r="K1641" s="29" t="s">
        <v>97</v>
      </c>
      <c r="L1641" t="str">
        <f>IFERROR(VLOOKUP(Detalle_OC[[#This Row],[Centro]]&amp;Detalle_OC[[#This Row],[Nro Almacen]],Almacen!A:D,4,FALSE),"")</f>
        <v>Montelima</v>
      </c>
    </row>
    <row r="1642" spans="1:12" x14ac:dyDescent="0.3">
      <c r="A1642" s="29" t="str">
        <f>Detalle_OC[[#This Row],[Centro]]&amp;Detalle_OC[[#This Row],[Nom Almacen]]&amp;Detalle_OC[[#This Row],[Material]]&amp;Detalle_OC[[#This Row],[Pedido]]&amp;Detalle_OC[[#This Row],[Posicion]]</f>
        <v>Agricola del Chira PlantaMontelima701350624511570063520</v>
      </c>
      <c r="B1642" t="s">
        <v>171</v>
      </c>
      <c r="C1642" t="s">
        <v>1183</v>
      </c>
      <c r="D1642" s="11">
        <v>45656</v>
      </c>
      <c r="E1642" t="s">
        <v>51</v>
      </c>
      <c r="F1642" t="s">
        <v>12</v>
      </c>
      <c r="G1642">
        <v>70135062</v>
      </c>
      <c r="H1642">
        <v>4511570063</v>
      </c>
      <c r="I1642">
        <v>520</v>
      </c>
      <c r="J1642" s="29">
        <v>1</v>
      </c>
      <c r="K1642" s="29" t="s">
        <v>97</v>
      </c>
      <c r="L1642" t="str">
        <f>IFERROR(VLOOKUP(Detalle_OC[[#This Row],[Centro]]&amp;Detalle_OC[[#This Row],[Nro Almacen]],Almacen!A:D,4,FALSE),"")</f>
        <v>Montelima</v>
      </c>
    </row>
    <row r="1643" spans="1:12" x14ac:dyDescent="0.3">
      <c r="A1643" s="29" t="str">
        <f>Detalle_OC[[#This Row],[Centro]]&amp;Detalle_OC[[#This Row],[Nom Almacen]]&amp;Detalle_OC[[#This Row],[Material]]&amp;Detalle_OC[[#This Row],[Pedido]]&amp;Detalle_OC[[#This Row],[Posicion]]</f>
        <v>Agricola del Chira PlantaMontelima701350634511570063530</v>
      </c>
      <c r="B1643" t="s">
        <v>171</v>
      </c>
      <c r="C1643" t="s">
        <v>1183</v>
      </c>
      <c r="D1643" s="11">
        <v>45656</v>
      </c>
      <c r="E1643" t="s">
        <v>51</v>
      </c>
      <c r="F1643" t="s">
        <v>12</v>
      </c>
      <c r="G1643">
        <v>70135063</v>
      </c>
      <c r="H1643">
        <v>4511570063</v>
      </c>
      <c r="I1643">
        <v>530</v>
      </c>
      <c r="J1643" s="29">
        <v>1</v>
      </c>
      <c r="K1643" s="29" t="s">
        <v>97</v>
      </c>
      <c r="L1643" t="str">
        <f>IFERROR(VLOOKUP(Detalle_OC[[#This Row],[Centro]]&amp;Detalle_OC[[#This Row],[Nro Almacen]],Almacen!A:D,4,FALSE),"")</f>
        <v>Montelima</v>
      </c>
    </row>
    <row r="1644" spans="1:12" x14ac:dyDescent="0.3">
      <c r="A1644" s="29" t="str">
        <f>Detalle_OC[[#This Row],[Centro]]&amp;Detalle_OC[[#This Row],[Nom Almacen]]&amp;Detalle_OC[[#This Row],[Material]]&amp;Detalle_OC[[#This Row],[Pedido]]&amp;Detalle_OC[[#This Row],[Posicion]]</f>
        <v>Agricola del Chira PlantaMontelima701350644511570063540</v>
      </c>
      <c r="B1644" t="s">
        <v>171</v>
      </c>
      <c r="C1644" t="s">
        <v>1183</v>
      </c>
      <c r="D1644" s="11">
        <v>45656</v>
      </c>
      <c r="E1644" t="s">
        <v>51</v>
      </c>
      <c r="F1644" t="s">
        <v>12</v>
      </c>
      <c r="G1644">
        <v>70135064</v>
      </c>
      <c r="H1644">
        <v>4511570063</v>
      </c>
      <c r="I1644">
        <v>540</v>
      </c>
      <c r="J1644" s="29">
        <v>1</v>
      </c>
      <c r="K1644" s="29" t="s">
        <v>97</v>
      </c>
      <c r="L1644" t="str">
        <f>IFERROR(VLOOKUP(Detalle_OC[[#This Row],[Centro]]&amp;Detalle_OC[[#This Row],[Nro Almacen]],Almacen!A:D,4,FALSE),"")</f>
        <v>Montelima</v>
      </c>
    </row>
    <row r="1645" spans="1:12" x14ac:dyDescent="0.3">
      <c r="A1645" s="29" t="str">
        <f>Detalle_OC[[#This Row],[Centro]]&amp;Detalle_OC[[#This Row],[Nom Almacen]]&amp;Detalle_OC[[#This Row],[Material]]&amp;Detalle_OC[[#This Row],[Pedido]]&amp;Detalle_OC[[#This Row],[Posicion]]</f>
        <v>Agricola del Chira PlantaMontelima7726714511570063550</v>
      </c>
      <c r="B1645" t="s">
        <v>171</v>
      </c>
      <c r="C1645" t="s">
        <v>1183</v>
      </c>
      <c r="D1645" s="11">
        <v>45656</v>
      </c>
      <c r="E1645" t="s">
        <v>51</v>
      </c>
      <c r="F1645" t="s">
        <v>12</v>
      </c>
      <c r="G1645">
        <v>772671</v>
      </c>
      <c r="H1645">
        <v>4511570063</v>
      </c>
      <c r="I1645">
        <v>550</v>
      </c>
      <c r="J1645" s="29">
        <v>1</v>
      </c>
      <c r="K1645" s="29" t="s">
        <v>97</v>
      </c>
      <c r="L1645" t="str">
        <f>IFERROR(VLOOKUP(Detalle_OC[[#This Row],[Centro]]&amp;Detalle_OC[[#This Row],[Nro Almacen]],Almacen!A:D,4,FALSE),"")</f>
        <v>Montelima</v>
      </c>
    </row>
    <row r="1646" spans="1:12" x14ac:dyDescent="0.3">
      <c r="A1646" s="29" t="str">
        <f>Detalle_OC[[#This Row],[Centro]]&amp;Detalle_OC[[#This Row],[Nom Almacen]]&amp;Detalle_OC[[#This Row],[Material]]&amp;Detalle_OC[[#This Row],[Pedido]]&amp;Detalle_OC[[#This Row],[Posicion]]</f>
        <v>Agricola del Chira PlantaMontelima70048233451157009310</v>
      </c>
      <c r="B1646" t="s">
        <v>15</v>
      </c>
      <c r="C1646" t="s">
        <v>298</v>
      </c>
      <c r="D1646" s="11">
        <v>45656</v>
      </c>
      <c r="E1646" t="s">
        <v>16</v>
      </c>
      <c r="F1646" t="s">
        <v>12</v>
      </c>
      <c r="G1646">
        <v>70048233</v>
      </c>
      <c r="H1646">
        <v>4511570093</v>
      </c>
      <c r="I1646">
        <v>10</v>
      </c>
      <c r="J1646" s="29">
        <v>1</v>
      </c>
      <c r="K1646" s="29" t="s">
        <v>97</v>
      </c>
      <c r="L1646" t="str">
        <f>IFERROR(VLOOKUP(Detalle_OC[[#This Row],[Centro]]&amp;Detalle_OC[[#This Row],[Nro Almacen]],Almacen!A:D,4,FALSE),"")</f>
        <v>Montelima</v>
      </c>
    </row>
    <row r="1647" spans="1:12" x14ac:dyDescent="0.3">
      <c r="A1647" s="29" t="str">
        <f>Detalle_OC[[#This Row],[Centro]]&amp;Detalle_OC[[#This Row],[Nom Almacen]]&amp;Detalle_OC[[#This Row],[Material]]&amp;Detalle_OC[[#This Row],[Pedido]]&amp;Detalle_OC[[#This Row],[Posicion]]</f>
        <v>Agricola del Chira PlantaMontelima847698451157009810</v>
      </c>
      <c r="B1647" t="s">
        <v>15</v>
      </c>
      <c r="C1647" t="s">
        <v>41</v>
      </c>
      <c r="D1647" s="11">
        <v>45644</v>
      </c>
      <c r="E1647" t="s">
        <v>16</v>
      </c>
      <c r="F1647" t="s">
        <v>12</v>
      </c>
      <c r="G1647">
        <v>847698</v>
      </c>
      <c r="H1647">
        <v>4511570098</v>
      </c>
      <c r="I1647">
        <v>10</v>
      </c>
      <c r="J1647" s="29">
        <v>1</v>
      </c>
      <c r="K1647" s="29" t="s">
        <v>97</v>
      </c>
      <c r="L1647" t="str">
        <f>IFERROR(VLOOKUP(Detalle_OC[[#This Row],[Centro]]&amp;Detalle_OC[[#This Row],[Nro Almacen]],Almacen!A:D,4,FALSE),"")</f>
        <v>Montelima</v>
      </c>
    </row>
    <row r="1648" spans="1:12" x14ac:dyDescent="0.3">
      <c r="A1648" s="29" t="str">
        <f>Detalle_OC[[#This Row],[Centro]]&amp;Detalle_OC[[#This Row],[Nom Almacen]]&amp;Detalle_OC[[#This Row],[Material]]&amp;Detalle_OC[[#This Row],[Pedido]]&amp;Detalle_OC[[#This Row],[Posicion]]</f>
        <v>Agricola del Chira PlantaMontelima847696451157009820</v>
      </c>
      <c r="B1648" t="s">
        <v>15</v>
      </c>
      <c r="C1648" t="s">
        <v>41</v>
      </c>
      <c r="D1648" s="11">
        <v>45644</v>
      </c>
      <c r="E1648" t="s">
        <v>16</v>
      </c>
      <c r="F1648" t="s">
        <v>12</v>
      </c>
      <c r="G1648">
        <v>847696</v>
      </c>
      <c r="H1648">
        <v>4511570098</v>
      </c>
      <c r="I1648">
        <v>20</v>
      </c>
      <c r="J1648" s="29">
        <v>1</v>
      </c>
      <c r="K1648" s="29" t="s">
        <v>97</v>
      </c>
      <c r="L1648" t="str">
        <f>IFERROR(VLOOKUP(Detalle_OC[[#This Row],[Centro]]&amp;Detalle_OC[[#This Row],[Nro Almacen]],Almacen!A:D,4,FALSE),"")</f>
        <v>Montelima</v>
      </c>
    </row>
    <row r="1649" spans="1:12" x14ac:dyDescent="0.3">
      <c r="A1649" s="29" t="str">
        <f>Detalle_OC[[#This Row],[Centro]]&amp;Detalle_OC[[#This Row],[Nom Almacen]]&amp;Detalle_OC[[#This Row],[Material]]&amp;Detalle_OC[[#This Row],[Pedido]]&amp;Detalle_OC[[#This Row],[Posicion]]</f>
        <v>Agricola del Chira PlantaMontelima847697451157009830</v>
      </c>
      <c r="B1649" t="s">
        <v>15</v>
      </c>
      <c r="C1649" t="s">
        <v>41</v>
      </c>
      <c r="D1649" s="11">
        <v>45644</v>
      </c>
      <c r="E1649" t="s">
        <v>16</v>
      </c>
      <c r="F1649" t="s">
        <v>12</v>
      </c>
      <c r="G1649">
        <v>847697</v>
      </c>
      <c r="H1649">
        <v>4511570098</v>
      </c>
      <c r="I1649">
        <v>30</v>
      </c>
      <c r="J1649" s="29">
        <v>1</v>
      </c>
      <c r="K1649" s="29" t="s">
        <v>97</v>
      </c>
      <c r="L1649" t="str">
        <f>IFERROR(VLOOKUP(Detalle_OC[[#This Row],[Centro]]&amp;Detalle_OC[[#This Row],[Nro Almacen]],Almacen!A:D,4,FALSE),"")</f>
        <v>Montelima</v>
      </c>
    </row>
    <row r="1650" spans="1:12" x14ac:dyDescent="0.3">
      <c r="A1650" s="29" t="str">
        <f>Detalle_OC[[#This Row],[Centro]]&amp;Detalle_OC[[#This Row],[Nom Almacen]]&amp;Detalle_OC[[#This Row],[Material]]&amp;Detalle_OC[[#This Row],[Pedido]]&amp;Detalle_OC[[#This Row],[Posicion]]</f>
        <v>Agricola del Chira PlantaAlmacen Lobo847698451157009840</v>
      </c>
      <c r="B1650" t="s">
        <v>15</v>
      </c>
      <c r="C1650" t="s">
        <v>41</v>
      </c>
      <c r="D1650" s="11">
        <v>45644</v>
      </c>
      <c r="E1650" t="s">
        <v>16</v>
      </c>
      <c r="F1650" t="s">
        <v>12</v>
      </c>
      <c r="G1650">
        <v>847698</v>
      </c>
      <c r="H1650">
        <v>4511570098</v>
      </c>
      <c r="I1650">
        <v>40</v>
      </c>
      <c r="J1650" s="29">
        <v>7</v>
      </c>
      <c r="K1650" s="29" t="s">
        <v>97</v>
      </c>
      <c r="L1650" t="str">
        <f>IFERROR(VLOOKUP(Detalle_OC[[#This Row],[Centro]]&amp;Detalle_OC[[#This Row],[Nro Almacen]],Almacen!A:D,4,FALSE),"")</f>
        <v>Almacen Lobo</v>
      </c>
    </row>
    <row r="1651" spans="1:12" x14ac:dyDescent="0.3">
      <c r="A1651" s="29" t="str">
        <f>Detalle_OC[[#This Row],[Centro]]&amp;Detalle_OC[[#This Row],[Nom Almacen]]&amp;Detalle_OC[[#This Row],[Material]]&amp;Detalle_OC[[#This Row],[Pedido]]&amp;Detalle_OC[[#This Row],[Posicion]]</f>
        <v>Agricola del Chira PlantaMontelima847701451157009850</v>
      </c>
      <c r="B1651" t="s">
        <v>15</v>
      </c>
      <c r="C1651" t="s">
        <v>41</v>
      </c>
      <c r="D1651" s="11">
        <v>45644</v>
      </c>
      <c r="E1651" t="s">
        <v>16</v>
      </c>
      <c r="F1651" t="s">
        <v>12</v>
      </c>
      <c r="G1651">
        <v>847701</v>
      </c>
      <c r="H1651">
        <v>4511570098</v>
      </c>
      <c r="I1651">
        <v>50</v>
      </c>
      <c r="J1651" s="29">
        <v>1</v>
      </c>
      <c r="K1651" s="29" t="s">
        <v>97</v>
      </c>
      <c r="L1651" t="str">
        <f>IFERROR(VLOOKUP(Detalle_OC[[#This Row],[Centro]]&amp;Detalle_OC[[#This Row],[Nro Almacen]],Almacen!A:D,4,FALSE),"")</f>
        <v>Montelima</v>
      </c>
    </row>
    <row r="1652" spans="1:12" x14ac:dyDescent="0.3">
      <c r="A1652" s="29" t="str">
        <f>Detalle_OC[[#This Row],[Centro]]&amp;Detalle_OC[[#This Row],[Nom Almacen]]&amp;Detalle_OC[[#This Row],[Material]]&amp;Detalle_OC[[#This Row],[Pedido]]&amp;Detalle_OC[[#This Row],[Posicion]]</f>
        <v>Sucroalcolera del Chira PlantaMontelima847698451157009910</v>
      </c>
      <c r="B1652" t="s">
        <v>15</v>
      </c>
      <c r="C1652" t="s">
        <v>41</v>
      </c>
      <c r="D1652" s="11">
        <v>45644</v>
      </c>
      <c r="E1652" t="s">
        <v>16</v>
      </c>
      <c r="F1652" t="s">
        <v>85</v>
      </c>
      <c r="G1652">
        <v>847698</v>
      </c>
      <c r="H1652">
        <v>4511570099</v>
      </c>
      <c r="I1652">
        <v>10</v>
      </c>
      <c r="J1652" s="29">
        <v>1</v>
      </c>
      <c r="K1652" s="29" t="s">
        <v>97</v>
      </c>
      <c r="L1652" t="str">
        <f>IFERROR(VLOOKUP(Detalle_OC[[#This Row],[Centro]]&amp;Detalle_OC[[#This Row],[Nro Almacen]],Almacen!A:D,4,FALSE),"")</f>
        <v>Montelima</v>
      </c>
    </row>
    <row r="1653" spans="1:12" x14ac:dyDescent="0.3">
      <c r="A1653" s="29" t="str">
        <f>Detalle_OC[[#This Row],[Centro]]&amp;Detalle_OC[[#This Row],[Nom Almacen]]&amp;Detalle_OC[[#This Row],[Material]]&amp;Detalle_OC[[#This Row],[Pedido]]&amp;Detalle_OC[[#This Row],[Posicion]]</f>
        <v>Sucroalcolera del Chira PlantaMontelima847696451157009920</v>
      </c>
      <c r="B1653" t="s">
        <v>15</v>
      </c>
      <c r="C1653" t="s">
        <v>41</v>
      </c>
      <c r="D1653" s="11">
        <v>45644</v>
      </c>
      <c r="E1653" t="s">
        <v>16</v>
      </c>
      <c r="F1653" t="s">
        <v>85</v>
      </c>
      <c r="G1653">
        <v>847696</v>
      </c>
      <c r="H1653">
        <v>4511570099</v>
      </c>
      <c r="I1653">
        <v>20</v>
      </c>
      <c r="J1653" s="29">
        <v>1</v>
      </c>
      <c r="K1653" s="29" t="s">
        <v>97</v>
      </c>
      <c r="L1653" t="str">
        <f>IFERROR(VLOOKUP(Detalle_OC[[#This Row],[Centro]]&amp;Detalle_OC[[#This Row],[Nro Almacen]],Almacen!A:D,4,FALSE),"")</f>
        <v>Montelima</v>
      </c>
    </row>
    <row r="1654" spans="1:12" x14ac:dyDescent="0.3">
      <c r="A1654" s="29" t="str">
        <f>Detalle_OC[[#This Row],[Centro]]&amp;Detalle_OC[[#This Row],[Nom Almacen]]&amp;Detalle_OC[[#This Row],[Material]]&amp;Detalle_OC[[#This Row],[Pedido]]&amp;Detalle_OC[[#This Row],[Posicion]]</f>
        <v>Agricola del Chira PlantaMontelima70038628451157010310</v>
      </c>
      <c r="B1654" t="s">
        <v>149</v>
      </c>
      <c r="C1654" t="s">
        <v>82</v>
      </c>
      <c r="D1654" s="11">
        <v>45635</v>
      </c>
      <c r="E1654" t="s">
        <v>16</v>
      </c>
      <c r="F1654" t="s">
        <v>12</v>
      </c>
      <c r="G1654">
        <v>70038628</v>
      </c>
      <c r="H1654">
        <v>4511570103</v>
      </c>
      <c r="I1654">
        <v>10</v>
      </c>
      <c r="J1654" s="29">
        <v>1</v>
      </c>
      <c r="K1654" s="29" t="s">
        <v>97</v>
      </c>
      <c r="L1654" t="str">
        <f>IFERROR(VLOOKUP(Detalle_OC[[#This Row],[Centro]]&amp;Detalle_OC[[#This Row],[Nro Almacen]],Almacen!A:D,4,FALSE),"")</f>
        <v>Montelima</v>
      </c>
    </row>
    <row r="1655" spans="1:12" x14ac:dyDescent="0.3">
      <c r="A1655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1655" t="s">
        <v>28</v>
      </c>
      <c r="C1655" t="s">
        <v>54</v>
      </c>
      <c r="D1655" s="11">
        <v>45622</v>
      </c>
      <c r="E1655" t="s">
        <v>16</v>
      </c>
      <c r="F1655" t="s">
        <v>12</v>
      </c>
      <c r="G1655">
        <v>70100392</v>
      </c>
      <c r="H1655">
        <v>5500024751</v>
      </c>
      <c r="I1655">
        <v>40</v>
      </c>
      <c r="J1655" s="29">
        <v>7</v>
      </c>
      <c r="K1655" s="29" t="s">
        <v>97</v>
      </c>
      <c r="L1655" t="str">
        <f>IFERROR(VLOOKUP(Detalle_OC[[#This Row],[Centro]]&amp;Detalle_OC[[#This Row],[Nro Almacen]],Almacen!A:D,4,FALSE),"")</f>
        <v>Almacen Lobo</v>
      </c>
    </row>
    <row r="1656" spans="1:12" x14ac:dyDescent="0.3">
      <c r="A1656" s="29" t="str">
        <f>Detalle_OC[[#This Row],[Centro]]&amp;Detalle_OC[[#This Row],[Nom Almacen]]&amp;Detalle_OC[[#This Row],[Material]]&amp;Detalle_OC[[#This Row],[Pedido]]&amp;Detalle_OC[[#This Row],[Posicion]]</f>
        <v>Agricola del Chira PlantaAlmacen Lobo700691795500024855200</v>
      </c>
      <c r="B1656" t="s">
        <v>28</v>
      </c>
      <c r="C1656" t="s">
        <v>96</v>
      </c>
      <c r="D1656" s="11">
        <v>45623</v>
      </c>
      <c r="E1656" t="s">
        <v>16</v>
      </c>
      <c r="F1656" t="s">
        <v>12</v>
      </c>
      <c r="G1656">
        <v>70069179</v>
      </c>
      <c r="H1656">
        <v>5500024855</v>
      </c>
      <c r="I1656">
        <v>200</v>
      </c>
      <c r="J1656" s="29">
        <v>7</v>
      </c>
      <c r="K1656" s="29" t="s">
        <v>97</v>
      </c>
      <c r="L1656" t="str">
        <f>IFERROR(VLOOKUP(Detalle_OC[[#This Row],[Centro]]&amp;Detalle_OC[[#This Row],[Nro Almacen]],Almacen!A:D,4,FALSE),"")</f>
        <v>Almacen Lobo</v>
      </c>
    </row>
    <row r="1657" spans="1:12" x14ac:dyDescent="0.3">
      <c r="A1657" s="29" t="str">
        <f>Detalle_OC[[#This Row],[Centro]]&amp;Detalle_OC[[#This Row],[Nom Almacen]]&amp;Detalle_OC[[#This Row],[Material]]&amp;Detalle_OC[[#This Row],[Pedido]]&amp;Detalle_OC[[#This Row],[Posicion]]</f>
        <v>Agricola del Chira PlantaMontelima821273451156987510</v>
      </c>
      <c r="B1657" t="s">
        <v>33</v>
      </c>
      <c r="C1657" t="s">
        <v>1111</v>
      </c>
      <c r="D1657" s="11">
        <v>45635</v>
      </c>
      <c r="E1657" t="s">
        <v>16</v>
      </c>
      <c r="F1657" t="s">
        <v>12</v>
      </c>
      <c r="G1657">
        <v>821273</v>
      </c>
      <c r="H1657">
        <v>4511569875</v>
      </c>
      <c r="I1657">
        <v>10</v>
      </c>
      <c r="J1657" s="29">
        <v>1</v>
      </c>
      <c r="K1657" s="29" t="s">
        <v>98</v>
      </c>
      <c r="L1657" t="str">
        <f>IFERROR(VLOOKUP(Detalle_OC[[#This Row],[Centro]]&amp;Detalle_OC[[#This Row],[Nro Almacen]],Almacen!A:D,4,FALSE),"")</f>
        <v>Montelima</v>
      </c>
    </row>
    <row r="1658" spans="1:12" x14ac:dyDescent="0.3">
      <c r="A1658" s="29" t="str">
        <f>Detalle_OC[[#This Row],[Centro]]&amp;Detalle_OC[[#This Row],[Nom Almacen]]&amp;Detalle_OC[[#This Row],[Material]]&amp;Detalle_OC[[#This Row],[Pedido]]&amp;Detalle_OC[[#This Row],[Posicion]]</f>
        <v>Agricola del Chira PlantaAlmacen Lobo70117228451156987520</v>
      </c>
      <c r="B1658" t="s">
        <v>149</v>
      </c>
      <c r="C1658" t="s">
        <v>1111</v>
      </c>
      <c r="D1658" s="11">
        <v>45635</v>
      </c>
      <c r="E1658" t="s">
        <v>16</v>
      </c>
      <c r="F1658" t="s">
        <v>12</v>
      </c>
      <c r="G1658">
        <v>70117228</v>
      </c>
      <c r="H1658">
        <v>4511569875</v>
      </c>
      <c r="I1658">
        <v>20</v>
      </c>
      <c r="J1658" s="29">
        <v>7</v>
      </c>
      <c r="K1658" s="29" t="s">
        <v>98</v>
      </c>
      <c r="L1658" t="str">
        <f>IFERROR(VLOOKUP(Detalle_OC[[#This Row],[Centro]]&amp;Detalle_OC[[#This Row],[Nro Almacen]],Almacen!A:D,4,FALSE),"")</f>
        <v>Almacen Lobo</v>
      </c>
    </row>
    <row r="1659" spans="1:12" x14ac:dyDescent="0.3">
      <c r="A1659" s="29" t="str">
        <f>Detalle_OC[[#This Row],[Centro]]&amp;Detalle_OC[[#This Row],[Nom Almacen]]&amp;Detalle_OC[[#This Row],[Material]]&amp;Detalle_OC[[#This Row],[Pedido]]&amp;Detalle_OC[[#This Row],[Posicion]]</f>
        <v>Agricola del Chira PlantaMontelima763503451156991710</v>
      </c>
      <c r="B1659" t="s">
        <v>15</v>
      </c>
      <c r="C1659" t="s">
        <v>22</v>
      </c>
      <c r="D1659" s="11">
        <v>45618</v>
      </c>
      <c r="E1659" t="s">
        <v>16</v>
      </c>
      <c r="F1659" t="s">
        <v>12</v>
      </c>
      <c r="G1659">
        <v>763503</v>
      </c>
      <c r="H1659">
        <v>4511569917</v>
      </c>
      <c r="I1659">
        <v>10</v>
      </c>
      <c r="J1659" s="29">
        <v>1</v>
      </c>
      <c r="K1659" s="29" t="s">
        <v>98</v>
      </c>
      <c r="L1659" t="str">
        <f>IFERROR(VLOOKUP(Detalle_OC[[#This Row],[Centro]]&amp;Detalle_OC[[#This Row],[Nro Almacen]],Almacen!A:D,4,FALSE),"")</f>
        <v>Montelima</v>
      </c>
    </row>
    <row r="1660" spans="1:12" x14ac:dyDescent="0.3">
      <c r="A1660" s="29" t="str">
        <f>Detalle_OC[[#This Row],[Centro]]&amp;Detalle_OC[[#This Row],[Nom Almacen]]&amp;Detalle_OC[[#This Row],[Material]]&amp;Detalle_OC[[#This Row],[Pedido]]&amp;Detalle_OC[[#This Row],[Posicion]]</f>
        <v>Agricola del Chira PlantaMontelima722276451156991720</v>
      </c>
      <c r="B1660" t="s">
        <v>149</v>
      </c>
      <c r="C1660" t="s">
        <v>22</v>
      </c>
      <c r="D1660" s="11">
        <v>45618</v>
      </c>
      <c r="E1660" t="s">
        <v>16</v>
      </c>
      <c r="F1660" t="s">
        <v>12</v>
      </c>
      <c r="G1660">
        <v>722276</v>
      </c>
      <c r="H1660">
        <v>4511569917</v>
      </c>
      <c r="I1660">
        <v>20</v>
      </c>
      <c r="J1660" s="29">
        <v>1</v>
      </c>
      <c r="K1660" s="29" t="s">
        <v>98</v>
      </c>
      <c r="L1660" t="str">
        <f>IFERROR(VLOOKUP(Detalle_OC[[#This Row],[Centro]]&amp;Detalle_OC[[#This Row],[Nro Almacen]],Almacen!A:D,4,FALSE),"")</f>
        <v>Montelima</v>
      </c>
    </row>
    <row r="1661" spans="1:12" x14ac:dyDescent="0.3">
      <c r="A1661" s="29" t="str">
        <f>Detalle_OC[[#This Row],[Centro]]&amp;Detalle_OC[[#This Row],[Nom Almacen]]&amp;Detalle_OC[[#This Row],[Material]]&amp;Detalle_OC[[#This Row],[Pedido]]&amp;Detalle_OC[[#This Row],[Posicion]]</f>
        <v>Agricola del Chira PlantaAlmacen Lobo899474451156992710</v>
      </c>
      <c r="B1661" t="s">
        <v>15</v>
      </c>
      <c r="C1661" t="s">
        <v>232</v>
      </c>
      <c r="D1661" s="11">
        <v>45637</v>
      </c>
      <c r="E1661" t="s">
        <v>16</v>
      </c>
      <c r="F1661" t="s">
        <v>12</v>
      </c>
      <c r="G1661">
        <v>899474</v>
      </c>
      <c r="H1661">
        <v>4511569927</v>
      </c>
      <c r="I1661">
        <v>10</v>
      </c>
      <c r="J1661" s="29">
        <v>7</v>
      </c>
      <c r="K1661" s="29" t="s">
        <v>98</v>
      </c>
      <c r="L1661" t="str">
        <f>IFERROR(VLOOKUP(Detalle_OC[[#This Row],[Centro]]&amp;Detalle_OC[[#This Row],[Nro Almacen]],Almacen!A:D,4,FALSE),"")</f>
        <v>Almacen Lobo</v>
      </c>
    </row>
    <row r="1662" spans="1:12" x14ac:dyDescent="0.3">
      <c r="A1662" s="29" t="str">
        <f>Detalle_OC[[#This Row],[Centro]]&amp;Detalle_OC[[#This Row],[Nom Almacen]]&amp;Detalle_OC[[#This Row],[Material]]&amp;Detalle_OC[[#This Row],[Pedido]]&amp;Detalle_OC[[#This Row],[Posicion]]</f>
        <v>Agricola del Chira PlantaMontelimaCL514001          451156992910</v>
      </c>
      <c r="B1662" t="s">
        <v>149</v>
      </c>
      <c r="C1662" t="s">
        <v>44</v>
      </c>
      <c r="D1662" s="11">
        <v>45618</v>
      </c>
      <c r="E1662" t="s">
        <v>16</v>
      </c>
      <c r="F1662" t="s">
        <v>12</v>
      </c>
      <c r="G1662" t="s">
        <v>309</v>
      </c>
      <c r="H1662">
        <v>4511569929</v>
      </c>
      <c r="I1662">
        <v>10</v>
      </c>
      <c r="J1662" s="29">
        <v>1</v>
      </c>
      <c r="K1662" s="29" t="s">
        <v>98</v>
      </c>
      <c r="L1662" t="str">
        <f>IFERROR(VLOOKUP(Detalle_OC[[#This Row],[Centro]]&amp;Detalle_OC[[#This Row],[Nro Almacen]],Almacen!A:D,4,FALSE),"")</f>
        <v>Montelima</v>
      </c>
    </row>
    <row r="1663" spans="1:12" x14ac:dyDescent="0.3">
      <c r="A1663" s="29" t="str">
        <f>Detalle_OC[[#This Row],[Centro]]&amp;Detalle_OC[[#This Row],[Nom Almacen]]&amp;Detalle_OC[[#This Row],[Material]]&amp;Detalle_OC[[#This Row],[Pedido]]&amp;Detalle_OC[[#This Row],[Posicion]]</f>
        <v>Agricola del Chira PlantaMontelima805771451156993110</v>
      </c>
      <c r="B1663" t="s">
        <v>149</v>
      </c>
      <c r="C1663" t="s">
        <v>1111</v>
      </c>
      <c r="D1663" s="11">
        <v>45635</v>
      </c>
      <c r="E1663" t="s">
        <v>16</v>
      </c>
      <c r="F1663" t="s">
        <v>12</v>
      </c>
      <c r="G1663">
        <v>805771</v>
      </c>
      <c r="H1663">
        <v>4511569931</v>
      </c>
      <c r="I1663">
        <v>10</v>
      </c>
      <c r="J1663" s="29">
        <v>1</v>
      </c>
      <c r="K1663" s="29" t="s">
        <v>98</v>
      </c>
      <c r="L1663" t="str">
        <f>IFERROR(VLOOKUP(Detalle_OC[[#This Row],[Centro]]&amp;Detalle_OC[[#This Row],[Nro Almacen]],Almacen!A:D,4,FALSE),"")</f>
        <v>Montelima</v>
      </c>
    </row>
    <row r="1664" spans="1:12" x14ac:dyDescent="0.3">
      <c r="A1664" s="29" t="str">
        <f>Detalle_OC[[#This Row],[Centro]]&amp;Detalle_OC[[#This Row],[Nom Almacen]]&amp;Detalle_OC[[#This Row],[Material]]&amp;Detalle_OC[[#This Row],[Pedido]]&amp;Detalle_OC[[#This Row],[Posicion]]</f>
        <v>Agricola del Chira PlantaMontelima863031451156993120</v>
      </c>
      <c r="B1664" t="s">
        <v>149</v>
      </c>
      <c r="C1664" t="s">
        <v>1111</v>
      </c>
      <c r="D1664" s="11">
        <v>45635</v>
      </c>
      <c r="E1664" t="s">
        <v>16</v>
      </c>
      <c r="F1664" t="s">
        <v>12</v>
      </c>
      <c r="G1664">
        <v>863031</v>
      </c>
      <c r="H1664">
        <v>4511569931</v>
      </c>
      <c r="I1664">
        <v>20</v>
      </c>
      <c r="J1664" s="29">
        <v>1</v>
      </c>
      <c r="K1664" s="29" t="s">
        <v>98</v>
      </c>
      <c r="L1664" t="str">
        <f>IFERROR(VLOOKUP(Detalle_OC[[#This Row],[Centro]]&amp;Detalle_OC[[#This Row],[Nro Almacen]],Almacen!A:D,4,FALSE),"")</f>
        <v>Montelima</v>
      </c>
    </row>
    <row r="1665" spans="1:12" x14ac:dyDescent="0.3">
      <c r="A1665" s="29" t="str">
        <f>Detalle_OC[[#This Row],[Centro]]&amp;Detalle_OC[[#This Row],[Nom Almacen]]&amp;Detalle_OC[[#This Row],[Material]]&amp;Detalle_OC[[#This Row],[Pedido]]&amp;Detalle_OC[[#This Row],[Posicion]]</f>
        <v>Agricola del Chira PlantaMontelima70117228451156993130</v>
      </c>
      <c r="B1665" t="s">
        <v>149</v>
      </c>
      <c r="C1665" t="s">
        <v>1111</v>
      </c>
      <c r="D1665" s="11">
        <v>45635</v>
      </c>
      <c r="E1665" t="s">
        <v>16</v>
      </c>
      <c r="F1665" t="s">
        <v>12</v>
      </c>
      <c r="G1665">
        <v>70117228</v>
      </c>
      <c r="H1665">
        <v>4511569931</v>
      </c>
      <c r="I1665">
        <v>30</v>
      </c>
      <c r="J1665" s="29">
        <v>1</v>
      </c>
      <c r="K1665" s="29" t="s">
        <v>98</v>
      </c>
      <c r="L1665" t="str">
        <f>IFERROR(VLOOKUP(Detalle_OC[[#This Row],[Centro]]&amp;Detalle_OC[[#This Row],[Nro Almacen]],Almacen!A:D,4,FALSE),"")</f>
        <v>Montelima</v>
      </c>
    </row>
    <row r="1666" spans="1:12" x14ac:dyDescent="0.3">
      <c r="A1666" s="29" t="str">
        <f>Detalle_OC[[#This Row],[Centro]]&amp;Detalle_OC[[#This Row],[Nom Almacen]]&amp;Detalle_OC[[#This Row],[Material]]&amp;Detalle_OC[[#This Row],[Pedido]]&amp;Detalle_OC[[#This Row],[Posicion]]</f>
        <v>Agricola del Chira PlantaAlmacen Lobo721676451156993610</v>
      </c>
      <c r="B1666" t="s">
        <v>274</v>
      </c>
      <c r="C1666" t="s">
        <v>36</v>
      </c>
      <c r="D1666" s="11">
        <v>45644</v>
      </c>
      <c r="E1666" t="s">
        <v>16</v>
      </c>
      <c r="F1666" t="s">
        <v>12</v>
      </c>
      <c r="G1666">
        <v>721676</v>
      </c>
      <c r="H1666">
        <v>4511569936</v>
      </c>
      <c r="I1666">
        <v>10</v>
      </c>
      <c r="J1666" s="29">
        <v>7</v>
      </c>
      <c r="K1666" s="29" t="s">
        <v>98</v>
      </c>
      <c r="L1666" t="str">
        <f>IFERROR(VLOOKUP(Detalle_OC[[#This Row],[Centro]]&amp;Detalle_OC[[#This Row],[Nro Almacen]],Almacen!A:D,4,FALSE),"")</f>
        <v>Almacen Lobo</v>
      </c>
    </row>
    <row r="1667" spans="1:12" x14ac:dyDescent="0.3">
      <c r="A1667" s="29" t="str">
        <f>Detalle_OC[[#This Row],[Centro]]&amp;Detalle_OC[[#This Row],[Nom Almacen]]&amp;Detalle_OC[[#This Row],[Material]]&amp;Detalle_OC[[#This Row],[Pedido]]&amp;Detalle_OC[[#This Row],[Posicion]]</f>
        <v>Agricola del Chira PlantaAlmacen Lobo754842451156993620</v>
      </c>
      <c r="B1667" t="s">
        <v>274</v>
      </c>
      <c r="C1667" t="s">
        <v>36</v>
      </c>
      <c r="D1667" s="11">
        <v>45644</v>
      </c>
      <c r="E1667" t="s">
        <v>16</v>
      </c>
      <c r="F1667" t="s">
        <v>12</v>
      </c>
      <c r="G1667">
        <v>754842</v>
      </c>
      <c r="H1667">
        <v>4511569936</v>
      </c>
      <c r="I1667">
        <v>20</v>
      </c>
      <c r="J1667" s="29">
        <v>7</v>
      </c>
      <c r="K1667" s="29" t="s">
        <v>98</v>
      </c>
      <c r="L1667" t="str">
        <f>IFERROR(VLOOKUP(Detalle_OC[[#This Row],[Centro]]&amp;Detalle_OC[[#This Row],[Nro Almacen]],Almacen!A:D,4,FALSE),"")</f>
        <v>Almacen Lobo</v>
      </c>
    </row>
    <row r="1668" spans="1:12" x14ac:dyDescent="0.3">
      <c r="A1668" s="29" t="str">
        <f>Detalle_OC[[#This Row],[Centro]]&amp;Detalle_OC[[#This Row],[Nom Almacen]]&amp;Detalle_OC[[#This Row],[Material]]&amp;Detalle_OC[[#This Row],[Pedido]]&amp;Detalle_OC[[#This Row],[Posicion]]</f>
        <v>Agricola del Chira PlantaMontelima721620451156994010</v>
      </c>
      <c r="B1668" t="s">
        <v>15</v>
      </c>
      <c r="C1668" t="s">
        <v>231</v>
      </c>
      <c r="D1668" s="11">
        <v>45637</v>
      </c>
      <c r="E1668" t="s">
        <v>16</v>
      </c>
      <c r="F1668" t="s">
        <v>12</v>
      </c>
      <c r="G1668">
        <v>721620</v>
      </c>
      <c r="H1668">
        <v>4511569940</v>
      </c>
      <c r="I1668">
        <v>10</v>
      </c>
      <c r="J1668" s="29">
        <v>1</v>
      </c>
      <c r="K1668" s="29" t="s">
        <v>98</v>
      </c>
      <c r="L1668" t="str">
        <f>IFERROR(VLOOKUP(Detalle_OC[[#This Row],[Centro]]&amp;Detalle_OC[[#This Row],[Nro Almacen]],Almacen!A:D,4,FALSE),"")</f>
        <v>Montelima</v>
      </c>
    </row>
    <row r="1669" spans="1:12" x14ac:dyDescent="0.3">
      <c r="A1669" s="29" t="str">
        <f>Detalle_OC[[#This Row],[Centro]]&amp;Detalle_OC[[#This Row],[Nom Almacen]]&amp;Detalle_OC[[#This Row],[Material]]&amp;Detalle_OC[[#This Row],[Pedido]]&amp;Detalle_OC[[#This Row],[Posicion]]</f>
        <v>Agricola del Chira PlantaAlmacen Lobo70069177451156994030</v>
      </c>
      <c r="B1669" t="s">
        <v>15</v>
      </c>
      <c r="C1669" t="s">
        <v>231</v>
      </c>
      <c r="D1669" s="11">
        <v>45637</v>
      </c>
      <c r="E1669" t="s">
        <v>16</v>
      </c>
      <c r="F1669" t="s">
        <v>12</v>
      </c>
      <c r="G1669">
        <v>70069177</v>
      </c>
      <c r="H1669">
        <v>4511569940</v>
      </c>
      <c r="I1669">
        <v>30</v>
      </c>
      <c r="J1669" s="29">
        <v>7</v>
      </c>
      <c r="K1669" s="29" t="s">
        <v>98</v>
      </c>
      <c r="L1669" t="str">
        <f>IFERROR(VLOOKUP(Detalle_OC[[#This Row],[Centro]]&amp;Detalle_OC[[#This Row],[Nro Almacen]],Almacen!A:D,4,FALSE),"")</f>
        <v>Almacen Lobo</v>
      </c>
    </row>
    <row r="1670" spans="1:12" x14ac:dyDescent="0.3">
      <c r="A1670" s="29" t="str">
        <f>Detalle_OC[[#This Row],[Centro]]&amp;Detalle_OC[[#This Row],[Nom Almacen]]&amp;Detalle_OC[[#This Row],[Material]]&amp;Detalle_OC[[#This Row],[Pedido]]&amp;Detalle_OC[[#This Row],[Posicion]]</f>
        <v>Sucroalcolera del Chira PlantaMontelima721620451156994110</v>
      </c>
      <c r="B1670" t="s">
        <v>15</v>
      </c>
      <c r="C1670" t="s">
        <v>231</v>
      </c>
      <c r="D1670" s="11">
        <v>45637</v>
      </c>
      <c r="E1670" t="s">
        <v>16</v>
      </c>
      <c r="F1670" t="s">
        <v>85</v>
      </c>
      <c r="G1670">
        <v>721620</v>
      </c>
      <c r="H1670">
        <v>4511569941</v>
      </c>
      <c r="I1670">
        <v>10</v>
      </c>
      <c r="J1670" s="29">
        <v>1</v>
      </c>
      <c r="K1670" s="29" t="s">
        <v>98</v>
      </c>
      <c r="L1670" t="str">
        <f>IFERROR(VLOOKUP(Detalle_OC[[#This Row],[Centro]]&amp;Detalle_OC[[#This Row],[Nro Almacen]],Almacen!A:D,4,FALSE),"")</f>
        <v>Montelima</v>
      </c>
    </row>
    <row r="1671" spans="1:12" x14ac:dyDescent="0.3">
      <c r="A1671" s="29" t="str">
        <f>Detalle_OC[[#This Row],[Centro]]&amp;Detalle_OC[[#This Row],[Nom Almacen]]&amp;Detalle_OC[[#This Row],[Material]]&amp;Detalle_OC[[#This Row],[Pedido]]&amp;Detalle_OC[[#This Row],[Posicion]]</f>
        <v>Agricola del Chira PlantaLa Huaca70043537451156994410</v>
      </c>
      <c r="B1671" t="s">
        <v>50</v>
      </c>
      <c r="C1671" t="s">
        <v>1184</v>
      </c>
      <c r="D1671" s="11">
        <v>45684</v>
      </c>
      <c r="E1671" t="s">
        <v>16</v>
      </c>
      <c r="F1671" t="s">
        <v>12</v>
      </c>
      <c r="G1671">
        <v>70043537</v>
      </c>
      <c r="H1671">
        <v>4511569944</v>
      </c>
      <c r="I1671">
        <v>10</v>
      </c>
      <c r="J1671" s="29">
        <v>2</v>
      </c>
      <c r="K1671" s="29" t="s">
        <v>98</v>
      </c>
      <c r="L1671" t="str">
        <f>IFERROR(VLOOKUP(Detalle_OC[[#This Row],[Centro]]&amp;Detalle_OC[[#This Row],[Nro Almacen]],Almacen!A:D,4,FALSE),"")</f>
        <v>La Huaca</v>
      </c>
    </row>
    <row r="1672" spans="1:12" x14ac:dyDescent="0.3">
      <c r="A1672" s="29" t="str">
        <f>Detalle_OC[[#This Row],[Centro]]&amp;Detalle_OC[[#This Row],[Nom Almacen]]&amp;Detalle_OC[[#This Row],[Material]]&amp;Detalle_OC[[#This Row],[Pedido]]&amp;Detalle_OC[[#This Row],[Posicion]]</f>
        <v>Agricola del Chira PlantaLa Huaca70043958451156994420</v>
      </c>
      <c r="B1672" t="s">
        <v>50</v>
      </c>
      <c r="C1672" t="s">
        <v>1184</v>
      </c>
      <c r="D1672" s="11">
        <v>45642</v>
      </c>
      <c r="E1672" t="s">
        <v>16</v>
      </c>
      <c r="F1672" t="s">
        <v>12</v>
      </c>
      <c r="G1672">
        <v>70043958</v>
      </c>
      <c r="H1672">
        <v>4511569944</v>
      </c>
      <c r="I1672">
        <v>20</v>
      </c>
      <c r="J1672" s="29">
        <v>2</v>
      </c>
      <c r="K1672" s="29" t="s">
        <v>98</v>
      </c>
      <c r="L1672" t="str">
        <f>IFERROR(VLOOKUP(Detalle_OC[[#This Row],[Centro]]&amp;Detalle_OC[[#This Row],[Nro Almacen]],Almacen!A:D,4,FALSE),"")</f>
        <v>La Huaca</v>
      </c>
    </row>
    <row r="1673" spans="1:12" x14ac:dyDescent="0.3">
      <c r="A1673" s="29" t="str">
        <f>Detalle_OC[[#This Row],[Centro]]&amp;Detalle_OC[[#This Row],[Nom Almacen]]&amp;Detalle_OC[[#This Row],[Material]]&amp;Detalle_OC[[#This Row],[Pedido]]&amp;Detalle_OC[[#This Row],[Posicion]]</f>
        <v>Agricola del Chira PlantaLa Huaca70061692451156994430</v>
      </c>
      <c r="B1673" t="s">
        <v>50</v>
      </c>
      <c r="C1673" t="s">
        <v>1184</v>
      </c>
      <c r="D1673" s="11">
        <v>45642</v>
      </c>
      <c r="E1673" t="s">
        <v>16</v>
      </c>
      <c r="F1673" t="s">
        <v>12</v>
      </c>
      <c r="G1673">
        <v>70061692</v>
      </c>
      <c r="H1673">
        <v>4511569944</v>
      </c>
      <c r="I1673">
        <v>30</v>
      </c>
      <c r="J1673" s="29">
        <v>2</v>
      </c>
      <c r="K1673" s="29" t="s">
        <v>98</v>
      </c>
      <c r="L1673" t="str">
        <f>IFERROR(VLOOKUP(Detalle_OC[[#This Row],[Centro]]&amp;Detalle_OC[[#This Row],[Nro Almacen]],Almacen!A:D,4,FALSE),"")</f>
        <v>La Huaca</v>
      </c>
    </row>
    <row r="1674" spans="1:12" x14ac:dyDescent="0.3">
      <c r="A1674" s="29" t="str">
        <f>Detalle_OC[[#This Row],[Centro]]&amp;Detalle_OC[[#This Row],[Nom Almacen]]&amp;Detalle_OC[[#This Row],[Material]]&amp;Detalle_OC[[#This Row],[Pedido]]&amp;Detalle_OC[[#This Row],[Posicion]]</f>
        <v>Agricola del Chira PlantaLa Huaca70061693451156994440</v>
      </c>
      <c r="B1674" t="s">
        <v>50</v>
      </c>
      <c r="C1674" t="s">
        <v>1184</v>
      </c>
      <c r="D1674" s="11">
        <v>45642</v>
      </c>
      <c r="E1674" t="s">
        <v>16</v>
      </c>
      <c r="F1674" t="s">
        <v>12</v>
      </c>
      <c r="G1674">
        <v>70061693</v>
      </c>
      <c r="H1674">
        <v>4511569944</v>
      </c>
      <c r="I1674">
        <v>40</v>
      </c>
      <c r="J1674" s="29">
        <v>2</v>
      </c>
      <c r="K1674" s="29" t="s">
        <v>98</v>
      </c>
      <c r="L1674" t="str">
        <f>IFERROR(VLOOKUP(Detalle_OC[[#This Row],[Centro]]&amp;Detalle_OC[[#This Row],[Nro Almacen]],Almacen!A:D,4,FALSE),"")</f>
        <v>La Huaca</v>
      </c>
    </row>
    <row r="1675" spans="1:12" x14ac:dyDescent="0.3">
      <c r="A1675" s="29" t="str">
        <f>Detalle_OC[[#This Row],[Centro]]&amp;Detalle_OC[[#This Row],[Nom Almacen]]&amp;Detalle_OC[[#This Row],[Material]]&amp;Detalle_OC[[#This Row],[Pedido]]&amp;Detalle_OC[[#This Row],[Posicion]]</f>
        <v>Agricola del Chira PlantaAlmacen Lobo70048232451156994810</v>
      </c>
      <c r="B1675" t="s">
        <v>15</v>
      </c>
      <c r="C1675" t="s">
        <v>298</v>
      </c>
      <c r="D1675" s="11">
        <v>45632</v>
      </c>
      <c r="E1675" t="s">
        <v>16</v>
      </c>
      <c r="F1675" t="s">
        <v>12</v>
      </c>
      <c r="G1675">
        <v>70048232</v>
      </c>
      <c r="H1675">
        <v>4511569948</v>
      </c>
      <c r="I1675">
        <v>10</v>
      </c>
      <c r="J1675" s="29">
        <v>7</v>
      </c>
      <c r="K1675" s="29" t="s">
        <v>98</v>
      </c>
      <c r="L1675" t="str">
        <f>IFERROR(VLOOKUP(Detalle_OC[[#This Row],[Centro]]&amp;Detalle_OC[[#This Row],[Nro Almacen]],Almacen!A:D,4,FALSE),"")</f>
        <v>Almacen Lobo</v>
      </c>
    </row>
    <row r="1676" spans="1:12" x14ac:dyDescent="0.3">
      <c r="A1676" s="29" t="str">
        <f>Detalle_OC[[#This Row],[Centro]]&amp;Detalle_OC[[#This Row],[Nom Almacen]]&amp;Detalle_OC[[#This Row],[Material]]&amp;Detalle_OC[[#This Row],[Pedido]]&amp;Detalle_OC[[#This Row],[Posicion]]</f>
        <v>Agricola del Chira PlantaSan Vicente70048234451156994820</v>
      </c>
      <c r="B1676" t="s">
        <v>15</v>
      </c>
      <c r="C1676" t="s">
        <v>298</v>
      </c>
      <c r="D1676" s="11">
        <v>45632</v>
      </c>
      <c r="E1676" t="s">
        <v>16</v>
      </c>
      <c r="F1676" t="s">
        <v>12</v>
      </c>
      <c r="G1676">
        <v>70048234</v>
      </c>
      <c r="H1676">
        <v>4511569948</v>
      </c>
      <c r="I1676">
        <v>20</v>
      </c>
      <c r="J1676" s="29">
        <v>3</v>
      </c>
      <c r="K1676" s="29" t="s">
        <v>98</v>
      </c>
      <c r="L1676" t="str">
        <f>IFERROR(VLOOKUP(Detalle_OC[[#This Row],[Centro]]&amp;Detalle_OC[[#This Row],[Nro Almacen]],Almacen!A:D,4,FALSE),"")</f>
        <v>San Vicente</v>
      </c>
    </row>
    <row r="1677" spans="1:12" x14ac:dyDescent="0.3">
      <c r="A1677" s="29" t="str">
        <f>Detalle_OC[[#This Row],[Centro]]&amp;Detalle_OC[[#This Row],[Nom Almacen]]&amp;Detalle_OC[[#This Row],[Material]]&amp;Detalle_OC[[#This Row],[Pedido]]&amp;Detalle_OC[[#This Row],[Posicion]]</f>
        <v>Agricola del Chira PlantaMontelima70048232451156994830</v>
      </c>
      <c r="B1677" t="s">
        <v>15</v>
      </c>
      <c r="C1677" t="s">
        <v>298</v>
      </c>
      <c r="D1677" s="11">
        <v>45632</v>
      </c>
      <c r="E1677" t="s">
        <v>16</v>
      </c>
      <c r="F1677" t="s">
        <v>12</v>
      </c>
      <c r="G1677">
        <v>70048232</v>
      </c>
      <c r="H1677">
        <v>4511569948</v>
      </c>
      <c r="I1677">
        <v>30</v>
      </c>
      <c r="J1677" s="29">
        <v>1</v>
      </c>
      <c r="K1677" s="29" t="s">
        <v>98</v>
      </c>
      <c r="L1677" t="str">
        <f>IFERROR(VLOOKUP(Detalle_OC[[#This Row],[Centro]]&amp;Detalle_OC[[#This Row],[Nro Almacen]],Almacen!A:D,4,FALSE),"")</f>
        <v>Montelima</v>
      </c>
    </row>
    <row r="1678" spans="1:12" x14ac:dyDescent="0.3">
      <c r="A1678" s="29" t="str">
        <f>Detalle_OC[[#This Row],[Centro]]&amp;Detalle_OC[[#This Row],[Nom Almacen]]&amp;Detalle_OC[[#This Row],[Material]]&amp;Detalle_OC[[#This Row],[Pedido]]&amp;Detalle_OC[[#This Row],[Posicion]]</f>
        <v>Agricola del Chira PlantaMontelima766912451156999010</v>
      </c>
      <c r="B1678" t="s">
        <v>159</v>
      </c>
      <c r="C1678" t="s">
        <v>1158</v>
      </c>
      <c r="D1678" s="11">
        <v>45616</v>
      </c>
      <c r="E1678" t="s">
        <v>16</v>
      </c>
      <c r="F1678" t="s">
        <v>12</v>
      </c>
      <c r="G1678">
        <v>766912</v>
      </c>
      <c r="H1678">
        <v>4511569990</v>
      </c>
      <c r="I1678">
        <v>10</v>
      </c>
      <c r="J1678" s="29">
        <v>1</v>
      </c>
      <c r="K1678" s="29" t="s">
        <v>98</v>
      </c>
      <c r="L1678" t="str">
        <f>IFERROR(VLOOKUP(Detalle_OC[[#This Row],[Centro]]&amp;Detalle_OC[[#This Row],[Nro Almacen]],Almacen!A:D,4,FALSE),"")</f>
        <v>Montelima</v>
      </c>
    </row>
    <row r="1679" spans="1:12" x14ac:dyDescent="0.3">
      <c r="A1679" s="29" t="str">
        <f>Detalle_OC[[#This Row],[Centro]]&amp;Detalle_OC[[#This Row],[Nom Almacen]]&amp;Detalle_OC[[#This Row],[Material]]&amp;Detalle_OC[[#This Row],[Pedido]]&amp;Detalle_OC[[#This Row],[Posicion]]</f>
        <v>Agricola del Chira PlantaMontelimaCT901113          451156999020</v>
      </c>
      <c r="B1679" t="s">
        <v>1159</v>
      </c>
      <c r="C1679" t="s">
        <v>1158</v>
      </c>
      <c r="D1679" s="11">
        <v>45616</v>
      </c>
      <c r="E1679" t="s">
        <v>16</v>
      </c>
      <c r="F1679" t="s">
        <v>12</v>
      </c>
      <c r="G1679" t="s">
        <v>1036</v>
      </c>
      <c r="H1679">
        <v>4511569990</v>
      </c>
      <c r="I1679">
        <v>20</v>
      </c>
      <c r="J1679" s="29">
        <v>1</v>
      </c>
      <c r="K1679" s="29" t="s">
        <v>98</v>
      </c>
      <c r="L1679" t="str">
        <f>IFERROR(VLOOKUP(Detalle_OC[[#This Row],[Centro]]&amp;Detalle_OC[[#This Row],[Nro Almacen]],Almacen!A:D,4,FALSE),"")</f>
        <v>Montelima</v>
      </c>
    </row>
    <row r="1680" spans="1:12" x14ac:dyDescent="0.3">
      <c r="A1680" s="29" t="str">
        <f>Detalle_OC[[#This Row],[Centro]]&amp;Detalle_OC[[#This Row],[Nom Almacen]]&amp;Detalle_OC[[#This Row],[Material]]&amp;Detalle_OC[[#This Row],[Pedido]]&amp;Detalle_OC[[#This Row],[Posicion]]</f>
        <v>Agricola del Chira PlantaMontelima70069779451156999510</v>
      </c>
      <c r="B1680" t="s">
        <v>200</v>
      </c>
      <c r="C1680" t="s">
        <v>1162</v>
      </c>
      <c r="D1680" s="11">
        <v>45657</v>
      </c>
      <c r="E1680" t="s">
        <v>48</v>
      </c>
      <c r="F1680" t="s">
        <v>12</v>
      </c>
      <c r="G1680">
        <v>70069779</v>
      </c>
      <c r="H1680">
        <v>4511569995</v>
      </c>
      <c r="I1680">
        <v>10</v>
      </c>
      <c r="J1680" s="29">
        <v>1</v>
      </c>
      <c r="K1680" s="29" t="s">
        <v>98</v>
      </c>
      <c r="L1680" t="str">
        <f>IFERROR(VLOOKUP(Detalle_OC[[#This Row],[Centro]]&amp;Detalle_OC[[#This Row],[Nro Almacen]],Almacen!A:D,4,FALSE),"")</f>
        <v>Montelima</v>
      </c>
    </row>
    <row r="1681" spans="1:12" x14ac:dyDescent="0.3">
      <c r="A1681" s="29" t="str">
        <f>Detalle_OC[[#This Row],[Centro]]&amp;Detalle_OC[[#This Row],[Nom Almacen]]&amp;Detalle_OC[[#This Row],[Material]]&amp;Detalle_OC[[#This Row],[Pedido]]&amp;Detalle_OC[[#This Row],[Posicion]]</f>
        <v>Agricola del Chira PlantaMontelima70069779451156999520</v>
      </c>
      <c r="B1681" t="s">
        <v>200</v>
      </c>
      <c r="C1681" t="s">
        <v>1162</v>
      </c>
      <c r="D1681" s="11">
        <v>45657</v>
      </c>
      <c r="E1681" t="s">
        <v>48</v>
      </c>
      <c r="F1681" t="s">
        <v>12</v>
      </c>
      <c r="G1681">
        <v>70069779</v>
      </c>
      <c r="H1681">
        <v>4511569995</v>
      </c>
      <c r="I1681">
        <v>20</v>
      </c>
      <c r="J1681" s="29">
        <v>1</v>
      </c>
      <c r="K1681" s="29" t="s">
        <v>98</v>
      </c>
      <c r="L1681" t="str">
        <f>IFERROR(VLOOKUP(Detalle_OC[[#This Row],[Centro]]&amp;Detalle_OC[[#This Row],[Nro Almacen]],Almacen!A:D,4,FALSE),"")</f>
        <v>Montelima</v>
      </c>
    </row>
    <row r="1682" spans="1:12" x14ac:dyDescent="0.3">
      <c r="A1682" s="29" t="str">
        <f>Detalle_OC[[#This Row],[Centro]]&amp;Detalle_OC[[#This Row],[Nom Almacen]]&amp;Detalle_OC[[#This Row],[Material]]&amp;Detalle_OC[[#This Row],[Pedido]]&amp;Detalle_OC[[#This Row],[Posicion]]</f>
        <v>Agricola del Chira PlantaMontelima70069779451156999530</v>
      </c>
      <c r="B1682" t="s">
        <v>200</v>
      </c>
      <c r="C1682" t="s">
        <v>1162</v>
      </c>
      <c r="D1682" s="11">
        <v>45657</v>
      </c>
      <c r="E1682" t="s">
        <v>48</v>
      </c>
      <c r="F1682" t="s">
        <v>12</v>
      </c>
      <c r="G1682">
        <v>70069779</v>
      </c>
      <c r="H1682">
        <v>4511569995</v>
      </c>
      <c r="I1682">
        <v>30</v>
      </c>
      <c r="J1682" s="29">
        <v>1</v>
      </c>
      <c r="K1682" s="29" t="s">
        <v>98</v>
      </c>
      <c r="L1682" t="str">
        <f>IFERROR(VLOOKUP(Detalle_OC[[#This Row],[Centro]]&amp;Detalle_OC[[#This Row],[Nro Almacen]],Almacen!A:D,4,FALSE),"")</f>
        <v>Montelima</v>
      </c>
    </row>
    <row r="1683" spans="1:12" x14ac:dyDescent="0.3">
      <c r="A1683" s="29" t="str">
        <f>Detalle_OC[[#This Row],[Centro]]&amp;Detalle_OC[[#This Row],[Nom Almacen]]&amp;Detalle_OC[[#This Row],[Material]]&amp;Detalle_OC[[#This Row],[Pedido]]&amp;Detalle_OC[[#This Row],[Posicion]]</f>
        <v>Agricola del Chira PlantaMontelima70069779451156999540</v>
      </c>
      <c r="B1683" t="s">
        <v>200</v>
      </c>
      <c r="C1683" t="s">
        <v>1162</v>
      </c>
      <c r="D1683" s="11">
        <v>45657</v>
      </c>
      <c r="E1683" t="s">
        <v>48</v>
      </c>
      <c r="F1683" t="s">
        <v>12</v>
      </c>
      <c r="G1683">
        <v>70069779</v>
      </c>
      <c r="H1683">
        <v>4511569995</v>
      </c>
      <c r="I1683">
        <v>40</v>
      </c>
      <c r="J1683" s="29">
        <v>1</v>
      </c>
      <c r="K1683" s="29" t="s">
        <v>98</v>
      </c>
      <c r="L1683" t="str">
        <f>IFERROR(VLOOKUP(Detalle_OC[[#This Row],[Centro]]&amp;Detalle_OC[[#This Row],[Nro Almacen]],Almacen!A:D,4,FALSE),"")</f>
        <v>Montelima</v>
      </c>
    </row>
    <row r="1684" spans="1:12" x14ac:dyDescent="0.3">
      <c r="A1684" s="29" t="str">
        <f>Detalle_OC[[#This Row],[Centro]]&amp;Detalle_OC[[#This Row],[Nom Almacen]]&amp;Detalle_OC[[#This Row],[Material]]&amp;Detalle_OC[[#This Row],[Pedido]]&amp;Detalle_OC[[#This Row],[Posicion]]</f>
        <v>Agricola del Chira PlantaMontelima70069779451156999550</v>
      </c>
      <c r="B1684" t="s">
        <v>200</v>
      </c>
      <c r="C1684" t="s">
        <v>1162</v>
      </c>
      <c r="D1684" s="11">
        <v>45657</v>
      </c>
      <c r="E1684" t="s">
        <v>48</v>
      </c>
      <c r="F1684" t="s">
        <v>12</v>
      </c>
      <c r="G1684">
        <v>70069779</v>
      </c>
      <c r="H1684">
        <v>4511569995</v>
      </c>
      <c r="I1684">
        <v>50</v>
      </c>
      <c r="J1684" s="29">
        <v>1</v>
      </c>
      <c r="K1684" s="29" t="s">
        <v>98</v>
      </c>
      <c r="L1684" t="str">
        <f>IFERROR(VLOOKUP(Detalle_OC[[#This Row],[Centro]]&amp;Detalle_OC[[#This Row],[Nro Almacen]],Almacen!A:D,4,FALSE),"")</f>
        <v>Montelima</v>
      </c>
    </row>
    <row r="1685" spans="1:12" x14ac:dyDescent="0.3">
      <c r="A1685" s="29" t="str">
        <f>Detalle_OC[[#This Row],[Centro]]&amp;Detalle_OC[[#This Row],[Nom Almacen]]&amp;Detalle_OC[[#This Row],[Material]]&amp;Detalle_OC[[#This Row],[Pedido]]&amp;Detalle_OC[[#This Row],[Posicion]]</f>
        <v>Agricola del Chira PlantaMontelima725090451156999610</v>
      </c>
      <c r="B1685" t="s">
        <v>229</v>
      </c>
      <c r="C1685" t="s">
        <v>207</v>
      </c>
      <c r="D1685" s="11">
        <v>45657</v>
      </c>
      <c r="E1685" t="s">
        <v>16</v>
      </c>
      <c r="F1685" t="s">
        <v>12</v>
      </c>
      <c r="G1685">
        <v>725090</v>
      </c>
      <c r="H1685">
        <v>4511569996</v>
      </c>
      <c r="I1685">
        <v>10</v>
      </c>
      <c r="J1685" s="29">
        <v>1</v>
      </c>
      <c r="K1685" s="29" t="s">
        <v>98</v>
      </c>
      <c r="L1685" t="str">
        <f>IFERROR(VLOOKUP(Detalle_OC[[#This Row],[Centro]]&amp;Detalle_OC[[#This Row],[Nro Almacen]],Almacen!A:D,4,FALSE),"")</f>
        <v>Montelima</v>
      </c>
    </row>
    <row r="1686" spans="1:12" x14ac:dyDescent="0.3">
      <c r="A1686" s="29" t="str">
        <f>Detalle_OC[[#This Row],[Centro]]&amp;Detalle_OC[[#This Row],[Nom Almacen]]&amp;Detalle_OC[[#This Row],[Material]]&amp;Detalle_OC[[#This Row],[Pedido]]&amp;Detalle_OC[[#This Row],[Posicion]]</f>
        <v>Sucroalcolera del Chira PlantaMontelima70069779451156999710</v>
      </c>
      <c r="B1686" t="s">
        <v>200</v>
      </c>
      <c r="C1686" t="s">
        <v>1162</v>
      </c>
      <c r="D1686" s="11">
        <v>45657</v>
      </c>
      <c r="E1686" t="s">
        <v>48</v>
      </c>
      <c r="F1686" t="s">
        <v>85</v>
      </c>
      <c r="G1686">
        <v>70069779</v>
      </c>
      <c r="H1686">
        <v>4511569997</v>
      </c>
      <c r="I1686">
        <v>10</v>
      </c>
      <c r="J1686" s="29">
        <v>1</v>
      </c>
      <c r="K1686" s="29" t="s">
        <v>98</v>
      </c>
      <c r="L1686" t="str">
        <f>IFERROR(VLOOKUP(Detalle_OC[[#This Row],[Centro]]&amp;Detalle_OC[[#This Row],[Nro Almacen]],Almacen!A:D,4,FALSE),"")</f>
        <v>Montelima</v>
      </c>
    </row>
    <row r="1687" spans="1:12" x14ac:dyDescent="0.3">
      <c r="A1687" s="29" t="str">
        <f>Detalle_OC[[#This Row],[Centro]]&amp;Detalle_OC[[#This Row],[Nom Almacen]]&amp;Detalle_OC[[#This Row],[Material]]&amp;Detalle_OC[[#This Row],[Pedido]]&amp;Detalle_OC[[#This Row],[Posicion]]</f>
        <v>Agricola del Chira PlantaMontelima768360451157000110</v>
      </c>
      <c r="B1687" t="s">
        <v>188</v>
      </c>
      <c r="C1687" t="s">
        <v>207</v>
      </c>
      <c r="D1687" s="11">
        <v>45635</v>
      </c>
      <c r="E1687" t="s">
        <v>16</v>
      </c>
      <c r="F1687" t="s">
        <v>12</v>
      </c>
      <c r="G1687">
        <v>768360</v>
      </c>
      <c r="H1687">
        <v>4511570001</v>
      </c>
      <c r="I1687">
        <v>10</v>
      </c>
      <c r="J1687" s="29">
        <v>1</v>
      </c>
      <c r="K1687" s="29" t="s">
        <v>98</v>
      </c>
      <c r="L1687" t="str">
        <f>IFERROR(VLOOKUP(Detalle_OC[[#This Row],[Centro]]&amp;Detalle_OC[[#This Row],[Nro Almacen]],Almacen!A:D,4,FALSE),"")</f>
        <v>Montelima</v>
      </c>
    </row>
    <row r="1688" spans="1:12" x14ac:dyDescent="0.3">
      <c r="A1688" s="29" t="str">
        <f>Detalle_OC[[#This Row],[Centro]]&amp;Detalle_OC[[#This Row],[Nom Almacen]]&amp;Detalle_OC[[#This Row],[Material]]&amp;Detalle_OC[[#This Row],[Pedido]]&amp;Detalle_OC[[#This Row],[Posicion]]</f>
        <v>Agricola del Chira PlantaSan Vicente752729451157000120</v>
      </c>
      <c r="B1688" t="s">
        <v>15</v>
      </c>
      <c r="C1688" t="s">
        <v>207</v>
      </c>
      <c r="D1688" s="11">
        <v>45635</v>
      </c>
      <c r="E1688" t="s">
        <v>16</v>
      </c>
      <c r="F1688" t="s">
        <v>12</v>
      </c>
      <c r="G1688">
        <v>752729</v>
      </c>
      <c r="H1688">
        <v>4511570001</v>
      </c>
      <c r="I1688">
        <v>20</v>
      </c>
      <c r="J1688" s="29">
        <v>3</v>
      </c>
      <c r="K1688" s="29" t="s">
        <v>98</v>
      </c>
      <c r="L1688" t="str">
        <f>IFERROR(VLOOKUP(Detalle_OC[[#This Row],[Centro]]&amp;Detalle_OC[[#This Row],[Nro Almacen]],Almacen!A:D,4,FALSE),"")</f>
        <v>San Vicente</v>
      </c>
    </row>
    <row r="1689" spans="1:12" x14ac:dyDescent="0.3">
      <c r="A1689" s="29" t="str">
        <f>Detalle_OC[[#This Row],[Centro]]&amp;Detalle_OC[[#This Row],[Nom Almacen]]&amp;Detalle_OC[[#This Row],[Material]]&amp;Detalle_OC[[#This Row],[Pedido]]&amp;Detalle_OC[[#This Row],[Posicion]]</f>
        <v>Agricola del Chira PlantaSan Vicente804110451157000310</v>
      </c>
      <c r="B1689" t="s">
        <v>192</v>
      </c>
      <c r="C1689" t="s">
        <v>1185</v>
      </c>
      <c r="D1689" s="11">
        <v>45625</v>
      </c>
      <c r="E1689" t="s">
        <v>16</v>
      </c>
      <c r="F1689" t="s">
        <v>12</v>
      </c>
      <c r="G1689">
        <v>804110</v>
      </c>
      <c r="H1689">
        <v>4511570003</v>
      </c>
      <c r="I1689">
        <v>10</v>
      </c>
      <c r="J1689" s="29">
        <v>3</v>
      </c>
      <c r="K1689" s="29" t="s">
        <v>98</v>
      </c>
      <c r="L1689" t="str">
        <f>IFERROR(VLOOKUP(Detalle_OC[[#This Row],[Centro]]&amp;Detalle_OC[[#This Row],[Nro Almacen]],Almacen!A:D,4,FALSE),"")</f>
        <v>San Vicente</v>
      </c>
    </row>
    <row r="1690" spans="1:12" x14ac:dyDescent="0.3">
      <c r="A1690" s="29" t="str">
        <f>Detalle_OC[[#This Row],[Centro]]&amp;Detalle_OC[[#This Row],[Nom Almacen]]&amp;Detalle_OC[[#This Row],[Material]]&amp;Detalle_OC[[#This Row],[Pedido]]&amp;Detalle_OC[[#This Row],[Posicion]]</f>
        <v>Agricola del Chira PlantaSan Vicente860382451157000330</v>
      </c>
      <c r="B1690" t="s">
        <v>192</v>
      </c>
      <c r="C1690" t="s">
        <v>1185</v>
      </c>
      <c r="D1690" s="11">
        <v>45625</v>
      </c>
      <c r="E1690" t="s">
        <v>16</v>
      </c>
      <c r="F1690" t="s">
        <v>12</v>
      </c>
      <c r="G1690">
        <v>860382</v>
      </c>
      <c r="H1690">
        <v>4511570003</v>
      </c>
      <c r="I1690">
        <v>30</v>
      </c>
      <c r="J1690" s="29">
        <v>3</v>
      </c>
      <c r="K1690" s="29" t="s">
        <v>98</v>
      </c>
      <c r="L1690" t="str">
        <f>IFERROR(VLOOKUP(Detalle_OC[[#This Row],[Centro]]&amp;Detalle_OC[[#This Row],[Nro Almacen]],Almacen!A:D,4,FALSE),"")</f>
        <v>San Vicente</v>
      </c>
    </row>
    <row r="1691" spans="1:12" x14ac:dyDescent="0.3">
      <c r="A1691" s="29" t="str">
        <f>Detalle_OC[[#This Row],[Centro]]&amp;Detalle_OC[[#This Row],[Nom Almacen]]&amp;Detalle_OC[[#This Row],[Material]]&amp;Detalle_OC[[#This Row],[Pedido]]&amp;Detalle_OC[[#This Row],[Posicion]]</f>
        <v>Agricola del Chira PlantaMontelima853465451157000410</v>
      </c>
      <c r="B1691" t="s">
        <v>1163</v>
      </c>
      <c r="C1691" t="s">
        <v>1117</v>
      </c>
      <c r="D1691" s="11">
        <v>45667</v>
      </c>
      <c r="E1691" t="s">
        <v>48</v>
      </c>
      <c r="F1691" t="s">
        <v>12</v>
      </c>
      <c r="G1691">
        <v>853465</v>
      </c>
      <c r="H1691">
        <v>4511570004</v>
      </c>
      <c r="I1691">
        <v>10</v>
      </c>
      <c r="J1691" s="29">
        <v>1</v>
      </c>
      <c r="K1691" s="29" t="s">
        <v>98</v>
      </c>
      <c r="L1691" t="str">
        <f>IFERROR(VLOOKUP(Detalle_OC[[#This Row],[Centro]]&amp;Detalle_OC[[#This Row],[Nro Almacen]],Almacen!A:D,4,FALSE),"")</f>
        <v>Montelima</v>
      </c>
    </row>
    <row r="1692" spans="1:12" x14ac:dyDescent="0.3">
      <c r="A1692" s="29" t="str">
        <f>Detalle_OC[[#This Row],[Centro]]&amp;Detalle_OC[[#This Row],[Nom Almacen]]&amp;Detalle_OC[[#This Row],[Material]]&amp;Detalle_OC[[#This Row],[Pedido]]&amp;Detalle_OC[[#This Row],[Posicion]]</f>
        <v>Sucroalcolera del Chira PlantaMontelima858334451157000610</v>
      </c>
      <c r="B1692" t="s">
        <v>1149</v>
      </c>
      <c r="C1692" t="s">
        <v>137</v>
      </c>
      <c r="D1692" s="11">
        <v>45623</v>
      </c>
      <c r="E1692" t="s">
        <v>16</v>
      </c>
      <c r="F1692" t="s">
        <v>85</v>
      </c>
      <c r="G1692">
        <v>858334</v>
      </c>
      <c r="H1692">
        <v>4511570006</v>
      </c>
      <c r="I1692">
        <v>10</v>
      </c>
      <c r="J1692" s="29">
        <v>1</v>
      </c>
      <c r="K1692" s="29" t="s">
        <v>98</v>
      </c>
      <c r="L1692" t="str">
        <f>IFERROR(VLOOKUP(Detalle_OC[[#This Row],[Centro]]&amp;Detalle_OC[[#This Row],[Nro Almacen]],Almacen!A:D,4,FALSE),"")</f>
        <v>Montelima</v>
      </c>
    </row>
    <row r="1693" spans="1:12" x14ac:dyDescent="0.3">
      <c r="A1693" s="29" t="str">
        <f>Detalle_OC[[#This Row],[Centro]]&amp;Detalle_OC[[#This Row],[Nom Almacen]]&amp;Detalle_OC[[#This Row],[Material]]&amp;Detalle_OC[[#This Row],[Pedido]]&amp;Detalle_OC[[#This Row],[Posicion]]</f>
        <v>Sucroalcolera del Chira PlantaMontelima888777451157000620</v>
      </c>
      <c r="B1693" t="s">
        <v>1149</v>
      </c>
      <c r="C1693" t="s">
        <v>137</v>
      </c>
      <c r="D1693" s="11">
        <v>45623</v>
      </c>
      <c r="E1693" t="s">
        <v>16</v>
      </c>
      <c r="F1693" t="s">
        <v>85</v>
      </c>
      <c r="G1693">
        <v>888777</v>
      </c>
      <c r="H1693">
        <v>4511570006</v>
      </c>
      <c r="I1693">
        <v>20</v>
      </c>
      <c r="J1693" s="29">
        <v>1</v>
      </c>
      <c r="K1693" s="29" t="s">
        <v>98</v>
      </c>
      <c r="L1693" t="str">
        <f>IFERROR(VLOOKUP(Detalle_OC[[#This Row],[Centro]]&amp;Detalle_OC[[#This Row],[Nro Almacen]],Almacen!A:D,4,FALSE),"")</f>
        <v>Montelima</v>
      </c>
    </row>
    <row r="1694" spans="1:12" x14ac:dyDescent="0.3">
      <c r="A1694" s="29" t="str">
        <f>Detalle_OC[[#This Row],[Centro]]&amp;Detalle_OC[[#This Row],[Nom Almacen]]&amp;Detalle_OC[[#This Row],[Material]]&amp;Detalle_OC[[#This Row],[Pedido]]&amp;Detalle_OC[[#This Row],[Posicion]]</f>
        <v>Sucroalcolera del Chira PlantaMontelima70048657451157000630</v>
      </c>
      <c r="B1694" t="s">
        <v>1149</v>
      </c>
      <c r="C1694" t="s">
        <v>137</v>
      </c>
      <c r="D1694" s="11">
        <v>45623</v>
      </c>
      <c r="E1694" t="s">
        <v>16</v>
      </c>
      <c r="F1694" t="s">
        <v>85</v>
      </c>
      <c r="G1694">
        <v>70048657</v>
      </c>
      <c r="H1694">
        <v>4511570006</v>
      </c>
      <c r="I1694">
        <v>30</v>
      </c>
      <c r="J1694" s="29">
        <v>1</v>
      </c>
      <c r="K1694" s="29" t="s">
        <v>98</v>
      </c>
      <c r="L1694" t="str">
        <f>IFERROR(VLOOKUP(Detalle_OC[[#This Row],[Centro]]&amp;Detalle_OC[[#This Row],[Nro Almacen]],Almacen!A:D,4,FALSE),"")</f>
        <v>Montelima</v>
      </c>
    </row>
    <row r="1695" spans="1:12" x14ac:dyDescent="0.3">
      <c r="A1695" s="29" t="str">
        <f>Detalle_OC[[#This Row],[Centro]]&amp;Detalle_OC[[#This Row],[Nom Almacen]]&amp;Detalle_OC[[#This Row],[Material]]&amp;Detalle_OC[[#This Row],[Pedido]]&amp;Detalle_OC[[#This Row],[Posicion]]</f>
        <v>Sucroalcolera del Chira PlantaMontelima70079195451157000640</v>
      </c>
      <c r="B1695" t="s">
        <v>140</v>
      </c>
      <c r="C1695" t="s">
        <v>137</v>
      </c>
      <c r="D1695" s="11">
        <v>45623</v>
      </c>
      <c r="E1695" t="s">
        <v>16</v>
      </c>
      <c r="F1695" t="s">
        <v>85</v>
      </c>
      <c r="G1695">
        <v>70079195</v>
      </c>
      <c r="H1695">
        <v>4511570006</v>
      </c>
      <c r="I1695">
        <v>40</v>
      </c>
      <c r="J1695" s="29">
        <v>1</v>
      </c>
      <c r="K1695" s="29" t="s">
        <v>98</v>
      </c>
      <c r="L1695" t="str">
        <f>IFERROR(VLOOKUP(Detalle_OC[[#This Row],[Centro]]&amp;Detalle_OC[[#This Row],[Nro Almacen]],Almacen!A:D,4,FALSE),"")</f>
        <v>Montelima</v>
      </c>
    </row>
    <row r="1696" spans="1:12" x14ac:dyDescent="0.3">
      <c r="A1696" s="29" t="str">
        <f>Detalle_OC[[#This Row],[Centro]]&amp;Detalle_OC[[#This Row],[Nom Almacen]]&amp;Detalle_OC[[#This Row],[Material]]&amp;Detalle_OC[[#This Row],[Pedido]]&amp;Detalle_OC[[#This Row],[Posicion]]</f>
        <v>Agricola del Chira PlantaAlmacen Lobo718598451157001610</v>
      </c>
      <c r="B1696" t="s">
        <v>289</v>
      </c>
      <c r="C1696" t="s">
        <v>44</v>
      </c>
      <c r="D1696" s="11">
        <v>45641</v>
      </c>
      <c r="E1696" t="s">
        <v>48</v>
      </c>
      <c r="F1696" t="s">
        <v>12</v>
      </c>
      <c r="G1696">
        <v>718598</v>
      </c>
      <c r="H1696">
        <v>4511570016</v>
      </c>
      <c r="I1696">
        <v>10</v>
      </c>
      <c r="J1696" s="29">
        <v>7</v>
      </c>
      <c r="K1696" s="29" t="s">
        <v>98</v>
      </c>
      <c r="L1696" t="str">
        <f>IFERROR(VLOOKUP(Detalle_OC[[#This Row],[Centro]]&amp;Detalle_OC[[#This Row],[Nro Almacen]],Almacen!A:D,4,FALSE),"")</f>
        <v>Almacen Lobo</v>
      </c>
    </row>
    <row r="1697" spans="1:12" x14ac:dyDescent="0.3">
      <c r="A1697" s="29" t="str">
        <f>Detalle_OC[[#This Row],[Centro]]&amp;Detalle_OC[[#This Row],[Nom Almacen]]&amp;Detalle_OC[[#This Row],[Material]]&amp;Detalle_OC[[#This Row],[Pedido]]&amp;Detalle_OC[[#This Row],[Posicion]]</f>
        <v>Agricola del Chira PlantaAlmacen Lobo718604451157001620</v>
      </c>
      <c r="B1697" t="s">
        <v>289</v>
      </c>
      <c r="C1697" t="s">
        <v>44</v>
      </c>
      <c r="D1697" s="11">
        <v>45641</v>
      </c>
      <c r="E1697" t="s">
        <v>48</v>
      </c>
      <c r="F1697" t="s">
        <v>12</v>
      </c>
      <c r="G1697">
        <v>718604</v>
      </c>
      <c r="H1697">
        <v>4511570016</v>
      </c>
      <c r="I1697">
        <v>20</v>
      </c>
      <c r="J1697" s="29">
        <v>7</v>
      </c>
      <c r="K1697" s="29" t="s">
        <v>98</v>
      </c>
      <c r="L1697" t="str">
        <f>IFERROR(VLOOKUP(Detalle_OC[[#This Row],[Centro]]&amp;Detalle_OC[[#This Row],[Nro Almacen]],Almacen!A:D,4,FALSE),"")</f>
        <v>Almacen Lobo</v>
      </c>
    </row>
    <row r="1698" spans="1:12" x14ac:dyDescent="0.3">
      <c r="A1698" s="29" t="str">
        <f>Detalle_OC[[#This Row],[Centro]]&amp;Detalle_OC[[#This Row],[Nom Almacen]]&amp;Detalle_OC[[#This Row],[Material]]&amp;Detalle_OC[[#This Row],[Pedido]]&amp;Detalle_OC[[#This Row],[Posicion]]</f>
        <v>Agricola del Chira PlantaAlmacen Lobo721558451157001630</v>
      </c>
      <c r="B1698" t="s">
        <v>289</v>
      </c>
      <c r="C1698" t="s">
        <v>44</v>
      </c>
      <c r="D1698" s="11">
        <v>45641</v>
      </c>
      <c r="E1698" t="s">
        <v>48</v>
      </c>
      <c r="F1698" t="s">
        <v>12</v>
      </c>
      <c r="G1698">
        <v>721558</v>
      </c>
      <c r="H1698">
        <v>4511570016</v>
      </c>
      <c r="I1698">
        <v>30</v>
      </c>
      <c r="J1698" s="29">
        <v>7</v>
      </c>
      <c r="K1698" s="29" t="s">
        <v>98</v>
      </c>
      <c r="L1698" t="str">
        <f>IFERROR(VLOOKUP(Detalle_OC[[#This Row],[Centro]]&amp;Detalle_OC[[#This Row],[Nro Almacen]],Almacen!A:D,4,FALSE),"")</f>
        <v>Almacen Lobo</v>
      </c>
    </row>
    <row r="1699" spans="1:12" x14ac:dyDescent="0.3">
      <c r="A1699" s="29" t="str">
        <f>Detalle_OC[[#This Row],[Centro]]&amp;Detalle_OC[[#This Row],[Nom Almacen]]&amp;Detalle_OC[[#This Row],[Material]]&amp;Detalle_OC[[#This Row],[Pedido]]&amp;Detalle_OC[[#This Row],[Posicion]]</f>
        <v>Agricola del Chira PlantaAlmacen Lobo722173451157001640</v>
      </c>
      <c r="B1699" t="s">
        <v>289</v>
      </c>
      <c r="C1699" t="s">
        <v>44</v>
      </c>
      <c r="D1699" s="11">
        <v>45641</v>
      </c>
      <c r="E1699" t="s">
        <v>48</v>
      </c>
      <c r="F1699" t="s">
        <v>12</v>
      </c>
      <c r="G1699">
        <v>722173</v>
      </c>
      <c r="H1699">
        <v>4511570016</v>
      </c>
      <c r="I1699">
        <v>40</v>
      </c>
      <c r="J1699" s="29">
        <v>7</v>
      </c>
      <c r="K1699" s="29" t="s">
        <v>98</v>
      </c>
      <c r="L1699" t="str">
        <f>IFERROR(VLOOKUP(Detalle_OC[[#This Row],[Centro]]&amp;Detalle_OC[[#This Row],[Nro Almacen]],Almacen!A:D,4,FALSE),"")</f>
        <v>Almacen Lobo</v>
      </c>
    </row>
    <row r="1700" spans="1:12" x14ac:dyDescent="0.3">
      <c r="A1700" s="29" t="str">
        <f>Detalle_OC[[#This Row],[Centro]]&amp;Detalle_OC[[#This Row],[Nom Almacen]]&amp;Detalle_OC[[#This Row],[Material]]&amp;Detalle_OC[[#This Row],[Pedido]]&amp;Detalle_OC[[#This Row],[Posicion]]</f>
        <v>Agricola del Chira PlantaAlmacen Lobo733938451157001650</v>
      </c>
      <c r="B1700" t="s">
        <v>289</v>
      </c>
      <c r="C1700" t="s">
        <v>44</v>
      </c>
      <c r="D1700" s="11">
        <v>45641</v>
      </c>
      <c r="E1700" t="s">
        <v>48</v>
      </c>
      <c r="F1700" t="s">
        <v>12</v>
      </c>
      <c r="G1700">
        <v>733938</v>
      </c>
      <c r="H1700">
        <v>4511570016</v>
      </c>
      <c r="I1700">
        <v>50</v>
      </c>
      <c r="J1700" s="29">
        <v>7</v>
      </c>
      <c r="K1700" s="29" t="s">
        <v>98</v>
      </c>
      <c r="L1700" t="str">
        <f>IFERROR(VLOOKUP(Detalle_OC[[#This Row],[Centro]]&amp;Detalle_OC[[#This Row],[Nro Almacen]],Almacen!A:D,4,FALSE),"")</f>
        <v>Almacen Lobo</v>
      </c>
    </row>
    <row r="1701" spans="1:12" x14ac:dyDescent="0.3">
      <c r="A1701" s="29" t="str">
        <f>Detalle_OC[[#This Row],[Centro]]&amp;Detalle_OC[[#This Row],[Nom Almacen]]&amp;Detalle_OC[[#This Row],[Material]]&amp;Detalle_OC[[#This Row],[Pedido]]&amp;Detalle_OC[[#This Row],[Posicion]]</f>
        <v>Agricola del Chira PlantaAlmacen Lobo734321451157001660</v>
      </c>
      <c r="B1701" t="s">
        <v>289</v>
      </c>
      <c r="C1701" t="s">
        <v>44</v>
      </c>
      <c r="D1701" s="11">
        <v>45641</v>
      </c>
      <c r="E1701" t="s">
        <v>48</v>
      </c>
      <c r="F1701" t="s">
        <v>12</v>
      </c>
      <c r="G1701">
        <v>734321</v>
      </c>
      <c r="H1701">
        <v>4511570016</v>
      </c>
      <c r="I1701">
        <v>60</v>
      </c>
      <c r="J1701" s="29">
        <v>7</v>
      </c>
      <c r="K1701" s="29" t="s">
        <v>98</v>
      </c>
      <c r="L1701" t="str">
        <f>IFERROR(VLOOKUP(Detalle_OC[[#This Row],[Centro]]&amp;Detalle_OC[[#This Row],[Nro Almacen]],Almacen!A:D,4,FALSE),"")</f>
        <v>Almacen Lobo</v>
      </c>
    </row>
    <row r="1702" spans="1:12" x14ac:dyDescent="0.3">
      <c r="A1702" s="29" t="str">
        <f>Detalle_OC[[#This Row],[Centro]]&amp;Detalle_OC[[#This Row],[Nom Almacen]]&amp;Detalle_OC[[#This Row],[Material]]&amp;Detalle_OC[[#This Row],[Pedido]]&amp;Detalle_OC[[#This Row],[Posicion]]</f>
        <v>Agricola del Chira PlantaAlmacen Lobo764012451157001670</v>
      </c>
      <c r="B1702" t="s">
        <v>289</v>
      </c>
      <c r="C1702" t="s">
        <v>44</v>
      </c>
      <c r="D1702" s="11">
        <v>45641</v>
      </c>
      <c r="E1702" t="s">
        <v>48</v>
      </c>
      <c r="F1702" t="s">
        <v>12</v>
      </c>
      <c r="G1702">
        <v>764012</v>
      </c>
      <c r="H1702">
        <v>4511570016</v>
      </c>
      <c r="I1702">
        <v>70</v>
      </c>
      <c r="J1702" s="29">
        <v>7</v>
      </c>
      <c r="K1702" s="29" t="s">
        <v>98</v>
      </c>
      <c r="L1702" t="str">
        <f>IFERROR(VLOOKUP(Detalle_OC[[#This Row],[Centro]]&amp;Detalle_OC[[#This Row],[Nro Almacen]],Almacen!A:D,4,FALSE),"")</f>
        <v>Almacen Lobo</v>
      </c>
    </row>
    <row r="1703" spans="1:12" x14ac:dyDescent="0.3">
      <c r="A1703" s="29" t="str">
        <f>Detalle_OC[[#This Row],[Centro]]&amp;Detalle_OC[[#This Row],[Nom Almacen]]&amp;Detalle_OC[[#This Row],[Material]]&amp;Detalle_OC[[#This Row],[Pedido]]&amp;Detalle_OC[[#This Row],[Posicion]]</f>
        <v>Agricola del Chira PlantaAlmacen Lobo764020451157001680</v>
      </c>
      <c r="B1703" t="s">
        <v>289</v>
      </c>
      <c r="C1703" t="s">
        <v>44</v>
      </c>
      <c r="D1703" s="11">
        <v>45656</v>
      </c>
      <c r="E1703" t="s">
        <v>48</v>
      </c>
      <c r="F1703" t="s">
        <v>12</v>
      </c>
      <c r="G1703">
        <v>764020</v>
      </c>
      <c r="H1703">
        <v>4511570016</v>
      </c>
      <c r="I1703">
        <v>80</v>
      </c>
      <c r="J1703" s="29">
        <v>7</v>
      </c>
      <c r="K1703" s="29" t="s">
        <v>98</v>
      </c>
      <c r="L1703" t="str">
        <f>IFERROR(VLOOKUP(Detalle_OC[[#This Row],[Centro]]&amp;Detalle_OC[[#This Row],[Nro Almacen]],Almacen!A:D,4,FALSE),"")</f>
        <v>Almacen Lobo</v>
      </c>
    </row>
    <row r="1704" spans="1:12" x14ac:dyDescent="0.3">
      <c r="A1704" s="29" t="str">
        <f>Detalle_OC[[#This Row],[Centro]]&amp;Detalle_OC[[#This Row],[Nom Almacen]]&amp;Detalle_OC[[#This Row],[Material]]&amp;Detalle_OC[[#This Row],[Pedido]]&amp;Detalle_OC[[#This Row],[Posicion]]</f>
        <v>Agricola del Chira PlantaAlmacen Lobo70007468451157001690</v>
      </c>
      <c r="B1704" t="s">
        <v>289</v>
      </c>
      <c r="C1704" t="s">
        <v>44</v>
      </c>
      <c r="D1704" s="11">
        <v>45641</v>
      </c>
      <c r="E1704" t="s">
        <v>48</v>
      </c>
      <c r="F1704" t="s">
        <v>12</v>
      </c>
      <c r="G1704">
        <v>70007468</v>
      </c>
      <c r="H1704">
        <v>4511570016</v>
      </c>
      <c r="I1704">
        <v>90</v>
      </c>
      <c r="J1704" s="29">
        <v>7</v>
      </c>
      <c r="K1704" s="29" t="s">
        <v>98</v>
      </c>
      <c r="L1704" t="str">
        <f>IFERROR(VLOOKUP(Detalle_OC[[#This Row],[Centro]]&amp;Detalle_OC[[#This Row],[Nro Almacen]],Almacen!A:D,4,FALSE),"")</f>
        <v>Almacen Lobo</v>
      </c>
    </row>
    <row r="1705" spans="1:12" x14ac:dyDescent="0.3">
      <c r="A1705" s="29" t="str">
        <f>Detalle_OC[[#This Row],[Centro]]&amp;Detalle_OC[[#This Row],[Nom Almacen]]&amp;Detalle_OC[[#This Row],[Material]]&amp;Detalle_OC[[#This Row],[Pedido]]&amp;Detalle_OC[[#This Row],[Posicion]]</f>
        <v>Agricola del Chira PlantaMontelima7027125500024901280</v>
      </c>
      <c r="B1705" t="s">
        <v>28</v>
      </c>
      <c r="C1705" t="s">
        <v>84</v>
      </c>
      <c r="D1705" s="11">
        <v>45616</v>
      </c>
      <c r="E1705" t="s">
        <v>16</v>
      </c>
      <c r="F1705" t="s">
        <v>12</v>
      </c>
      <c r="G1705">
        <v>702712</v>
      </c>
      <c r="H1705">
        <v>5500024901</v>
      </c>
      <c r="I1705">
        <v>280</v>
      </c>
      <c r="J1705" s="29">
        <v>1</v>
      </c>
      <c r="K1705" s="29" t="s">
        <v>98</v>
      </c>
      <c r="L1705" t="str">
        <f>IFERROR(VLOOKUP(Detalle_OC[[#This Row],[Centro]]&amp;Detalle_OC[[#This Row],[Nro Almacen]],Almacen!A:D,4,FALSE),"")</f>
        <v>Montelima</v>
      </c>
    </row>
    <row r="1706" spans="1:12" x14ac:dyDescent="0.3">
      <c r="A1706" s="29" t="str">
        <f>Detalle_OC[[#This Row],[Centro]]&amp;Detalle_OC[[#This Row],[Nom Almacen]]&amp;Detalle_OC[[#This Row],[Material]]&amp;Detalle_OC[[#This Row],[Pedido]]&amp;Detalle_OC[[#This Row],[Posicion]]</f>
        <v>Sucroalcolera del Chira PlantaMontelima721708451156975810</v>
      </c>
      <c r="B1706" t="s">
        <v>138</v>
      </c>
      <c r="C1706" t="s">
        <v>24</v>
      </c>
      <c r="D1706" s="11">
        <v>45628</v>
      </c>
      <c r="E1706" t="s">
        <v>16</v>
      </c>
      <c r="F1706" t="s">
        <v>85</v>
      </c>
      <c r="G1706">
        <v>721708</v>
      </c>
      <c r="H1706">
        <v>4511569758</v>
      </c>
      <c r="I1706">
        <v>10</v>
      </c>
      <c r="J1706" s="29">
        <v>1</v>
      </c>
      <c r="K1706" s="29" t="s">
        <v>99</v>
      </c>
      <c r="L1706" t="str">
        <f>IFERROR(VLOOKUP(Detalle_OC[[#This Row],[Centro]]&amp;Detalle_OC[[#This Row],[Nro Almacen]],Almacen!A:D,4,FALSE),"")</f>
        <v>Montelima</v>
      </c>
    </row>
    <row r="1707" spans="1:12" x14ac:dyDescent="0.3">
      <c r="A1707" s="29" t="str">
        <f>Detalle_OC[[#This Row],[Centro]]&amp;Detalle_OC[[#This Row],[Nom Almacen]]&amp;Detalle_OC[[#This Row],[Material]]&amp;Detalle_OC[[#This Row],[Pedido]]&amp;Detalle_OC[[#This Row],[Posicion]]</f>
        <v>Sucroalcolera del Chira PlantaMontelima730463451156976310</v>
      </c>
      <c r="B1707" t="s">
        <v>151</v>
      </c>
      <c r="C1707" t="s">
        <v>1186</v>
      </c>
      <c r="D1707" s="11">
        <v>45611</v>
      </c>
      <c r="E1707" t="s">
        <v>51</v>
      </c>
      <c r="F1707" t="s">
        <v>85</v>
      </c>
      <c r="G1707">
        <v>730463</v>
      </c>
      <c r="H1707">
        <v>4511569763</v>
      </c>
      <c r="I1707">
        <v>10</v>
      </c>
      <c r="J1707" s="29">
        <v>1</v>
      </c>
      <c r="K1707" s="29" t="s">
        <v>99</v>
      </c>
      <c r="L1707" t="str">
        <f>IFERROR(VLOOKUP(Detalle_OC[[#This Row],[Centro]]&amp;Detalle_OC[[#This Row],[Nro Almacen]],Almacen!A:D,4,FALSE),"")</f>
        <v>Montelima</v>
      </c>
    </row>
    <row r="1708" spans="1:12" x14ac:dyDescent="0.3">
      <c r="A1708" s="29" t="str">
        <f>Detalle_OC[[#This Row],[Centro]]&amp;Detalle_OC[[#This Row],[Nom Almacen]]&amp;Detalle_OC[[#This Row],[Material]]&amp;Detalle_OC[[#This Row],[Pedido]]&amp;Detalle_OC[[#This Row],[Posicion]]</f>
        <v>Agricola del Chira PlantaMontelima70073658451156980310</v>
      </c>
      <c r="B1708" t="s">
        <v>149</v>
      </c>
      <c r="C1708" t="s">
        <v>216</v>
      </c>
      <c r="D1708" s="11">
        <v>45621</v>
      </c>
      <c r="E1708" t="s">
        <v>16</v>
      </c>
      <c r="F1708" t="s">
        <v>12</v>
      </c>
      <c r="G1708">
        <v>70073658</v>
      </c>
      <c r="H1708">
        <v>4511569803</v>
      </c>
      <c r="I1708">
        <v>10</v>
      </c>
      <c r="J1708" s="29">
        <v>1</v>
      </c>
      <c r="K1708" s="29" t="s">
        <v>99</v>
      </c>
      <c r="L1708" t="str">
        <f>IFERROR(VLOOKUP(Detalle_OC[[#This Row],[Centro]]&amp;Detalle_OC[[#This Row],[Nro Almacen]],Almacen!A:D,4,FALSE),"")</f>
        <v>Montelima</v>
      </c>
    </row>
    <row r="1709" spans="1:12" x14ac:dyDescent="0.3">
      <c r="A1709" s="29" t="str">
        <f>Detalle_OC[[#This Row],[Centro]]&amp;Detalle_OC[[#This Row],[Nom Almacen]]&amp;Detalle_OC[[#This Row],[Material]]&amp;Detalle_OC[[#This Row],[Pedido]]&amp;Detalle_OC[[#This Row],[Posicion]]</f>
        <v>Agricola del Chira PlantaAlmacen Lobo801637451156980320</v>
      </c>
      <c r="B1709" t="s">
        <v>149</v>
      </c>
      <c r="C1709" t="s">
        <v>216</v>
      </c>
      <c r="D1709" s="11">
        <v>45621</v>
      </c>
      <c r="E1709" t="s">
        <v>16</v>
      </c>
      <c r="F1709" t="s">
        <v>12</v>
      </c>
      <c r="G1709">
        <v>801637</v>
      </c>
      <c r="H1709">
        <v>4511569803</v>
      </c>
      <c r="I1709">
        <v>20</v>
      </c>
      <c r="J1709" s="29">
        <v>7</v>
      </c>
      <c r="K1709" s="29" t="s">
        <v>99</v>
      </c>
      <c r="L1709" t="str">
        <f>IFERROR(VLOOKUP(Detalle_OC[[#This Row],[Centro]]&amp;Detalle_OC[[#This Row],[Nro Almacen]],Almacen!A:D,4,FALSE),"")</f>
        <v>Almacen Lobo</v>
      </c>
    </row>
    <row r="1710" spans="1:12" x14ac:dyDescent="0.3">
      <c r="A1710" s="29" t="str">
        <f>Detalle_OC[[#This Row],[Centro]]&amp;Detalle_OC[[#This Row],[Nom Almacen]]&amp;Detalle_OC[[#This Row],[Material]]&amp;Detalle_OC[[#This Row],[Pedido]]&amp;Detalle_OC[[#This Row],[Posicion]]</f>
        <v>Sucroalcolera del Chira PlantaMontelima835467451156981110</v>
      </c>
      <c r="B1710" t="s">
        <v>138</v>
      </c>
      <c r="C1710" t="s">
        <v>1187</v>
      </c>
      <c r="D1710" s="11">
        <v>45656</v>
      </c>
      <c r="E1710" t="s">
        <v>16</v>
      </c>
      <c r="F1710" t="s">
        <v>85</v>
      </c>
      <c r="G1710">
        <v>835467</v>
      </c>
      <c r="H1710">
        <v>4511569811</v>
      </c>
      <c r="I1710">
        <v>10</v>
      </c>
      <c r="J1710" s="29">
        <v>1</v>
      </c>
      <c r="K1710" s="29" t="s">
        <v>99</v>
      </c>
      <c r="L1710" t="str">
        <f>IFERROR(VLOOKUP(Detalle_OC[[#This Row],[Centro]]&amp;Detalle_OC[[#This Row],[Nro Almacen]],Almacen!A:D,4,FALSE),"")</f>
        <v>Montelima</v>
      </c>
    </row>
    <row r="1711" spans="1:12" x14ac:dyDescent="0.3">
      <c r="A1711" s="29" t="str">
        <f>Detalle_OC[[#This Row],[Centro]]&amp;Detalle_OC[[#This Row],[Nom Almacen]]&amp;Detalle_OC[[#This Row],[Material]]&amp;Detalle_OC[[#This Row],[Pedido]]&amp;Detalle_OC[[#This Row],[Posicion]]</f>
        <v>Sucroalcolera del Chira PlantaMontelima70019157451156981310</v>
      </c>
      <c r="B1711" t="s">
        <v>138</v>
      </c>
      <c r="C1711" t="s">
        <v>293</v>
      </c>
      <c r="D1711" s="11">
        <v>45621</v>
      </c>
      <c r="E1711" t="s">
        <v>16</v>
      </c>
      <c r="F1711" t="s">
        <v>85</v>
      </c>
      <c r="G1711">
        <v>70019157</v>
      </c>
      <c r="H1711">
        <v>4511569813</v>
      </c>
      <c r="I1711">
        <v>10</v>
      </c>
      <c r="J1711" s="29">
        <v>1</v>
      </c>
      <c r="K1711" s="29" t="s">
        <v>99</v>
      </c>
      <c r="L1711" t="str">
        <f>IFERROR(VLOOKUP(Detalle_OC[[#This Row],[Centro]]&amp;Detalle_OC[[#This Row],[Nro Almacen]],Almacen!A:D,4,FALSE),"")</f>
        <v>Montelima</v>
      </c>
    </row>
    <row r="1712" spans="1:12" x14ac:dyDescent="0.3">
      <c r="A1712" s="29" t="str">
        <f>Detalle_OC[[#This Row],[Centro]]&amp;Detalle_OC[[#This Row],[Nom Almacen]]&amp;Detalle_OC[[#This Row],[Material]]&amp;Detalle_OC[[#This Row],[Pedido]]&amp;Detalle_OC[[#This Row],[Posicion]]</f>
        <v>Sucroalcolera del Chira PlantaMontelima70019159451156981320</v>
      </c>
      <c r="B1712" t="s">
        <v>138</v>
      </c>
      <c r="C1712" t="s">
        <v>293</v>
      </c>
      <c r="D1712" s="11">
        <v>45621</v>
      </c>
      <c r="E1712" t="s">
        <v>16</v>
      </c>
      <c r="F1712" t="s">
        <v>85</v>
      </c>
      <c r="G1712">
        <v>70019159</v>
      </c>
      <c r="H1712">
        <v>4511569813</v>
      </c>
      <c r="I1712">
        <v>20</v>
      </c>
      <c r="J1712" s="29">
        <v>1</v>
      </c>
      <c r="K1712" s="29" t="s">
        <v>99</v>
      </c>
      <c r="L1712" t="str">
        <f>IFERROR(VLOOKUP(Detalle_OC[[#This Row],[Centro]]&amp;Detalle_OC[[#This Row],[Nro Almacen]],Almacen!A:D,4,FALSE),"")</f>
        <v>Montelima</v>
      </c>
    </row>
    <row r="1713" spans="1:12" x14ac:dyDescent="0.3">
      <c r="A1713" s="29" t="str">
        <f>Detalle_OC[[#This Row],[Centro]]&amp;Detalle_OC[[#This Row],[Nom Almacen]]&amp;Detalle_OC[[#This Row],[Material]]&amp;Detalle_OC[[#This Row],[Pedido]]&amp;Detalle_OC[[#This Row],[Posicion]]</f>
        <v>Sucroalcolera del Chira PlantaMontelima70087898451156981330</v>
      </c>
      <c r="B1713" t="s">
        <v>138</v>
      </c>
      <c r="C1713" t="s">
        <v>293</v>
      </c>
      <c r="D1713" s="11">
        <v>45621</v>
      </c>
      <c r="E1713" t="s">
        <v>16</v>
      </c>
      <c r="F1713" t="s">
        <v>85</v>
      </c>
      <c r="G1713">
        <v>70087898</v>
      </c>
      <c r="H1713">
        <v>4511569813</v>
      </c>
      <c r="I1713">
        <v>30</v>
      </c>
      <c r="J1713" s="29">
        <v>1</v>
      </c>
      <c r="K1713" s="29" t="s">
        <v>99</v>
      </c>
      <c r="L1713" t="str">
        <f>IFERROR(VLOOKUP(Detalle_OC[[#This Row],[Centro]]&amp;Detalle_OC[[#This Row],[Nro Almacen]],Almacen!A:D,4,FALSE),"")</f>
        <v>Montelima</v>
      </c>
    </row>
    <row r="1714" spans="1:12" x14ac:dyDescent="0.3">
      <c r="A1714" s="29" t="str">
        <f>Detalle_OC[[#This Row],[Centro]]&amp;Detalle_OC[[#This Row],[Nom Almacen]]&amp;Detalle_OC[[#This Row],[Material]]&amp;Detalle_OC[[#This Row],[Pedido]]&amp;Detalle_OC[[#This Row],[Posicion]]</f>
        <v>Agricola del Chira PlantaAlmacen Lobo70127133451156985410</v>
      </c>
      <c r="B1714" t="s">
        <v>26</v>
      </c>
      <c r="C1714" t="s">
        <v>1188</v>
      </c>
      <c r="D1714" s="11">
        <v>45667</v>
      </c>
      <c r="E1714" t="s">
        <v>16</v>
      </c>
      <c r="F1714" t="s">
        <v>12</v>
      </c>
      <c r="G1714">
        <v>70127133</v>
      </c>
      <c r="H1714">
        <v>4511569854</v>
      </c>
      <c r="I1714">
        <v>10</v>
      </c>
      <c r="J1714" s="29">
        <v>7</v>
      </c>
      <c r="K1714" s="29" t="s">
        <v>99</v>
      </c>
      <c r="L1714" t="str">
        <f>IFERROR(VLOOKUP(Detalle_OC[[#This Row],[Centro]]&amp;Detalle_OC[[#This Row],[Nro Almacen]],Almacen!A:D,4,FALSE),"")</f>
        <v>Almacen Lobo</v>
      </c>
    </row>
    <row r="1715" spans="1:12" x14ac:dyDescent="0.3">
      <c r="A1715" s="29" t="str">
        <f>Detalle_OC[[#This Row],[Centro]]&amp;Detalle_OC[[#This Row],[Nom Almacen]]&amp;Detalle_OC[[#This Row],[Material]]&amp;Detalle_OC[[#This Row],[Pedido]]&amp;Detalle_OC[[#This Row],[Posicion]]</f>
        <v>Agricola del Chira PlantaMontelima788808451156986110</v>
      </c>
      <c r="B1715" t="s">
        <v>149</v>
      </c>
      <c r="C1715" t="s">
        <v>82</v>
      </c>
      <c r="D1715" s="11">
        <v>45635</v>
      </c>
      <c r="E1715" t="s">
        <v>16</v>
      </c>
      <c r="F1715" t="s">
        <v>12</v>
      </c>
      <c r="G1715">
        <v>788808</v>
      </c>
      <c r="H1715">
        <v>4511569861</v>
      </c>
      <c r="I1715">
        <v>10</v>
      </c>
      <c r="J1715" s="29">
        <v>1</v>
      </c>
      <c r="K1715" s="29" t="s">
        <v>99</v>
      </c>
      <c r="L1715" t="str">
        <f>IFERROR(VLOOKUP(Detalle_OC[[#This Row],[Centro]]&amp;Detalle_OC[[#This Row],[Nro Almacen]],Almacen!A:D,4,FALSE),"")</f>
        <v>Montelima</v>
      </c>
    </row>
    <row r="1716" spans="1:12" x14ac:dyDescent="0.3">
      <c r="A1716" s="29" t="str">
        <f>Detalle_OC[[#This Row],[Centro]]&amp;Detalle_OC[[#This Row],[Nom Almacen]]&amp;Detalle_OC[[#This Row],[Material]]&amp;Detalle_OC[[#This Row],[Pedido]]&amp;Detalle_OC[[#This Row],[Posicion]]</f>
        <v>Agricola del Chira PlantaMontelima70034216451156986120</v>
      </c>
      <c r="B1716" t="s">
        <v>149</v>
      </c>
      <c r="C1716" t="s">
        <v>82</v>
      </c>
      <c r="D1716" s="11">
        <v>45635</v>
      </c>
      <c r="E1716" t="s">
        <v>16</v>
      </c>
      <c r="F1716" t="s">
        <v>12</v>
      </c>
      <c r="G1716">
        <v>70034216</v>
      </c>
      <c r="H1716">
        <v>4511569861</v>
      </c>
      <c r="I1716">
        <v>20</v>
      </c>
      <c r="J1716" s="29">
        <v>1</v>
      </c>
      <c r="K1716" s="29" t="s">
        <v>99</v>
      </c>
      <c r="L1716" t="str">
        <f>IFERROR(VLOOKUP(Detalle_OC[[#This Row],[Centro]]&amp;Detalle_OC[[#This Row],[Nro Almacen]],Almacen!A:D,4,FALSE),"")</f>
        <v>Montelima</v>
      </c>
    </row>
    <row r="1717" spans="1:12" x14ac:dyDescent="0.3">
      <c r="A1717" s="29" t="str">
        <f>Detalle_OC[[#This Row],[Centro]]&amp;Detalle_OC[[#This Row],[Nom Almacen]]&amp;Detalle_OC[[#This Row],[Material]]&amp;Detalle_OC[[#This Row],[Pedido]]&amp;Detalle_OC[[#This Row],[Posicion]]</f>
        <v>Agricola del Chira PlantaMontelima70041628451156986140</v>
      </c>
      <c r="B1717" t="s">
        <v>149</v>
      </c>
      <c r="C1717" t="s">
        <v>82</v>
      </c>
      <c r="D1717" s="11">
        <v>45635</v>
      </c>
      <c r="E1717" t="s">
        <v>16</v>
      </c>
      <c r="F1717" t="s">
        <v>12</v>
      </c>
      <c r="G1717">
        <v>70041628</v>
      </c>
      <c r="H1717">
        <v>4511569861</v>
      </c>
      <c r="I1717">
        <v>40</v>
      </c>
      <c r="J1717" s="29">
        <v>1</v>
      </c>
      <c r="K1717" s="29" t="s">
        <v>99</v>
      </c>
      <c r="L1717" t="str">
        <f>IFERROR(VLOOKUP(Detalle_OC[[#This Row],[Centro]]&amp;Detalle_OC[[#This Row],[Nro Almacen]],Almacen!A:D,4,FALSE),"")</f>
        <v>Montelima</v>
      </c>
    </row>
    <row r="1718" spans="1:12" x14ac:dyDescent="0.3">
      <c r="A1718" s="29" t="str">
        <f>Detalle_OC[[#This Row],[Centro]]&amp;Detalle_OC[[#This Row],[Nom Almacen]]&amp;Detalle_OC[[#This Row],[Material]]&amp;Detalle_OC[[#This Row],[Pedido]]&amp;Detalle_OC[[#This Row],[Posicion]]</f>
        <v>Agricola del Chira PlantaMontelima70044320451156986150</v>
      </c>
      <c r="B1718" t="s">
        <v>149</v>
      </c>
      <c r="C1718" t="s">
        <v>82</v>
      </c>
      <c r="D1718" s="11">
        <v>45635</v>
      </c>
      <c r="E1718" t="s">
        <v>16</v>
      </c>
      <c r="F1718" t="s">
        <v>12</v>
      </c>
      <c r="G1718">
        <v>70044320</v>
      </c>
      <c r="H1718">
        <v>4511569861</v>
      </c>
      <c r="I1718">
        <v>50</v>
      </c>
      <c r="J1718" s="29">
        <v>1</v>
      </c>
      <c r="K1718" s="29" t="s">
        <v>99</v>
      </c>
      <c r="L1718" t="str">
        <f>IFERROR(VLOOKUP(Detalle_OC[[#This Row],[Centro]]&amp;Detalle_OC[[#This Row],[Nro Almacen]],Almacen!A:D,4,FALSE),"")</f>
        <v>Montelima</v>
      </c>
    </row>
    <row r="1719" spans="1:12" x14ac:dyDescent="0.3">
      <c r="A1719" s="29" t="str">
        <f>Detalle_OC[[#This Row],[Centro]]&amp;Detalle_OC[[#This Row],[Nom Almacen]]&amp;Detalle_OC[[#This Row],[Material]]&amp;Detalle_OC[[#This Row],[Pedido]]&amp;Detalle_OC[[#This Row],[Posicion]]</f>
        <v>Agricola del Chira PlantaMontelima883114451156986610</v>
      </c>
      <c r="B1719" t="s">
        <v>1118</v>
      </c>
      <c r="C1719" t="s">
        <v>1117</v>
      </c>
      <c r="D1719" s="11">
        <v>45618</v>
      </c>
      <c r="E1719" t="b">
        <v>0</v>
      </c>
      <c r="F1719" t="s">
        <v>12</v>
      </c>
      <c r="G1719">
        <v>883114</v>
      </c>
      <c r="H1719">
        <v>4511569866</v>
      </c>
      <c r="I1719">
        <v>10</v>
      </c>
      <c r="J1719" s="29">
        <v>1</v>
      </c>
      <c r="K1719" s="29" t="s">
        <v>99</v>
      </c>
      <c r="L1719" t="str">
        <f>IFERROR(VLOOKUP(Detalle_OC[[#This Row],[Centro]]&amp;Detalle_OC[[#This Row],[Nro Almacen]],Almacen!A:D,4,FALSE),"")</f>
        <v>Montelima</v>
      </c>
    </row>
    <row r="1720" spans="1:12" x14ac:dyDescent="0.3">
      <c r="A1720" s="29" t="str">
        <f>Detalle_OC[[#This Row],[Centro]]&amp;Detalle_OC[[#This Row],[Nom Almacen]]&amp;Detalle_OC[[#This Row],[Material]]&amp;Detalle_OC[[#This Row],[Pedido]]&amp;Detalle_OC[[#This Row],[Posicion]]</f>
        <v>Agricola del Chira PlantaMontelima741900451156986620</v>
      </c>
      <c r="B1720" t="s">
        <v>1118</v>
      </c>
      <c r="C1720" t="s">
        <v>1117</v>
      </c>
      <c r="D1720" s="11">
        <v>45618</v>
      </c>
      <c r="E1720" t="b">
        <v>0</v>
      </c>
      <c r="F1720" t="s">
        <v>12</v>
      </c>
      <c r="G1720">
        <v>741900</v>
      </c>
      <c r="H1720">
        <v>4511569866</v>
      </c>
      <c r="I1720">
        <v>20</v>
      </c>
      <c r="J1720" s="29">
        <v>1</v>
      </c>
      <c r="K1720" s="29" t="s">
        <v>99</v>
      </c>
      <c r="L1720" t="str">
        <f>IFERROR(VLOOKUP(Detalle_OC[[#This Row],[Centro]]&amp;Detalle_OC[[#This Row],[Nro Almacen]],Almacen!A:D,4,FALSE),"")</f>
        <v>Montelima</v>
      </c>
    </row>
    <row r="1721" spans="1:12" x14ac:dyDescent="0.3">
      <c r="A1721" s="29" t="str">
        <f>Detalle_OC[[#This Row],[Centro]]&amp;Detalle_OC[[#This Row],[Nom Almacen]]&amp;Detalle_OC[[#This Row],[Material]]&amp;Detalle_OC[[#This Row],[Pedido]]&amp;Detalle_OC[[#This Row],[Posicion]]</f>
        <v>Agricola del Chira PlantaMontelima871464451156986630</v>
      </c>
      <c r="B1721" t="s">
        <v>1118</v>
      </c>
      <c r="C1721" t="s">
        <v>1117</v>
      </c>
      <c r="D1721" s="11">
        <v>45618</v>
      </c>
      <c r="E1721" t="b">
        <v>0</v>
      </c>
      <c r="F1721" t="s">
        <v>12</v>
      </c>
      <c r="G1721">
        <v>871464</v>
      </c>
      <c r="H1721">
        <v>4511569866</v>
      </c>
      <c r="I1721">
        <v>30</v>
      </c>
      <c r="J1721" s="29">
        <v>1</v>
      </c>
      <c r="K1721" s="29" t="s">
        <v>99</v>
      </c>
      <c r="L1721" t="str">
        <f>IFERROR(VLOOKUP(Detalle_OC[[#This Row],[Centro]]&amp;Detalle_OC[[#This Row],[Nro Almacen]],Almacen!A:D,4,FALSE),"")</f>
        <v>Montelima</v>
      </c>
    </row>
    <row r="1722" spans="1:12" x14ac:dyDescent="0.3">
      <c r="A1722" s="29" t="str">
        <f>Detalle_OC[[#This Row],[Centro]]&amp;Detalle_OC[[#This Row],[Nom Almacen]]&amp;Detalle_OC[[#This Row],[Material]]&amp;Detalle_OC[[#This Row],[Pedido]]&amp;Detalle_OC[[#This Row],[Posicion]]</f>
        <v>Agricola del Chira PlantaMontelima70134984451156986710</v>
      </c>
      <c r="B1722" t="s">
        <v>149</v>
      </c>
      <c r="C1722" t="s">
        <v>166</v>
      </c>
      <c r="D1722" s="11">
        <v>45639</v>
      </c>
      <c r="E1722" t="s">
        <v>16</v>
      </c>
      <c r="F1722" t="s">
        <v>12</v>
      </c>
      <c r="G1722">
        <v>70134984</v>
      </c>
      <c r="H1722">
        <v>4511569867</v>
      </c>
      <c r="I1722">
        <v>10</v>
      </c>
      <c r="J1722" s="29">
        <v>1</v>
      </c>
      <c r="K1722" s="29" t="s">
        <v>99</v>
      </c>
      <c r="L1722" t="str">
        <f>IFERROR(VLOOKUP(Detalle_OC[[#This Row],[Centro]]&amp;Detalle_OC[[#This Row],[Nro Almacen]],Almacen!A:D,4,FALSE),"")</f>
        <v>Montelima</v>
      </c>
    </row>
    <row r="1723" spans="1:12" x14ac:dyDescent="0.3">
      <c r="A1723" s="29" t="str">
        <f>Detalle_OC[[#This Row],[Centro]]&amp;Detalle_OC[[#This Row],[Nom Almacen]]&amp;Detalle_OC[[#This Row],[Material]]&amp;Detalle_OC[[#This Row],[Pedido]]&amp;Detalle_OC[[#This Row],[Posicion]]</f>
        <v>Agricola del Chira PlantaMontelima758374451156986720</v>
      </c>
      <c r="B1723" t="s">
        <v>149</v>
      </c>
      <c r="C1723" t="s">
        <v>166</v>
      </c>
      <c r="D1723" s="11">
        <v>45618</v>
      </c>
      <c r="E1723" t="s">
        <v>16</v>
      </c>
      <c r="F1723" t="s">
        <v>12</v>
      </c>
      <c r="G1723">
        <v>758374</v>
      </c>
      <c r="H1723">
        <v>4511569867</v>
      </c>
      <c r="I1723">
        <v>20</v>
      </c>
      <c r="J1723" s="29">
        <v>1</v>
      </c>
      <c r="K1723" s="29" t="s">
        <v>99</v>
      </c>
      <c r="L1723" t="str">
        <f>IFERROR(VLOOKUP(Detalle_OC[[#This Row],[Centro]]&amp;Detalle_OC[[#This Row],[Nro Almacen]],Almacen!A:D,4,FALSE),"")</f>
        <v>Montelima</v>
      </c>
    </row>
    <row r="1724" spans="1:12" x14ac:dyDescent="0.3">
      <c r="A1724" s="29" t="str">
        <f>Detalle_OC[[#This Row],[Centro]]&amp;Detalle_OC[[#This Row],[Nom Almacen]]&amp;Detalle_OC[[#This Row],[Material]]&amp;Detalle_OC[[#This Row],[Pedido]]&amp;Detalle_OC[[#This Row],[Posicion]]</f>
        <v>Agricola del Chira PlantaMontelima813002451156986730</v>
      </c>
      <c r="B1724" t="s">
        <v>149</v>
      </c>
      <c r="C1724" t="s">
        <v>166</v>
      </c>
      <c r="D1724" s="11">
        <v>45618</v>
      </c>
      <c r="E1724" t="s">
        <v>16</v>
      </c>
      <c r="F1724" t="s">
        <v>12</v>
      </c>
      <c r="G1724">
        <v>813002</v>
      </c>
      <c r="H1724">
        <v>4511569867</v>
      </c>
      <c r="I1724">
        <v>30</v>
      </c>
      <c r="J1724" s="29">
        <v>1</v>
      </c>
      <c r="K1724" s="29" t="s">
        <v>99</v>
      </c>
      <c r="L1724" t="str">
        <f>IFERROR(VLOOKUP(Detalle_OC[[#This Row],[Centro]]&amp;Detalle_OC[[#This Row],[Nro Almacen]],Almacen!A:D,4,FALSE),"")</f>
        <v>Montelima</v>
      </c>
    </row>
    <row r="1725" spans="1:12" x14ac:dyDescent="0.3">
      <c r="A1725" s="29" t="str">
        <f>Detalle_OC[[#This Row],[Centro]]&amp;Detalle_OC[[#This Row],[Nom Almacen]]&amp;Detalle_OC[[#This Row],[Material]]&amp;Detalle_OC[[#This Row],[Pedido]]&amp;Detalle_OC[[#This Row],[Posicion]]</f>
        <v>Agricola del Chira PlantaMontelima826047451156986740</v>
      </c>
      <c r="B1725" t="s">
        <v>149</v>
      </c>
      <c r="C1725" t="s">
        <v>166</v>
      </c>
      <c r="D1725" s="11">
        <v>45618</v>
      </c>
      <c r="E1725" t="s">
        <v>16</v>
      </c>
      <c r="F1725" t="s">
        <v>12</v>
      </c>
      <c r="G1725">
        <v>826047</v>
      </c>
      <c r="H1725">
        <v>4511569867</v>
      </c>
      <c r="I1725">
        <v>40</v>
      </c>
      <c r="J1725" s="29">
        <v>1</v>
      </c>
      <c r="K1725" s="29" t="s">
        <v>99</v>
      </c>
      <c r="L1725" t="str">
        <f>IFERROR(VLOOKUP(Detalle_OC[[#This Row],[Centro]]&amp;Detalle_OC[[#This Row],[Nro Almacen]],Almacen!A:D,4,FALSE),"")</f>
        <v>Montelima</v>
      </c>
    </row>
    <row r="1726" spans="1:12" x14ac:dyDescent="0.3">
      <c r="A1726" s="29" t="str">
        <f>Detalle_OC[[#This Row],[Centro]]&amp;Detalle_OC[[#This Row],[Nom Almacen]]&amp;Detalle_OC[[#This Row],[Material]]&amp;Detalle_OC[[#This Row],[Pedido]]&amp;Detalle_OC[[#This Row],[Posicion]]</f>
        <v>Agricola del Chira PlantaMontelima827400451156986750</v>
      </c>
      <c r="B1726" t="s">
        <v>149</v>
      </c>
      <c r="C1726" t="s">
        <v>166</v>
      </c>
      <c r="D1726" s="11">
        <v>45618</v>
      </c>
      <c r="E1726" t="s">
        <v>16</v>
      </c>
      <c r="F1726" t="s">
        <v>12</v>
      </c>
      <c r="G1726">
        <v>827400</v>
      </c>
      <c r="H1726">
        <v>4511569867</v>
      </c>
      <c r="I1726">
        <v>50</v>
      </c>
      <c r="J1726" s="29">
        <v>1</v>
      </c>
      <c r="K1726" s="29" t="s">
        <v>99</v>
      </c>
      <c r="L1726" t="str">
        <f>IFERROR(VLOOKUP(Detalle_OC[[#This Row],[Centro]]&amp;Detalle_OC[[#This Row],[Nro Almacen]],Almacen!A:D,4,FALSE),"")</f>
        <v>Montelima</v>
      </c>
    </row>
    <row r="1727" spans="1:12" x14ac:dyDescent="0.3">
      <c r="A1727" s="29" t="str">
        <f>Detalle_OC[[#This Row],[Centro]]&amp;Detalle_OC[[#This Row],[Nom Almacen]]&amp;Detalle_OC[[#This Row],[Material]]&amp;Detalle_OC[[#This Row],[Pedido]]&amp;Detalle_OC[[#This Row],[Posicion]]</f>
        <v>Agricola del Chira PlantaMontelima839437451156986760</v>
      </c>
      <c r="B1727" t="s">
        <v>149</v>
      </c>
      <c r="C1727" t="s">
        <v>166</v>
      </c>
      <c r="D1727" s="11">
        <v>45618</v>
      </c>
      <c r="E1727" t="s">
        <v>16</v>
      </c>
      <c r="F1727" t="s">
        <v>12</v>
      </c>
      <c r="G1727">
        <v>839437</v>
      </c>
      <c r="H1727">
        <v>4511569867</v>
      </c>
      <c r="I1727">
        <v>60</v>
      </c>
      <c r="J1727" s="29">
        <v>1</v>
      </c>
      <c r="K1727" s="29" t="s">
        <v>99</v>
      </c>
      <c r="L1727" t="str">
        <f>IFERROR(VLOOKUP(Detalle_OC[[#This Row],[Centro]]&amp;Detalle_OC[[#This Row],[Nro Almacen]],Almacen!A:D,4,FALSE),"")</f>
        <v>Montelima</v>
      </c>
    </row>
    <row r="1728" spans="1:12" x14ac:dyDescent="0.3">
      <c r="A1728" s="29" t="str">
        <f>Detalle_OC[[#This Row],[Centro]]&amp;Detalle_OC[[#This Row],[Nom Almacen]]&amp;Detalle_OC[[#This Row],[Material]]&amp;Detalle_OC[[#This Row],[Pedido]]&amp;Detalle_OC[[#This Row],[Posicion]]</f>
        <v>Agricola del Chira PlantaMontelima844631451156986770</v>
      </c>
      <c r="B1728" t="s">
        <v>149</v>
      </c>
      <c r="C1728" t="s">
        <v>166</v>
      </c>
      <c r="D1728" s="11">
        <v>45618</v>
      </c>
      <c r="E1728" t="s">
        <v>16</v>
      </c>
      <c r="F1728" t="s">
        <v>12</v>
      </c>
      <c r="G1728">
        <v>844631</v>
      </c>
      <c r="H1728">
        <v>4511569867</v>
      </c>
      <c r="I1728">
        <v>70</v>
      </c>
      <c r="J1728" s="29">
        <v>1</v>
      </c>
      <c r="K1728" s="29" t="s">
        <v>99</v>
      </c>
      <c r="L1728" t="str">
        <f>IFERROR(VLOOKUP(Detalle_OC[[#This Row],[Centro]]&amp;Detalle_OC[[#This Row],[Nro Almacen]],Almacen!A:D,4,FALSE),"")</f>
        <v>Montelima</v>
      </c>
    </row>
    <row r="1729" spans="1:12" x14ac:dyDescent="0.3">
      <c r="A1729" s="29" t="str">
        <f>Detalle_OC[[#This Row],[Centro]]&amp;Detalle_OC[[#This Row],[Nom Almacen]]&amp;Detalle_OC[[#This Row],[Material]]&amp;Detalle_OC[[#This Row],[Pedido]]&amp;Detalle_OC[[#This Row],[Posicion]]</f>
        <v>Agricola del Chira PlantaMontelima860875451156986780</v>
      </c>
      <c r="B1729" t="s">
        <v>149</v>
      </c>
      <c r="C1729" t="s">
        <v>166</v>
      </c>
      <c r="D1729" s="11">
        <v>45618</v>
      </c>
      <c r="E1729" t="s">
        <v>16</v>
      </c>
      <c r="F1729" t="s">
        <v>12</v>
      </c>
      <c r="G1729">
        <v>860875</v>
      </c>
      <c r="H1729">
        <v>4511569867</v>
      </c>
      <c r="I1729">
        <v>80</v>
      </c>
      <c r="J1729" s="29">
        <v>1</v>
      </c>
      <c r="K1729" s="29" t="s">
        <v>99</v>
      </c>
      <c r="L1729" t="str">
        <f>IFERROR(VLOOKUP(Detalle_OC[[#This Row],[Centro]]&amp;Detalle_OC[[#This Row],[Nro Almacen]],Almacen!A:D,4,FALSE),"")</f>
        <v>Montelima</v>
      </c>
    </row>
    <row r="1730" spans="1:12" x14ac:dyDescent="0.3">
      <c r="A1730" s="29" t="str">
        <f>Detalle_OC[[#This Row],[Centro]]&amp;Detalle_OC[[#This Row],[Nom Almacen]]&amp;Detalle_OC[[#This Row],[Material]]&amp;Detalle_OC[[#This Row],[Pedido]]&amp;Detalle_OC[[#This Row],[Posicion]]</f>
        <v>Agricola del Chira PlantaMontelima865281451156986790</v>
      </c>
      <c r="B1730" t="s">
        <v>149</v>
      </c>
      <c r="C1730" t="s">
        <v>166</v>
      </c>
      <c r="D1730" s="11">
        <v>45618</v>
      </c>
      <c r="E1730" t="s">
        <v>16</v>
      </c>
      <c r="F1730" t="s">
        <v>12</v>
      </c>
      <c r="G1730">
        <v>865281</v>
      </c>
      <c r="H1730">
        <v>4511569867</v>
      </c>
      <c r="I1730">
        <v>90</v>
      </c>
      <c r="J1730" s="29">
        <v>1</v>
      </c>
      <c r="K1730" s="29" t="s">
        <v>99</v>
      </c>
      <c r="L1730" t="str">
        <f>IFERROR(VLOOKUP(Detalle_OC[[#This Row],[Centro]]&amp;Detalle_OC[[#This Row],[Nro Almacen]],Almacen!A:D,4,FALSE),"")</f>
        <v>Montelima</v>
      </c>
    </row>
    <row r="1731" spans="1:12" x14ac:dyDescent="0.3">
      <c r="A1731" s="29" t="str">
        <f>Detalle_OC[[#This Row],[Centro]]&amp;Detalle_OC[[#This Row],[Nom Almacen]]&amp;Detalle_OC[[#This Row],[Material]]&amp;Detalle_OC[[#This Row],[Pedido]]&amp;Detalle_OC[[#This Row],[Posicion]]</f>
        <v>Agricola del Chira PlantaMontelima8687454511569867100</v>
      </c>
      <c r="B1731" t="s">
        <v>149</v>
      </c>
      <c r="C1731" t="s">
        <v>166</v>
      </c>
      <c r="D1731" s="11">
        <v>45635</v>
      </c>
      <c r="E1731" t="s">
        <v>16</v>
      </c>
      <c r="F1731" t="s">
        <v>12</v>
      </c>
      <c r="G1731">
        <v>868745</v>
      </c>
      <c r="H1731">
        <v>4511569867</v>
      </c>
      <c r="I1731">
        <v>100</v>
      </c>
      <c r="J1731" s="29">
        <v>1</v>
      </c>
      <c r="K1731" s="29" t="s">
        <v>99</v>
      </c>
      <c r="L1731" t="str">
        <f>IFERROR(VLOOKUP(Detalle_OC[[#This Row],[Centro]]&amp;Detalle_OC[[#This Row],[Nro Almacen]],Almacen!A:D,4,FALSE),"")</f>
        <v>Montelima</v>
      </c>
    </row>
    <row r="1732" spans="1:12" x14ac:dyDescent="0.3">
      <c r="A1732" s="29" t="str">
        <f>Detalle_OC[[#This Row],[Centro]]&amp;Detalle_OC[[#This Row],[Nom Almacen]]&amp;Detalle_OC[[#This Row],[Material]]&amp;Detalle_OC[[#This Row],[Pedido]]&amp;Detalle_OC[[#This Row],[Posicion]]</f>
        <v>Agricola del Chira PlantaMontelima8692534511569867110</v>
      </c>
      <c r="B1732" t="s">
        <v>149</v>
      </c>
      <c r="C1732" t="s">
        <v>166</v>
      </c>
      <c r="D1732" s="11">
        <v>45635</v>
      </c>
      <c r="E1732" t="s">
        <v>16</v>
      </c>
      <c r="F1732" t="s">
        <v>12</v>
      </c>
      <c r="G1732">
        <v>869253</v>
      </c>
      <c r="H1732">
        <v>4511569867</v>
      </c>
      <c r="I1732">
        <v>110</v>
      </c>
      <c r="J1732" s="29">
        <v>1</v>
      </c>
      <c r="K1732" s="29" t="s">
        <v>99</v>
      </c>
      <c r="L1732" t="str">
        <f>IFERROR(VLOOKUP(Detalle_OC[[#This Row],[Centro]]&amp;Detalle_OC[[#This Row],[Nro Almacen]],Almacen!A:D,4,FALSE),"")</f>
        <v>Montelima</v>
      </c>
    </row>
    <row r="1733" spans="1:12" x14ac:dyDescent="0.3">
      <c r="A1733" s="29" t="str">
        <f>Detalle_OC[[#This Row],[Centro]]&amp;Detalle_OC[[#This Row],[Nom Almacen]]&amp;Detalle_OC[[#This Row],[Material]]&amp;Detalle_OC[[#This Row],[Pedido]]&amp;Detalle_OC[[#This Row],[Posicion]]</f>
        <v>Agricola del Chira PlantaMontelima8856044511569867120</v>
      </c>
      <c r="B1733" t="s">
        <v>149</v>
      </c>
      <c r="C1733" t="s">
        <v>166</v>
      </c>
      <c r="D1733" s="11">
        <v>45618</v>
      </c>
      <c r="E1733" t="s">
        <v>16</v>
      </c>
      <c r="F1733" t="s">
        <v>12</v>
      </c>
      <c r="G1733">
        <v>885604</v>
      </c>
      <c r="H1733">
        <v>4511569867</v>
      </c>
      <c r="I1733">
        <v>120</v>
      </c>
      <c r="J1733" s="29">
        <v>1</v>
      </c>
      <c r="K1733" s="29" t="s">
        <v>99</v>
      </c>
      <c r="L1733" t="str">
        <f>IFERROR(VLOOKUP(Detalle_OC[[#This Row],[Centro]]&amp;Detalle_OC[[#This Row],[Nro Almacen]],Almacen!A:D,4,FALSE),"")</f>
        <v>Montelima</v>
      </c>
    </row>
    <row r="1734" spans="1:12" x14ac:dyDescent="0.3">
      <c r="A1734" s="29" t="str">
        <f>Detalle_OC[[#This Row],[Centro]]&amp;Detalle_OC[[#This Row],[Nom Almacen]]&amp;Detalle_OC[[#This Row],[Material]]&amp;Detalle_OC[[#This Row],[Pedido]]&amp;Detalle_OC[[#This Row],[Posicion]]</f>
        <v>Agricola del Chira PlantaMontelima8856434511569867130</v>
      </c>
      <c r="B1734" t="s">
        <v>149</v>
      </c>
      <c r="C1734" t="s">
        <v>166</v>
      </c>
      <c r="D1734" s="11">
        <v>45618</v>
      </c>
      <c r="E1734" t="s">
        <v>16</v>
      </c>
      <c r="F1734" t="s">
        <v>12</v>
      </c>
      <c r="G1734">
        <v>885643</v>
      </c>
      <c r="H1734">
        <v>4511569867</v>
      </c>
      <c r="I1734">
        <v>130</v>
      </c>
      <c r="J1734" s="29">
        <v>1</v>
      </c>
      <c r="K1734" s="29" t="s">
        <v>99</v>
      </c>
      <c r="L1734" t="str">
        <f>IFERROR(VLOOKUP(Detalle_OC[[#This Row],[Centro]]&amp;Detalle_OC[[#This Row],[Nro Almacen]],Almacen!A:D,4,FALSE),"")</f>
        <v>Montelima</v>
      </c>
    </row>
    <row r="1735" spans="1:12" x14ac:dyDescent="0.3">
      <c r="A1735" s="29" t="str">
        <f>Detalle_OC[[#This Row],[Centro]]&amp;Detalle_OC[[#This Row],[Nom Almacen]]&amp;Detalle_OC[[#This Row],[Material]]&amp;Detalle_OC[[#This Row],[Pedido]]&amp;Detalle_OC[[#This Row],[Posicion]]</f>
        <v>Agricola del Chira PlantaMontelima8951004511569867140</v>
      </c>
      <c r="B1735" t="s">
        <v>149</v>
      </c>
      <c r="C1735" t="s">
        <v>166</v>
      </c>
      <c r="D1735" s="11">
        <v>45618</v>
      </c>
      <c r="E1735" t="s">
        <v>16</v>
      </c>
      <c r="F1735" t="s">
        <v>12</v>
      </c>
      <c r="G1735">
        <v>895100</v>
      </c>
      <c r="H1735">
        <v>4511569867</v>
      </c>
      <c r="I1735">
        <v>140</v>
      </c>
      <c r="J1735" s="29">
        <v>1</v>
      </c>
      <c r="K1735" s="29" t="s">
        <v>99</v>
      </c>
      <c r="L1735" t="str">
        <f>IFERROR(VLOOKUP(Detalle_OC[[#This Row],[Centro]]&amp;Detalle_OC[[#This Row],[Nro Almacen]],Almacen!A:D,4,FALSE),"")</f>
        <v>Montelima</v>
      </c>
    </row>
    <row r="1736" spans="1:12" x14ac:dyDescent="0.3">
      <c r="A1736" s="29" t="str">
        <f>Detalle_OC[[#This Row],[Centro]]&amp;Detalle_OC[[#This Row],[Nom Almacen]]&amp;Detalle_OC[[#This Row],[Material]]&amp;Detalle_OC[[#This Row],[Pedido]]&amp;Detalle_OC[[#This Row],[Posicion]]</f>
        <v>Agricola del Chira PlantaMontelima700027054511569867150</v>
      </c>
      <c r="B1736" t="s">
        <v>149</v>
      </c>
      <c r="C1736" t="s">
        <v>166</v>
      </c>
      <c r="D1736" s="11">
        <v>45618</v>
      </c>
      <c r="E1736" t="s">
        <v>16</v>
      </c>
      <c r="F1736" t="s">
        <v>12</v>
      </c>
      <c r="G1736">
        <v>70002705</v>
      </c>
      <c r="H1736">
        <v>4511569867</v>
      </c>
      <c r="I1736">
        <v>150</v>
      </c>
      <c r="J1736" s="29">
        <v>1</v>
      </c>
      <c r="K1736" s="29" t="s">
        <v>99</v>
      </c>
      <c r="L1736" t="str">
        <f>IFERROR(VLOOKUP(Detalle_OC[[#This Row],[Centro]]&amp;Detalle_OC[[#This Row],[Nro Almacen]],Almacen!A:D,4,FALSE),"")</f>
        <v>Montelima</v>
      </c>
    </row>
    <row r="1737" spans="1:12" x14ac:dyDescent="0.3">
      <c r="A1737" s="29" t="str">
        <f>Detalle_OC[[#This Row],[Centro]]&amp;Detalle_OC[[#This Row],[Nom Almacen]]&amp;Detalle_OC[[#This Row],[Material]]&amp;Detalle_OC[[#This Row],[Pedido]]&amp;Detalle_OC[[#This Row],[Posicion]]</f>
        <v>Agricola del Chira PlantaMontelima700030844511569867160</v>
      </c>
      <c r="B1737" t="s">
        <v>149</v>
      </c>
      <c r="C1737" t="s">
        <v>166</v>
      </c>
      <c r="D1737" s="11">
        <v>45618</v>
      </c>
      <c r="E1737" t="s">
        <v>16</v>
      </c>
      <c r="F1737" t="s">
        <v>12</v>
      </c>
      <c r="G1737">
        <v>70003084</v>
      </c>
      <c r="H1737">
        <v>4511569867</v>
      </c>
      <c r="I1737">
        <v>160</v>
      </c>
      <c r="J1737" s="29">
        <v>1</v>
      </c>
      <c r="K1737" s="29" t="s">
        <v>99</v>
      </c>
      <c r="L1737" t="str">
        <f>IFERROR(VLOOKUP(Detalle_OC[[#This Row],[Centro]]&amp;Detalle_OC[[#This Row],[Nro Almacen]],Almacen!A:D,4,FALSE),"")</f>
        <v>Montelima</v>
      </c>
    </row>
    <row r="1738" spans="1:12" x14ac:dyDescent="0.3">
      <c r="A1738" s="29" t="str">
        <f>Detalle_OC[[#This Row],[Centro]]&amp;Detalle_OC[[#This Row],[Nom Almacen]]&amp;Detalle_OC[[#This Row],[Material]]&amp;Detalle_OC[[#This Row],[Pedido]]&amp;Detalle_OC[[#This Row],[Posicion]]</f>
        <v>Agricola del Chira PlantaMontelima700061434511569867170</v>
      </c>
      <c r="B1738" t="s">
        <v>149</v>
      </c>
      <c r="C1738" t="s">
        <v>166</v>
      </c>
      <c r="D1738" s="11">
        <v>45618</v>
      </c>
      <c r="E1738" t="s">
        <v>16</v>
      </c>
      <c r="F1738" t="s">
        <v>12</v>
      </c>
      <c r="G1738">
        <v>70006143</v>
      </c>
      <c r="H1738">
        <v>4511569867</v>
      </c>
      <c r="I1738">
        <v>170</v>
      </c>
      <c r="J1738" s="29">
        <v>1</v>
      </c>
      <c r="K1738" s="29" t="s">
        <v>99</v>
      </c>
      <c r="L1738" t="str">
        <f>IFERROR(VLOOKUP(Detalle_OC[[#This Row],[Centro]]&amp;Detalle_OC[[#This Row],[Nro Almacen]],Almacen!A:D,4,FALSE),"")</f>
        <v>Montelima</v>
      </c>
    </row>
    <row r="1739" spans="1:12" x14ac:dyDescent="0.3">
      <c r="A1739" s="29" t="str">
        <f>Detalle_OC[[#This Row],[Centro]]&amp;Detalle_OC[[#This Row],[Nom Almacen]]&amp;Detalle_OC[[#This Row],[Material]]&amp;Detalle_OC[[#This Row],[Pedido]]&amp;Detalle_OC[[#This Row],[Posicion]]</f>
        <v>Agricola del Chira PlantaMontelima700061444511569867180</v>
      </c>
      <c r="B1739" t="s">
        <v>149</v>
      </c>
      <c r="C1739" t="s">
        <v>166</v>
      </c>
      <c r="D1739" s="11">
        <v>45618</v>
      </c>
      <c r="E1739" t="s">
        <v>16</v>
      </c>
      <c r="F1739" t="s">
        <v>12</v>
      </c>
      <c r="G1739">
        <v>70006144</v>
      </c>
      <c r="H1739">
        <v>4511569867</v>
      </c>
      <c r="I1739">
        <v>180</v>
      </c>
      <c r="J1739" s="29">
        <v>1</v>
      </c>
      <c r="K1739" s="29" t="s">
        <v>99</v>
      </c>
      <c r="L1739" t="str">
        <f>IFERROR(VLOOKUP(Detalle_OC[[#This Row],[Centro]]&amp;Detalle_OC[[#This Row],[Nro Almacen]],Almacen!A:D,4,FALSE),"")</f>
        <v>Montelima</v>
      </c>
    </row>
    <row r="1740" spans="1:12" x14ac:dyDescent="0.3">
      <c r="A1740" s="29" t="str">
        <f>Detalle_OC[[#This Row],[Centro]]&amp;Detalle_OC[[#This Row],[Nom Almacen]]&amp;Detalle_OC[[#This Row],[Material]]&amp;Detalle_OC[[#This Row],[Pedido]]&amp;Detalle_OC[[#This Row],[Posicion]]</f>
        <v>Agricola del Chira PlantaMontelima700061594511569867190</v>
      </c>
      <c r="B1740" t="s">
        <v>149</v>
      </c>
      <c r="C1740" t="s">
        <v>166</v>
      </c>
      <c r="D1740" s="11">
        <v>45618</v>
      </c>
      <c r="E1740" t="s">
        <v>16</v>
      </c>
      <c r="F1740" t="s">
        <v>12</v>
      </c>
      <c r="G1740">
        <v>70006159</v>
      </c>
      <c r="H1740">
        <v>4511569867</v>
      </c>
      <c r="I1740">
        <v>190</v>
      </c>
      <c r="J1740" s="29">
        <v>1</v>
      </c>
      <c r="K1740" s="29" t="s">
        <v>99</v>
      </c>
      <c r="L1740" t="str">
        <f>IFERROR(VLOOKUP(Detalle_OC[[#This Row],[Centro]]&amp;Detalle_OC[[#This Row],[Nro Almacen]],Almacen!A:D,4,FALSE),"")</f>
        <v>Montelima</v>
      </c>
    </row>
    <row r="1741" spans="1:12" x14ac:dyDescent="0.3">
      <c r="A1741" s="29" t="str">
        <f>Detalle_OC[[#This Row],[Centro]]&amp;Detalle_OC[[#This Row],[Nom Almacen]]&amp;Detalle_OC[[#This Row],[Material]]&amp;Detalle_OC[[#This Row],[Pedido]]&amp;Detalle_OC[[#This Row],[Posicion]]</f>
        <v>Agricola del Chira PlantaAlmacen Lobo700062924511569867200</v>
      </c>
      <c r="B1741" t="s">
        <v>149</v>
      </c>
      <c r="C1741" t="s">
        <v>166</v>
      </c>
      <c r="D1741" s="11">
        <v>45618</v>
      </c>
      <c r="E1741" t="s">
        <v>16</v>
      </c>
      <c r="F1741" t="s">
        <v>12</v>
      </c>
      <c r="G1741">
        <v>70006292</v>
      </c>
      <c r="H1741">
        <v>4511569867</v>
      </c>
      <c r="I1741">
        <v>200</v>
      </c>
      <c r="J1741" s="29">
        <v>7</v>
      </c>
      <c r="K1741" s="29" t="s">
        <v>99</v>
      </c>
      <c r="L1741" t="str">
        <f>IFERROR(VLOOKUP(Detalle_OC[[#This Row],[Centro]]&amp;Detalle_OC[[#This Row],[Nro Almacen]],Almacen!A:D,4,FALSE),"")</f>
        <v>Almacen Lobo</v>
      </c>
    </row>
    <row r="1742" spans="1:12" x14ac:dyDescent="0.3">
      <c r="A1742" s="29" t="str">
        <f>Detalle_OC[[#This Row],[Centro]]&amp;Detalle_OC[[#This Row],[Nom Almacen]]&amp;Detalle_OC[[#This Row],[Material]]&amp;Detalle_OC[[#This Row],[Pedido]]&amp;Detalle_OC[[#This Row],[Posicion]]</f>
        <v>Agricola del Chira PlantaMontelima700104804511569867210</v>
      </c>
      <c r="B1742" t="s">
        <v>149</v>
      </c>
      <c r="C1742" t="s">
        <v>166</v>
      </c>
      <c r="D1742" s="11">
        <v>45618</v>
      </c>
      <c r="E1742" t="s">
        <v>16</v>
      </c>
      <c r="F1742" t="s">
        <v>12</v>
      </c>
      <c r="G1742">
        <v>70010480</v>
      </c>
      <c r="H1742">
        <v>4511569867</v>
      </c>
      <c r="I1742">
        <v>210</v>
      </c>
      <c r="J1742" s="29">
        <v>1</v>
      </c>
      <c r="K1742" s="29" t="s">
        <v>99</v>
      </c>
      <c r="L1742" t="str">
        <f>IFERROR(VLOOKUP(Detalle_OC[[#This Row],[Centro]]&amp;Detalle_OC[[#This Row],[Nro Almacen]],Almacen!A:D,4,FALSE),"")</f>
        <v>Montelima</v>
      </c>
    </row>
    <row r="1743" spans="1:12" x14ac:dyDescent="0.3">
      <c r="A1743" s="29" t="str">
        <f>Detalle_OC[[#This Row],[Centro]]&amp;Detalle_OC[[#This Row],[Nom Almacen]]&amp;Detalle_OC[[#This Row],[Material]]&amp;Detalle_OC[[#This Row],[Pedido]]&amp;Detalle_OC[[#This Row],[Posicion]]</f>
        <v>Agricola del Chira PlantaMontelima700114434511569867220</v>
      </c>
      <c r="B1743" t="s">
        <v>149</v>
      </c>
      <c r="C1743" t="s">
        <v>166</v>
      </c>
      <c r="D1743" s="11">
        <v>45618</v>
      </c>
      <c r="E1743" t="s">
        <v>16</v>
      </c>
      <c r="F1743" t="s">
        <v>12</v>
      </c>
      <c r="G1743">
        <v>70011443</v>
      </c>
      <c r="H1743">
        <v>4511569867</v>
      </c>
      <c r="I1743">
        <v>220</v>
      </c>
      <c r="J1743" s="29">
        <v>1</v>
      </c>
      <c r="K1743" s="29" t="s">
        <v>99</v>
      </c>
      <c r="L1743" t="str">
        <f>IFERROR(VLOOKUP(Detalle_OC[[#This Row],[Centro]]&amp;Detalle_OC[[#This Row],[Nro Almacen]],Almacen!A:D,4,FALSE),"")</f>
        <v>Montelima</v>
      </c>
    </row>
    <row r="1744" spans="1:12" x14ac:dyDescent="0.3">
      <c r="A1744" s="29" t="str">
        <f>Detalle_OC[[#This Row],[Centro]]&amp;Detalle_OC[[#This Row],[Nom Almacen]]&amp;Detalle_OC[[#This Row],[Material]]&amp;Detalle_OC[[#This Row],[Pedido]]&amp;Detalle_OC[[#This Row],[Posicion]]</f>
        <v>Agricola del Chira PlantaMontelima700152944511569867230</v>
      </c>
      <c r="B1744" t="s">
        <v>149</v>
      </c>
      <c r="C1744" t="s">
        <v>166</v>
      </c>
      <c r="D1744" s="11">
        <v>45618</v>
      </c>
      <c r="E1744" t="s">
        <v>16</v>
      </c>
      <c r="F1744" t="s">
        <v>12</v>
      </c>
      <c r="G1744">
        <v>70015294</v>
      </c>
      <c r="H1744">
        <v>4511569867</v>
      </c>
      <c r="I1744">
        <v>230</v>
      </c>
      <c r="J1744" s="29">
        <v>1</v>
      </c>
      <c r="K1744" s="29" t="s">
        <v>99</v>
      </c>
      <c r="L1744" t="str">
        <f>IFERROR(VLOOKUP(Detalle_OC[[#This Row],[Centro]]&amp;Detalle_OC[[#This Row],[Nro Almacen]],Almacen!A:D,4,FALSE),"")</f>
        <v>Montelima</v>
      </c>
    </row>
    <row r="1745" spans="1:12" x14ac:dyDescent="0.3">
      <c r="A1745" s="29" t="str">
        <f>Detalle_OC[[#This Row],[Centro]]&amp;Detalle_OC[[#This Row],[Nom Almacen]]&amp;Detalle_OC[[#This Row],[Material]]&amp;Detalle_OC[[#This Row],[Pedido]]&amp;Detalle_OC[[#This Row],[Posicion]]</f>
        <v>Agricola del Chira PlantaMontelima700153344511569867240</v>
      </c>
      <c r="B1745" t="s">
        <v>149</v>
      </c>
      <c r="C1745" t="s">
        <v>166</v>
      </c>
      <c r="D1745" s="11">
        <v>45618</v>
      </c>
      <c r="E1745" t="s">
        <v>16</v>
      </c>
      <c r="F1745" t="s">
        <v>12</v>
      </c>
      <c r="G1745">
        <v>70015334</v>
      </c>
      <c r="H1745">
        <v>4511569867</v>
      </c>
      <c r="I1745">
        <v>240</v>
      </c>
      <c r="J1745" s="29">
        <v>1</v>
      </c>
      <c r="K1745" s="29" t="s">
        <v>99</v>
      </c>
      <c r="L1745" t="str">
        <f>IFERROR(VLOOKUP(Detalle_OC[[#This Row],[Centro]]&amp;Detalle_OC[[#This Row],[Nro Almacen]],Almacen!A:D,4,FALSE),"")</f>
        <v>Montelima</v>
      </c>
    </row>
    <row r="1746" spans="1:12" x14ac:dyDescent="0.3">
      <c r="A1746" s="29" t="str">
        <f>Detalle_OC[[#This Row],[Centro]]&amp;Detalle_OC[[#This Row],[Nom Almacen]]&amp;Detalle_OC[[#This Row],[Material]]&amp;Detalle_OC[[#This Row],[Pedido]]&amp;Detalle_OC[[#This Row],[Posicion]]</f>
        <v>Agricola del Chira PlantaMontelima700225204511569867250</v>
      </c>
      <c r="B1746" t="s">
        <v>149</v>
      </c>
      <c r="C1746" t="s">
        <v>166</v>
      </c>
      <c r="D1746" s="11">
        <v>45618</v>
      </c>
      <c r="E1746" t="s">
        <v>16</v>
      </c>
      <c r="F1746" t="s">
        <v>12</v>
      </c>
      <c r="G1746">
        <v>70022520</v>
      </c>
      <c r="H1746">
        <v>4511569867</v>
      </c>
      <c r="I1746">
        <v>250</v>
      </c>
      <c r="J1746" s="29">
        <v>1</v>
      </c>
      <c r="K1746" s="29" t="s">
        <v>99</v>
      </c>
      <c r="L1746" t="str">
        <f>IFERROR(VLOOKUP(Detalle_OC[[#This Row],[Centro]]&amp;Detalle_OC[[#This Row],[Nro Almacen]],Almacen!A:D,4,FALSE),"")</f>
        <v>Montelima</v>
      </c>
    </row>
    <row r="1747" spans="1:12" x14ac:dyDescent="0.3">
      <c r="A1747" s="29" t="str">
        <f>Detalle_OC[[#This Row],[Centro]]&amp;Detalle_OC[[#This Row],[Nom Almacen]]&amp;Detalle_OC[[#This Row],[Material]]&amp;Detalle_OC[[#This Row],[Pedido]]&amp;Detalle_OC[[#This Row],[Posicion]]</f>
        <v>Agricola del Chira PlantaMontelima700265824511569867260</v>
      </c>
      <c r="B1747" t="s">
        <v>149</v>
      </c>
      <c r="C1747" t="s">
        <v>166</v>
      </c>
      <c r="D1747" s="11">
        <v>45618</v>
      </c>
      <c r="E1747" t="s">
        <v>16</v>
      </c>
      <c r="F1747" t="s">
        <v>12</v>
      </c>
      <c r="G1747">
        <v>70026582</v>
      </c>
      <c r="H1747">
        <v>4511569867</v>
      </c>
      <c r="I1747">
        <v>260</v>
      </c>
      <c r="J1747" s="29">
        <v>1</v>
      </c>
      <c r="K1747" s="29" t="s">
        <v>99</v>
      </c>
      <c r="L1747" t="str">
        <f>IFERROR(VLOOKUP(Detalle_OC[[#This Row],[Centro]]&amp;Detalle_OC[[#This Row],[Nro Almacen]],Almacen!A:D,4,FALSE),"")</f>
        <v>Montelima</v>
      </c>
    </row>
    <row r="1748" spans="1:12" x14ac:dyDescent="0.3">
      <c r="A1748" s="29" t="str">
        <f>Detalle_OC[[#This Row],[Centro]]&amp;Detalle_OC[[#This Row],[Nom Almacen]]&amp;Detalle_OC[[#This Row],[Material]]&amp;Detalle_OC[[#This Row],[Pedido]]&amp;Detalle_OC[[#This Row],[Posicion]]</f>
        <v>Agricola del Chira PlantaMontelima700265834511569867270</v>
      </c>
      <c r="B1748" t="s">
        <v>149</v>
      </c>
      <c r="C1748" t="s">
        <v>166</v>
      </c>
      <c r="D1748" s="11">
        <v>45618</v>
      </c>
      <c r="E1748" t="s">
        <v>16</v>
      </c>
      <c r="F1748" t="s">
        <v>12</v>
      </c>
      <c r="G1748">
        <v>70026583</v>
      </c>
      <c r="H1748">
        <v>4511569867</v>
      </c>
      <c r="I1748">
        <v>270</v>
      </c>
      <c r="J1748" s="29">
        <v>1</v>
      </c>
      <c r="K1748" s="29" t="s">
        <v>99</v>
      </c>
      <c r="L1748" t="str">
        <f>IFERROR(VLOOKUP(Detalle_OC[[#This Row],[Centro]]&amp;Detalle_OC[[#This Row],[Nro Almacen]],Almacen!A:D,4,FALSE),"")</f>
        <v>Montelima</v>
      </c>
    </row>
    <row r="1749" spans="1:12" x14ac:dyDescent="0.3">
      <c r="A1749" s="29" t="str">
        <f>Detalle_OC[[#This Row],[Centro]]&amp;Detalle_OC[[#This Row],[Nom Almacen]]&amp;Detalle_OC[[#This Row],[Material]]&amp;Detalle_OC[[#This Row],[Pedido]]&amp;Detalle_OC[[#This Row],[Posicion]]</f>
        <v>Agricola del Chira PlantaMontelima700319684511569867280</v>
      </c>
      <c r="B1749" t="s">
        <v>149</v>
      </c>
      <c r="C1749" t="s">
        <v>166</v>
      </c>
      <c r="D1749" s="11">
        <v>45618</v>
      </c>
      <c r="E1749" t="s">
        <v>16</v>
      </c>
      <c r="F1749" t="s">
        <v>12</v>
      </c>
      <c r="G1749">
        <v>70031968</v>
      </c>
      <c r="H1749">
        <v>4511569867</v>
      </c>
      <c r="I1749">
        <v>280</v>
      </c>
      <c r="J1749" s="29">
        <v>1</v>
      </c>
      <c r="K1749" s="29" t="s">
        <v>99</v>
      </c>
      <c r="L1749" t="str">
        <f>IFERROR(VLOOKUP(Detalle_OC[[#This Row],[Centro]]&amp;Detalle_OC[[#This Row],[Nro Almacen]],Almacen!A:D,4,FALSE),"")</f>
        <v>Montelima</v>
      </c>
    </row>
    <row r="1750" spans="1:12" x14ac:dyDescent="0.3">
      <c r="A1750" s="29" t="str">
        <f>Detalle_OC[[#This Row],[Centro]]&amp;Detalle_OC[[#This Row],[Nom Almacen]]&amp;Detalle_OC[[#This Row],[Material]]&amp;Detalle_OC[[#This Row],[Pedido]]&amp;Detalle_OC[[#This Row],[Posicion]]</f>
        <v>Agricola del Chira PlantaMontelima700609234511569867290</v>
      </c>
      <c r="B1750" t="s">
        <v>149</v>
      </c>
      <c r="C1750" t="s">
        <v>166</v>
      </c>
      <c r="D1750" s="11">
        <v>45618</v>
      </c>
      <c r="E1750" t="s">
        <v>16</v>
      </c>
      <c r="F1750" t="s">
        <v>12</v>
      </c>
      <c r="G1750">
        <v>70060923</v>
      </c>
      <c r="H1750">
        <v>4511569867</v>
      </c>
      <c r="I1750">
        <v>290</v>
      </c>
      <c r="J1750" s="29">
        <v>1</v>
      </c>
      <c r="K1750" s="29" t="s">
        <v>99</v>
      </c>
      <c r="L1750" t="str">
        <f>IFERROR(VLOOKUP(Detalle_OC[[#This Row],[Centro]]&amp;Detalle_OC[[#This Row],[Nro Almacen]],Almacen!A:D,4,FALSE),"")</f>
        <v>Montelima</v>
      </c>
    </row>
    <row r="1751" spans="1:12" x14ac:dyDescent="0.3">
      <c r="A1751" s="29" t="str">
        <f>Detalle_OC[[#This Row],[Centro]]&amp;Detalle_OC[[#This Row],[Nom Almacen]]&amp;Detalle_OC[[#This Row],[Material]]&amp;Detalle_OC[[#This Row],[Pedido]]&amp;Detalle_OC[[#This Row],[Posicion]]</f>
        <v>Agricola del Chira PlantaMontelima700875394511569867300</v>
      </c>
      <c r="B1751" t="s">
        <v>149</v>
      </c>
      <c r="C1751" t="s">
        <v>166</v>
      </c>
      <c r="D1751" s="11">
        <v>45618</v>
      </c>
      <c r="E1751" t="s">
        <v>16</v>
      </c>
      <c r="F1751" t="s">
        <v>12</v>
      </c>
      <c r="G1751">
        <v>70087539</v>
      </c>
      <c r="H1751">
        <v>4511569867</v>
      </c>
      <c r="I1751">
        <v>300</v>
      </c>
      <c r="J1751" s="29">
        <v>1</v>
      </c>
      <c r="K1751" s="29" t="s">
        <v>99</v>
      </c>
      <c r="L1751" t="str">
        <f>IFERROR(VLOOKUP(Detalle_OC[[#This Row],[Centro]]&amp;Detalle_OC[[#This Row],[Nro Almacen]],Almacen!A:D,4,FALSE),"")</f>
        <v>Montelima</v>
      </c>
    </row>
    <row r="1752" spans="1:12" x14ac:dyDescent="0.3">
      <c r="A1752" s="29" t="str">
        <f>Detalle_OC[[#This Row],[Centro]]&amp;Detalle_OC[[#This Row],[Nom Almacen]]&amp;Detalle_OC[[#This Row],[Material]]&amp;Detalle_OC[[#This Row],[Pedido]]&amp;Detalle_OC[[#This Row],[Posicion]]</f>
        <v>Agricola del Chira PlantaMontelima7003087955000191881700</v>
      </c>
      <c r="B1752" t="s">
        <v>28</v>
      </c>
      <c r="C1752" t="s">
        <v>82</v>
      </c>
      <c r="D1752" s="11">
        <v>45607</v>
      </c>
      <c r="E1752" t="s">
        <v>16</v>
      </c>
      <c r="F1752" t="s">
        <v>12</v>
      </c>
      <c r="G1752">
        <v>70030879</v>
      </c>
      <c r="H1752">
        <v>5500019188</v>
      </c>
      <c r="I1752">
        <v>1700</v>
      </c>
      <c r="J1752" s="29">
        <v>1</v>
      </c>
      <c r="K1752" s="29" t="s">
        <v>99</v>
      </c>
      <c r="L1752" t="str">
        <f>IFERROR(VLOOKUP(Detalle_OC[[#This Row],[Centro]]&amp;Detalle_OC[[#This Row],[Nro Almacen]],Almacen!A:D,4,FALSE),"")</f>
        <v>Montelima</v>
      </c>
    </row>
    <row r="1753" spans="1:12" x14ac:dyDescent="0.3">
      <c r="A1753" s="29" t="str">
        <f>Detalle_OC[[#This Row],[Centro]]&amp;Detalle_OC[[#This Row],[Nom Almacen]]&amp;Detalle_OC[[#This Row],[Material]]&amp;Detalle_OC[[#This Row],[Pedido]]&amp;Detalle_OC[[#This Row],[Posicion]]</f>
        <v>Sucroalcolera del Chira PlantaMontelima842942451156961010</v>
      </c>
      <c r="B1753" t="s">
        <v>138</v>
      </c>
      <c r="C1753" t="s">
        <v>32</v>
      </c>
      <c r="D1753" s="11">
        <v>45614</v>
      </c>
      <c r="E1753" t="s">
        <v>16</v>
      </c>
      <c r="F1753" t="s">
        <v>85</v>
      </c>
      <c r="G1753">
        <v>842942</v>
      </c>
      <c r="H1753">
        <v>4511569610</v>
      </c>
      <c r="I1753">
        <v>10</v>
      </c>
      <c r="J1753" s="29">
        <v>1</v>
      </c>
      <c r="K1753" s="29" t="s">
        <v>100</v>
      </c>
      <c r="L1753" t="str">
        <f>IFERROR(VLOOKUP(Detalle_OC[[#This Row],[Centro]]&amp;Detalle_OC[[#This Row],[Nro Almacen]],Almacen!A:D,4,FALSE),"")</f>
        <v>Montelima</v>
      </c>
    </row>
    <row r="1754" spans="1:12" x14ac:dyDescent="0.3">
      <c r="A1754" s="29" t="str">
        <f>Detalle_OC[[#This Row],[Centro]]&amp;Detalle_OC[[#This Row],[Nom Almacen]]&amp;Detalle_OC[[#This Row],[Material]]&amp;Detalle_OC[[#This Row],[Pedido]]&amp;Detalle_OC[[#This Row],[Posicion]]</f>
        <v>Agricola del Chira PlantaMontelima721558451156965310</v>
      </c>
      <c r="B1754" t="s">
        <v>264</v>
      </c>
      <c r="C1754" t="s">
        <v>44</v>
      </c>
      <c r="D1754" s="11">
        <v>45644</v>
      </c>
      <c r="E1754" t="s">
        <v>48</v>
      </c>
      <c r="F1754" t="s">
        <v>12</v>
      </c>
      <c r="G1754">
        <v>721558</v>
      </c>
      <c r="H1754">
        <v>4511569653</v>
      </c>
      <c r="I1754">
        <v>10</v>
      </c>
      <c r="J1754" s="29">
        <v>1</v>
      </c>
      <c r="K1754" s="29" t="s">
        <v>100</v>
      </c>
      <c r="L1754" t="str">
        <f>IFERROR(VLOOKUP(Detalle_OC[[#This Row],[Centro]]&amp;Detalle_OC[[#This Row],[Nro Almacen]],Almacen!A:D,4,FALSE),"")</f>
        <v>Montelima</v>
      </c>
    </row>
    <row r="1755" spans="1:12" x14ac:dyDescent="0.3">
      <c r="A1755" s="29" t="str">
        <f>Detalle_OC[[#This Row],[Centro]]&amp;Detalle_OC[[#This Row],[Nom Almacen]]&amp;Detalle_OC[[#This Row],[Material]]&amp;Detalle_OC[[#This Row],[Pedido]]&amp;Detalle_OC[[#This Row],[Posicion]]</f>
        <v>Agricola del Chira PlantaMontelima764012451156965320</v>
      </c>
      <c r="B1755" t="s">
        <v>264</v>
      </c>
      <c r="C1755" t="s">
        <v>44</v>
      </c>
      <c r="D1755" s="11">
        <v>45644</v>
      </c>
      <c r="E1755" t="s">
        <v>48</v>
      </c>
      <c r="F1755" t="s">
        <v>12</v>
      </c>
      <c r="G1755">
        <v>764012</v>
      </c>
      <c r="H1755">
        <v>4511569653</v>
      </c>
      <c r="I1755">
        <v>20</v>
      </c>
      <c r="J1755" s="29">
        <v>1</v>
      </c>
      <c r="K1755" s="29" t="s">
        <v>100</v>
      </c>
      <c r="L1755" t="str">
        <f>IFERROR(VLOOKUP(Detalle_OC[[#This Row],[Centro]]&amp;Detalle_OC[[#This Row],[Nro Almacen]],Almacen!A:D,4,FALSE),"")</f>
        <v>Montelima</v>
      </c>
    </row>
    <row r="1756" spans="1:12" x14ac:dyDescent="0.3">
      <c r="A1756" s="29" t="str">
        <f>Detalle_OC[[#This Row],[Centro]]&amp;Detalle_OC[[#This Row],[Nom Almacen]]&amp;Detalle_OC[[#This Row],[Material]]&amp;Detalle_OC[[#This Row],[Pedido]]&amp;Detalle_OC[[#This Row],[Posicion]]</f>
        <v>Agricola del Chira PlantaMontelima70007468451156965330</v>
      </c>
      <c r="B1756" t="s">
        <v>264</v>
      </c>
      <c r="C1756" t="s">
        <v>44</v>
      </c>
      <c r="D1756" s="11">
        <v>45644</v>
      </c>
      <c r="E1756" t="s">
        <v>48</v>
      </c>
      <c r="F1756" t="s">
        <v>12</v>
      </c>
      <c r="G1756">
        <v>70007468</v>
      </c>
      <c r="H1756">
        <v>4511569653</v>
      </c>
      <c r="I1756">
        <v>30</v>
      </c>
      <c r="J1756" s="29">
        <v>1</v>
      </c>
      <c r="K1756" s="29" t="s">
        <v>100</v>
      </c>
      <c r="L1756" t="str">
        <f>IFERROR(VLOOKUP(Detalle_OC[[#This Row],[Centro]]&amp;Detalle_OC[[#This Row],[Nro Almacen]],Almacen!A:D,4,FALSE),"")</f>
        <v>Montelima</v>
      </c>
    </row>
    <row r="1757" spans="1:12" x14ac:dyDescent="0.3">
      <c r="A1757" s="29" t="str">
        <f>Detalle_OC[[#This Row],[Centro]]&amp;Detalle_OC[[#This Row],[Nom Almacen]]&amp;Detalle_OC[[#This Row],[Material]]&amp;Detalle_OC[[#This Row],[Pedido]]&amp;Detalle_OC[[#This Row],[Posicion]]</f>
        <v>Sucroalcolera del Chira PlantaMontelimaCP180029          451156966310</v>
      </c>
      <c r="B1757" t="s">
        <v>1145</v>
      </c>
      <c r="C1757" t="s">
        <v>103</v>
      </c>
      <c r="D1757" s="11">
        <v>45628</v>
      </c>
      <c r="E1757" t="s">
        <v>16</v>
      </c>
      <c r="F1757" t="s">
        <v>85</v>
      </c>
      <c r="G1757" t="s">
        <v>1092</v>
      </c>
      <c r="H1757">
        <v>4511569663</v>
      </c>
      <c r="I1757">
        <v>10</v>
      </c>
      <c r="J1757" s="29">
        <v>1</v>
      </c>
      <c r="K1757" s="29" t="s">
        <v>100</v>
      </c>
      <c r="L1757" t="str">
        <f>IFERROR(VLOOKUP(Detalle_OC[[#This Row],[Centro]]&amp;Detalle_OC[[#This Row],[Nro Almacen]],Almacen!A:D,4,FALSE),"")</f>
        <v>Montelima</v>
      </c>
    </row>
    <row r="1758" spans="1:12" x14ac:dyDescent="0.3">
      <c r="A1758" s="29" t="str">
        <f>Detalle_OC[[#This Row],[Centro]]&amp;Detalle_OC[[#This Row],[Nom Almacen]]&amp;Detalle_OC[[#This Row],[Material]]&amp;Detalle_OC[[#This Row],[Pedido]]&amp;Detalle_OC[[#This Row],[Posicion]]</f>
        <v>Agricola del Chira PlantaMontelima810137451156966810</v>
      </c>
      <c r="B1758" t="s">
        <v>149</v>
      </c>
      <c r="C1758" t="s">
        <v>166</v>
      </c>
      <c r="D1758" s="11">
        <v>45618</v>
      </c>
      <c r="E1758" t="s">
        <v>16</v>
      </c>
      <c r="F1758" t="s">
        <v>12</v>
      </c>
      <c r="G1758">
        <v>810137</v>
      </c>
      <c r="H1758">
        <v>4511569668</v>
      </c>
      <c r="I1758">
        <v>10</v>
      </c>
      <c r="J1758" s="29">
        <v>1</v>
      </c>
      <c r="K1758" s="29" t="s">
        <v>100</v>
      </c>
      <c r="L1758" t="str">
        <f>IFERROR(VLOOKUP(Detalle_OC[[#This Row],[Centro]]&amp;Detalle_OC[[#This Row],[Nro Almacen]],Almacen!A:D,4,FALSE),"")</f>
        <v>Montelima</v>
      </c>
    </row>
    <row r="1759" spans="1:12" x14ac:dyDescent="0.3">
      <c r="A1759" s="29" t="str">
        <f>Detalle_OC[[#This Row],[Centro]]&amp;Detalle_OC[[#This Row],[Nom Almacen]]&amp;Detalle_OC[[#This Row],[Material]]&amp;Detalle_OC[[#This Row],[Pedido]]&amp;Detalle_OC[[#This Row],[Posicion]]</f>
        <v>Agricola del Chira PlantaMontelima793935451156966820</v>
      </c>
      <c r="B1759" t="s">
        <v>149</v>
      </c>
      <c r="C1759" t="s">
        <v>166</v>
      </c>
      <c r="D1759" s="11">
        <v>45618</v>
      </c>
      <c r="E1759" t="s">
        <v>16</v>
      </c>
      <c r="F1759" t="s">
        <v>12</v>
      </c>
      <c r="G1759">
        <v>793935</v>
      </c>
      <c r="H1759">
        <v>4511569668</v>
      </c>
      <c r="I1759">
        <v>20</v>
      </c>
      <c r="J1759" s="29">
        <v>1</v>
      </c>
      <c r="K1759" s="29" t="s">
        <v>100</v>
      </c>
      <c r="L1759" t="str">
        <f>IFERROR(VLOOKUP(Detalle_OC[[#This Row],[Centro]]&amp;Detalle_OC[[#This Row],[Nro Almacen]],Almacen!A:D,4,FALSE),"")</f>
        <v>Montelima</v>
      </c>
    </row>
    <row r="1760" spans="1:12" x14ac:dyDescent="0.3">
      <c r="A1760" s="29" t="str">
        <f>Detalle_OC[[#This Row],[Centro]]&amp;Detalle_OC[[#This Row],[Nom Almacen]]&amp;Detalle_OC[[#This Row],[Material]]&amp;Detalle_OC[[#This Row],[Pedido]]&amp;Detalle_OC[[#This Row],[Posicion]]</f>
        <v>Agricola del Chira PlantaMontelima834979451156966830</v>
      </c>
      <c r="B1760" t="s">
        <v>149</v>
      </c>
      <c r="C1760" t="s">
        <v>166</v>
      </c>
      <c r="D1760" s="11">
        <v>45618</v>
      </c>
      <c r="E1760" t="s">
        <v>16</v>
      </c>
      <c r="F1760" t="s">
        <v>12</v>
      </c>
      <c r="G1760">
        <v>834979</v>
      </c>
      <c r="H1760">
        <v>4511569668</v>
      </c>
      <c r="I1760">
        <v>30</v>
      </c>
      <c r="J1760" s="29">
        <v>1</v>
      </c>
      <c r="K1760" s="29" t="s">
        <v>100</v>
      </c>
      <c r="L1760" t="str">
        <f>IFERROR(VLOOKUP(Detalle_OC[[#This Row],[Centro]]&amp;Detalle_OC[[#This Row],[Nro Almacen]],Almacen!A:D,4,FALSE),"")</f>
        <v>Montelima</v>
      </c>
    </row>
    <row r="1761" spans="1:12" x14ac:dyDescent="0.3">
      <c r="A1761" s="29" t="str">
        <f>Detalle_OC[[#This Row],[Centro]]&amp;Detalle_OC[[#This Row],[Nom Almacen]]&amp;Detalle_OC[[#This Row],[Material]]&amp;Detalle_OC[[#This Row],[Pedido]]&amp;Detalle_OC[[#This Row],[Posicion]]</f>
        <v>Agricola del Chira PlantaMontelima893791451156966840</v>
      </c>
      <c r="B1761" t="s">
        <v>149</v>
      </c>
      <c r="C1761" t="s">
        <v>166</v>
      </c>
      <c r="D1761" s="11">
        <v>45635</v>
      </c>
      <c r="E1761" t="s">
        <v>16</v>
      </c>
      <c r="F1761" t="s">
        <v>12</v>
      </c>
      <c r="G1761">
        <v>893791</v>
      </c>
      <c r="H1761">
        <v>4511569668</v>
      </c>
      <c r="I1761">
        <v>40</v>
      </c>
      <c r="J1761" s="29">
        <v>1</v>
      </c>
      <c r="K1761" s="29" t="s">
        <v>100</v>
      </c>
      <c r="L1761" t="str">
        <f>IFERROR(VLOOKUP(Detalle_OC[[#This Row],[Centro]]&amp;Detalle_OC[[#This Row],[Nro Almacen]],Almacen!A:D,4,FALSE),"")</f>
        <v>Montelima</v>
      </c>
    </row>
    <row r="1762" spans="1:12" x14ac:dyDescent="0.3">
      <c r="A1762" s="29" t="str">
        <f>Detalle_OC[[#This Row],[Centro]]&amp;Detalle_OC[[#This Row],[Nom Almacen]]&amp;Detalle_OC[[#This Row],[Material]]&amp;Detalle_OC[[#This Row],[Pedido]]&amp;Detalle_OC[[#This Row],[Posicion]]</f>
        <v>Agricola del Chira PlantaMontelima70000467451156966850</v>
      </c>
      <c r="B1762" t="s">
        <v>149</v>
      </c>
      <c r="C1762" t="s">
        <v>166</v>
      </c>
      <c r="D1762" s="11">
        <v>45618</v>
      </c>
      <c r="E1762" t="s">
        <v>16</v>
      </c>
      <c r="F1762" t="s">
        <v>12</v>
      </c>
      <c r="G1762">
        <v>70000467</v>
      </c>
      <c r="H1762">
        <v>4511569668</v>
      </c>
      <c r="I1762">
        <v>50</v>
      </c>
      <c r="J1762" s="29">
        <v>1</v>
      </c>
      <c r="K1762" s="29" t="s">
        <v>100</v>
      </c>
      <c r="L1762" t="str">
        <f>IFERROR(VLOOKUP(Detalle_OC[[#This Row],[Centro]]&amp;Detalle_OC[[#This Row],[Nro Almacen]],Almacen!A:D,4,FALSE),"")</f>
        <v>Montelima</v>
      </c>
    </row>
    <row r="1763" spans="1:12" x14ac:dyDescent="0.3">
      <c r="A1763" s="29" t="str">
        <f>Detalle_OC[[#This Row],[Centro]]&amp;Detalle_OC[[#This Row],[Nom Almacen]]&amp;Detalle_OC[[#This Row],[Material]]&amp;Detalle_OC[[#This Row],[Pedido]]&amp;Detalle_OC[[#This Row],[Posicion]]</f>
        <v>Agricola del Chira PlantaMontelima70003103451156966860</v>
      </c>
      <c r="B1763" t="s">
        <v>149</v>
      </c>
      <c r="C1763" t="s">
        <v>166</v>
      </c>
      <c r="D1763" s="11">
        <v>45635</v>
      </c>
      <c r="E1763" t="s">
        <v>16</v>
      </c>
      <c r="F1763" t="s">
        <v>12</v>
      </c>
      <c r="G1763">
        <v>70003103</v>
      </c>
      <c r="H1763">
        <v>4511569668</v>
      </c>
      <c r="I1763">
        <v>60</v>
      </c>
      <c r="J1763" s="29">
        <v>1</v>
      </c>
      <c r="K1763" s="29" t="s">
        <v>100</v>
      </c>
      <c r="L1763" t="str">
        <f>IFERROR(VLOOKUP(Detalle_OC[[#This Row],[Centro]]&amp;Detalle_OC[[#This Row],[Nro Almacen]],Almacen!A:D,4,FALSE),"")</f>
        <v>Montelima</v>
      </c>
    </row>
    <row r="1764" spans="1:12" x14ac:dyDescent="0.3">
      <c r="A1764" s="29" t="str">
        <f>Detalle_OC[[#This Row],[Centro]]&amp;Detalle_OC[[#This Row],[Nom Almacen]]&amp;Detalle_OC[[#This Row],[Material]]&amp;Detalle_OC[[#This Row],[Pedido]]&amp;Detalle_OC[[#This Row],[Posicion]]</f>
        <v>Agricola del Chira PlantaMontelima70006141451156966870</v>
      </c>
      <c r="B1764" t="s">
        <v>149</v>
      </c>
      <c r="C1764" t="s">
        <v>166</v>
      </c>
      <c r="D1764" s="11">
        <v>45618</v>
      </c>
      <c r="E1764" t="s">
        <v>16</v>
      </c>
      <c r="F1764" t="s">
        <v>12</v>
      </c>
      <c r="G1764">
        <v>70006141</v>
      </c>
      <c r="H1764">
        <v>4511569668</v>
      </c>
      <c r="I1764">
        <v>70</v>
      </c>
      <c r="J1764" s="29">
        <v>1</v>
      </c>
      <c r="K1764" s="29" t="s">
        <v>100</v>
      </c>
      <c r="L1764" t="str">
        <f>IFERROR(VLOOKUP(Detalle_OC[[#This Row],[Centro]]&amp;Detalle_OC[[#This Row],[Nro Almacen]],Almacen!A:D,4,FALSE),"")</f>
        <v>Montelima</v>
      </c>
    </row>
    <row r="1765" spans="1:12" x14ac:dyDescent="0.3">
      <c r="A1765" s="29" t="str">
        <f>Detalle_OC[[#This Row],[Centro]]&amp;Detalle_OC[[#This Row],[Nom Almacen]]&amp;Detalle_OC[[#This Row],[Material]]&amp;Detalle_OC[[#This Row],[Pedido]]&amp;Detalle_OC[[#This Row],[Posicion]]</f>
        <v>Agricola del Chira PlantaMontelima70031647451156966890</v>
      </c>
      <c r="B1765" t="s">
        <v>149</v>
      </c>
      <c r="C1765" t="s">
        <v>166</v>
      </c>
      <c r="D1765" s="11">
        <v>45635</v>
      </c>
      <c r="E1765" t="s">
        <v>16</v>
      </c>
      <c r="F1765" t="s">
        <v>12</v>
      </c>
      <c r="G1765">
        <v>70031647</v>
      </c>
      <c r="H1765">
        <v>4511569668</v>
      </c>
      <c r="I1765">
        <v>90</v>
      </c>
      <c r="J1765" s="29">
        <v>1</v>
      </c>
      <c r="K1765" s="29" t="s">
        <v>100</v>
      </c>
      <c r="L1765" t="str">
        <f>IFERROR(VLOOKUP(Detalle_OC[[#This Row],[Centro]]&amp;Detalle_OC[[#This Row],[Nro Almacen]],Almacen!A:D,4,FALSE),"")</f>
        <v>Montelima</v>
      </c>
    </row>
    <row r="1766" spans="1:12" x14ac:dyDescent="0.3">
      <c r="A1766" s="29" t="str">
        <f>Detalle_OC[[#This Row],[Centro]]&amp;Detalle_OC[[#This Row],[Nom Almacen]]&amp;Detalle_OC[[#This Row],[Material]]&amp;Detalle_OC[[#This Row],[Pedido]]&amp;Detalle_OC[[#This Row],[Posicion]]</f>
        <v>Agricola del Chira PlantaMontelima700448744511569668100</v>
      </c>
      <c r="B1766" t="s">
        <v>149</v>
      </c>
      <c r="C1766" t="s">
        <v>166</v>
      </c>
      <c r="D1766" s="11">
        <v>45618</v>
      </c>
      <c r="E1766" t="s">
        <v>16</v>
      </c>
      <c r="F1766" t="s">
        <v>12</v>
      </c>
      <c r="G1766">
        <v>70044874</v>
      </c>
      <c r="H1766">
        <v>4511569668</v>
      </c>
      <c r="I1766">
        <v>100</v>
      </c>
      <c r="J1766" s="29">
        <v>1</v>
      </c>
      <c r="K1766" s="29" t="s">
        <v>100</v>
      </c>
      <c r="L1766" t="str">
        <f>IFERROR(VLOOKUP(Detalle_OC[[#This Row],[Centro]]&amp;Detalle_OC[[#This Row],[Nro Almacen]],Almacen!A:D,4,FALSE),"")</f>
        <v>Montelima</v>
      </c>
    </row>
    <row r="1767" spans="1:12" x14ac:dyDescent="0.3">
      <c r="A1767" s="29" t="str">
        <f>Detalle_OC[[#This Row],[Centro]]&amp;Detalle_OC[[#This Row],[Nom Almacen]]&amp;Detalle_OC[[#This Row],[Material]]&amp;Detalle_OC[[#This Row],[Pedido]]&amp;Detalle_OC[[#This Row],[Posicion]]</f>
        <v>Agricola del Chira PlantaMontelima700729304511569668110</v>
      </c>
      <c r="B1767" t="s">
        <v>149</v>
      </c>
      <c r="C1767" t="s">
        <v>166</v>
      </c>
      <c r="D1767" s="11">
        <v>45618</v>
      </c>
      <c r="E1767" t="s">
        <v>16</v>
      </c>
      <c r="F1767" t="s">
        <v>12</v>
      </c>
      <c r="G1767">
        <v>70072930</v>
      </c>
      <c r="H1767">
        <v>4511569668</v>
      </c>
      <c r="I1767">
        <v>110</v>
      </c>
      <c r="J1767" s="29">
        <v>1</v>
      </c>
      <c r="K1767" s="29" t="s">
        <v>100</v>
      </c>
      <c r="L1767" t="str">
        <f>IFERROR(VLOOKUP(Detalle_OC[[#This Row],[Centro]]&amp;Detalle_OC[[#This Row],[Nro Almacen]],Almacen!A:D,4,FALSE),"")</f>
        <v>Montelima</v>
      </c>
    </row>
    <row r="1768" spans="1:12" x14ac:dyDescent="0.3">
      <c r="A1768" s="29" t="str">
        <f>Detalle_OC[[#This Row],[Centro]]&amp;Detalle_OC[[#This Row],[Nom Almacen]]&amp;Detalle_OC[[#This Row],[Material]]&amp;Detalle_OC[[#This Row],[Pedido]]&amp;Detalle_OC[[#This Row],[Posicion]]</f>
        <v>Agricola del Chira PlantaMontelima700921894511569668120</v>
      </c>
      <c r="B1768" t="s">
        <v>149</v>
      </c>
      <c r="C1768" t="s">
        <v>166</v>
      </c>
      <c r="D1768" s="11">
        <v>45618</v>
      </c>
      <c r="E1768" t="s">
        <v>16</v>
      </c>
      <c r="F1768" t="s">
        <v>12</v>
      </c>
      <c r="G1768">
        <v>70092189</v>
      </c>
      <c r="H1768">
        <v>4511569668</v>
      </c>
      <c r="I1768">
        <v>120</v>
      </c>
      <c r="J1768" s="29">
        <v>1</v>
      </c>
      <c r="K1768" s="29" t="s">
        <v>100</v>
      </c>
      <c r="L1768" t="str">
        <f>IFERROR(VLOOKUP(Detalle_OC[[#This Row],[Centro]]&amp;Detalle_OC[[#This Row],[Nro Almacen]],Almacen!A:D,4,FALSE),"")</f>
        <v>Montelima</v>
      </c>
    </row>
    <row r="1769" spans="1:12" x14ac:dyDescent="0.3">
      <c r="A1769" s="29" t="str">
        <f>Detalle_OC[[#This Row],[Centro]]&amp;Detalle_OC[[#This Row],[Nom Almacen]]&amp;Detalle_OC[[#This Row],[Material]]&amp;Detalle_OC[[#This Row],[Pedido]]&amp;Detalle_OC[[#This Row],[Posicion]]</f>
        <v>Agricola del Chira PlantaAlmacen Lobo8244714511569668130</v>
      </c>
      <c r="B1769" t="s">
        <v>149</v>
      </c>
      <c r="C1769" t="s">
        <v>166</v>
      </c>
      <c r="D1769" s="11">
        <v>45618</v>
      </c>
      <c r="E1769" t="s">
        <v>16</v>
      </c>
      <c r="F1769" t="s">
        <v>12</v>
      </c>
      <c r="G1769">
        <v>824471</v>
      </c>
      <c r="H1769">
        <v>4511569668</v>
      </c>
      <c r="I1769">
        <v>130</v>
      </c>
      <c r="J1769" s="29">
        <v>7</v>
      </c>
      <c r="K1769" s="29" t="s">
        <v>100</v>
      </c>
      <c r="L1769" t="str">
        <f>IFERROR(VLOOKUP(Detalle_OC[[#This Row],[Centro]]&amp;Detalle_OC[[#This Row],[Nro Almacen]],Almacen!A:D,4,FALSE),"")</f>
        <v>Almacen Lobo</v>
      </c>
    </row>
    <row r="1770" spans="1:12" x14ac:dyDescent="0.3">
      <c r="A1770" s="29" t="str">
        <f>Detalle_OC[[#This Row],[Centro]]&amp;Detalle_OC[[#This Row],[Nom Almacen]]&amp;Detalle_OC[[#This Row],[Material]]&amp;Detalle_OC[[#This Row],[Pedido]]&amp;Detalle_OC[[#This Row],[Posicion]]</f>
        <v>Agricola del Chira PlantaSan Vicente721546451156969910</v>
      </c>
      <c r="B1770" t="s">
        <v>280</v>
      </c>
      <c r="C1770" t="s">
        <v>44</v>
      </c>
      <c r="D1770" s="11">
        <v>45626</v>
      </c>
      <c r="E1770" t="s">
        <v>48</v>
      </c>
      <c r="F1770" t="s">
        <v>12</v>
      </c>
      <c r="G1770">
        <v>721546</v>
      </c>
      <c r="H1770">
        <v>4511569699</v>
      </c>
      <c r="I1770">
        <v>10</v>
      </c>
      <c r="J1770" s="29">
        <v>3</v>
      </c>
      <c r="K1770" s="29" t="s">
        <v>100</v>
      </c>
      <c r="L1770" t="str">
        <f>IFERROR(VLOOKUP(Detalle_OC[[#This Row],[Centro]]&amp;Detalle_OC[[#This Row],[Nro Almacen]],Almacen!A:D,4,FALSE),"")</f>
        <v>San Vicente</v>
      </c>
    </row>
    <row r="1771" spans="1:12" x14ac:dyDescent="0.3">
      <c r="A1771" s="29" t="str">
        <f>Detalle_OC[[#This Row],[Centro]]&amp;Detalle_OC[[#This Row],[Nom Almacen]]&amp;Detalle_OC[[#This Row],[Material]]&amp;Detalle_OC[[#This Row],[Pedido]]&amp;Detalle_OC[[#This Row],[Posicion]]</f>
        <v>Agricola del Chira PlantaSan Vicente721558451156969920</v>
      </c>
      <c r="B1771" t="s">
        <v>280</v>
      </c>
      <c r="C1771" t="s">
        <v>44</v>
      </c>
      <c r="D1771" s="11">
        <v>45626</v>
      </c>
      <c r="E1771" t="s">
        <v>48</v>
      </c>
      <c r="F1771" t="s">
        <v>12</v>
      </c>
      <c r="G1771">
        <v>721558</v>
      </c>
      <c r="H1771">
        <v>4511569699</v>
      </c>
      <c r="I1771">
        <v>20</v>
      </c>
      <c r="J1771" s="29">
        <v>3</v>
      </c>
      <c r="K1771" s="29" t="s">
        <v>100</v>
      </c>
      <c r="L1771" t="str">
        <f>IFERROR(VLOOKUP(Detalle_OC[[#This Row],[Centro]]&amp;Detalle_OC[[#This Row],[Nro Almacen]],Almacen!A:D,4,FALSE),"")</f>
        <v>San Vicente</v>
      </c>
    </row>
    <row r="1772" spans="1:12" x14ac:dyDescent="0.3">
      <c r="A1772" s="29" t="str">
        <f>Detalle_OC[[#This Row],[Centro]]&amp;Detalle_OC[[#This Row],[Nom Almacen]]&amp;Detalle_OC[[#This Row],[Material]]&amp;Detalle_OC[[#This Row],[Pedido]]&amp;Detalle_OC[[#This Row],[Posicion]]</f>
        <v>Agricola del Chira PlantaSan Vicente722173451156969930</v>
      </c>
      <c r="B1772" t="s">
        <v>280</v>
      </c>
      <c r="C1772" t="s">
        <v>44</v>
      </c>
      <c r="D1772" s="11">
        <v>45626</v>
      </c>
      <c r="E1772" t="s">
        <v>48</v>
      </c>
      <c r="F1772" t="s">
        <v>12</v>
      </c>
      <c r="G1772">
        <v>722173</v>
      </c>
      <c r="H1772">
        <v>4511569699</v>
      </c>
      <c r="I1772">
        <v>30</v>
      </c>
      <c r="J1772" s="29">
        <v>3</v>
      </c>
      <c r="K1772" s="29" t="s">
        <v>100</v>
      </c>
      <c r="L1772" t="str">
        <f>IFERROR(VLOOKUP(Detalle_OC[[#This Row],[Centro]]&amp;Detalle_OC[[#This Row],[Nro Almacen]],Almacen!A:D,4,FALSE),"")</f>
        <v>San Vicente</v>
      </c>
    </row>
    <row r="1773" spans="1:12" x14ac:dyDescent="0.3">
      <c r="A1773" s="29" t="str">
        <f>Detalle_OC[[#This Row],[Centro]]&amp;Detalle_OC[[#This Row],[Nom Almacen]]&amp;Detalle_OC[[#This Row],[Material]]&amp;Detalle_OC[[#This Row],[Pedido]]&amp;Detalle_OC[[#This Row],[Posicion]]</f>
        <v>Agricola del Chira PlantaSan Vicente776244451156969940</v>
      </c>
      <c r="B1773" t="s">
        <v>280</v>
      </c>
      <c r="C1773" t="s">
        <v>44</v>
      </c>
      <c r="D1773" s="11">
        <v>45626</v>
      </c>
      <c r="E1773" t="s">
        <v>48</v>
      </c>
      <c r="F1773" t="s">
        <v>12</v>
      </c>
      <c r="G1773">
        <v>776244</v>
      </c>
      <c r="H1773">
        <v>4511569699</v>
      </c>
      <c r="I1773">
        <v>40</v>
      </c>
      <c r="J1773" s="29">
        <v>3</v>
      </c>
      <c r="K1773" s="29" t="s">
        <v>100</v>
      </c>
      <c r="L1773" t="str">
        <f>IFERROR(VLOOKUP(Detalle_OC[[#This Row],[Centro]]&amp;Detalle_OC[[#This Row],[Nro Almacen]],Almacen!A:D,4,FALSE),"")</f>
        <v>San Vicente</v>
      </c>
    </row>
    <row r="1774" spans="1:12" x14ac:dyDescent="0.3">
      <c r="A1774" s="29" t="str">
        <f>Detalle_OC[[#This Row],[Centro]]&amp;Detalle_OC[[#This Row],[Nom Almacen]]&amp;Detalle_OC[[#This Row],[Material]]&amp;Detalle_OC[[#This Row],[Pedido]]&amp;Detalle_OC[[#This Row],[Posicion]]</f>
        <v>Agricola del Chira PlantaSan Vicente764012451156969950</v>
      </c>
      <c r="B1774" t="s">
        <v>280</v>
      </c>
      <c r="C1774" t="s">
        <v>44</v>
      </c>
      <c r="D1774" s="11">
        <v>45626</v>
      </c>
      <c r="E1774" t="s">
        <v>48</v>
      </c>
      <c r="F1774" t="s">
        <v>12</v>
      </c>
      <c r="G1774">
        <v>764012</v>
      </c>
      <c r="H1774">
        <v>4511569699</v>
      </c>
      <c r="I1774">
        <v>50</v>
      </c>
      <c r="J1774" s="29">
        <v>3</v>
      </c>
      <c r="K1774" s="29" t="s">
        <v>100</v>
      </c>
      <c r="L1774" t="str">
        <f>IFERROR(VLOOKUP(Detalle_OC[[#This Row],[Centro]]&amp;Detalle_OC[[#This Row],[Nro Almacen]],Almacen!A:D,4,FALSE),"")</f>
        <v>San Vicente</v>
      </c>
    </row>
    <row r="1775" spans="1:12" x14ac:dyDescent="0.3">
      <c r="A1775" s="29" t="str">
        <f>Detalle_OC[[#This Row],[Centro]]&amp;Detalle_OC[[#This Row],[Nom Almacen]]&amp;Detalle_OC[[#This Row],[Material]]&amp;Detalle_OC[[#This Row],[Pedido]]&amp;Detalle_OC[[#This Row],[Posicion]]</f>
        <v>Agricola del Chira PlantaSan Vicente764020451156969960</v>
      </c>
      <c r="B1775" t="s">
        <v>280</v>
      </c>
      <c r="C1775" t="s">
        <v>44</v>
      </c>
      <c r="D1775" s="11">
        <v>45656</v>
      </c>
      <c r="E1775" t="s">
        <v>48</v>
      </c>
      <c r="F1775" t="s">
        <v>12</v>
      </c>
      <c r="G1775">
        <v>764020</v>
      </c>
      <c r="H1775">
        <v>4511569699</v>
      </c>
      <c r="I1775">
        <v>60</v>
      </c>
      <c r="J1775" s="29">
        <v>3</v>
      </c>
      <c r="K1775" s="29" t="s">
        <v>100</v>
      </c>
      <c r="L1775" t="str">
        <f>IFERROR(VLOOKUP(Detalle_OC[[#This Row],[Centro]]&amp;Detalle_OC[[#This Row],[Nro Almacen]],Almacen!A:D,4,FALSE),"")</f>
        <v>San Vicente</v>
      </c>
    </row>
    <row r="1776" spans="1:12" x14ac:dyDescent="0.3">
      <c r="A1776" s="29" t="str">
        <f>Detalle_OC[[#This Row],[Centro]]&amp;Detalle_OC[[#This Row],[Nom Almacen]]&amp;Detalle_OC[[#This Row],[Material]]&amp;Detalle_OC[[#This Row],[Pedido]]&amp;Detalle_OC[[#This Row],[Posicion]]</f>
        <v>Agricola del Chira PlantaSan Vicente70007468451156969970</v>
      </c>
      <c r="B1776" t="s">
        <v>280</v>
      </c>
      <c r="C1776" t="s">
        <v>44</v>
      </c>
      <c r="D1776" s="11">
        <v>45626</v>
      </c>
      <c r="E1776" t="s">
        <v>48</v>
      </c>
      <c r="F1776" t="s">
        <v>12</v>
      </c>
      <c r="G1776">
        <v>70007468</v>
      </c>
      <c r="H1776">
        <v>4511569699</v>
      </c>
      <c r="I1776">
        <v>70</v>
      </c>
      <c r="J1776" s="29">
        <v>3</v>
      </c>
      <c r="K1776" s="29" t="s">
        <v>100</v>
      </c>
      <c r="L1776" t="str">
        <f>IFERROR(VLOOKUP(Detalle_OC[[#This Row],[Centro]]&amp;Detalle_OC[[#This Row],[Nro Almacen]],Almacen!A:D,4,FALSE),"")</f>
        <v>San Vicente</v>
      </c>
    </row>
    <row r="1777" spans="1:12" x14ac:dyDescent="0.3">
      <c r="A1777" s="29" t="str">
        <f>Detalle_OC[[#This Row],[Centro]]&amp;Detalle_OC[[#This Row],[Nom Almacen]]&amp;Detalle_OC[[#This Row],[Material]]&amp;Detalle_OC[[#This Row],[Pedido]]&amp;Detalle_OC[[#This Row],[Posicion]]</f>
        <v>Agricola del Chira PlantaSan Vicente735240451156969980</v>
      </c>
      <c r="B1777" t="s">
        <v>280</v>
      </c>
      <c r="C1777" t="s">
        <v>44</v>
      </c>
      <c r="D1777" s="11">
        <v>45626</v>
      </c>
      <c r="E1777" t="s">
        <v>48</v>
      </c>
      <c r="F1777" t="s">
        <v>12</v>
      </c>
      <c r="G1777">
        <v>735240</v>
      </c>
      <c r="H1777">
        <v>4511569699</v>
      </c>
      <c r="I1777">
        <v>80</v>
      </c>
      <c r="J1777" s="29">
        <v>3</v>
      </c>
      <c r="K1777" s="29" t="s">
        <v>100</v>
      </c>
      <c r="L1777" t="str">
        <f>IFERROR(VLOOKUP(Detalle_OC[[#This Row],[Centro]]&amp;Detalle_OC[[#This Row],[Nro Almacen]],Almacen!A:D,4,FALSE),"")</f>
        <v>San Vicente</v>
      </c>
    </row>
    <row r="1778" spans="1:12" x14ac:dyDescent="0.3">
      <c r="A1778" s="29" t="str">
        <f>Detalle_OC[[#This Row],[Centro]]&amp;Detalle_OC[[#This Row],[Nom Almacen]]&amp;Detalle_OC[[#This Row],[Material]]&amp;Detalle_OC[[#This Row],[Pedido]]&amp;Detalle_OC[[#This Row],[Posicion]]</f>
        <v>Agricola del Chira PlantaSan Vicente718869451156969990</v>
      </c>
      <c r="B1778" t="s">
        <v>280</v>
      </c>
      <c r="C1778" t="s">
        <v>44</v>
      </c>
      <c r="D1778" s="11">
        <v>45656</v>
      </c>
      <c r="E1778" t="s">
        <v>48</v>
      </c>
      <c r="F1778" t="s">
        <v>12</v>
      </c>
      <c r="G1778">
        <v>718869</v>
      </c>
      <c r="H1778">
        <v>4511569699</v>
      </c>
      <c r="I1778">
        <v>90</v>
      </c>
      <c r="J1778" s="29">
        <v>3</v>
      </c>
      <c r="K1778" s="29" t="s">
        <v>100</v>
      </c>
      <c r="L1778" t="str">
        <f>IFERROR(VLOOKUP(Detalle_OC[[#This Row],[Centro]]&amp;Detalle_OC[[#This Row],[Nro Almacen]],Almacen!A:D,4,FALSE),"")</f>
        <v>San Vicente</v>
      </c>
    </row>
    <row r="1779" spans="1:12" x14ac:dyDescent="0.3">
      <c r="A1779" s="29" t="str">
        <f>Detalle_OC[[#This Row],[Centro]]&amp;Detalle_OC[[#This Row],[Nom Almacen]]&amp;Detalle_OC[[#This Row],[Material]]&amp;Detalle_OC[[#This Row],[Pedido]]&amp;Detalle_OC[[#This Row],[Posicion]]</f>
        <v>Agricola del Chira PlantaSan VicenteCK00000598        4511569699100</v>
      </c>
      <c r="B1779" t="s">
        <v>280</v>
      </c>
      <c r="C1779" t="s">
        <v>44</v>
      </c>
      <c r="D1779" s="11">
        <v>45656</v>
      </c>
      <c r="E1779" t="s">
        <v>48</v>
      </c>
      <c r="F1779" t="s">
        <v>12</v>
      </c>
      <c r="G1779" t="s">
        <v>233</v>
      </c>
      <c r="H1779">
        <v>4511569699</v>
      </c>
      <c r="I1779">
        <v>100</v>
      </c>
      <c r="J1779" s="29">
        <v>3</v>
      </c>
      <c r="K1779" s="29" t="s">
        <v>100</v>
      </c>
      <c r="L1779" t="str">
        <f>IFERROR(VLOOKUP(Detalle_OC[[#This Row],[Centro]]&amp;Detalle_OC[[#This Row],[Nro Almacen]],Almacen!A:D,4,FALSE),"")</f>
        <v>San Vicente</v>
      </c>
    </row>
    <row r="1780" spans="1:12" x14ac:dyDescent="0.3">
      <c r="A1780" s="29" t="str">
        <f>Detalle_OC[[#This Row],[Centro]]&amp;Detalle_OC[[#This Row],[Nom Almacen]]&amp;Detalle_OC[[#This Row],[Material]]&amp;Detalle_OC[[#This Row],[Pedido]]&amp;Detalle_OC[[#This Row],[Posicion]]</f>
        <v>Agricola del Chira PlantaSan Vicente7343214511569699110</v>
      </c>
      <c r="B1780" t="s">
        <v>280</v>
      </c>
      <c r="C1780" t="s">
        <v>44</v>
      </c>
      <c r="D1780" s="11">
        <v>45656</v>
      </c>
      <c r="E1780" t="s">
        <v>48</v>
      </c>
      <c r="F1780" t="s">
        <v>12</v>
      </c>
      <c r="G1780">
        <v>734321</v>
      </c>
      <c r="H1780">
        <v>4511569699</v>
      </c>
      <c r="I1780">
        <v>110</v>
      </c>
      <c r="J1780" s="29">
        <v>3</v>
      </c>
      <c r="K1780" s="29" t="s">
        <v>100</v>
      </c>
      <c r="L1780" t="str">
        <f>IFERROR(VLOOKUP(Detalle_OC[[#This Row],[Centro]]&amp;Detalle_OC[[#This Row],[Nro Almacen]],Almacen!A:D,4,FALSE),"")</f>
        <v>San Vicente</v>
      </c>
    </row>
    <row r="1781" spans="1:12" x14ac:dyDescent="0.3">
      <c r="A1781" s="29" t="str">
        <f>Detalle_OC[[#This Row],[Centro]]&amp;Detalle_OC[[#This Row],[Nom Almacen]]&amp;Detalle_OC[[#This Row],[Material]]&amp;Detalle_OC[[#This Row],[Pedido]]&amp;Detalle_OC[[#This Row],[Posicion]]</f>
        <v>Agricola del Chira PlantaSan Vicente7185984511569699120</v>
      </c>
      <c r="B1781" t="s">
        <v>280</v>
      </c>
      <c r="C1781" t="s">
        <v>44</v>
      </c>
      <c r="D1781" s="11">
        <v>45656</v>
      </c>
      <c r="E1781" t="s">
        <v>48</v>
      </c>
      <c r="F1781" t="s">
        <v>12</v>
      </c>
      <c r="G1781">
        <v>718598</v>
      </c>
      <c r="H1781">
        <v>4511569699</v>
      </c>
      <c r="I1781">
        <v>120</v>
      </c>
      <c r="J1781" s="29">
        <v>3</v>
      </c>
      <c r="K1781" s="29" t="s">
        <v>100</v>
      </c>
      <c r="L1781" t="str">
        <f>IFERROR(VLOOKUP(Detalle_OC[[#This Row],[Centro]]&amp;Detalle_OC[[#This Row],[Nro Almacen]],Almacen!A:D,4,FALSE),"")</f>
        <v>San Vicente</v>
      </c>
    </row>
    <row r="1782" spans="1:12" x14ac:dyDescent="0.3">
      <c r="A1782" s="29" t="str">
        <f>Detalle_OC[[#This Row],[Centro]]&amp;Detalle_OC[[#This Row],[Nom Almacen]]&amp;Detalle_OC[[#This Row],[Material]]&amp;Detalle_OC[[#This Row],[Pedido]]&amp;Detalle_OC[[#This Row],[Posicion]]</f>
        <v>Agricola del Chira PlantaMontelima754593451156970010</v>
      </c>
      <c r="B1782" t="s">
        <v>287</v>
      </c>
      <c r="C1782" t="s">
        <v>44</v>
      </c>
      <c r="D1782" s="11">
        <v>45641</v>
      </c>
      <c r="E1782" t="s">
        <v>48</v>
      </c>
      <c r="F1782" t="s">
        <v>12</v>
      </c>
      <c r="G1782">
        <v>754593</v>
      </c>
      <c r="H1782">
        <v>4511569700</v>
      </c>
      <c r="I1782">
        <v>10</v>
      </c>
      <c r="J1782" s="29">
        <v>1</v>
      </c>
      <c r="K1782" s="29" t="s">
        <v>100</v>
      </c>
      <c r="L1782" t="str">
        <f>IFERROR(VLOOKUP(Detalle_OC[[#This Row],[Centro]]&amp;Detalle_OC[[#This Row],[Nro Almacen]],Almacen!A:D,4,FALSE),"")</f>
        <v>Montelima</v>
      </c>
    </row>
    <row r="1783" spans="1:12" x14ac:dyDescent="0.3">
      <c r="A1783" s="29" t="str">
        <f>Detalle_OC[[#This Row],[Centro]]&amp;Detalle_OC[[#This Row],[Nom Almacen]]&amp;Detalle_OC[[#This Row],[Material]]&amp;Detalle_OC[[#This Row],[Pedido]]&amp;Detalle_OC[[#This Row],[Posicion]]</f>
        <v>Agricola del Chira PlantaMontelima721546451156970020</v>
      </c>
      <c r="B1783" t="s">
        <v>287</v>
      </c>
      <c r="C1783" t="s">
        <v>44</v>
      </c>
      <c r="D1783" s="11">
        <v>45641</v>
      </c>
      <c r="E1783" t="s">
        <v>48</v>
      </c>
      <c r="F1783" t="s">
        <v>12</v>
      </c>
      <c r="G1783">
        <v>721546</v>
      </c>
      <c r="H1783">
        <v>4511569700</v>
      </c>
      <c r="I1783">
        <v>20</v>
      </c>
      <c r="J1783" s="29">
        <v>1</v>
      </c>
      <c r="K1783" s="29" t="s">
        <v>100</v>
      </c>
      <c r="L1783" t="str">
        <f>IFERROR(VLOOKUP(Detalle_OC[[#This Row],[Centro]]&amp;Detalle_OC[[#This Row],[Nro Almacen]],Almacen!A:D,4,FALSE),"")</f>
        <v>Montelima</v>
      </c>
    </row>
    <row r="1784" spans="1:12" x14ac:dyDescent="0.3">
      <c r="A1784" s="29" t="str">
        <f>Detalle_OC[[#This Row],[Centro]]&amp;Detalle_OC[[#This Row],[Nom Almacen]]&amp;Detalle_OC[[#This Row],[Material]]&amp;Detalle_OC[[#This Row],[Pedido]]&amp;Detalle_OC[[#This Row],[Posicion]]</f>
        <v>Agricola del Chira PlantaMontelima718753451156970030</v>
      </c>
      <c r="B1784" t="s">
        <v>287</v>
      </c>
      <c r="C1784" t="s">
        <v>44</v>
      </c>
      <c r="D1784" s="11">
        <v>45641</v>
      </c>
      <c r="E1784" t="s">
        <v>48</v>
      </c>
      <c r="F1784" t="s">
        <v>12</v>
      </c>
      <c r="G1784">
        <v>718753</v>
      </c>
      <c r="H1784">
        <v>4511569700</v>
      </c>
      <c r="I1784">
        <v>30</v>
      </c>
      <c r="J1784" s="29">
        <v>1</v>
      </c>
      <c r="K1784" s="29" t="s">
        <v>100</v>
      </c>
      <c r="L1784" t="str">
        <f>IFERROR(VLOOKUP(Detalle_OC[[#This Row],[Centro]]&amp;Detalle_OC[[#This Row],[Nro Almacen]],Almacen!A:D,4,FALSE),"")</f>
        <v>Montelima</v>
      </c>
    </row>
    <row r="1785" spans="1:12" x14ac:dyDescent="0.3">
      <c r="A1785" s="29" t="str">
        <f>Detalle_OC[[#This Row],[Centro]]&amp;Detalle_OC[[#This Row],[Nom Almacen]]&amp;Detalle_OC[[#This Row],[Material]]&amp;Detalle_OC[[#This Row],[Pedido]]&amp;Detalle_OC[[#This Row],[Posicion]]</f>
        <v>Agricola del Chira PlantaMontelima763987451156970040</v>
      </c>
      <c r="B1785" t="s">
        <v>287</v>
      </c>
      <c r="C1785" t="s">
        <v>44</v>
      </c>
      <c r="D1785" s="11">
        <v>45641</v>
      </c>
      <c r="E1785" t="s">
        <v>48</v>
      </c>
      <c r="F1785" t="s">
        <v>12</v>
      </c>
      <c r="G1785">
        <v>763987</v>
      </c>
      <c r="H1785">
        <v>4511569700</v>
      </c>
      <c r="I1785">
        <v>40</v>
      </c>
      <c r="J1785" s="29">
        <v>1</v>
      </c>
      <c r="K1785" s="29" t="s">
        <v>100</v>
      </c>
      <c r="L1785" t="str">
        <f>IFERROR(VLOOKUP(Detalle_OC[[#This Row],[Centro]]&amp;Detalle_OC[[#This Row],[Nro Almacen]],Almacen!A:D,4,FALSE),"")</f>
        <v>Montelima</v>
      </c>
    </row>
    <row r="1786" spans="1:12" x14ac:dyDescent="0.3">
      <c r="A1786" s="29" t="str">
        <f>Detalle_OC[[#This Row],[Centro]]&amp;Detalle_OC[[#This Row],[Nom Almacen]]&amp;Detalle_OC[[#This Row],[Material]]&amp;Detalle_OC[[#This Row],[Pedido]]&amp;Detalle_OC[[#This Row],[Posicion]]</f>
        <v>Agricola del Chira PlantaMontelima763988451156970050</v>
      </c>
      <c r="B1786" t="s">
        <v>287</v>
      </c>
      <c r="C1786" t="s">
        <v>44</v>
      </c>
      <c r="D1786" s="11">
        <v>45641</v>
      </c>
      <c r="E1786" t="s">
        <v>48</v>
      </c>
      <c r="F1786" t="s">
        <v>12</v>
      </c>
      <c r="G1786">
        <v>763988</v>
      </c>
      <c r="H1786">
        <v>4511569700</v>
      </c>
      <c r="I1786">
        <v>50</v>
      </c>
      <c r="J1786" s="29">
        <v>1</v>
      </c>
      <c r="K1786" s="29" t="s">
        <v>100</v>
      </c>
      <c r="L1786" t="str">
        <f>IFERROR(VLOOKUP(Detalle_OC[[#This Row],[Centro]]&amp;Detalle_OC[[#This Row],[Nro Almacen]],Almacen!A:D,4,FALSE),"")</f>
        <v>Montelima</v>
      </c>
    </row>
    <row r="1787" spans="1:12" x14ac:dyDescent="0.3">
      <c r="A1787" s="29" t="str">
        <f>Detalle_OC[[#This Row],[Centro]]&amp;Detalle_OC[[#This Row],[Nom Almacen]]&amp;Detalle_OC[[#This Row],[Material]]&amp;Detalle_OC[[#This Row],[Pedido]]&amp;Detalle_OC[[#This Row],[Posicion]]</f>
        <v>Agricola del Chira PlantaMontelima764040451156970060</v>
      </c>
      <c r="B1787" t="s">
        <v>287</v>
      </c>
      <c r="C1787" t="s">
        <v>44</v>
      </c>
      <c r="D1787" s="11">
        <v>45641</v>
      </c>
      <c r="E1787" t="s">
        <v>48</v>
      </c>
      <c r="F1787" t="s">
        <v>12</v>
      </c>
      <c r="G1787">
        <v>764040</v>
      </c>
      <c r="H1787">
        <v>4511569700</v>
      </c>
      <c r="I1787">
        <v>60</v>
      </c>
      <c r="J1787" s="29">
        <v>1</v>
      </c>
      <c r="K1787" s="29" t="s">
        <v>100</v>
      </c>
      <c r="L1787" t="str">
        <f>IFERROR(VLOOKUP(Detalle_OC[[#This Row],[Centro]]&amp;Detalle_OC[[#This Row],[Nro Almacen]],Almacen!A:D,4,FALSE),"")</f>
        <v>Montelima</v>
      </c>
    </row>
    <row r="1788" spans="1:12" x14ac:dyDescent="0.3">
      <c r="A1788" s="29" t="str">
        <f>Detalle_OC[[#This Row],[Centro]]&amp;Detalle_OC[[#This Row],[Nom Almacen]]&amp;Detalle_OC[[#This Row],[Material]]&amp;Detalle_OC[[#This Row],[Pedido]]&amp;Detalle_OC[[#This Row],[Posicion]]</f>
        <v>Agricola del Chira PlantaMontelimaCK00000092        451156970070</v>
      </c>
      <c r="B1788" t="s">
        <v>287</v>
      </c>
      <c r="C1788" t="s">
        <v>44</v>
      </c>
      <c r="D1788" s="11">
        <v>45641</v>
      </c>
      <c r="E1788" t="s">
        <v>48</v>
      </c>
      <c r="F1788" t="s">
        <v>12</v>
      </c>
      <c r="G1788" t="s">
        <v>1081</v>
      </c>
      <c r="H1788">
        <v>4511569700</v>
      </c>
      <c r="I1788">
        <v>70</v>
      </c>
      <c r="J1788" s="29">
        <v>1</v>
      </c>
      <c r="K1788" s="29" t="s">
        <v>100</v>
      </c>
      <c r="L1788" t="str">
        <f>IFERROR(VLOOKUP(Detalle_OC[[#This Row],[Centro]]&amp;Detalle_OC[[#This Row],[Nro Almacen]],Almacen!A:D,4,FALSE),"")</f>
        <v>Montelima</v>
      </c>
    </row>
    <row r="1789" spans="1:12" x14ac:dyDescent="0.3">
      <c r="A1789" s="29" t="str">
        <f>Detalle_OC[[#This Row],[Centro]]&amp;Detalle_OC[[#This Row],[Nom Almacen]]&amp;Detalle_OC[[#This Row],[Material]]&amp;Detalle_OC[[#This Row],[Pedido]]&amp;Detalle_OC[[#This Row],[Posicion]]</f>
        <v>Agricola del Chira PlantaMontelima764012451156970080</v>
      </c>
      <c r="B1789" t="s">
        <v>287</v>
      </c>
      <c r="C1789" t="s">
        <v>44</v>
      </c>
      <c r="D1789" s="11">
        <v>45641</v>
      </c>
      <c r="E1789" t="s">
        <v>48</v>
      </c>
      <c r="F1789" t="s">
        <v>12</v>
      </c>
      <c r="G1789">
        <v>764012</v>
      </c>
      <c r="H1789">
        <v>4511569700</v>
      </c>
      <c r="I1789">
        <v>80</v>
      </c>
      <c r="J1789" s="29">
        <v>1</v>
      </c>
      <c r="K1789" s="29" t="s">
        <v>100</v>
      </c>
      <c r="L1789" t="str">
        <f>IFERROR(VLOOKUP(Detalle_OC[[#This Row],[Centro]]&amp;Detalle_OC[[#This Row],[Nro Almacen]],Almacen!A:D,4,FALSE),"")</f>
        <v>Montelima</v>
      </c>
    </row>
    <row r="1790" spans="1:12" x14ac:dyDescent="0.3">
      <c r="A1790" s="29" t="str">
        <f>Detalle_OC[[#This Row],[Centro]]&amp;Detalle_OC[[#This Row],[Nom Almacen]]&amp;Detalle_OC[[#This Row],[Material]]&amp;Detalle_OC[[#This Row],[Pedido]]&amp;Detalle_OC[[#This Row],[Posicion]]</f>
        <v>Agricola del Chira PlantaMontelima718612451156970090</v>
      </c>
      <c r="B1790" t="s">
        <v>287</v>
      </c>
      <c r="C1790" t="s">
        <v>44</v>
      </c>
      <c r="D1790" s="11">
        <v>45641</v>
      </c>
      <c r="E1790" t="s">
        <v>48</v>
      </c>
      <c r="F1790" t="s">
        <v>12</v>
      </c>
      <c r="G1790">
        <v>718612</v>
      </c>
      <c r="H1790">
        <v>4511569700</v>
      </c>
      <c r="I1790">
        <v>90</v>
      </c>
      <c r="J1790" s="29">
        <v>1</v>
      </c>
      <c r="K1790" s="29" t="s">
        <v>100</v>
      </c>
      <c r="L1790" t="str">
        <f>IFERROR(VLOOKUP(Detalle_OC[[#This Row],[Centro]]&amp;Detalle_OC[[#This Row],[Nro Almacen]],Almacen!A:D,4,FALSE),"")</f>
        <v>Montelima</v>
      </c>
    </row>
    <row r="1791" spans="1:12" x14ac:dyDescent="0.3">
      <c r="A1791" s="29" t="str">
        <f>Detalle_OC[[#This Row],[Centro]]&amp;Detalle_OC[[#This Row],[Nom Almacen]]&amp;Detalle_OC[[#This Row],[Material]]&amp;Detalle_OC[[#This Row],[Pedido]]&amp;Detalle_OC[[#This Row],[Posicion]]</f>
        <v>Agricola del Chira PlantaMontelima700074684511569700100</v>
      </c>
      <c r="B1791" t="s">
        <v>287</v>
      </c>
      <c r="C1791" t="s">
        <v>44</v>
      </c>
      <c r="D1791" s="11">
        <v>45641</v>
      </c>
      <c r="E1791" t="s">
        <v>48</v>
      </c>
      <c r="F1791" t="s">
        <v>12</v>
      </c>
      <c r="G1791">
        <v>70007468</v>
      </c>
      <c r="H1791">
        <v>4511569700</v>
      </c>
      <c r="I1791">
        <v>100</v>
      </c>
      <c r="J1791" s="29">
        <v>1</v>
      </c>
      <c r="K1791" s="29" t="s">
        <v>100</v>
      </c>
      <c r="L1791" t="str">
        <f>IFERROR(VLOOKUP(Detalle_OC[[#This Row],[Centro]]&amp;Detalle_OC[[#This Row],[Nro Almacen]],Almacen!A:D,4,FALSE),"")</f>
        <v>Montelima</v>
      </c>
    </row>
    <row r="1792" spans="1:12" x14ac:dyDescent="0.3">
      <c r="A1792" s="29" t="str">
        <f>Detalle_OC[[#This Row],[Centro]]&amp;Detalle_OC[[#This Row],[Nom Almacen]]&amp;Detalle_OC[[#This Row],[Material]]&amp;Detalle_OC[[#This Row],[Pedido]]&amp;Detalle_OC[[#This Row],[Posicion]]</f>
        <v>Agricola del Chira PlantaMontelima7423034511569700110</v>
      </c>
      <c r="B1792" t="s">
        <v>287</v>
      </c>
      <c r="C1792" t="s">
        <v>44</v>
      </c>
      <c r="D1792" s="11">
        <v>45641</v>
      </c>
      <c r="E1792" t="s">
        <v>48</v>
      </c>
      <c r="F1792" t="s">
        <v>12</v>
      </c>
      <c r="G1792">
        <v>742303</v>
      </c>
      <c r="H1792">
        <v>4511569700</v>
      </c>
      <c r="I1792">
        <v>110</v>
      </c>
      <c r="J1792" s="29">
        <v>1</v>
      </c>
      <c r="K1792" s="29" t="s">
        <v>100</v>
      </c>
      <c r="L1792" t="str">
        <f>IFERROR(VLOOKUP(Detalle_OC[[#This Row],[Centro]]&amp;Detalle_OC[[#This Row],[Nro Almacen]],Almacen!A:D,4,FALSE),"")</f>
        <v>Montelima</v>
      </c>
    </row>
    <row r="1793" spans="1:12" x14ac:dyDescent="0.3">
      <c r="A1793" s="29" t="str">
        <f>Detalle_OC[[#This Row],[Centro]]&amp;Detalle_OC[[#This Row],[Nom Almacen]]&amp;Detalle_OC[[#This Row],[Material]]&amp;Detalle_OC[[#This Row],[Pedido]]&amp;Detalle_OC[[#This Row],[Posicion]]</f>
        <v>Agricola del Chira PlantaMontelimaCK00000122        4511569700120</v>
      </c>
      <c r="B1793" t="s">
        <v>287</v>
      </c>
      <c r="C1793" t="s">
        <v>44</v>
      </c>
      <c r="D1793" s="11">
        <v>45641</v>
      </c>
      <c r="E1793" t="s">
        <v>48</v>
      </c>
      <c r="F1793" t="s">
        <v>12</v>
      </c>
      <c r="G1793" t="s">
        <v>248</v>
      </c>
      <c r="H1793">
        <v>4511569700</v>
      </c>
      <c r="I1793">
        <v>120</v>
      </c>
      <c r="J1793" s="29">
        <v>1</v>
      </c>
      <c r="K1793" s="29" t="s">
        <v>100</v>
      </c>
      <c r="L1793" t="str">
        <f>IFERROR(VLOOKUP(Detalle_OC[[#This Row],[Centro]]&amp;Detalle_OC[[#This Row],[Nro Almacen]],Almacen!A:D,4,FALSE),"")</f>
        <v>Montelima</v>
      </c>
    </row>
    <row r="1794" spans="1:12" x14ac:dyDescent="0.3">
      <c r="A1794" s="29" t="str">
        <f>Detalle_OC[[#This Row],[Centro]]&amp;Detalle_OC[[#This Row],[Nom Almacen]]&amp;Detalle_OC[[#This Row],[Material]]&amp;Detalle_OC[[#This Row],[Pedido]]&amp;Detalle_OC[[#This Row],[Posicion]]</f>
        <v>Agricola del Chira PlantaMontelimaCK00000121        4511569700130</v>
      </c>
      <c r="B1794" t="s">
        <v>287</v>
      </c>
      <c r="C1794" t="s">
        <v>44</v>
      </c>
      <c r="D1794" s="11">
        <v>45641</v>
      </c>
      <c r="E1794" t="s">
        <v>48</v>
      </c>
      <c r="F1794" t="s">
        <v>12</v>
      </c>
      <c r="G1794" t="s">
        <v>247</v>
      </c>
      <c r="H1794">
        <v>4511569700</v>
      </c>
      <c r="I1794">
        <v>130</v>
      </c>
      <c r="J1794" s="29">
        <v>1</v>
      </c>
      <c r="K1794" s="29" t="s">
        <v>100</v>
      </c>
      <c r="L1794" t="str">
        <f>IFERROR(VLOOKUP(Detalle_OC[[#This Row],[Centro]]&amp;Detalle_OC[[#This Row],[Nro Almacen]],Almacen!A:D,4,FALSE),"")</f>
        <v>Montelima</v>
      </c>
    </row>
    <row r="1795" spans="1:12" x14ac:dyDescent="0.3">
      <c r="A1795" s="29" t="str">
        <f>Detalle_OC[[#This Row],[Centro]]&amp;Detalle_OC[[#This Row],[Nom Almacen]]&amp;Detalle_OC[[#This Row],[Material]]&amp;Detalle_OC[[#This Row],[Pedido]]&amp;Detalle_OC[[#This Row],[Posicion]]</f>
        <v>Agricola del Chira PlantaMontelimaCK00000123        4511569700140</v>
      </c>
      <c r="B1795" t="s">
        <v>287</v>
      </c>
      <c r="C1795" t="s">
        <v>44</v>
      </c>
      <c r="D1795" s="11">
        <v>45641</v>
      </c>
      <c r="E1795" t="s">
        <v>48</v>
      </c>
      <c r="F1795" t="s">
        <v>12</v>
      </c>
      <c r="G1795" t="s">
        <v>250</v>
      </c>
      <c r="H1795">
        <v>4511569700</v>
      </c>
      <c r="I1795">
        <v>140</v>
      </c>
      <c r="J1795" s="29">
        <v>1</v>
      </c>
      <c r="K1795" s="29" t="s">
        <v>100</v>
      </c>
      <c r="L1795" t="str">
        <f>IFERROR(VLOOKUP(Detalle_OC[[#This Row],[Centro]]&amp;Detalle_OC[[#This Row],[Nro Almacen]],Almacen!A:D,4,FALSE),"")</f>
        <v>Montelima</v>
      </c>
    </row>
    <row r="1796" spans="1:12" x14ac:dyDescent="0.3">
      <c r="A1796" s="29" t="str">
        <f>Detalle_OC[[#This Row],[Centro]]&amp;Detalle_OC[[#This Row],[Nom Almacen]]&amp;Detalle_OC[[#This Row],[Material]]&amp;Detalle_OC[[#This Row],[Pedido]]&amp;Detalle_OC[[#This Row],[Posicion]]</f>
        <v>Agricola del Chira PlantaMontelimaCET0711342        4511569700150</v>
      </c>
      <c r="B1796" t="s">
        <v>287</v>
      </c>
      <c r="C1796" t="s">
        <v>44</v>
      </c>
      <c r="D1796" s="11">
        <v>45641</v>
      </c>
      <c r="E1796" t="s">
        <v>48</v>
      </c>
      <c r="F1796" t="s">
        <v>12</v>
      </c>
      <c r="G1796" t="s">
        <v>249</v>
      </c>
      <c r="H1796">
        <v>4511569700</v>
      </c>
      <c r="I1796">
        <v>150</v>
      </c>
      <c r="J1796" s="29">
        <v>1</v>
      </c>
      <c r="K1796" s="29" t="s">
        <v>100</v>
      </c>
      <c r="L1796" t="str">
        <f>IFERROR(VLOOKUP(Detalle_OC[[#This Row],[Centro]]&amp;Detalle_OC[[#This Row],[Nro Almacen]],Almacen!A:D,4,FALSE),"")</f>
        <v>Montelima</v>
      </c>
    </row>
    <row r="1797" spans="1:12" x14ac:dyDescent="0.3">
      <c r="A1797" s="29" t="str">
        <f>Detalle_OC[[#This Row],[Centro]]&amp;Detalle_OC[[#This Row],[Nom Almacen]]&amp;Detalle_OC[[#This Row],[Material]]&amp;Detalle_OC[[#This Row],[Pedido]]&amp;Detalle_OC[[#This Row],[Posicion]]</f>
        <v>Agricola del Chira PlantaMontelima7764034511569700160</v>
      </c>
      <c r="B1797" t="s">
        <v>287</v>
      </c>
      <c r="C1797" t="s">
        <v>44</v>
      </c>
      <c r="D1797" s="11">
        <v>45641</v>
      </c>
      <c r="E1797" t="s">
        <v>48</v>
      </c>
      <c r="F1797" t="s">
        <v>12</v>
      </c>
      <c r="G1797">
        <v>776403</v>
      </c>
      <c r="H1797">
        <v>4511569700</v>
      </c>
      <c r="I1797">
        <v>160</v>
      </c>
      <c r="J1797" s="29">
        <v>1</v>
      </c>
      <c r="K1797" s="29" t="s">
        <v>100</v>
      </c>
      <c r="L1797" t="str">
        <f>IFERROR(VLOOKUP(Detalle_OC[[#This Row],[Centro]]&amp;Detalle_OC[[#This Row],[Nro Almacen]],Almacen!A:D,4,FALSE),"")</f>
        <v>Montelima</v>
      </c>
    </row>
    <row r="1798" spans="1:12" x14ac:dyDescent="0.3">
      <c r="A1798" s="29" t="str">
        <f>Detalle_OC[[#This Row],[Centro]]&amp;Detalle_OC[[#This Row],[Nom Almacen]]&amp;Detalle_OC[[#This Row],[Material]]&amp;Detalle_OC[[#This Row],[Pedido]]&amp;Detalle_OC[[#This Row],[Posicion]]</f>
        <v>Agricola del Chira PlantaMontelima7185984511569700170</v>
      </c>
      <c r="B1798" t="s">
        <v>287</v>
      </c>
      <c r="C1798" t="s">
        <v>44</v>
      </c>
      <c r="D1798" s="11">
        <v>45641</v>
      </c>
      <c r="E1798" t="s">
        <v>48</v>
      </c>
      <c r="F1798" t="s">
        <v>12</v>
      </c>
      <c r="G1798">
        <v>718598</v>
      </c>
      <c r="H1798">
        <v>4511569700</v>
      </c>
      <c r="I1798">
        <v>170</v>
      </c>
      <c r="J1798" s="29">
        <v>1</v>
      </c>
      <c r="K1798" s="29" t="s">
        <v>100</v>
      </c>
      <c r="L1798" t="str">
        <f>IFERROR(VLOOKUP(Detalle_OC[[#This Row],[Centro]]&amp;Detalle_OC[[#This Row],[Nro Almacen]],Almacen!A:D,4,FALSE),"")</f>
        <v>Montelima</v>
      </c>
    </row>
    <row r="1799" spans="1:12" x14ac:dyDescent="0.3">
      <c r="A1799" s="29" t="str">
        <f>Detalle_OC[[#This Row],[Centro]]&amp;Detalle_OC[[#This Row],[Nom Almacen]]&amp;Detalle_OC[[#This Row],[Material]]&amp;Detalle_OC[[#This Row],[Pedido]]&amp;Detalle_OC[[#This Row],[Posicion]]</f>
        <v>Agricola del Chira PlantaSan Vicente718616451156971710</v>
      </c>
      <c r="B1799" t="s">
        <v>1189</v>
      </c>
      <c r="C1799" t="s">
        <v>44</v>
      </c>
      <c r="D1799" s="11">
        <v>45641</v>
      </c>
      <c r="E1799" t="s">
        <v>48</v>
      </c>
      <c r="F1799" t="s">
        <v>12</v>
      </c>
      <c r="G1799">
        <v>718616</v>
      </c>
      <c r="H1799">
        <v>4511569717</v>
      </c>
      <c r="I1799">
        <v>10</v>
      </c>
      <c r="J1799" s="29">
        <v>3</v>
      </c>
      <c r="K1799" s="29" t="s">
        <v>100</v>
      </c>
      <c r="L1799" t="str">
        <f>IFERROR(VLOOKUP(Detalle_OC[[#This Row],[Centro]]&amp;Detalle_OC[[#This Row],[Nro Almacen]],Almacen!A:D,4,FALSE),"")</f>
        <v>San Vicente</v>
      </c>
    </row>
    <row r="1800" spans="1:12" x14ac:dyDescent="0.3">
      <c r="A1800" s="29" t="str">
        <f>Detalle_OC[[#This Row],[Centro]]&amp;Detalle_OC[[#This Row],[Nom Almacen]]&amp;Detalle_OC[[#This Row],[Material]]&amp;Detalle_OC[[#This Row],[Pedido]]&amp;Detalle_OC[[#This Row],[Posicion]]</f>
        <v>Agricola del Chira PlantaSan Vicente721558451156971720</v>
      </c>
      <c r="B1800" t="s">
        <v>1189</v>
      </c>
      <c r="C1800" t="s">
        <v>44</v>
      </c>
      <c r="D1800" s="11">
        <v>45641</v>
      </c>
      <c r="E1800" t="s">
        <v>48</v>
      </c>
      <c r="F1800" t="s">
        <v>12</v>
      </c>
      <c r="G1800">
        <v>721558</v>
      </c>
      <c r="H1800">
        <v>4511569717</v>
      </c>
      <c r="I1800">
        <v>20</v>
      </c>
      <c r="J1800" s="29">
        <v>3</v>
      </c>
      <c r="K1800" s="29" t="s">
        <v>100</v>
      </c>
      <c r="L1800" t="str">
        <f>IFERROR(VLOOKUP(Detalle_OC[[#This Row],[Centro]]&amp;Detalle_OC[[#This Row],[Nro Almacen]],Almacen!A:D,4,FALSE),"")</f>
        <v>San Vicente</v>
      </c>
    </row>
    <row r="1801" spans="1:12" x14ac:dyDescent="0.3">
      <c r="A1801" s="29" t="str">
        <f>Detalle_OC[[#This Row],[Centro]]&amp;Detalle_OC[[#This Row],[Nom Almacen]]&amp;Detalle_OC[[#This Row],[Material]]&amp;Detalle_OC[[#This Row],[Pedido]]&amp;Detalle_OC[[#This Row],[Posicion]]</f>
        <v>Agricola del Chira PlantaSan Vicente734967451156971730</v>
      </c>
      <c r="B1801" t="s">
        <v>1189</v>
      </c>
      <c r="C1801" t="s">
        <v>44</v>
      </c>
      <c r="D1801" s="11">
        <v>45641</v>
      </c>
      <c r="E1801" t="s">
        <v>48</v>
      </c>
      <c r="F1801" t="s">
        <v>12</v>
      </c>
      <c r="G1801">
        <v>734967</v>
      </c>
      <c r="H1801">
        <v>4511569717</v>
      </c>
      <c r="I1801">
        <v>30</v>
      </c>
      <c r="J1801" s="29">
        <v>3</v>
      </c>
      <c r="K1801" s="29" t="s">
        <v>100</v>
      </c>
      <c r="L1801" t="str">
        <f>IFERROR(VLOOKUP(Detalle_OC[[#This Row],[Centro]]&amp;Detalle_OC[[#This Row],[Nro Almacen]],Almacen!A:D,4,FALSE),"")</f>
        <v>San Vicente</v>
      </c>
    </row>
    <row r="1802" spans="1:12" x14ac:dyDescent="0.3">
      <c r="A1802" s="29" t="str">
        <f>Detalle_OC[[#This Row],[Centro]]&amp;Detalle_OC[[#This Row],[Nom Almacen]]&amp;Detalle_OC[[#This Row],[Material]]&amp;Detalle_OC[[#This Row],[Pedido]]&amp;Detalle_OC[[#This Row],[Posicion]]</f>
        <v>Agricola del Chira PlantaSan Vicente764012451156971740</v>
      </c>
      <c r="B1802" t="s">
        <v>1189</v>
      </c>
      <c r="C1802" t="s">
        <v>44</v>
      </c>
      <c r="D1802" s="11">
        <v>45641</v>
      </c>
      <c r="E1802" t="s">
        <v>48</v>
      </c>
      <c r="F1802" t="s">
        <v>12</v>
      </c>
      <c r="G1802">
        <v>764012</v>
      </c>
      <c r="H1802">
        <v>4511569717</v>
      </c>
      <c r="I1802">
        <v>40</v>
      </c>
      <c r="J1802" s="29">
        <v>3</v>
      </c>
      <c r="K1802" s="29" t="s">
        <v>100</v>
      </c>
      <c r="L1802" t="str">
        <f>IFERROR(VLOOKUP(Detalle_OC[[#This Row],[Centro]]&amp;Detalle_OC[[#This Row],[Nro Almacen]],Almacen!A:D,4,FALSE),"")</f>
        <v>San Vicente</v>
      </c>
    </row>
    <row r="1803" spans="1:12" x14ac:dyDescent="0.3">
      <c r="A1803" s="29" t="str">
        <f>Detalle_OC[[#This Row],[Centro]]&amp;Detalle_OC[[#This Row],[Nom Almacen]]&amp;Detalle_OC[[#This Row],[Material]]&amp;Detalle_OC[[#This Row],[Pedido]]&amp;Detalle_OC[[#This Row],[Posicion]]</f>
        <v>Agricola del Chira PlantaSan Vicente718604451156971750</v>
      </c>
      <c r="B1803" t="s">
        <v>1189</v>
      </c>
      <c r="C1803" t="s">
        <v>44</v>
      </c>
      <c r="D1803" s="11">
        <v>45641</v>
      </c>
      <c r="E1803" t="s">
        <v>48</v>
      </c>
      <c r="F1803" t="s">
        <v>12</v>
      </c>
      <c r="G1803">
        <v>718604</v>
      </c>
      <c r="H1803">
        <v>4511569717</v>
      </c>
      <c r="I1803">
        <v>50</v>
      </c>
      <c r="J1803" s="29">
        <v>3</v>
      </c>
      <c r="K1803" s="29" t="s">
        <v>100</v>
      </c>
      <c r="L1803" t="str">
        <f>IFERROR(VLOOKUP(Detalle_OC[[#This Row],[Centro]]&amp;Detalle_OC[[#This Row],[Nro Almacen]],Almacen!A:D,4,FALSE),"")</f>
        <v>San Vicente</v>
      </c>
    </row>
    <row r="1804" spans="1:12" x14ac:dyDescent="0.3">
      <c r="A1804" s="29" t="str">
        <f>Detalle_OC[[#This Row],[Centro]]&amp;Detalle_OC[[#This Row],[Nom Almacen]]&amp;Detalle_OC[[#This Row],[Material]]&amp;Detalle_OC[[#This Row],[Pedido]]&amp;Detalle_OC[[#This Row],[Posicion]]</f>
        <v>Agricola del Chira PlantaSan Vicente70012258451156971760</v>
      </c>
      <c r="B1804" t="s">
        <v>1189</v>
      </c>
      <c r="C1804" t="s">
        <v>44</v>
      </c>
      <c r="D1804" s="11">
        <v>45641</v>
      </c>
      <c r="E1804" t="s">
        <v>48</v>
      </c>
      <c r="F1804" t="s">
        <v>12</v>
      </c>
      <c r="G1804">
        <v>70012258</v>
      </c>
      <c r="H1804">
        <v>4511569717</v>
      </c>
      <c r="I1804">
        <v>60</v>
      </c>
      <c r="J1804" s="29">
        <v>3</v>
      </c>
      <c r="K1804" s="29" t="s">
        <v>100</v>
      </c>
      <c r="L1804" t="str">
        <f>IFERROR(VLOOKUP(Detalle_OC[[#This Row],[Centro]]&amp;Detalle_OC[[#This Row],[Nro Almacen]],Almacen!A:D,4,FALSE),"")</f>
        <v>San Vicente</v>
      </c>
    </row>
    <row r="1805" spans="1:12" x14ac:dyDescent="0.3">
      <c r="A1805" s="29" t="str">
        <f>Detalle_OC[[#This Row],[Centro]]&amp;Detalle_OC[[#This Row],[Nom Almacen]]&amp;Detalle_OC[[#This Row],[Material]]&amp;Detalle_OC[[#This Row],[Pedido]]&amp;Detalle_OC[[#This Row],[Posicion]]</f>
        <v>Agricola del Chira PlantaSan Vicente70012257451156971770</v>
      </c>
      <c r="B1805" t="s">
        <v>1189</v>
      </c>
      <c r="C1805" t="s">
        <v>44</v>
      </c>
      <c r="D1805" s="11">
        <v>45641</v>
      </c>
      <c r="E1805" t="s">
        <v>48</v>
      </c>
      <c r="F1805" t="s">
        <v>12</v>
      </c>
      <c r="G1805">
        <v>70012257</v>
      </c>
      <c r="H1805">
        <v>4511569717</v>
      </c>
      <c r="I1805">
        <v>70</v>
      </c>
      <c r="J1805" s="29">
        <v>3</v>
      </c>
      <c r="K1805" s="29" t="s">
        <v>100</v>
      </c>
      <c r="L1805" t="str">
        <f>IFERROR(VLOOKUP(Detalle_OC[[#This Row],[Centro]]&amp;Detalle_OC[[#This Row],[Nro Almacen]],Almacen!A:D,4,FALSE),"")</f>
        <v>San Vicente</v>
      </c>
    </row>
    <row r="1806" spans="1:12" x14ac:dyDescent="0.3">
      <c r="A1806" s="29" t="str">
        <f>Detalle_OC[[#This Row],[Centro]]&amp;Detalle_OC[[#This Row],[Nom Almacen]]&amp;Detalle_OC[[#This Row],[Material]]&amp;Detalle_OC[[#This Row],[Pedido]]&amp;Detalle_OC[[#This Row],[Posicion]]</f>
        <v>Agricola del Chira PlantaSan Vicente764020451156971780</v>
      </c>
      <c r="B1806" t="s">
        <v>1189</v>
      </c>
      <c r="C1806" t="s">
        <v>44</v>
      </c>
      <c r="D1806" s="11">
        <v>45641</v>
      </c>
      <c r="E1806" t="s">
        <v>48</v>
      </c>
      <c r="F1806" t="s">
        <v>12</v>
      </c>
      <c r="G1806">
        <v>764020</v>
      </c>
      <c r="H1806">
        <v>4511569717</v>
      </c>
      <c r="I1806">
        <v>80</v>
      </c>
      <c r="J1806" s="29">
        <v>3</v>
      </c>
      <c r="K1806" s="29" t="s">
        <v>100</v>
      </c>
      <c r="L1806" t="str">
        <f>IFERROR(VLOOKUP(Detalle_OC[[#This Row],[Centro]]&amp;Detalle_OC[[#This Row],[Nro Almacen]],Almacen!A:D,4,FALSE),"")</f>
        <v>San Vicente</v>
      </c>
    </row>
    <row r="1807" spans="1:12" x14ac:dyDescent="0.3">
      <c r="A1807" s="29" t="str">
        <f>Detalle_OC[[#This Row],[Centro]]&amp;Detalle_OC[[#This Row],[Nom Almacen]]&amp;Detalle_OC[[#This Row],[Material]]&amp;Detalle_OC[[#This Row],[Pedido]]&amp;Detalle_OC[[#This Row],[Posicion]]</f>
        <v>Agricola del Chira PlantaSan VicenteCC11190445        451156971790</v>
      </c>
      <c r="B1807" t="s">
        <v>1189</v>
      </c>
      <c r="C1807" t="s">
        <v>44</v>
      </c>
      <c r="D1807" s="11">
        <v>45641</v>
      </c>
      <c r="E1807" t="s">
        <v>48</v>
      </c>
      <c r="F1807" t="s">
        <v>12</v>
      </c>
      <c r="G1807" t="s">
        <v>246</v>
      </c>
      <c r="H1807">
        <v>4511569717</v>
      </c>
      <c r="I1807">
        <v>90</v>
      </c>
      <c r="J1807" s="29">
        <v>3</v>
      </c>
      <c r="K1807" s="29" t="s">
        <v>100</v>
      </c>
      <c r="L1807" t="str">
        <f>IFERROR(VLOOKUP(Detalle_OC[[#This Row],[Centro]]&amp;Detalle_OC[[#This Row],[Nro Almacen]],Almacen!A:D,4,FALSE),"")</f>
        <v>San Vicente</v>
      </c>
    </row>
    <row r="1808" spans="1:12" x14ac:dyDescent="0.3">
      <c r="A1808" s="29" t="str">
        <f>Detalle_OC[[#This Row],[Centro]]&amp;Detalle_OC[[#This Row],[Nom Almacen]]&amp;Detalle_OC[[#This Row],[Material]]&amp;Detalle_OC[[#This Row],[Pedido]]&amp;Detalle_OC[[#This Row],[Posicion]]</f>
        <v>Agricola del Chira PlantaSan VicenteCK00000598        4511569717100</v>
      </c>
      <c r="B1808" t="s">
        <v>1189</v>
      </c>
      <c r="C1808" t="s">
        <v>44</v>
      </c>
      <c r="D1808" s="11">
        <v>45641</v>
      </c>
      <c r="E1808" t="s">
        <v>48</v>
      </c>
      <c r="F1808" t="s">
        <v>12</v>
      </c>
      <c r="G1808" t="s">
        <v>233</v>
      </c>
      <c r="H1808">
        <v>4511569717</v>
      </c>
      <c r="I1808">
        <v>100</v>
      </c>
      <c r="J1808" s="29">
        <v>3</v>
      </c>
      <c r="K1808" s="29" t="s">
        <v>100</v>
      </c>
      <c r="L1808" t="str">
        <f>IFERROR(VLOOKUP(Detalle_OC[[#This Row],[Centro]]&amp;Detalle_OC[[#This Row],[Nro Almacen]],Almacen!A:D,4,FALSE),"")</f>
        <v>San Vicente</v>
      </c>
    </row>
    <row r="1809" spans="1:12" x14ac:dyDescent="0.3">
      <c r="A1809" s="29" t="str">
        <f>Detalle_OC[[#This Row],[Centro]]&amp;Detalle_OC[[#This Row],[Nom Almacen]]&amp;Detalle_OC[[#This Row],[Material]]&amp;Detalle_OC[[#This Row],[Pedido]]&amp;Detalle_OC[[#This Row],[Posicion]]</f>
        <v>Agricola del Chira PlantaSan Vicente7188154511569717110</v>
      </c>
      <c r="B1809" t="s">
        <v>1189</v>
      </c>
      <c r="C1809" t="s">
        <v>44</v>
      </c>
      <c r="D1809" s="11">
        <v>45641</v>
      </c>
      <c r="E1809" t="s">
        <v>48</v>
      </c>
      <c r="F1809" t="s">
        <v>12</v>
      </c>
      <c r="G1809">
        <v>718815</v>
      </c>
      <c r="H1809">
        <v>4511569717</v>
      </c>
      <c r="I1809">
        <v>110</v>
      </c>
      <c r="J1809" s="29">
        <v>3</v>
      </c>
      <c r="K1809" s="29" t="s">
        <v>100</v>
      </c>
      <c r="L1809" t="str">
        <f>IFERROR(VLOOKUP(Detalle_OC[[#This Row],[Centro]]&amp;Detalle_OC[[#This Row],[Nro Almacen]],Almacen!A:D,4,FALSE),"")</f>
        <v>San Vicente</v>
      </c>
    </row>
    <row r="1810" spans="1:12" x14ac:dyDescent="0.3">
      <c r="A1810" s="29" t="str">
        <f>Detalle_OC[[#This Row],[Centro]]&amp;Detalle_OC[[#This Row],[Nom Almacen]]&amp;Detalle_OC[[#This Row],[Material]]&amp;Detalle_OC[[#This Row],[Pedido]]&amp;Detalle_OC[[#This Row],[Posicion]]</f>
        <v>Agricola del Chira PlantaAlmacen Lobo758947451156973510</v>
      </c>
      <c r="B1810" t="s">
        <v>149</v>
      </c>
      <c r="C1810" t="s">
        <v>32</v>
      </c>
      <c r="D1810" s="11">
        <v>45628</v>
      </c>
      <c r="E1810" t="s">
        <v>16</v>
      </c>
      <c r="F1810" t="s">
        <v>12</v>
      </c>
      <c r="G1810">
        <v>758947</v>
      </c>
      <c r="H1810">
        <v>4511569735</v>
      </c>
      <c r="I1810">
        <v>10</v>
      </c>
      <c r="J1810" s="29">
        <v>7</v>
      </c>
      <c r="K1810" s="29" t="s">
        <v>100</v>
      </c>
      <c r="L1810" t="str">
        <f>IFERROR(VLOOKUP(Detalle_OC[[#This Row],[Centro]]&amp;Detalle_OC[[#This Row],[Nro Almacen]],Almacen!A:D,4,FALSE),"")</f>
        <v>Almacen Lobo</v>
      </c>
    </row>
    <row r="1811" spans="1:12" x14ac:dyDescent="0.3">
      <c r="A1811" s="29" t="str">
        <f>Detalle_OC[[#This Row],[Centro]]&amp;Detalle_OC[[#This Row],[Nom Almacen]]&amp;Detalle_OC[[#This Row],[Material]]&amp;Detalle_OC[[#This Row],[Pedido]]&amp;Detalle_OC[[#This Row],[Posicion]]</f>
        <v>Agricola del Chira PlantaAlmacen Lobo806643451156973520</v>
      </c>
      <c r="B1811" t="s">
        <v>149</v>
      </c>
      <c r="C1811" t="s">
        <v>32</v>
      </c>
      <c r="D1811" s="11">
        <v>45628</v>
      </c>
      <c r="E1811" t="s">
        <v>16</v>
      </c>
      <c r="F1811" t="s">
        <v>12</v>
      </c>
      <c r="G1811">
        <v>806643</v>
      </c>
      <c r="H1811">
        <v>4511569735</v>
      </c>
      <c r="I1811">
        <v>20</v>
      </c>
      <c r="J1811" s="29">
        <v>7</v>
      </c>
      <c r="K1811" s="29" t="s">
        <v>100</v>
      </c>
      <c r="L1811" t="str">
        <f>IFERROR(VLOOKUP(Detalle_OC[[#This Row],[Centro]]&amp;Detalle_OC[[#This Row],[Nro Almacen]],Almacen!A:D,4,FALSE),"")</f>
        <v>Almacen Lobo</v>
      </c>
    </row>
    <row r="1812" spans="1:12" x14ac:dyDescent="0.3">
      <c r="A1812" s="29" t="str">
        <f>Detalle_OC[[#This Row],[Centro]]&amp;Detalle_OC[[#This Row],[Nom Almacen]]&amp;Detalle_OC[[#This Row],[Material]]&amp;Detalle_OC[[#This Row],[Pedido]]&amp;Detalle_OC[[#This Row],[Posicion]]</f>
        <v>Agricola del Chira PlantaMontelima806644451156973530</v>
      </c>
      <c r="B1812" t="s">
        <v>149</v>
      </c>
      <c r="C1812" t="s">
        <v>32</v>
      </c>
      <c r="D1812" s="11">
        <v>45628</v>
      </c>
      <c r="E1812" t="s">
        <v>16</v>
      </c>
      <c r="F1812" t="s">
        <v>12</v>
      </c>
      <c r="G1812">
        <v>806644</v>
      </c>
      <c r="H1812">
        <v>4511569735</v>
      </c>
      <c r="I1812">
        <v>30</v>
      </c>
      <c r="J1812" s="29">
        <v>1</v>
      </c>
      <c r="K1812" s="29" t="s">
        <v>100</v>
      </c>
      <c r="L1812" t="str">
        <f>IFERROR(VLOOKUP(Detalle_OC[[#This Row],[Centro]]&amp;Detalle_OC[[#This Row],[Nro Almacen]],Almacen!A:D,4,FALSE),"")</f>
        <v>Montelima</v>
      </c>
    </row>
    <row r="1813" spans="1:12" x14ac:dyDescent="0.3">
      <c r="A1813" s="29" t="str">
        <f>Detalle_OC[[#This Row],[Centro]]&amp;Detalle_OC[[#This Row],[Nom Almacen]]&amp;Detalle_OC[[#This Row],[Material]]&amp;Detalle_OC[[#This Row],[Pedido]]&amp;Detalle_OC[[#This Row],[Posicion]]</f>
        <v>Agricola del Chira PlantaMontelima817614451156973540</v>
      </c>
      <c r="B1813" t="s">
        <v>149</v>
      </c>
      <c r="C1813" t="s">
        <v>32</v>
      </c>
      <c r="D1813" s="11">
        <v>45628</v>
      </c>
      <c r="E1813" t="s">
        <v>16</v>
      </c>
      <c r="F1813" t="s">
        <v>12</v>
      </c>
      <c r="G1813">
        <v>817614</v>
      </c>
      <c r="H1813">
        <v>4511569735</v>
      </c>
      <c r="I1813">
        <v>40</v>
      </c>
      <c r="J1813" s="29">
        <v>1</v>
      </c>
      <c r="K1813" s="29" t="s">
        <v>100</v>
      </c>
      <c r="L1813" t="str">
        <f>IFERROR(VLOOKUP(Detalle_OC[[#This Row],[Centro]]&amp;Detalle_OC[[#This Row],[Nro Almacen]],Almacen!A:D,4,FALSE),"")</f>
        <v>Montelima</v>
      </c>
    </row>
    <row r="1814" spans="1:12" x14ac:dyDescent="0.3">
      <c r="A1814" s="29" t="str">
        <f>Detalle_OC[[#This Row],[Centro]]&amp;Detalle_OC[[#This Row],[Nom Almacen]]&amp;Detalle_OC[[#This Row],[Material]]&amp;Detalle_OC[[#This Row],[Pedido]]&amp;Detalle_OC[[#This Row],[Posicion]]</f>
        <v>Agricola del Chira PlantaAlmacen Lobo828327451156973550</v>
      </c>
      <c r="B1814" t="s">
        <v>149</v>
      </c>
      <c r="C1814" t="s">
        <v>32</v>
      </c>
      <c r="D1814" s="11">
        <v>45628</v>
      </c>
      <c r="E1814" t="s">
        <v>16</v>
      </c>
      <c r="F1814" t="s">
        <v>12</v>
      </c>
      <c r="G1814">
        <v>828327</v>
      </c>
      <c r="H1814">
        <v>4511569735</v>
      </c>
      <c r="I1814">
        <v>50</v>
      </c>
      <c r="J1814" s="29">
        <v>7</v>
      </c>
      <c r="K1814" s="29" t="s">
        <v>100</v>
      </c>
      <c r="L1814" t="str">
        <f>IFERROR(VLOOKUP(Detalle_OC[[#This Row],[Centro]]&amp;Detalle_OC[[#This Row],[Nro Almacen]],Almacen!A:D,4,FALSE),"")</f>
        <v>Almacen Lobo</v>
      </c>
    </row>
    <row r="1815" spans="1:12" x14ac:dyDescent="0.3">
      <c r="A1815" s="29" t="str">
        <f>Detalle_OC[[#This Row],[Centro]]&amp;Detalle_OC[[#This Row],[Nom Almacen]]&amp;Detalle_OC[[#This Row],[Material]]&amp;Detalle_OC[[#This Row],[Pedido]]&amp;Detalle_OC[[#This Row],[Posicion]]</f>
        <v>Agricola del Chira PlantaMontelima885392451156973560</v>
      </c>
      <c r="B1815" t="s">
        <v>145</v>
      </c>
      <c r="C1815" t="s">
        <v>32</v>
      </c>
      <c r="D1815" s="11">
        <v>45628</v>
      </c>
      <c r="E1815" t="s">
        <v>16</v>
      </c>
      <c r="F1815" t="s">
        <v>12</v>
      </c>
      <c r="G1815">
        <v>885392</v>
      </c>
      <c r="H1815">
        <v>4511569735</v>
      </c>
      <c r="I1815">
        <v>60</v>
      </c>
      <c r="J1815" s="29">
        <v>1</v>
      </c>
      <c r="K1815" s="29" t="s">
        <v>100</v>
      </c>
      <c r="L1815" t="str">
        <f>IFERROR(VLOOKUP(Detalle_OC[[#This Row],[Centro]]&amp;Detalle_OC[[#This Row],[Nro Almacen]],Almacen!A:D,4,FALSE),"")</f>
        <v>Montelima</v>
      </c>
    </row>
    <row r="1816" spans="1:12" x14ac:dyDescent="0.3">
      <c r="A1816" s="29" t="str">
        <f>Detalle_OC[[#This Row],[Centro]]&amp;Detalle_OC[[#This Row],[Nom Almacen]]&amp;Detalle_OC[[#This Row],[Material]]&amp;Detalle_OC[[#This Row],[Pedido]]&amp;Detalle_OC[[#This Row],[Posicion]]</f>
        <v>Agricola del Chira PlantaAlmacen Lobo70006479451156973570</v>
      </c>
      <c r="B1816" t="s">
        <v>33</v>
      </c>
      <c r="C1816" t="s">
        <v>32</v>
      </c>
      <c r="D1816" s="11">
        <v>45628</v>
      </c>
      <c r="E1816" t="s">
        <v>16</v>
      </c>
      <c r="F1816" t="s">
        <v>12</v>
      </c>
      <c r="G1816">
        <v>70006479</v>
      </c>
      <c r="H1816">
        <v>4511569735</v>
      </c>
      <c r="I1816">
        <v>70</v>
      </c>
      <c r="J1816" s="29">
        <v>7</v>
      </c>
      <c r="K1816" s="29" t="s">
        <v>100</v>
      </c>
      <c r="L1816" t="str">
        <f>IFERROR(VLOOKUP(Detalle_OC[[#This Row],[Centro]]&amp;Detalle_OC[[#This Row],[Nro Almacen]],Almacen!A:D,4,FALSE),"")</f>
        <v>Almacen Lobo</v>
      </c>
    </row>
    <row r="1817" spans="1:12" x14ac:dyDescent="0.3">
      <c r="A1817" s="29" t="str">
        <f>Detalle_OC[[#This Row],[Centro]]&amp;Detalle_OC[[#This Row],[Nom Almacen]]&amp;Detalle_OC[[#This Row],[Material]]&amp;Detalle_OC[[#This Row],[Pedido]]&amp;Detalle_OC[[#This Row],[Posicion]]</f>
        <v>Agricola del Chira PlantaMontelima70019815451156973580</v>
      </c>
      <c r="B1817" t="s">
        <v>149</v>
      </c>
      <c r="C1817" t="s">
        <v>32</v>
      </c>
      <c r="D1817" s="11">
        <v>45628</v>
      </c>
      <c r="E1817" t="s">
        <v>16</v>
      </c>
      <c r="F1817" t="s">
        <v>12</v>
      </c>
      <c r="G1817">
        <v>70019815</v>
      </c>
      <c r="H1817">
        <v>4511569735</v>
      </c>
      <c r="I1817">
        <v>80</v>
      </c>
      <c r="J1817" s="29">
        <v>1</v>
      </c>
      <c r="K1817" s="29" t="s">
        <v>100</v>
      </c>
      <c r="L1817" t="str">
        <f>IFERROR(VLOOKUP(Detalle_OC[[#This Row],[Centro]]&amp;Detalle_OC[[#This Row],[Nro Almacen]],Almacen!A:D,4,FALSE),"")</f>
        <v>Montelima</v>
      </c>
    </row>
    <row r="1818" spans="1:12" x14ac:dyDescent="0.3">
      <c r="A1818" s="29" t="str">
        <f>Detalle_OC[[#This Row],[Centro]]&amp;Detalle_OC[[#This Row],[Nom Almacen]]&amp;Detalle_OC[[#This Row],[Material]]&amp;Detalle_OC[[#This Row],[Pedido]]&amp;Detalle_OC[[#This Row],[Posicion]]</f>
        <v>Agricola del Chira PlantaAlmacen Lobo70029448451156973590</v>
      </c>
      <c r="B1818" t="s">
        <v>33</v>
      </c>
      <c r="C1818" t="s">
        <v>32</v>
      </c>
      <c r="D1818" s="11">
        <v>45628</v>
      </c>
      <c r="E1818" t="s">
        <v>16</v>
      </c>
      <c r="F1818" t="s">
        <v>12</v>
      </c>
      <c r="G1818">
        <v>70029448</v>
      </c>
      <c r="H1818">
        <v>4511569735</v>
      </c>
      <c r="I1818">
        <v>90</v>
      </c>
      <c r="J1818" s="29">
        <v>7</v>
      </c>
      <c r="K1818" s="29" t="s">
        <v>100</v>
      </c>
      <c r="L1818" t="str">
        <f>IFERROR(VLOOKUP(Detalle_OC[[#This Row],[Centro]]&amp;Detalle_OC[[#This Row],[Nro Almacen]],Almacen!A:D,4,FALSE),"")</f>
        <v>Almacen Lobo</v>
      </c>
    </row>
    <row r="1819" spans="1:12" x14ac:dyDescent="0.3">
      <c r="A1819" s="29" t="str">
        <f>Detalle_OC[[#This Row],[Centro]]&amp;Detalle_OC[[#This Row],[Nom Almacen]]&amp;Detalle_OC[[#This Row],[Material]]&amp;Detalle_OC[[#This Row],[Pedido]]&amp;Detalle_OC[[#This Row],[Posicion]]</f>
        <v>Sucroalcolera del Chira PlantaMontelima809354451156973610</v>
      </c>
      <c r="B1819" t="s">
        <v>138</v>
      </c>
      <c r="C1819" t="s">
        <v>32</v>
      </c>
      <c r="D1819" s="11">
        <v>45628</v>
      </c>
      <c r="E1819" t="s">
        <v>16</v>
      </c>
      <c r="F1819" t="s">
        <v>85</v>
      </c>
      <c r="G1819">
        <v>809354</v>
      </c>
      <c r="H1819">
        <v>4511569736</v>
      </c>
      <c r="I1819">
        <v>10</v>
      </c>
      <c r="J1819" s="29">
        <v>1</v>
      </c>
      <c r="K1819" s="29" t="s">
        <v>100</v>
      </c>
      <c r="L1819" t="str">
        <f>IFERROR(VLOOKUP(Detalle_OC[[#This Row],[Centro]]&amp;Detalle_OC[[#This Row],[Nro Almacen]],Almacen!A:D,4,FALSE),"")</f>
        <v>Montelima</v>
      </c>
    </row>
    <row r="1820" spans="1:12" x14ac:dyDescent="0.3">
      <c r="A1820" s="29" t="str">
        <f>Detalle_OC[[#This Row],[Centro]]&amp;Detalle_OC[[#This Row],[Nom Almacen]]&amp;Detalle_OC[[#This Row],[Material]]&amp;Detalle_OC[[#This Row],[Pedido]]&amp;Detalle_OC[[#This Row],[Posicion]]</f>
        <v>Sucroalcolera del Chira PlantaMontelima888264451156973620</v>
      </c>
      <c r="B1820" t="s">
        <v>138</v>
      </c>
      <c r="C1820" t="s">
        <v>32</v>
      </c>
      <c r="D1820" s="11">
        <v>45628</v>
      </c>
      <c r="E1820" t="s">
        <v>16</v>
      </c>
      <c r="F1820" t="s">
        <v>85</v>
      </c>
      <c r="G1820">
        <v>888264</v>
      </c>
      <c r="H1820">
        <v>4511569736</v>
      </c>
      <c r="I1820">
        <v>20</v>
      </c>
      <c r="J1820" s="29">
        <v>1</v>
      </c>
      <c r="K1820" s="29" t="s">
        <v>100</v>
      </c>
      <c r="L1820" t="str">
        <f>IFERROR(VLOOKUP(Detalle_OC[[#This Row],[Centro]]&amp;Detalle_OC[[#This Row],[Nro Almacen]],Almacen!A:D,4,FALSE),"")</f>
        <v>Montelima</v>
      </c>
    </row>
    <row r="1821" spans="1:12" x14ac:dyDescent="0.3">
      <c r="A1821" s="29" t="str">
        <f>Detalle_OC[[#This Row],[Centro]]&amp;Detalle_OC[[#This Row],[Nom Almacen]]&amp;Detalle_OC[[#This Row],[Material]]&amp;Detalle_OC[[#This Row],[Pedido]]&amp;Detalle_OC[[#This Row],[Posicion]]</f>
        <v>Sucroalcolera del Chira PlantaMontelima70032489451156973630</v>
      </c>
      <c r="B1821" t="s">
        <v>156</v>
      </c>
      <c r="C1821" t="s">
        <v>32</v>
      </c>
      <c r="D1821" s="11">
        <v>45628</v>
      </c>
      <c r="E1821" t="s">
        <v>16</v>
      </c>
      <c r="F1821" t="s">
        <v>85</v>
      </c>
      <c r="G1821">
        <v>70032489</v>
      </c>
      <c r="H1821">
        <v>4511569736</v>
      </c>
      <c r="I1821">
        <v>30</v>
      </c>
      <c r="J1821" s="29">
        <v>1</v>
      </c>
      <c r="K1821" s="29" t="s">
        <v>100</v>
      </c>
      <c r="L1821" t="str">
        <f>IFERROR(VLOOKUP(Detalle_OC[[#This Row],[Centro]]&amp;Detalle_OC[[#This Row],[Nro Almacen]],Almacen!A:D,4,FALSE),"")</f>
        <v>Montelima</v>
      </c>
    </row>
    <row r="1822" spans="1:12" x14ac:dyDescent="0.3">
      <c r="A1822" s="29" t="str">
        <f>Detalle_OC[[#This Row],[Centro]]&amp;Detalle_OC[[#This Row],[Nom Almacen]]&amp;Detalle_OC[[#This Row],[Material]]&amp;Detalle_OC[[#This Row],[Pedido]]&amp;Detalle_OC[[#This Row],[Posicion]]</f>
        <v>Sucroalcolera del Chira PlantaMontelimaCF20400223        451156973640</v>
      </c>
      <c r="B1822" t="s">
        <v>138</v>
      </c>
      <c r="C1822" t="s">
        <v>32</v>
      </c>
      <c r="D1822" s="11">
        <v>45628</v>
      </c>
      <c r="E1822" t="s">
        <v>16</v>
      </c>
      <c r="F1822" t="s">
        <v>85</v>
      </c>
      <c r="G1822" t="s">
        <v>184</v>
      </c>
      <c r="H1822">
        <v>4511569736</v>
      </c>
      <c r="I1822">
        <v>40</v>
      </c>
      <c r="J1822" s="29">
        <v>1</v>
      </c>
      <c r="K1822" s="29" t="s">
        <v>100</v>
      </c>
      <c r="L1822" t="str">
        <f>IFERROR(VLOOKUP(Detalle_OC[[#This Row],[Centro]]&amp;Detalle_OC[[#This Row],[Nro Almacen]],Almacen!A:D,4,FALSE),"")</f>
        <v>Montelima</v>
      </c>
    </row>
    <row r="1823" spans="1:12" x14ac:dyDescent="0.3">
      <c r="A1823" s="29" t="str">
        <f>Detalle_OC[[#This Row],[Centro]]&amp;Detalle_OC[[#This Row],[Nom Almacen]]&amp;Detalle_OC[[#This Row],[Material]]&amp;Detalle_OC[[#This Row],[Pedido]]&amp;Detalle_OC[[#This Row],[Posicion]]</f>
        <v>Agricola del Chira PlantaMontelima727376451156974910</v>
      </c>
      <c r="B1823" t="s">
        <v>149</v>
      </c>
      <c r="C1823" t="s">
        <v>1190</v>
      </c>
      <c r="D1823" s="11">
        <v>45635</v>
      </c>
      <c r="E1823" t="s">
        <v>16</v>
      </c>
      <c r="F1823" t="s">
        <v>12</v>
      </c>
      <c r="G1823">
        <v>727376</v>
      </c>
      <c r="H1823">
        <v>4511569749</v>
      </c>
      <c r="I1823">
        <v>10</v>
      </c>
      <c r="J1823" s="29">
        <v>1</v>
      </c>
      <c r="K1823" s="29" t="s">
        <v>100</v>
      </c>
      <c r="L1823" t="str">
        <f>IFERROR(VLOOKUP(Detalle_OC[[#This Row],[Centro]]&amp;Detalle_OC[[#This Row],[Nro Almacen]],Almacen!A:D,4,FALSE),"")</f>
        <v>Montelima</v>
      </c>
    </row>
    <row r="1824" spans="1:12" x14ac:dyDescent="0.3">
      <c r="A1824" s="29" t="str">
        <f>Detalle_OC[[#This Row],[Centro]]&amp;Detalle_OC[[#This Row],[Nom Almacen]]&amp;Detalle_OC[[#This Row],[Material]]&amp;Detalle_OC[[#This Row],[Pedido]]&amp;Detalle_OC[[#This Row],[Posicion]]</f>
        <v>Agricola del Chira PlantaMontelima841494451156974920</v>
      </c>
      <c r="B1824" t="s">
        <v>149</v>
      </c>
      <c r="C1824" t="s">
        <v>1190</v>
      </c>
      <c r="D1824" s="11">
        <v>45635</v>
      </c>
      <c r="E1824" t="s">
        <v>16</v>
      </c>
      <c r="F1824" t="s">
        <v>12</v>
      </c>
      <c r="G1824">
        <v>841494</v>
      </c>
      <c r="H1824">
        <v>4511569749</v>
      </c>
      <c r="I1824">
        <v>20</v>
      </c>
      <c r="J1824" s="29">
        <v>1</v>
      </c>
      <c r="K1824" s="29" t="s">
        <v>100</v>
      </c>
      <c r="L1824" t="str">
        <f>IFERROR(VLOOKUP(Detalle_OC[[#This Row],[Centro]]&amp;Detalle_OC[[#This Row],[Nro Almacen]],Almacen!A:D,4,FALSE),"")</f>
        <v>Montelima</v>
      </c>
    </row>
    <row r="1825" spans="1:12" x14ac:dyDescent="0.3">
      <c r="A1825" s="29" t="str">
        <f>Detalle_OC[[#This Row],[Centro]]&amp;Detalle_OC[[#This Row],[Nom Almacen]]&amp;Detalle_OC[[#This Row],[Material]]&amp;Detalle_OC[[#This Row],[Pedido]]&amp;Detalle_OC[[#This Row],[Posicion]]</f>
        <v>Agricola del Chira PlantaMontelima862041451156974930</v>
      </c>
      <c r="B1825" t="s">
        <v>149</v>
      </c>
      <c r="C1825" t="s">
        <v>1190</v>
      </c>
      <c r="D1825" s="11">
        <v>45635</v>
      </c>
      <c r="E1825" t="s">
        <v>16</v>
      </c>
      <c r="F1825" t="s">
        <v>12</v>
      </c>
      <c r="G1825">
        <v>862041</v>
      </c>
      <c r="H1825">
        <v>4511569749</v>
      </c>
      <c r="I1825">
        <v>30</v>
      </c>
      <c r="J1825" s="29">
        <v>1</v>
      </c>
      <c r="K1825" s="29" t="s">
        <v>100</v>
      </c>
      <c r="L1825" t="str">
        <f>IFERROR(VLOOKUP(Detalle_OC[[#This Row],[Centro]]&amp;Detalle_OC[[#This Row],[Nro Almacen]],Almacen!A:D,4,FALSE),"")</f>
        <v>Montelima</v>
      </c>
    </row>
    <row r="1826" spans="1:12" x14ac:dyDescent="0.3">
      <c r="A1826" s="29" t="str">
        <f>Detalle_OC[[#This Row],[Centro]]&amp;Detalle_OC[[#This Row],[Nom Almacen]]&amp;Detalle_OC[[#This Row],[Material]]&amp;Detalle_OC[[#This Row],[Pedido]]&amp;Detalle_OC[[#This Row],[Posicion]]</f>
        <v>Sucroalcolera del Chira PlantaMontelima804988451156975010</v>
      </c>
      <c r="B1826" t="s">
        <v>1145</v>
      </c>
      <c r="C1826" t="s">
        <v>103</v>
      </c>
      <c r="D1826" s="11">
        <v>45623</v>
      </c>
      <c r="E1826" t="s">
        <v>16</v>
      </c>
      <c r="F1826" t="s">
        <v>85</v>
      </c>
      <c r="G1826">
        <v>804988</v>
      </c>
      <c r="H1826">
        <v>4511569750</v>
      </c>
      <c r="I1826">
        <v>10</v>
      </c>
      <c r="J1826" s="29">
        <v>1</v>
      </c>
      <c r="K1826" s="29" t="s">
        <v>100</v>
      </c>
      <c r="L1826" t="str">
        <f>IFERROR(VLOOKUP(Detalle_OC[[#This Row],[Centro]]&amp;Detalle_OC[[#This Row],[Nro Almacen]],Almacen!A:D,4,FALSE),"")</f>
        <v>Montelima</v>
      </c>
    </row>
    <row r="1827" spans="1:12" x14ac:dyDescent="0.3">
      <c r="A1827" s="29" t="str">
        <f>Detalle_OC[[#This Row],[Centro]]&amp;Detalle_OC[[#This Row],[Nom Almacen]]&amp;Detalle_OC[[#This Row],[Material]]&amp;Detalle_OC[[#This Row],[Pedido]]&amp;Detalle_OC[[#This Row],[Posicion]]</f>
        <v>Agricola del Chira PlantaMontelima70131091451156975110</v>
      </c>
      <c r="B1827" t="s">
        <v>186</v>
      </c>
      <c r="C1827" t="s">
        <v>1190</v>
      </c>
      <c r="D1827" s="11">
        <v>45637</v>
      </c>
      <c r="E1827" t="s">
        <v>16</v>
      </c>
      <c r="F1827" t="s">
        <v>12</v>
      </c>
      <c r="G1827">
        <v>70131091</v>
      </c>
      <c r="H1827">
        <v>4511569751</v>
      </c>
      <c r="I1827">
        <v>10</v>
      </c>
      <c r="J1827" s="29">
        <v>1</v>
      </c>
      <c r="K1827" s="29" t="s">
        <v>100</v>
      </c>
      <c r="L1827" t="str">
        <f>IFERROR(VLOOKUP(Detalle_OC[[#This Row],[Centro]]&amp;Detalle_OC[[#This Row],[Nro Almacen]],Almacen!A:D,4,FALSE),"")</f>
        <v>Montelima</v>
      </c>
    </row>
    <row r="1828" spans="1:12" x14ac:dyDescent="0.3">
      <c r="A1828" s="29" t="str">
        <f>Detalle_OC[[#This Row],[Centro]]&amp;Detalle_OC[[#This Row],[Nom Almacen]]&amp;Detalle_OC[[#This Row],[Material]]&amp;Detalle_OC[[#This Row],[Pedido]]&amp;Detalle_OC[[#This Row],[Posicion]]</f>
        <v>Sucroalcolera del Chira PlantaMontelima869017452009513210</v>
      </c>
      <c r="B1828" t="s">
        <v>138</v>
      </c>
      <c r="C1828" t="s">
        <v>1191</v>
      </c>
      <c r="D1828" s="11">
        <v>45639</v>
      </c>
      <c r="E1828" t="s">
        <v>16</v>
      </c>
      <c r="F1828" t="s">
        <v>85</v>
      </c>
      <c r="G1828">
        <v>869017</v>
      </c>
      <c r="H1828">
        <v>4520095132</v>
      </c>
      <c r="I1828">
        <v>10</v>
      </c>
      <c r="J1828" s="29">
        <v>1</v>
      </c>
      <c r="K1828" s="29" t="s">
        <v>100</v>
      </c>
      <c r="L1828" t="str">
        <f>IFERROR(VLOOKUP(Detalle_OC[[#This Row],[Centro]]&amp;Detalle_OC[[#This Row],[Nro Almacen]],Almacen!A:D,4,FALSE),"")</f>
        <v>Montelima</v>
      </c>
    </row>
    <row r="1829" spans="1:12" x14ac:dyDescent="0.3">
      <c r="A1829" s="29" t="str">
        <f>Detalle_OC[[#This Row],[Centro]]&amp;Detalle_OC[[#This Row],[Nom Almacen]]&amp;Detalle_OC[[#This Row],[Material]]&amp;Detalle_OC[[#This Row],[Pedido]]&amp;Detalle_OC[[#This Row],[Posicion]]</f>
        <v>Agricola del Chira PlantaMontelima738248550001918870</v>
      </c>
      <c r="B1829" t="s">
        <v>28</v>
      </c>
      <c r="C1829" t="s">
        <v>82</v>
      </c>
      <c r="D1829" s="11">
        <v>45607</v>
      </c>
      <c r="E1829" t="s">
        <v>16</v>
      </c>
      <c r="F1829" t="s">
        <v>12</v>
      </c>
      <c r="G1829">
        <v>738248</v>
      </c>
      <c r="H1829">
        <v>5500019188</v>
      </c>
      <c r="I1829">
        <v>70</v>
      </c>
      <c r="J1829" s="29">
        <v>1</v>
      </c>
      <c r="K1829" s="29" t="s">
        <v>100</v>
      </c>
      <c r="L1829" t="str">
        <f>IFERROR(VLOOKUP(Detalle_OC[[#This Row],[Centro]]&amp;Detalle_OC[[#This Row],[Nro Almacen]],Almacen!A:D,4,FALSE),"")</f>
        <v>Montelima</v>
      </c>
    </row>
    <row r="1830" spans="1:12" x14ac:dyDescent="0.3">
      <c r="A1830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1830" t="s">
        <v>28</v>
      </c>
      <c r="C1830" t="s">
        <v>82</v>
      </c>
      <c r="D1830" s="11">
        <v>45607</v>
      </c>
      <c r="E1830" t="s">
        <v>16</v>
      </c>
      <c r="F1830" t="s">
        <v>12</v>
      </c>
      <c r="G1830">
        <v>844523</v>
      </c>
      <c r="H1830">
        <v>5500019188</v>
      </c>
      <c r="I1830">
        <v>140</v>
      </c>
      <c r="J1830" s="29">
        <v>1</v>
      </c>
      <c r="K1830" s="29" t="s">
        <v>100</v>
      </c>
      <c r="L1830" t="str">
        <f>IFERROR(VLOOKUP(Detalle_OC[[#This Row],[Centro]]&amp;Detalle_OC[[#This Row],[Nro Almacen]],Almacen!A:D,4,FALSE),"")</f>
        <v>Montelima</v>
      </c>
    </row>
    <row r="1831" spans="1:12" x14ac:dyDescent="0.3">
      <c r="A1831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1831" t="s">
        <v>28</v>
      </c>
      <c r="C1831" t="s">
        <v>82</v>
      </c>
      <c r="D1831" s="11">
        <v>45607</v>
      </c>
      <c r="E1831" t="s">
        <v>16</v>
      </c>
      <c r="F1831" t="s">
        <v>12</v>
      </c>
      <c r="G1831">
        <v>844522</v>
      </c>
      <c r="H1831">
        <v>5500019188</v>
      </c>
      <c r="I1831">
        <v>150</v>
      </c>
      <c r="J1831" s="29">
        <v>1</v>
      </c>
      <c r="K1831" s="29" t="s">
        <v>100</v>
      </c>
      <c r="L1831" t="str">
        <f>IFERROR(VLOOKUP(Detalle_OC[[#This Row],[Centro]]&amp;Detalle_OC[[#This Row],[Nro Almacen]],Almacen!A:D,4,FALSE),"")</f>
        <v>Montelima</v>
      </c>
    </row>
    <row r="1832" spans="1:12" x14ac:dyDescent="0.3">
      <c r="A1832" s="29" t="str">
        <f>Detalle_OC[[#This Row],[Centro]]&amp;Detalle_OC[[#This Row],[Nom Almacen]]&amp;Detalle_OC[[#This Row],[Material]]&amp;Detalle_OC[[#This Row],[Pedido]]&amp;Detalle_OC[[#This Row],[Posicion]]</f>
        <v>Agricola del Chira PlantaMontelima8445335500019188170</v>
      </c>
      <c r="B1832" t="s">
        <v>28</v>
      </c>
      <c r="C1832" t="s">
        <v>82</v>
      </c>
      <c r="D1832" s="11">
        <v>45607</v>
      </c>
      <c r="E1832" t="s">
        <v>16</v>
      </c>
      <c r="F1832" t="s">
        <v>12</v>
      </c>
      <c r="G1832">
        <v>844533</v>
      </c>
      <c r="H1832">
        <v>5500019188</v>
      </c>
      <c r="I1832">
        <v>170</v>
      </c>
      <c r="J1832" s="29">
        <v>1</v>
      </c>
      <c r="K1832" s="29" t="s">
        <v>100</v>
      </c>
      <c r="L1832" t="str">
        <f>IFERROR(VLOOKUP(Detalle_OC[[#This Row],[Centro]]&amp;Detalle_OC[[#This Row],[Nro Almacen]],Almacen!A:D,4,FALSE),"")</f>
        <v>Montelima</v>
      </c>
    </row>
    <row r="1833" spans="1:12" x14ac:dyDescent="0.3">
      <c r="A1833" s="29" t="str">
        <f>Detalle_OC[[#This Row],[Centro]]&amp;Detalle_OC[[#This Row],[Nom Almacen]]&amp;Detalle_OC[[#This Row],[Material]]&amp;Detalle_OC[[#This Row],[Pedido]]&amp;Detalle_OC[[#This Row],[Posicion]]</f>
        <v>Agricola del Chira PlantaMontelima8445115500019188180</v>
      </c>
      <c r="B1833" t="s">
        <v>28</v>
      </c>
      <c r="C1833" t="s">
        <v>82</v>
      </c>
      <c r="D1833" s="11">
        <v>45607</v>
      </c>
      <c r="E1833" t="s">
        <v>16</v>
      </c>
      <c r="F1833" t="s">
        <v>12</v>
      </c>
      <c r="G1833">
        <v>844511</v>
      </c>
      <c r="H1833">
        <v>5500019188</v>
      </c>
      <c r="I1833">
        <v>180</v>
      </c>
      <c r="J1833" s="29">
        <v>1</v>
      </c>
      <c r="K1833" s="29" t="s">
        <v>100</v>
      </c>
      <c r="L1833" t="str">
        <f>IFERROR(VLOOKUP(Detalle_OC[[#This Row],[Centro]]&amp;Detalle_OC[[#This Row],[Nro Almacen]],Almacen!A:D,4,FALSE),"")</f>
        <v>Montelima</v>
      </c>
    </row>
    <row r="1834" spans="1:12" x14ac:dyDescent="0.3">
      <c r="A1834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1834" t="s">
        <v>28</v>
      </c>
      <c r="C1834" t="s">
        <v>82</v>
      </c>
      <c r="D1834" s="11">
        <v>45607</v>
      </c>
      <c r="E1834" t="s">
        <v>16</v>
      </c>
      <c r="F1834" t="s">
        <v>12</v>
      </c>
      <c r="G1834">
        <v>844516</v>
      </c>
      <c r="H1834">
        <v>5500019188</v>
      </c>
      <c r="I1834">
        <v>190</v>
      </c>
      <c r="J1834" s="29">
        <v>1</v>
      </c>
      <c r="K1834" s="29" t="s">
        <v>100</v>
      </c>
      <c r="L1834" t="str">
        <f>IFERROR(VLOOKUP(Detalle_OC[[#This Row],[Centro]]&amp;Detalle_OC[[#This Row],[Nro Almacen]],Almacen!A:D,4,FALSE),"")</f>
        <v>Montelima</v>
      </c>
    </row>
    <row r="1835" spans="1:12" x14ac:dyDescent="0.3">
      <c r="A1835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1835" t="s">
        <v>28</v>
      </c>
      <c r="C1835" t="s">
        <v>82</v>
      </c>
      <c r="D1835" s="11">
        <v>45607</v>
      </c>
      <c r="E1835" t="s">
        <v>16</v>
      </c>
      <c r="F1835" t="s">
        <v>12</v>
      </c>
      <c r="G1835">
        <v>844515</v>
      </c>
      <c r="H1835">
        <v>5500019188</v>
      </c>
      <c r="I1835">
        <v>200</v>
      </c>
      <c r="J1835" s="29">
        <v>1</v>
      </c>
      <c r="K1835" s="29" t="s">
        <v>100</v>
      </c>
      <c r="L1835" t="str">
        <f>IFERROR(VLOOKUP(Detalle_OC[[#This Row],[Centro]]&amp;Detalle_OC[[#This Row],[Nro Almacen]],Almacen!A:D,4,FALSE),"")</f>
        <v>Montelima</v>
      </c>
    </row>
    <row r="1836" spans="1:12" x14ac:dyDescent="0.3">
      <c r="A1836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1836" t="s">
        <v>28</v>
      </c>
      <c r="C1836" t="s">
        <v>82</v>
      </c>
      <c r="D1836" s="11">
        <v>45607</v>
      </c>
      <c r="E1836" t="s">
        <v>16</v>
      </c>
      <c r="F1836" t="s">
        <v>12</v>
      </c>
      <c r="G1836">
        <v>844508</v>
      </c>
      <c r="H1836">
        <v>5500019188</v>
      </c>
      <c r="I1836">
        <v>220</v>
      </c>
      <c r="J1836" s="29">
        <v>1</v>
      </c>
      <c r="K1836" s="29" t="s">
        <v>100</v>
      </c>
      <c r="L1836" t="str">
        <f>IFERROR(VLOOKUP(Detalle_OC[[#This Row],[Centro]]&amp;Detalle_OC[[#This Row],[Nro Almacen]],Almacen!A:D,4,FALSE),"")</f>
        <v>Montelima</v>
      </c>
    </row>
    <row r="1837" spans="1:12" x14ac:dyDescent="0.3">
      <c r="A1837" s="29" t="str">
        <f>Detalle_OC[[#This Row],[Centro]]&amp;Detalle_OC[[#This Row],[Nom Almacen]]&amp;Detalle_OC[[#This Row],[Material]]&amp;Detalle_OC[[#This Row],[Pedido]]&amp;Detalle_OC[[#This Row],[Posicion]]</f>
        <v>Agricola del Chira PlantaMontelima8445515500019188320</v>
      </c>
      <c r="B1837" t="s">
        <v>28</v>
      </c>
      <c r="C1837" t="s">
        <v>82</v>
      </c>
      <c r="D1837" s="11">
        <v>45607</v>
      </c>
      <c r="E1837" t="s">
        <v>16</v>
      </c>
      <c r="F1837" t="s">
        <v>12</v>
      </c>
      <c r="G1837">
        <v>844551</v>
      </c>
      <c r="H1837">
        <v>5500019188</v>
      </c>
      <c r="I1837">
        <v>320</v>
      </c>
      <c r="J1837" s="29">
        <v>1</v>
      </c>
      <c r="K1837" s="29" t="s">
        <v>100</v>
      </c>
      <c r="L1837" t="str">
        <f>IFERROR(VLOOKUP(Detalle_OC[[#This Row],[Centro]]&amp;Detalle_OC[[#This Row],[Nro Almacen]],Almacen!A:D,4,FALSE),"")</f>
        <v>Montelima</v>
      </c>
    </row>
    <row r="1838" spans="1:12" x14ac:dyDescent="0.3">
      <c r="A1838" s="29" t="str">
        <f>Detalle_OC[[#This Row],[Centro]]&amp;Detalle_OC[[#This Row],[Nom Almacen]]&amp;Detalle_OC[[#This Row],[Material]]&amp;Detalle_OC[[#This Row],[Pedido]]&amp;Detalle_OC[[#This Row],[Posicion]]</f>
        <v>Agricola del Chira PlantaMontelima8445365500019188330</v>
      </c>
      <c r="B1838" t="s">
        <v>28</v>
      </c>
      <c r="C1838" t="s">
        <v>82</v>
      </c>
      <c r="D1838" s="11">
        <v>45607</v>
      </c>
      <c r="E1838" t="s">
        <v>16</v>
      </c>
      <c r="F1838" t="s">
        <v>12</v>
      </c>
      <c r="G1838">
        <v>844536</v>
      </c>
      <c r="H1838">
        <v>5500019188</v>
      </c>
      <c r="I1838">
        <v>330</v>
      </c>
      <c r="J1838" s="29">
        <v>1</v>
      </c>
      <c r="K1838" s="29" t="s">
        <v>100</v>
      </c>
      <c r="L1838" t="str">
        <f>IFERROR(VLOOKUP(Detalle_OC[[#This Row],[Centro]]&amp;Detalle_OC[[#This Row],[Nro Almacen]],Almacen!A:D,4,FALSE),"")</f>
        <v>Montelima</v>
      </c>
    </row>
    <row r="1839" spans="1:12" x14ac:dyDescent="0.3">
      <c r="A1839" s="29" t="str">
        <f>Detalle_OC[[#This Row],[Centro]]&amp;Detalle_OC[[#This Row],[Nom Almacen]]&amp;Detalle_OC[[#This Row],[Material]]&amp;Detalle_OC[[#This Row],[Pedido]]&amp;Detalle_OC[[#This Row],[Posicion]]</f>
        <v>Agricola del Chira PlantaMontelima8445175500019188340</v>
      </c>
      <c r="B1839" t="s">
        <v>28</v>
      </c>
      <c r="C1839" t="s">
        <v>82</v>
      </c>
      <c r="D1839" s="11">
        <v>45607</v>
      </c>
      <c r="E1839" t="s">
        <v>16</v>
      </c>
      <c r="F1839" t="s">
        <v>12</v>
      </c>
      <c r="G1839">
        <v>844517</v>
      </c>
      <c r="H1839">
        <v>5500019188</v>
      </c>
      <c r="I1839">
        <v>340</v>
      </c>
      <c r="J1839" s="29">
        <v>1</v>
      </c>
      <c r="K1839" s="29" t="s">
        <v>100</v>
      </c>
      <c r="L1839" t="str">
        <f>IFERROR(VLOOKUP(Detalle_OC[[#This Row],[Centro]]&amp;Detalle_OC[[#This Row],[Nro Almacen]],Almacen!A:D,4,FALSE),"")</f>
        <v>Montelima</v>
      </c>
    </row>
    <row r="1840" spans="1:12" x14ac:dyDescent="0.3">
      <c r="A1840" s="29" t="str">
        <f>Detalle_OC[[#This Row],[Centro]]&amp;Detalle_OC[[#This Row],[Nom Almacen]]&amp;Detalle_OC[[#This Row],[Material]]&amp;Detalle_OC[[#This Row],[Pedido]]&amp;Detalle_OC[[#This Row],[Posicion]]</f>
        <v>Agricola del Chira PlantaMontelima8445285500019188360</v>
      </c>
      <c r="B1840" t="s">
        <v>28</v>
      </c>
      <c r="C1840" t="s">
        <v>82</v>
      </c>
      <c r="D1840" s="11">
        <v>45607</v>
      </c>
      <c r="E1840" t="s">
        <v>16</v>
      </c>
      <c r="F1840" t="s">
        <v>12</v>
      </c>
      <c r="G1840">
        <v>844528</v>
      </c>
      <c r="H1840">
        <v>5500019188</v>
      </c>
      <c r="I1840">
        <v>360</v>
      </c>
      <c r="J1840" s="29">
        <v>1</v>
      </c>
      <c r="K1840" s="29" t="s">
        <v>100</v>
      </c>
      <c r="L1840" t="str">
        <f>IFERROR(VLOOKUP(Detalle_OC[[#This Row],[Centro]]&amp;Detalle_OC[[#This Row],[Nro Almacen]],Almacen!A:D,4,FALSE),"")</f>
        <v>Montelima</v>
      </c>
    </row>
    <row r="1841" spans="1:12" x14ac:dyDescent="0.3">
      <c r="A1841" s="29" t="str">
        <f>Detalle_OC[[#This Row],[Centro]]&amp;Detalle_OC[[#This Row],[Nom Almacen]]&amp;Detalle_OC[[#This Row],[Material]]&amp;Detalle_OC[[#This Row],[Pedido]]&amp;Detalle_OC[[#This Row],[Posicion]]</f>
        <v>Agricola del Chira PlantaMontelima8506365500019188510</v>
      </c>
      <c r="B1841" t="s">
        <v>28</v>
      </c>
      <c r="C1841" t="s">
        <v>82</v>
      </c>
      <c r="D1841" s="11">
        <v>45607</v>
      </c>
      <c r="E1841" t="s">
        <v>16</v>
      </c>
      <c r="F1841" t="s">
        <v>12</v>
      </c>
      <c r="G1841">
        <v>850636</v>
      </c>
      <c r="H1841">
        <v>5500019188</v>
      </c>
      <c r="I1841">
        <v>510</v>
      </c>
      <c r="J1841" s="29">
        <v>1</v>
      </c>
      <c r="K1841" s="29" t="s">
        <v>100</v>
      </c>
      <c r="L1841" t="str">
        <f>IFERROR(VLOOKUP(Detalle_OC[[#This Row],[Centro]]&amp;Detalle_OC[[#This Row],[Nro Almacen]],Almacen!A:D,4,FALSE),"")</f>
        <v>Montelima</v>
      </c>
    </row>
    <row r="1842" spans="1:12" x14ac:dyDescent="0.3">
      <c r="A1842" s="29" t="str">
        <f>Detalle_OC[[#This Row],[Centro]]&amp;Detalle_OC[[#This Row],[Nom Almacen]]&amp;Detalle_OC[[#This Row],[Material]]&amp;Detalle_OC[[#This Row],[Pedido]]&amp;Detalle_OC[[#This Row],[Posicion]]</f>
        <v>Agricola del Chira PlantaMontelima82638355000191881150</v>
      </c>
      <c r="B1842" t="s">
        <v>28</v>
      </c>
      <c r="C1842" t="s">
        <v>82</v>
      </c>
      <c r="D1842" s="11">
        <v>45607</v>
      </c>
      <c r="E1842" t="s">
        <v>16</v>
      </c>
      <c r="F1842" t="s">
        <v>12</v>
      </c>
      <c r="G1842">
        <v>826383</v>
      </c>
      <c r="H1842">
        <v>5500019188</v>
      </c>
      <c r="I1842">
        <v>1150</v>
      </c>
      <c r="J1842" s="29">
        <v>1</v>
      </c>
      <c r="K1842" s="29" t="s">
        <v>100</v>
      </c>
      <c r="L1842" t="str">
        <f>IFERROR(VLOOKUP(Detalle_OC[[#This Row],[Centro]]&amp;Detalle_OC[[#This Row],[Nro Almacen]],Almacen!A:D,4,FALSE),"")</f>
        <v>Montelima</v>
      </c>
    </row>
    <row r="1843" spans="1:12" x14ac:dyDescent="0.3">
      <c r="A1843" s="29" t="str">
        <f>Detalle_OC[[#This Row],[Centro]]&amp;Detalle_OC[[#This Row],[Nom Almacen]]&amp;Detalle_OC[[#This Row],[Material]]&amp;Detalle_OC[[#This Row],[Pedido]]&amp;Detalle_OC[[#This Row],[Posicion]]</f>
        <v>Agricola del Chira PlantaMontelima83507655000191881340</v>
      </c>
      <c r="B1843" t="s">
        <v>28</v>
      </c>
      <c r="C1843" t="s">
        <v>82</v>
      </c>
      <c r="D1843" s="11">
        <v>45607</v>
      </c>
      <c r="E1843" t="s">
        <v>16</v>
      </c>
      <c r="F1843" t="s">
        <v>12</v>
      </c>
      <c r="G1843">
        <v>835076</v>
      </c>
      <c r="H1843">
        <v>5500019188</v>
      </c>
      <c r="I1843">
        <v>1340</v>
      </c>
      <c r="J1843" s="29">
        <v>1</v>
      </c>
      <c r="K1843" s="29" t="s">
        <v>100</v>
      </c>
      <c r="L1843" t="str">
        <f>IFERROR(VLOOKUP(Detalle_OC[[#This Row],[Centro]]&amp;Detalle_OC[[#This Row],[Nro Almacen]],Almacen!A:D,4,FALSE),"")</f>
        <v>Montelima</v>
      </c>
    </row>
    <row r="1844" spans="1:12" x14ac:dyDescent="0.3">
      <c r="A1844" s="29" t="str">
        <f>Detalle_OC[[#This Row],[Centro]]&amp;Detalle_OC[[#This Row],[Nom Almacen]]&amp;Detalle_OC[[#This Row],[Material]]&amp;Detalle_OC[[#This Row],[Pedido]]&amp;Detalle_OC[[#This Row],[Posicion]]</f>
        <v>Agricola del Chira PlantaMontelima7002963355000191881680</v>
      </c>
      <c r="B1844" t="s">
        <v>28</v>
      </c>
      <c r="C1844" t="s">
        <v>82</v>
      </c>
      <c r="D1844" s="11">
        <v>45607</v>
      </c>
      <c r="E1844" t="s">
        <v>16</v>
      </c>
      <c r="F1844" t="s">
        <v>12</v>
      </c>
      <c r="G1844">
        <v>70029633</v>
      </c>
      <c r="H1844">
        <v>5500019188</v>
      </c>
      <c r="I1844">
        <v>1680</v>
      </c>
      <c r="J1844" s="29">
        <v>1</v>
      </c>
      <c r="K1844" s="29" t="s">
        <v>100</v>
      </c>
      <c r="L1844" t="str">
        <f>IFERROR(VLOOKUP(Detalle_OC[[#This Row],[Centro]]&amp;Detalle_OC[[#This Row],[Nro Almacen]],Almacen!A:D,4,FALSE),"")</f>
        <v>Montelima</v>
      </c>
    </row>
    <row r="1845" spans="1:12" x14ac:dyDescent="0.3">
      <c r="A1845" s="29" t="str">
        <f>Detalle_OC[[#This Row],[Centro]]&amp;Detalle_OC[[#This Row],[Nom Almacen]]&amp;Detalle_OC[[#This Row],[Material]]&amp;Detalle_OC[[#This Row],[Pedido]]&amp;Detalle_OC[[#This Row],[Posicion]]</f>
        <v>Agricola del Chira PlantaMontelima70100392550002475110</v>
      </c>
      <c r="B1845" t="s">
        <v>28</v>
      </c>
      <c r="C1845" t="s">
        <v>54</v>
      </c>
      <c r="D1845" s="11">
        <v>45607</v>
      </c>
      <c r="E1845" t="s">
        <v>16</v>
      </c>
      <c r="F1845" t="s">
        <v>12</v>
      </c>
      <c r="G1845">
        <v>70100392</v>
      </c>
      <c r="H1845">
        <v>5500024751</v>
      </c>
      <c r="I1845">
        <v>10</v>
      </c>
      <c r="J1845" s="29">
        <v>1</v>
      </c>
      <c r="K1845" s="29" t="s">
        <v>100</v>
      </c>
      <c r="L1845" t="str">
        <f>IFERROR(VLOOKUP(Detalle_OC[[#This Row],[Centro]]&amp;Detalle_OC[[#This Row],[Nro Almacen]],Almacen!A:D,4,FALSE),"")</f>
        <v>Montelima</v>
      </c>
    </row>
    <row r="1846" spans="1:12" x14ac:dyDescent="0.3">
      <c r="A1846" s="29" t="str">
        <f>Detalle_OC[[#This Row],[Centro]]&amp;Detalle_OC[[#This Row],[Nom Almacen]]&amp;Detalle_OC[[#This Row],[Material]]&amp;Detalle_OC[[#This Row],[Pedido]]&amp;Detalle_OC[[#This Row],[Posicion]]</f>
        <v>Agricola del Chira PlantaAlmacen Lobo70057749550002488190</v>
      </c>
      <c r="B1846" t="s">
        <v>28</v>
      </c>
      <c r="C1846" t="s">
        <v>52</v>
      </c>
      <c r="D1846" s="11">
        <v>45607</v>
      </c>
      <c r="E1846" t="s">
        <v>16</v>
      </c>
      <c r="F1846" t="s">
        <v>12</v>
      </c>
      <c r="G1846">
        <v>70057749</v>
      </c>
      <c r="H1846">
        <v>5500024881</v>
      </c>
      <c r="I1846">
        <v>90</v>
      </c>
      <c r="J1846" s="29">
        <v>7</v>
      </c>
      <c r="K1846" s="29" t="s">
        <v>100</v>
      </c>
      <c r="L1846" t="str">
        <f>IFERROR(VLOOKUP(Detalle_OC[[#This Row],[Centro]]&amp;Detalle_OC[[#This Row],[Nro Almacen]],Almacen!A:D,4,FALSE),"")</f>
        <v>Almacen Lobo</v>
      </c>
    </row>
    <row r="1847" spans="1:12" x14ac:dyDescent="0.3">
      <c r="A1847" s="29" t="str">
        <f>Detalle_OC[[#This Row],[Centro]]&amp;Detalle_OC[[#This Row],[Nom Almacen]]&amp;Detalle_OC[[#This Row],[Material]]&amp;Detalle_OC[[#This Row],[Pedido]]&amp;Detalle_OC[[#This Row],[Posicion]]</f>
        <v>Agricola del Chira PlantaMontelima723109550002489610</v>
      </c>
      <c r="B1847" t="s">
        <v>28</v>
      </c>
      <c r="C1847" t="s">
        <v>27</v>
      </c>
      <c r="D1847" s="11">
        <v>45607</v>
      </c>
      <c r="E1847" t="s">
        <v>16</v>
      </c>
      <c r="F1847" t="s">
        <v>12</v>
      </c>
      <c r="G1847">
        <v>723109</v>
      </c>
      <c r="H1847">
        <v>5500024896</v>
      </c>
      <c r="I1847">
        <v>10</v>
      </c>
      <c r="J1847" s="29">
        <v>1</v>
      </c>
      <c r="K1847" s="29" t="s">
        <v>100</v>
      </c>
      <c r="L1847" t="str">
        <f>IFERROR(VLOOKUP(Detalle_OC[[#This Row],[Centro]]&amp;Detalle_OC[[#This Row],[Nro Almacen]],Almacen!A:D,4,FALSE),"")</f>
        <v>Montelima</v>
      </c>
    </row>
    <row r="1848" spans="1:12" x14ac:dyDescent="0.3">
      <c r="A1848" s="29" t="str">
        <f>Detalle_OC[[#This Row],[Centro]]&amp;Detalle_OC[[#This Row],[Nom Almacen]]&amp;Detalle_OC[[#This Row],[Material]]&amp;Detalle_OC[[#This Row],[Pedido]]&amp;Detalle_OC[[#This Row],[Posicion]]</f>
        <v>Agricola del Chira PlantaMontelima723109550002489610</v>
      </c>
      <c r="B1848" t="s">
        <v>28</v>
      </c>
      <c r="C1848" t="s">
        <v>27</v>
      </c>
      <c r="D1848" s="11">
        <v>45607</v>
      </c>
      <c r="E1848" t="s">
        <v>16</v>
      </c>
      <c r="F1848" t="s">
        <v>12</v>
      </c>
      <c r="G1848">
        <v>723109</v>
      </c>
      <c r="H1848">
        <v>5500024896</v>
      </c>
      <c r="I1848">
        <v>10</v>
      </c>
      <c r="J1848" s="29">
        <v>1</v>
      </c>
      <c r="K1848" s="29" t="s">
        <v>100</v>
      </c>
      <c r="L1848" t="str">
        <f>IFERROR(VLOOKUP(Detalle_OC[[#This Row],[Centro]]&amp;Detalle_OC[[#This Row],[Nro Almacen]],Almacen!A:D,4,FALSE),"")</f>
        <v>Montelima</v>
      </c>
    </row>
    <row r="1849" spans="1:12" x14ac:dyDescent="0.3">
      <c r="A1849" s="29" t="str">
        <f>Detalle_OC[[#This Row],[Centro]]&amp;Detalle_OC[[#This Row],[Nom Almacen]]&amp;Detalle_OC[[#This Row],[Material]]&amp;Detalle_OC[[#This Row],[Pedido]]&amp;Detalle_OC[[#This Row],[Posicion]]</f>
        <v>Agricola del Chira PlantaMontelimaCET55406232       550002489650</v>
      </c>
      <c r="B1849" t="s">
        <v>28</v>
      </c>
      <c r="C1849" t="s">
        <v>27</v>
      </c>
      <c r="D1849" s="11">
        <v>45612</v>
      </c>
      <c r="E1849" t="s">
        <v>16</v>
      </c>
      <c r="F1849" t="s">
        <v>12</v>
      </c>
      <c r="G1849" t="s">
        <v>55</v>
      </c>
      <c r="H1849">
        <v>5500024896</v>
      </c>
      <c r="I1849">
        <v>50</v>
      </c>
      <c r="J1849" s="29">
        <v>1</v>
      </c>
      <c r="K1849" s="29" t="s">
        <v>100</v>
      </c>
      <c r="L1849" t="str">
        <f>IFERROR(VLOOKUP(Detalle_OC[[#This Row],[Centro]]&amp;Detalle_OC[[#This Row],[Nro Almacen]],Almacen!A:D,4,FALSE),"")</f>
        <v>Montelima</v>
      </c>
    </row>
    <row r="1850" spans="1:12" x14ac:dyDescent="0.3">
      <c r="A1850" s="29" t="str">
        <f>Detalle_OC[[#This Row],[Centro]]&amp;Detalle_OC[[#This Row],[Nom Almacen]]&amp;Detalle_OC[[#This Row],[Material]]&amp;Detalle_OC[[#This Row],[Pedido]]&amp;Detalle_OC[[#This Row],[Posicion]]</f>
        <v>Agricola del Chira PlantaAlmacen Lobo7231095500024896120</v>
      </c>
      <c r="B1850" t="s">
        <v>28</v>
      </c>
      <c r="C1850" t="s">
        <v>27</v>
      </c>
      <c r="D1850" s="11">
        <v>45607</v>
      </c>
      <c r="E1850" t="s">
        <v>16</v>
      </c>
      <c r="F1850" t="s">
        <v>12</v>
      </c>
      <c r="G1850">
        <v>723109</v>
      </c>
      <c r="H1850">
        <v>5500024896</v>
      </c>
      <c r="I1850">
        <v>120</v>
      </c>
      <c r="J1850" s="29">
        <v>7</v>
      </c>
      <c r="K1850" s="29" t="s">
        <v>100</v>
      </c>
      <c r="L1850" t="str">
        <f>IFERROR(VLOOKUP(Detalle_OC[[#This Row],[Centro]]&amp;Detalle_OC[[#This Row],[Nro Almacen]],Almacen!A:D,4,FALSE),"")</f>
        <v>Almacen Lobo</v>
      </c>
    </row>
    <row r="1851" spans="1:12" x14ac:dyDescent="0.3">
      <c r="A1851" s="29" t="str">
        <f>Detalle_OC[[#This Row],[Centro]]&amp;Detalle_OC[[#This Row],[Nom Almacen]]&amp;Detalle_OC[[#This Row],[Material]]&amp;Detalle_OC[[#This Row],[Pedido]]&amp;Detalle_OC[[#This Row],[Posicion]]</f>
        <v>Agricola del Chira PlantaAlmacen LoboCET55406232       5500024896140</v>
      </c>
      <c r="B1851" t="s">
        <v>28</v>
      </c>
      <c r="C1851" t="s">
        <v>27</v>
      </c>
      <c r="D1851" s="11">
        <v>45607</v>
      </c>
      <c r="E1851" t="s">
        <v>16</v>
      </c>
      <c r="F1851" t="s">
        <v>12</v>
      </c>
      <c r="G1851" t="s">
        <v>55</v>
      </c>
      <c r="H1851">
        <v>5500024896</v>
      </c>
      <c r="I1851">
        <v>140</v>
      </c>
      <c r="J1851" s="29">
        <v>7</v>
      </c>
      <c r="K1851" s="29" t="s">
        <v>100</v>
      </c>
      <c r="L1851" t="str">
        <f>IFERROR(VLOOKUP(Detalle_OC[[#This Row],[Centro]]&amp;Detalle_OC[[#This Row],[Nro Almacen]],Almacen!A:D,4,FALSE),"")</f>
        <v>Almacen Lobo</v>
      </c>
    </row>
    <row r="1852" spans="1:12" x14ac:dyDescent="0.3">
      <c r="A1852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fábrica837061451156957610</v>
      </c>
      <c r="B1852" t="s">
        <v>142</v>
      </c>
      <c r="C1852" t="s">
        <v>1192</v>
      </c>
      <c r="D1852" s="11">
        <v>45674</v>
      </c>
      <c r="E1852" t="s">
        <v>16</v>
      </c>
      <c r="F1852" t="s">
        <v>85</v>
      </c>
      <c r="G1852">
        <v>837061</v>
      </c>
      <c r="H1852">
        <v>4511569576</v>
      </c>
      <c r="I1852">
        <v>10</v>
      </c>
      <c r="J1852" s="29">
        <v>9</v>
      </c>
      <c r="K1852" s="29" t="s">
        <v>1193</v>
      </c>
      <c r="L1852" t="str">
        <f>IFERROR(VLOOKUP(Detalle_OC[[#This Row],[Centro]]&amp;Detalle_OC[[#This Row],[Nro Almacen]],Almacen!A:D,4,FALSE),"")</f>
        <v>Parada fábrica</v>
      </c>
    </row>
    <row r="1853" spans="1:12" x14ac:dyDescent="0.3">
      <c r="A1853" s="29" t="str">
        <f>Detalle_OC[[#This Row],[Centro]]&amp;Detalle_OC[[#This Row],[Nom Almacen]]&amp;Detalle_OC[[#This Row],[Material]]&amp;Detalle_OC[[#This Row],[Pedido]]&amp;Detalle_OC[[#This Row],[Posicion]]</f>
        <v>Agricola del Chira PlantaLa Huaca748268451156958110</v>
      </c>
      <c r="B1853" t="s">
        <v>26</v>
      </c>
      <c r="C1853" t="s">
        <v>173</v>
      </c>
      <c r="D1853" s="11">
        <v>45616</v>
      </c>
      <c r="E1853" t="s">
        <v>16</v>
      </c>
      <c r="F1853" t="s">
        <v>12</v>
      </c>
      <c r="G1853">
        <v>748268</v>
      </c>
      <c r="H1853">
        <v>4511569581</v>
      </c>
      <c r="I1853">
        <v>10</v>
      </c>
      <c r="J1853" s="29">
        <v>2</v>
      </c>
      <c r="K1853" s="29" t="s">
        <v>1193</v>
      </c>
      <c r="L1853" t="str">
        <f>IFERROR(VLOOKUP(Detalle_OC[[#This Row],[Centro]]&amp;Detalle_OC[[#This Row],[Nro Almacen]],Almacen!A:D,4,FALSE),"")</f>
        <v>La Huaca</v>
      </c>
    </row>
    <row r="1854" spans="1:12" x14ac:dyDescent="0.3">
      <c r="A1854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1854" t="s">
        <v>28</v>
      </c>
      <c r="C1854" t="s">
        <v>54</v>
      </c>
      <c r="D1854" s="11">
        <v>45605</v>
      </c>
      <c r="E1854" t="s">
        <v>16</v>
      </c>
      <c r="F1854" t="s">
        <v>12</v>
      </c>
      <c r="G1854">
        <v>70100392</v>
      </c>
      <c r="H1854">
        <v>5500024751</v>
      </c>
      <c r="I1854">
        <v>40</v>
      </c>
      <c r="J1854" s="29">
        <v>7</v>
      </c>
      <c r="K1854" s="29" t="s">
        <v>101</v>
      </c>
      <c r="L1854" t="str">
        <f>IFERROR(VLOOKUP(Detalle_OC[[#This Row],[Centro]]&amp;Detalle_OC[[#This Row],[Nro Almacen]],Almacen!A:D,4,FALSE),"")</f>
        <v>Almacen Lobo</v>
      </c>
    </row>
    <row r="1855" spans="1:12" x14ac:dyDescent="0.3">
      <c r="A1855" s="29" t="str">
        <f>Detalle_OC[[#This Row],[Centro]]&amp;Detalle_OC[[#This Row],[Nom Almacen]]&amp;Detalle_OC[[#This Row],[Material]]&amp;Detalle_OC[[#This Row],[Pedido]]&amp;Detalle_OC[[#This Row],[Posicion]]</f>
        <v>Agricola del Chira PlantaMontelima721669550002485530</v>
      </c>
      <c r="B1855" t="s">
        <v>28</v>
      </c>
      <c r="C1855" t="s">
        <v>96</v>
      </c>
      <c r="D1855" s="11">
        <v>45646</v>
      </c>
      <c r="E1855" t="s">
        <v>16</v>
      </c>
      <c r="F1855" t="s">
        <v>12</v>
      </c>
      <c r="G1855">
        <v>721669</v>
      </c>
      <c r="H1855">
        <v>5500024855</v>
      </c>
      <c r="I1855">
        <v>30</v>
      </c>
      <c r="J1855" s="29">
        <v>1</v>
      </c>
      <c r="K1855" s="29" t="s">
        <v>101</v>
      </c>
      <c r="L1855" t="str">
        <f>IFERROR(VLOOKUP(Detalle_OC[[#This Row],[Centro]]&amp;Detalle_OC[[#This Row],[Nro Almacen]],Almacen!A:D,4,FALSE),"")</f>
        <v>Montelima</v>
      </c>
    </row>
    <row r="1856" spans="1:12" x14ac:dyDescent="0.3">
      <c r="A1856" s="29" t="str">
        <f>Detalle_OC[[#This Row],[Centro]]&amp;Detalle_OC[[#This Row],[Nom Almacen]]&amp;Detalle_OC[[#This Row],[Material]]&amp;Detalle_OC[[#This Row],[Pedido]]&amp;Detalle_OC[[#This Row],[Posicion]]</f>
        <v>Sucroalcolera del Chira PlantaMontelima70069187550002485690</v>
      </c>
      <c r="B1856" t="s">
        <v>28</v>
      </c>
      <c r="C1856" t="s">
        <v>96</v>
      </c>
      <c r="D1856" s="11">
        <v>45605</v>
      </c>
      <c r="E1856" t="s">
        <v>16</v>
      </c>
      <c r="F1856" t="s">
        <v>85</v>
      </c>
      <c r="G1856">
        <v>70069187</v>
      </c>
      <c r="H1856">
        <v>5500024856</v>
      </c>
      <c r="I1856">
        <v>90</v>
      </c>
      <c r="J1856" s="29">
        <v>1</v>
      </c>
      <c r="K1856" s="29" t="s">
        <v>101</v>
      </c>
      <c r="L1856" t="str">
        <f>IFERROR(VLOOKUP(Detalle_OC[[#This Row],[Centro]]&amp;Detalle_OC[[#This Row],[Nro Almacen]],Almacen!A:D,4,FALSE),"")</f>
        <v>Montelima</v>
      </c>
    </row>
    <row r="1857" spans="1:12" x14ac:dyDescent="0.3">
      <c r="A1857" s="29" t="str">
        <f>Detalle_OC[[#This Row],[Centro]]&amp;Detalle_OC[[#This Row],[Nom Almacen]]&amp;Detalle_OC[[#This Row],[Material]]&amp;Detalle_OC[[#This Row],[Pedido]]&amp;Detalle_OC[[#This Row],[Posicion]]</f>
        <v>Agricola del Chira PlantaMontelima70058000550002488110</v>
      </c>
      <c r="B1857" t="s">
        <v>28</v>
      </c>
      <c r="C1857" t="s">
        <v>52</v>
      </c>
      <c r="D1857" s="11">
        <v>45605</v>
      </c>
      <c r="E1857" t="s">
        <v>16</v>
      </c>
      <c r="F1857" t="s">
        <v>12</v>
      </c>
      <c r="G1857">
        <v>70058000</v>
      </c>
      <c r="H1857">
        <v>5500024881</v>
      </c>
      <c r="I1857">
        <v>10</v>
      </c>
      <c r="J1857" s="29">
        <v>1</v>
      </c>
      <c r="K1857" s="29" t="s">
        <v>101</v>
      </c>
      <c r="L1857" t="str">
        <f>IFERROR(VLOOKUP(Detalle_OC[[#This Row],[Centro]]&amp;Detalle_OC[[#This Row],[Nro Almacen]],Almacen!A:D,4,FALSE),"")</f>
        <v>Montelima</v>
      </c>
    </row>
    <row r="1858" spans="1:12" x14ac:dyDescent="0.3">
      <c r="A1858" s="29" t="str">
        <f>Detalle_OC[[#This Row],[Centro]]&amp;Detalle_OC[[#This Row],[Nom Almacen]]&amp;Detalle_OC[[#This Row],[Material]]&amp;Detalle_OC[[#This Row],[Pedido]]&amp;Detalle_OC[[#This Row],[Posicion]]</f>
        <v>Agricola del Chira PlantaMontelima70050498550002488140</v>
      </c>
      <c r="B1858" t="s">
        <v>28</v>
      </c>
      <c r="C1858" t="s">
        <v>52</v>
      </c>
      <c r="D1858" s="11">
        <v>45605</v>
      </c>
      <c r="E1858" t="s">
        <v>16</v>
      </c>
      <c r="F1858" t="s">
        <v>12</v>
      </c>
      <c r="G1858">
        <v>70050498</v>
      </c>
      <c r="H1858">
        <v>5500024881</v>
      </c>
      <c r="I1858">
        <v>40</v>
      </c>
      <c r="J1858" s="29">
        <v>1</v>
      </c>
      <c r="K1858" s="29" t="s">
        <v>101</v>
      </c>
      <c r="L1858" t="str">
        <f>IFERROR(VLOOKUP(Detalle_OC[[#This Row],[Centro]]&amp;Detalle_OC[[#This Row],[Nro Almacen]],Almacen!A:D,4,FALSE),"")</f>
        <v>Montelima</v>
      </c>
    </row>
    <row r="1859" spans="1:12" x14ac:dyDescent="0.3">
      <c r="A1859" s="29" t="str">
        <f>Detalle_OC[[#This Row],[Centro]]&amp;Detalle_OC[[#This Row],[Nom Almacen]]&amp;Detalle_OC[[#This Row],[Material]]&amp;Detalle_OC[[#This Row],[Pedido]]&amp;Detalle_OC[[#This Row],[Posicion]]</f>
        <v>Agricola del Chira PlantaMontelima701021385500024881130</v>
      </c>
      <c r="B1859" t="s">
        <v>28</v>
      </c>
      <c r="C1859" t="s">
        <v>52</v>
      </c>
      <c r="D1859" s="11">
        <v>45605</v>
      </c>
      <c r="E1859" t="s">
        <v>16</v>
      </c>
      <c r="F1859" t="s">
        <v>12</v>
      </c>
      <c r="G1859">
        <v>70102138</v>
      </c>
      <c r="H1859">
        <v>5500024881</v>
      </c>
      <c r="I1859">
        <v>130</v>
      </c>
      <c r="J1859" s="29">
        <v>1</v>
      </c>
      <c r="K1859" s="29" t="s">
        <v>101</v>
      </c>
      <c r="L1859" t="str">
        <f>IFERROR(VLOOKUP(Detalle_OC[[#This Row],[Centro]]&amp;Detalle_OC[[#This Row],[Nro Almacen]],Almacen!A:D,4,FALSE),"")</f>
        <v>Montelima</v>
      </c>
    </row>
    <row r="1860" spans="1:12" x14ac:dyDescent="0.3">
      <c r="A1860" s="29" t="str">
        <f>Detalle_OC[[#This Row],[Centro]]&amp;Detalle_OC[[#This Row],[Nom Almacen]]&amp;Detalle_OC[[#This Row],[Material]]&amp;Detalle_OC[[#This Row],[Pedido]]&amp;Detalle_OC[[#This Row],[Posicion]]</f>
        <v>Agricola del Chira PlantaSan Vicente701021385500024881140</v>
      </c>
      <c r="B1860" t="s">
        <v>28</v>
      </c>
      <c r="C1860" t="s">
        <v>52</v>
      </c>
      <c r="D1860" s="11">
        <v>45605</v>
      </c>
      <c r="E1860" t="s">
        <v>16</v>
      </c>
      <c r="F1860" t="s">
        <v>12</v>
      </c>
      <c r="G1860">
        <v>70102138</v>
      </c>
      <c r="H1860">
        <v>5500024881</v>
      </c>
      <c r="I1860">
        <v>140</v>
      </c>
      <c r="J1860" s="29">
        <v>3</v>
      </c>
      <c r="K1860" s="29" t="s">
        <v>101</v>
      </c>
      <c r="L1860" t="str">
        <f>IFERROR(VLOOKUP(Detalle_OC[[#This Row],[Centro]]&amp;Detalle_OC[[#This Row],[Nro Almacen]],Almacen!A:D,4,FALSE),"")</f>
        <v>San Vicente</v>
      </c>
    </row>
    <row r="1861" spans="1:12" x14ac:dyDescent="0.3">
      <c r="A1861" s="29" t="str">
        <f>Detalle_OC[[#This Row],[Centro]]&amp;Detalle_OC[[#This Row],[Nom Almacen]]&amp;Detalle_OC[[#This Row],[Material]]&amp;Detalle_OC[[#This Row],[Pedido]]&amp;Detalle_OC[[#This Row],[Posicion]]</f>
        <v>Agricola del Chira PlantaMontelima700580015500024881160</v>
      </c>
      <c r="B1861" t="s">
        <v>28</v>
      </c>
      <c r="C1861" t="s">
        <v>52</v>
      </c>
      <c r="D1861" s="11">
        <v>45605</v>
      </c>
      <c r="E1861" t="s">
        <v>16</v>
      </c>
      <c r="F1861" t="s">
        <v>12</v>
      </c>
      <c r="G1861">
        <v>70058001</v>
      </c>
      <c r="H1861">
        <v>5500024881</v>
      </c>
      <c r="I1861">
        <v>160</v>
      </c>
      <c r="J1861" s="29">
        <v>1</v>
      </c>
      <c r="K1861" s="29" t="s">
        <v>101</v>
      </c>
      <c r="L1861" t="str">
        <f>IFERROR(VLOOKUP(Detalle_OC[[#This Row],[Centro]]&amp;Detalle_OC[[#This Row],[Nro Almacen]],Almacen!A:D,4,FALSE),"")</f>
        <v>Montelima</v>
      </c>
    </row>
    <row r="1862" spans="1:12" x14ac:dyDescent="0.3">
      <c r="A1862" s="29" t="str">
        <f>Detalle_OC[[#This Row],[Centro]]&amp;Detalle_OC[[#This Row],[Nom Almacen]]&amp;Detalle_OC[[#This Row],[Material]]&amp;Detalle_OC[[#This Row],[Pedido]]&amp;Detalle_OC[[#This Row],[Posicion]]</f>
        <v>Agricola del Chira PlantaSan Vicente700580015500024881170</v>
      </c>
      <c r="B1862" t="s">
        <v>28</v>
      </c>
      <c r="C1862" t="s">
        <v>52</v>
      </c>
      <c r="D1862" s="11">
        <v>45605</v>
      </c>
      <c r="E1862" t="s">
        <v>16</v>
      </c>
      <c r="F1862" t="s">
        <v>12</v>
      </c>
      <c r="G1862">
        <v>70058001</v>
      </c>
      <c r="H1862">
        <v>5500024881</v>
      </c>
      <c r="I1862">
        <v>170</v>
      </c>
      <c r="J1862" s="29">
        <v>3</v>
      </c>
      <c r="K1862" s="29" t="s">
        <v>101</v>
      </c>
      <c r="L1862" t="str">
        <f>IFERROR(VLOOKUP(Detalle_OC[[#This Row],[Centro]]&amp;Detalle_OC[[#This Row],[Nro Almacen]],Almacen!A:D,4,FALSE),"")</f>
        <v>San Vicente</v>
      </c>
    </row>
    <row r="1863" spans="1:12" x14ac:dyDescent="0.3">
      <c r="A1863" s="29" t="str">
        <f>Detalle_OC[[#This Row],[Centro]]&amp;Detalle_OC[[#This Row],[Nom Almacen]]&amp;Detalle_OC[[#This Row],[Material]]&amp;Detalle_OC[[#This Row],[Pedido]]&amp;Detalle_OC[[#This Row],[Posicion]]</f>
        <v>Agricola del Chira PlantaSan Vicente700657865500024881210</v>
      </c>
      <c r="B1863" t="s">
        <v>28</v>
      </c>
      <c r="C1863" t="s">
        <v>52</v>
      </c>
      <c r="D1863" s="11">
        <v>45605</v>
      </c>
      <c r="E1863" t="s">
        <v>16</v>
      </c>
      <c r="F1863" t="s">
        <v>12</v>
      </c>
      <c r="G1863">
        <v>70065786</v>
      </c>
      <c r="H1863">
        <v>5500024881</v>
      </c>
      <c r="I1863">
        <v>210</v>
      </c>
      <c r="J1863" s="29">
        <v>3</v>
      </c>
      <c r="K1863" s="29" t="s">
        <v>101</v>
      </c>
      <c r="L1863" t="str">
        <f>IFERROR(VLOOKUP(Detalle_OC[[#This Row],[Centro]]&amp;Detalle_OC[[#This Row],[Nro Almacen]],Almacen!A:D,4,FALSE),"")</f>
        <v>San Vicente</v>
      </c>
    </row>
    <row r="1864" spans="1:12" x14ac:dyDescent="0.3">
      <c r="A1864" s="29" t="str">
        <f>Detalle_OC[[#This Row],[Centro]]&amp;Detalle_OC[[#This Row],[Nom Almacen]]&amp;Detalle_OC[[#This Row],[Material]]&amp;Detalle_OC[[#This Row],[Pedido]]&amp;Detalle_OC[[#This Row],[Posicion]]</f>
        <v>Agricola del Chira PlantaSan Vicente7231095500024896110</v>
      </c>
      <c r="B1864" t="s">
        <v>28</v>
      </c>
      <c r="C1864" t="s">
        <v>27</v>
      </c>
      <c r="D1864" s="11">
        <v>45605</v>
      </c>
      <c r="E1864" t="s">
        <v>16</v>
      </c>
      <c r="F1864" t="s">
        <v>12</v>
      </c>
      <c r="G1864">
        <v>723109</v>
      </c>
      <c r="H1864">
        <v>5500024896</v>
      </c>
      <c r="I1864">
        <v>110</v>
      </c>
      <c r="J1864" s="29">
        <v>3</v>
      </c>
      <c r="K1864" s="29" t="s">
        <v>101</v>
      </c>
      <c r="L1864" t="str">
        <f>IFERROR(VLOOKUP(Detalle_OC[[#This Row],[Centro]]&amp;Detalle_OC[[#This Row],[Nro Almacen]],Almacen!A:D,4,FALSE),"")</f>
        <v>San Vicente</v>
      </c>
    </row>
    <row r="1865" spans="1:12" x14ac:dyDescent="0.3">
      <c r="A1865" s="29" t="str">
        <f>Detalle_OC[[#This Row],[Centro]]&amp;Detalle_OC[[#This Row],[Nom Almacen]]&amp;Detalle_OC[[#This Row],[Material]]&amp;Detalle_OC[[#This Row],[Pedido]]&amp;Detalle_OC[[#This Row],[Posicion]]</f>
        <v>Agricola del Chira PlantaSan VicenteCET55406232       5500024896130</v>
      </c>
      <c r="B1865" t="s">
        <v>28</v>
      </c>
      <c r="C1865" t="s">
        <v>27</v>
      </c>
      <c r="D1865" s="11">
        <v>45574</v>
      </c>
      <c r="E1865" t="s">
        <v>16</v>
      </c>
      <c r="F1865" t="s">
        <v>12</v>
      </c>
      <c r="G1865" t="s">
        <v>55</v>
      </c>
      <c r="H1865">
        <v>5500024896</v>
      </c>
      <c r="I1865">
        <v>130</v>
      </c>
      <c r="J1865" s="29">
        <v>3</v>
      </c>
      <c r="K1865" s="29" t="s">
        <v>101</v>
      </c>
      <c r="L1865" t="str">
        <f>IFERROR(VLOOKUP(Detalle_OC[[#This Row],[Centro]]&amp;Detalle_OC[[#This Row],[Nro Almacen]],Almacen!A:D,4,FALSE),"")</f>
        <v>San Vicente</v>
      </c>
    </row>
    <row r="1866" spans="1:12" x14ac:dyDescent="0.3">
      <c r="A1866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1866" t="s">
        <v>28</v>
      </c>
      <c r="C1866" t="s">
        <v>94</v>
      </c>
      <c r="D1866" s="11">
        <v>45604</v>
      </c>
      <c r="E1866" t="s">
        <v>16</v>
      </c>
      <c r="F1866" t="s">
        <v>85</v>
      </c>
      <c r="G1866" t="s">
        <v>95</v>
      </c>
      <c r="H1866">
        <v>5500024746</v>
      </c>
      <c r="I1866">
        <v>10</v>
      </c>
      <c r="J1866" s="29">
        <v>1</v>
      </c>
      <c r="K1866" s="29" t="s">
        <v>102</v>
      </c>
      <c r="L1866" t="str">
        <f>IFERROR(VLOOKUP(Detalle_OC[[#This Row],[Centro]]&amp;Detalle_OC[[#This Row],[Nro Almacen]],Almacen!A:D,4,FALSE),"")</f>
        <v>Montelima</v>
      </c>
    </row>
    <row r="1867" spans="1:12" x14ac:dyDescent="0.3">
      <c r="A1867" s="29" t="str">
        <f>Detalle_OC[[#This Row],[Centro]]&amp;Detalle_OC[[#This Row],[Nom Almacen]]&amp;Detalle_OC[[#This Row],[Material]]&amp;Detalle_OC[[#This Row],[Pedido]]&amp;Detalle_OC[[#This Row],[Posicion]]</f>
        <v>Sucroalcolera del Chira PlantaMontelimaMWSODACAUSTICA    550002478030</v>
      </c>
      <c r="B1867" t="s">
        <v>28</v>
      </c>
      <c r="C1867" t="s">
        <v>94</v>
      </c>
      <c r="D1867" s="11">
        <v>45604</v>
      </c>
      <c r="E1867" t="s">
        <v>16</v>
      </c>
      <c r="F1867" t="s">
        <v>85</v>
      </c>
      <c r="G1867" t="s">
        <v>1010</v>
      </c>
      <c r="H1867">
        <v>5500024780</v>
      </c>
      <c r="I1867">
        <v>30</v>
      </c>
      <c r="J1867" s="29">
        <v>1</v>
      </c>
      <c r="K1867" s="29" t="s">
        <v>102</v>
      </c>
      <c r="L1867" t="str">
        <f>IFERROR(VLOOKUP(Detalle_OC[[#This Row],[Centro]]&amp;Detalle_OC[[#This Row],[Nro Almacen]],Almacen!A:D,4,FALSE),"")</f>
        <v>Montelima</v>
      </c>
    </row>
    <row r="1868" spans="1:12" x14ac:dyDescent="0.3">
      <c r="A1868" s="29" t="str">
        <f>Detalle_OC[[#This Row],[Centro]]&amp;Detalle_OC[[#This Row],[Nom Almacen]]&amp;Detalle_OC[[#This Row],[Material]]&amp;Detalle_OC[[#This Row],[Pedido]]&amp;Detalle_OC[[#This Row],[Posicion]]</f>
        <v>Agricola del Chira PlantaSan Vicente7823515500024855140</v>
      </c>
      <c r="B1868" t="s">
        <v>28</v>
      </c>
      <c r="C1868" t="s">
        <v>96</v>
      </c>
      <c r="D1868" s="11">
        <v>45619</v>
      </c>
      <c r="E1868" t="s">
        <v>16</v>
      </c>
      <c r="F1868" t="s">
        <v>12</v>
      </c>
      <c r="G1868">
        <v>782351</v>
      </c>
      <c r="H1868">
        <v>5500024855</v>
      </c>
      <c r="I1868">
        <v>140</v>
      </c>
      <c r="J1868" s="29">
        <v>3</v>
      </c>
      <c r="K1868" s="29" t="s">
        <v>102</v>
      </c>
      <c r="L1868" t="str">
        <f>IFERROR(VLOOKUP(Detalle_OC[[#This Row],[Centro]]&amp;Detalle_OC[[#This Row],[Nro Almacen]],Almacen!A:D,4,FALSE),"")</f>
        <v>San Vicente</v>
      </c>
    </row>
    <row r="1869" spans="1:12" x14ac:dyDescent="0.3">
      <c r="A1869" s="29" t="str">
        <f>Detalle_OC[[#This Row],[Centro]]&amp;Detalle_OC[[#This Row],[Nom Almacen]]&amp;Detalle_OC[[#This Row],[Material]]&amp;Detalle_OC[[#This Row],[Pedido]]&amp;Detalle_OC[[#This Row],[Posicion]]</f>
        <v>Sucroalcolera del Chira PlantaMontelima70068243451156936610</v>
      </c>
      <c r="B1869" t="s">
        <v>138</v>
      </c>
      <c r="C1869" t="s">
        <v>189</v>
      </c>
      <c r="D1869" s="11">
        <v>45635</v>
      </c>
      <c r="E1869" t="s">
        <v>16</v>
      </c>
      <c r="F1869" t="s">
        <v>85</v>
      </c>
      <c r="G1869">
        <v>70068243</v>
      </c>
      <c r="H1869">
        <v>4511569366</v>
      </c>
      <c r="I1869">
        <v>10</v>
      </c>
      <c r="J1869" s="29">
        <v>1</v>
      </c>
      <c r="K1869" s="29" t="s">
        <v>105</v>
      </c>
      <c r="L1869" t="str">
        <f>IFERROR(VLOOKUP(Detalle_OC[[#This Row],[Centro]]&amp;Detalle_OC[[#This Row],[Nro Almacen]],Almacen!A:D,4,FALSE),"")</f>
        <v>Montelima</v>
      </c>
    </row>
    <row r="1870" spans="1:12" x14ac:dyDescent="0.3">
      <c r="A1870" s="29" t="str">
        <f>Detalle_OC[[#This Row],[Centro]]&amp;Detalle_OC[[#This Row],[Nom Almacen]]&amp;Detalle_OC[[#This Row],[Material]]&amp;Detalle_OC[[#This Row],[Pedido]]&amp;Detalle_OC[[#This Row],[Posicion]]</f>
        <v>Sucroalcolera del Chira PlantaMontelima70007733451156939110</v>
      </c>
      <c r="B1870" t="s">
        <v>138</v>
      </c>
      <c r="C1870" t="s">
        <v>213</v>
      </c>
      <c r="D1870" s="11">
        <v>45625</v>
      </c>
      <c r="E1870" t="s">
        <v>16</v>
      </c>
      <c r="F1870" t="s">
        <v>85</v>
      </c>
      <c r="G1870">
        <v>70007733</v>
      </c>
      <c r="H1870">
        <v>4511569391</v>
      </c>
      <c r="I1870">
        <v>10</v>
      </c>
      <c r="J1870" s="29">
        <v>1</v>
      </c>
      <c r="K1870" s="29" t="s">
        <v>105</v>
      </c>
      <c r="L1870" t="str">
        <f>IFERROR(VLOOKUP(Detalle_OC[[#This Row],[Centro]]&amp;Detalle_OC[[#This Row],[Nro Almacen]],Almacen!A:D,4,FALSE),"")</f>
        <v>Montelima</v>
      </c>
    </row>
    <row r="1871" spans="1:12" x14ac:dyDescent="0.3">
      <c r="A1871" s="29" t="str">
        <f>Detalle_OC[[#This Row],[Centro]]&amp;Detalle_OC[[#This Row],[Nom Almacen]]&amp;Detalle_OC[[#This Row],[Material]]&amp;Detalle_OC[[#This Row],[Pedido]]&amp;Detalle_OC[[#This Row],[Posicion]]</f>
        <v>Sucroalcolera del Chira PlantaMontelima860645451156941710</v>
      </c>
      <c r="B1871" t="s">
        <v>138</v>
      </c>
      <c r="C1871" t="s">
        <v>278</v>
      </c>
      <c r="D1871" s="11">
        <v>45618</v>
      </c>
      <c r="E1871" t="s">
        <v>16</v>
      </c>
      <c r="F1871" t="s">
        <v>85</v>
      </c>
      <c r="G1871">
        <v>860645</v>
      </c>
      <c r="H1871">
        <v>4511569417</v>
      </c>
      <c r="I1871">
        <v>10</v>
      </c>
      <c r="J1871" s="29">
        <v>1</v>
      </c>
      <c r="K1871" s="29" t="s">
        <v>105</v>
      </c>
      <c r="L1871" t="str">
        <f>IFERROR(VLOOKUP(Detalle_OC[[#This Row],[Centro]]&amp;Detalle_OC[[#This Row],[Nro Almacen]],Almacen!A:D,4,FALSE),"")</f>
        <v>Montelima</v>
      </c>
    </row>
    <row r="1872" spans="1:12" x14ac:dyDescent="0.3">
      <c r="A1872" s="29" t="str">
        <f>Detalle_OC[[#This Row],[Centro]]&amp;Detalle_OC[[#This Row],[Nom Almacen]]&amp;Detalle_OC[[#This Row],[Material]]&amp;Detalle_OC[[#This Row],[Pedido]]&amp;Detalle_OC[[#This Row],[Posicion]]</f>
        <v>Agricola del Chira PlantaAlmacen Lobo70011211451156943310</v>
      </c>
      <c r="B1872" t="s">
        <v>15</v>
      </c>
      <c r="C1872" t="s">
        <v>211</v>
      </c>
      <c r="D1872" s="11">
        <v>45637</v>
      </c>
      <c r="E1872" t="s">
        <v>16</v>
      </c>
      <c r="F1872" t="s">
        <v>12</v>
      </c>
      <c r="G1872">
        <v>70011211</v>
      </c>
      <c r="H1872">
        <v>4511569433</v>
      </c>
      <c r="I1872">
        <v>10</v>
      </c>
      <c r="J1872" s="29">
        <v>7</v>
      </c>
      <c r="K1872" s="29" t="s">
        <v>105</v>
      </c>
      <c r="L1872" t="str">
        <f>IFERROR(VLOOKUP(Detalle_OC[[#This Row],[Centro]]&amp;Detalle_OC[[#This Row],[Nro Almacen]],Almacen!A:D,4,FALSE),"")</f>
        <v>Almacen Lobo</v>
      </c>
    </row>
    <row r="1873" spans="1:12" x14ac:dyDescent="0.3">
      <c r="A1873" s="29" t="str">
        <f>Detalle_OC[[#This Row],[Centro]]&amp;Detalle_OC[[#This Row],[Nom Almacen]]&amp;Detalle_OC[[#This Row],[Material]]&amp;Detalle_OC[[#This Row],[Pedido]]&amp;Detalle_OC[[#This Row],[Posicion]]</f>
        <v>Agricola del Chira PlantaMontelima722243451156943610</v>
      </c>
      <c r="B1873" t="s">
        <v>149</v>
      </c>
      <c r="C1873" t="s">
        <v>168</v>
      </c>
      <c r="D1873" s="11">
        <v>45649</v>
      </c>
      <c r="E1873" t="s">
        <v>16</v>
      </c>
      <c r="F1873" t="s">
        <v>12</v>
      </c>
      <c r="G1873">
        <v>722243</v>
      </c>
      <c r="H1873">
        <v>4511569436</v>
      </c>
      <c r="I1873">
        <v>10</v>
      </c>
      <c r="J1873" s="29">
        <v>1</v>
      </c>
      <c r="K1873" s="29" t="s">
        <v>105</v>
      </c>
      <c r="L1873" t="str">
        <f>IFERROR(VLOOKUP(Detalle_OC[[#This Row],[Centro]]&amp;Detalle_OC[[#This Row],[Nro Almacen]],Almacen!A:D,4,FALSE),"")</f>
        <v>Montelima</v>
      </c>
    </row>
    <row r="1874" spans="1:12" x14ac:dyDescent="0.3">
      <c r="A1874" s="29" t="str">
        <f>Detalle_OC[[#This Row],[Centro]]&amp;Detalle_OC[[#This Row],[Nom Almacen]]&amp;Detalle_OC[[#This Row],[Material]]&amp;Detalle_OC[[#This Row],[Pedido]]&amp;Detalle_OC[[#This Row],[Posicion]]</f>
        <v>Agricola del Chira PlantaLa Huaca700691835500024855310</v>
      </c>
      <c r="B1874" t="s">
        <v>28</v>
      </c>
      <c r="C1874" t="s">
        <v>96</v>
      </c>
      <c r="D1874" s="11">
        <v>45611</v>
      </c>
      <c r="E1874" t="s">
        <v>16</v>
      </c>
      <c r="F1874" t="s">
        <v>12</v>
      </c>
      <c r="G1874">
        <v>70069183</v>
      </c>
      <c r="H1874">
        <v>5500024855</v>
      </c>
      <c r="I1874">
        <v>310</v>
      </c>
      <c r="J1874" s="29">
        <v>2</v>
      </c>
      <c r="K1874" s="29" t="s">
        <v>105</v>
      </c>
      <c r="L1874" t="str">
        <f>IFERROR(VLOOKUP(Detalle_OC[[#This Row],[Centro]]&amp;Detalle_OC[[#This Row],[Nro Almacen]],Almacen!A:D,4,FALSE),"")</f>
        <v>La Huaca</v>
      </c>
    </row>
    <row r="1875" spans="1:12" x14ac:dyDescent="0.3">
      <c r="A1875" s="29" t="str">
        <f>Detalle_OC[[#This Row],[Centro]]&amp;Detalle_OC[[#This Row],[Nom Almacen]]&amp;Detalle_OC[[#This Row],[Material]]&amp;Detalle_OC[[#This Row],[Pedido]]&amp;Detalle_OC[[#This Row],[Posicion]]</f>
        <v>Agricola del Chira PlantaAlmacen Lobo700580015500024881180</v>
      </c>
      <c r="B1875" t="s">
        <v>28</v>
      </c>
      <c r="C1875" t="s">
        <v>52</v>
      </c>
      <c r="D1875" s="11">
        <v>45603</v>
      </c>
      <c r="E1875" t="s">
        <v>16</v>
      </c>
      <c r="F1875" t="s">
        <v>12</v>
      </c>
      <c r="G1875">
        <v>70058001</v>
      </c>
      <c r="H1875">
        <v>5500024881</v>
      </c>
      <c r="I1875">
        <v>180</v>
      </c>
      <c r="J1875" s="29">
        <v>7</v>
      </c>
      <c r="K1875" s="29" t="s">
        <v>105</v>
      </c>
      <c r="L1875" t="str">
        <f>IFERROR(VLOOKUP(Detalle_OC[[#This Row],[Centro]]&amp;Detalle_OC[[#This Row],[Nro Almacen]],Almacen!A:D,4,FALSE),"")</f>
        <v>Almacen Lobo</v>
      </c>
    </row>
    <row r="1876" spans="1:12" x14ac:dyDescent="0.3">
      <c r="A1876" s="29" t="str">
        <f>Detalle_OC[[#This Row],[Centro]]&amp;Detalle_OC[[#This Row],[Nom Almacen]]&amp;Detalle_OC[[#This Row],[Material]]&amp;Detalle_OC[[#This Row],[Pedido]]&amp;Detalle_OC[[#This Row],[Posicion]]</f>
        <v>Agricola del Chira PlantaMontelima709179550002233820</v>
      </c>
      <c r="B1876" t="s">
        <v>28</v>
      </c>
      <c r="C1876" t="s">
        <v>84</v>
      </c>
      <c r="D1876" s="11">
        <v>45602</v>
      </c>
      <c r="E1876" t="s">
        <v>16</v>
      </c>
      <c r="F1876" t="s">
        <v>12</v>
      </c>
      <c r="G1876">
        <v>709179</v>
      </c>
      <c r="H1876">
        <v>5500022338</v>
      </c>
      <c r="I1876">
        <v>20</v>
      </c>
      <c r="J1876" s="29">
        <v>1</v>
      </c>
      <c r="K1876" s="29" t="s">
        <v>106</v>
      </c>
      <c r="L1876" t="str">
        <f>IFERROR(VLOOKUP(Detalle_OC[[#This Row],[Centro]]&amp;Detalle_OC[[#This Row],[Nro Almacen]],Almacen!A:D,4,FALSE),"")</f>
        <v>Montelima</v>
      </c>
    </row>
    <row r="1877" spans="1:12" x14ac:dyDescent="0.3">
      <c r="A1877" s="29" t="str">
        <f>Detalle_OC[[#This Row],[Centro]]&amp;Detalle_OC[[#This Row],[Nom Almacen]]&amp;Detalle_OC[[#This Row],[Material]]&amp;Detalle_OC[[#This Row],[Pedido]]&amp;Detalle_OC[[#This Row],[Posicion]]</f>
        <v>Agricola del Chira PlantaMontelima808069550002233830</v>
      </c>
      <c r="B1877" t="s">
        <v>28</v>
      </c>
      <c r="C1877" t="s">
        <v>84</v>
      </c>
      <c r="D1877" s="11">
        <v>45602</v>
      </c>
      <c r="E1877" t="s">
        <v>16</v>
      </c>
      <c r="F1877" t="s">
        <v>12</v>
      </c>
      <c r="G1877">
        <v>808069</v>
      </c>
      <c r="H1877">
        <v>5500022338</v>
      </c>
      <c r="I1877">
        <v>30</v>
      </c>
      <c r="J1877" s="29">
        <v>1</v>
      </c>
      <c r="K1877" s="29" t="s">
        <v>106</v>
      </c>
      <c r="L1877" t="str">
        <f>IFERROR(VLOOKUP(Detalle_OC[[#This Row],[Centro]]&amp;Detalle_OC[[#This Row],[Nro Almacen]],Almacen!A:D,4,FALSE),"")</f>
        <v>Montelima</v>
      </c>
    </row>
    <row r="1878" spans="1:12" x14ac:dyDescent="0.3">
      <c r="A1878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1878" t="s">
        <v>28</v>
      </c>
      <c r="C1878" t="s">
        <v>84</v>
      </c>
      <c r="D1878" s="11">
        <v>45602</v>
      </c>
      <c r="E1878" t="s">
        <v>16</v>
      </c>
      <c r="F1878" t="s">
        <v>12</v>
      </c>
      <c r="G1878">
        <v>801846</v>
      </c>
      <c r="H1878">
        <v>5500022338</v>
      </c>
      <c r="I1878">
        <v>40</v>
      </c>
      <c r="J1878" s="29">
        <v>1</v>
      </c>
      <c r="K1878" s="29" t="s">
        <v>106</v>
      </c>
      <c r="L1878" t="str">
        <f>IFERROR(VLOOKUP(Detalle_OC[[#This Row],[Centro]]&amp;Detalle_OC[[#This Row],[Nro Almacen]],Almacen!A:D,4,FALSE),"")</f>
        <v>Montelima</v>
      </c>
    </row>
    <row r="1879" spans="1:12" x14ac:dyDescent="0.3">
      <c r="A1879" s="29" t="str">
        <f>Detalle_OC[[#This Row],[Centro]]&amp;Detalle_OC[[#This Row],[Nom Almacen]]&amp;Detalle_OC[[#This Row],[Material]]&amp;Detalle_OC[[#This Row],[Pedido]]&amp;Detalle_OC[[#This Row],[Posicion]]</f>
        <v>Agricola del Chira PlantaMontelima708707550002233850</v>
      </c>
      <c r="B1879" t="s">
        <v>28</v>
      </c>
      <c r="C1879" t="s">
        <v>84</v>
      </c>
      <c r="D1879" s="11">
        <v>45602</v>
      </c>
      <c r="E1879" t="s">
        <v>16</v>
      </c>
      <c r="F1879" t="s">
        <v>12</v>
      </c>
      <c r="G1879">
        <v>708707</v>
      </c>
      <c r="H1879">
        <v>5500022338</v>
      </c>
      <c r="I1879">
        <v>50</v>
      </c>
      <c r="J1879" s="29">
        <v>1</v>
      </c>
      <c r="K1879" s="29" t="s">
        <v>106</v>
      </c>
      <c r="L1879" t="str">
        <f>IFERROR(VLOOKUP(Detalle_OC[[#This Row],[Centro]]&amp;Detalle_OC[[#This Row],[Nro Almacen]],Almacen!A:D,4,FALSE),"")</f>
        <v>Montelima</v>
      </c>
    </row>
    <row r="1880" spans="1:12" x14ac:dyDescent="0.3">
      <c r="A1880" s="29" t="str">
        <f>Detalle_OC[[#This Row],[Centro]]&amp;Detalle_OC[[#This Row],[Nom Almacen]]&amp;Detalle_OC[[#This Row],[Material]]&amp;Detalle_OC[[#This Row],[Pedido]]&amp;Detalle_OC[[#This Row],[Posicion]]</f>
        <v>Agricola del Chira PlantaMontelima70032053550002233880</v>
      </c>
      <c r="B1880" t="s">
        <v>28</v>
      </c>
      <c r="C1880" t="s">
        <v>84</v>
      </c>
      <c r="D1880" s="11">
        <v>45602</v>
      </c>
      <c r="E1880" t="s">
        <v>16</v>
      </c>
      <c r="F1880" t="s">
        <v>12</v>
      </c>
      <c r="G1880">
        <v>70032053</v>
      </c>
      <c r="H1880">
        <v>5500022338</v>
      </c>
      <c r="I1880">
        <v>80</v>
      </c>
      <c r="J1880" s="29">
        <v>1</v>
      </c>
      <c r="K1880" s="29" t="s">
        <v>106</v>
      </c>
      <c r="L1880" t="str">
        <f>IFERROR(VLOOKUP(Detalle_OC[[#This Row],[Centro]]&amp;Detalle_OC[[#This Row],[Nro Almacen]],Almacen!A:D,4,FALSE),"")</f>
        <v>Montelima</v>
      </c>
    </row>
    <row r="1881" spans="1:12" x14ac:dyDescent="0.3">
      <c r="A1881" s="29" t="str">
        <f>Detalle_OC[[#This Row],[Centro]]&amp;Detalle_OC[[#This Row],[Nom Almacen]]&amp;Detalle_OC[[#This Row],[Material]]&amp;Detalle_OC[[#This Row],[Pedido]]&amp;Detalle_OC[[#This Row],[Posicion]]</f>
        <v>Agricola del Chira PlantaMontelima70084371550002468180</v>
      </c>
      <c r="B1881" t="s">
        <v>28</v>
      </c>
      <c r="C1881" t="s">
        <v>84</v>
      </c>
      <c r="D1881" s="11">
        <v>45617</v>
      </c>
      <c r="E1881" t="s">
        <v>16</v>
      </c>
      <c r="F1881" t="s">
        <v>12</v>
      </c>
      <c r="G1881">
        <v>70084371</v>
      </c>
      <c r="H1881">
        <v>5500024681</v>
      </c>
      <c r="I1881">
        <v>80</v>
      </c>
      <c r="J1881" s="29">
        <v>1</v>
      </c>
      <c r="K1881" s="29" t="s">
        <v>106</v>
      </c>
      <c r="L1881" t="str">
        <f>IFERROR(VLOOKUP(Detalle_OC[[#This Row],[Centro]]&amp;Detalle_OC[[#This Row],[Nro Almacen]],Almacen!A:D,4,FALSE),"")</f>
        <v>Montelima</v>
      </c>
    </row>
    <row r="1882" spans="1:12" x14ac:dyDescent="0.3">
      <c r="A1882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1882" t="s">
        <v>28</v>
      </c>
      <c r="C1882" t="s">
        <v>54</v>
      </c>
      <c r="D1882" s="11">
        <v>45602</v>
      </c>
      <c r="E1882" t="s">
        <v>16</v>
      </c>
      <c r="F1882" t="s">
        <v>12</v>
      </c>
      <c r="G1882">
        <v>70100392</v>
      </c>
      <c r="H1882">
        <v>5500024751</v>
      </c>
      <c r="I1882">
        <v>20</v>
      </c>
      <c r="J1882" s="29">
        <v>2</v>
      </c>
      <c r="K1882" s="29" t="s">
        <v>106</v>
      </c>
      <c r="L1882" t="str">
        <f>IFERROR(VLOOKUP(Detalle_OC[[#This Row],[Centro]]&amp;Detalle_OC[[#This Row],[Nro Almacen]],Almacen!A:D,4,FALSE),"")</f>
        <v>La Huaca</v>
      </c>
    </row>
    <row r="1883" spans="1:12" x14ac:dyDescent="0.3">
      <c r="A1883" s="29" t="str">
        <f>Detalle_OC[[#This Row],[Centro]]&amp;Detalle_OC[[#This Row],[Nom Almacen]]&amp;Detalle_OC[[#This Row],[Material]]&amp;Detalle_OC[[#This Row],[Pedido]]&amp;Detalle_OC[[#This Row],[Posicion]]</f>
        <v>Agricola del Chira PlantaSan Vicente70100392550002475130</v>
      </c>
      <c r="B1883" t="s">
        <v>28</v>
      </c>
      <c r="C1883" t="s">
        <v>54</v>
      </c>
      <c r="D1883" s="11">
        <v>45602</v>
      </c>
      <c r="E1883" t="s">
        <v>16</v>
      </c>
      <c r="F1883" t="s">
        <v>12</v>
      </c>
      <c r="G1883">
        <v>70100392</v>
      </c>
      <c r="H1883">
        <v>5500024751</v>
      </c>
      <c r="I1883">
        <v>30</v>
      </c>
      <c r="J1883" s="29">
        <v>3</v>
      </c>
      <c r="K1883" s="29" t="s">
        <v>106</v>
      </c>
      <c r="L1883" t="str">
        <f>IFERROR(VLOOKUP(Detalle_OC[[#This Row],[Centro]]&amp;Detalle_OC[[#This Row],[Nro Almacen]],Almacen!A:D,4,FALSE),"")</f>
        <v>San Vicente</v>
      </c>
    </row>
    <row r="1884" spans="1:12" x14ac:dyDescent="0.3">
      <c r="A1884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1884" t="s">
        <v>28</v>
      </c>
      <c r="C1884" t="s">
        <v>54</v>
      </c>
      <c r="D1884" s="11">
        <v>45602</v>
      </c>
      <c r="E1884" t="s">
        <v>16</v>
      </c>
      <c r="F1884" t="s">
        <v>12</v>
      </c>
      <c r="G1884">
        <v>70100392</v>
      </c>
      <c r="H1884">
        <v>5500024751</v>
      </c>
      <c r="I1884">
        <v>40</v>
      </c>
      <c r="J1884" s="29">
        <v>7</v>
      </c>
      <c r="K1884" s="29" t="s">
        <v>106</v>
      </c>
      <c r="L1884" t="str">
        <f>IFERROR(VLOOKUP(Detalle_OC[[#This Row],[Centro]]&amp;Detalle_OC[[#This Row],[Nro Almacen]],Almacen!A:D,4,FALSE),"")</f>
        <v>Almacen Lobo</v>
      </c>
    </row>
    <row r="1885" spans="1:12" x14ac:dyDescent="0.3">
      <c r="A1885" s="29" t="str">
        <f>Detalle_OC[[#This Row],[Centro]]&amp;Detalle_OC[[#This Row],[Nom Almacen]]&amp;Detalle_OC[[#This Row],[Material]]&amp;Detalle_OC[[#This Row],[Pedido]]&amp;Detalle_OC[[#This Row],[Posicion]]</f>
        <v>Sucroalcolera del Chira PlantaMontelimaCC11190445        451156908910</v>
      </c>
      <c r="B1885" t="s">
        <v>1194</v>
      </c>
      <c r="C1885" t="s">
        <v>44</v>
      </c>
      <c r="D1885" s="11">
        <v>45644</v>
      </c>
      <c r="E1885" t="s">
        <v>48</v>
      </c>
      <c r="F1885" t="s">
        <v>85</v>
      </c>
      <c r="G1885" t="s">
        <v>246</v>
      </c>
      <c r="H1885">
        <v>4511569089</v>
      </c>
      <c r="I1885">
        <v>10</v>
      </c>
      <c r="J1885" s="29">
        <v>1</v>
      </c>
      <c r="K1885" s="29" t="s">
        <v>107</v>
      </c>
      <c r="L1885" t="str">
        <f>IFERROR(VLOOKUP(Detalle_OC[[#This Row],[Centro]]&amp;Detalle_OC[[#This Row],[Nro Almacen]],Almacen!A:D,4,FALSE),"")</f>
        <v>Montelima</v>
      </c>
    </row>
    <row r="1886" spans="1:12" x14ac:dyDescent="0.3">
      <c r="A1886" s="29" t="str">
        <f>Detalle_OC[[#This Row],[Centro]]&amp;Detalle_OC[[#This Row],[Nom Almacen]]&amp;Detalle_OC[[#This Row],[Material]]&amp;Detalle_OC[[#This Row],[Pedido]]&amp;Detalle_OC[[#This Row],[Posicion]]</f>
        <v>Agricola del Chira PlantaAlmacen Lobo70119603451156909510</v>
      </c>
      <c r="B1886" t="s">
        <v>306</v>
      </c>
      <c r="C1886" t="s">
        <v>1180</v>
      </c>
      <c r="D1886" s="11">
        <v>45616</v>
      </c>
      <c r="E1886" t="s">
        <v>51</v>
      </c>
      <c r="F1886" t="s">
        <v>12</v>
      </c>
      <c r="G1886">
        <v>70119603</v>
      </c>
      <c r="H1886">
        <v>4511569095</v>
      </c>
      <c r="I1886">
        <v>10</v>
      </c>
      <c r="J1886" s="29">
        <v>7</v>
      </c>
      <c r="K1886" s="29" t="s">
        <v>107</v>
      </c>
      <c r="L1886" t="str">
        <f>IFERROR(VLOOKUP(Detalle_OC[[#This Row],[Centro]]&amp;Detalle_OC[[#This Row],[Nro Almacen]],Almacen!A:D,4,FALSE),"")</f>
        <v>Almacen Lobo</v>
      </c>
    </row>
    <row r="1887" spans="1:12" x14ac:dyDescent="0.3">
      <c r="A1887" s="29" t="str">
        <f>Detalle_OC[[#This Row],[Centro]]&amp;Detalle_OC[[#This Row],[Nom Almacen]]&amp;Detalle_OC[[#This Row],[Material]]&amp;Detalle_OC[[#This Row],[Pedido]]&amp;Detalle_OC[[#This Row],[Posicion]]</f>
        <v>Agricola del Chira PlantaLa Huaca70119603451156909520</v>
      </c>
      <c r="B1887" t="s">
        <v>306</v>
      </c>
      <c r="C1887" t="s">
        <v>1180</v>
      </c>
      <c r="D1887" s="11">
        <v>45616</v>
      </c>
      <c r="E1887" t="s">
        <v>51</v>
      </c>
      <c r="F1887" t="s">
        <v>12</v>
      </c>
      <c r="G1887">
        <v>70119603</v>
      </c>
      <c r="H1887">
        <v>4511569095</v>
      </c>
      <c r="I1887">
        <v>20</v>
      </c>
      <c r="J1887" s="29">
        <v>2</v>
      </c>
      <c r="K1887" s="29" t="s">
        <v>107</v>
      </c>
      <c r="L1887" t="str">
        <f>IFERROR(VLOOKUP(Detalle_OC[[#This Row],[Centro]]&amp;Detalle_OC[[#This Row],[Nro Almacen]],Almacen!A:D,4,FALSE),"")</f>
        <v>La Huaca</v>
      </c>
    </row>
    <row r="1888" spans="1:12" x14ac:dyDescent="0.3">
      <c r="A1888" s="29" t="str">
        <f>Detalle_OC[[#This Row],[Centro]]&amp;Detalle_OC[[#This Row],[Nom Almacen]]&amp;Detalle_OC[[#This Row],[Material]]&amp;Detalle_OC[[#This Row],[Pedido]]&amp;Detalle_OC[[#This Row],[Posicion]]</f>
        <v>Agricola del Chira PlantaSan Vicente70119603451156909530</v>
      </c>
      <c r="B1888" t="s">
        <v>306</v>
      </c>
      <c r="C1888" t="s">
        <v>1180</v>
      </c>
      <c r="D1888" s="11">
        <v>45616</v>
      </c>
      <c r="E1888" t="s">
        <v>51</v>
      </c>
      <c r="F1888" t="s">
        <v>12</v>
      </c>
      <c r="G1888">
        <v>70119603</v>
      </c>
      <c r="H1888">
        <v>4511569095</v>
      </c>
      <c r="I1888">
        <v>30</v>
      </c>
      <c r="J1888" s="29">
        <v>3</v>
      </c>
      <c r="K1888" s="29" t="s">
        <v>107</v>
      </c>
      <c r="L1888" t="str">
        <f>IFERROR(VLOOKUP(Detalle_OC[[#This Row],[Centro]]&amp;Detalle_OC[[#This Row],[Nro Almacen]],Almacen!A:D,4,FALSE),"")</f>
        <v>San Vicente</v>
      </c>
    </row>
    <row r="1889" spans="1:12" x14ac:dyDescent="0.3">
      <c r="A1889" s="29" t="str">
        <f>Detalle_OC[[#This Row],[Centro]]&amp;Detalle_OC[[#This Row],[Nom Almacen]]&amp;Detalle_OC[[#This Row],[Material]]&amp;Detalle_OC[[#This Row],[Pedido]]&amp;Detalle_OC[[#This Row],[Posicion]]</f>
        <v>Agricola del Chira PlantaMontelima820576451156914010</v>
      </c>
      <c r="B1889" t="s">
        <v>1195</v>
      </c>
      <c r="C1889" t="s">
        <v>1196</v>
      </c>
      <c r="D1889" s="11">
        <v>45616</v>
      </c>
      <c r="E1889" t="s">
        <v>51</v>
      </c>
      <c r="F1889" t="s">
        <v>12</v>
      </c>
      <c r="G1889">
        <v>820576</v>
      </c>
      <c r="H1889">
        <v>4511569140</v>
      </c>
      <c r="I1889">
        <v>10</v>
      </c>
      <c r="J1889" s="29">
        <v>1</v>
      </c>
      <c r="K1889" s="29" t="s">
        <v>107</v>
      </c>
      <c r="L1889" t="str">
        <f>IFERROR(VLOOKUP(Detalle_OC[[#This Row],[Centro]]&amp;Detalle_OC[[#This Row],[Nro Almacen]],Almacen!A:D,4,FALSE),"")</f>
        <v>Montelima</v>
      </c>
    </row>
    <row r="1890" spans="1:12" x14ac:dyDescent="0.3">
      <c r="A1890" s="29" t="str">
        <f>Detalle_OC[[#This Row],[Centro]]&amp;Detalle_OC[[#This Row],[Nom Almacen]]&amp;Detalle_OC[[#This Row],[Material]]&amp;Detalle_OC[[#This Row],[Pedido]]&amp;Detalle_OC[[#This Row],[Posicion]]</f>
        <v>Sucroalcolera del Chira PlantaMontelima70133581451156914910</v>
      </c>
      <c r="B1890" t="s">
        <v>202</v>
      </c>
      <c r="C1890" t="s">
        <v>313</v>
      </c>
      <c r="D1890" s="11">
        <v>45642</v>
      </c>
      <c r="E1890" t="s">
        <v>16</v>
      </c>
      <c r="F1890" t="s">
        <v>85</v>
      </c>
      <c r="G1890">
        <v>70133581</v>
      </c>
      <c r="H1890">
        <v>4511569149</v>
      </c>
      <c r="I1890">
        <v>10</v>
      </c>
      <c r="J1890" s="29">
        <v>1</v>
      </c>
      <c r="K1890" s="29" t="s">
        <v>107</v>
      </c>
      <c r="L1890" t="str">
        <f>IFERROR(VLOOKUP(Detalle_OC[[#This Row],[Centro]]&amp;Detalle_OC[[#This Row],[Nro Almacen]],Almacen!A:D,4,FALSE),"")</f>
        <v>Montelima</v>
      </c>
    </row>
    <row r="1891" spans="1:12" x14ac:dyDescent="0.3">
      <c r="A1891" s="29" t="str">
        <f>Detalle_OC[[#This Row],[Centro]]&amp;Detalle_OC[[#This Row],[Nom Almacen]]&amp;Detalle_OC[[#This Row],[Material]]&amp;Detalle_OC[[#This Row],[Pedido]]&amp;Detalle_OC[[#This Row],[Posicion]]</f>
        <v>Agricola del Chira PlantaLa Huaca810481550002485570</v>
      </c>
      <c r="B1891" t="s">
        <v>28</v>
      </c>
      <c r="C1891" t="s">
        <v>96</v>
      </c>
      <c r="D1891" s="11">
        <v>45611</v>
      </c>
      <c r="E1891" t="s">
        <v>16</v>
      </c>
      <c r="F1891" t="s">
        <v>12</v>
      </c>
      <c r="G1891">
        <v>810481</v>
      </c>
      <c r="H1891">
        <v>5500024855</v>
      </c>
      <c r="I1891">
        <v>70</v>
      </c>
      <c r="J1891" s="29">
        <v>2</v>
      </c>
      <c r="K1891" s="29" t="s">
        <v>107</v>
      </c>
      <c r="L1891" t="str">
        <f>IFERROR(VLOOKUP(Detalle_OC[[#This Row],[Centro]]&amp;Detalle_OC[[#This Row],[Nro Almacen]],Almacen!A:D,4,FALSE),"")</f>
        <v>La Huaca</v>
      </c>
    </row>
    <row r="1892" spans="1:12" x14ac:dyDescent="0.3">
      <c r="A1892" s="29" t="str">
        <f>Detalle_OC[[#This Row],[Centro]]&amp;Detalle_OC[[#This Row],[Nom Almacen]]&amp;Detalle_OC[[#This Row],[Material]]&amp;Detalle_OC[[#This Row],[Pedido]]&amp;Detalle_OC[[#This Row],[Posicion]]</f>
        <v>Agricola del Chira PlantaMontelima700580015500024881160</v>
      </c>
      <c r="B1892" t="s">
        <v>28</v>
      </c>
      <c r="C1892" t="s">
        <v>52</v>
      </c>
      <c r="D1892" s="11">
        <v>45601</v>
      </c>
      <c r="E1892" t="s">
        <v>16</v>
      </c>
      <c r="F1892" t="s">
        <v>12</v>
      </c>
      <c r="G1892">
        <v>70058001</v>
      </c>
      <c r="H1892">
        <v>5500024881</v>
      </c>
      <c r="I1892">
        <v>160</v>
      </c>
      <c r="J1892" s="29">
        <v>1</v>
      </c>
      <c r="K1892" s="29" t="s">
        <v>107</v>
      </c>
      <c r="L1892" t="str">
        <f>IFERROR(VLOOKUP(Detalle_OC[[#This Row],[Centro]]&amp;Detalle_OC[[#This Row],[Nro Almacen]],Almacen!A:D,4,FALSE),"")</f>
        <v>Montelima</v>
      </c>
    </row>
    <row r="1893" spans="1:12" x14ac:dyDescent="0.3">
      <c r="A1893" s="29" t="str">
        <f>Detalle_OC[[#This Row],[Centro]]&amp;Detalle_OC[[#This Row],[Nom Almacen]]&amp;Detalle_OC[[#This Row],[Material]]&amp;Detalle_OC[[#This Row],[Pedido]]&amp;Detalle_OC[[#This Row],[Posicion]]</f>
        <v>Sucroalcolera del Chira PlantaMontelima70053863451156897710</v>
      </c>
      <c r="B1893" t="s">
        <v>138</v>
      </c>
      <c r="C1893" t="s">
        <v>215</v>
      </c>
      <c r="D1893" s="11">
        <v>45656</v>
      </c>
      <c r="E1893" t="s">
        <v>16</v>
      </c>
      <c r="F1893" t="s">
        <v>85</v>
      </c>
      <c r="G1893">
        <v>70053863</v>
      </c>
      <c r="H1893">
        <v>4511568977</v>
      </c>
      <c r="I1893">
        <v>10</v>
      </c>
      <c r="J1893" s="29">
        <v>1</v>
      </c>
      <c r="K1893" s="29" t="s">
        <v>108</v>
      </c>
      <c r="L1893" t="str">
        <f>IFERROR(VLOOKUP(Detalle_OC[[#This Row],[Centro]]&amp;Detalle_OC[[#This Row],[Nro Almacen]],Almacen!A:D,4,FALSE),"")</f>
        <v>Montelima</v>
      </c>
    </row>
    <row r="1894" spans="1:12" x14ac:dyDescent="0.3">
      <c r="A1894" s="29" t="str">
        <f>Detalle_OC[[#This Row],[Centro]]&amp;Detalle_OC[[#This Row],[Nom Almacen]]&amp;Detalle_OC[[#This Row],[Material]]&amp;Detalle_OC[[#This Row],[Pedido]]&amp;Detalle_OC[[#This Row],[Posicion]]</f>
        <v>Agricola del Chira PlantaMontelima841308451156898110</v>
      </c>
      <c r="B1894" t="s">
        <v>149</v>
      </c>
      <c r="C1894" t="s">
        <v>1190</v>
      </c>
      <c r="D1894" s="11">
        <v>45656</v>
      </c>
      <c r="E1894" t="s">
        <v>16</v>
      </c>
      <c r="F1894" t="s">
        <v>12</v>
      </c>
      <c r="G1894">
        <v>841308</v>
      </c>
      <c r="H1894">
        <v>4511568981</v>
      </c>
      <c r="I1894">
        <v>10</v>
      </c>
      <c r="J1894" s="29">
        <v>1</v>
      </c>
      <c r="K1894" s="29" t="s">
        <v>108</v>
      </c>
      <c r="L1894" t="str">
        <f>IFERROR(VLOOKUP(Detalle_OC[[#This Row],[Centro]]&amp;Detalle_OC[[#This Row],[Nro Almacen]],Almacen!A:D,4,FALSE),"")</f>
        <v>Montelima</v>
      </c>
    </row>
    <row r="1895" spans="1:12" x14ac:dyDescent="0.3">
      <c r="A1895" s="29" t="str">
        <f>Detalle_OC[[#This Row],[Centro]]&amp;Detalle_OC[[#This Row],[Nom Almacen]]&amp;Detalle_OC[[#This Row],[Material]]&amp;Detalle_OC[[#This Row],[Pedido]]&amp;Detalle_OC[[#This Row],[Posicion]]</f>
        <v>Agricola del Chira PlantaMontelima841687451156898120</v>
      </c>
      <c r="B1895" t="s">
        <v>149</v>
      </c>
      <c r="C1895" t="s">
        <v>1190</v>
      </c>
      <c r="D1895" s="11">
        <v>45635</v>
      </c>
      <c r="E1895" t="s">
        <v>16</v>
      </c>
      <c r="F1895" t="s">
        <v>12</v>
      </c>
      <c r="G1895">
        <v>841687</v>
      </c>
      <c r="H1895">
        <v>4511568981</v>
      </c>
      <c r="I1895">
        <v>20</v>
      </c>
      <c r="J1895" s="29">
        <v>1</v>
      </c>
      <c r="K1895" s="29" t="s">
        <v>108</v>
      </c>
      <c r="L1895" t="str">
        <f>IFERROR(VLOOKUP(Detalle_OC[[#This Row],[Centro]]&amp;Detalle_OC[[#This Row],[Nro Almacen]],Almacen!A:D,4,FALSE),"")</f>
        <v>Montelima</v>
      </c>
    </row>
    <row r="1896" spans="1:12" x14ac:dyDescent="0.3">
      <c r="A1896" s="29" t="str">
        <f>Detalle_OC[[#This Row],[Centro]]&amp;Detalle_OC[[#This Row],[Nom Almacen]]&amp;Detalle_OC[[#This Row],[Material]]&amp;Detalle_OC[[#This Row],[Pedido]]&amp;Detalle_OC[[#This Row],[Posicion]]</f>
        <v>Agricola del Chira PlantaMontelima70009264451156901710</v>
      </c>
      <c r="B1896" t="s">
        <v>214</v>
      </c>
      <c r="C1896" t="s">
        <v>44</v>
      </c>
      <c r="D1896" s="11">
        <v>45611</v>
      </c>
      <c r="E1896" t="s">
        <v>16</v>
      </c>
      <c r="F1896" t="s">
        <v>12</v>
      </c>
      <c r="G1896">
        <v>70009264</v>
      </c>
      <c r="H1896">
        <v>4511569017</v>
      </c>
      <c r="I1896">
        <v>10</v>
      </c>
      <c r="J1896" s="29">
        <v>1</v>
      </c>
      <c r="K1896" s="29" t="s">
        <v>108</v>
      </c>
      <c r="L1896" t="str">
        <f>IFERROR(VLOOKUP(Detalle_OC[[#This Row],[Centro]]&amp;Detalle_OC[[#This Row],[Nro Almacen]],Almacen!A:D,4,FALSE),"")</f>
        <v>Montelima</v>
      </c>
    </row>
    <row r="1897" spans="1:12" x14ac:dyDescent="0.3">
      <c r="A1897" s="29" t="str">
        <f>Detalle_OC[[#This Row],[Centro]]&amp;Detalle_OC[[#This Row],[Nom Almacen]]&amp;Detalle_OC[[#This Row],[Material]]&amp;Detalle_OC[[#This Row],[Pedido]]&amp;Detalle_OC[[#This Row],[Posicion]]</f>
        <v>Agricola del Chira PlantaMontelima875811451156903610</v>
      </c>
      <c r="B1897" t="s">
        <v>15</v>
      </c>
      <c r="C1897" t="s">
        <v>260</v>
      </c>
      <c r="D1897" s="11">
        <v>45637</v>
      </c>
      <c r="E1897" t="s">
        <v>16</v>
      </c>
      <c r="F1897" t="s">
        <v>12</v>
      </c>
      <c r="G1897">
        <v>875811</v>
      </c>
      <c r="H1897">
        <v>4511569036</v>
      </c>
      <c r="I1897">
        <v>10</v>
      </c>
      <c r="J1897" s="29">
        <v>1</v>
      </c>
      <c r="K1897" s="29" t="s">
        <v>108</v>
      </c>
      <c r="L1897" t="str">
        <f>IFERROR(VLOOKUP(Detalle_OC[[#This Row],[Centro]]&amp;Detalle_OC[[#This Row],[Nro Almacen]],Almacen!A:D,4,FALSE),"")</f>
        <v>Montelima</v>
      </c>
    </row>
    <row r="1898" spans="1:12" x14ac:dyDescent="0.3">
      <c r="A1898" s="29" t="str">
        <f>Detalle_OC[[#This Row],[Centro]]&amp;Detalle_OC[[#This Row],[Nom Almacen]]&amp;Detalle_OC[[#This Row],[Material]]&amp;Detalle_OC[[#This Row],[Pedido]]&amp;Detalle_OC[[#This Row],[Posicion]]</f>
        <v>Agricola del Chira PlantaAlmacen Lobo70134806452009510310</v>
      </c>
      <c r="B1898" t="s">
        <v>181</v>
      </c>
      <c r="C1898" t="s">
        <v>1197</v>
      </c>
      <c r="D1898" s="11">
        <v>45625</v>
      </c>
      <c r="E1898" t="s">
        <v>16</v>
      </c>
      <c r="F1898" t="s">
        <v>12</v>
      </c>
      <c r="G1898">
        <v>70134806</v>
      </c>
      <c r="H1898">
        <v>4520095103</v>
      </c>
      <c r="I1898">
        <v>10</v>
      </c>
      <c r="J1898" s="29">
        <v>7</v>
      </c>
      <c r="K1898" s="29" t="s">
        <v>108</v>
      </c>
      <c r="L1898" t="str">
        <f>IFERROR(VLOOKUP(Detalle_OC[[#This Row],[Centro]]&amp;Detalle_OC[[#This Row],[Nro Almacen]],Almacen!A:D,4,FALSE),"")</f>
        <v>Almacen Lobo</v>
      </c>
    </row>
    <row r="1899" spans="1:12" x14ac:dyDescent="0.3">
      <c r="A1899" s="29" t="str">
        <f>Detalle_OC[[#This Row],[Centro]]&amp;Detalle_OC[[#This Row],[Nom Almacen]]&amp;Detalle_OC[[#This Row],[Material]]&amp;Detalle_OC[[#This Row],[Pedido]]&amp;Detalle_OC[[#This Row],[Posicion]]</f>
        <v>Agricola del Chira PlantaMontelima70100392550002475110</v>
      </c>
      <c r="B1899" t="s">
        <v>28</v>
      </c>
      <c r="C1899" t="s">
        <v>54</v>
      </c>
      <c r="D1899" s="11">
        <v>45600</v>
      </c>
      <c r="E1899" t="s">
        <v>16</v>
      </c>
      <c r="F1899" t="s">
        <v>12</v>
      </c>
      <c r="G1899">
        <v>70100392</v>
      </c>
      <c r="H1899">
        <v>5500024751</v>
      </c>
      <c r="I1899">
        <v>10</v>
      </c>
      <c r="J1899" s="29">
        <v>1</v>
      </c>
      <c r="K1899" s="29" t="s">
        <v>108</v>
      </c>
      <c r="L1899" t="str">
        <f>IFERROR(VLOOKUP(Detalle_OC[[#This Row],[Centro]]&amp;Detalle_OC[[#This Row],[Nro Almacen]],Almacen!A:D,4,FALSE),"")</f>
        <v>Montelima</v>
      </c>
    </row>
    <row r="1900" spans="1:12" x14ac:dyDescent="0.3">
      <c r="A1900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1900" t="s">
        <v>28</v>
      </c>
      <c r="C1900" t="s">
        <v>54</v>
      </c>
      <c r="D1900" s="11">
        <v>45598</v>
      </c>
      <c r="E1900" t="s">
        <v>16</v>
      </c>
      <c r="F1900" t="s">
        <v>12</v>
      </c>
      <c r="G1900">
        <v>70100392</v>
      </c>
      <c r="H1900">
        <v>5500024751</v>
      </c>
      <c r="I1900">
        <v>20</v>
      </c>
      <c r="J1900" s="29">
        <v>2</v>
      </c>
      <c r="K1900" s="29" t="s">
        <v>108</v>
      </c>
      <c r="L1900" t="str">
        <f>IFERROR(VLOOKUP(Detalle_OC[[#This Row],[Centro]]&amp;Detalle_OC[[#This Row],[Nro Almacen]],Almacen!A:D,4,FALSE),"")</f>
        <v>La Huaca</v>
      </c>
    </row>
    <row r="1901" spans="1:12" x14ac:dyDescent="0.3">
      <c r="A1901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1901" t="s">
        <v>28</v>
      </c>
      <c r="C1901" t="s">
        <v>54</v>
      </c>
      <c r="D1901" s="11">
        <v>45598</v>
      </c>
      <c r="E1901" t="s">
        <v>16</v>
      </c>
      <c r="F1901" t="s">
        <v>12</v>
      </c>
      <c r="G1901">
        <v>70100392</v>
      </c>
      <c r="H1901">
        <v>5500024751</v>
      </c>
      <c r="I1901">
        <v>40</v>
      </c>
      <c r="J1901" s="29">
        <v>7</v>
      </c>
      <c r="K1901" s="29" t="s">
        <v>108</v>
      </c>
      <c r="L1901" t="str">
        <f>IFERROR(VLOOKUP(Detalle_OC[[#This Row],[Centro]]&amp;Detalle_OC[[#This Row],[Nro Almacen]],Almacen!A:D,4,FALSE),"")</f>
        <v>Almacen Lobo</v>
      </c>
    </row>
    <row r="1902" spans="1:12" x14ac:dyDescent="0.3">
      <c r="A1902" s="29" t="str">
        <f>Detalle_OC[[#This Row],[Centro]]&amp;Detalle_OC[[#This Row],[Nom Almacen]]&amp;Detalle_OC[[#This Row],[Material]]&amp;Detalle_OC[[#This Row],[Pedido]]&amp;Detalle_OC[[#This Row],[Posicion]]</f>
        <v>Agricola del Chira PlantaMontelima70000197451156878310</v>
      </c>
      <c r="B1902" t="s">
        <v>214</v>
      </c>
      <c r="C1902" t="s">
        <v>284</v>
      </c>
      <c r="D1902" s="11">
        <v>45656</v>
      </c>
      <c r="E1902" t="s">
        <v>16</v>
      </c>
      <c r="F1902" t="s">
        <v>12</v>
      </c>
      <c r="G1902">
        <v>70000197</v>
      </c>
      <c r="H1902">
        <v>4511568783</v>
      </c>
      <c r="I1902">
        <v>10</v>
      </c>
      <c r="J1902" s="29">
        <v>1</v>
      </c>
      <c r="K1902" s="29" t="s">
        <v>1198</v>
      </c>
      <c r="L1902" t="str">
        <f>IFERROR(VLOOKUP(Detalle_OC[[#This Row],[Centro]]&amp;Detalle_OC[[#This Row],[Nro Almacen]],Almacen!A:D,4,FALSE),"")</f>
        <v>Montelima</v>
      </c>
    </row>
    <row r="1903" spans="1:12" x14ac:dyDescent="0.3">
      <c r="A1903" s="29" t="str">
        <f>Detalle_OC[[#This Row],[Centro]]&amp;Detalle_OC[[#This Row],[Nom Almacen]]&amp;Detalle_OC[[#This Row],[Material]]&amp;Detalle_OC[[#This Row],[Pedido]]&amp;Detalle_OC[[#This Row],[Posicion]]</f>
        <v>Agricola del Chira PlantaMontelima887514451156880210</v>
      </c>
      <c r="B1903" t="s">
        <v>214</v>
      </c>
      <c r="C1903" t="s">
        <v>1199</v>
      </c>
      <c r="D1903" s="11">
        <v>45625</v>
      </c>
      <c r="E1903" t="s">
        <v>48</v>
      </c>
      <c r="F1903" t="s">
        <v>12</v>
      </c>
      <c r="G1903">
        <v>887514</v>
      </c>
      <c r="H1903">
        <v>4511568802</v>
      </c>
      <c r="I1903">
        <v>10</v>
      </c>
      <c r="J1903" s="29">
        <v>1</v>
      </c>
      <c r="K1903" s="29" t="s">
        <v>1198</v>
      </c>
      <c r="L1903" t="str">
        <f>IFERROR(VLOOKUP(Detalle_OC[[#This Row],[Centro]]&amp;Detalle_OC[[#This Row],[Nro Almacen]],Almacen!A:D,4,FALSE),"")</f>
        <v>Montelima</v>
      </c>
    </row>
    <row r="1904" spans="1:12" x14ac:dyDescent="0.3">
      <c r="A1904" s="29" t="str">
        <f>Detalle_OC[[#This Row],[Centro]]&amp;Detalle_OC[[#This Row],[Nom Almacen]]&amp;Detalle_OC[[#This Row],[Material]]&amp;Detalle_OC[[#This Row],[Pedido]]&amp;Detalle_OC[[#This Row],[Posicion]]</f>
        <v>Agricola del Chira PlantaAlmacen Lobo70050498550002488160</v>
      </c>
      <c r="B1904" t="s">
        <v>28</v>
      </c>
      <c r="C1904" t="s">
        <v>52</v>
      </c>
      <c r="D1904" s="11">
        <v>45603</v>
      </c>
      <c r="E1904" t="s">
        <v>16</v>
      </c>
      <c r="F1904" t="s">
        <v>12</v>
      </c>
      <c r="G1904">
        <v>70050498</v>
      </c>
      <c r="H1904">
        <v>5500024881</v>
      </c>
      <c r="I1904">
        <v>60</v>
      </c>
      <c r="J1904" s="29">
        <v>7</v>
      </c>
      <c r="K1904" s="29" t="s">
        <v>109</v>
      </c>
      <c r="L1904" t="str">
        <f>IFERROR(VLOOKUP(Detalle_OC[[#This Row],[Centro]]&amp;Detalle_OC[[#This Row],[Nro Almacen]],Almacen!A:D,4,FALSE),"")</f>
        <v>Almacen Lobo</v>
      </c>
    </row>
    <row r="1905" spans="1:12" x14ac:dyDescent="0.3">
      <c r="A1905" s="29" t="str">
        <f>Detalle_OC[[#This Row],[Centro]]&amp;Detalle_OC[[#This Row],[Nom Almacen]]&amp;Detalle_OC[[#This Row],[Material]]&amp;Detalle_OC[[#This Row],[Pedido]]&amp;Detalle_OC[[#This Row],[Posicion]]</f>
        <v>Agricola del Chira PlantaMontelima721546451156866010</v>
      </c>
      <c r="B1905" t="s">
        <v>15</v>
      </c>
      <c r="C1905" t="s">
        <v>44</v>
      </c>
      <c r="D1905" s="11">
        <v>45604</v>
      </c>
      <c r="E1905" t="s">
        <v>16</v>
      </c>
      <c r="F1905" t="s">
        <v>12</v>
      </c>
      <c r="G1905">
        <v>721546</v>
      </c>
      <c r="H1905">
        <v>4511568660</v>
      </c>
      <c r="I1905">
        <v>10</v>
      </c>
      <c r="J1905" s="29">
        <v>1</v>
      </c>
      <c r="K1905" s="29" t="s">
        <v>110</v>
      </c>
      <c r="L1905" t="str">
        <f>IFERROR(VLOOKUP(Detalle_OC[[#This Row],[Centro]]&amp;Detalle_OC[[#This Row],[Nro Almacen]],Almacen!A:D,4,FALSE),"")</f>
        <v>Montelima</v>
      </c>
    </row>
    <row r="1906" spans="1:12" x14ac:dyDescent="0.3">
      <c r="A1906" s="29" t="str">
        <f>Detalle_OC[[#This Row],[Centro]]&amp;Detalle_OC[[#This Row],[Nom Almacen]]&amp;Detalle_OC[[#This Row],[Material]]&amp;Detalle_OC[[#This Row],[Pedido]]&amp;Detalle_OC[[#This Row],[Posicion]]</f>
        <v>Agricola del Chira PlantaAlmacen Lobo760789451156866040</v>
      </c>
      <c r="B1906" t="s">
        <v>33</v>
      </c>
      <c r="C1906" t="s">
        <v>44</v>
      </c>
      <c r="D1906" s="11">
        <v>45604</v>
      </c>
      <c r="E1906" t="s">
        <v>16</v>
      </c>
      <c r="F1906" t="s">
        <v>12</v>
      </c>
      <c r="G1906">
        <v>760789</v>
      </c>
      <c r="H1906">
        <v>4511568660</v>
      </c>
      <c r="I1906">
        <v>40</v>
      </c>
      <c r="J1906" s="29">
        <v>7</v>
      </c>
      <c r="K1906" s="29" t="s">
        <v>110</v>
      </c>
      <c r="L1906" t="str">
        <f>IFERROR(VLOOKUP(Detalle_OC[[#This Row],[Centro]]&amp;Detalle_OC[[#This Row],[Nro Almacen]],Almacen!A:D,4,FALSE),"")</f>
        <v>Almacen Lobo</v>
      </c>
    </row>
    <row r="1907" spans="1:12" x14ac:dyDescent="0.3">
      <c r="A1907" s="29" t="str">
        <f>Detalle_OC[[#This Row],[Centro]]&amp;Detalle_OC[[#This Row],[Nom Almacen]]&amp;Detalle_OC[[#This Row],[Material]]&amp;Detalle_OC[[#This Row],[Pedido]]&amp;Detalle_OC[[#This Row],[Posicion]]</f>
        <v>Agricola del Chira PlantaMontelima70133911451156866050</v>
      </c>
      <c r="B1907" t="s">
        <v>178</v>
      </c>
      <c r="C1907" t="s">
        <v>44</v>
      </c>
      <c r="D1907" s="11">
        <v>45604</v>
      </c>
      <c r="E1907" t="s">
        <v>16</v>
      </c>
      <c r="F1907" t="s">
        <v>12</v>
      </c>
      <c r="G1907">
        <v>70133911</v>
      </c>
      <c r="H1907">
        <v>4511568660</v>
      </c>
      <c r="I1907">
        <v>50</v>
      </c>
      <c r="J1907" s="29">
        <v>1</v>
      </c>
      <c r="K1907" s="29" t="s">
        <v>110</v>
      </c>
      <c r="L1907" t="str">
        <f>IFERROR(VLOOKUP(Detalle_OC[[#This Row],[Centro]]&amp;Detalle_OC[[#This Row],[Nro Almacen]],Almacen!A:D,4,FALSE),"")</f>
        <v>Montelima</v>
      </c>
    </row>
    <row r="1908" spans="1:12" x14ac:dyDescent="0.3">
      <c r="A1908" s="29" t="str">
        <f>Detalle_OC[[#This Row],[Centro]]&amp;Detalle_OC[[#This Row],[Nom Almacen]]&amp;Detalle_OC[[#This Row],[Material]]&amp;Detalle_OC[[#This Row],[Pedido]]&amp;Detalle_OC[[#This Row],[Posicion]]</f>
        <v>Agricola del Chira PlantaMontelima70121659451156866310</v>
      </c>
      <c r="B1908" t="s">
        <v>1200</v>
      </c>
      <c r="C1908" t="s">
        <v>44</v>
      </c>
      <c r="D1908" s="11">
        <v>45607</v>
      </c>
      <c r="E1908" t="b">
        <v>0</v>
      </c>
      <c r="F1908" t="s">
        <v>12</v>
      </c>
      <c r="G1908">
        <v>70121659</v>
      </c>
      <c r="H1908">
        <v>4511568663</v>
      </c>
      <c r="I1908">
        <v>10</v>
      </c>
      <c r="J1908" s="29">
        <v>1</v>
      </c>
      <c r="K1908" s="29" t="s">
        <v>110</v>
      </c>
      <c r="L1908" t="str">
        <f>IFERROR(VLOOKUP(Detalle_OC[[#This Row],[Centro]]&amp;Detalle_OC[[#This Row],[Nro Almacen]],Almacen!A:D,4,FALSE),"")</f>
        <v>Montelima</v>
      </c>
    </row>
    <row r="1909" spans="1:12" x14ac:dyDescent="0.3">
      <c r="A1909" s="29" t="str">
        <f>Detalle_OC[[#This Row],[Centro]]&amp;Detalle_OC[[#This Row],[Nom Almacen]]&amp;Detalle_OC[[#This Row],[Material]]&amp;Detalle_OC[[#This Row],[Pedido]]&amp;Detalle_OC[[#This Row],[Posicion]]</f>
        <v>Agricola del Chira PlantaMontelima70017820451156866320</v>
      </c>
      <c r="B1909" t="s">
        <v>149</v>
      </c>
      <c r="C1909" t="s">
        <v>44</v>
      </c>
      <c r="D1909" s="11">
        <v>45607</v>
      </c>
      <c r="E1909" t="s">
        <v>16</v>
      </c>
      <c r="F1909" t="s">
        <v>12</v>
      </c>
      <c r="G1909">
        <v>70017820</v>
      </c>
      <c r="H1909">
        <v>4511568663</v>
      </c>
      <c r="I1909">
        <v>20</v>
      </c>
      <c r="J1909" s="29">
        <v>1</v>
      </c>
      <c r="K1909" s="29" t="s">
        <v>110</v>
      </c>
      <c r="L1909" t="str">
        <f>IFERROR(VLOOKUP(Detalle_OC[[#This Row],[Centro]]&amp;Detalle_OC[[#This Row],[Nro Almacen]],Almacen!A:D,4,FALSE),"")</f>
        <v>Montelima</v>
      </c>
    </row>
    <row r="1910" spans="1:12" x14ac:dyDescent="0.3">
      <c r="A1910" s="29" t="str">
        <f>Detalle_OC[[#This Row],[Centro]]&amp;Detalle_OC[[#This Row],[Nom Almacen]]&amp;Detalle_OC[[#This Row],[Material]]&amp;Detalle_OC[[#This Row],[Pedido]]&amp;Detalle_OC[[#This Row],[Posicion]]</f>
        <v>Agricola del Chira PlantaMontelima70017088451156871710</v>
      </c>
      <c r="B1910" t="s">
        <v>258</v>
      </c>
      <c r="C1910" t="s">
        <v>212</v>
      </c>
      <c r="D1910" s="11">
        <v>45646</v>
      </c>
      <c r="E1910" t="s">
        <v>16</v>
      </c>
      <c r="F1910" t="s">
        <v>12</v>
      </c>
      <c r="G1910">
        <v>70017088</v>
      </c>
      <c r="H1910">
        <v>4511568717</v>
      </c>
      <c r="I1910">
        <v>10</v>
      </c>
      <c r="J1910" s="29">
        <v>1</v>
      </c>
      <c r="K1910" s="29" t="s">
        <v>110</v>
      </c>
      <c r="L1910" t="str">
        <f>IFERROR(VLOOKUP(Detalle_OC[[#This Row],[Centro]]&amp;Detalle_OC[[#This Row],[Nro Almacen]],Almacen!A:D,4,FALSE),"")</f>
        <v>Montelima</v>
      </c>
    </row>
    <row r="1911" spans="1:12" x14ac:dyDescent="0.3">
      <c r="A1911" s="29" t="str">
        <f>Detalle_OC[[#This Row],[Centro]]&amp;Detalle_OC[[#This Row],[Nom Almacen]]&amp;Detalle_OC[[#This Row],[Material]]&amp;Detalle_OC[[#This Row],[Pedido]]&amp;Detalle_OC[[#This Row],[Posicion]]</f>
        <v>Agricola del Chira PlantaMontelima70133634451156873010</v>
      </c>
      <c r="B1911" t="s">
        <v>171</v>
      </c>
      <c r="C1911" t="s">
        <v>278</v>
      </c>
      <c r="D1911" s="11">
        <v>45644</v>
      </c>
      <c r="E1911" t="s">
        <v>16</v>
      </c>
      <c r="F1911" t="s">
        <v>12</v>
      </c>
      <c r="G1911">
        <v>70133634</v>
      </c>
      <c r="H1911">
        <v>4511568730</v>
      </c>
      <c r="I1911">
        <v>10</v>
      </c>
      <c r="J1911" s="29">
        <v>1</v>
      </c>
      <c r="K1911" s="29" t="s">
        <v>110</v>
      </c>
      <c r="L1911" t="str">
        <f>IFERROR(VLOOKUP(Detalle_OC[[#This Row],[Centro]]&amp;Detalle_OC[[#This Row],[Nro Almacen]],Almacen!A:D,4,FALSE),"")</f>
        <v>Montelima</v>
      </c>
    </row>
    <row r="1912" spans="1:12" x14ac:dyDescent="0.3">
      <c r="A1912" s="29" t="str">
        <f>Detalle_OC[[#This Row],[Centro]]&amp;Detalle_OC[[#This Row],[Nom Almacen]]&amp;Detalle_OC[[#This Row],[Material]]&amp;Detalle_OC[[#This Row],[Pedido]]&amp;Detalle_OC[[#This Row],[Posicion]]</f>
        <v>Agricola del Chira PlantaAlmacen Lobo822622451156873020</v>
      </c>
      <c r="B1912" t="s">
        <v>26</v>
      </c>
      <c r="C1912" t="s">
        <v>278</v>
      </c>
      <c r="D1912" s="11">
        <v>45628</v>
      </c>
      <c r="E1912" t="s">
        <v>16</v>
      </c>
      <c r="F1912" t="s">
        <v>12</v>
      </c>
      <c r="G1912">
        <v>822622</v>
      </c>
      <c r="H1912">
        <v>4511568730</v>
      </c>
      <c r="I1912">
        <v>20</v>
      </c>
      <c r="J1912" s="29">
        <v>7</v>
      </c>
      <c r="K1912" s="29" t="s">
        <v>110</v>
      </c>
      <c r="L1912" t="str">
        <f>IFERROR(VLOOKUP(Detalle_OC[[#This Row],[Centro]]&amp;Detalle_OC[[#This Row],[Nro Almacen]],Almacen!A:D,4,FALSE),"")</f>
        <v>Almacen Lobo</v>
      </c>
    </row>
    <row r="1913" spans="1:12" x14ac:dyDescent="0.3">
      <c r="A1913" s="29" t="str">
        <f>Detalle_OC[[#This Row],[Centro]]&amp;Detalle_OC[[#This Row],[Nom Almacen]]&amp;Detalle_OC[[#This Row],[Material]]&amp;Detalle_OC[[#This Row],[Pedido]]&amp;Detalle_OC[[#This Row],[Posicion]]</f>
        <v>Agricola del Chira PlantaMontelima801637451156875720</v>
      </c>
      <c r="B1913" t="s">
        <v>149</v>
      </c>
      <c r="C1913" t="s">
        <v>216</v>
      </c>
      <c r="D1913" s="11">
        <v>45614</v>
      </c>
      <c r="E1913" t="s">
        <v>16</v>
      </c>
      <c r="F1913" t="s">
        <v>12</v>
      </c>
      <c r="G1913">
        <v>801637</v>
      </c>
      <c r="H1913">
        <v>4511568757</v>
      </c>
      <c r="I1913">
        <v>20</v>
      </c>
      <c r="J1913" s="29">
        <v>1</v>
      </c>
      <c r="K1913" s="29" t="s">
        <v>110</v>
      </c>
      <c r="L1913" t="str">
        <f>IFERROR(VLOOKUP(Detalle_OC[[#This Row],[Centro]]&amp;Detalle_OC[[#This Row],[Nro Almacen]],Almacen!A:D,4,FALSE),"")</f>
        <v>Montelima</v>
      </c>
    </row>
    <row r="1914" spans="1:12" x14ac:dyDescent="0.3">
      <c r="A1914" s="29" t="str">
        <f>Detalle_OC[[#This Row],[Centro]]&amp;Detalle_OC[[#This Row],[Nom Almacen]]&amp;Detalle_OC[[#This Row],[Material]]&amp;Detalle_OC[[#This Row],[Pedido]]&amp;Detalle_OC[[#This Row],[Posicion]]</f>
        <v>Agricola del Chira PlantaAlmacen Lobo801662451156875730</v>
      </c>
      <c r="B1914" t="s">
        <v>149</v>
      </c>
      <c r="C1914" t="s">
        <v>216</v>
      </c>
      <c r="D1914" s="11">
        <v>45614</v>
      </c>
      <c r="E1914" t="s">
        <v>16</v>
      </c>
      <c r="F1914" t="s">
        <v>12</v>
      </c>
      <c r="G1914">
        <v>801662</v>
      </c>
      <c r="H1914">
        <v>4511568757</v>
      </c>
      <c r="I1914">
        <v>30</v>
      </c>
      <c r="J1914" s="29">
        <v>7</v>
      </c>
      <c r="K1914" s="29" t="s">
        <v>110</v>
      </c>
      <c r="L1914" t="str">
        <f>IFERROR(VLOOKUP(Detalle_OC[[#This Row],[Centro]]&amp;Detalle_OC[[#This Row],[Nro Almacen]],Almacen!A:D,4,FALSE),"")</f>
        <v>Almacen Lobo</v>
      </c>
    </row>
    <row r="1915" spans="1:12" x14ac:dyDescent="0.3">
      <c r="A1915" s="29" t="str">
        <f>Detalle_OC[[#This Row],[Centro]]&amp;Detalle_OC[[#This Row],[Nom Almacen]]&amp;Detalle_OC[[#This Row],[Material]]&amp;Detalle_OC[[#This Row],[Pedido]]&amp;Detalle_OC[[#This Row],[Posicion]]</f>
        <v>Agricola del Chira PlantaMontelima801663451156875740</v>
      </c>
      <c r="B1915" t="s">
        <v>149</v>
      </c>
      <c r="C1915" t="s">
        <v>216</v>
      </c>
      <c r="D1915" s="11">
        <v>45614</v>
      </c>
      <c r="E1915" t="s">
        <v>16</v>
      </c>
      <c r="F1915" t="s">
        <v>12</v>
      </c>
      <c r="G1915">
        <v>801663</v>
      </c>
      <c r="H1915">
        <v>4511568757</v>
      </c>
      <c r="I1915">
        <v>40</v>
      </c>
      <c r="J1915" s="29">
        <v>1</v>
      </c>
      <c r="K1915" s="29" t="s">
        <v>110</v>
      </c>
      <c r="L1915" t="str">
        <f>IFERROR(VLOOKUP(Detalle_OC[[#This Row],[Centro]]&amp;Detalle_OC[[#This Row],[Nro Almacen]],Almacen!A:D,4,FALSE),"")</f>
        <v>Montelima</v>
      </c>
    </row>
    <row r="1916" spans="1:12" x14ac:dyDescent="0.3">
      <c r="A1916" s="29" t="str">
        <f>Detalle_OC[[#This Row],[Centro]]&amp;Detalle_OC[[#This Row],[Nom Almacen]]&amp;Detalle_OC[[#This Row],[Material]]&amp;Detalle_OC[[#This Row],[Pedido]]&amp;Detalle_OC[[#This Row],[Posicion]]</f>
        <v>Agricola del Chira PlantaMontelima841527451156875770</v>
      </c>
      <c r="B1916" t="s">
        <v>149</v>
      </c>
      <c r="C1916" t="s">
        <v>216</v>
      </c>
      <c r="D1916" s="11">
        <v>45614</v>
      </c>
      <c r="E1916" t="s">
        <v>16</v>
      </c>
      <c r="F1916" t="s">
        <v>12</v>
      </c>
      <c r="G1916">
        <v>841527</v>
      </c>
      <c r="H1916">
        <v>4511568757</v>
      </c>
      <c r="I1916">
        <v>70</v>
      </c>
      <c r="J1916" s="29">
        <v>1</v>
      </c>
      <c r="K1916" s="29" t="s">
        <v>110</v>
      </c>
      <c r="L1916" t="str">
        <f>IFERROR(VLOOKUP(Detalle_OC[[#This Row],[Centro]]&amp;Detalle_OC[[#This Row],[Nro Almacen]],Almacen!A:D,4,FALSE),"")</f>
        <v>Montelima</v>
      </c>
    </row>
    <row r="1917" spans="1:12" x14ac:dyDescent="0.3">
      <c r="A1917" s="29" t="str">
        <f>Detalle_OC[[#This Row],[Centro]]&amp;Detalle_OC[[#This Row],[Nom Almacen]]&amp;Detalle_OC[[#This Row],[Material]]&amp;Detalle_OC[[#This Row],[Pedido]]&amp;Detalle_OC[[#This Row],[Posicion]]</f>
        <v>Agricola del Chira PlantaAlmacen Lobo70131954452009508910</v>
      </c>
      <c r="B1917" t="s">
        <v>274</v>
      </c>
      <c r="C1917" t="s">
        <v>1197</v>
      </c>
      <c r="D1917" s="11">
        <v>45635</v>
      </c>
      <c r="E1917" t="s">
        <v>16</v>
      </c>
      <c r="F1917" t="s">
        <v>12</v>
      </c>
      <c r="G1917">
        <v>70131954</v>
      </c>
      <c r="H1917">
        <v>4520095089</v>
      </c>
      <c r="I1917">
        <v>10</v>
      </c>
      <c r="J1917" s="29">
        <v>7</v>
      </c>
      <c r="K1917" s="29" t="s">
        <v>110</v>
      </c>
      <c r="L1917" t="str">
        <f>IFERROR(VLOOKUP(Detalle_OC[[#This Row],[Centro]]&amp;Detalle_OC[[#This Row],[Nro Almacen]],Almacen!A:D,4,FALSE),"")</f>
        <v>Almacen Lobo</v>
      </c>
    </row>
    <row r="1918" spans="1:12" x14ac:dyDescent="0.3">
      <c r="A1918" s="29" t="str">
        <f>Detalle_OC[[#This Row],[Centro]]&amp;Detalle_OC[[#This Row],[Nom Almacen]]&amp;Detalle_OC[[#This Row],[Material]]&amp;Detalle_OC[[#This Row],[Pedido]]&amp;Detalle_OC[[#This Row],[Posicion]]</f>
        <v>Agricola del Chira PlantaAlmacen Lobo70130468452009508920</v>
      </c>
      <c r="B1918" t="s">
        <v>181</v>
      </c>
      <c r="C1918" t="s">
        <v>1197</v>
      </c>
      <c r="D1918" s="11">
        <v>45635</v>
      </c>
      <c r="E1918" t="s">
        <v>16</v>
      </c>
      <c r="F1918" t="s">
        <v>12</v>
      </c>
      <c r="G1918">
        <v>70130468</v>
      </c>
      <c r="H1918">
        <v>4520095089</v>
      </c>
      <c r="I1918">
        <v>20</v>
      </c>
      <c r="J1918" s="29">
        <v>7</v>
      </c>
      <c r="K1918" s="29" t="s">
        <v>110</v>
      </c>
      <c r="L1918" t="str">
        <f>IFERROR(VLOOKUP(Detalle_OC[[#This Row],[Centro]]&amp;Detalle_OC[[#This Row],[Nro Almacen]],Almacen!A:D,4,FALSE),"")</f>
        <v>Almacen Lobo</v>
      </c>
    </row>
    <row r="1919" spans="1:12" x14ac:dyDescent="0.3">
      <c r="A1919" s="29" t="str">
        <f>Detalle_OC[[#This Row],[Centro]]&amp;Detalle_OC[[#This Row],[Nom Almacen]]&amp;Detalle_OC[[#This Row],[Material]]&amp;Detalle_OC[[#This Row],[Pedido]]&amp;Detalle_OC[[#This Row],[Posicion]]</f>
        <v>Agricola del Chira PlantaMontelima70130468452009508930</v>
      </c>
      <c r="B1919" t="s">
        <v>171</v>
      </c>
      <c r="C1919" t="s">
        <v>1197</v>
      </c>
      <c r="D1919" s="11">
        <v>45635</v>
      </c>
      <c r="E1919" t="s">
        <v>16</v>
      </c>
      <c r="F1919" t="s">
        <v>12</v>
      </c>
      <c r="G1919">
        <v>70130468</v>
      </c>
      <c r="H1919">
        <v>4520095089</v>
      </c>
      <c r="I1919">
        <v>30</v>
      </c>
      <c r="J1919" s="29">
        <v>1</v>
      </c>
      <c r="K1919" s="29" t="s">
        <v>110</v>
      </c>
      <c r="L1919" t="str">
        <f>IFERROR(VLOOKUP(Detalle_OC[[#This Row],[Centro]]&amp;Detalle_OC[[#This Row],[Nro Almacen]],Almacen!A:D,4,FALSE),"")</f>
        <v>Montelima</v>
      </c>
    </row>
    <row r="1920" spans="1:12" x14ac:dyDescent="0.3">
      <c r="A1920" s="29" t="str">
        <f>Detalle_OC[[#This Row],[Centro]]&amp;Detalle_OC[[#This Row],[Nom Almacen]]&amp;Detalle_OC[[#This Row],[Material]]&amp;Detalle_OC[[#This Row],[Pedido]]&amp;Detalle_OC[[#This Row],[Posicion]]</f>
        <v>Agricola del Chira PlantaAlmacen Lobo70131953452009508940</v>
      </c>
      <c r="B1920" t="s">
        <v>181</v>
      </c>
      <c r="C1920" t="s">
        <v>1197</v>
      </c>
      <c r="D1920" s="11">
        <v>45635</v>
      </c>
      <c r="E1920" t="s">
        <v>16</v>
      </c>
      <c r="F1920" t="s">
        <v>12</v>
      </c>
      <c r="G1920">
        <v>70131953</v>
      </c>
      <c r="H1920">
        <v>4520095089</v>
      </c>
      <c r="I1920">
        <v>40</v>
      </c>
      <c r="J1920" s="29">
        <v>7</v>
      </c>
      <c r="K1920" s="29" t="s">
        <v>110</v>
      </c>
      <c r="L1920" t="str">
        <f>IFERROR(VLOOKUP(Detalle_OC[[#This Row],[Centro]]&amp;Detalle_OC[[#This Row],[Nro Almacen]],Almacen!A:D,4,FALSE),"")</f>
        <v>Almacen Lobo</v>
      </c>
    </row>
    <row r="1921" spans="1:12" x14ac:dyDescent="0.3">
      <c r="A1921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1921" t="s">
        <v>28</v>
      </c>
      <c r="C1921" t="s">
        <v>54</v>
      </c>
      <c r="D1921" s="11">
        <v>45596</v>
      </c>
      <c r="E1921" t="s">
        <v>16</v>
      </c>
      <c r="F1921" t="s">
        <v>12</v>
      </c>
      <c r="G1921">
        <v>70100392</v>
      </c>
      <c r="H1921">
        <v>5500024751</v>
      </c>
      <c r="I1921">
        <v>40</v>
      </c>
      <c r="J1921" s="29">
        <v>7</v>
      </c>
      <c r="K1921" s="29" t="s">
        <v>110</v>
      </c>
      <c r="L1921" t="str">
        <f>IFERROR(VLOOKUP(Detalle_OC[[#This Row],[Centro]]&amp;Detalle_OC[[#This Row],[Nro Almacen]],Almacen!A:D,4,FALSE),"")</f>
        <v>Almacen Lobo</v>
      </c>
    </row>
    <row r="1922" spans="1:12" x14ac:dyDescent="0.3">
      <c r="A1922" s="29" t="str">
        <f>Detalle_OC[[#This Row],[Centro]]&amp;Detalle_OC[[#This Row],[Nom Almacen]]&amp;Detalle_OC[[#This Row],[Material]]&amp;Detalle_OC[[#This Row],[Pedido]]&amp;Detalle_OC[[#This Row],[Posicion]]</f>
        <v>Agricola del Chira PlantaSan Vicente721426550002484460</v>
      </c>
      <c r="B1922" t="s">
        <v>28</v>
      </c>
      <c r="C1922" t="s">
        <v>88</v>
      </c>
      <c r="D1922" s="11">
        <v>45596</v>
      </c>
      <c r="E1922" t="s">
        <v>16</v>
      </c>
      <c r="F1922" t="s">
        <v>12</v>
      </c>
      <c r="G1922">
        <v>721426</v>
      </c>
      <c r="H1922">
        <v>5500024844</v>
      </c>
      <c r="I1922">
        <v>60</v>
      </c>
      <c r="J1922" s="29">
        <v>3</v>
      </c>
      <c r="K1922" s="29" t="s">
        <v>110</v>
      </c>
      <c r="L1922" t="str">
        <f>IFERROR(VLOOKUP(Detalle_OC[[#This Row],[Centro]]&amp;Detalle_OC[[#This Row],[Nro Almacen]],Almacen!A:D,4,FALSE),"")</f>
        <v>San Vicente</v>
      </c>
    </row>
    <row r="1923" spans="1:12" x14ac:dyDescent="0.3">
      <c r="A1923" s="29" t="str">
        <f>Detalle_OC[[#This Row],[Centro]]&amp;Detalle_OC[[#This Row],[Nom Almacen]]&amp;Detalle_OC[[#This Row],[Material]]&amp;Detalle_OC[[#This Row],[Pedido]]&amp;Detalle_OC[[#This Row],[Posicion]]</f>
        <v>Agricola del Chira PlantaMontelima721669550002485530</v>
      </c>
      <c r="B1923" t="s">
        <v>28</v>
      </c>
      <c r="C1923" t="s">
        <v>96</v>
      </c>
      <c r="D1923" s="11">
        <v>45596</v>
      </c>
      <c r="E1923" t="s">
        <v>16</v>
      </c>
      <c r="F1923" t="s">
        <v>12</v>
      </c>
      <c r="G1923">
        <v>721669</v>
      </c>
      <c r="H1923">
        <v>5500024855</v>
      </c>
      <c r="I1923">
        <v>30</v>
      </c>
      <c r="J1923" s="29">
        <v>1</v>
      </c>
      <c r="K1923" s="29" t="s">
        <v>110</v>
      </c>
      <c r="L1923" t="str">
        <f>IFERROR(VLOOKUP(Detalle_OC[[#This Row],[Centro]]&amp;Detalle_OC[[#This Row],[Nro Almacen]],Almacen!A:D,4,FALSE),"")</f>
        <v>Montelima</v>
      </c>
    </row>
    <row r="1924" spans="1:12" x14ac:dyDescent="0.3">
      <c r="A1924" s="29" t="str">
        <f>Detalle_OC[[#This Row],[Centro]]&amp;Detalle_OC[[#This Row],[Nom Almacen]]&amp;Detalle_OC[[#This Row],[Material]]&amp;Detalle_OC[[#This Row],[Pedido]]&amp;Detalle_OC[[#This Row],[Posicion]]</f>
        <v>Agricola del Chira PlantaAlmacen Lobo7216695500024855210</v>
      </c>
      <c r="B1924" t="s">
        <v>28</v>
      </c>
      <c r="C1924" t="s">
        <v>96</v>
      </c>
      <c r="D1924" s="11">
        <v>45604</v>
      </c>
      <c r="E1924" t="s">
        <v>16</v>
      </c>
      <c r="F1924" t="s">
        <v>12</v>
      </c>
      <c r="G1924">
        <v>721669</v>
      </c>
      <c r="H1924">
        <v>5500024855</v>
      </c>
      <c r="I1924">
        <v>210</v>
      </c>
      <c r="J1924" s="29">
        <v>7</v>
      </c>
      <c r="K1924" s="29" t="s">
        <v>110</v>
      </c>
      <c r="L1924" t="str">
        <f>IFERROR(VLOOKUP(Detalle_OC[[#This Row],[Centro]]&amp;Detalle_OC[[#This Row],[Nro Almacen]],Almacen!A:D,4,FALSE),"")</f>
        <v>Almacen Lobo</v>
      </c>
    </row>
    <row r="1925" spans="1:12" x14ac:dyDescent="0.3">
      <c r="A1925" s="29" t="str">
        <f>Detalle_OC[[#This Row],[Centro]]&amp;Detalle_OC[[#This Row],[Nom Almacen]]&amp;Detalle_OC[[#This Row],[Material]]&amp;Detalle_OC[[#This Row],[Pedido]]&amp;Detalle_OC[[#This Row],[Posicion]]</f>
        <v>Agricola del Chira PlantaMontelima7773055500024855280</v>
      </c>
      <c r="B1925" t="s">
        <v>28</v>
      </c>
      <c r="C1925" t="s">
        <v>96</v>
      </c>
      <c r="D1925" s="11">
        <v>45596</v>
      </c>
      <c r="E1925" t="s">
        <v>16</v>
      </c>
      <c r="F1925" t="s">
        <v>12</v>
      </c>
      <c r="G1925">
        <v>777305</v>
      </c>
      <c r="H1925">
        <v>5500024855</v>
      </c>
      <c r="I1925">
        <v>280</v>
      </c>
      <c r="J1925" s="29">
        <v>1</v>
      </c>
      <c r="K1925" s="29" t="s">
        <v>110</v>
      </c>
      <c r="L1925" t="str">
        <f>IFERROR(VLOOKUP(Detalle_OC[[#This Row],[Centro]]&amp;Detalle_OC[[#This Row],[Nro Almacen]],Almacen!A:D,4,FALSE),"")</f>
        <v>Montelima</v>
      </c>
    </row>
    <row r="1926" spans="1:12" x14ac:dyDescent="0.3">
      <c r="A1926" s="29" t="str">
        <f>Detalle_OC[[#This Row],[Centro]]&amp;Detalle_OC[[#This Row],[Nom Almacen]]&amp;Detalle_OC[[#This Row],[Material]]&amp;Detalle_OC[[#This Row],[Pedido]]&amp;Detalle_OC[[#This Row],[Posicion]]</f>
        <v>Sucroalcolera del Chira PlantaMontelima889466451156860210</v>
      </c>
      <c r="B1926" t="s">
        <v>138</v>
      </c>
      <c r="C1926" t="s">
        <v>1201</v>
      </c>
      <c r="D1926" s="11">
        <v>45607</v>
      </c>
      <c r="E1926" t="s">
        <v>16</v>
      </c>
      <c r="F1926" t="s">
        <v>85</v>
      </c>
      <c r="G1926">
        <v>889466</v>
      </c>
      <c r="H1926">
        <v>4511568602</v>
      </c>
      <c r="I1926">
        <v>10</v>
      </c>
      <c r="J1926" s="29">
        <v>1</v>
      </c>
      <c r="K1926" s="29" t="s">
        <v>111</v>
      </c>
      <c r="L1926" t="str">
        <f>IFERROR(VLOOKUP(Detalle_OC[[#This Row],[Centro]]&amp;Detalle_OC[[#This Row],[Nro Almacen]],Almacen!A:D,4,FALSE),"")</f>
        <v>Montelima</v>
      </c>
    </row>
    <row r="1927" spans="1:12" x14ac:dyDescent="0.3">
      <c r="A1927" s="29" t="str">
        <f>Detalle_OC[[#This Row],[Centro]]&amp;Detalle_OC[[#This Row],[Nom Almacen]]&amp;Detalle_OC[[#This Row],[Material]]&amp;Detalle_OC[[#This Row],[Pedido]]&amp;Detalle_OC[[#This Row],[Posicion]]</f>
        <v>Agricola del Chira PlantaSan Vicente721708451156864610</v>
      </c>
      <c r="B1927" t="s">
        <v>26</v>
      </c>
      <c r="C1927" t="s">
        <v>24</v>
      </c>
      <c r="D1927" s="11">
        <v>45604</v>
      </c>
      <c r="E1927" t="s">
        <v>16</v>
      </c>
      <c r="F1927" t="s">
        <v>12</v>
      </c>
      <c r="G1927">
        <v>721708</v>
      </c>
      <c r="H1927">
        <v>4511568646</v>
      </c>
      <c r="I1927">
        <v>10</v>
      </c>
      <c r="J1927" s="29">
        <v>3</v>
      </c>
      <c r="K1927" s="29" t="s">
        <v>111</v>
      </c>
      <c r="L1927" t="str">
        <f>IFERROR(VLOOKUP(Detalle_OC[[#This Row],[Centro]]&amp;Detalle_OC[[#This Row],[Nro Almacen]],Almacen!A:D,4,FALSE),"")</f>
        <v>San Vicente</v>
      </c>
    </row>
    <row r="1928" spans="1:12" x14ac:dyDescent="0.3">
      <c r="A1928" s="29" t="str">
        <f>Detalle_OC[[#This Row],[Centro]]&amp;Detalle_OC[[#This Row],[Nom Almacen]]&amp;Detalle_OC[[#This Row],[Material]]&amp;Detalle_OC[[#This Row],[Pedido]]&amp;Detalle_OC[[#This Row],[Posicion]]</f>
        <v>Agricola del Chira PlantaMontelima8966395500019188120</v>
      </c>
      <c r="B1928" t="s">
        <v>28</v>
      </c>
      <c r="C1928" t="s">
        <v>82</v>
      </c>
      <c r="D1928" s="11">
        <v>45595</v>
      </c>
      <c r="E1928" t="s">
        <v>16</v>
      </c>
      <c r="F1928" t="s">
        <v>12</v>
      </c>
      <c r="G1928">
        <v>896639</v>
      </c>
      <c r="H1928">
        <v>5500019188</v>
      </c>
      <c r="I1928">
        <v>120</v>
      </c>
      <c r="J1928" s="29">
        <v>1</v>
      </c>
      <c r="K1928" s="29" t="s">
        <v>111</v>
      </c>
      <c r="L1928" t="str">
        <f>IFERROR(VLOOKUP(Detalle_OC[[#This Row],[Centro]]&amp;Detalle_OC[[#This Row],[Nro Almacen]],Almacen!A:D,4,FALSE),"")</f>
        <v>Montelima</v>
      </c>
    </row>
    <row r="1929" spans="1:12" x14ac:dyDescent="0.3">
      <c r="A1929" s="29" t="str">
        <f>Detalle_OC[[#This Row],[Centro]]&amp;Detalle_OC[[#This Row],[Nom Almacen]]&amp;Detalle_OC[[#This Row],[Material]]&amp;Detalle_OC[[#This Row],[Pedido]]&amp;Detalle_OC[[#This Row],[Posicion]]</f>
        <v>Agricola del Chira PlantaMontelima8449175500019188240</v>
      </c>
      <c r="B1929" t="s">
        <v>28</v>
      </c>
      <c r="C1929" t="s">
        <v>82</v>
      </c>
      <c r="D1929" s="11">
        <v>45595</v>
      </c>
      <c r="E1929" t="s">
        <v>16</v>
      </c>
      <c r="F1929" t="s">
        <v>12</v>
      </c>
      <c r="G1929">
        <v>844917</v>
      </c>
      <c r="H1929">
        <v>5500019188</v>
      </c>
      <c r="I1929">
        <v>240</v>
      </c>
      <c r="J1929" s="29">
        <v>1</v>
      </c>
      <c r="K1929" s="29" t="s">
        <v>111</v>
      </c>
      <c r="L1929" t="str">
        <f>IFERROR(VLOOKUP(Detalle_OC[[#This Row],[Centro]]&amp;Detalle_OC[[#This Row],[Nro Almacen]],Almacen!A:D,4,FALSE),"")</f>
        <v>Montelima</v>
      </c>
    </row>
    <row r="1930" spans="1:12" x14ac:dyDescent="0.3">
      <c r="A1930" s="29" t="str">
        <f>Detalle_OC[[#This Row],[Centro]]&amp;Detalle_OC[[#This Row],[Nom Almacen]]&amp;Detalle_OC[[#This Row],[Material]]&amp;Detalle_OC[[#This Row],[Pedido]]&amp;Detalle_OC[[#This Row],[Posicion]]</f>
        <v>Agricola del Chira PlantaMontelima8445095500019188260</v>
      </c>
      <c r="B1930" t="s">
        <v>28</v>
      </c>
      <c r="C1930" t="s">
        <v>82</v>
      </c>
      <c r="D1930" s="11">
        <v>45595</v>
      </c>
      <c r="E1930" t="s">
        <v>16</v>
      </c>
      <c r="F1930" t="s">
        <v>12</v>
      </c>
      <c r="G1930">
        <v>844509</v>
      </c>
      <c r="H1930">
        <v>5500019188</v>
      </c>
      <c r="I1930">
        <v>260</v>
      </c>
      <c r="J1930" s="29">
        <v>1</v>
      </c>
      <c r="K1930" s="29" t="s">
        <v>111</v>
      </c>
      <c r="L1930" t="str">
        <f>IFERROR(VLOOKUP(Detalle_OC[[#This Row],[Centro]]&amp;Detalle_OC[[#This Row],[Nro Almacen]],Almacen!A:D,4,FALSE),"")</f>
        <v>Montelima</v>
      </c>
    </row>
    <row r="1931" spans="1:12" x14ac:dyDescent="0.3">
      <c r="A1931" s="29" t="str">
        <f>Detalle_OC[[#This Row],[Centro]]&amp;Detalle_OC[[#This Row],[Nom Almacen]]&amp;Detalle_OC[[#This Row],[Material]]&amp;Detalle_OC[[#This Row],[Pedido]]&amp;Detalle_OC[[#This Row],[Posicion]]</f>
        <v>Agricola del Chira PlantaMontelima8445365500019188330</v>
      </c>
      <c r="B1931" t="s">
        <v>28</v>
      </c>
      <c r="C1931" t="s">
        <v>82</v>
      </c>
      <c r="D1931" s="11">
        <v>45595</v>
      </c>
      <c r="E1931" t="s">
        <v>16</v>
      </c>
      <c r="F1931" t="s">
        <v>12</v>
      </c>
      <c r="G1931">
        <v>844536</v>
      </c>
      <c r="H1931">
        <v>5500019188</v>
      </c>
      <c r="I1931">
        <v>330</v>
      </c>
      <c r="J1931" s="29">
        <v>1</v>
      </c>
      <c r="K1931" s="29" t="s">
        <v>111</v>
      </c>
      <c r="L1931" t="str">
        <f>IFERROR(VLOOKUP(Detalle_OC[[#This Row],[Centro]]&amp;Detalle_OC[[#This Row],[Nro Almacen]],Almacen!A:D,4,FALSE),"")</f>
        <v>Montelima</v>
      </c>
    </row>
    <row r="1932" spans="1:12" x14ac:dyDescent="0.3">
      <c r="A1932" s="29" t="str">
        <f>Detalle_OC[[#This Row],[Centro]]&amp;Detalle_OC[[#This Row],[Nom Almacen]]&amp;Detalle_OC[[#This Row],[Material]]&amp;Detalle_OC[[#This Row],[Pedido]]&amp;Detalle_OC[[#This Row],[Posicion]]</f>
        <v>Agricola del Chira PlantaMontelima8445175500019188340</v>
      </c>
      <c r="B1932" t="s">
        <v>28</v>
      </c>
      <c r="C1932" t="s">
        <v>82</v>
      </c>
      <c r="D1932" s="11">
        <v>45595</v>
      </c>
      <c r="E1932" t="s">
        <v>16</v>
      </c>
      <c r="F1932" t="s">
        <v>12</v>
      </c>
      <c r="G1932">
        <v>844517</v>
      </c>
      <c r="H1932">
        <v>5500019188</v>
      </c>
      <c r="I1932">
        <v>340</v>
      </c>
      <c r="J1932" s="29">
        <v>1</v>
      </c>
      <c r="K1932" s="29" t="s">
        <v>111</v>
      </c>
      <c r="L1932" t="str">
        <f>IFERROR(VLOOKUP(Detalle_OC[[#This Row],[Centro]]&amp;Detalle_OC[[#This Row],[Nro Almacen]],Almacen!A:D,4,FALSE),"")</f>
        <v>Montelima</v>
      </c>
    </row>
    <row r="1933" spans="1:12" x14ac:dyDescent="0.3">
      <c r="A1933" s="29" t="str">
        <f>Detalle_OC[[#This Row],[Centro]]&amp;Detalle_OC[[#This Row],[Nom Almacen]]&amp;Detalle_OC[[#This Row],[Material]]&amp;Detalle_OC[[#This Row],[Pedido]]&amp;Detalle_OC[[#This Row],[Posicion]]</f>
        <v>Agricola del Chira PlantaMontelima8459085500019188350</v>
      </c>
      <c r="B1933" t="s">
        <v>28</v>
      </c>
      <c r="C1933" t="s">
        <v>82</v>
      </c>
      <c r="D1933" s="11">
        <v>45595</v>
      </c>
      <c r="E1933" t="s">
        <v>16</v>
      </c>
      <c r="F1933" t="s">
        <v>12</v>
      </c>
      <c r="G1933">
        <v>845908</v>
      </c>
      <c r="H1933">
        <v>5500019188</v>
      </c>
      <c r="I1933">
        <v>350</v>
      </c>
      <c r="J1933" s="29">
        <v>1</v>
      </c>
      <c r="K1933" s="29" t="s">
        <v>111</v>
      </c>
      <c r="L1933" t="str">
        <f>IFERROR(VLOOKUP(Detalle_OC[[#This Row],[Centro]]&amp;Detalle_OC[[#This Row],[Nro Almacen]],Almacen!A:D,4,FALSE),"")</f>
        <v>Montelima</v>
      </c>
    </row>
    <row r="1934" spans="1:12" x14ac:dyDescent="0.3">
      <c r="A1934" s="29" t="str">
        <f>Detalle_OC[[#This Row],[Centro]]&amp;Detalle_OC[[#This Row],[Nom Almacen]]&amp;Detalle_OC[[#This Row],[Material]]&amp;Detalle_OC[[#This Row],[Pedido]]&amp;Detalle_OC[[#This Row],[Posicion]]</f>
        <v>Agricola del Chira PlantaMontelima83106655000191881040</v>
      </c>
      <c r="B1934" t="s">
        <v>28</v>
      </c>
      <c r="C1934" t="s">
        <v>82</v>
      </c>
      <c r="D1934" s="11">
        <v>45595</v>
      </c>
      <c r="E1934" t="s">
        <v>16</v>
      </c>
      <c r="F1934" t="s">
        <v>12</v>
      </c>
      <c r="G1934">
        <v>831066</v>
      </c>
      <c r="H1934">
        <v>5500019188</v>
      </c>
      <c r="I1934">
        <v>1040</v>
      </c>
      <c r="J1934" s="29">
        <v>1</v>
      </c>
      <c r="K1934" s="29" t="s">
        <v>111</v>
      </c>
      <c r="L1934" t="str">
        <f>IFERROR(VLOOKUP(Detalle_OC[[#This Row],[Centro]]&amp;Detalle_OC[[#This Row],[Nro Almacen]],Almacen!A:D,4,FALSE),"")</f>
        <v>Montelima</v>
      </c>
    </row>
    <row r="1935" spans="1:12" x14ac:dyDescent="0.3">
      <c r="A1935" s="29" t="str">
        <f>Detalle_OC[[#This Row],[Centro]]&amp;Detalle_OC[[#This Row],[Nom Almacen]]&amp;Detalle_OC[[#This Row],[Material]]&amp;Detalle_OC[[#This Row],[Pedido]]&amp;Detalle_OC[[#This Row],[Posicion]]</f>
        <v>Agricola del Chira PlantaMontelima88882255000191881090</v>
      </c>
      <c r="B1935" t="s">
        <v>28</v>
      </c>
      <c r="C1935" t="s">
        <v>82</v>
      </c>
      <c r="D1935" s="11">
        <v>45595</v>
      </c>
      <c r="E1935" t="s">
        <v>16</v>
      </c>
      <c r="F1935" t="s">
        <v>12</v>
      </c>
      <c r="G1935">
        <v>888822</v>
      </c>
      <c r="H1935">
        <v>5500019188</v>
      </c>
      <c r="I1935">
        <v>1090</v>
      </c>
      <c r="J1935" s="29">
        <v>1</v>
      </c>
      <c r="K1935" s="29" t="s">
        <v>111</v>
      </c>
      <c r="L1935" t="str">
        <f>IFERROR(VLOOKUP(Detalle_OC[[#This Row],[Centro]]&amp;Detalle_OC[[#This Row],[Nro Almacen]],Almacen!A:D,4,FALSE),"")</f>
        <v>Montelima</v>
      </c>
    </row>
    <row r="1936" spans="1:12" x14ac:dyDescent="0.3">
      <c r="A1936" s="29" t="str">
        <f>Detalle_OC[[#This Row],[Centro]]&amp;Detalle_OC[[#This Row],[Nom Almacen]]&amp;Detalle_OC[[#This Row],[Material]]&amp;Detalle_OC[[#This Row],[Pedido]]&amp;Detalle_OC[[#This Row],[Posicion]]</f>
        <v>Agricola del Chira PlantaMontelima83605255000191881460</v>
      </c>
      <c r="B1936" t="s">
        <v>28</v>
      </c>
      <c r="C1936" t="s">
        <v>82</v>
      </c>
      <c r="D1936" s="11">
        <v>45595</v>
      </c>
      <c r="E1936" t="s">
        <v>16</v>
      </c>
      <c r="F1936" t="s">
        <v>12</v>
      </c>
      <c r="G1936">
        <v>836052</v>
      </c>
      <c r="H1936">
        <v>5500019188</v>
      </c>
      <c r="I1936">
        <v>1460</v>
      </c>
      <c r="J1936" s="29">
        <v>1</v>
      </c>
      <c r="K1936" s="29" t="s">
        <v>111</v>
      </c>
      <c r="L1936" t="str">
        <f>IFERROR(VLOOKUP(Detalle_OC[[#This Row],[Centro]]&amp;Detalle_OC[[#This Row],[Nro Almacen]],Almacen!A:D,4,FALSE),"")</f>
        <v>Montelima</v>
      </c>
    </row>
    <row r="1937" spans="1:12" x14ac:dyDescent="0.3">
      <c r="A1937" s="29" t="str">
        <f>Detalle_OC[[#This Row],[Centro]]&amp;Detalle_OC[[#This Row],[Nom Almacen]]&amp;Detalle_OC[[#This Row],[Material]]&amp;Detalle_OC[[#This Row],[Pedido]]&amp;Detalle_OC[[#This Row],[Posicion]]</f>
        <v>Agricola del Chira PlantaMontelima7002966055000191881560</v>
      </c>
      <c r="B1937" t="s">
        <v>28</v>
      </c>
      <c r="C1937" t="s">
        <v>82</v>
      </c>
      <c r="D1937" s="11">
        <v>45595</v>
      </c>
      <c r="E1937" t="s">
        <v>16</v>
      </c>
      <c r="F1937" t="s">
        <v>12</v>
      </c>
      <c r="G1937">
        <v>70029660</v>
      </c>
      <c r="H1937">
        <v>5500019188</v>
      </c>
      <c r="I1937">
        <v>1560</v>
      </c>
      <c r="J1937" s="29">
        <v>1</v>
      </c>
      <c r="K1937" s="29" t="s">
        <v>111</v>
      </c>
      <c r="L1937" t="str">
        <f>IFERROR(VLOOKUP(Detalle_OC[[#This Row],[Centro]]&amp;Detalle_OC[[#This Row],[Nro Almacen]],Almacen!A:D,4,FALSE),"")</f>
        <v>Montelima</v>
      </c>
    </row>
    <row r="1938" spans="1:12" x14ac:dyDescent="0.3">
      <c r="A1938" s="29" t="str">
        <f>Detalle_OC[[#This Row],[Centro]]&amp;Detalle_OC[[#This Row],[Nom Almacen]]&amp;Detalle_OC[[#This Row],[Material]]&amp;Detalle_OC[[#This Row],[Pedido]]&amp;Detalle_OC[[#This Row],[Posicion]]</f>
        <v>Agricola del Chira PlantaMontelima7002961555000191881570</v>
      </c>
      <c r="B1938" t="s">
        <v>28</v>
      </c>
      <c r="C1938" t="s">
        <v>82</v>
      </c>
      <c r="D1938" s="11">
        <v>45595</v>
      </c>
      <c r="E1938" t="s">
        <v>16</v>
      </c>
      <c r="F1938" t="s">
        <v>12</v>
      </c>
      <c r="G1938">
        <v>70029615</v>
      </c>
      <c r="H1938">
        <v>5500019188</v>
      </c>
      <c r="I1938">
        <v>1570</v>
      </c>
      <c r="J1938" s="29">
        <v>1</v>
      </c>
      <c r="K1938" s="29" t="s">
        <v>111</v>
      </c>
      <c r="L1938" t="str">
        <f>IFERROR(VLOOKUP(Detalle_OC[[#This Row],[Centro]]&amp;Detalle_OC[[#This Row],[Nro Almacen]],Almacen!A:D,4,FALSE),"")</f>
        <v>Montelima</v>
      </c>
    </row>
    <row r="1939" spans="1:12" x14ac:dyDescent="0.3">
      <c r="A1939" s="29" t="str">
        <f>Detalle_OC[[#This Row],[Centro]]&amp;Detalle_OC[[#This Row],[Nom Almacen]]&amp;Detalle_OC[[#This Row],[Material]]&amp;Detalle_OC[[#This Row],[Pedido]]&amp;Detalle_OC[[#This Row],[Posicion]]</f>
        <v>Sucroalcolera del Chira PlantaMontelima708707550002233640</v>
      </c>
      <c r="B1939" t="s">
        <v>28</v>
      </c>
      <c r="C1939" t="s">
        <v>84</v>
      </c>
      <c r="D1939" s="11">
        <v>45595</v>
      </c>
      <c r="E1939" t="s">
        <v>16</v>
      </c>
      <c r="F1939" t="s">
        <v>85</v>
      </c>
      <c r="G1939">
        <v>708707</v>
      </c>
      <c r="H1939">
        <v>5500022336</v>
      </c>
      <c r="I1939">
        <v>40</v>
      </c>
      <c r="J1939" s="29">
        <v>1</v>
      </c>
      <c r="K1939" s="29" t="s">
        <v>111</v>
      </c>
      <c r="L1939" t="str">
        <f>IFERROR(VLOOKUP(Detalle_OC[[#This Row],[Centro]]&amp;Detalle_OC[[#This Row],[Nro Almacen]],Almacen!A:D,4,FALSE),"")</f>
        <v>Montelima</v>
      </c>
    </row>
    <row r="1940" spans="1:12" x14ac:dyDescent="0.3">
      <c r="A1940" s="29" t="str">
        <f>Detalle_OC[[#This Row],[Centro]]&amp;Detalle_OC[[#This Row],[Nom Almacen]]&amp;Detalle_OC[[#This Row],[Material]]&amp;Detalle_OC[[#This Row],[Pedido]]&amp;Detalle_OC[[#This Row],[Posicion]]</f>
        <v>Agricola del Chira PlantaMontelima709179550002233820</v>
      </c>
      <c r="B1940" t="s">
        <v>28</v>
      </c>
      <c r="C1940" t="s">
        <v>84</v>
      </c>
      <c r="D1940" s="11">
        <v>45595</v>
      </c>
      <c r="E1940" t="s">
        <v>16</v>
      </c>
      <c r="F1940" t="s">
        <v>12</v>
      </c>
      <c r="G1940">
        <v>709179</v>
      </c>
      <c r="H1940">
        <v>5500022338</v>
      </c>
      <c r="I1940">
        <v>20</v>
      </c>
      <c r="J1940" s="29">
        <v>1</v>
      </c>
      <c r="K1940" s="29" t="s">
        <v>111</v>
      </c>
      <c r="L1940" t="str">
        <f>IFERROR(VLOOKUP(Detalle_OC[[#This Row],[Centro]]&amp;Detalle_OC[[#This Row],[Nro Almacen]],Almacen!A:D,4,FALSE),"")</f>
        <v>Montelima</v>
      </c>
    </row>
    <row r="1941" spans="1:12" x14ac:dyDescent="0.3">
      <c r="A1941" s="29" t="str">
        <f>Detalle_OC[[#This Row],[Centro]]&amp;Detalle_OC[[#This Row],[Nom Almacen]]&amp;Detalle_OC[[#This Row],[Material]]&amp;Detalle_OC[[#This Row],[Pedido]]&amp;Detalle_OC[[#This Row],[Posicion]]</f>
        <v>Agricola del Chira PlantaMontelima70084371550002468180</v>
      </c>
      <c r="B1941" t="s">
        <v>28</v>
      </c>
      <c r="C1941" t="s">
        <v>84</v>
      </c>
      <c r="D1941" s="11">
        <v>45595</v>
      </c>
      <c r="E1941" t="s">
        <v>16</v>
      </c>
      <c r="F1941" t="s">
        <v>12</v>
      </c>
      <c r="G1941">
        <v>70084371</v>
      </c>
      <c r="H1941">
        <v>5500024681</v>
      </c>
      <c r="I1941">
        <v>80</v>
      </c>
      <c r="J1941" s="29">
        <v>1</v>
      </c>
      <c r="K1941" s="29" t="s">
        <v>111</v>
      </c>
      <c r="L1941" t="str">
        <f>IFERROR(VLOOKUP(Detalle_OC[[#This Row],[Centro]]&amp;Detalle_OC[[#This Row],[Nro Almacen]],Almacen!A:D,4,FALSE),"")</f>
        <v>Montelima</v>
      </c>
    </row>
    <row r="1942" spans="1:12" x14ac:dyDescent="0.3">
      <c r="A1942" s="29" t="str">
        <f>Detalle_OC[[#This Row],[Centro]]&amp;Detalle_OC[[#This Row],[Nom Almacen]]&amp;Detalle_OC[[#This Row],[Material]]&amp;Detalle_OC[[#This Row],[Pedido]]&amp;Detalle_OC[[#This Row],[Posicion]]</f>
        <v>Agricola del Chira PlantaFERTI LOBO 2MWAGR000058       550002481530</v>
      </c>
      <c r="B1942" t="s">
        <v>28</v>
      </c>
      <c r="C1942" t="s">
        <v>112</v>
      </c>
      <c r="D1942" s="11">
        <v>45595</v>
      </c>
      <c r="E1942" t="s">
        <v>16</v>
      </c>
      <c r="F1942" t="s">
        <v>12</v>
      </c>
      <c r="G1942" t="s">
        <v>113</v>
      </c>
      <c r="H1942">
        <v>5500024815</v>
      </c>
      <c r="I1942">
        <v>30</v>
      </c>
      <c r="J1942" s="29">
        <v>23</v>
      </c>
      <c r="K1942" s="29" t="s">
        <v>111</v>
      </c>
      <c r="L1942" t="str">
        <f>IFERROR(VLOOKUP(Detalle_OC[[#This Row],[Centro]]&amp;Detalle_OC[[#This Row],[Nro Almacen]],Almacen!A:D,4,FALSE),"")</f>
        <v>FERTI LOBO 2</v>
      </c>
    </row>
    <row r="1943" spans="1:12" x14ac:dyDescent="0.3">
      <c r="A1943" s="29" t="str">
        <f>Detalle_OC[[#This Row],[Centro]]&amp;Detalle_OC[[#This Row],[Nom Almacen]]&amp;Detalle_OC[[#This Row],[Material]]&amp;Detalle_OC[[#This Row],[Pedido]]&amp;Detalle_OC[[#This Row],[Posicion]]</f>
        <v>Agricola del Chira PlantaFERTI LOBO 3MWAGR000058       550002481540</v>
      </c>
      <c r="B1943" t="s">
        <v>28</v>
      </c>
      <c r="C1943" t="s">
        <v>112</v>
      </c>
      <c r="D1943" s="11">
        <v>45595</v>
      </c>
      <c r="E1943" t="s">
        <v>16</v>
      </c>
      <c r="F1943" t="s">
        <v>12</v>
      </c>
      <c r="G1943" t="s">
        <v>113</v>
      </c>
      <c r="H1943">
        <v>5500024815</v>
      </c>
      <c r="I1943">
        <v>40</v>
      </c>
      <c r="J1943" s="29">
        <v>24</v>
      </c>
      <c r="K1943" s="29" t="s">
        <v>111</v>
      </c>
      <c r="L1943" t="str">
        <f>IFERROR(VLOOKUP(Detalle_OC[[#This Row],[Centro]]&amp;Detalle_OC[[#This Row],[Nro Almacen]],Almacen!A:D,4,FALSE),"")</f>
        <v>FERTI LOBO 3</v>
      </c>
    </row>
    <row r="1944" spans="1:12" x14ac:dyDescent="0.3">
      <c r="A1944" s="29" t="str">
        <f>Detalle_OC[[#This Row],[Centro]]&amp;Detalle_OC[[#This Row],[Nom Almacen]]&amp;Detalle_OC[[#This Row],[Material]]&amp;Detalle_OC[[#This Row],[Pedido]]&amp;Detalle_OC[[#This Row],[Posicion]]</f>
        <v>Agricola del Chira PlantaMontelima70027643550002489670</v>
      </c>
      <c r="B1944" t="s">
        <v>28</v>
      </c>
      <c r="C1944" t="s">
        <v>27</v>
      </c>
      <c r="D1944" s="11">
        <v>45612</v>
      </c>
      <c r="E1944" t="s">
        <v>16</v>
      </c>
      <c r="F1944" t="s">
        <v>12</v>
      </c>
      <c r="G1944">
        <v>70027643</v>
      </c>
      <c r="H1944">
        <v>5500024896</v>
      </c>
      <c r="I1944">
        <v>70</v>
      </c>
      <c r="J1944" s="29">
        <v>1</v>
      </c>
      <c r="K1944" s="29" t="s">
        <v>111</v>
      </c>
      <c r="L1944" t="str">
        <f>IFERROR(VLOOKUP(Detalle_OC[[#This Row],[Centro]]&amp;Detalle_OC[[#This Row],[Nro Almacen]],Almacen!A:D,4,FALSE),"")</f>
        <v>Montelima</v>
      </c>
    </row>
    <row r="1945" spans="1:12" x14ac:dyDescent="0.3">
      <c r="A1945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1945" t="s">
        <v>28</v>
      </c>
      <c r="C1945" t="s">
        <v>54</v>
      </c>
      <c r="D1945" s="11">
        <v>45594</v>
      </c>
      <c r="E1945" t="s">
        <v>16</v>
      </c>
      <c r="F1945" t="s">
        <v>12</v>
      </c>
      <c r="G1945">
        <v>70100392</v>
      </c>
      <c r="H1945">
        <v>5500024751</v>
      </c>
      <c r="I1945">
        <v>20</v>
      </c>
      <c r="J1945" s="29">
        <v>2</v>
      </c>
      <c r="K1945" s="29" t="s">
        <v>114</v>
      </c>
      <c r="L1945" t="str">
        <f>IFERROR(VLOOKUP(Detalle_OC[[#This Row],[Centro]]&amp;Detalle_OC[[#This Row],[Nro Almacen]],Almacen!A:D,4,FALSE),"")</f>
        <v>La Huaca</v>
      </c>
    </row>
    <row r="1946" spans="1:12" x14ac:dyDescent="0.3">
      <c r="A1946" s="29" t="str">
        <f>Detalle_OC[[#This Row],[Centro]]&amp;Detalle_OC[[#This Row],[Nom Almacen]]&amp;Detalle_OC[[#This Row],[Material]]&amp;Detalle_OC[[#This Row],[Pedido]]&amp;Detalle_OC[[#This Row],[Posicion]]</f>
        <v>Agricola del Chira PlantaSan Vicente70100392550002475130</v>
      </c>
      <c r="B1946" t="s">
        <v>28</v>
      </c>
      <c r="C1946" t="s">
        <v>54</v>
      </c>
      <c r="D1946" s="11">
        <v>45594</v>
      </c>
      <c r="E1946" t="s">
        <v>16</v>
      </c>
      <c r="F1946" t="s">
        <v>12</v>
      </c>
      <c r="G1946">
        <v>70100392</v>
      </c>
      <c r="H1946">
        <v>5500024751</v>
      </c>
      <c r="I1946">
        <v>30</v>
      </c>
      <c r="J1946" s="29">
        <v>3</v>
      </c>
      <c r="K1946" s="29" t="s">
        <v>114</v>
      </c>
      <c r="L1946" t="str">
        <f>IFERROR(VLOOKUP(Detalle_OC[[#This Row],[Centro]]&amp;Detalle_OC[[#This Row],[Nro Almacen]],Almacen!A:D,4,FALSE),"")</f>
        <v>San Vicente</v>
      </c>
    </row>
    <row r="1947" spans="1:12" x14ac:dyDescent="0.3">
      <c r="A1947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1947" t="s">
        <v>28</v>
      </c>
      <c r="C1947" t="s">
        <v>54</v>
      </c>
      <c r="D1947" s="11">
        <v>45594</v>
      </c>
      <c r="E1947" t="s">
        <v>16</v>
      </c>
      <c r="F1947" t="s">
        <v>12</v>
      </c>
      <c r="G1947">
        <v>70100392</v>
      </c>
      <c r="H1947">
        <v>5500024751</v>
      </c>
      <c r="I1947">
        <v>40</v>
      </c>
      <c r="J1947" s="29">
        <v>7</v>
      </c>
      <c r="K1947" s="29" t="s">
        <v>114</v>
      </c>
      <c r="L1947" t="str">
        <f>IFERROR(VLOOKUP(Detalle_OC[[#This Row],[Centro]]&amp;Detalle_OC[[#This Row],[Nro Almacen]],Almacen!A:D,4,FALSE),"")</f>
        <v>Almacen Lobo</v>
      </c>
    </row>
    <row r="1948" spans="1:12" x14ac:dyDescent="0.3">
      <c r="A1948" s="29" t="str">
        <f>Detalle_OC[[#This Row],[Centro]]&amp;Detalle_OC[[#This Row],[Nom Almacen]]&amp;Detalle_OC[[#This Row],[Material]]&amp;Detalle_OC[[#This Row],[Pedido]]&amp;Detalle_OC[[#This Row],[Posicion]]</f>
        <v>Agricola del Chira PlantaMontelima721426550002484450</v>
      </c>
      <c r="B1948" t="s">
        <v>28</v>
      </c>
      <c r="C1948" t="s">
        <v>88</v>
      </c>
      <c r="D1948" s="11">
        <v>45594</v>
      </c>
      <c r="E1948" t="s">
        <v>16</v>
      </c>
      <c r="F1948" t="s">
        <v>12</v>
      </c>
      <c r="G1948">
        <v>721426</v>
      </c>
      <c r="H1948">
        <v>5500024844</v>
      </c>
      <c r="I1948">
        <v>50</v>
      </c>
      <c r="J1948" s="29">
        <v>1</v>
      </c>
      <c r="K1948" s="29" t="s">
        <v>114</v>
      </c>
      <c r="L1948" t="str">
        <f>IFERROR(VLOOKUP(Detalle_OC[[#This Row],[Centro]]&amp;Detalle_OC[[#This Row],[Nro Almacen]],Almacen!A:D,4,FALSE),"")</f>
        <v>Montelima</v>
      </c>
    </row>
    <row r="1949" spans="1:12" x14ac:dyDescent="0.3">
      <c r="A1949" s="29" t="str">
        <f>Detalle_OC[[#This Row],[Centro]]&amp;Detalle_OC[[#This Row],[Nom Almacen]]&amp;Detalle_OC[[#This Row],[Material]]&amp;Detalle_OC[[#This Row],[Pedido]]&amp;Detalle_OC[[#This Row],[Posicion]]</f>
        <v>Agricola del Chira PlantaLa Huaca700691795500024855160</v>
      </c>
      <c r="B1949" t="s">
        <v>28</v>
      </c>
      <c r="C1949" t="s">
        <v>96</v>
      </c>
      <c r="D1949" s="11">
        <v>45604</v>
      </c>
      <c r="E1949" t="s">
        <v>16</v>
      </c>
      <c r="F1949" t="s">
        <v>12</v>
      </c>
      <c r="G1949">
        <v>70069179</v>
      </c>
      <c r="H1949">
        <v>5500024855</v>
      </c>
      <c r="I1949">
        <v>160</v>
      </c>
      <c r="J1949" s="29">
        <v>2</v>
      </c>
      <c r="K1949" s="29" t="s">
        <v>114</v>
      </c>
      <c r="L1949" t="str">
        <f>IFERROR(VLOOKUP(Detalle_OC[[#This Row],[Centro]]&amp;Detalle_OC[[#This Row],[Nro Almacen]],Almacen!A:D,4,FALSE),"")</f>
        <v>La Huaca</v>
      </c>
    </row>
    <row r="1950" spans="1:12" x14ac:dyDescent="0.3">
      <c r="A1950" s="29" t="str">
        <f>Detalle_OC[[#This Row],[Centro]]&amp;Detalle_OC[[#This Row],[Nom Almacen]]&amp;Detalle_OC[[#This Row],[Material]]&amp;Detalle_OC[[#This Row],[Pedido]]&amp;Detalle_OC[[#This Row],[Posicion]]</f>
        <v>Agricola del Chira PlantaMontelima70057749550002488170</v>
      </c>
      <c r="B1950" t="s">
        <v>28</v>
      </c>
      <c r="C1950" t="s">
        <v>52</v>
      </c>
      <c r="D1950" s="11">
        <v>45593</v>
      </c>
      <c r="E1950" t="s">
        <v>16</v>
      </c>
      <c r="F1950" t="s">
        <v>12</v>
      </c>
      <c r="G1950">
        <v>70057749</v>
      </c>
      <c r="H1950">
        <v>5500024881</v>
      </c>
      <c r="I1950">
        <v>70</v>
      </c>
      <c r="J1950" s="29">
        <v>1</v>
      </c>
      <c r="K1950" s="29" t="s">
        <v>114</v>
      </c>
      <c r="L1950" t="str">
        <f>IFERROR(VLOOKUP(Detalle_OC[[#This Row],[Centro]]&amp;Detalle_OC[[#This Row],[Nro Almacen]],Almacen!A:D,4,FALSE),"")</f>
        <v>Montelima</v>
      </c>
    </row>
    <row r="1951" spans="1:12" x14ac:dyDescent="0.3">
      <c r="A1951" s="29" t="str">
        <f>Detalle_OC[[#This Row],[Centro]]&amp;Detalle_OC[[#This Row],[Nom Almacen]]&amp;Detalle_OC[[#This Row],[Material]]&amp;Detalle_OC[[#This Row],[Pedido]]&amp;Detalle_OC[[#This Row],[Posicion]]</f>
        <v>Agricola del Chira PlantaMontelima721620451156837510</v>
      </c>
      <c r="B1951" t="s">
        <v>15</v>
      </c>
      <c r="C1951" t="s">
        <v>231</v>
      </c>
      <c r="D1951" s="11">
        <v>45609</v>
      </c>
      <c r="E1951" t="s">
        <v>16</v>
      </c>
      <c r="F1951" t="s">
        <v>12</v>
      </c>
      <c r="G1951">
        <v>721620</v>
      </c>
      <c r="H1951">
        <v>4511568375</v>
      </c>
      <c r="I1951">
        <v>10</v>
      </c>
      <c r="J1951" s="29">
        <v>1</v>
      </c>
      <c r="K1951" s="29" t="s">
        <v>115</v>
      </c>
      <c r="L1951" t="str">
        <f>IFERROR(VLOOKUP(Detalle_OC[[#This Row],[Centro]]&amp;Detalle_OC[[#This Row],[Nro Almacen]],Almacen!A:D,4,FALSE),"")</f>
        <v>Montelima</v>
      </c>
    </row>
    <row r="1952" spans="1:12" x14ac:dyDescent="0.3">
      <c r="A1952" s="29" t="str">
        <f>Detalle_OC[[#This Row],[Centro]]&amp;Detalle_OC[[#This Row],[Nom Almacen]]&amp;Detalle_OC[[#This Row],[Material]]&amp;Detalle_OC[[#This Row],[Pedido]]&amp;Detalle_OC[[#This Row],[Posicion]]</f>
        <v>Agricola del Chira PlantaSan Vicente721781451156837520</v>
      </c>
      <c r="B1952" t="s">
        <v>15</v>
      </c>
      <c r="C1952" t="s">
        <v>231</v>
      </c>
      <c r="D1952" s="11">
        <v>45609</v>
      </c>
      <c r="E1952" t="s">
        <v>16</v>
      </c>
      <c r="F1952" t="s">
        <v>12</v>
      </c>
      <c r="G1952">
        <v>721781</v>
      </c>
      <c r="H1952">
        <v>4511568375</v>
      </c>
      <c r="I1952">
        <v>20</v>
      </c>
      <c r="J1952" s="29">
        <v>3</v>
      </c>
      <c r="K1952" s="29" t="s">
        <v>115</v>
      </c>
      <c r="L1952" t="str">
        <f>IFERROR(VLOOKUP(Detalle_OC[[#This Row],[Centro]]&amp;Detalle_OC[[#This Row],[Nro Almacen]],Almacen!A:D,4,FALSE),"")</f>
        <v>San Vicente</v>
      </c>
    </row>
    <row r="1953" spans="1:12" x14ac:dyDescent="0.3">
      <c r="A1953" s="29" t="str">
        <f>Detalle_OC[[#This Row],[Centro]]&amp;Detalle_OC[[#This Row],[Nom Almacen]]&amp;Detalle_OC[[#This Row],[Material]]&amp;Detalle_OC[[#This Row],[Pedido]]&amp;Detalle_OC[[#This Row],[Posicion]]</f>
        <v>Agricola del Chira PlantaSan Vicente808068451156837530</v>
      </c>
      <c r="B1953" t="s">
        <v>15</v>
      </c>
      <c r="C1953" t="s">
        <v>231</v>
      </c>
      <c r="D1953" s="11">
        <v>45609</v>
      </c>
      <c r="E1953" t="s">
        <v>16</v>
      </c>
      <c r="F1953" t="s">
        <v>12</v>
      </c>
      <c r="G1953">
        <v>808068</v>
      </c>
      <c r="H1953">
        <v>4511568375</v>
      </c>
      <c r="I1953">
        <v>30</v>
      </c>
      <c r="J1953" s="29">
        <v>3</v>
      </c>
      <c r="K1953" s="29" t="s">
        <v>115</v>
      </c>
      <c r="L1953" t="str">
        <f>IFERROR(VLOOKUP(Detalle_OC[[#This Row],[Centro]]&amp;Detalle_OC[[#This Row],[Nro Almacen]],Almacen!A:D,4,FALSE),"")</f>
        <v>San Vicente</v>
      </c>
    </row>
    <row r="1954" spans="1:12" x14ac:dyDescent="0.3">
      <c r="A1954" s="29" t="str">
        <f>Detalle_OC[[#This Row],[Centro]]&amp;Detalle_OC[[#This Row],[Nom Almacen]]&amp;Detalle_OC[[#This Row],[Material]]&amp;Detalle_OC[[#This Row],[Pedido]]&amp;Detalle_OC[[#This Row],[Posicion]]</f>
        <v>Agricola del Chira PlantaAlmacen Lobo70069177451156837540</v>
      </c>
      <c r="B1954" t="s">
        <v>15</v>
      </c>
      <c r="C1954" t="s">
        <v>231</v>
      </c>
      <c r="D1954" s="11">
        <v>45618</v>
      </c>
      <c r="E1954" t="s">
        <v>16</v>
      </c>
      <c r="F1954" t="s">
        <v>12</v>
      </c>
      <c r="G1954">
        <v>70069177</v>
      </c>
      <c r="H1954">
        <v>4511568375</v>
      </c>
      <c r="I1954">
        <v>40</v>
      </c>
      <c r="J1954" s="29">
        <v>7</v>
      </c>
      <c r="K1954" s="29" t="s">
        <v>115</v>
      </c>
      <c r="L1954" t="str">
        <f>IFERROR(VLOOKUP(Detalle_OC[[#This Row],[Centro]]&amp;Detalle_OC[[#This Row],[Nro Almacen]],Almacen!A:D,4,FALSE),"")</f>
        <v>Almacen Lobo</v>
      </c>
    </row>
    <row r="1955" spans="1:12" x14ac:dyDescent="0.3">
      <c r="A1955" s="29" t="str">
        <f>Detalle_OC[[#This Row],[Centro]]&amp;Detalle_OC[[#This Row],[Nom Almacen]]&amp;Detalle_OC[[#This Row],[Material]]&amp;Detalle_OC[[#This Row],[Pedido]]&amp;Detalle_OC[[#This Row],[Posicion]]</f>
        <v>Agricola del Chira PlantaSan Vicente70069177451156837550</v>
      </c>
      <c r="B1955" t="s">
        <v>15</v>
      </c>
      <c r="C1955" t="s">
        <v>231</v>
      </c>
      <c r="D1955" s="11">
        <v>45639</v>
      </c>
      <c r="E1955" t="s">
        <v>16</v>
      </c>
      <c r="F1955" t="s">
        <v>12</v>
      </c>
      <c r="G1955">
        <v>70069177</v>
      </c>
      <c r="H1955">
        <v>4511568375</v>
      </c>
      <c r="I1955">
        <v>50</v>
      </c>
      <c r="J1955" s="29">
        <v>3</v>
      </c>
      <c r="K1955" s="29" t="s">
        <v>115</v>
      </c>
      <c r="L1955" t="str">
        <f>IFERROR(VLOOKUP(Detalle_OC[[#This Row],[Centro]]&amp;Detalle_OC[[#This Row],[Nro Almacen]],Almacen!A:D,4,FALSE),"")</f>
        <v>San Vicente</v>
      </c>
    </row>
    <row r="1956" spans="1:12" x14ac:dyDescent="0.3">
      <c r="A1956" s="29" t="str">
        <f>Detalle_OC[[#This Row],[Centro]]&amp;Detalle_OC[[#This Row],[Nom Almacen]]&amp;Detalle_OC[[#This Row],[Material]]&amp;Detalle_OC[[#This Row],[Pedido]]&amp;Detalle_OC[[#This Row],[Posicion]]</f>
        <v>Agricola del Chira PlantaAlmacen Lobo808068451156837560</v>
      </c>
      <c r="B1956" t="s">
        <v>15</v>
      </c>
      <c r="C1956" t="s">
        <v>231</v>
      </c>
      <c r="D1956" s="11">
        <v>45618</v>
      </c>
      <c r="E1956" t="s">
        <v>16</v>
      </c>
      <c r="F1956" t="s">
        <v>12</v>
      </c>
      <c r="G1956">
        <v>808068</v>
      </c>
      <c r="H1956">
        <v>4511568375</v>
      </c>
      <c r="I1956">
        <v>60</v>
      </c>
      <c r="J1956" s="29">
        <v>7</v>
      </c>
      <c r="K1956" s="29" t="s">
        <v>115</v>
      </c>
      <c r="L1956" t="str">
        <f>IFERROR(VLOOKUP(Detalle_OC[[#This Row],[Centro]]&amp;Detalle_OC[[#This Row],[Nro Almacen]],Almacen!A:D,4,FALSE),"")</f>
        <v>Almacen Lobo</v>
      </c>
    </row>
    <row r="1957" spans="1:12" x14ac:dyDescent="0.3">
      <c r="A1957" s="29" t="str">
        <f>Detalle_OC[[#This Row],[Centro]]&amp;Detalle_OC[[#This Row],[Nom Almacen]]&amp;Detalle_OC[[#This Row],[Material]]&amp;Detalle_OC[[#This Row],[Pedido]]&amp;Detalle_OC[[#This Row],[Posicion]]</f>
        <v>Agricola del Chira PlantaMontelima808068451156837570</v>
      </c>
      <c r="B1957" t="s">
        <v>15</v>
      </c>
      <c r="C1957" t="s">
        <v>231</v>
      </c>
      <c r="D1957" s="11">
        <v>45609</v>
      </c>
      <c r="E1957" t="s">
        <v>16</v>
      </c>
      <c r="F1957" t="s">
        <v>12</v>
      </c>
      <c r="G1957">
        <v>808068</v>
      </c>
      <c r="H1957">
        <v>4511568375</v>
      </c>
      <c r="I1957">
        <v>70</v>
      </c>
      <c r="J1957" s="29">
        <v>1</v>
      </c>
      <c r="K1957" s="29" t="s">
        <v>115</v>
      </c>
      <c r="L1957" t="str">
        <f>IFERROR(VLOOKUP(Detalle_OC[[#This Row],[Centro]]&amp;Detalle_OC[[#This Row],[Nro Almacen]],Almacen!A:D,4,FALSE),"")</f>
        <v>Montelima</v>
      </c>
    </row>
    <row r="1958" spans="1:12" x14ac:dyDescent="0.3">
      <c r="A1958" s="29" t="str">
        <f>Detalle_OC[[#This Row],[Centro]]&amp;Detalle_OC[[#This Row],[Nom Almacen]]&amp;Detalle_OC[[#This Row],[Material]]&amp;Detalle_OC[[#This Row],[Pedido]]&amp;Detalle_OC[[#This Row],[Posicion]]</f>
        <v>Agricola del Chira PlantaMontelima841779451156838730</v>
      </c>
      <c r="B1958" t="s">
        <v>149</v>
      </c>
      <c r="C1958" t="s">
        <v>216</v>
      </c>
      <c r="D1958" s="11">
        <v>45625</v>
      </c>
      <c r="E1958" t="s">
        <v>16</v>
      </c>
      <c r="F1958" t="s">
        <v>12</v>
      </c>
      <c r="G1958">
        <v>841779</v>
      </c>
      <c r="H1958">
        <v>4511568387</v>
      </c>
      <c r="I1958">
        <v>30</v>
      </c>
      <c r="J1958" s="29">
        <v>1</v>
      </c>
      <c r="K1958" s="29" t="s">
        <v>115</v>
      </c>
      <c r="L1958" t="str">
        <f>IFERROR(VLOOKUP(Detalle_OC[[#This Row],[Centro]]&amp;Detalle_OC[[#This Row],[Nro Almacen]],Almacen!A:D,4,FALSE),"")</f>
        <v>Montelima</v>
      </c>
    </row>
    <row r="1959" spans="1:12" x14ac:dyDescent="0.3">
      <c r="A1959" s="29" t="str">
        <f>Detalle_OC[[#This Row],[Centro]]&amp;Detalle_OC[[#This Row],[Nom Almacen]]&amp;Detalle_OC[[#This Row],[Material]]&amp;Detalle_OC[[#This Row],[Pedido]]&amp;Detalle_OC[[#This Row],[Posicion]]</f>
        <v>Sucroalcolera del Chira PlantaMontelima727241451156839410</v>
      </c>
      <c r="B1959" t="s">
        <v>138</v>
      </c>
      <c r="C1959" t="s">
        <v>215</v>
      </c>
      <c r="D1959" s="11">
        <v>45651</v>
      </c>
      <c r="E1959" t="s">
        <v>16</v>
      </c>
      <c r="F1959" t="s">
        <v>85</v>
      </c>
      <c r="G1959">
        <v>727241</v>
      </c>
      <c r="H1959">
        <v>4511568394</v>
      </c>
      <c r="I1959">
        <v>10</v>
      </c>
      <c r="J1959" s="29">
        <v>1</v>
      </c>
      <c r="K1959" s="29" t="s">
        <v>115</v>
      </c>
      <c r="L1959" t="str">
        <f>IFERROR(VLOOKUP(Detalle_OC[[#This Row],[Centro]]&amp;Detalle_OC[[#This Row],[Nro Almacen]],Almacen!A:D,4,FALSE),"")</f>
        <v>Montelima</v>
      </c>
    </row>
    <row r="1960" spans="1:12" x14ac:dyDescent="0.3">
      <c r="A1960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1960" t="s">
        <v>28</v>
      </c>
      <c r="C1960" t="s">
        <v>94</v>
      </c>
      <c r="D1960" s="11">
        <v>45593</v>
      </c>
      <c r="E1960" t="s">
        <v>16</v>
      </c>
      <c r="F1960" t="s">
        <v>85</v>
      </c>
      <c r="G1960" t="s">
        <v>95</v>
      </c>
      <c r="H1960">
        <v>5500024746</v>
      </c>
      <c r="I1960">
        <v>10</v>
      </c>
      <c r="J1960" s="29">
        <v>1</v>
      </c>
      <c r="K1960" s="29" t="s">
        <v>115</v>
      </c>
      <c r="L1960" t="str">
        <f>IFERROR(VLOOKUP(Detalle_OC[[#This Row],[Centro]]&amp;Detalle_OC[[#This Row],[Nro Almacen]],Almacen!A:D,4,FALSE),"")</f>
        <v>Montelima</v>
      </c>
    </row>
    <row r="1961" spans="1:12" x14ac:dyDescent="0.3">
      <c r="A1961" s="29" t="str">
        <f>Detalle_OC[[#This Row],[Centro]]&amp;Detalle_OC[[#This Row],[Nom Almacen]]&amp;Detalle_OC[[#This Row],[Material]]&amp;Detalle_OC[[#This Row],[Pedido]]&amp;Detalle_OC[[#This Row],[Posicion]]</f>
        <v>Agricola del Chira PlantaFERTI LOBO 3721426550002484440</v>
      </c>
      <c r="B1961" t="s">
        <v>28</v>
      </c>
      <c r="C1961" t="s">
        <v>88</v>
      </c>
      <c r="D1961" s="11">
        <v>45593</v>
      </c>
      <c r="E1961" t="s">
        <v>16</v>
      </c>
      <c r="F1961" t="s">
        <v>12</v>
      </c>
      <c r="G1961">
        <v>721426</v>
      </c>
      <c r="H1961">
        <v>5500024844</v>
      </c>
      <c r="I1961">
        <v>40</v>
      </c>
      <c r="J1961" s="29">
        <v>24</v>
      </c>
      <c r="K1961" s="29" t="s">
        <v>115</v>
      </c>
      <c r="L1961" t="str">
        <f>IFERROR(VLOOKUP(Detalle_OC[[#This Row],[Centro]]&amp;Detalle_OC[[#This Row],[Nro Almacen]],Almacen!A:D,4,FALSE),"")</f>
        <v>FERTI LOBO 3</v>
      </c>
    </row>
    <row r="1962" spans="1:12" x14ac:dyDescent="0.3">
      <c r="A1962" s="29" t="str">
        <f>Detalle_OC[[#This Row],[Centro]]&amp;Detalle_OC[[#This Row],[Nom Almacen]]&amp;Detalle_OC[[#This Row],[Material]]&amp;Detalle_OC[[#This Row],[Pedido]]&amp;Detalle_OC[[#This Row],[Posicion]]</f>
        <v>Agricola del Chira PlantaAlmacen Lobo701226550002476610</v>
      </c>
      <c r="B1962" t="s">
        <v>28</v>
      </c>
      <c r="C1962" t="s">
        <v>112</v>
      </c>
      <c r="D1962" s="11">
        <v>45589</v>
      </c>
      <c r="E1962" t="s">
        <v>16</v>
      </c>
      <c r="F1962" t="s">
        <v>12</v>
      </c>
      <c r="G1962">
        <v>701226</v>
      </c>
      <c r="H1962">
        <v>5500024766</v>
      </c>
      <c r="I1962">
        <v>10</v>
      </c>
      <c r="J1962" s="29">
        <v>7</v>
      </c>
      <c r="K1962" s="29" t="s">
        <v>1202</v>
      </c>
      <c r="L1962" t="str">
        <f>IFERROR(VLOOKUP(Detalle_OC[[#This Row],[Centro]]&amp;Detalle_OC[[#This Row],[Nro Almacen]],Almacen!A:D,4,FALSE),"")</f>
        <v>Almacen Lobo</v>
      </c>
    </row>
    <row r="1963" spans="1:12" x14ac:dyDescent="0.3">
      <c r="A1963" s="29" t="str">
        <f>Detalle_OC[[#This Row],[Centro]]&amp;Detalle_OC[[#This Row],[Nom Almacen]]&amp;Detalle_OC[[#This Row],[Material]]&amp;Detalle_OC[[#This Row],[Pedido]]&amp;Detalle_OC[[#This Row],[Posicion]]</f>
        <v>Agricola del Chira PlantaFERTI LOBO 2701226550002476620</v>
      </c>
      <c r="B1963" t="s">
        <v>28</v>
      </c>
      <c r="C1963" t="s">
        <v>112</v>
      </c>
      <c r="D1963" s="11">
        <v>45590</v>
      </c>
      <c r="E1963" t="s">
        <v>16</v>
      </c>
      <c r="F1963" t="s">
        <v>12</v>
      </c>
      <c r="G1963">
        <v>701226</v>
      </c>
      <c r="H1963">
        <v>5500024766</v>
      </c>
      <c r="I1963">
        <v>20</v>
      </c>
      <c r="J1963" s="29">
        <v>23</v>
      </c>
      <c r="K1963" s="29" t="s">
        <v>1202</v>
      </c>
      <c r="L1963" t="str">
        <f>IFERROR(VLOOKUP(Detalle_OC[[#This Row],[Centro]]&amp;Detalle_OC[[#This Row],[Nro Almacen]],Almacen!A:D,4,FALSE),"")</f>
        <v>FERTI LOBO 2</v>
      </c>
    </row>
    <row r="1964" spans="1:12" x14ac:dyDescent="0.3">
      <c r="A1964" s="29" t="str">
        <f>Detalle_OC[[#This Row],[Centro]]&amp;Detalle_OC[[#This Row],[Nom Almacen]]&amp;Detalle_OC[[#This Row],[Material]]&amp;Detalle_OC[[#This Row],[Pedido]]&amp;Detalle_OC[[#This Row],[Posicion]]</f>
        <v>Agricola del Chira PlantaFERTI LOBO 3701226550002476630</v>
      </c>
      <c r="B1964" t="s">
        <v>28</v>
      </c>
      <c r="C1964" t="s">
        <v>112</v>
      </c>
      <c r="D1964" s="11">
        <v>45591</v>
      </c>
      <c r="E1964" t="s">
        <v>16</v>
      </c>
      <c r="F1964" t="s">
        <v>12</v>
      </c>
      <c r="G1964">
        <v>701226</v>
      </c>
      <c r="H1964">
        <v>5500024766</v>
      </c>
      <c r="I1964">
        <v>30</v>
      </c>
      <c r="J1964" s="29">
        <v>24</v>
      </c>
      <c r="K1964" s="29" t="s">
        <v>1202</v>
      </c>
      <c r="L1964" t="str">
        <f>IFERROR(VLOOKUP(Detalle_OC[[#This Row],[Centro]]&amp;Detalle_OC[[#This Row],[Nro Almacen]],Almacen!A:D,4,FALSE),"")</f>
        <v>FERTI LOBO 3</v>
      </c>
    </row>
    <row r="1965" spans="1:12" x14ac:dyDescent="0.3">
      <c r="A1965" s="29" t="str">
        <f>Detalle_OC[[#This Row],[Centro]]&amp;Detalle_OC[[#This Row],[Nom Almacen]]&amp;Detalle_OC[[#This Row],[Material]]&amp;Detalle_OC[[#This Row],[Pedido]]&amp;Detalle_OC[[#This Row],[Posicion]]</f>
        <v>Agricola del Chira PlantaMontelima70075430451156824210</v>
      </c>
      <c r="B1965" t="s">
        <v>151</v>
      </c>
      <c r="C1965" t="s">
        <v>272</v>
      </c>
      <c r="D1965" s="11">
        <v>45657</v>
      </c>
      <c r="E1965" t="s">
        <v>51</v>
      </c>
      <c r="F1965" t="s">
        <v>12</v>
      </c>
      <c r="G1965">
        <v>70075430</v>
      </c>
      <c r="H1965">
        <v>4511568242</v>
      </c>
      <c r="I1965">
        <v>10</v>
      </c>
      <c r="J1965" s="29">
        <v>1</v>
      </c>
      <c r="K1965" s="29" t="s">
        <v>116</v>
      </c>
      <c r="L1965" t="str">
        <f>IFERROR(VLOOKUP(Detalle_OC[[#This Row],[Centro]]&amp;Detalle_OC[[#This Row],[Nro Almacen]],Almacen!A:D,4,FALSE),"")</f>
        <v>Montelima</v>
      </c>
    </row>
    <row r="1966" spans="1:12" x14ac:dyDescent="0.3">
      <c r="A1966" s="29" t="str">
        <f>Detalle_OC[[#This Row],[Centro]]&amp;Detalle_OC[[#This Row],[Nom Almacen]]&amp;Detalle_OC[[#This Row],[Material]]&amp;Detalle_OC[[#This Row],[Pedido]]&amp;Detalle_OC[[#This Row],[Posicion]]</f>
        <v>Agricola del Chira PlantaMontelima70076082451156824220</v>
      </c>
      <c r="B1966" t="s">
        <v>151</v>
      </c>
      <c r="C1966" t="s">
        <v>272</v>
      </c>
      <c r="D1966" s="11">
        <v>45657</v>
      </c>
      <c r="E1966" t="s">
        <v>51</v>
      </c>
      <c r="F1966" t="s">
        <v>12</v>
      </c>
      <c r="G1966">
        <v>70076082</v>
      </c>
      <c r="H1966">
        <v>4511568242</v>
      </c>
      <c r="I1966">
        <v>20</v>
      </c>
      <c r="J1966" s="29">
        <v>1</v>
      </c>
      <c r="K1966" s="29" t="s">
        <v>116</v>
      </c>
      <c r="L1966" t="str">
        <f>IFERROR(VLOOKUP(Detalle_OC[[#This Row],[Centro]]&amp;Detalle_OC[[#This Row],[Nro Almacen]],Almacen!A:D,4,FALSE),"")</f>
        <v>Montelima</v>
      </c>
    </row>
    <row r="1967" spans="1:12" x14ac:dyDescent="0.3">
      <c r="A1967" s="29" t="str">
        <f>Detalle_OC[[#This Row],[Centro]]&amp;Detalle_OC[[#This Row],[Nom Almacen]]&amp;Detalle_OC[[#This Row],[Material]]&amp;Detalle_OC[[#This Row],[Pedido]]&amp;Detalle_OC[[#This Row],[Posicion]]</f>
        <v>Agricola del Chira PlantaMontelima70134645451156824230</v>
      </c>
      <c r="B1967" t="s">
        <v>151</v>
      </c>
      <c r="C1967" t="s">
        <v>272</v>
      </c>
      <c r="D1967" s="11">
        <v>45657</v>
      </c>
      <c r="E1967" t="s">
        <v>51</v>
      </c>
      <c r="F1967" t="s">
        <v>12</v>
      </c>
      <c r="G1967">
        <v>70134645</v>
      </c>
      <c r="H1967">
        <v>4511568242</v>
      </c>
      <c r="I1967">
        <v>30</v>
      </c>
      <c r="J1967" s="29">
        <v>1</v>
      </c>
      <c r="K1967" s="29" t="s">
        <v>116</v>
      </c>
      <c r="L1967" t="str">
        <f>IFERROR(VLOOKUP(Detalle_OC[[#This Row],[Centro]]&amp;Detalle_OC[[#This Row],[Nro Almacen]],Almacen!A:D,4,FALSE),"")</f>
        <v>Montelima</v>
      </c>
    </row>
    <row r="1968" spans="1:12" x14ac:dyDescent="0.3">
      <c r="A1968" s="29" t="str">
        <f>Detalle_OC[[#This Row],[Centro]]&amp;Detalle_OC[[#This Row],[Nom Almacen]]&amp;Detalle_OC[[#This Row],[Material]]&amp;Detalle_OC[[#This Row],[Pedido]]&amp;Detalle_OC[[#This Row],[Posicion]]</f>
        <v>Agricola del Chira PlantaMontelima70134642451156824240</v>
      </c>
      <c r="B1968" t="s">
        <v>151</v>
      </c>
      <c r="C1968" t="s">
        <v>272</v>
      </c>
      <c r="D1968" s="11">
        <v>45657</v>
      </c>
      <c r="E1968" t="s">
        <v>51</v>
      </c>
      <c r="F1968" t="s">
        <v>12</v>
      </c>
      <c r="G1968">
        <v>70134642</v>
      </c>
      <c r="H1968">
        <v>4511568242</v>
      </c>
      <c r="I1968">
        <v>40</v>
      </c>
      <c r="J1968" s="29">
        <v>1</v>
      </c>
      <c r="K1968" s="29" t="s">
        <v>116</v>
      </c>
      <c r="L1968" t="str">
        <f>IFERROR(VLOOKUP(Detalle_OC[[#This Row],[Centro]]&amp;Detalle_OC[[#This Row],[Nro Almacen]],Almacen!A:D,4,FALSE),"")</f>
        <v>Montelima</v>
      </c>
    </row>
    <row r="1969" spans="1:12" x14ac:dyDescent="0.3">
      <c r="A1969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1969" t="s">
        <v>28</v>
      </c>
      <c r="C1969" t="s">
        <v>84</v>
      </c>
      <c r="D1969" s="11">
        <v>45602</v>
      </c>
      <c r="E1969" t="s">
        <v>16</v>
      </c>
      <c r="F1969" t="s">
        <v>85</v>
      </c>
      <c r="G1969">
        <v>801846</v>
      </c>
      <c r="H1969">
        <v>5500022336</v>
      </c>
      <c r="I1969">
        <v>10</v>
      </c>
      <c r="J1969" s="29">
        <v>1</v>
      </c>
      <c r="K1969" s="29" t="s">
        <v>116</v>
      </c>
      <c r="L1969" t="str">
        <f>IFERROR(VLOOKUP(Detalle_OC[[#This Row],[Centro]]&amp;Detalle_OC[[#This Row],[Nro Almacen]],Almacen!A:D,4,FALSE),"")</f>
        <v>Montelima</v>
      </c>
    </row>
    <row r="1970" spans="1:12" x14ac:dyDescent="0.3">
      <c r="A1970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1970" t="s">
        <v>28</v>
      </c>
      <c r="C1970" t="s">
        <v>84</v>
      </c>
      <c r="D1970" s="11">
        <v>45598</v>
      </c>
      <c r="E1970" t="s">
        <v>16</v>
      </c>
      <c r="F1970" t="s">
        <v>85</v>
      </c>
      <c r="G1970">
        <v>806591</v>
      </c>
      <c r="H1970">
        <v>5500022336</v>
      </c>
      <c r="I1970">
        <v>20</v>
      </c>
      <c r="J1970" s="29">
        <v>1</v>
      </c>
      <c r="K1970" s="29" t="s">
        <v>116</v>
      </c>
      <c r="L1970" t="str">
        <f>IFERROR(VLOOKUP(Detalle_OC[[#This Row],[Centro]]&amp;Detalle_OC[[#This Row],[Nro Almacen]],Almacen!A:D,4,FALSE),"")</f>
        <v>Montelima</v>
      </c>
    </row>
    <row r="1971" spans="1:12" x14ac:dyDescent="0.3">
      <c r="A1971" s="29" t="str">
        <f>Detalle_OC[[#This Row],[Centro]]&amp;Detalle_OC[[#This Row],[Nom Almacen]]&amp;Detalle_OC[[#This Row],[Material]]&amp;Detalle_OC[[#This Row],[Pedido]]&amp;Detalle_OC[[#This Row],[Posicion]]</f>
        <v>Sucroalcolera del Chira PlantaMontelima709179550002233630</v>
      </c>
      <c r="B1971" t="s">
        <v>28</v>
      </c>
      <c r="C1971" t="s">
        <v>84</v>
      </c>
      <c r="D1971" s="11">
        <v>45595</v>
      </c>
      <c r="E1971" t="s">
        <v>16</v>
      </c>
      <c r="F1971" t="s">
        <v>85</v>
      </c>
      <c r="G1971">
        <v>709179</v>
      </c>
      <c r="H1971">
        <v>5500022336</v>
      </c>
      <c r="I1971">
        <v>30</v>
      </c>
      <c r="J1971" s="29">
        <v>1</v>
      </c>
      <c r="K1971" s="29" t="s">
        <v>116</v>
      </c>
      <c r="L1971" t="str">
        <f>IFERROR(VLOOKUP(Detalle_OC[[#This Row],[Centro]]&amp;Detalle_OC[[#This Row],[Nro Almacen]],Almacen!A:D,4,FALSE),"")</f>
        <v>Montelima</v>
      </c>
    </row>
    <row r="1972" spans="1:12" x14ac:dyDescent="0.3">
      <c r="A1972" s="29" t="str">
        <f>Detalle_OC[[#This Row],[Centro]]&amp;Detalle_OC[[#This Row],[Nom Almacen]]&amp;Detalle_OC[[#This Row],[Material]]&amp;Detalle_OC[[#This Row],[Pedido]]&amp;Detalle_OC[[#This Row],[Posicion]]</f>
        <v>Agricola del Chira PlantaMontelima709179550002233820</v>
      </c>
      <c r="B1972" t="s">
        <v>28</v>
      </c>
      <c r="C1972" t="s">
        <v>84</v>
      </c>
      <c r="D1972" s="11">
        <v>45590</v>
      </c>
      <c r="E1972" t="s">
        <v>16</v>
      </c>
      <c r="F1972" t="s">
        <v>12</v>
      </c>
      <c r="G1972">
        <v>709179</v>
      </c>
      <c r="H1972">
        <v>5500022338</v>
      </c>
      <c r="I1972">
        <v>20</v>
      </c>
      <c r="J1972" s="29">
        <v>1</v>
      </c>
      <c r="K1972" s="29" t="s">
        <v>116</v>
      </c>
      <c r="L1972" t="str">
        <f>IFERROR(VLOOKUP(Detalle_OC[[#This Row],[Centro]]&amp;Detalle_OC[[#This Row],[Nro Almacen]],Almacen!A:D,4,FALSE),"")</f>
        <v>Montelima</v>
      </c>
    </row>
    <row r="1973" spans="1:12" x14ac:dyDescent="0.3">
      <c r="A1973" s="29" t="str">
        <f>Detalle_OC[[#This Row],[Centro]]&amp;Detalle_OC[[#This Row],[Nom Almacen]]&amp;Detalle_OC[[#This Row],[Material]]&amp;Detalle_OC[[#This Row],[Pedido]]&amp;Detalle_OC[[#This Row],[Posicion]]</f>
        <v>Agricola del Chira PlantaMontelima70084357550002468140</v>
      </c>
      <c r="B1973" t="s">
        <v>28</v>
      </c>
      <c r="C1973" t="s">
        <v>84</v>
      </c>
      <c r="D1973" s="11">
        <v>45590</v>
      </c>
      <c r="E1973" t="s">
        <v>16</v>
      </c>
      <c r="F1973" t="s">
        <v>12</v>
      </c>
      <c r="G1973">
        <v>70084357</v>
      </c>
      <c r="H1973">
        <v>5500024681</v>
      </c>
      <c r="I1973">
        <v>40</v>
      </c>
      <c r="J1973" s="29">
        <v>1</v>
      </c>
      <c r="K1973" s="29" t="s">
        <v>116</v>
      </c>
      <c r="L1973" t="str">
        <f>IFERROR(VLOOKUP(Detalle_OC[[#This Row],[Centro]]&amp;Detalle_OC[[#This Row],[Nro Almacen]],Almacen!A:D,4,FALSE),"")</f>
        <v>Montelima</v>
      </c>
    </row>
    <row r="1974" spans="1:12" x14ac:dyDescent="0.3">
      <c r="A1974" s="29" t="str">
        <f>Detalle_OC[[#This Row],[Centro]]&amp;Detalle_OC[[#This Row],[Nom Almacen]]&amp;Detalle_OC[[#This Row],[Material]]&amp;Detalle_OC[[#This Row],[Pedido]]&amp;Detalle_OC[[#This Row],[Posicion]]</f>
        <v>Agricola del Chira PlantaMontelima70084360550002468150</v>
      </c>
      <c r="B1974" t="s">
        <v>28</v>
      </c>
      <c r="C1974" t="s">
        <v>84</v>
      </c>
      <c r="D1974" s="11">
        <v>45590</v>
      </c>
      <c r="E1974" t="s">
        <v>16</v>
      </c>
      <c r="F1974" t="s">
        <v>12</v>
      </c>
      <c r="G1974">
        <v>70084360</v>
      </c>
      <c r="H1974">
        <v>5500024681</v>
      </c>
      <c r="I1974">
        <v>50</v>
      </c>
      <c r="J1974" s="29">
        <v>1</v>
      </c>
      <c r="K1974" s="29" t="s">
        <v>116</v>
      </c>
      <c r="L1974" t="str">
        <f>IFERROR(VLOOKUP(Detalle_OC[[#This Row],[Centro]]&amp;Detalle_OC[[#This Row],[Nro Almacen]],Almacen!A:D,4,FALSE),"")</f>
        <v>Montelima</v>
      </c>
    </row>
    <row r="1975" spans="1:12" x14ac:dyDescent="0.3">
      <c r="A1975" s="29" t="str">
        <f>Detalle_OC[[#This Row],[Centro]]&amp;Detalle_OC[[#This Row],[Nom Almacen]]&amp;Detalle_OC[[#This Row],[Material]]&amp;Detalle_OC[[#This Row],[Pedido]]&amp;Detalle_OC[[#This Row],[Posicion]]</f>
        <v>Agricola del Chira PlantaMontelima70084371550002468180</v>
      </c>
      <c r="B1975" t="s">
        <v>28</v>
      </c>
      <c r="C1975" t="s">
        <v>84</v>
      </c>
      <c r="D1975" s="11">
        <v>45590</v>
      </c>
      <c r="E1975" t="s">
        <v>16</v>
      </c>
      <c r="F1975" t="s">
        <v>12</v>
      </c>
      <c r="G1975">
        <v>70084371</v>
      </c>
      <c r="H1975">
        <v>5500024681</v>
      </c>
      <c r="I1975">
        <v>80</v>
      </c>
      <c r="J1975" s="29">
        <v>1</v>
      </c>
      <c r="K1975" s="29" t="s">
        <v>116</v>
      </c>
      <c r="L1975" t="str">
        <f>IFERROR(VLOOKUP(Detalle_OC[[#This Row],[Centro]]&amp;Detalle_OC[[#This Row],[Nro Almacen]],Almacen!A:D,4,FALSE),"")</f>
        <v>Montelima</v>
      </c>
    </row>
    <row r="1976" spans="1:12" x14ac:dyDescent="0.3">
      <c r="A1976" s="29" t="str">
        <f>Detalle_OC[[#This Row],[Centro]]&amp;Detalle_OC[[#This Row],[Nom Almacen]]&amp;Detalle_OC[[#This Row],[Material]]&amp;Detalle_OC[[#This Row],[Pedido]]&amp;Detalle_OC[[#This Row],[Posicion]]</f>
        <v>Sucroalcolera del Chira PlantaMontelima70132902550002489250</v>
      </c>
      <c r="B1976" t="s">
        <v>28</v>
      </c>
      <c r="C1976" t="s">
        <v>52</v>
      </c>
      <c r="D1976" s="11">
        <v>45605</v>
      </c>
      <c r="E1976" t="s">
        <v>16</v>
      </c>
      <c r="F1976" t="s">
        <v>85</v>
      </c>
      <c r="G1976">
        <v>70132902</v>
      </c>
      <c r="H1976">
        <v>5500024892</v>
      </c>
      <c r="I1976">
        <v>50</v>
      </c>
      <c r="J1976" s="29">
        <v>1</v>
      </c>
      <c r="K1976" s="29" t="s">
        <v>116</v>
      </c>
      <c r="L1976" t="str">
        <f>IFERROR(VLOOKUP(Detalle_OC[[#This Row],[Centro]]&amp;Detalle_OC[[#This Row],[Nro Almacen]],Almacen!A:D,4,FALSE),"")</f>
        <v>Montelima</v>
      </c>
    </row>
    <row r="1977" spans="1:12" x14ac:dyDescent="0.3">
      <c r="A1977" s="29" t="str">
        <f>Detalle_OC[[#This Row],[Centro]]&amp;Detalle_OC[[#This Row],[Nom Almacen]]&amp;Detalle_OC[[#This Row],[Material]]&amp;Detalle_OC[[#This Row],[Pedido]]&amp;Detalle_OC[[#This Row],[Posicion]]</f>
        <v>Sucroalcolera del Chira PlantaMontelima70025263451156809710</v>
      </c>
      <c r="B1977" t="s">
        <v>138</v>
      </c>
      <c r="C1977" t="s">
        <v>197</v>
      </c>
      <c r="D1977" s="11">
        <v>45644</v>
      </c>
      <c r="E1977" t="s">
        <v>16</v>
      </c>
      <c r="F1977" t="s">
        <v>85</v>
      </c>
      <c r="G1977">
        <v>70025263</v>
      </c>
      <c r="H1977">
        <v>4511568097</v>
      </c>
      <c r="I1977">
        <v>10</v>
      </c>
      <c r="J1977" s="29">
        <v>1</v>
      </c>
      <c r="K1977" s="29" t="s">
        <v>117</v>
      </c>
      <c r="L1977" t="str">
        <f>IFERROR(VLOOKUP(Detalle_OC[[#This Row],[Centro]]&amp;Detalle_OC[[#This Row],[Nro Almacen]],Almacen!A:D,4,FALSE),"")</f>
        <v>Montelima</v>
      </c>
    </row>
    <row r="1978" spans="1:12" x14ac:dyDescent="0.3">
      <c r="A1978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fábrica853977451156809720</v>
      </c>
      <c r="B1978" t="s">
        <v>142</v>
      </c>
      <c r="C1978" t="s">
        <v>197</v>
      </c>
      <c r="D1978" s="11">
        <v>45644</v>
      </c>
      <c r="E1978" t="s">
        <v>16</v>
      </c>
      <c r="F1978" t="s">
        <v>85</v>
      </c>
      <c r="G1978">
        <v>853977</v>
      </c>
      <c r="H1978">
        <v>4511568097</v>
      </c>
      <c r="I1978">
        <v>20</v>
      </c>
      <c r="J1978" s="29">
        <v>9</v>
      </c>
      <c r="K1978" s="29" t="s">
        <v>117</v>
      </c>
      <c r="L1978" t="str">
        <f>IFERROR(VLOOKUP(Detalle_OC[[#This Row],[Centro]]&amp;Detalle_OC[[#This Row],[Nro Almacen]],Almacen!A:D,4,FALSE),"")</f>
        <v>Parada fábrica</v>
      </c>
    </row>
    <row r="1979" spans="1:12" x14ac:dyDescent="0.3">
      <c r="A1979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fábrica865749451156809730</v>
      </c>
      <c r="B1979" t="s">
        <v>142</v>
      </c>
      <c r="C1979" t="s">
        <v>197</v>
      </c>
      <c r="D1979" s="11">
        <v>45646</v>
      </c>
      <c r="E1979" t="s">
        <v>16</v>
      </c>
      <c r="F1979" t="s">
        <v>85</v>
      </c>
      <c r="G1979">
        <v>865749</v>
      </c>
      <c r="H1979">
        <v>4511568097</v>
      </c>
      <c r="I1979">
        <v>30</v>
      </c>
      <c r="J1979" s="29">
        <v>9</v>
      </c>
      <c r="K1979" s="29" t="s">
        <v>117</v>
      </c>
      <c r="L1979" t="str">
        <f>IFERROR(VLOOKUP(Detalle_OC[[#This Row],[Centro]]&amp;Detalle_OC[[#This Row],[Nro Almacen]],Almacen!A:D,4,FALSE),"")</f>
        <v>Parada fábrica</v>
      </c>
    </row>
    <row r="1980" spans="1:12" x14ac:dyDescent="0.3">
      <c r="A1980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fábrica865760451156809740</v>
      </c>
      <c r="B1980" t="s">
        <v>142</v>
      </c>
      <c r="C1980" t="s">
        <v>197</v>
      </c>
      <c r="D1980" s="11">
        <v>45645</v>
      </c>
      <c r="E1980" t="s">
        <v>16</v>
      </c>
      <c r="F1980" t="s">
        <v>85</v>
      </c>
      <c r="G1980">
        <v>865760</v>
      </c>
      <c r="H1980">
        <v>4511568097</v>
      </c>
      <c r="I1980">
        <v>40</v>
      </c>
      <c r="J1980" s="29">
        <v>9</v>
      </c>
      <c r="K1980" s="29" t="s">
        <v>117</v>
      </c>
      <c r="L1980" t="str">
        <f>IFERROR(VLOOKUP(Detalle_OC[[#This Row],[Centro]]&amp;Detalle_OC[[#This Row],[Nro Almacen]],Almacen!A:D,4,FALSE),"")</f>
        <v>Parada fábrica</v>
      </c>
    </row>
    <row r="1981" spans="1:12" x14ac:dyDescent="0.3">
      <c r="A1981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fábrica872001451156809750</v>
      </c>
      <c r="B1981" t="s">
        <v>142</v>
      </c>
      <c r="C1981" t="s">
        <v>197</v>
      </c>
      <c r="D1981" s="11">
        <v>45645</v>
      </c>
      <c r="E1981" t="s">
        <v>16</v>
      </c>
      <c r="F1981" t="s">
        <v>85</v>
      </c>
      <c r="G1981">
        <v>872001</v>
      </c>
      <c r="H1981">
        <v>4511568097</v>
      </c>
      <c r="I1981">
        <v>50</v>
      </c>
      <c r="J1981" s="29">
        <v>9</v>
      </c>
      <c r="K1981" s="29" t="s">
        <v>117</v>
      </c>
      <c r="L1981" t="str">
        <f>IFERROR(VLOOKUP(Detalle_OC[[#This Row],[Centro]]&amp;Detalle_OC[[#This Row],[Nro Almacen]],Almacen!A:D,4,FALSE),"")</f>
        <v>Parada fábrica</v>
      </c>
    </row>
    <row r="1982" spans="1:12" x14ac:dyDescent="0.3">
      <c r="A1982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fábrica899370451156809760</v>
      </c>
      <c r="B1982" t="s">
        <v>142</v>
      </c>
      <c r="C1982" t="s">
        <v>197</v>
      </c>
      <c r="D1982" s="11">
        <v>45644</v>
      </c>
      <c r="E1982" t="s">
        <v>16</v>
      </c>
      <c r="F1982" t="s">
        <v>85</v>
      </c>
      <c r="G1982">
        <v>899370</v>
      </c>
      <c r="H1982">
        <v>4511568097</v>
      </c>
      <c r="I1982">
        <v>60</v>
      </c>
      <c r="J1982" s="29">
        <v>9</v>
      </c>
      <c r="K1982" s="29" t="s">
        <v>117</v>
      </c>
      <c r="L1982" t="str">
        <f>IFERROR(VLOOKUP(Detalle_OC[[#This Row],[Centro]]&amp;Detalle_OC[[#This Row],[Nro Almacen]],Almacen!A:D,4,FALSE),"")</f>
        <v>Parada fábrica</v>
      </c>
    </row>
    <row r="1983" spans="1:12" x14ac:dyDescent="0.3">
      <c r="A1983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fábrica70025263451156809770</v>
      </c>
      <c r="B1983" t="s">
        <v>142</v>
      </c>
      <c r="C1983" t="s">
        <v>197</v>
      </c>
      <c r="D1983" s="11">
        <v>45645</v>
      </c>
      <c r="E1983" t="s">
        <v>16</v>
      </c>
      <c r="F1983" t="s">
        <v>85</v>
      </c>
      <c r="G1983">
        <v>70025263</v>
      </c>
      <c r="H1983">
        <v>4511568097</v>
      </c>
      <c r="I1983">
        <v>70</v>
      </c>
      <c r="J1983" s="29">
        <v>9</v>
      </c>
      <c r="K1983" s="29" t="s">
        <v>117</v>
      </c>
      <c r="L1983" t="str">
        <f>IFERROR(VLOOKUP(Detalle_OC[[#This Row],[Centro]]&amp;Detalle_OC[[#This Row],[Nro Almacen]],Almacen!A:D,4,FALSE),"")</f>
        <v>Parada fábrica</v>
      </c>
    </row>
    <row r="1984" spans="1:12" x14ac:dyDescent="0.3">
      <c r="A1984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fábrica70072995451156809780</v>
      </c>
      <c r="B1984" t="s">
        <v>142</v>
      </c>
      <c r="C1984" t="s">
        <v>197</v>
      </c>
      <c r="D1984" s="11">
        <v>45646</v>
      </c>
      <c r="E1984" t="s">
        <v>16</v>
      </c>
      <c r="F1984" t="s">
        <v>85</v>
      </c>
      <c r="G1984">
        <v>70072995</v>
      </c>
      <c r="H1984">
        <v>4511568097</v>
      </c>
      <c r="I1984">
        <v>80</v>
      </c>
      <c r="J1984" s="29">
        <v>9</v>
      </c>
      <c r="K1984" s="29" t="s">
        <v>117</v>
      </c>
      <c r="L1984" t="str">
        <f>IFERROR(VLOOKUP(Detalle_OC[[#This Row],[Centro]]&amp;Detalle_OC[[#This Row],[Nro Almacen]],Almacen!A:D,4,FALSE),"")</f>
        <v>Parada fábrica</v>
      </c>
    </row>
    <row r="1985" spans="1:12" x14ac:dyDescent="0.3">
      <c r="A1985" s="29" t="str">
        <f>Detalle_OC[[#This Row],[Centro]]&amp;Detalle_OC[[#This Row],[Nom Almacen]]&amp;Detalle_OC[[#This Row],[Material]]&amp;Detalle_OC[[#This Row],[Pedido]]&amp;Detalle_OC[[#This Row],[Posicion]]</f>
        <v>Sucroalcolera del Chira PlantaMontelima70133682451156816410</v>
      </c>
      <c r="B1985" t="s">
        <v>138</v>
      </c>
      <c r="C1985" t="s">
        <v>14</v>
      </c>
      <c r="D1985" s="11">
        <v>45602</v>
      </c>
      <c r="E1985" t="s">
        <v>16</v>
      </c>
      <c r="F1985" t="s">
        <v>85</v>
      </c>
      <c r="G1985">
        <v>70133682</v>
      </c>
      <c r="H1985">
        <v>4511568164</v>
      </c>
      <c r="I1985">
        <v>10</v>
      </c>
      <c r="J1985" s="29">
        <v>1</v>
      </c>
      <c r="K1985" s="29" t="s">
        <v>117</v>
      </c>
      <c r="L1985" t="str">
        <f>IFERROR(VLOOKUP(Detalle_OC[[#This Row],[Centro]]&amp;Detalle_OC[[#This Row],[Nro Almacen]],Almacen!A:D,4,FALSE),"")</f>
        <v>Montelima</v>
      </c>
    </row>
    <row r="1986" spans="1:12" x14ac:dyDescent="0.3">
      <c r="A1986" s="29" t="str">
        <f>Detalle_OC[[#This Row],[Centro]]&amp;Detalle_OC[[#This Row],[Nom Almacen]]&amp;Detalle_OC[[#This Row],[Material]]&amp;Detalle_OC[[#This Row],[Pedido]]&amp;Detalle_OC[[#This Row],[Posicion]]</f>
        <v>Sucroalcolera del Chira PlantaMontelima70133970451156816610</v>
      </c>
      <c r="B1986" t="s">
        <v>138</v>
      </c>
      <c r="C1986" t="s">
        <v>215</v>
      </c>
      <c r="D1986" s="11">
        <v>45656</v>
      </c>
      <c r="E1986" t="s">
        <v>16</v>
      </c>
      <c r="F1986" t="s">
        <v>85</v>
      </c>
      <c r="G1986">
        <v>70133970</v>
      </c>
      <c r="H1986">
        <v>4511568166</v>
      </c>
      <c r="I1986">
        <v>10</v>
      </c>
      <c r="J1986" s="29">
        <v>1</v>
      </c>
      <c r="K1986" s="29" t="s">
        <v>117</v>
      </c>
      <c r="L1986" t="str">
        <f>IFERROR(VLOOKUP(Detalle_OC[[#This Row],[Centro]]&amp;Detalle_OC[[#This Row],[Nro Almacen]],Almacen!A:D,4,FALSE),"")</f>
        <v>Montelima</v>
      </c>
    </row>
    <row r="1987" spans="1:12" x14ac:dyDescent="0.3">
      <c r="A1987" s="29" t="str">
        <f>Detalle_OC[[#This Row],[Centro]]&amp;Detalle_OC[[#This Row],[Nom Almacen]]&amp;Detalle_OC[[#This Row],[Material]]&amp;Detalle_OC[[#This Row],[Pedido]]&amp;Detalle_OC[[#This Row],[Posicion]]</f>
        <v>Sucroalcolera del Chira PlantaMontelima70023628451156816620</v>
      </c>
      <c r="B1987" t="s">
        <v>15</v>
      </c>
      <c r="C1987" t="s">
        <v>215</v>
      </c>
      <c r="D1987" s="11">
        <v>45656</v>
      </c>
      <c r="E1987" t="s">
        <v>16</v>
      </c>
      <c r="F1987" t="s">
        <v>85</v>
      </c>
      <c r="G1987">
        <v>70023628</v>
      </c>
      <c r="H1987">
        <v>4511568166</v>
      </c>
      <c r="I1987">
        <v>20</v>
      </c>
      <c r="J1987" s="29">
        <v>1</v>
      </c>
      <c r="K1987" s="29" t="s">
        <v>117</v>
      </c>
      <c r="L1987" t="str">
        <f>IFERROR(VLOOKUP(Detalle_OC[[#This Row],[Centro]]&amp;Detalle_OC[[#This Row],[Nro Almacen]],Almacen!A:D,4,FALSE),"")</f>
        <v>Montelima</v>
      </c>
    </row>
    <row r="1988" spans="1:12" x14ac:dyDescent="0.3">
      <c r="A1988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1988" t="s">
        <v>28</v>
      </c>
      <c r="C1988" t="s">
        <v>54</v>
      </c>
      <c r="D1988" s="11">
        <v>45589</v>
      </c>
      <c r="E1988" t="s">
        <v>16</v>
      </c>
      <c r="F1988" t="s">
        <v>12</v>
      </c>
      <c r="G1988">
        <v>70100392</v>
      </c>
      <c r="H1988">
        <v>5500024751</v>
      </c>
      <c r="I1988">
        <v>20</v>
      </c>
      <c r="J1988" s="29">
        <v>2</v>
      </c>
      <c r="K1988" s="29" t="s">
        <v>117</v>
      </c>
      <c r="L1988" t="str">
        <f>IFERROR(VLOOKUP(Detalle_OC[[#This Row],[Centro]]&amp;Detalle_OC[[#This Row],[Nro Almacen]],Almacen!A:D,4,FALSE),"")</f>
        <v>La Huaca</v>
      </c>
    </row>
    <row r="1989" spans="1:12" x14ac:dyDescent="0.3">
      <c r="A1989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1989" t="s">
        <v>28</v>
      </c>
      <c r="C1989" t="s">
        <v>54</v>
      </c>
      <c r="D1989" s="11">
        <v>45589</v>
      </c>
      <c r="E1989" t="s">
        <v>16</v>
      </c>
      <c r="F1989" t="s">
        <v>12</v>
      </c>
      <c r="G1989">
        <v>70100392</v>
      </c>
      <c r="H1989">
        <v>5500024751</v>
      </c>
      <c r="I1989">
        <v>40</v>
      </c>
      <c r="J1989" s="29">
        <v>7</v>
      </c>
      <c r="K1989" s="29" t="s">
        <v>117</v>
      </c>
      <c r="L1989" t="str">
        <f>IFERROR(VLOOKUP(Detalle_OC[[#This Row],[Centro]]&amp;Detalle_OC[[#This Row],[Nro Almacen]],Almacen!A:D,4,FALSE),"")</f>
        <v>Almacen Lobo</v>
      </c>
    </row>
    <row r="1990" spans="1:12" x14ac:dyDescent="0.3">
      <c r="A1990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fábrica805577451156795410</v>
      </c>
      <c r="B1990" t="s">
        <v>142</v>
      </c>
      <c r="C1990" t="s">
        <v>1142</v>
      </c>
      <c r="D1990" s="11">
        <v>45656</v>
      </c>
      <c r="E1990" t="s">
        <v>16</v>
      </c>
      <c r="F1990" t="s">
        <v>85</v>
      </c>
      <c r="G1990">
        <v>805577</v>
      </c>
      <c r="H1990">
        <v>4511567954</v>
      </c>
      <c r="I1990">
        <v>10</v>
      </c>
      <c r="J1990" s="29">
        <v>9</v>
      </c>
      <c r="K1990" s="29" t="s">
        <v>118</v>
      </c>
      <c r="L1990" t="str">
        <f>IFERROR(VLOOKUP(Detalle_OC[[#This Row],[Centro]]&amp;Detalle_OC[[#This Row],[Nro Almacen]],Almacen!A:D,4,FALSE),"")</f>
        <v>Parada fábrica</v>
      </c>
    </row>
    <row r="1991" spans="1:12" x14ac:dyDescent="0.3">
      <c r="A1991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fábrica859466451156795420</v>
      </c>
      <c r="B1991" t="s">
        <v>142</v>
      </c>
      <c r="C1991" t="s">
        <v>1142</v>
      </c>
      <c r="D1991" s="11">
        <v>45656</v>
      </c>
      <c r="E1991" t="s">
        <v>16</v>
      </c>
      <c r="F1991" t="s">
        <v>85</v>
      </c>
      <c r="G1991">
        <v>859466</v>
      </c>
      <c r="H1991">
        <v>4511567954</v>
      </c>
      <c r="I1991">
        <v>20</v>
      </c>
      <c r="J1991" s="29">
        <v>9</v>
      </c>
      <c r="K1991" s="29" t="s">
        <v>118</v>
      </c>
      <c r="L1991" t="str">
        <f>IFERROR(VLOOKUP(Detalle_OC[[#This Row],[Centro]]&amp;Detalle_OC[[#This Row],[Nro Almacen]],Almacen!A:D,4,FALSE),"")</f>
        <v>Parada fábrica</v>
      </c>
    </row>
    <row r="1992" spans="1:12" x14ac:dyDescent="0.3">
      <c r="A1992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fábrica860808451156795430</v>
      </c>
      <c r="B1992" t="s">
        <v>142</v>
      </c>
      <c r="C1992" t="s">
        <v>1142</v>
      </c>
      <c r="D1992" s="11">
        <v>45656</v>
      </c>
      <c r="E1992" t="s">
        <v>16</v>
      </c>
      <c r="F1992" t="s">
        <v>85</v>
      </c>
      <c r="G1992">
        <v>860808</v>
      </c>
      <c r="H1992">
        <v>4511567954</v>
      </c>
      <c r="I1992">
        <v>30</v>
      </c>
      <c r="J1992" s="29">
        <v>9</v>
      </c>
      <c r="K1992" s="29" t="s">
        <v>118</v>
      </c>
      <c r="L1992" t="str">
        <f>IFERROR(VLOOKUP(Detalle_OC[[#This Row],[Centro]]&amp;Detalle_OC[[#This Row],[Nro Almacen]],Almacen!A:D,4,FALSE),"")</f>
        <v>Parada fábrica</v>
      </c>
    </row>
    <row r="1993" spans="1:12" x14ac:dyDescent="0.3">
      <c r="A1993" s="29" t="str">
        <f>Detalle_OC[[#This Row],[Centro]]&amp;Detalle_OC[[#This Row],[Nom Almacen]]&amp;Detalle_OC[[#This Row],[Material]]&amp;Detalle_OC[[#This Row],[Pedido]]&amp;Detalle_OC[[#This Row],[Posicion]]</f>
        <v>Agricola del Chira PlantaAlmacen Lobo831066451156796710</v>
      </c>
      <c r="B1993" t="s">
        <v>149</v>
      </c>
      <c r="C1993" t="s">
        <v>82</v>
      </c>
      <c r="D1993" s="11">
        <v>45625</v>
      </c>
      <c r="E1993" t="s">
        <v>16</v>
      </c>
      <c r="F1993" t="s">
        <v>12</v>
      </c>
      <c r="G1993">
        <v>831066</v>
      </c>
      <c r="H1993">
        <v>4511567967</v>
      </c>
      <c r="I1993">
        <v>10</v>
      </c>
      <c r="J1993" s="29">
        <v>7</v>
      </c>
      <c r="K1993" s="29" t="s">
        <v>118</v>
      </c>
      <c r="L1993" t="str">
        <f>IFERROR(VLOOKUP(Detalle_OC[[#This Row],[Centro]]&amp;Detalle_OC[[#This Row],[Nro Almacen]],Almacen!A:D,4,FALSE),"")</f>
        <v>Almacen Lobo</v>
      </c>
    </row>
    <row r="1994" spans="1:12" x14ac:dyDescent="0.3">
      <c r="A1994" s="29" t="str">
        <f>Detalle_OC[[#This Row],[Centro]]&amp;Detalle_OC[[#This Row],[Nom Almacen]]&amp;Detalle_OC[[#This Row],[Material]]&amp;Detalle_OC[[#This Row],[Pedido]]&amp;Detalle_OC[[#This Row],[Posicion]]</f>
        <v>Agricola del Chira PlantaMontelima70010903451156796720</v>
      </c>
      <c r="B1994" t="s">
        <v>149</v>
      </c>
      <c r="C1994" t="s">
        <v>82</v>
      </c>
      <c r="D1994" s="11">
        <v>45600</v>
      </c>
      <c r="E1994" t="s">
        <v>16</v>
      </c>
      <c r="F1994" t="s">
        <v>12</v>
      </c>
      <c r="G1994">
        <v>70010903</v>
      </c>
      <c r="H1994">
        <v>4511567967</v>
      </c>
      <c r="I1994">
        <v>20</v>
      </c>
      <c r="J1994" s="29">
        <v>1</v>
      </c>
      <c r="K1994" s="29" t="s">
        <v>118</v>
      </c>
      <c r="L1994" t="str">
        <f>IFERROR(VLOOKUP(Detalle_OC[[#This Row],[Centro]]&amp;Detalle_OC[[#This Row],[Nro Almacen]],Almacen!A:D,4,FALSE),"")</f>
        <v>Montelima</v>
      </c>
    </row>
    <row r="1995" spans="1:12" x14ac:dyDescent="0.3">
      <c r="A1995" s="29" t="str">
        <f>Detalle_OC[[#This Row],[Centro]]&amp;Detalle_OC[[#This Row],[Nom Almacen]]&amp;Detalle_OC[[#This Row],[Material]]&amp;Detalle_OC[[#This Row],[Pedido]]&amp;Detalle_OC[[#This Row],[Posicion]]</f>
        <v>Agricola del Chira PlantaMontelima70039308451156796730</v>
      </c>
      <c r="B1995" t="s">
        <v>149</v>
      </c>
      <c r="C1995" t="s">
        <v>82</v>
      </c>
      <c r="D1995" s="11">
        <v>45600</v>
      </c>
      <c r="E1995" t="s">
        <v>16</v>
      </c>
      <c r="F1995" t="s">
        <v>12</v>
      </c>
      <c r="G1995">
        <v>70039308</v>
      </c>
      <c r="H1995">
        <v>4511567967</v>
      </c>
      <c r="I1995">
        <v>30</v>
      </c>
      <c r="J1995" s="29">
        <v>1</v>
      </c>
      <c r="K1995" s="29" t="s">
        <v>118</v>
      </c>
      <c r="L1995" t="str">
        <f>IFERROR(VLOOKUP(Detalle_OC[[#This Row],[Centro]]&amp;Detalle_OC[[#This Row],[Nro Almacen]],Almacen!A:D,4,FALSE),"")</f>
        <v>Montelima</v>
      </c>
    </row>
    <row r="1996" spans="1:12" x14ac:dyDescent="0.3">
      <c r="A1996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fábrica725425451156798310</v>
      </c>
      <c r="B1996" t="s">
        <v>142</v>
      </c>
      <c r="C1996" t="s">
        <v>168</v>
      </c>
      <c r="D1996" s="11">
        <v>45646</v>
      </c>
      <c r="E1996" t="s">
        <v>16</v>
      </c>
      <c r="F1996" t="s">
        <v>85</v>
      </c>
      <c r="G1996">
        <v>725425</v>
      </c>
      <c r="H1996">
        <v>4511567983</v>
      </c>
      <c r="I1996">
        <v>10</v>
      </c>
      <c r="J1996" s="29">
        <v>9</v>
      </c>
      <c r="K1996" s="29" t="s">
        <v>118</v>
      </c>
      <c r="L1996" t="str">
        <f>IFERROR(VLOOKUP(Detalle_OC[[#This Row],[Centro]]&amp;Detalle_OC[[#This Row],[Nro Almacen]],Almacen!A:D,4,FALSE),"")</f>
        <v>Parada fábrica</v>
      </c>
    </row>
    <row r="1997" spans="1:12" x14ac:dyDescent="0.3">
      <c r="A1997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fábrica818264451156798320</v>
      </c>
      <c r="B1997" t="s">
        <v>142</v>
      </c>
      <c r="C1997" t="s">
        <v>168</v>
      </c>
      <c r="D1997" s="11">
        <v>45656</v>
      </c>
      <c r="E1997" t="s">
        <v>16</v>
      </c>
      <c r="F1997" t="s">
        <v>85</v>
      </c>
      <c r="G1997">
        <v>818264</v>
      </c>
      <c r="H1997">
        <v>4511567983</v>
      </c>
      <c r="I1997">
        <v>20</v>
      </c>
      <c r="J1997" s="29">
        <v>9</v>
      </c>
      <c r="K1997" s="29" t="s">
        <v>118</v>
      </c>
      <c r="L1997" t="str">
        <f>IFERROR(VLOOKUP(Detalle_OC[[#This Row],[Centro]]&amp;Detalle_OC[[#This Row],[Nro Almacen]],Almacen!A:D,4,FALSE),"")</f>
        <v>Parada fábrica</v>
      </c>
    </row>
    <row r="1998" spans="1:12" x14ac:dyDescent="0.3">
      <c r="A1998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fábrica854661451156798330</v>
      </c>
      <c r="B1998" t="s">
        <v>142</v>
      </c>
      <c r="C1998" t="s">
        <v>168</v>
      </c>
      <c r="D1998" s="11">
        <v>45656</v>
      </c>
      <c r="E1998" t="s">
        <v>16</v>
      </c>
      <c r="F1998" t="s">
        <v>85</v>
      </c>
      <c r="G1998">
        <v>854661</v>
      </c>
      <c r="H1998">
        <v>4511567983</v>
      </c>
      <c r="I1998">
        <v>30</v>
      </c>
      <c r="J1998" s="29">
        <v>9</v>
      </c>
      <c r="K1998" s="29" t="s">
        <v>118</v>
      </c>
      <c r="L1998" t="str">
        <f>IFERROR(VLOOKUP(Detalle_OC[[#This Row],[Centro]]&amp;Detalle_OC[[#This Row],[Nro Almacen]],Almacen!A:D,4,FALSE),"")</f>
        <v>Parada fábrica</v>
      </c>
    </row>
    <row r="1999" spans="1:12" x14ac:dyDescent="0.3">
      <c r="A1999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fábrica70002187451156798340</v>
      </c>
      <c r="B1999" t="s">
        <v>142</v>
      </c>
      <c r="C1999" t="s">
        <v>168</v>
      </c>
      <c r="D1999" s="11">
        <v>45656</v>
      </c>
      <c r="E1999" t="s">
        <v>16</v>
      </c>
      <c r="F1999" t="s">
        <v>85</v>
      </c>
      <c r="G1999">
        <v>70002187</v>
      </c>
      <c r="H1999">
        <v>4511567983</v>
      </c>
      <c r="I1999">
        <v>40</v>
      </c>
      <c r="J1999" s="29">
        <v>9</v>
      </c>
      <c r="K1999" s="29" t="s">
        <v>118</v>
      </c>
      <c r="L1999" t="str">
        <f>IFERROR(VLOOKUP(Detalle_OC[[#This Row],[Centro]]&amp;Detalle_OC[[#This Row],[Nro Almacen]],Almacen!A:D,4,FALSE),"")</f>
        <v>Parada fábrica</v>
      </c>
    </row>
    <row r="2000" spans="1:12" x14ac:dyDescent="0.3">
      <c r="A2000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fábrica70002188451156798350</v>
      </c>
      <c r="B2000" t="s">
        <v>142</v>
      </c>
      <c r="C2000" t="s">
        <v>168</v>
      </c>
      <c r="D2000" s="11">
        <v>45656</v>
      </c>
      <c r="E2000" t="s">
        <v>16</v>
      </c>
      <c r="F2000" t="s">
        <v>85</v>
      </c>
      <c r="G2000">
        <v>70002188</v>
      </c>
      <c r="H2000">
        <v>4511567983</v>
      </c>
      <c r="I2000">
        <v>50</v>
      </c>
      <c r="J2000" s="29">
        <v>9</v>
      </c>
      <c r="K2000" s="29" t="s">
        <v>118</v>
      </c>
      <c r="L2000" t="str">
        <f>IFERROR(VLOOKUP(Detalle_OC[[#This Row],[Centro]]&amp;Detalle_OC[[#This Row],[Nro Almacen]],Almacen!A:D,4,FALSE),"")</f>
        <v>Parada fábrica</v>
      </c>
    </row>
    <row r="2001" spans="1:12" x14ac:dyDescent="0.3">
      <c r="A2001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fábrica854662451156798360</v>
      </c>
      <c r="B2001" t="s">
        <v>142</v>
      </c>
      <c r="C2001" t="s">
        <v>168</v>
      </c>
      <c r="D2001" s="11">
        <v>45656</v>
      </c>
      <c r="E2001" t="s">
        <v>16</v>
      </c>
      <c r="F2001" t="s">
        <v>85</v>
      </c>
      <c r="G2001">
        <v>854662</v>
      </c>
      <c r="H2001">
        <v>4511567983</v>
      </c>
      <c r="I2001">
        <v>60</v>
      </c>
      <c r="J2001" s="29">
        <v>9</v>
      </c>
      <c r="K2001" s="29" t="s">
        <v>118</v>
      </c>
      <c r="L2001" t="str">
        <f>IFERROR(VLOOKUP(Detalle_OC[[#This Row],[Centro]]&amp;Detalle_OC[[#This Row],[Nro Almacen]],Almacen!A:D,4,FALSE),"")</f>
        <v>Parada fábrica</v>
      </c>
    </row>
    <row r="2002" spans="1:12" x14ac:dyDescent="0.3">
      <c r="A2002" s="29" t="str">
        <f>Detalle_OC[[#This Row],[Centro]]&amp;Detalle_OC[[#This Row],[Nom Almacen]]&amp;Detalle_OC[[#This Row],[Material]]&amp;Detalle_OC[[#This Row],[Pedido]]&amp;Detalle_OC[[#This Row],[Posicion]]</f>
        <v>Sucroalcolera del Chira PlantaMontelima865172451156798610</v>
      </c>
      <c r="B2002" t="s">
        <v>138</v>
      </c>
      <c r="C2002" t="s">
        <v>235</v>
      </c>
      <c r="D2002" s="11">
        <v>45625</v>
      </c>
      <c r="E2002" t="s">
        <v>16</v>
      </c>
      <c r="F2002" t="s">
        <v>85</v>
      </c>
      <c r="G2002">
        <v>865172</v>
      </c>
      <c r="H2002">
        <v>4511567986</v>
      </c>
      <c r="I2002">
        <v>10</v>
      </c>
      <c r="J2002" s="29">
        <v>1</v>
      </c>
      <c r="K2002" s="29" t="s">
        <v>118</v>
      </c>
      <c r="L2002" t="str">
        <f>IFERROR(VLOOKUP(Detalle_OC[[#This Row],[Centro]]&amp;Detalle_OC[[#This Row],[Nro Almacen]],Almacen!A:D,4,FALSE),"")</f>
        <v>Montelima</v>
      </c>
    </row>
    <row r="2003" spans="1:12" x14ac:dyDescent="0.3">
      <c r="A2003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fábrica878992451156798640</v>
      </c>
      <c r="B2003" t="s">
        <v>142</v>
      </c>
      <c r="C2003" t="s">
        <v>235</v>
      </c>
      <c r="D2003" s="11">
        <v>45625</v>
      </c>
      <c r="E2003" t="s">
        <v>16</v>
      </c>
      <c r="F2003" t="s">
        <v>85</v>
      </c>
      <c r="G2003">
        <v>878992</v>
      </c>
      <c r="H2003">
        <v>4511567986</v>
      </c>
      <c r="I2003">
        <v>40</v>
      </c>
      <c r="J2003" s="29">
        <v>9</v>
      </c>
      <c r="K2003" s="29" t="s">
        <v>118</v>
      </c>
      <c r="L2003" t="str">
        <f>IFERROR(VLOOKUP(Detalle_OC[[#This Row],[Centro]]&amp;Detalle_OC[[#This Row],[Nro Almacen]],Almacen!A:D,4,FALSE),"")</f>
        <v>Parada fábrica</v>
      </c>
    </row>
    <row r="2004" spans="1:12" x14ac:dyDescent="0.3">
      <c r="A2004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fábrica708230451156799910</v>
      </c>
      <c r="B2004" t="s">
        <v>142</v>
      </c>
      <c r="C2004" t="s">
        <v>254</v>
      </c>
      <c r="D2004" s="11">
        <v>45646</v>
      </c>
      <c r="E2004" t="s">
        <v>16</v>
      </c>
      <c r="F2004" t="s">
        <v>85</v>
      </c>
      <c r="G2004">
        <v>708230</v>
      </c>
      <c r="H2004">
        <v>4511567999</v>
      </c>
      <c r="I2004">
        <v>10</v>
      </c>
      <c r="J2004" s="29">
        <v>9</v>
      </c>
      <c r="K2004" s="29" t="s">
        <v>118</v>
      </c>
      <c r="L2004" t="str">
        <f>IFERROR(VLOOKUP(Detalle_OC[[#This Row],[Centro]]&amp;Detalle_OC[[#This Row],[Nro Almacen]],Almacen!A:D,4,FALSE),"")</f>
        <v>Parada fábrica</v>
      </c>
    </row>
    <row r="2005" spans="1:12" x14ac:dyDescent="0.3">
      <c r="A2005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fábrica814803451156799920</v>
      </c>
      <c r="B2005" t="s">
        <v>142</v>
      </c>
      <c r="C2005" t="s">
        <v>254</v>
      </c>
      <c r="D2005" s="11">
        <v>45646</v>
      </c>
      <c r="E2005" t="s">
        <v>16</v>
      </c>
      <c r="F2005" t="s">
        <v>85</v>
      </c>
      <c r="G2005">
        <v>814803</v>
      </c>
      <c r="H2005">
        <v>4511567999</v>
      </c>
      <c r="I2005">
        <v>20</v>
      </c>
      <c r="J2005" s="29">
        <v>9</v>
      </c>
      <c r="K2005" s="29" t="s">
        <v>118</v>
      </c>
      <c r="L2005" t="str">
        <f>IFERROR(VLOOKUP(Detalle_OC[[#This Row],[Centro]]&amp;Detalle_OC[[#This Row],[Nro Almacen]],Almacen!A:D,4,FALSE),"")</f>
        <v>Parada fábrica</v>
      </c>
    </row>
    <row r="2006" spans="1:12" x14ac:dyDescent="0.3">
      <c r="A2006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fábrica842080451156799940</v>
      </c>
      <c r="B2006" t="s">
        <v>142</v>
      </c>
      <c r="C2006" t="s">
        <v>254</v>
      </c>
      <c r="D2006" s="11">
        <v>45646</v>
      </c>
      <c r="E2006" t="s">
        <v>16</v>
      </c>
      <c r="F2006" t="s">
        <v>85</v>
      </c>
      <c r="G2006">
        <v>842080</v>
      </c>
      <c r="H2006">
        <v>4511567999</v>
      </c>
      <c r="I2006">
        <v>40</v>
      </c>
      <c r="J2006" s="29">
        <v>9</v>
      </c>
      <c r="K2006" s="29" t="s">
        <v>118</v>
      </c>
      <c r="L2006" t="str">
        <f>IFERROR(VLOOKUP(Detalle_OC[[#This Row],[Centro]]&amp;Detalle_OC[[#This Row],[Nro Almacen]],Almacen!A:D,4,FALSE),"")</f>
        <v>Parada fábrica</v>
      </c>
    </row>
    <row r="2007" spans="1:12" x14ac:dyDescent="0.3">
      <c r="A2007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fábrica871912451156799950</v>
      </c>
      <c r="B2007" t="s">
        <v>142</v>
      </c>
      <c r="C2007" t="s">
        <v>254</v>
      </c>
      <c r="D2007" s="11">
        <v>45646</v>
      </c>
      <c r="E2007" t="s">
        <v>16</v>
      </c>
      <c r="F2007" t="s">
        <v>85</v>
      </c>
      <c r="G2007">
        <v>871912</v>
      </c>
      <c r="H2007">
        <v>4511567999</v>
      </c>
      <c r="I2007">
        <v>50</v>
      </c>
      <c r="J2007" s="29">
        <v>9</v>
      </c>
      <c r="K2007" s="29" t="s">
        <v>118</v>
      </c>
      <c r="L2007" t="str">
        <f>IFERROR(VLOOKUP(Detalle_OC[[#This Row],[Centro]]&amp;Detalle_OC[[#This Row],[Nro Almacen]],Almacen!A:D,4,FALSE),"")</f>
        <v>Parada fábrica</v>
      </c>
    </row>
    <row r="2008" spans="1:12" x14ac:dyDescent="0.3">
      <c r="A2008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fábrica70102702451156799980</v>
      </c>
      <c r="B2008" t="s">
        <v>142</v>
      </c>
      <c r="C2008" t="s">
        <v>254</v>
      </c>
      <c r="D2008" s="11">
        <v>45646</v>
      </c>
      <c r="E2008" t="s">
        <v>16</v>
      </c>
      <c r="F2008" t="s">
        <v>85</v>
      </c>
      <c r="G2008">
        <v>70102702</v>
      </c>
      <c r="H2008">
        <v>4511567999</v>
      </c>
      <c r="I2008">
        <v>80</v>
      </c>
      <c r="J2008" s="29">
        <v>9</v>
      </c>
      <c r="K2008" s="29" t="s">
        <v>118</v>
      </c>
      <c r="L2008" t="str">
        <f>IFERROR(VLOOKUP(Detalle_OC[[#This Row],[Centro]]&amp;Detalle_OC[[#This Row],[Nro Almacen]],Almacen!A:D,4,FALSE),"")</f>
        <v>Parada fábrica</v>
      </c>
    </row>
    <row r="2009" spans="1:12" x14ac:dyDescent="0.3">
      <c r="A2009" s="29" t="str">
        <f>Detalle_OC[[#This Row],[Centro]]&amp;Detalle_OC[[#This Row],[Nom Almacen]]&amp;Detalle_OC[[#This Row],[Material]]&amp;Detalle_OC[[#This Row],[Pedido]]&amp;Detalle_OC[[#This Row],[Posicion]]</f>
        <v>Agricola del Chira PlantaMontelima70134246451156800310</v>
      </c>
      <c r="B2009" t="s">
        <v>198</v>
      </c>
      <c r="C2009" t="s">
        <v>166</v>
      </c>
      <c r="D2009" s="11">
        <v>45618</v>
      </c>
      <c r="E2009" t="s">
        <v>16</v>
      </c>
      <c r="F2009" t="s">
        <v>12</v>
      </c>
      <c r="G2009">
        <v>70134246</v>
      </c>
      <c r="H2009">
        <v>4511568003</v>
      </c>
      <c r="I2009">
        <v>10</v>
      </c>
      <c r="J2009" s="29">
        <v>1</v>
      </c>
      <c r="K2009" s="29" t="s">
        <v>118</v>
      </c>
      <c r="L2009" t="str">
        <f>IFERROR(VLOOKUP(Detalle_OC[[#This Row],[Centro]]&amp;Detalle_OC[[#This Row],[Nro Almacen]],Almacen!A:D,4,FALSE),"")</f>
        <v>Montelima</v>
      </c>
    </row>
    <row r="2010" spans="1:12" x14ac:dyDescent="0.3">
      <c r="A2010" s="29" t="str">
        <f>Detalle_OC[[#This Row],[Centro]]&amp;Detalle_OC[[#This Row],[Nom Almacen]]&amp;Detalle_OC[[#This Row],[Material]]&amp;Detalle_OC[[#This Row],[Pedido]]&amp;Detalle_OC[[#This Row],[Posicion]]</f>
        <v>Agricola del Chira PlantaMontelima803344451156800330</v>
      </c>
      <c r="B2010" t="s">
        <v>149</v>
      </c>
      <c r="C2010" t="s">
        <v>166</v>
      </c>
      <c r="D2010" s="11">
        <v>45597</v>
      </c>
      <c r="E2010" t="s">
        <v>16</v>
      </c>
      <c r="F2010" t="s">
        <v>12</v>
      </c>
      <c r="G2010">
        <v>803344</v>
      </c>
      <c r="H2010">
        <v>4511568003</v>
      </c>
      <c r="I2010">
        <v>30</v>
      </c>
      <c r="J2010" s="29">
        <v>1</v>
      </c>
      <c r="K2010" s="29" t="s">
        <v>118</v>
      </c>
      <c r="L2010" t="str">
        <f>IFERROR(VLOOKUP(Detalle_OC[[#This Row],[Centro]]&amp;Detalle_OC[[#This Row],[Nro Almacen]],Almacen!A:D,4,FALSE),"")</f>
        <v>Montelima</v>
      </c>
    </row>
    <row r="2011" spans="1:12" x14ac:dyDescent="0.3">
      <c r="A2011" s="29" t="str">
        <f>Detalle_OC[[#This Row],[Centro]]&amp;Detalle_OC[[#This Row],[Nom Almacen]]&amp;Detalle_OC[[#This Row],[Material]]&amp;Detalle_OC[[#This Row],[Pedido]]&amp;Detalle_OC[[#This Row],[Posicion]]</f>
        <v>Agricola del Chira PlantaMontelima813002451156800340</v>
      </c>
      <c r="B2011" t="s">
        <v>149</v>
      </c>
      <c r="C2011" t="s">
        <v>166</v>
      </c>
      <c r="D2011" s="11">
        <v>45597</v>
      </c>
      <c r="E2011" t="s">
        <v>16</v>
      </c>
      <c r="F2011" t="s">
        <v>12</v>
      </c>
      <c r="G2011">
        <v>813002</v>
      </c>
      <c r="H2011">
        <v>4511568003</v>
      </c>
      <c r="I2011">
        <v>40</v>
      </c>
      <c r="J2011" s="29">
        <v>1</v>
      </c>
      <c r="K2011" s="29" t="s">
        <v>118</v>
      </c>
      <c r="L2011" t="str">
        <f>IFERROR(VLOOKUP(Detalle_OC[[#This Row],[Centro]]&amp;Detalle_OC[[#This Row],[Nro Almacen]],Almacen!A:D,4,FALSE),"")</f>
        <v>Montelima</v>
      </c>
    </row>
    <row r="2012" spans="1:12" x14ac:dyDescent="0.3">
      <c r="A2012" s="29" t="str">
        <f>Detalle_OC[[#This Row],[Centro]]&amp;Detalle_OC[[#This Row],[Nom Almacen]]&amp;Detalle_OC[[#This Row],[Material]]&amp;Detalle_OC[[#This Row],[Pedido]]&amp;Detalle_OC[[#This Row],[Posicion]]</f>
        <v>Agricola del Chira PlantaMontelima831888451156800350</v>
      </c>
      <c r="B2012" t="s">
        <v>149</v>
      </c>
      <c r="C2012" t="s">
        <v>166</v>
      </c>
      <c r="D2012" s="11">
        <v>45597</v>
      </c>
      <c r="E2012" t="s">
        <v>16</v>
      </c>
      <c r="F2012" t="s">
        <v>12</v>
      </c>
      <c r="G2012">
        <v>831888</v>
      </c>
      <c r="H2012">
        <v>4511568003</v>
      </c>
      <c r="I2012">
        <v>50</v>
      </c>
      <c r="J2012" s="29">
        <v>1</v>
      </c>
      <c r="K2012" s="29" t="s">
        <v>118</v>
      </c>
      <c r="L2012" t="str">
        <f>IFERROR(VLOOKUP(Detalle_OC[[#This Row],[Centro]]&amp;Detalle_OC[[#This Row],[Nro Almacen]],Almacen!A:D,4,FALSE),"")</f>
        <v>Montelima</v>
      </c>
    </row>
    <row r="2013" spans="1:12" x14ac:dyDescent="0.3">
      <c r="A2013" s="29" t="str">
        <f>Detalle_OC[[#This Row],[Centro]]&amp;Detalle_OC[[#This Row],[Nom Almacen]]&amp;Detalle_OC[[#This Row],[Material]]&amp;Detalle_OC[[#This Row],[Pedido]]&amp;Detalle_OC[[#This Row],[Posicion]]</f>
        <v>Agricola del Chira PlantaMontelima834663451156800360</v>
      </c>
      <c r="B2013" t="s">
        <v>149</v>
      </c>
      <c r="C2013" t="s">
        <v>166</v>
      </c>
      <c r="D2013" s="11">
        <v>45597</v>
      </c>
      <c r="E2013" t="s">
        <v>16</v>
      </c>
      <c r="F2013" t="s">
        <v>12</v>
      </c>
      <c r="G2013">
        <v>834663</v>
      </c>
      <c r="H2013">
        <v>4511568003</v>
      </c>
      <c r="I2013">
        <v>60</v>
      </c>
      <c r="J2013" s="29">
        <v>1</v>
      </c>
      <c r="K2013" s="29" t="s">
        <v>118</v>
      </c>
      <c r="L2013" t="str">
        <f>IFERROR(VLOOKUP(Detalle_OC[[#This Row],[Centro]]&amp;Detalle_OC[[#This Row],[Nro Almacen]],Almacen!A:D,4,FALSE),"")</f>
        <v>Montelima</v>
      </c>
    </row>
    <row r="2014" spans="1:12" x14ac:dyDescent="0.3">
      <c r="A2014" s="29" t="str">
        <f>Detalle_OC[[#This Row],[Centro]]&amp;Detalle_OC[[#This Row],[Nom Almacen]]&amp;Detalle_OC[[#This Row],[Material]]&amp;Detalle_OC[[#This Row],[Pedido]]&amp;Detalle_OC[[#This Row],[Posicion]]</f>
        <v>Agricola del Chira PlantaMontelima839408451156800370</v>
      </c>
      <c r="B2014" t="s">
        <v>149</v>
      </c>
      <c r="C2014" t="s">
        <v>166</v>
      </c>
      <c r="D2014" s="11">
        <v>45635</v>
      </c>
      <c r="E2014" t="s">
        <v>16</v>
      </c>
      <c r="F2014" t="s">
        <v>12</v>
      </c>
      <c r="G2014">
        <v>839408</v>
      </c>
      <c r="H2014">
        <v>4511568003</v>
      </c>
      <c r="I2014">
        <v>70</v>
      </c>
      <c r="J2014" s="29">
        <v>1</v>
      </c>
      <c r="K2014" s="29" t="s">
        <v>118</v>
      </c>
      <c r="L2014" t="str">
        <f>IFERROR(VLOOKUP(Detalle_OC[[#This Row],[Centro]]&amp;Detalle_OC[[#This Row],[Nro Almacen]],Almacen!A:D,4,FALSE),"")</f>
        <v>Montelima</v>
      </c>
    </row>
    <row r="2015" spans="1:12" x14ac:dyDescent="0.3">
      <c r="A2015" s="29" t="str">
        <f>Detalle_OC[[#This Row],[Centro]]&amp;Detalle_OC[[#This Row],[Nom Almacen]]&amp;Detalle_OC[[#This Row],[Material]]&amp;Detalle_OC[[#This Row],[Pedido]]&amp;Detalle_OC[[#This Row],[Posicion]]</f>
        <v>Agricola del Chira PlantaMontelima840301451156800380</v>
      </c>
      <c r="B2015" t="s">
        <v>149</v>
      </c>
      <c r="C2015" t="s">
        <v>166</v>
      </c>
      <c r="D2015" s="11">
        <v>45597</v>
      </c>
      <c r="E2015" t="s">
        <v>16</v>
      </c>
      <c r="F2015" t="s">
        <v>12</v>
      </c>
      <c r="G2015">
        <v>840301</v>
      </c>
      <c r="H2015">
        <v>4511568003</v>
      </c>
      <c r="I2015">
        <v>80</v>
      </c>
      <c r="J2015" s="29">
        <v>1</v>
      </c>
      <c r="K2015" s="29" t="s">
        <v>118</v>
      </c>
      <c r="L2015" t="str">
        <f>IFERROR(VLOOKUP(Detalle_OC[[#This Row],[Centro]]&amp;Detalle_OC[[#This Row],[Nro Almacen]],Almacen!A:D,4,FALSE),"")</f>
        <v>Montelima</v>
      </c>
    </row>
    <row r="2016" spans="1:12" x14ac:dyDescent="0.3">
      <c r="A2016" s="29" t="str">
        <f>Detalle_OC[[#This Row],[Centro]]&amp;Detalle_OC[[#This Row],[Nom Almacen]]&amp;Detalle_OC[[#This Row],[Material]]&amp;Detalle_OC[[#This Row],[Pedido]]&amp;Detalle_OC[[#This Row],[Posicion]]</f>
        <v>Agricola del Chira PlantaMontelima843937451156800390</v>
      </c>
      <c r="B2016" t="s">
        <v>149</v>
      </c>
      <c r="C2016" t="s">
        <v>166</v>
      </c>
      <c r="D2016" s="11">
        <v>45597</v>
      </c>
      <c r="E2016" t="s">
        <v>16</v>
      </c>
      <c r="F2016" t="s">
        <v>12</v>
      </c>
      <c r="G2016">
        <v>843937</v>
      </c>
      <c r="H2016">
        <v>4511568003</v>
      </c>
      <c r="I2016">
        <v>90</v>
      </c>
      <c r="J2016" s="29">
        <v>1</v>
      </c>
      <c r="K2016" s="29" t="s">
        <v>118</v>
      </c>
      <c r="L2016" t="str">
        <f>IFERROR(VLOOKUP(Detalle_OC[[#This Row],[Centro]]&amp;Detalle_OC[[#This Row],[Nro Almacen]],Almacen!A:D,4,FALSE),"")</f>
        <v>Montelima</v>
      </c>
    </row>
    <row r="2017" spans="1:12" x14ac:dyDescent="0.3">
      <c r="A2017" s="29" t="str">
        <f>Detalle_OC[[#This Row],[Centro]]&amp;Detalle_OC[[#This Row],[Nom Almacen]]&amp;Detalle_OC[[#This Row],[Material]]&amp;Detalle_OC[[#This Row],[Pedido]]&amp;Detalle_OC[[#This Row],[Posicion]]</f>
        <v>Agricola del Chira PlantaMontelima8608714511568003100</v>
      </c>
      <c r="B2017" t="s">
        <v>149</v>
      </c>
      <c r="C2017" t="s">
        <v>166</v>
      </c>
      <c r="D2017" s="11">
        <v>45597</v>
      </c>
      <c r="E2017" t="s">
        <v>16</v>
      </c>
      <c r="F2017" t="s">
        <v>12</v>
      </c>
      <c r="G2017">
        <v>860871</v>
      </c>
      <c r="H2017">
        <v>4511568003</v>
      </c>
      <c r="I2017">
        <v>100</v>
      </c>
      <c r="J2017" s="29">
        <v>1</v>
      </c>
      <c r="K2017" s="29" t="s">
        <v>118</v>
      </c>
      <c r="L2017" t="str">
        <f>IFERROR(VLOOKUP(Detalle_OC[[#This Row],[Centro]]&amp;Detalle_OC[[#This Row],[Nro Almacen]],Almacen!A:D,4,FALSE),"")</f>
        <v>Montelima</v>
      </c>
    </row>
    <row r="2018" spans="1:12" x14ac:dyDescent="0.3">
      <c r="A2018" s="29" t="str">
        <f>Detalle_OC[[#This Row],[Centro]]&amp;Detalle_OC[[#This Row],[Nom Almacen]]&amp;Detalle_OC[[#This Row],[Material]]&amp;Detalle_OC[[#This Row],[Pedido]]&amp;Detalle_OC[[#This Row],[Posicion]]</f>
        <v>Agricola del Chira PlantaMontelima8642954511568003110</v>
      </c>
      <c r="B2018" t="s">
        <v>149</v>
      </c>
      <c r="C2018" t="s">
        <v>166</v>
      </c>
      <c r="D2018" s="11">
        <v>45597</v>
      </c>
      <c r="E2018" t="s">
        <v>16</v>
      </c>
      <c r="F2018" t="s">
        <v>12</v>
      </c>
      <c r="G2018">
        <v>864295</v>
      </c>
      <c r="H2018">
        <v>4511568003</v>
      </c>
      <c r="I2018">
        <v>110</v>
      </c>
      <c r="J2018" s="29">
        <v>1</v>
      </c>
      <c r="K2018" s="29" t="s">
        <v>118</v>
      </c>
      <c r="L2018" t="str">
        <f>IFERROR(VLOOKUP(Detalle_OC[[#This Row],[Centro]]&amp;Detalle_OC[[#This Row],[Nro Almacen]],Almacen!A:D,4,FALSE),"")</f>
        <v>Montelima</v>
      </c>
    </row>
    <row r="2019" spans="1:12" x14ac:dyDescent="0.3">
      <c r="A2019" s="29" t="str">
        <f>Detalle_OC[[#This Row],[Centro]]&amp;Detalle_OC[[#This Row],[Nom Almacen]]&amp;Detalle_OC[[#This Row],[Material]]&amp;Detalle_OC[[#This Row],[Pedido]]&amp;Detalle_OC[[#This Row],[Posicion]]</f>
        <v>Agricola del Chira PlantaAlmacen Lobo8646364511568003120</v>
      </c>
      <c r="B2019" t="s">
        <v>149</v>
      </c>
      <c r="C2019" t="s">
        <v>166</v>
      </c>
      <c r="D2019" s="11">
        <v>45597</v>
      </c>
      <c r="E2019" t="s">
        <v>16</v>
      </c>
      <c r="F2019" t="s">
        <v>12</v>
      </c>
      <c r="G2019">
        <v>864636</v>
      </c>
      <c r="H2019">
        <v>4511568003</v>
      </c>
      <c r="I2019">
        <v>120</v>
      </c>
      <c r="J2019" s="29">
        <v>7</v>
      </c>
      <c r="K2019" s="29" t="s">
        <v>118</v>
      </c>
      <c r="L2019" t="str">
        <f>IFERROR(VLOOKUP(Detalle_OC[[#This Row],[Centro]]&amp;Detalle_OC[[#This Row],[Nro Almacen]],Almacen!A:D,4,FALSE),"")</f>
        <v>Almacen Lobo</v>
      </c>
    </row>
    <row r="2020" spans="1:12" x14ac:dyDescent="0.3">
      <c r="A2020" s="29" t="str">
        <f>Detalle_OC[[#This Row],[Centro]]&amp;Detalle_OC[[#This Row],[Nom Almacen]]&amp;Detalle_OC[[#This Row],[Material]]&amp;Detalle_OC[[#This Row],[Pedido]]&amp;Detalle_OC[[#This Row],[Posicion]]</f>
        <v>Agricola del Chira PlantaMontelima8712134511568003130</v>
      </c>
      <c r="B2020" t="s">
        <v>149</v>
      </c>
      <c r="C2020" t="s">
        <v>166</v>
      </c>
      <c r="D2020" s="11">
        <v>45597</v>
      </c>
      <c r="E2020" t="s">
        <v>16</v>
      </c>
      <c r="F2020" t="s">
        <v>12</v>
      </c>
      <c r="G2020">
        <v>871213</v>
      </c>
      <c r="H2020">
        <v>4511568003</v>
      </c>
      <c r="I2020">
        <v>130</v>
      </c>
      <c r="J2020" s="29">
        <v>1</v>
      </c>
      <c r="K2020" s="29" t="s">
        <v>118</v>
      </c>
      <c r="L2020" t="str">
        <f>IFERROR(VLOOKUP(Detalle_OC[[#This Row],[Centro]]&amp;Detalle_OC[[#This Row],[Nro Almacen]],Almacen!A:D,4,FALSE),"")</f>
        <v>Montelima</v>
      </c>
    </row>
    <row r="2021" spans="1:12" x14ac:dyDescent="0.3">
      <c r="A2021" s="29" t="str">
        <f>Detalle_OC[[#This Row],[Centro]]&amp;Detalle_OC[[#This Row],[Nom Almacen]]&amp;Detalle_OC[[#This Row],[Material]]&amp;Detalle_OC[[#This Row],[Pedido]]&amp;Detalle_OC[[#This Row],[Posicion]]</f>
        <v>Agricola del Chira PlantaMontelima8759694511568003140</v>
      </c>
      <c r="B2021" t="s">
        <v>149</v>
      </c>
      <c r="C2021" t="s">
        <v>166</v>
      </c>
      <c r="D2021" s="11">
        <v>45597</v>
      </c>
      <c r="E2021" t="s">
        <v>16</v>
      </c>
      <c r="F2021" t="s">
        <v>12</v>
      </c>
      <c r="G2021">
        <v>875969</v>
      </c>
      <c r="H2021">
        <v>4511568003</v>
      </c>
      <c r="I2021">
        <v>140</v>
      </c>
      <c r="J2021" s="29">
        <v>1</v>
      </c>
      <c r="K2021" s="29" t="s">
        <v>118</v>
      </c>
      <c r="L2021" t="str">
        <f>IFERROR(VLOOKUP(Detalle_OC[[#This Row],[Centro]]&amp;Detalle_OC[[#This Row],[Nro Almacen]],Almacen!A:D,4,FALSE),"")</f>
        <v>Montelima</v>
      </c>
    </row>
    <row r="2022" spans="1:12" x14ac:dyDescent="0.3">
      <c r="A2022" s="29" t="str">
        <f>Detalle_OC[[#This Row],[Centro]]&amp;Detalle_OC[[#This Row],[Nom Almacen]]&amp;Detalle_OC[[#This Row],[Material]]&amp;Detalle_OC[[#This Row],[Pedido]]&amp;Detalle_OC[[#This Row],[Posicion]]</f>
        <v>Agricola del Chira PlantaMontelima8812914511568003150</v>
      </c>
      <c r="B2022" t="s">
        <v>149</v>
      </c>
      <c r="C2022" t="s">
        <v>166</v>
      </c>
      <c r="D2022" s="11">
        <v>45597</v>
      </c>
      <c r="E2022" t="s">
        <v>16</v>
      </c>
      <c r="F2022" t="s">
        <v>12</v>
      </c>
      <c r="G2022">
        <v>881291</v>
      </c>
      <c r="H2022">
        <v>4511568003</v>
      </c>
      <c r="I2022">
        <v>150</v>
      </c>
      <c r="J2022" s="29">
        <v>1</v>
      </c>
      <c r="K2022" s="29" t="s">
        <v>118</v>
      </c>
      <c r="L2022" t="str">
        <f>IFERROR(VLOOKUP(Detalle_OC[[#This Row],[Centro]]&amp;Detalle_OC[[#This Row],[Nro Almacen]],Almacen!A:D,4,FALSE),"")</f>
        <v>Montelima</v>
      </c>
    </row>
    <row r="2023" spans="1:12" x14ac:dyDescent="0.3">
      <c r="A2023" s="29" t="str">
        <f>Detalle_OC[[#This Row],[Centro]]&amp;Detalle_OC[[#This Row],[Nom Almacen]]&amp;Detalle_OC[[#This Row],[Material]]&amp;Detalle_OC[[#This Row],[Pedido]]&amp;Detalle_OC[[#This Row],[Posicion]]</f>
        <v>Agricola del Chira PlantaMontelima8854164511568003160</v>
      </c>
      <c r="B2023" t="s">
        <v>149</v>
      </c>
      <c r="C2023" t="s">
        <v>166</v>
      </c>
      <c r="D2023" s="11">
        <v>45597</v>
      </c>
      <c r="E2023" t="s">
        <v>16</v>
      </c>
      <c r="F2023" t="s">
        <v>12</v>
      </c>
      <c r="G2023">
        <v>885416</v>
      </c>
      <c r="H2023">
        <v>4511568003</v>
      </c>
      <c r="I2023">
        <v>160</v>
      </c>
      <c r="J2023" s="29">
        <v>1</v>
      </c>
      <c r="K2023" s="29" t="s">
        <v>118</v>
      </c>
      <c r="L2023" t="str">
        <f>IFERROR(VLOOKUP(Detalle_OC[[#This Row],[Centro]]&amp;Detalle_OC[[#This Row],[Nro Almacen]],Almacen!A:D,4,FALSE),"")</f>
        <v>Montelima</v>
      </c>
    </row>
    <row r="2024" spans="1:12" x14ac:dyDescent="0.3">
      <c r="A2024" s="29" t="str">
        <f>Detalle_OC[[#This Row],[Centro]]&amp;Detalle_OC[[#This Row],[Nom Almacen]]&amp;Detalle_OC[[#This Row],[Material]]&amp;Detalle_OC[[#This Row],[Pedido]]&amp;Detalle_OC[[#This Row],[Posicion]]</f>
        <v>Agricola del Chira PlantaMontelima8855994511568003170</v>
      </c>
      <c r="B2024" t="s">
        <v>149</v>
      </c>
      <c r="C2024" t="s">
        <v>166</v>
      </c>
      <c r="D2024" s="11">
        <v>45597</v>
      </c>
      <c r="E2024" t="s">
        <v>16</v>
      </c>
      <c r="F2024" t="s">
        <v>12</v>
      </c>
      <c r="G2024">
        <v>885599</v>
      </c>
      <c r="H2024">
        <v>4511568003</v>
      </c>
      <c r="I2024">
        <v>170</v>
      </c>
      <c r="J2024" s="29">
        <v>1</v>
      </c>
      <c r="K2024" s="29" t="s">
        <v>118</v>
      </c>
      <c r="L2024" t="str">
        <f>IFERROR(VLOOKUP(Detalle_OC[[#This Row],[Centro]]&amp;Detalle_OC[[#This Row],[Nro Almacen]],Almacen!A:D,4,FALSE),"")</f>
        <v>Montelima</v>
      </c>
    </row>
    <row r="2025" spans="1:12" x14ac:dyDescent="0.3">
      <c r="A2025" s="29" t="str">
        <f>Detalle_OC[[#This Row],[Centro]]&amp;Detalle_OC[[#This Row],[Nom Almacen]]&amp;Detalle_OC[[#This Row],[Material]]&amp;Detalle_OC[[#This Row],[Pedido]]&amp;Detalle_OC[[#This Row],[Posicion]]</f>
        <v>Agricola del Chira PlantaMontelima700061594511568003180</v>
      </c>
      <c r="B2025" t="s">
        <v>149</v>
      </c>
      <c r="C2025" t="s">
        <v>166</v>
      </c>
      <c r="D2025" s="11">
        <v>45597</v>
      </c>
      <c r="E2025" t="s">
        <v>16</v>
      </c>
      <c r="F2025" t="s">
        <v>12</v>
      </c>
      <c r="G2025">
        <v>70006159</v>
      </c>
      <c r="H2025">
        <v>4511568003</v>
      </c>
      <c r="I2025">
        <v>180</v>
      </c>
      <c r="J2025" s="29">
        <v>1</v>
      </c>
      <c r="K2025" s="29" t="s">
        <v>118</v>
      </c>
      <c r="L2025" t="str">
        <f>IFERROR(VLOOKUP(Detalle_OC[[#This Row],[Centro]]&amp;Detalle_OC[[#This Row],[Nro Almacen]],Almacen!A:D,4,FALSE),"")</f>
        <v>Montelima</v>
      </c>
    </row>
    <row r="2026" spans="1:12" x14ac:dyDescent="0.3">
      <c r="A2026" s="29" t="str">
        <f>Detalle_OC[[#This Row],[Centro]]&amp;Detalle_OC[[#This Row],[Nom Almacen]]&amp;Detalle_OC[[#This Row],[Material]]&amp;Detalle_OC[[#This Row],[Pedido]]&amp;Detalle_OC[[#This Row],[Posicion]]</f>
        <v>Agricola del Chira PlantaMontelima700062934511568003190</v>
      </c>
      <c r="B2026" t="s">
        <v>149</v>
      </c>
      <c r="C2026" t="s">
        <v>166</v>
      </c>
      <c r="D2026" s="11">
        <v>45597</v>
      </c>
      <c r="E2026" t="s">
        <v>16</v>
      </c>
      <c r="F2026" t="s">
        <v>12</v>
      </c>
      <c r="G2026">
        <v>70006293</v>
      </c>
      <c r="H2026">
        <v>4511568003</v>
      </c>
      <c r="I2026">
        <v>190</v>
      </c>
      <c r="J2026" s="29">
        <v>1</v>
      </c>
      <c r="K2026" s="29" t="s">
        <v>118</v>
      </c>
      <c r="L2026" t="str">
        <f>IFERROR(VLOOKUP(Detalle_OC[[#This Row],[Centro]]&amp;Detalle_OC[[#This Row],[Nro Almacen]],Almacen!A:D,4,FALSE),"")</f>
        <v>Montelima</v>
      </c>
    </row>
    <row r="2027" spans="1:12" x14ac:dyDescent="0.3">
      <c r="A2027" s="29" t="str">
        <f>Detalle_OC[[#This Row],[Centro]]&amp;Detalle_OC[[#This Row],[Nom Almacen]]&amp;Detalle_OC[[#This Row],[Material]]&amp;Detalle_OC[[#This Row],[Pedido]]&amp;Detalle_OC[[#This Row],[Posicion]]</f>
        <v>Agricola del Chira PlantaMontelima700113604511568003200</v>
      </c>
      <c r="B2027" t="s">
        <v>149</v>
      </c>
      <c r="C2027" t="s">
        <v>166</v>
      </c>
      <c r="D2027" s="11">
        <v>45597</v>
      </c>
      <c r="E2027" t="s">
        <v>16</v>
      </c>
      <c r="F2027" t="s">
        <v>12</v>
      </c>
      <c r="G2027">
        <v>70011360</v>
      </c>
      <c r="H2027">
        <v>4511568003</v>
      </c>
      <c r="I2027">
        <v>200</v>
      </c>
      <c r="J2027" s="29">
        <v>1</v>
      </c>
      <c r="K2027" s="29" t="s">
        <v>118</v>
      </c>
      <c r="L2027" t="str">
        <f>IFERROR(VLOOKUP(Detalle_OC[[#This Row],[Centro]]&amp;Detalle_OC[[#This Row],[Nro Almacen]],Almacen!A:D,4,FALSE),"")</f>
        <v>Montelima</v>
      </c>
    </row>
    <row r="2028" spans="1:12" x14ac:dyDescent="0.3">
      <c r="A2028" s="29" t="str">
        <f>Detalle_OC[[#This Row],[Centro]]&amp;Detalle_OC[[#This Row],[Nom Almacen]]&amp;Detalle_OC[[#This Row],[Material]]&amp;Detalle_OC[[#This Row],[Pedido]]&amp;Detalle_OC[[#This Row],[Posicion]]</f>
        <v>Agricola del Chira PlantaMontelima700127074511568003210</v>
      </c>
      <c r="B2028" t="s">
        <v>149</v>
      </c>
      <c r="C2028" t="s">
        <v>166</v>
      </c>
      <c r="D2028" s="11">
        <v>45597</v>
      </c>
      <c r="E2028" t="s">
        <v>16</v>
      </c>
      <c r="F2028" t="s">
        <v>12</v>
      </c>
      <c r="G2028">
        <v>70012707</v>
      </c>
      <c r="H2028">
        <v>4511568003</v>
      </c>
      <c r="I2028">
        <v>210</v>
      </c>
      <c r="J2028" s="29">
        <v>1</v>
      </c>
      <c r="K2028" s="29" t="s">
        <v>118</v>
      </c>
      <c r="L2028" t="str">
        <f>IFERROR(VLOOKUP(Detalle_OC[[#This Row],[Centro]]&amp;Detalle_OC[[#This Row],[Nro Almacen]],Almacen!A:D,4,FALSE),"")</f>
        <v>Montelima</v>
      </c>
    </row>
    <row r="2029" spans="1:12" x14ac:dyDescent="0.3">
      <c r="A2029" s="29" t="str">
        <f>Detalle_OC[[#This Row],[Centro]]&amp;Detalle_OC[[#This Row],[Nom Almacen]]&amp;Detalle_OC[[#This Row],[Material]]&amp;Detalle_OC[[#This Row],[Pedido]]&amp;Detalle_OC[[#This Row],[Posicion]]</f>
        <v>Agricola del Chira PlantaMontelima700144664511568003220</v>
      </c>
      <c r="B2029" t="s">
        <v>149</v>
      </c>
      <c r="C2029" t="s">
        <v>166</v>
      </c>
      <c r="D2029" s="11">
        <v>45597</v>
      </c>
      <c r="E2029" t="s">
        <v>16</v>
      </c>
      <c r="F2029" t="s">
        <v>12</v>
      </c>
      <c r="G2029">
        <v>70014466</v>
      </c>
      <c r="H2029">
        <v>4511568003</v>
      </c>
      <c r="I2029">
        <v>220</v>
      </c>
      <c r="J2029" s="29">
        <v>1</v>
      </c>
      <c r="K2029" s="29" t="s">
        <v>118</v>
      </c>
      <c r="L2029" t="str">
        <f>IFERROR(VLOOKUP(Detalle_OC[[#This Row],[Centro]]&amp;Detalle_OC[[#This Row],[Nro Almacen]],Almacen!A:D,4,FALSE),"")</f>
        <v>Montelima</v>
      </c>
    </row>
    <row r="2030" spans="1:12" x14ac:dyDescent="0.3">
      <c r="A2030" s="29" t="str">
        <f>Detalle_OC[[#This Row],[Centro]]&amp;Detalle_OC[[#This Row],[Nom Almacen]]&amp;Detalle_OC[[#This Row],[Material]]&amp;Detalle_OC[[#This Row],[Pedido]]&amp;Detalle_OC[[#This Row],[Posicion]]</f>
        <v>Agricola del Chira PlantaMontelima700225204511568003230</v>
      </c>
      <c r="B2030" t="s">
        <v>149</v>
      </c>
      <c r="C2030" t="s">
        <v>166</v>
      </c>
      <c r="D2030" s="11">
        <v>45597</v>
      </c>
      <c r="E2030" t="s">
        <v>16</v>
      </c>
      <c r="F2030" t="s">
        <v>12</v>
      </c>
      <c r="G2030">
        <v>70022520</v>
      </c>
      <c r="H2030">
        <v>4511568003</v>
      </c>
      <c r="I2030">
        <v>230</v>
      </c>
      <c r="J2030" s="29">
        <v>1</v>
      </c>
      <c r="K2030" s="29" t="s">
        <v>118</v>
      </c>
      <c r="L2030" t="str">
        <f>IFERROR(VLOOKUP(Detalle_OC[[#This Row],[Centro]]&amp;Detalle_OC[[#This Row],[Nro Almacen]],Almacen!A:D,4,FALSE),"")</f>
        <v>Montelima</v>
      </c>
    </row>
    <row r="2031" spans="1:12" x14ac:dyDescent="0.3">
      <c r="A2031" s="29" t="str">
        <f>Detalle_OC[[#This Row],[Centro]]&amp;Detalle_OC[[#This Row],[Nom Almacen]]&amp;Detalle_OC[[#This Row],[Material]]&amp;Detalle_OC[[#This Row],[Pedido]]&amp;Detalle_OC[[#This Row],[Posicion]]</f>
        <v>Agricola del Chira PlantaMontelima700289154511568003240</v>
      </c>
      <c r="B2031" t="s">
        <v>149</v>
      </c>
      <c r="C2031" t="s">
        <v>166</v>
      </c>
      <c r="D2031" s="11">
        <v>45597</v>
      </c>
      <c r="E2031" t="s">
        <v>16</v>
      </c>
      <c r="F2031" t="s">
        <v>12</v>
      </c>
      <c r="G2031">
        <v>70028915</v>
      </c>
      <c r="H2031">
        <v>4511568003</v>
      </c>
      <c r="I2031">
        <v>240</v>
      </c>
      <c r="J2031" s="29">
        <v>1</v>
      </c>
      <c r="K2031" s="29" t="s">
        <v>118</v>
      </c>
      <c r="L2031" t="str">
        <f>IFERROR(VLOOKUP(Detalle_OC[[#This Row],[Centro]]&amp;Detalle_OC[[#This Row],[Nro Almacen]],Almacen!A:D,4,FALSE),"")</f>
        <v>Montelima</v>
      </c>
    </row>
    <row r="2032" spans="1:12" x14ac:dyDescent="0.3">
      <c r="A2032" s="29" t="str">
        <f>Detalle_OC[[#This Row],[Centro]]&amp;Detalle_OC[[#This Row],[Nom Almacen]]&amp;Detalle_OC[[#This Row],[Material]]&amp;Detalle_OC[[#This Row],[Pedido]]&amp;Detalle_OC[[#This Row],[Posicion]]</f>
        <v>Agricola del Chira PlantaMontelima700416294511568003250</v>
      </c>
      <c r="B2032" t="s">
        <v>149</v>
      </c>
      <c r="C2032" t="s">
        <v>166</v>
      </c>
      <c r="D2032" s="11">
        <v>45618</v>
      </c>
      <c r="E2032" t="s">
        <v>16</v>
      </c>
      <c r="F2032" t="s">
        <v>12</v>
      </c>
      <c r="G2032">
        <v>70041629</v>
      </c>
      <c r="H2032">
        <v>4511568003</v>
      </c>
      <c r="I2032">
        <v>250</v>
      </c>
      <c r="J2032" s="29">
        <v>1</v>
      </c>
      <c r="K2032" s="29" t="s">
        <v>118</v>
      </c>
      <c r="L2032" t="str">
        <f>IFERROR(VLOOKUP(Detalle_OC[[#This Row],[Centro]]&amp;Detalle_OC[[#This Row],[Nro Almacen]],Almacen!A:D,4,FALSE),"")</f>
        <v>Montelima</v>
      </c>
    </row>
    <row r="2033" spans="1:12" x14ac:dyDescent="0.3">
      <c r="A2033" s="29" t="str">
        <f>Detalle_OC[[#This Row],[Centro]]&amp;Detalle_OC[[#This Row],[Nom Almacen]]&amp;Detalle_OC[[#This Row],[Material]]&amp;Detalle_OC[[#This Row],[Pedido]]&amp;Detalle_OC[[#This Row],[Posicion]]</f>
        <v>Agricola del Chira PlantaMontelima700771804511568003260</v>
      </c>
      <c r="B2033" t="s">
        <v>188</v>
      </c>
      <c r="C2033" t="s">
        <v>166</v>
      </c>
      <c r="D2033" s="11">
        <v>45604</v>
      </c>
      <c r="E2033" t="s">
        <v>16</v>
      </c>
      <c r="F2033" t="s">
        <v>12</v>
      </c>
      <c r="G2033">
        <v>70077180</v>
      </c>
      <c r="H2033">
        <v>4511568003</v>
      </c>
      <c r="I2033">
        <v>260</v>
      </c>
      <c r="J2033" s="29">
        <v>1</v>
      </c>
      <c r="K2033" s="29" t="s">
        <v>118</v>
      </c>
      <c r="L2033" t="str">
        <f>IFERROR(VLOOKUP(Detalle_OC[[#This Row],[Centro]]&amp;Detalle_OC[[#This Row],[Nro Almacen]],Almacen!A:D,4,FALSE),"")</f>
        <v>Montelima</v>
      </c>
    </row>
    <row r="2034" spans="1:12" x14ac:dyDescent="0.3">
      <c r="A2034" s="29" t="str">
        <f>Detalle_OC[[#This Row],[Centro]]&amp;Detalle_OC[[#This Row],[Nom Almacen]]&amp;Detalle_OC[[#This Row],[Material]]&amp;Detalle_OC[[#This Row],[Pedido]]&amp;Detalle_OC[[#This Row],[Posicion]]</f>
        <v>Agricola del Chira PlantaAlmacen Lobo700987084511568003270</v>
      </c>
      <c r="B2034" t="s">
        <v>149</v>
      </c>
      <c r="C2034" t="s">
        <v>166</v>
      </c>
      <c r="D2034" s="11">
        <v>45597</v>
      </c>
      <c r="E2034" t="s">
        <v>16</v>
      </c>
      <c r="F2034" t="s">
        <v>12</v>
      </c>
      <c r="G2034">
        <v>70098708</v>
      </c>
      <c r="H2034">
        <v>4511568003</v>
      </c>
      <c r="I2034">
        <v>270</v>
      </c>
      <c r="J2034" s="29">
        <v>7</v>
      </c>
      <c r="K2034" s="29" t="s">
        <v>118</v>
      </c>
      <c r="L2034" t="str">
        <f>IFERROR(VLOOKUP(Detalle_OC[[#This Row],[Centro]]&amp;Detalle_OC[[#This Row],[Nro Almacen]],Almacen!A:D,4,FALSE),"")</f>
        <v>Almacen Lobo</v>
      </c>
    </row>
    <row r="2035" spans="1:12" x14ac:dyDescent="0.3">
      <c r="A2035" s="29" t="str">
        <f>Detalle_OC[[#This Row],[Centro]]&amp;Detalle_OC[[#This Row],[Nom Almacen]]&amp;Detalle_OC[[#This Row],[Material]]&amp;Detalle_OC[[#This Row],[Pedido]]&amp;Detalle_OC[[#This Row],[Posicion]]</f>
        <v>Sucroalcolera del Chira PlantaMontelima748084451156801710</v>
      </c>
      <c r="B2035" t="s">
        <v>138</v>
      </c>
      <c r="C2035" t="s">
        <v>24</v>
      </c>
      <c r="D2035" s="11">
        <v>45604</v>
      </c>
      <c r="E2035" t="s">
        <v>16</v>
      </c>
      <c r="F2035" t="s">
        <v>85</v>
      </c>
      <c r="G2035">
        <v>748084</v>
      </c>
      <c r="H2035">
        <v>4511568017</v>
      </c>
      <c r="I2035">
        <v>10</v>
      </c>
      <c r="J2035" s="29">
        <v>1</v>
      </c>
      <c r="K2035" s="29" t="s">
        <v>118</v>
      </c>
      <c r="L2035" t="str">
        <f>IFERROR(VLOOKUP(Detalle_OC[[#This Row],[Centro]]&amp;Detalle_OC[[#This Row],[Nro Almacen]],Almacen!A:D,4,FALSE),"")</f>
        <v>Montelima</v>
      </c>
    </row>
    <row r="2036" spans="1:12" x14ac:dyDescent="0.3">
      <c r="A2036" s="29" t="str">
        <f>Detalle_OC[[#This Row],[Centro]]&amp;Detalle_OC[[#This Row],[Nom Almacen]]&amp;Detalle_OC[[#This Row],[Material]]&amp;Detalle_OC[[#This Row],[Pedido]]&amp;Detalle_OC[[#This Row],[Posicion]]</f>
        <v>Agricola del Chira PlantaMontelima70071176451156802810</v>
      </c>
      <c r="B2036" t="s">
        <v>149</v>
      </c>
      <c r="C2036" t="s">
        <v>166</v>
      </c>
      <c r="D2036" s="11">
        <v>45656</v>
      </c>
      <c r="E2036" t="s">
        <v>16</v>
      </c>
      <c r="F2036" t="s">
        <v>12</v>
      </c>
      <c r="G2036">
        <v>70071176</v>
      </c>
      <c r="H2036">
        <v>4511568028</v>
      </c>
      <c r="I2036">
        <v>10</v>
      </c>
      <c r="J2036" s="29">
        <v>1</v>
      </c>
      <c r="K2036" s="29" t="s">
        <v>118</v>
      </c>
      <c r="L2036" t="str">
        <f>IFERROR(VLOOKUP(Detalle_OC[[#This Row],[Centro]]&amp;Detalle_OC[[#This Row],[Nro Almacen]],Almacen!A:D,4,FALSE),"")</f>
        <v>Montelima</v>
      </c>
    </row>
    <row r="2037" spans="1:12" x14ac:dyDescent="0.3">
      <c r="A2037" s="29" t="str">
        <f>Detalle_OC[[#This Row],[Centro]]&amp;Detalle_OC[[#This Row],[Nom Almacen]]&amp;Detalle_OC[[#This Row],[Material]]&amp;Detalle_OC[[#This Row],[Pedido]]&amp;Detalle_OC[[#This Row],[Posicion]]</f>
        <v>Agricola del Chira PlantaMontelima841920451156802820</v>
      </c>
      <c r="B2037" t="s">
        <v>149</v>
      </c>
      <c r="C2037" t="s">
        <v>166</v>
      </c>
      <c r="D2037" s="11">
        <v>45656</v>
      </c>
      <c r="E2037" t="s">
        <v>16</v>
      </c>
      <c r="F2037" t="s">
        <v>12</v>
      </c>
      <c r="G2037">
        <v>841920</v>
      </c>
      <c r="H2037">
        <v>4511568028</v>
      </c>
      <c r="I2037">
        <v>20</v>
      </c>
      <c r="J2037" s="29">
        <v>1</v>
      </c>
      <c r="K2037" s="29" t="s">
        <v>118</v>
      </c>
      <c r="L2037" t="str">
        <f>IFERROR(VLOOKUP(Detalle_OC[[#This Row],[Centro]]&amp;Detalle_OC[[#This Row],[Nro Almacen]],Almacen!A:D,4,FALSE),"")</f>
        <v>Montelima</v>
      </c>
    </row>
    <row r="2038" spans="1:12" x14ac:dyDescent="0.3">
      <c r="A2038" s="29" t="str">
        <f>Detalle_OC[[#This Row],[Centro]]&amp;Detalle_OC[[#This Row],[Nom Almacen]]&amp;Detalle_OC[[#This Row],[Material]]&amp;Detalle_OC[[#This Row],[Pedido]]&amp;Detalle_OC[[#This Row],[Posicion]]</f>
        <v>Agricola del Chira PlantaMontelima886263451156802830</v>
      </c>
      <c r="B2038" t="s">
        <v>188</v>
      </c>
      <c r="C2038" t="s">
        <v>166</v>
      </c>
      <c r="D2038" s="11">
        <v>45602</v>
      </c>
      <c r="E2038" t="s">
        <v>16</v>
      </c>
      <c r="F2038" t="s">
        <v>12</v>
      </c>
      <c r="G2038">
        <v>886263</v>
      </c>
      <c r="H2038">
        <v>4511568028</v>
      </c>
      <c r="I2038">
        <v>30</v>
      </c>
      <c r="J2038" s="29">
        <v>1</v>
      </c>
      <c r="K2038" s="29" t="s">
        <v>118</v>
      </c>
      <c r="L2038" t="str">
        <f>IFERROR(VLOOKUP(Detalle_OC[[#This Row],[Centro]]&amp;Detalle_OC[[#This Row],[Nro Almacen]],Almacen!A:D,4,FALSE),"")</f>
        <v>Montelima</v>
      </c>
    </row>
    <row r="2039" spans="1:12" x14ac:dyDescent="0.3">
      <c r="A2039" s="29" t="str">
        <f>Detalle_OC[[#This Row],[Centro]]&amp;Detalle_OC[[#This Row],[Nom Almacen]]&amp;Detalle_OC[[#This Row],[Material]]&amp;Detalle_OC[[#This Row],[Pedido]]&amp;Detalle_OC[[#This Row],[Posicion]]</f>
        <v>Agricola del Chira PlantaMontelima886265451156802840</v>
      </c>
      <c r="B2039" t="s">
        <v>188</v>
      </c>
      <c r="C2039" t="s">
        <v>166</v>
      </c>
      <c r="D2039" s="11">
        <v>45602</v>
      </c>
      <c r="E2039" t="s">
        <v>16</v>
      </c>
      <c r="F2039" t="s">
        <v>12</v>
      </c>
      <c r="G2039">
        <v>886265</v>
      </c>
      <c r="H2039">
        <v>4511568028</v>
      </c>
      <c r="I2039">
        <v>40</v>
      </c>
      <c r="J2039" s="29">
        <v>1</v>
      </c>
      <c r="K2039" s="29" t="s">
        <v>118</v>
      </c>
      <c r="L2039" t="str">
        <f>IFERROR(VLOOKUP(Detalle_OC[[#This Row],[Centro]]&amp;Detalle_OC[[#This Row],[Nro Almacen]],Almacen!A:D,4,FALSE),"")</f>
        <v>Montelima</v>
      </c>
    </row>
    <row r="2040" spans="1:12" x14ac:dyDescent="0.3">
      <c r="A2040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2040" t="s">
        <v>28</v>
      </c>
      <c r="C2040" t="s">
        <v>94</v>
      </c>
      <c r="D2040" s="11">
        <v>45588</v>
      </c>
      <c r="E2040" t="s">
        <v>16</v>
      </c>
      <c r="F2040" t="s">
        <v>85</v>
      </c>
      <c r="G2040" t="s">
        <v>95</v>
      </c>
      <c r="H2040">
        <v>5500024746</v>
      </c>
      <c r="I2040">
        <v>10</v>
      </c>
      <c r="J2040" s="29">
        <v>1</v>
      </c>
      <c r="K2040" s="29" t="s">
        <v>118</v>
      </c>
      <c r="L2040" t="str">
        <f>IFERROR(VLOOKUP(Detalle_OC[[#This Row],[Centro]]&amp;Detalle_OC[[#This Row],[Nro Almacen]],Almacen!A:D,4,FALSE),"")</f>
        <v>Montelima</v>
      </c>
    </row>
    <row r="2041" spans="1:12" x14ac:dyDescent="0.3">
      <c r="A2041" s="29" t="str">
        <f>Detalle_OC[[#This Row],[Centro]]&amp;Detalle_OC[[#This Row],[Nom Almacen]]&amp;Detalle_OC[[#This Row],[Material]]&amp;Detalle_OC[[#This Row],[Pedido]]&amp;Detalle_OC[[#This Row],[Posicion]]</f>
        <v>Agricola del Chira PlantaSan VicenteMWAGR000058       550002481560</v>
      </c>
      <c r="B2041" t="s">
        <v>28</v>
      </c>
      <c r="C2041" t="s">
        <v>112</v>
      </c>
      <c r="D2041" s="11">
        <v>45588</v>
      </c>
      <c r="E2041" t="s">
        <v>16</v>
      </c>
      <c r="F2041" t="s">
        <v>12</v>
      </c>
      <c r="G2041" t="s">
        <v>113</v>
      </c>
      <c r="H2041">
        <v>5500024815</v>
      </c>
      <c r="I2041">
        <v>60</v>
      </c>
      <c r="J2041" s="29">
        <v>3</v>
      </c>
      <c r="K2041" s="29" t="s">
        <v>118</v>
      </c>
      <c r="L2041" t="str">
        <f>IFERROR(VLOOKUP(Detalle_OC[[#This Row],[Centro]]&amp;Detalle_OC[[#This Row],[Nro Almacen]],Almacen!A:D,4,FALSE),"")</f>
        <v>San Vicente</v>
      </c>
    </row>
    <row r="2042" spans="1:12" x14ac:dyDescent="0.3">
      <c r="A2042" s="29" t="str">
        <f>Detalle_OC[[#This Row],[Centro]]&amp;Detalle_OC[[#This Row],[Nom Almacen]]&amp;Detalle_OC[[#This Row],[Material]]&amp;Detalle_OC[[#This Row],[Pedido]]&amp;Detalle_OC[[#This Row],[Posicion]]</f>
        <v>Agricola del Chira PlantaMontelima721556550002485560</v>
      </c>
      <c r="B2042" t="s">
        <v>28</v>
      </c>
      <c r="C2042" t="s">
        <v>96</v>
      </c>
      <c r="D2042" s="11">
        <v>45596</v>
      </c>
      <c r="E2042" t="s">
        <v>16</v>
      </c>
      <c r="F2042" t="s">
        <v>12</v>
      </c>
      <c r="G2042">
        <v>721556</v>
      </c>
      <c r="H2042">
        <v>5500024855</v>
      </c>
      <c r="I2042">
        <v>60</v>
      </c>
      <c r="J2042" s="29">
        <v>1</v>
      </c>
      <c r="K2042" s="29" t="s">
        <v>118</v>
      </c>
      <c r="L2042" t="str">
        <f>IFERROR(VLOOKUP(Detalle_OC[[#This Row],[Centro]]&amp;Detalle_OC[[#This Row],[Nro Almacen]],Almacen!A:D,4,FALSE),"")</f>
        <v>Montelima</v>
      </c>
    </row>
    <row r="2043" spans="1:12" x14ac:dyDescent="0.3">
      <c r="A2043" s="29" t="str">
        <f>Detalle_OC[[#This Row],[Centro]]&amp;Detalle_OC[[#This Row],[Nom Almacen]]&amp;Detalle_OC[[#This Row],[Material]]&amp;Detalle_OC[[#This Row],[Pedido]]&amp;Detalle_OC[[#This Row],[Posicion]]</f>
        <v>Agricola del Chira PlantaMontelima879498451156776610</v>
      </c>
      <c r="B2043" t="s">
        <v>149</v>
      </c>
      <c r="C2043" t="s">
        <v>255</v>
      </c>
      <c r="D2043" s="11">
        <v>45635</v>
      </c>
      <c r="E2043" t="s">
        <v>16</v>
      </c>
      <c r="F2043" t="s">
        <v>12</v>
      </c>
      <c r="G2043">
        <v>879498</v>
      </c>
      <c r="H2043">
        <v>4511567766</v>
      </c>
      <c r="I2043">
        <v>10</v>
      </c>
      <c r="J2043" s="29">
        <v>1</v>
      </c>
      <c r="K2043" s="29" t="s">
        <v>119</v>
      </c>
      <c r="L2043" t="str">
        <f>IFERROR(VLOOKUP(Detalle_OC[[#This Row],[Centro]]&amp;Detalle_OC[[#This Row],[Nro Almacen]],Almacen!A:D,4,FALSE),"")</f>
        <v>Montelima</v>
      </c>
    </row>
    <row r="2044" spans="1:12" x14ac:dyDescent="0.3">
      <c r="A2044" s="29" t="str">
        <f>Detalle_OC[[#This Row],[Centro]]&amp;Detalle_OC[[#This Row],[Nom Almacen]]&amp;Detalle_OC[[#This Row],[Material]]&amp;Detalle_OC[[#This Row],[Pedido]]&amp;Detalle_OC[[#This Row],[Posicion]]</f>
        <v>Agricola del Chira PlantaMontelima844399451156776620</v>
      </c>
      <c r="B2044" t="s">
        <v>149</v>
      </c>
      <c r="C2044" t="s">
        <v>255</v>
      </c>
      <c r="D2044" s="11">
        <v>45635</v>
      </c>
      <c r="E2044" t="s">
        <v>16</v>
      </c>
      <c r="F2044" t="s">
        <v>12</v>
      </c>
      <c r="G2044">
        <v>844399</v>
      </c>
      <c r="H2044">
        <v>4511567766</v>
      </c>
      <c r="I2044">
        <v>20</v>
      </c>
      <c r="J2044" s="29">
        <v>1</v>
      </c>
      <c r="K2044" s="29" t="s">
        <v>119</v>
      </c>
      <c r="L2044" t="str">
        <f>IFERROR(VLOOKUP(Detalle_OC[[#This Row],[Centro]]&amp;Detalle_OC[[#This Row],[Nro Almacen]],Almacen!A:D,4,FALSE),"")</f>
        <v>Montelima</v>
      </c>
    </row>
    <row r="2045" spans="1:12" x14ac:dyDescent="0.3">
      <c r="A2045" s="29" t="str">
        <f>Detalle_OC[[#This Row],[Centro]]&amp;Detalle_OC[[#This Row],[Nom Almacen]]&amp;Detalle_OC[[#This Row],[Material]]&amp;Detalle_OC[[#This Row],[Pedido]]&amp;Detalle_OC[[#This Row],[Posicion]]</f>
        <v>Agricola del Chira PlantaMontelima70133091451156776630</v>
      </c>
      <c r="B2045" t="s">
        <v>149</v>
      </c>
      <c r="C2045" t="s">
        <v>255</v>
      </c>
      <c r="D2045" s="11">
        <v>45635</v>
      </c>
      <c r="E2045" t="s">
        <v>16</v>
      </c>
      <c r="F2045" t="s">
        <v>12</v>
      </c>
      <c r="G2045">
        <v>70133091</v>
      </c>
      <c r="H2045">
        <v>4511567766</v>
      </c>
      <c r="I2045">
        <v>30</v>
      </c>
      <c r="J2045" s="29">
        <v>1</v>
      </c>
      <c r="K2045" s="29" t="s">
        <v>119</v>
      </c>
      <c r="L2045" t="str">
        <f>IFERROR(VLOOKUP(Detalle_OC[[#This Row],[Centro]]&amp;Detalle_OC[[#This Row],[Nro Almacen]],Almacen!A:D,4,FALSE),"")</f>
        <v>Montelima</v>
      </c>
    </row>
    <row r="2046" spans="1:12" x14ac:dyDescent="0.3">
      <c r="A2046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fábrica811085451156777510</v>
      </c>
      <c r="B2046" t="s">
        <v>142</v>
      </c>
      <c r="C2046" t="s">
        <v>1136</v>
      </c>
      <c r="D2046" s="11">
        <v>45646</v>
      </c>
      <c r="E2046" t="s">
        <v>16</v>
      </c>
      <c r="F2046" t="s">
        <v>85</v>
      </c>
      <c r="G2046">
        <v>811085</v>
      </c>
      <c r="H2046">
        <v>4511567775</v>
      </c>
      <c r="I2046">
        <v>10</v>
      </c>
      <c r="J2046" s="29">
        <v>9</v>
      </c>
      <c r="K2046" s="29" t="s">
        <v>119</v>
      </c>
      <c r="L2046" t="str">
        <f>IFERROR(VLOOKUP(Detalle_OC[[#This Row],[Centro]]&amp;Detalle_OC[[#This Row],[Nro Almacen]],Almacen!A:D,4,FALSE),"")</f>
        <v>Parada fábrica</v>
      </c>
    </row>
    <row r="2047" spans="1:12" x14ac:dyDescent="0.3">
      <c r="A2047" s="29" t="str">
        <f>Detalle_OC[[#This Row],[Centro]]&amp;Detalle_OC[[#This Row],[Nom Almacen]]&amp;Detalle_OC[[#This Row],[Material]]&amp;Detalle_OC[[#This Row],[Pedido]]&amp;Detalle_OC[[#This Row],[Posicion]]</f>
        <v>FALSO</v>
      </c>
      <c r="B2047" t="s">
        <v>209</v>
      </c>
      <c r="D2047" s="11" t="s">
        <v>164</v>
      </c>
      <c r="E2047" t="b">
        <v>0</v>
      </c>
      <c r="F2047" t="b">
        <v>0</v>
      </c>
      <c r="J2047" s="29"/>
      <c r="K2047" s="29"/>
      <c r="L2047" t="str">
        <f>IFERROR(VLOOKUP(Detalle_OC[[#This Row],[Centro]]&amp;Detalle_OC[[#This Row],[Nro Almacen]],Almacen!A:D,4,FALSE),"")</f>
        <v/>
      </c>
    </row>
    <row r="2048" spans="1:12" x14ac:dyDescent="0.3">
      <c r="A2048" s="29" t="str">
        <f>Detalle_OC[[#This Row],[Centro]]&amp;Detalle_OC[[#This Row],[Nom Almacen]]&amp;Detalle_OC[[#This Row],[Material]]&amp;Detalle_OC[[#This Row],[Pedido]]&amp;Detalle_OC[[#This Row],[Posicion]]</f>
        <v>FALSO4511567781101</v>
      </c>
      <c r="B2048" t="s">
        <v>1203</v>
      </c>
      <c r="C2048" t="s">
        <v>1175</v>
      </c>
      <c r="D2048" s="11" t="s">
        <v>210</v>
      </c>
      <c r="E2048" t="b">
        <v>0</v>
      </c>
      <c r="F2048" t="b">
        <v>0</v>
      </c>
      <c r="G2048">
        <v>4511567781</v>
      </c>
      <c r="H2048">
        <v>10</v>
      </c>
      <c r="I2048">
        <v>1</v>
      </c>
      <c r="J2048" s="29" t="s">
        <v>119</v>
      </c>
      <c r="K2048" s="29"/>
      <c r="L2048" t="str">
        <f>IFERROR(VLOOKUP(Detalle_OC[[#This Row],[Centro]]&amp;Detalle_OC[[#This Row],[Nro Almacen]],Almacen!A:D,4,FALSE),"")</f>
        <v/>
      </c>
    </row>
    <row r="2049" spans="1:12" x14ac:dyDescent="0.3">
      <c r="A2049" s="29" t="str">
        <f>Detalle_OC[[#This Row],[Centro]]&amp;Detalle_OC[[#This Row],[Nom Almacen]]&amp;Detalle_OC[[#This Row],[Material]]&amp;Detalle_OC[[#This Row],[Pedido]]&amp;Detalle_OC[[#This Row],[Posicion]]</f>
        <v>Agricola del Chira PlantaMontelima841089451156778120</v>
      </c>
      <c r="B2049" t="s">
        <v>200</v>
      </c>
      <c r="C2049" t="s">
        <v>1203</v>
      </c>
      <c r="D2049" s="11">
        <v>45618</v>
      </c>
      <c r="E2049" t="s">
        <v>48</v>
      </c>
      <c r="F2049" t="s">
        <v>12</v>
      </c>
      <c r="G2049">
        <v>841089</v>
      </c>
      <c r="H2049">
        <v>4511567781</v>
      </c>
      <c r="I2049">
        <v>20</v>
      </c>
      <c r="J2049" s="29">
        <v>1</v>
      </c>
      <c r="K2049" s="29" t="s">
        <v>119</v>
      </c>
      <c r="L2049" t="str">
        <f>IFERROR(VLOOKUP(Detalle_OC[[#This Row],[Centro]]&amp;Detalle_OC[[#This Row],[Nro Almacen]],Almacen!A:D,4,FALSE),"")</f>
        <v>Montelima</v>
      </c>
    </row>
    <row r="2050" spans="1:12" x14ac:dyDescent="0.3">
      <c r="A2050" s="29" t="str">
        <f>Detalle_OC[[#This Row],[Centro]]&amp;Detalle_OC[[#This Row],[Nom Almacen]]&amp;Detalle_OC[[#This Row],[Material]]&amp;Detalle_OC[[#This Row],[Pedido]]&amp;Detalle_OC[[#This Row],[Posicion]]</f>
        <v>Agricola del Chira PlantaMontelima841089451156778130</v>
      </c>
      <c r="B2050" t="s">
        <v>200</v>
      </c>
      <c r="C2050" t="s">
        <v>1203</v>
      </c>
      <c r="D2050" s="11">
        <v>45618</v>
      </c>
      <c r="E2050" t="s">
        <v>48</v>
      </c>
      <c r="F2050" t="s">
        <v>12</v>
      </c>
      <c r="G2050">
        <v>841089</v>
      </c>
      <c r="H2050">
        <v>4511567781</v>
      </c>
      <c r="I2050">
        <v>30</v>
      </c>
      <c r="J2050" s="29">
        <v>1</v>
      </c>
      <c r="K2050" s="29" t="s">
        <v>119</v>
      </c>
      <c r="L2050" t="str">
        <f>IFERROR(VLOOKUP(Detalle_OC[[#This Row],[Centro]]&amp;Detalle_OC[[#This Row],[Nro Almacen]],Almacen!A:D,4,FALSE),"")</f>
        <v>Montelima</v>
      </c>
    </row>
    <row r="2051" spans="1:12" x14ac:dyDescent="0.3">
      <c r="A2051" s="29" t="str">
        <f>Detalle_OC[[#This Row],[Centro]]&amp;Detalle_OC[[#This Row],[Nom Almacen]]&amp;Detalle_OC[[#This Row],[Material]]&amp;Detalle_OC[[#This Row],[Pedido]]&amp;Detalle_OC[[#This Row],[Posicion]]</f>
        <v>Agricola del Chira PlantaMontelima841089451156778140</v>
      </c>
      <c r="B2051" t="s">
        <v>200</v>
      </c>
      <c r="C2051" t="s">
        <v>1203</v>
      </c>
      <c r="D2051" s="11">
        <v>45618</v>
      </c>
      <c r="E2051" t="s">
        <v>48</v>
      </c>
      <c r="F2051" t="s">
        <v>12</v>
      </c>
      <c r="G2051">
        <v>841089</v>
      </c>
      <c r="H2051">
        <v>4511567781</v>
      </c>
      <c r="I2051">
        <v>40</v>
      </c>
      <c r="J2051" s="29">
        <v>1</v>
      </c>
      <c r="K2051" s="29" t="s">
        <v>119</v>
      </c>
      <c r="L2051" t="str">
        <f>IFERROR(VLOOKUP(Detalle_OC[[#This Row],[Centro]]&amp;Detalle_OC[[#This Row],[Nro Almacen]],Almacen!A:D,4,FALSE),"")</f>
        <v>Montelima</v>
      </c>
    </row>
    <row r="2052" spans="1:12" x14ac:dyDescent="0.3">
      <c r="A2052" s="29" t="str">
        <f>Detalle_OC[[#This Row],[Centro]]&amp;Detalle_OC[[#This Row],[Nom Almacen]]&amp;Detalle_OC[[#This Row],[Material]]&amp;Detalle_OC[[#This Row],[Pedido]]&amp;Detalle_OC[[#This Row],[Posicion]]</f>
        <v>Agricola del Chira PlantaMontelima841089451156778150</v>
      </c>
      <c r="B2052" t="s">
        <v>200</v>
      </c>
      <c r="C2052" t="s">
        <v>1203</v>
      </c>
      <c r="D2052" s="11">
        <v>45618</v>
      </c>
      <c r="E2052" t="s">
        <v>48</v>
      </c>
      <c r="F2052" t="s">
        <v>12</v>
      </c>
      <c r="G2052">
        <v>841089</v>
      </c>
      <c r="H2052">
        <v>4511567781</v>
      </c>
      <c r="I2052">
        <v>50</v>
      </c>
      <c r="J2052" s="29">
        <v>1</v>
      </c>
      <c r="K2052" s="29" t="s">
        <v>119</v>
      </c>
      <c r="L2052" t="str">
        <f>IFERROR(VLOOKUP(Detalle_OC[[#This Row],[Centro]]&amp;Detalle_OC[[#This Row],[Nro Almacen]],Almacen!A:D,4,FALSE),"")</f>
        <v>Montelima</v>
      </c>
    </row>
    <row r="2053" spans="1:12" x14ac:dyDescent="0.3">
      <c r="A2053" s="29" t="str">
        <f>Detalle_OC[[#This Row],[Centro]]&amp;Detalle_OC[[#This Row],[Nom Almacen]]&amp;Detalle_OC[[#This Row],[Material]]&amp;Detalle_OC[[#This Row],[Pedido]]&amp;Detalle_OC[[#This Row],[Posicion]]</f>
        <v>Sucroalcolera del Chira PlantaMontelima841089451156778210</v>
      </c>
      <c r="B2053" t="s">
        <v>200</v>
      </c>
      <c r="C2053" t="s">
        <v>1203</v>
      </c>
      <c r="D2053" s="11">
        <v>45618</v>
      </c>
      <c r="E2053" t="s">
        <v>48</v>
      </c>
      <c r="F2053" t="s">
        <v>85</v>
      </c>
      <c r="G2053">
        <v>841089</v>
      </c>
      <c r="H2053">
        <v>4511567782</v>
      </c>
      <c r="I2053">
        <v>10</v>
      </c>
      <c r="J2053" s="29">
        <v>1</v>
      </c>
      <c r="K2053" s="29" t="s">
        <v>119</v>
      </c>
      <c r="L2053" t="str">
        <f>IFERROR(VLOOKUP(Detalle_OC[[#This Row],[Centro]]&amp;Detalle_OC[[#This Row],[Nro Almacen]],Almacen!A:D,4,FALSE),"")</f>
        <v>Montelima</v>
      </c>
    </row>
    <row r="2054" spans="1:12" x14ac:dyDescent="0.3">
      <c r="A2054" s="29" t="str">
        <f>Detalle_OC[[#This Row],[Centro]]&amp;Detalle_OC[[#This Row],[Nom Almacen]]&amp;Detalle_OC[[#This Row],[Material]]&amp;Detalle_OC[[#This Row],[Pedido]]&amp;Detalle_OC[[#This Row],[Posicion]]</f>
        <v>Sucroalcolera del Chira PlantaMontelima841089451156778220</v>
      </c>
      <c r="B2054" t="s">
        <v>200</v>
      </c>
      <c r="C2054" t="s">
        <v>1203</v>
      </c>
      <c r="D2054" s="11">
        <v>45618</v>
      </c>
      <c r="E2054" t="s">
        <v>48</v>
      </c>
      <c r="F2054" t="s">
        <v>85</v>
      </c>
      <c r="G2054">
        <v>841089</v>
      </c>
      <c r="H2054">
        <v>4511567782</v>
      </c>
      <c r="I2054">
        <v>20</v>
      </c>
      <c r="J2054" s="29">
        <v>1</v>
      </c>
      <c r="K2054" s="29" t="s">
        <v>119</v>
      </c>
      <c r="L2054" t="str">
        <f>IFERROR(VLOOKUP(Detalle_OC[[#This Row],[Centro]]&amp;Detalle_OC[[#This Row],[Nro Almacen]],Almacen!A:D,4,FALSE),"")</f>
        <v>Montelima</v>
      </c>
    </row>
    <row r="2055" spans="1:12" x14ac:dyDescent="0.3">
      <c r="A2055" s="29" t="str">
        <f>Detalle_OC[[#This Row],[Centro]]&amp;Detalle_OC[[#This Row],[Nom Almacen]]&amp;Detalle_OC[[#This Row],[Material]]&amp;Detalle_OC[[#This Row],[Pedido]]&amp;Detalle_OC[[#This Row],[Posicion]]</f>
        <v>Agricola del Chira PlantaMontelima804177451156781110</v>
      </c>
      <c r="B2055" t="s">
        <v>149</v>
      </c>
      <c r="C2055" t="s">
        <v>216</v>
      </c>
      <c r="D2055" s="11">
        <v>45625</v>
      </c>
      <c r="E2055" t="s">
        <v>16</v>
      </c>
      <c r="F2055" t="s">
        <v>12</v>
      </c>
      <c r="G2055">
        <v>804177</v>
      </c>
      <c r="H2055">
        <v>4511567811</v>
      </c>
      <c r="I2055">
        <v>10</v>
      </c>
      <c r="J2055" s="29">
        <v>1</v>
      </c>
      <c r="K2055" s="29" t="s">
        <v>119</v>
      </c>
      <c r="L2055" t="str">
        <f>IFERROR(VLOOKUP(Detalle_OC[[#This Row],[Centro]]&amp;Detalle_OC[[#This Row],[Nro Almacen]],Almacen!A:D,4,FALSE),"")</f>
        <v>Montelima</v>
      </c>
    </row>
    <row r="2056" spans="1:12" x14ac:dyDescent="0.3">
      <c r="A2056" s="29" t="str">
        <f>Detalle_OC[[#This Row],[Centro]]&amp;Detalle_OC[[#This Row],[Nom Almacen]]&amp;Detalle_OC[[#This Row],[Material]]&amp;Detalle_OC[[#This Row],[Pedido]]&amp;Detalle_OC[[#This Row],[Posicion]]</f>
        <v>Agricola del Chira PlantaMontelima818058451156781120</v>
      </c>
      <c r="B2056" t="s">
        <v>149</v>
      </c>
      <c r="C2056" t="s">
        <v>216</v>
      </c>
      <c r="D2056" s="11">
        <v>45625</v>
      </c>
      <c r="E2056" t="s">
        <v>16</v>
      </c>
      <c r="F2056" t="s">
        <v>12</v>
      </c>
      <c r="G2056">
        <v>818058</v>
      </c>
      <c r="H2056">
        <v>4511567811</v>
      </c>
      <c r="I2056">
        <v>20</v>
      </c>
      <c r="J2056" s="29">
        <v>1</v>
      </c>
      <c r="K2056" s="29" t="s">
        <v>119</v>
      </c>
      <c r="L2056" t="str">
        <f>IFERROR(VLOOKUP(Detalle_OC[[#This Row],[Centro]]&amp;Detalle_OC[[#This Row],[Nro Almacen]],Almacen!A:D,4,FALSE),"")</f>
        <v>Montelima</v>
      </c>
    </row>
    <row r="2057" spans="1:12" x14ac:dyDescent="0.3">
      <c r="A2057" s="29" t="str">
        <f>Detalle_OC[[#This Row],[Centro]]&amp;Detalle_OC[[#This Row],[Nom Almacen]]&amp;Detalle_OC[[#This Row],[Material]]&amp;Detalle_OC[[#This Row],[Pedido]]&amp;Detalle_OC[[#This Row],[Posicion]]</f>
        <v>Agricola del Chira PlantaMontelima841690451156781130</v>
      </c>
      <c r="B2057" t="s">
        <v>149</v>
      </c>
      <c r="C2057" t="s">
        <v>216</v>
      </c>
      <c r="D2057" s="11">
        <v>45625</v>
      </c>
      <c r="E2057" t="s">
        <v>16</v>
      </c>
      <c r="F2057" t="s">
        <v>12</v>
      </c>
      <c r="G2057">
        <v>841690</v>
      </c>
      <c r="H2057">
        <v>4511567811</v>
      </c>
      <c r="I2057">
        <v>30</v>
      </c>
      <c r="J2057" s="29">
        <v>1</v>
      </c>
      <c r="K2057" s="29" t="s">
        <v>119</v>
      </c>
      <c r="L2057" t="str">
        <f>IFERROR(VLOOKUP(Detalle_OC[[#This Row],[Centro]]&amp;Detalle_OC[[#This Row],[Nro Almacen]],Almacen!A:D,4,FALSE),"")</f>
        <v>Montelima</v>
      </c>
    </row>
    <row r="2058" spans="1:12" x14ac:dyDescent="0.3">
      <c r="A2058" s="29" t="str">
        <f>Detalle_OC[[#This Row],[Centro]]&amp;Detalle_OC[[#This Row],[Nom Almacen]]&amp;Detalle_OC[[#This Row],[Material]]&amp;Detalle_OC[[#This Row],[Pedido]]&amp;Detalle_OC[[#This Row],[Posicion]]</f>
        <v>Agricola del Chira PlantaMontelima841700451156781140</v>
      </c>
      <c r="B2058" t="s">
        <v>149</v>
      </c>
      <c r="C2058" t="s">
        <v>216</v>
      </c>
      <c r="D2058" s="11">
        <v>45625</v>
      </c>
      <c r="E2058" t="s">
        <v>16</v>
      </c>
      <c r="F2058" t="s">
        <v>12</v>
      </c>
      <c r="G2058">
        <v>841700</v>
      </c>
      <c r="H2058">
        <v>4511567811</v>
      </c>
      <c r="I2058">
        <v>40</v>
      </c>
      <c r="J2058" s="29">
        <v>1</v>
      </c>
      <c r="K2058" s="29" t="s">
        <v>119</v>
      </c>
      <c r="L2058" t="str">
        <f>IFERROR(VLOOKUP(Detalle_OC[[#This Row],[Centro]]&amp;Detalle_OC[[#This Row],[Nro Almacen]],Almacen!A:D,4,FALSE),"")</f>
        <v>Montelima</v>
      </c>
    </row>
    <row r="2059" spans="1:12" x14ac:dyDescent="0.3">
      <c r="A2059" s="29" t="str">
        <f>Detalle_OC[[#This Row],[Centro]]&amp;Detalle_OC[[#This Row],[Nom Almacen]]&amp;Detalle_OC[[#This Row],[Material]]&amp;Detalle_OC[[#This Row],[Pedido]]&amp;Detalle_OC[[#This Row],[Posicion]]</f>
        <v>Agricola del Chira PlantaMontelima727377451156781150</v>
      </c>
      <c r="B2059" t="s">
        <v>149</v>
      </c>
      <c r="C2059" t="s">
        <v>216</v>
      </c>
      <c r="D2059" s="11">
        <v>45625</v>
      </c>
      <c r="E2059" t="s">
        <v>16</v>
      </c>
      <c r="F2059" t="s">
        <v>12</v>
      </c>
      <c r="G2059">
        <v>727377</v>
      </c>
      <c r="H2059">
        <v>4511567811</v>
      </c>
      <c r="I2059">
        <v>50</v>
      </c>
      <c r="J2059" s="29">
        <v>1</v>
      </c>
      <c r="K2059" s="29" t="s">
        <v>119</v>
      </c>
      <c r="L2059" t="str">
        <f>IFERROR(VLOOKUP(Detalle_OC[[#This Row],[Centro]]&amp;Detalle_OC[[#This Row],[Nro Almacen]],Almacen!A:D,4,FALSE),"")</f>
        <v>Montelima</v>
      </c>
    </row>
    <row r="2060" spans="1:12" x14ac:dyDescent="0.3">
      <c r="A2060" s="29" t="str">
        <f>Detalle_OC[[#This Row],[Centro]]&amp;Detalle_OC[[#This Row],[Nom Almacen]]&amp;Detalle_OC[[#This Row],[Material]]&amp;Detalle_OC[[#This Row],[Pedido]]&amp;Detalle_OC[[#This Row],[Posicion]]</f>
        <v>Agricola del Chira PlantaMontelima818111451156781160</v>
      </c>
      <c r="B2060" t="s">
        <v>149</v>
      </c>
      <c r="C2060" t="s">
        <v>216</v>
      </c>
      <c r="D2060" s="11">
        <v>45625</v>
      </c>
      <c r="E2060" t="s">
        <v>16</v>
      </c>
      <c r="F2060" t="s">
        <v>12</v>
      </c>
      <c r="G2060">
        <v>818111</v>
      </c>
      <c r="H2060">
        <v>4511567811</v>
      </c>
      <c r="I2060">
        <v>60</v>
      </c>
      <c r="J2060" s="29">
        <v>1</v>
      </c>
      <c r="K2060" s="29" t="s">
        <v>119</v>
      </c>
      <c r="L2060" t="str">
        <f>IFERROR(VLOOKUP(Detalle_OC[[#This Row],[Centro]]&amp;Detalle_OC[[#This Row],[Nro Almacen]],Almacen!A:D,4,FALSE),"")</f>
        <v>Montelima</v>
      </c>
    </row>
    <row r="2061" spans="1:12" x14ac:dyDescent="0.3">
      <c r="A2061" s="29" t="str">
        <f>Detalle_OC[[#This Row],[Centro]]&amp;Detalle_OC[[#This Row],[Nom Almacen]]&amp;Detalle_OC[[#This Row],[Material]]&amp;Detalle_OC[[#This Row],[Pedido]]&amp;Detalle_OC[[#This Row],[Posicion]]</f>
        <v>Agricola del Chira PlantaMontelima846411451156781170</v>
      </c>
      <c r="B2061" t="s">
        <v>149</v>
      </c>
      <c r="C2061" t="s">
        <v>216</v>
      </c>
      <c r="D2061" s="11">
        <v>45625</v>
      </c>
      <c r="E2061" t="s">
        <v>16</v>
      </c>
      <c r="F2061" t="s">
        <v>12</v>
      </c>
      <c r="G2061">
        <v>846411</v>
      </c>
      <c r="H2061">
        <v>4511567811</v>
      </c>
      <c r="I2061">
        <v>70</v>
      </c>
      <c r="J2061" s="29">
        <v>1</v>
      </c>
      <c r="K2061" s="29" t="s">
        <v>119</v>
      </c>
      <c r="L2061" t="str">
        <f>IFERROR(VLOOKUP(Detalle_OC[[#This Row],[Centro]]&amp;Detalle_OC[[#This Row],[Nro Almacen]],Almacen!A:D,4,FALSE),"")</f>
        <v>Montelima</v>
      </c>
    </row>
    <row r="2062" spans="1:12" x14ac:dyDescent="0.3">
      <c r="A2062" s="29" t="str">
        <f>Detalle_OC[[#This Row],[Centro]]&amp;Detalle_OC[[#This Row],[Nom Almacen]]&amp;Detalle_OC[[#This Row],[Material]]&amp;Detalle_OC[[#This Row],[Pedido]]&amp;Detalle_OC[[#This Row],[Posicion]]</f>
        <v>Agricola del Chira PlantaMontelima812552451156787310</v>
      </c>
      <c r="B2062" t="s">
        <v>149</v>
      </c>
      <c r="C2062" t="s">
        <v>216</v>
      </c>
      <c r="D2062" s="11">
        <v>45602</v>
      </c>
      <c r="E2062" t="s">
        <v>16</v>
      </c>
      <c r="F2062" t="s">
        <v>12</v>
      </c>
      <c r="G2062">
        <v>812552</v>
      </c>
      <c r="H2062">
        <v>4511567873</v>
      </c>
      <c r="I2062">
        <v>10</v>
      </c>
      <c r="J2062" s="29">
        <v>1</v>
      </c>
      <c r="K2062" s="29" t="s">
        <v>119</v>
      </c>
      <c r="L2062" t="str">
        <f>IFERROR(VLOOKUP(Detalle_OC[[#This Row],[Centro]]&amp;Detalle_OC[[#This Row],[Nro Almacen]],Almacen!A:D,4,FALSE),"")</f>
        <v>Montelima</v>
      </c>
    </row>
    <row r="2063" spans="1:12" x14ac:dyDescent="0.3">
      <c r="A2063" s="29" t="str">
        <f>Detalle_OC[[#This Row],[Centro]]&amp;Detalle_OC[[#This Row],[Nom Almacen]]&amp;Detalle_OC[[#This Row],[Material]]&amp;Detalle_OC[[#This Row],[Pedido]]&amp;Detalle_OC[[#This Row],[Posicion]]</f>
        <v>Agricola del Chira PlantaMontelima70100392550002475110</v>
      </c>
      <c r="B2063" t="s">
        <v>28</v>
      </c>
      <c r="C2063" t="s">
        <v>54</v>
      </c>
      <c r="D2063" s="11">
        <v>45587</v>
      </c>
      <c r="E2063" t="s">
        <v>16</v>
      </c>
      <c r="F2063" t="s">
        <v>12</v>
      </c>
      <c r="G2063">
        <v>70100392</v>
      </c>
      <c r="H2063">
        <v>5500024751</v>
      </c>
      <c r="I2063">
        <v>10</v>
      </c>
      <c r="J2063" s="29">
        <v>1</v>
      </c>
      <c r="K2063" s="29" t="s">
        <v>119</v>
      </c>
      <c r="L2063" t="str">
        <f>IFERROR(VLOOKUP(Detalle_OC[[#This Row],[Centro]]&amp;Detalle_OC[[#This Row],[Nro Almacen]],Almacen!A:D,4,FALSE),"")</f>
        <v>Montelima</v>
      </c>
    </row>
    <row r="2064" spans="1:12" x14ac:dyDescent="0.3">
      <c r="A2064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2064" t="s">
        <v>28</v>
      </c>
      <c r="C2064" t="s">
        <v>54</v>
      </c>
      <c r="D2064" s="11">
        <v>45587</v>
      </c>
      <c r="E2064" t="s">
        <v>16</v>
      </c>
      <c r="F2064" t="s">
        <v>12</v>
      </c>
      <c r="G2064">
        <v>70100392</v>
      </c>
      <c r="H2064">
        <v>5500024751</v>
      </c>
      <c r="I2064">
        <v>20</v>
      </c>
      <c r="J2064" s="29">
        <v>2</v>
      </c>
      <c r="K2064" s="29" t="s">
        <v>119</v>
      </c>
      <c r="L2064" t="str">
        <f>IFERROR(VLOOKUP(Detalle_OC[[#This Row],[Centro]]&amp;Detalle_OC[[#This Row],[Nro Almacen]],Almacen!A:D,4,FALSE),"")</f>
        <v>La Huaca</v>
      </c>
    </row>
    <row r="2065" spans="1:12" x14ac:dyDescent="0.3">
      <c r="A2065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2065" t="s">
        <v>28</v>
      </c>
      <c r="C2065" t="s">
        <v>54</v>
      </c>
      <c r="D2065" s="11">
        <v>45583</v>
      </c>
      <c r="E2065" t="s">
        <v>16</v>
      </c>
      <c r="F2065" t="s">
        <v>12</v>
      </c>
      <c r="G2065">
        <v>70100392</v>
      </c>
      <c r="H2065">
        <v>5500024751</v>
      </c>
      <c r="I2065">
        <v>20</v>
      </c>
      <c r="J2065" s="29">
        <v>2</v>
      </c>
      <c r="K2065" s="29" t="s">
        <v>119</v>
      </c>
      <c r="L2065" t="str">
        <f>IFERROR(VLOOKUP(Detalle_OC[[#This Row],[Centro]]&amp;Detalle_OC[[#This Row],[Nro Almacen]],Almacen!A:D,4,FALSE),"")</f>
        <v>La Huaca</v>
      </c>
    </row>
    <row r="2066" spans="1:12" x14ac:dyDescent="0.3">
      <c r="A2066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2066" t="s">
        <v>28</v>
      </c>
      <c r="C2066" t="s">
        <v>54</v>
      </c>
      <c r="D2066" s="11">
        <v>45587</v>
      </c>
      <c r="E2066" t="s">
        <v>16</v>
      </c>
      <c r="F2066" t="s">
        <v>12</v>
      </c>
      <c r="G2066">
        <v>70100392</v>
      </c>
      <c r="H2066">
        <v>5500024751</v>
      </c>
      <c r="I2066">
        <v>40</v>
      </c>
      <c r="J2066" s="29">
        <v>7</v>
      </c>
      <c r="K2066" s="29" t="s">
        <v>119</v>
      </c>
      <c r="L2066" t="str">
        <f>IFERROR(VLOOKUP(Detalle_OC[[#This Row],[Centro]]&amp;Detalle_OC[[#This Row],[Nro Almacen]],Almacen!A:D,4,FALSE),"")</f>
        <v>Almacen Lobo</v>
      </c>
    </row>
    <row r="2067" spans="1:12" x14ac:dyDescent="0.3">
      <c r="A2067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2067" t="s">
        <v>28</v>
      </c>
      <c r="C2067" t="s">
        <v>54</v>
      </c>
      <c r="D2067" s="11">
        <v>45587</v>
      </c>
      <c r="E2067" t="s">
        <v>16</v>
      </c>
      <c r="F2067" t="s">
        <v>12</v>
      </c>
      <c r="G2067">
        <v>70100392</v>
      </c>
      <c r="H2067">
        <v>5500024751</v>
      </c>
      <c r="I2067">
        <v>40</v>
      </c>
      <c r="J2067" s="29">
        <v>7</v>
      </c>
      <c r="K2067" s="29" t="s">
        <v>119</v>
      </c>
      <c r="L2067" t="str">
        <f>IFERROR(VLOOKUP(Detalle_OC[[#This Row],[Centro]]&amp;Detalle_OC[[#This Row],[Nro Almacen]],Almacen!A:D,4,FALSE),"")</f>
        <v>Almacen Lobo</v>
      </c>
    </row>
    <row r="2068" spans="1:12" x14ac:dyDescent="0.3">
      <c r="A2068" s="29" t="str">
        <f>Detalle_OC[[#This Row],[Centro]]&amp;Detalle_OC[[#This Row],[Nom Almacen]]&amp;Detalle_OC[[#This Row],[Material]]&amp;Detalle_OC[[#This Row],[Pedido]]&amp;Detalle_OC[[#This Row],[Posicion]]</f>
        <v>Sucroalcolera del Chira PlantaMontelimaMWSODACAUSTICA    550002478020</v>
      </c>
      <c r="B2068" t="s">
        <v>28</v>
      </c>
      <c r="C2068" t="s">
        <v>94</v>
      </c>
      <c r="D2068" s="11">
        <v>45586</v>
      </c>
      <c r="E2068" t="s">
        <v>16</v>
      </c>
      <c r="F2068" t="s">
        <v>85</v>
      </c>
      <c r="G2068" t="s">
        <v>1010</v>
      </c>
      <c r="H2068">
        <v>5500024780</v>
      </c>
      <c r="I2068">
        <v>20</v>
      </c>
      <c r="J2068" s="29">
        <v>1</v>
      </c>
      <c r="K2068" s="29" t="s">
        <v>119</v>
      </c>
      <c r="L2068" t="str">
        <f>IFERROR(VLOOKUP(Detalle_OC[[#This Row],[Centro]]&amp;Detalle_OC[[#This Row],[Nro Almacen]],Almacen!A:D,4,FALSE),"")</f>
        <v>Montelima</v>
      </c>
    </row>
    <row r="2069" spans="1:12" x14ac:dyDescent="0.3">
      <c r="A2069" s="29" t="str">
        <f>Detalle_OC[[#This Row],[Centro]]&amp;Detalle_OC[[#This Row],[Nom Almacen]]&amp;Detalle_OC[[#This Row],[Material]]&amp;Detalle_OC[[#This Row],[Pedido]]&amp;Detalle_OC[[#This Row],[Posicion]]</f>
        <v>Agricola del Chira PlantaFERTI LOBO 2721426550002484430</v>
      </c>
      <c r="B2069" t="s">
        <v>28</v>
      </c>
      <c r="C2069" t="s">
        <v>88</v>
      </c>
      <c r="D2069" s="11">
        <v>45586</v>
      </c>
      <c r="E2069" t="s">
        <v>16</v>
      </c>
      <c r="F2069" t="s">
        <v>12</v>
      </c>
      <c r="G2069">
        <v>721426</v>
      </c>
      <c r="H2069">
        <v>5500024844</v>
      </c>
      <c r="I2069">
        <v>30</v>
      </c>
      <c r="J2069" s="29">
        <v>23</v>
      </c>
      <c r="K2069" s="29" t="s">
        <v>119</v>
      </c>
      <c r="L2069" t="str">
        <f>IFERROR(VLOOKUP(Detalle_OC[[#This Row],[Centro]]&amp;Detalle_OC[[#This Row],[Nro Almacen]],Almacen!A:D,4,FALSE),"")</f>
        <v>FERTI LOBO 2</v>
      </c>
    </row>
    <row r="2070" spans="1:12" x14ac:dyDescent="0.3">
      <c r="A2070" s="29" t="str">
        <f>Detalle_OC[[#This Row],[Centro]]&amp;Detalle_OC[[#This Row],[Nom Almacen]]&amp;Detalle_OC[[#This Row],[Material]]&amp;Detalle_OC[[#This Row],[Pedido]]&amp;Detalle_OC[[#This Row],[Posicion]]</f>
        <v>Agricola del Chira PlantaMontelima833267451156768310</v>
      </c>
      <c r="B2070" t="s">
        <v>26</v>
      </c>
      <c r="C2070" t="s">
        <v>24</v>
      </c>
      <c r="D2070" s="11">
        <v>45596</v>
      </c>
      <c r="E2070" t="s">
        <v>16</v>
      </c>
      <c r="F2070" t="s">
        <v>12</v>
      </c>
      <c r="G2070">
        <v>833267</v>
      </c>
      <c r="H2070">
        <v>4511567683</v>
      </c>
      <c r="I2070">
        <v>10</v>
      </c>
      <c r="J2070" s="29">
        <v>1</v>
      </c>
      <c r="K2070" s="29" t="s">
        <v>120</v>
      </c>
      <c r="L2070" t="str">
        <f>IFERROR(VLOOKUP(Detalle_OC[[#This Row],[Centro]]&amp;Detalle_OC[[#This Row],[Nro Almacen]],Almacen!A:D,4,FALSE),"")</f>
        <v>Montelima</v>
      </c>
    </row>
    <row r="2071" spans="1:12" x14ac:dyDescent="0.3">
      <c r="A2071" s="29" t="str">
        <f>Detalle_OC[[#This Row],[Centro]]&amp;Detalle_OC[[#This Row],[Nom Almacen]]&amp;Detalle_OC[[#This Row],[Material]]&amp;Detalle_OC[[#This Row],[Pedido]]&amp;Detalle_OC[[#This Row],[Posicion]]</f>
        <v>Agricola del Chira PlantaMontelima863361451156768320</v>
      </c>
      <c r="B2071" t="s">
        <v>26</v>
      </c>
      <c r="C2071" t="s">
        <v>24</v>
      </c>
      <c r="D2071" s="11">
        <v>45596</v>
      </c>
      <c r="E2071" t="s">
        <v>16</v>
      </c>
      <c r="F2071" t="s">
        <v>12</v>
      </c>
      <c r="G2071">
        <v>863361</v>
      </c>
      <c r="H2071">
        <v>4511567683</v>
      </c>
      <c r="I2071">
        <v>20</v>
      </c>
      <c r="J2071" s="29">
        <v>1</v>
      </c>
      <c r="K2071" s="29" t="s">
        <v>120</v>
      </c>
      <c r="L2071" t="str">
        <f>IFERROR(VLOOKUP(Detalle_OC[[#This Row],[Centro]]&amp;Detalle_OC[[#This Row],[Nro Almacen]],Almacen!A:D,4,FALSE),"")</f>
        <v>Montelima</v>
      </c>
    </row>
    <row r="2072" spans="1:12" x14ac:dyDescent="0.3">
      <c r="A2072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fábrica70053921451156769410</v>
      </c>
      <c r="B2072" t="s">
        <v>142</v>
      </c>
      <c r="C2072" t="s">
        <v>293</v>
      </c>
      <c r="D2072" s="11">
        <v>45656</v>
      </c>
      <c r="E2072" t="s">
        <v>16</v>
      </c>
      <c r="F2072" t="s">
        <v>85</v>
      </c>
      <c r="G2072">
        <v>70053921</v>
      </c>
      <c r="H2072">
        <v>4511567694</v>
      </c>
      <c r="I2072">
        <v>10</v>
      </c>
      <c r="J2072" s="29">
        <v>9</v>
      </c>
      <c r="K2072" s="29" t="s">
        <v>120</v>
      </c>
      <c r="L2072" t="str">
        <f>IFERROR(VLOOKUP(Detalle_OC[[#This Row],[Centro]]&amp;Detalle_OC[[#This Row],[Nro Almacen]],Almacen!A:D,4,FALSE),"")</f>
        <v>Parada fábrica</v>
      </c>
    </row>
    <row r="2073" spans="1:12" x14ac:dyDescent="0.3">
      <c r="A2073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fábrica844646451156769910</v>
      </c>
      <c r="B2073" t="s">
        <v>142</v>
      </c>
      <c r="C2073" t="s">
        <v>240</v>
      </c>
      <c r="D2073" s="11">
        <v>45646</v>
      </c>
      <c r="E2073" t="s">
        <v>16</v>
      </c>
      <c r="F2073" t="s">
        <v>85</v>
      </c>
      <c r="G2073">
        <v>844646</v>
      </c>
      <c r="H2073">
        <v>4511567699</v>
      </c>
      <c r="I2073">
        <v>10</v>
      </c>
      <c r="J2073" s="29">
        <v>9</v>
      </c>
      <c r="K2073" s="29" t="s">
        <v>120</v>
      </c>
      <c r="L2073" t="str">
        <f>IFERROR(VLOOKUP(Detalle_OC[[#This Row],[Centro]]&amp;Detalle_OC[[#This Row],[Nro Almacen]],Almacen!A:D,4,FALSE),"")</f>
        <v>Parada fábrica</v>
      </c>
    </row>
    <row r="2074" spans="1:12" x14ac:dyDescent="0.3">
      <c r="A2074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fábrica844647451156769920</v>
      </c>
      <c r="B2074" t="s">
        <v>142</v>
      </c>
      <c r="C2074" t="s">
        <v>240</v>
      </c>
      <c r="D2074" s="11">
        <v>45646</v>
      </c>
      <c r="E2074" t="s">
        <v>16</v>
      </c>
      <c r="F2074" t="s">
        <v>85</v>
      </c>
      <c r="G2074">
        <v>844647</v>
      </c>
      <c r="H2074">
        <v>4511567699</v>
      </c>
      <c r="I2074">
        <v>20</v>
      </c>
      <c r="J2074" s="29">
        <v>9</v>
      </c>
      <c r="K2074" s="29" t="s">
        <v>120</v>
      </c>
      <c r="L2074" t="str">
        <f>IFERROR(VLOOKUP(Detalle_OC[[#This Row],[Centro]]&amp;Detalle_OC[[#This Row],[Nro Almacen]],Almacen!A:D,4,FALSE),"")</f>
        <v>Parada fábrica</v>
      </c>
    </row>
    <row r="2075" spans="1:12" x14ac:dyDescent="0.3">
      <c r="A2075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fábrica844651451156769930</v>
      </c>
      <c r="B2075" t="s">
        <v>142</v>
      </c>
      <c r="C2075" t="s">
        <v>240</v>
      </c>
      <c r="D2075" s="11">
        <v>45646</v>
      </c>
      <c r="E2075" t="s">
        <v>16</v>
      </c>
      <c r="F2075" t="s">
        <v>85</v>
      </c>
      <c r="G2075">
        <v>844651</v>
      </c>
      <c r="H2075">
        <v>4511567699</v>
      </c>
      <c r="I2075">
        <v>30</v>
      </c>
      <c r="J2075" s="29">
        <v>9</v>
      </c>
      <c r="K2075" s="29" t="s">
        <v>120</v>
      </c>
      <c r="L2075" t="str">
        <f>IFERROR(VLOOKUP(Detalle_OC[[#This Row],[Centro]]&amp;Detalle_OC[[#This Row],[Nro Almacen]],Almacen!A:D,4,FALSE),"")</f>
        <v>Parada fábrica</v>
      </c>
    </row>
    <row r="2076" spans="1:12" x14ac:dyDescent="0.3">
      <c r="A2076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fábrica851815451156769940</v>
      </c>
      <c r="B2076" t="s">
        <v>142</v>
      </c>
      <c r="C2076" t="s">
        <v>240</v>
      </c>
      <c r="D2076" s="11">
        <v>45646</v>
      </c>
      <c r="E2076" t="s">
        <v>16</v>
      </c>
      <c r="F2076" t="s">
        <v>85</v>
      </c>
      <c r="G2076">
        <v>851815</v>
      </c>
      <c r="H2076">
        <v>4511567699</v>
      </c>
      <c r="I2076">
        <v>40</v>
      </c>
      <c r="J2076" s="29">
        <v>9</v>
      </c>
      <c r="K2076" s="29" t="s">
        <v>120</v>
      </c>
      <c r="L2076" t="str">
        <f>IFERROR(VLOOKUP(Detalle_OC[[#This Row],[Centro]]&amp;Detalle_OC[[#This Row],[Nro Almacen]],Almacen!A:D,4,FALSE),"")</f>
        <v>Parada fábrica</v>
      </c>
    </row>
    <row r="2077" spans="1:12" x14ac:dyDescent="0.3">
      <c r="A2077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fábrica851816451156769950</v>
      </c>
      <c r="B2077" t="s">
        <v>142</v>
      </c>
      <c r="C2077" t="s">
        <v>240</v>
      </c>
      <c r="D2077" s="11">
        <v>45646</v>
      </c>
      <c r="E2077" t="s">
        <v>16</v>
      </c>
      <c r="F2077" t="s">
        <v>85</v>
      </c>
      <c r="G2077">
        <v>851816</v>
      </c>
      <c r="H2077">
        <v>4511567699</v>
      </c>
      <c r="I2077">
        <v>50</v>
      </c>
      <c r="J2077" s="29">
        <v>9</v>
      </c>
      <c r="K2077" s="29" t="s">
        <v>120</v>
      </c>
      <c r="L2077" t="str">
        <f>IFERROR(VLOOKUP(Detalle_OC[[#This Row],[Centro]]&amp;Detalle_OC[[#This Row],[Nro Almacen]],Almacen!A:D,4,FALSE),"")</f>
        <v>Parada fábrica</v>
      </c>
    </row>
    <row r="2078" spans="1:12" x14ac:dyDescent="0.3">
      <c r="A2078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fábrica887829451156769960</v>
      </c>
      <c r="B2078" t="s">
        <v>142</v>
      </c>
      <c r="C2078" t="s">
        <v>240</v>
      </c>
      <c r="D2078" s="11">
        <v>45646</v>
      </c>
      <c r="E2078" t="s">
        <v>16</v>
      </c>
      <c r="F2078" t="s">
        <v>85</v>
      </c>
      <c r="G2078">
        <v>887829</v>
      </c>
      <c r="H2078">
        <v>4511567699</v>
      </c>
      <c r="I2078">
        <v>60</v>
      </c>
      <c r="J2078" s="29">
        <v>9</v>
      </c>
      <c r="K2078" s="29" t="s">
        <v>120</v>
      </c>
      <c r="L2078" t="str">
        <f>IFERROR(VLOOKUP(Detalle_OC[[#This Row],[Centro]]&amp;Detalle_OC[[#This Row],[Nro Almacen]],Almacen!A:D,4,FALSE),"")</f>
        <v>Parada fábrica</v>
      </c>
    </row>
    <row r="2079" spans="1:12" x14ac:dyDescent="0.3">
      <c r="A2079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fábrica70004452451156769980</v>
      </c>
      <c r="B2079" t="s">
        <v>142</v>
      </c>
      <c r="C2079" t="s">
        <v>240</v>
      </c>
      <c r="D2079" s="11">
        <v>45646</v>
      </c>
      <c r="E2079" t="s">
        <v>16</v>
      </c>
      <c r="F2079" t="s">
        <v>85</v>
      </c>
      <c r="G2079">
        <v>70004452</v>
      </c>
      <c r="H2079">
        <v>4511567699</v>
      </c>
      <c r="I2079">
        <v>80</v>
      </c>
      <c r="J2079" s="29">
        <v>9</v>
      </c>
      <c r="K2079" s="29" t="s">
        <v>120</v>
      </c>
      <c r="L2079" t="str">
        <f>IFERROR(VLOOKUP(Detalle_OC[[#This Row],[Centro]]&amp;Detalle_OC[[#This Row],[Nro Almacen]],Almacen!A:D,4,FALSE),"")</f>
        <v>Parada fábrica</v>
      </c>
    </row>
    <row r="2080" spans="1:12" x14ac:dyDescent="0.3">
      <c r="A2080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fábrica70004578451156769990</v>
      </c>
      <c r="B2080" t="s">
        <v>142</v>
      </c>
      <c r="C2080" t="s">
        <v>240</v>
      </c>
      <c r="D2080" s="11">
        <v>45646</v>
      </c>
      <c r="E2080" t="s">
        <v>16</v>
      </c>
      <c r="F2080" t="s">
        <v>85</v>
      </c>
      <c r="G2080">
        <v>70004578</v>
      </c>
      <c r="H2080">
        <v>4511567699</v>
      </c>
      <c r="I2080">
        <v>90</v>
      </c>
      <c r="J2080" s="29">
        <v>9</v>
      </c>
      <c r="K2080" s="29" t="s">
        <v>120</v>
      </c>
      <c r="L2080" t="str">
        <f>IFERROR(VLOOKUP(Detalle_OC[[#This Row],[Centro]]&amp;Detalle_OC[[#This Row],[Nro Almacen]],Almacen!A:D,4,FALSE),"")</f>
        <v>Parada fábrica</v>
      </c>
    </row>
    <row r="2081" spans="1:12" x14ac:dyDescent="0.3">
      <c r="A2081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fábrica700116354511567699100</v>
      </c>
      <c r="B2081" t="s">
        <v>142</v>
      </c>
      <c r="C2081" t="s">
        <v>240</v>
      </c>
      <c r="D2081" s="11">
        <v>45646</v>
      </c>
      <c r="E2081" t="s">
        <v>16</v>
      </c>
      <c r="F2081" t="s">
        <v>85</v>
      </c>
      <c r="G2081">
        <v>70011635</v>
      </c>
      <c r="H2081">
        <v>4511567699</v>
      </c>
      <c r="I2081">
        <v>100</v>
      </c>
      <c r="J2081" s="29">
        <v>9</v>
      </c>
      <c r="K2081" s="29" t="s">
        <v>120</v>
      </c>
      <c r="L2081" t="str">
        <f>IFERROR(VLOOKUP(Detalle_OC[[#This Row],[Centro]]&amp;Detalle_OC[[#This Row],[Nro Almacen]],Almacen!A:D,4,FALSE),"")</f>
        <v>Parada fábrica</v>
      </c>
    </row>
    <row r="2082" spans="1:12" x14ac:dyDescent="0.3">
      <c r="A2082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fábrica700116364511567699110</v>
      </c>
      <c r="B2082" t="s">
        <v>142</v>
      </c>
      <c r="C2082" t="s">
        <v>240</v>
      </c>
      <c r="D2082" s="11">
        <v>45646</v>
      </c>
      <c r="E2082" t="s">
        <v>16</v>
      </c>
      <c r="F2082" t="s">
        <v>85</v>
      </c>
      <c r="G2082">
        <v>70011636</v>
      </c>
      <c r="H2082">
        <v>4511567699</v>
      </c>
      <c r="I2082">
        <v>110</v>
      </c>
      <c r="J2082" s="29">
        <v>9</v>
      </c>
      <c r="K2082" s="29" t="s">
        <v>120</v>
      </c>
      <c r="L2082" t="str">
        <f>IFERROR(VLOOKUP(Detalle_OC[[#This Row],[Centro]]&amp;Detalle_OC[[#This Row],[Nro Almacen]],Almacen!A:D,4,FALSE),"")</f>
        <v>Parada fábrica</v>
      </c>
    </row>
    <row r="2083" spans="1:12" x14ac:dyDescent="0.3">
      <c r="A2083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fábrica700116374511567699120</v>
      </c>
      <c r="B2083" t="s">
        <v>142</v>
      </c>
      <c r="C2083" t="s">
        <v>240</v>
      </c>
      <c r="D2083" s="11">
        <v>45646</v>
      </c>
      <c r="E2083" t="s">
        <v>16</v>
      </c>
      <c r="F2083" t="s">
        <v>85</v>
      </c>
      <c r="G2083">
        <v>70011637</v>
      </c>
      <c r="H2083">
        <v>4511567699</v>
      </c>
      <c r="I2083">
        <v>120</v>
      </c>
      <c r="J2083" s="29">
        <v>9</v>
      </c>
      <c r="K2083" s="29" t="s">
        <v>120</v>
      </c>
      <c r="L2083" t="str">
        <f>IFERROR(VLOOKUP(Detalle_OC[[#This Row],[Centro]]&amp;Detalle_OC[[#This Row],[Nro Almacen]],Almacen!A:D,4,FALSE),"")</f>
        <v>Parada fábrica</v>
      </c>
    </row>
    <row r="2084" spans="1:12" x14ac:dyDescent="0.3">
      <c r="A2084" s="29" t="str">
        <f>Detalle_OC[[#This Row],[Centro]]&amp;Detalle_OC[[#This Row],[Nom Almacen]]&amp;Detalle_OC[[#This Row],[Material]]&amp;Detalle_OC[[#This Row],[Pedido]]&amp;Detalle_OC[[#This Row],[Posicion]]</f>
        <v>Agricola del Chira PlantaAlmacen Lobo721708451156772410</v>
      </c>
      <c r="B2084" t="s">
        <v>26</v>
      </c>
      <c r="C2084" t="s">
        <v>24</v>
      </c>
      <c r="D2084" s="11">
        <v>45602</v>
      </c>
      <c r="E2084" t="s">
        <v>16</v>
      </c>
      <c r="F2084" t="s">
        <v>12</v>
      </c>
      <c r="G2084">
        <v>721708</v>
      </c>
      <c r="H2084">
        <v>4511567724</v>
      </c>
      <c r="I2084">
        <v>10</v>
      </c>
      <c r="J2084" s="29">
        <v>7</v>
      </c>
      <c r="K2084" s="29" t="s">
        <v>120</v>
      </c>
      <c r="L2084" t="str">
        <f>IFERROR(VLOOKUP(Detalle_OC[[#This Row],[Centro]]&amp;Detalle_OC[[#This Row],[Nro Almacen]],Almacen!A:D,4,FALSE),"")</f>
        <v>Almacen Lobo</v>
      </c>
    </row>
    <row r="2085" spans="1:12" x14ac:dyDescent="0.3">
      <c r="A2085" s="29" t="str">
        <f>Detalle_OC[[#This Row],[Centro]]&amp;Detalle_OC[[#This Row],[Nom Almacen]]&amp;Detalle_OC[[#This Row],[Material]]&amp;Detalle_OC[[#This Row],[Pedido]]&amp;Detalle_OC[[#This Row],[Posicion]]</f>
        <v>Agricola del Chira PlantaAlmacen Lobo823298451156772420</v>
      </c>
      <c r="B2085" t="s">
        <v>26</v>
      </c>
      <c r="C2085" t="s">
        <v>24</v>
      </c>
      <c r="D2085" s="11">
        <v>45602</v>
      </c>
      <c r="E2085" t="s">
        <v>16</v>
      </c>
      <c r="F2085" t="s">
        <v>12</v>
      </c>
      <c r="G2085">
        <v>823298</v>
      </c>
      <c r="H2085">
        <v>4511567724</v>
      </c>
      <c r="I2085">
        <v>20</v>
      </c>
      <c r="J2085" s="29">
        <v>7</v>
      </c>
      <c r="K2085" s="29" t="s">
        <v>120</v>
      </c>
      <c r="L2085" t="str">
        <f>IFERROR(VLOOKUP(Detalle_OC[[#This Row],[Centro]]&amp;Detalle_OC[[#This Row],[Nro Almacen]],Almacen!A:D,4,FALSE),"")</f>
        <v>Almacen Lobo</v>
      </c>
    </row>
    <row r="2086" spans="1:12" x14ac:dyDescent="0.3">
      <c r="A2086" s="29" t="str">
        <f>Detalle_OC[[#This Row],[Centro]]&amp;Detalle_OC[[#This Row],[Nom Almacen]]&amp;Detalle_OC[[#This Row],[Material]]&amp;Detalle_OC[[#This Row],[Pedido]]&amp;Detalle_OC[[#This Row],[Posicion]]</f>
        <v>Sucroalcolera del Chira PlantaMontelima721708451156772510</v>
      </c>
      <c r="B2086" t="s">
        <v>138</v>
      </c>
      <c r="C2086" t="s">
        <v>24</v>
      </c>
      <c r="D2086" s="11">
        <v>45602</v>
      </c>
      <c r="E2086" t="s">
        <v>16</v>
      </c>
      <c r="F2086" t="s">
        <v>85</v>
      </c>
      <c r="G2086">
        <v>721708</v>
      </c>
      <c r="H2086">
        <v>4511567725</v>
      </c>
      <c r="I2086">
        <v>10</v>
      </c>
      <c r="J2086" s="29">
        <v>1</v>
      </c>
      <c r="K2086" s="29" t="s">
        <v>120</v>
      </c>
      <c r="L2086" t="str">
        <f>IFERROR(VLOOKUP(Detalle_OC[[#This Row],[Centro]]&amp;Detalle_OC[[#This Row],[Nro Almacen]],Almacen!A:D,4,FALSE),"")</f>
        <v>Montelima</v>
      </c>
    </row>
    <row r="2087" spans="1:12" x14ac:dyDescent="0.3">
      <c r="A2087" s="29" t="str">
        <f>Detalle_OC[[#This Row],[Centro]]&amp;Detalle_OC[[#This Row],[Nom Almacen]]&amp;Detalle_OC[[#This Row],[Material]]&amp;Detalle_OC[[#This Row],[Pedido]]&amp;Detalle_OC[[#This Row],[Posicion]]</f>
        <v>Agricola del Chira PlantaMontelimaCK00000399        451156772610</v>
      </c>
      <c r="B2087" t="s">
        <v>1204</v>
      </c>
      <c r="C2087" t="s">
        <v>22</v>
      </c>
      <c r="D2087" s="11">
        <v>45602</v>
      </c>
      <c r="E2087" t="s">
        <v>16</v>
      </c>
      <c r="F2087" t="s">
        <v>12</v>
      </c>
      <c r="G2087" t="s">
        <v>320</v>
      </c>
      <c r="H2087">
        <v>4511567726</v>
      </c>
      <c r="I2087">
        <v>10</v>
      </c>
      <c r="J2087" s="29">
        <v>1</v>
      </c>
      <c r="K2087" s="29" t="s">
        <v>120</v>
      </c>
      <c r="L2087" t="str">
        <f>IFERROR(VLOOKUP(Detalle_OC[[#This Row],[Centro]]&amp;Detalle_OC[[#This Row],[Nro Almacen]],Almacen!A:D,4,FALSE),"")</f>
        <v>Montelima</v>
      </c>
    </row>
    <row r="2088" spans="1:12" x14ac:dyDescent="0.3">
      <c r="A2088" s="29" t="str">
        <f>Detalle_OC[[#This Row],[Centro]]&amp;Detalle_OC[[#This Row],[Nom Almacen]]&amp;Detalle_OC[[#This Row],[Material]]&amp;Detalle_OC[[#This Row],[Pedido]]&amp;Detalle_OC[[#This Row],[Posicion]]</f>
        <v>Agricola del Chira PlantaMontelimaCP082616          451156772620</v>
      </c>
      <c r="B2088" t="s">
        <v>159</v>
      </c>
      <c r="C2088" t="s">
        <v>22</v>
      </c>
      <c r="D2088" s="11">
        <v>45602</v>
      </c>
      <c r="E2088" t="s">
        <v>16</v>
      </c>
      <c r="F2088" t="s">
        <v>12</v>
      </c>
      <c r="G2088" t="s">
        <v>1205</v>
      </c>
      <c r="H2088">
        <v>4511567726</v>
      </c>
      <c r="I2088">
        <v>20</v>
      </c>
      <c r="J2088" s="29">
        <v>1</v>
      </c>
      <c r="K2088" s="29" t="s">
        <v>120</v>
      </c>
      <c r="L2088" t="str">
        <f>IFERROR(VLOOKUP(Detalle_OC[[#This Row],[Centro]]&amp;Detalle_OC[[#This Row],[Nro Almacen]],Almacen!A:D,4,FALSE),"")</f>
        <v>Montelima</v>
      </c>
    </row>
    <row r="2089" spans="1:12" x14ac:dyDescent="0.3">
      <c r="A2089" s="29" t="str">
        <f>Detalle_OC[[#This Row],[Centro]]&amp;Detalle_OC[[#This Row],[Nom Almacen]]&amp;Detalle_OC[[#This Row],[Material]]&amp;Detalle_OC[[#This Row],[Pedido]]&amp;Detalle_OC[[#This Row],[Posicion]]</f>
        <v>Agricola del Chira PlantaMontelimaCS310420          451156772630</v>
      </c>
      <c r="B2089" t="s">
        <v>15</v>
      </c>
      <c r="C2089" t="s">
        <v>22</v>
      </c>
      <c r="D2089" s="11">
        <v>45602</v>
      </c>
      <c r="E2089" t="s">
        <v>16</v>
      </c>
      <c r="F2089" t="s">
        <v>12</v>
      </c>
      <c r="G2089" t="s">
        <v>203</v>
      </c>
      <c r="H2089">
        <v>4511567726</v>
      </c>
      <c r="I2089">
        <v>30</v>
      </c>
      <c r="J2089" s="29">
        <v>1</v>
      </c>
      <c r="K2089" s="29" t="s">
        <v>120</v>
      </c>
      <c r="L2089" t="str">
        <f>IFERROR(VLOOKUP(Detalle_OC[[#This Row],[Centro]]&amp;Detalle_OC[[#This Row],[Nro Almacen]],Almacen!A:D,4,FALSE),"")</f>
        <v>Montelima</v>
      </c>
    </row>
    <row r="2090" spans="1:12" x14ac:dyDescent="0.3">
      <c r="A2090" s="29" t="str">
        <f>Detalle_OC[[#This Row],[Centro]]&amp;Detalle_OC[[#This Row],[Nom Almacen]]&amp;Detalle_OC[[#This Row],[Material]]&amp;Detalle_OC[[#This Row],[Pedido]]&amp;Detalle_OC[[#This Row],[Posicion]]</f>
        <v>Agricola del Chira PlantaMontelima760265451156772640</v>
      </c>
      <c r="B2090" t="s">
        <v>149</v>
      </c>
      <c r="C2090" t="s">
        <v>22</v>
      </c>
      <c r="D2090" s="11">
        <v>45602</v>
      </c>
      <c r="E2090" t="s">
        <v>16</v>
      </c>
      <c r="F2090" t="s">
        <v>12</v>
      </c>
      <c r="G2090">
        <v>760265</v>
      </c>
      <c r="H2090">
        <v>4511567726</v>
      </c>
      <c r="I2090">
        <v>40</v>
      </c>
      <c r="J2090" s="29">
        <v>1</v>
      </c>
      <c r="K2090" s="29" t="s">
        <v>120</v>
      </c>
      <c r="L2090" t="str">
        <f>IFERROR(VLOOKUP(Detalle_OC[[#This Row],[Centro]]&amp;Detalle_OC[[#This Row],[Nro Almacen]],Almacen!A:D,4,FALSE),"")</f>
        <v>Montelima</v>
      </c>
    </row>
    <row r="2091" spans="1:12" x14ac:dyDescent="0.3">
      <c r="A2091" s="29" t="str">
        <f>Detalle_OC[[#This Row],[Centro]]&amp;Detalle_OC[[#This Row],[Nom Almacen]]&amp;Detalle_OC[[#This Row],[Material]]&amp;Detalle_OC[[#This Row],[Pedido]]&amp;Detalle_OC[[#This Row],[Posicion]]</f>
        <v>Agricola del Chira PlantaMontelima832222451156772650</v>
      </c>
      <c r="B2091" t="s">
        <v>145</v>
      </c>
      <c r="C2091" t="s">
        <v>22</v>
      </c>
      <c r="D2091" s="11">
        <v>45602</v>
      </c>
      <c r="E2091" t="s">
        <v>16</v>
      </c>
      <c r="F2091" t="s">
        <v>12</v>
      </c>
      <c r="G2091">
        <v>832222</v>
      </c>
      <c r="H2091">
        <v>4511567726</v>
      </c>
      <c r="I2091">
        <v>50</v>
      </c>
      <c r="J2091" s="29">
        <v>1</v>
      </c>
      <c r="K2091" s="29" t="s">
        <v>120</v>
      </c>
      <c r="L2091" t="str">
        <f>IFERROR(VLOOKUP(Detalle_OC[[#This Row],[Centro]]&amp;Detalle_OC[[#This Row],[Nro Almacen]],Almacen!A:D,4,FALSE),"")</f>
        <v>Montelima</v>
      </c>
    </row>
    <row r="2092" spans="1:12" x14ac:dyDescent="0.3">
      <c r="A2092" s="29" t="str">
        <f>Detalle_OC[[#This Row],[Centro]]&amp;Detalle_OC[[#This Row],[Nom Almacen]]&amp;Detalle_OC[[#This Row],[Material]]&amp;Detalle_OC[[#This Row],[Pedido]]&amp;Detalle_OC[[#This Row],[Posicion]]</f>
        <v>Agricola del Chira PlantaMontelima70101747451156772660</v>
      </c>
      <c r="B2092" t="s">
        <v>149</v>
      </c>
      <c r="C2092" t="s">
        <v>22</v>
      </c>
      <c r="D2092" s="11">
        <v>45602</v>
      </c>
      <c r="E2092" t="s">
        <v>16</v>
      </c>
      <c r="F2092" t="s">
        <v>12</v>
      </c>
      <c r="G2092">
        <v>70101747</v>
      </c>
      <c r="H2092">
        <v>4511567726</v>
      </c>
      <c r="I2092">
        <v>60</v>
      </c>
      <c r="J2092" s="29">
        <v>1</v>
      </c>
      <c r="K2092" s="29" t="s">
        <v>120</v>
      </c>
      <c r="L2092" t="str">
        <f>IFERROR(VLOOKUP(Detalle_OC[[#This Row],[Centro]]&amp;Detalle_OC[[#This Row],[Nro Almacen]],Almacen!A:D,4,FALSE),"")</f>
        <v>Montelima</v>
      </c>
    </row>
    <row r="2093" spans="1:12" x14ac:dyDescent="0.3">
      <c r="A2093" s="29" t="str">
        <f>Detalle_OC[[#This Row],[Centro]]&amp;Detalle_OC[[#This Row],[Nom Almacen]]&amp;Detalle_OC[[#This Row],[Material]]&amp;Detalle_OC[[#This Row],[Pedido]]&amp;Detalle_OC[[#This Row],[Posicion]]</f>
        <v>Agricola del Chira PlantaSan Vicente70015475451156772670</v>
      </c>
      <c r="B2093" t="s">
        <v>26</v>
      </c>
      <c r="C2093" t="s">
        <v>22</v>
      </c>
      <c r="D2093" s="11">
        <v>45602</v>
      </c>
      <c r="E2093" t="s">
        <v>16</v>
      </c>
      <c r="F2093" t="s">
        <v>12</v>
      </c>
      <c r="G2093">
        <v>70015475</v>
      </c>
      <c r="H2093">
        <v>4511567726</v>
      </c>
      <c r="I2093">
        <v>70</v>
      </c>
      <c r="J2093" s="29">
        <v>3</v>
      </c>
      <c r="K2093" s="29" t="s">
        <v>120</v>
      </c>
      <c r="L2093" t="str">
        <f>IFERROR(VLOOKUP(Detalle_OC[[#This Row],[Centro]]&amp;Detalle_OC[[#This Row],[Nro Almacen]],Almacen!A:D,4,FALSE),"")</f>
        <v>San Vicente</v>
      </c>
    </row>
    <row r="2094" spans="1:12" x14ac:dyDescent="0.3">
      <c r="A2094" s="29" t="str">
        <f>Detalle_OC[[#This Row],[Centro]]&amp;Detalle_OC[[#This Row],[Nom Almacen]]&amp;Detalle_OC[[#This Row],[Material]]&amp;Detalle_OC[[#This Row],[Pedido]]&amp;Detalle_OC[[#This Row],[Posicion]]</f>
        <v>Agricola del Chira PlantaAlmacen LoboCS601222          451156772680</v>
      </c>
      <c r="B2094" t="s">
        <v>26</v>
      </c>
      <c r="C2094" t="s">
        <v>22</v>
      </c>
      <c r="D2094" s="11">
        <v>45602</v>
      </c>
      <c r="E2094" t="s">
        <v>16</v>
      </c>
      <c r="F2094" t="s">
        <v>12</v>
      </c>
      <c r="G2094" t="s">
        <v>323</v>
      </c>
      <c r="H2094">
        <v>4511567726</v>
      </c>
      <c r="I2094">
        <v>80</v>
      </c>
      <c r="J2094" s="29">
        <v>7</v>
      </c>
      <c r="K2094" s="29" t="s">
        <v>120</v>
      </c>
      <c r="L2094" t="str">
        <f>IFERROR(VLOOKUP(Detalle_OC[[#This Row],[Centro]]&amp;Detalle_OC[[#This Row],[Nro Almacen]],Almacen!A:D,4,FALSE),"")</f>
        <v>Almacen Lobo</v>
      </c>
    </row>
    <row r="2095" spans="1:12" x14ac:dyDescent="0.3">
      <c r="A2095" s="29" t="str">
        <f>Detalle_OC[[#This Row],[Centro]]&amp;Detalle_OC[[#This Row],[Nom Almacen]]&amp;Detalle_OC[[#This Row],[Material]]&amp;Detalle_OC[[#This Row],[Pedido]]&amp;Detalle_OC[[#This Row],[Posicion]]</f>
        <v>Agricola del Chira PlantaAlmacen Lobo778701451156772690</v>
      </c>
      <c r="B2095" t="s">
        <v>274</v>
      </c>
      <c r="C2095" t="s">
        <v>22</v>
      </c>
      <c r="D2095" s="11">
        <v>45602</v>
      </c>
      <c r="E2095" t="s">
        <v>16</v>
      </c>
      <c r="F2095" t="s">
        <v>12</v>
      </c>
      <c r="G2095">
        <v>778701</v>
      </c>
      <c r="H2095">
        <v>4511567726</v>
      </c>
      <c r="I2095">
        <v>90</v>
      </c>
      <c r="J2095" s="29">
        <v>7</v>
      </c>
      <c r="K2095" s="29" t="s">
        <v>120</v>
      </c>
      <c r="L2095" t="str">
        <f>IFERROR(VLOOKUP(Detalle_OC[[#This Row],[Centro]]&amp;Detalle_OC[[#This Row],[Nro Almacen]],Almacen!A:D,4,FALSE),"")</f>
        <v>Almacen Lobo</v>
      </c>
    </row>
    <row r="2096" spans="1:12" x14ac:dyDescent="0.3">
      <c r="A2096" s="29" t="str">
        <f>Detalle_OC[[#This Row],[Centro]]&amp;Detalle_OC[[#This Row],[Nom Almacen]]&amp;Detalle_OC[[#This Row],[Material]]&amp;Detalle_OC[[#This Row],[Pedido]]&amp;Detalle_OC[[#This Row],[Posicion]]</f>
        <v>Agricola del Chira PlantaAlmacen Lobo7215764511567726110</v>
      </c>
      <c r="B2096" t="s">
        <v>26</v>
      </c>
      <c r="C2096" t="s">
        <v>22</v>
      </c>
      <c r="D2096" s="11">
        <v>45602</v>
      </c>
      <c r="E2096" t="s">
        <v>16</v>
      </c>
      <c r="F2096" t="s">
        <v>12</v>
      </c>
      <c r="G2096">
        <v>721576</v>
      </c>
      <c r="H2096">
        <v>4511567726</v>
      </c>
      <c r="I2096">
        <v>110</v>
      </c>
      <c r="J2096" s="29">
        <v>7</v>
      </c>
      <c r="K2096" s="29" t="s">
        <v>120</v>
      </c>
      <c r="L2096" t="str">
        <f>IFERROR(VLOOKUP(Detalle_OC[[#This Row],[Centro]]&amp;Detalle_OC[[#This Row],[Nro Almacen]],Almacen!A:D,4,FALSE),"")</f>
        <v>Almacen Lobo</v>
      </c>
    </row>
    <row r="2097" spans="1:12" x14ac:dyDescent="0.3">
      <c r="A2097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fábrica895424451156754310</v>
      </c>
      <c r="B2097" t="s">
        <v>142</v>
      </c>
      <c r="C2097" t="s">
        <v>1206</v>
      </c>
      <c r="D2097" s="11">
        <v>45651</v>
      </c>
      <c r="E2097" t="s">
        <v>16</v>
      </c>
      <c r="F2097" t="s">
        <v>85</v>
      </c>
      <c r="G2097">
        <v>895424</v>
      </c>
      <c r="H2097">
        <v>4511567543</v>
      </c>
      <c r="I2097">
        <v>10</v>
      </c>
      <c r="J2097" s="29">
        <v>9</v>
      </c>
      <c r="K2097" s="29" t="s">
        <v>121</v>
      </c>
      <c r="L2097" t="str">
        <f>IFERROR(VLOOKUP(Detalle_OC[[#This Row],[Centro]]&amp;Detalle_OC[[#This Row],[Nro Almacen]],Almacen!A:D,4,FALSE),"")</f>
        <v>Parada fábrica</v>
      </c>
    </row>
    <row r="2098" spans="1:12" x14ac:dyDescent="0.3">
      <c r="A2098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2098" t="s">
        <v>28</v>
      </c>
      <c r="C2098" t="s">
        <v>94</v>
      </c>
      <c r="D2098" s="11">
        <v>45583</v>
      </c>
      <c r="E2098" t="s">
        <v>16</v>
      </c>
      <c r="F2098" t="s">
        <v>85</v>
      </c>
      <c r="G2098" t="s">
        <v>95</v>
      </c>
      <c r="H2098">
        <v>5500024746</v>
      </c>
      <c r="I2098">
        <v>10</v>
      </c>
      <c r="J2098" s="29">
        <v>1</v>
      </c>
      <c r="K2098" s="29" t="s">
        <v>121</v>
      </c>
      <c r="L2098" t="str">
        <f>IFERROR(VLOOKUP(Detalle_OC[[#This Row],[Centro]]&amp;Detalle_OC[[#This Row],[Nro Almacen]],Almacen!A:D,4,FALSE),"")</f>
        <v>Montelima</v>
      </c>
    </row>
    <row r="2099" spans="1:12" x14ac:dyDescent="0.3">
      <c r="A2099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2099" t="s">
        <v>28</v>
      </c>
      <c r="C2099" t="s">
        <v>54</v>
      </c>
      <c r="D2099" s="11">
        <v>45583</v>
      </c>
      <c r="E2099" t="s">
        <v>16</v>
      </c>
      <c r="F2099" t="s">
        <v>12</v>
      </c>
      <c r="G2099">
        <v>70100392</v>
      </c>
      <c r="H2099">
        <v>5500024751</v>
      </c>
      <c r="I2099">
        <v>40</v>
      </c>
      <c r="J2099" s="29">
        <v>7</v>
      </c>
      <c r="K2099" s="29" t="s">
        <v>121</v>
      </c>
      <c r="L2099" t="str">
        <f>IFERROR(VLOOKUP(Detalle_OC[[#This Row],[Centro]]&amp;Detalle_OC[[#This Row],[Nro Almacen]],Almacen!A:D,4,FALSE),"")</f>
        <v>Almacen Lobo</v>
      </c>
    </row>
    <row r="2100" spans="1:12" x14ac:dyDescent="0.3">
      <c r="A2100" s="29" t="str">
        <f>Detalle_OC[[#This Row],[Centro]]&amp;Detalle_OC[[#This Row],[Nom Almacen]]&amp;Detalle_OC[[#This Row],[Material]]&amp;Detalle_OC[[#This Row],[Pedido]]&amp;Detalle_OC[[#This Row],[Posicion]]</f>
        <v>Agricola del Chira PlantaAlmacen Lobo721426550002484420</v>
      </c>
      <c r="B2100" t="s">
        <v>28</v>
      </c>
      <c r="C2100" t="s">
        <v>88</v>
      </c>
      <c r="D2100" s="11">
        <v>45583</v>
      </c>
      <c r="E2100" t="s">
        <v>16</v>
      </c>
      <c r="F2100" t="s">
        <v>12</v>
      </c>
      <c r="G2100">
        <v>721426</v>
      </c>
      <c r="H2100">
        <v>5500024844</v>
      </c>
      <c r="I2100">
        <v>20</v>
      </c>
      <c r="J2100" s="29">
        <v>7</v>
      </c>
      <c r="K2100" s="29" t="s">
        <v>121</v>
      </c>
      <c r="L2100" t="str">
        <f>IFERROR(VLOOKUP(Detalle_OC[[#This Row],[Centro]]&amp;Detalle_OC[[#This Row],[Nro Almacen]],Almacen!A:D,4,FALSE),"")</f>
        <v>Almacen Lobo</v>
      </c>
    </row>
    <row r="2101" spans="1:12" x14ac:dyDescent="0.3">
      <c r="A2101" s="29" t="str">
        <f>Detalle_OC[[#This Row],[Centro]]&amp;Detalle_OC[[#This Row],[Nom Almacen]]&amp;Detalle_OC[[#This Row],[Material]]&amp;Detalle_OC[[#This Row],[Pedido]]&amp;Detalle_OC[[#This Row],[Posicion]]</f>
        <v>Agricola del Chira PlantaFERTI LOBO 2721426550002484430</v>
      </c>
      <c r="B2101" t="s">
        <v>28</v>
      </c>
      <c r="C2101" t="s">
        <v>88</v>
      </c>
      <c r="D2101" s="11">
        <v>45583</v>
      </c>
      <c r="E2101" t="s">
        <v>16</v>
      </c>
      <c r="F2101" t="s">
        <v>12</v>
      </c>
      <c r="G2101">
        <v>721426</v>
      </c>
      <c r="H2101">
        <v>5500024844</v>
      </c>
      <c r="I2101">
        <v>30</v>
      </c>
      <c r="J2101" s="29">
        <v>23</v>
      </c>
      <c r="K2101" s="29" t="s">
        <v>121</v>
      </c>
      <c r="L2101" t="str">
        <f>IFERROR(VLOOKUP(Detalle_OC[[#This Row],[Centro]]&amp;Detalle_OC[[#This Row],[Nro Almacen]],Almacen!A:D,4,FALSE),"")</f>
        <v>FERTI LOBO 2</v>
      </c>
    </row>
    <row r="2102" spans="1:12" x14ac:dyDescent="0.3">
      <c r="A2102" s="29" t="str">
        <f>Detalle_OC[[#This Row],[Centro]]&amp;Detalle_OC[[#This Row],[Nom Almacen]]&amp;Detalle_OC[[#This Row],[Material]]&amp;Detalle_OC[[#This Row],[Pedido]]&amp;Detalle_OC[[#This Row],[Posicion]]</f>
        <v>Agricola del Chira PlantaFERTI LOBO 3721426550002484440</v>
      </c>
      <c r="B2102" t="s">
        <v>28</v>
      </c>
      <c r="C2102" t="s">
        <v>88</v>
      </c>
      <c r="D2102" s="11">
        <v>45583</v>
      </c>
      <c r="E2102" t="s">
        <v>16</v>
      </c>
      <c r="F2102" t="s">
        <v>12</v>
      </c>
      <c r="G2102">
        <v>721426</v>
      </c>
      <c r="H2102">
        <v>5500024844</v>
      </c>
      <c r="I2102">
        <v>40</v>
      </c>
      <c r="J2102" s="29">
        <v>24</v>
      </c>
      <c r="K2102" s="29" t="s">
        <v>121</v>
      </c>
      <c r="L2102" t="str">
        <f>IFERROR(VLOOKUP(Detalle_OC[[#This Row],[Centro]]&amp;Detalle_OC[[#This Row],[Nro Almacen]],Almacen!A:D,4,FALSE),"")</f>
        <v>FERTI LOBO 3</v>
      </c>
    </row>
    <row r="2103" spans="1:12" x14ac:dyDescent="0.3">
      <c r="A2103" s="29" t="str">
        <f>Detalle_OC[[#This Row],[Centro]]&amp;Detalle_OC[[#This Row],[Nom Almacen]]&amp;Detalle_OC[[#This Row],[Material]]&amp;Detalle_OC[[#This Row],[Pedido]]&amp;Detalle_OC[[#This Row],[Posicion]]</f>
        <v>Agricola del Chira PlantaMontelima7773055500024855280</v>
      </c>
      <c r="B2103" t="s">
        <v>28</v>
      </c>
      <c r="C2103" t="s">
        <v>96</v>
      </c>
      <c r="D2103" s="11">
        <v>45593</v>
      </c>
      <c r="E2103" t="s">
        <v>16</v>
      </c>
      <c r="F2103" t="s">
        <v>12</v>
      </c>
      <c r="G2103">
        <v>777305</v>
      </c>
      <c r="H2103">
        <v>5500024855</v>
      </c>
      <c r="I2103">
        <v>280</v>
      </c>
      <c r="J2103" s="29">
        <v>1</v>
      </c>
      <c r="K2103" s="29" t="s">
        <v>121</v>
      </c>
      <c r="L2103" t="str">
        <f>IFERROR(VLOOKUP(Detalle_OC[[#This Row],[Centro]]&amp;Detalle_OC[[#This Row],[Nro Almacen]],Almacen!A:D,4,FALSE),"")</f>
        <v>Montelima</v>
      </c>
    </row>
    <row r="2104" spans="1:12" x14ac:dyDescent="0.3">
      <c r="A2104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fábrica876533451156738810</v>
      </c>
      <c r="B2104" t="s">
        <v>142</v>
      </c>
      <c r="C2104" t="s">
        <v>235</v>
      </c>
      <c r="D2104" s="11">
        <v>45625</v>
      </c>
      <c r="E2104" t="s">
        <v>16</v>
      </c>
      <c r="F2104" t="s">
        <v>85</v>
      </c>
      <c r="G2104">
        <v>876533</v>
      </c>
      <c r="H2104">
        <v>4511567388</v>
      </c>
      <c r="I2104">
        <v>10</v>
      </c>
      <c r="J2104" s="29">
        <v>9</v>
      </c>
      <c r="K2104" s="29" t="s">
        <v>122</v>
      </c>
      <c r="L2104" t="str">
        <f>IFERROR(VLOOKUP(Detalle_OC[[#This Row],[Centro]]&amp;Detalle_OC[[#This Row],[Nro Almacen]],Almacen!A:D,4,FALSE),"")</f>
        <v>Parada fábrica</v>
      </c>
    </row>
    <row r="2105" spans="1:12" x14ac:dyDescent="0.3">
      <c r="A2105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fábrica894475451156738820</v>
      </c>
      <c r="B2105" t="s">
        <v>142</v>
      </c>
      <c r="C2105" t="s">
        <v>235</v>
      </c>
      <c r="D2105" s="11">
        <v>45625</v>
      </c>
      <c r="E2105" t="s">
        <v>16</v>
      </c>
      <c r="F2105" t="s">
        <v>85</v>
      </c>
      <c r="G2105">
        <v>894475</v>
      </c>
      <c r="H2105">
        <v>4511567388</v>
      </c>
      <c r="I2105">
        <v>20</v>
      </c>
      <c r="J2105" s="29">
        <v>9</v>
      </c>
      <c r="K2105" s="29" t="s">
        <v>122</v>
      </c>
      <c r="L2105" t="str">
        <f>IFERROR(VLOOKUP(Detalle_OC[[#This Row],[Centro]]&amp;Detalle_OC[[#This Row],[Nro Almacen]],Almacen!A:D,4,FALSE),"")</f>
        <v>Parada fábrica</v>
      </c>
    </row>
    <row r="2106" spans="1:12" x14ac:dyDescent="0.3">
      <c r="A2106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fábrica70010136451156738830</v>
      </c>
      <c r="B2106" t="s">
        <v>142</v>
      </c>
      <c r="C2106" t="s">
        <v>235</v>
      </c>
      <c r="D2106" s="11">
        <v>45625</v>
      </c>
      <c r="E2106" t="s">
        <v>16</v>
      </c>
      <c r="F2106" t="s">
        <v>85</v>
      </c>
      <c r="G2106">
        <v>70010136</v>
      </c>
      <c r="H2106">
        <v>4511567388</v>
      </c>
      <c r="I2106">
        <v>30</v>
      </c>
      <c r="J2106" s="29">
        <v>9</v>
      </c>
      <c r="K2106" s="29" t="s">
        <v>122</v>
      </c>
      <c r="L2106" t="str">
        <f>IFERROR(VLOOKUP(Detalle_OC[[#This Row],[Centro]]&amp;Detalle_OC[[#This Row],[Nro Almacen]],Almacen!A:D,4,FALSE),"")</f>
        <v>Parada fábrica</v>
      </c>
    </row>
    <row r="2107" spans="1:12" x14ac:dyDescent="0.3">
      <c r="A2107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fábrica867856451156739010</v>
      </c>
      <c r="B2107" t="s">
        <v>142</v>
      </c>
      <c r="C2107" t="s">
        <v>235</v>
      </c>
      <c r="D2107" s="11">
        <v>45625</v>
      </c>
      <c r="E2107" t="s">
        <v>16</v>
      </c>
      <c r="F2107" t="s">
        <v>85</v>
      </c>
      <c r="G2107">
        <v>867856</v>
      </c>
      <c r="H2107">
        <v>4511567390</v>
      </c>
      <c r="I2107">
        <v>10</v>
      </c>
      <c r="J2107" s="29">
        <v>9</v>
      </c>
      <c r="K2107" s="29" t="s">
        <v>122</v>
      </c>
      <c r="L2107" t="str">
        <f>IFERROR(VLOOKUP(Detalle_OC[[#This Row],[Centro]]&amp;Detalle_OC[[#This Row],[Nro Almacen]],Almacen!A:D,4,FALSE),"")</f>
        <v>Parada fábrica</v>
      </c>
    </row>
    <row r="2108" spans="1:12" x14ac:dyDescent="0.3">
      <c r="A2108" s="29" t="str">
        <f>Detalle_OC[[#This Row],[Centro]]&amp;Detalle_OC[[#This Row],[Nom Almacen]]&amp;Detalle_OC[[#This Row],[Material]]&amp;Detalle_OC[[#This Row],[Pedido]]&amp;Detalle_OC[[#This Row],[Posicion]]</f>
        <v>Sucroalcolera del Chira PlantaMontelima808835451156743110</v>
      </c>
      <c r="B2108" t="s">
        <v>202</v>
      </c>
      <c r="C2108" t="s">
        <v>272</v>
      </c>
      <c r="D2108" s="11">
        <v>45595</v>
      </c>
      <c r="E2108" t="s">
        <v>16</v>
      </c>
      <c r="F2108" t="s">
        <v>85</v>
      </c>
      <c r="G2108">
        <v>808835</v>
      </c>
      <c r="H2108">
        <v>4511567431</v>
      </c>
      <c r="I2108">
        <v>10</v>
      </c>
      <c r="J2108" s="29">
        <v>1</v>
      </c>
      <c r="K2108" s="29" t="s">
        <v>122</v>
      </c>
      <c r="L2108" t="str">
        <f>IFERROR(VLOOKUP(Detalle_OC[[#This Row],[Centro]]&amp;Detalle_OC[[#This Row],[Nro Almacen]],Almacen!A:D,4,FALSE),"")</f>
        <v>Montelima</v>
      </c>
    </row>
    <row r="2109" spans="1:12" x14ac:dyDescent="0.3">
      <c r="A2109" s="29" t="str">
        <f>Detalle_OC[[#This Row],[Centro]]&amp;Detalle_OC[[#This Row],[Nom Almacen]]&amp;Detalle_OC[[#This Row],[Material]]&amp;Detalle_OC[[#This Row],[Pedido]]&amp;Detalle_OC[[#This Row],[Posicion]]</f>
        <v>Sucroalcolera del Chira PlantaMontelima70134108451156743120</v>
      </c>
      <c r="B2109" t="s">
        <v>202</v>
      </c>
      <c r="C2109" t="s">
        <v>272</v>
      </c>
      <c r="D2109" s="11">
        <v>45635</v>
      </c>
      <c r="E2109" t="s">
        <v>16</v>
      </c>
      <c r="F2109" t="s">
        <v>85</v>
      </c>
      <c r="G2109">
        <v>70134108</v>
      </c>
      <c r="H2109">
        <v>4511567431</v>
      </c>
      <c r="I2109">
        <v>20</v>
      </c>
      <c r="J2109" s="29">
        <v>1</v>
      </c>
      <c r="K2109" s="29" t="s">
        <v>122</v>
      </c>
      <c r="L2109" t="str">
        <f>IFERROR(VLOOKUP(Detalle_OC[[#This Row],[Centro]]&amp;Detalle_OC[[#This Row],[Nro Almacen]],Almacen!A:D,4,FALSE),"")</f>
        <v>Montelima</v>
      </c>
    </row>
    <row r="2110" spans="1:12" x14ac:dyDescent="0.3">
      <c r="A2110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fábrica813482451156743130</v>
      </c>
      <c r="B2110" t="s">
        <v>142</v>
      </c>
      <c r="C2110" t="s">
        <v>272</v>
      </c>
      <c r="D2110" s="11">
        <v>45595</v>
      </c>
      <c r="E2110" t="s">
        <v>16</v>
      </c>
      <c r="F2110" t="s">
        <v>85</v>
      </c>
      <c r="G2110">
        <v>813482</v>
      </c>
      <c r="H2110">
        <v>4511567431</v>
      </c>
      <c r="I2110">
        <v>30</v>
      </c>
      <c r="J2110" s="29">
        <v>9</v>
      </c>
      <c r="K2110" s="29" t="s">
        <v>122</v>
      </c>
      <c r="L2110" t="str">
        <f>IFERROR(VLOOKUP(Detalle_OC[[#This Row],[Centro]]&amp;Detalle_OC[[#This Row],[Nro Almacen]],Almacen!A:D,4,FALSE),"")</f>
        <v>Parada fábrica</v>
      </c>
    </row>
    <row r="2111" spans="1:12" x14ac:dyDescent="0.3">
      <c r="A2111" s="29" t="str">
        <f>Detalle_OC[[#This Row],[Centro]]&amp;Detalle_OC[[#This Row],[Nom Almacen]]&amp;Detalle_OC[[#This Row],[Material]]&amp;Detalle_OC[[#This Row],[Pedido]]&amp;Detalle_OC[[#This Row],[Posicion]]</f>
        <v>Sucroalcolera del Chira PlantaMontelima807348451156743510</v>
      </c>
      <c r="B2111" t="s">
        <v>191</v>
      </c>
      <c r="C2111" t="s">
        <v>366</v>
      </c>
      <c r="D2111" s="11">
        <v>45644</v>
      </c>
      <c r="E2111" t="s">
        <v>16</v>
      </c>
      <c r="F2111" t="s">
        <v>85</v>
      </c>
      <c r="G2111">
        <v>807348</v>
      </c>
      <c r="H2111">
        <v>4511567435</v>
      </c>
      <c r="I2111">
        <v>10</v>
      </c>
      <c r="J2111" s="29">
        <v>1</v>
      </c>
      <c r="K2111" s="29" t="s">
        <v>122</v>
      </c>
      <c r="L2111" t="str">
        <f>IFERROR(VLOOKUP(Detalle_OC[[#This Row],[Centro]]&amp;Detalle_OC[[#This Row],[Nro Almacen]],Almacen!A:D,4,FALSE),"")</f>
        <v>Montelima</v>
      </c>
    </row>
    <row r="2112" spans="1:12" x14ac:dyDescent="0.3">
      <c r="A2112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fábrica837208452009504420</v>
      </c>
      <c r="B2112" t="s">
        <v>142</v>
      </c>
      <c r="C2112" t="s">
        <v>1207</v>
      </c>
      <c r="D2112" s="11">
        <v>45646</v>
      </c>
      <c r="E2112" t="s">
        <v>16</v>
      </c>
      <c r="F2112" t="s">
        <v>85</v>
      </c>
      <c r="G2112">
        <v>837208</v>
      </c>
      <c r="H2112">
        <v>4520095044</v>
      </c>
      <c r="I2112">
        <v>20</v>
      </c>
      <c r="J2112" s="29">
        <v>9</v>
      </c>
      <c r="K2112" s="29" t="s">
        <v>122</v>
      </c>
      <c r="L2112" t="str">
        <f>IFERROR(VLOOKUP(Detalle_OC[[#This Row],[Centro]]&amp;Detalle_OC[[#This Row],[Nro Almacen]],Almacen!A:D,4,FALSE),"")</f>
        <v>Parada fábrica</v>
      </c>
    </row>
    <row r="2113" spans="1:12" x14ac:dyDescent="0.3">
      <c r="A2113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fábrica851466452009504430</v>
      </c>
      <c r="B2113" t="s">
        <v>142</v>
      </c>
      <c r="C2113" t="s">
        <v>1207</v>
      </c>
      <c r="D2113" s="11">
        <v>45645</v>
      </c>
      <c r="E2113" t="s">
        <v>16</v>
      </c>
      <c r="F2113" t="s">
        <v>85</v>
      </c>
      <c r="G2113">
        <v>851466</v>
      </c>
      <c r="H2113">
        <v>4520095044</v>
      </c>
      <c r="I2113">
        <v>30</v>
      </c>
      <c r="J2113" s="29">
        <v>9</v>
      </c>
      <c r="K2113" s="29" t="s">
        <v>122</v>
      </c>
      <c r="L2113" t="str">
        <f>IFERROR(VLOOKUP(Detalle_OC[[#This Row],[Centro]]&amp;Detalle_OC[[#This Row],[Nro Almacen]],Almacen!A:D,4,FALSE),"")</f>
        <v>Parada fábrica</v>
      </c>
    </row>
    <row r="2114" spans="1:12" x14ac:dyDescent="0.3">
      <c r="A2114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fábrica869036452009504440</v>
      </c>
      <c r="B2114" t="s">
        <v>142</v>
      </c>
      <c r="C2114" t="s">
        <v>1207</v>
      </c>
      <c r="D2114" s="11">
        <v>45646</v>
      </c>
      <c r="E2114" t="s">
        <v>16</v>
      </c>
      <c r="F2114" t="s">
        <v>85</v>
      </c>
      <c r="G2114">
        <v>869036</v>
      </c>
      <c r="H2114">
        <v>4520095044</v>
      </c>
      <c r="I2114">
        <v>40</v>
      </c>
      <c r="J2114" s="29">
        <v>9</v>
      </c>
      <c r="K2114" s="29" t="s">
        <v>122</v>
      </c>
      <c r="L2114" t="str">
        <f>IFERROR(VLOOKUP(Detalle_OC[[#This Row],[Centro]]&amp;Detalle_OC[[#This Row],[Nro Almacen]],Almacen!A:D,4,FALSE),"")</f>
        <v>Parada fábrica</v>
      </c>
    </row>
    <row r="2115" spans="1:12" x14ac:dyDescent="0.3">
      <c r="A2115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2115" t="s">
        <v>28</v>
      </c>
      <c r="C2115" t="s">
        <v>54</v>
      </c>
      <c r="D2115" s="11">
        <v>45580</v>
      </c>
      <c r="E2115" t="s">
        <v>16</v>
      </c>
      <c r="F2115" t="s">
        <v>12</v>
      </c>
      <c r="G2115">
        <v>70100392</v>
      </c>
      <c r="H2115">
        <v>5500024751</v>
      </c>
      <c r="I2115">
        <v>40</v>
      </c>
      <c r="J2115" s="29">
        <v>7</v>
      </c>
      <c r="K2115" s="29" t="s">
        <v>122</v>
      </c>
      <c r="L2115" t="str">
        <f>IFERROR(VLOOKUP(Detalle_OC[[#This Row],[Centro]]&amp;Detalle_OC[[#This Row],[Nro Almacen]],Almacen!A:D,4,FALSE),"")</f>
        <v>Almacen Lobo</v>
      </c>
    </row>
    <row r="2116" spans="1:12" x14ac:dyDescent="0.3">
      <c r="A2116" s="29" t="str">
        <f>Detalle_OC[[#This Row],[Centro]]&amp;Detalle_OC[[#This Row],[Nom Almacen]]&amp;Detalle_OC[[#This Row],[Material]]&amp;Detalle_OC[[#This Row],[Pedido]]&amp;Detalle_OC[[#This Row],[Posicion]]</f>
        <v>Agricola del Chira PlantaMontelima70069181550002485510</v>
      </c>
      <c r="B2116" t="s">
        <v>28</v>
      </c>
      <c r="C2116" t="s">
        <v>96</v>
      </c>
      <c r="D2116" s="11">
        <v>45593</v>
      </c>
      <c r="E2116" t="s">
        <v>16</v>
      </c>
      <c r="F2116" t="s">
        <v>12</v>
      </c>
      <c r="G2116">
        <v>70069181</v>
      </c>
      <c r="H2116">
        <v>5500024855</v>
      </c>
      <c r="I2116">
        <v>10</v>
      </c>
      <c r="J2116" s="29">
        <v>1</v>
      </c>
      <c r="K2116" s="29" t="s">
        <v>122</v>
      </c>
      <c r="L2116" t="str">
        <f>IFERROR(VLOOKUP(Detalle_OC[[#This Row],[Centro]]&amp;Detalle_OC[[#This Row],[Nro Almacen]],Almacen!A:D,4,FALSE),"")</f>
        <v>Montelima</v>
      </c>
    </row>
    <row r="2117" spans="1:12" x14ac:dyDescent="0.3">
      <c r="A2117" s="29" t="str">
        <f>Detalle_OC[[#This Row],[Centro]]&amp;Detalle_OC[[#This Row],[Nom Almacen]]&amp;Detalle_OC[[#This Row],[Material]]&amp;Detalle_OC[[#This Row],[Pedido]]&amp;Detalle_OC[[#This Row],[Posicion]]</f>
        <v>Agricola del Chira PlantaAlmacen Lobo70088281451156722310</v>
      </c>
      <c r="B2117" t="s">
        <v>343</v>
      </c>
      <c r="C2117" t="s">
        <v>54</v>
      </c>
      <c r="D2117" s="11">
        <v>45644</v>
      </c>
      <c r="E2117" t="s">
        <v>16</v>
      </c>
      <c r="F2117" t="s">
        <v>12</v>
      </c>
      <c r="G2117">
        <v>70088281</v>
      </c>
      <c r="H2117">
        <v>4511567223</v>
      </c>
      <c r="I2117">
        <v>10</v>
      </c>
      <c r="J2117" s="29">
        <v>7</v>
      </c>
      <c r="K2117" s="29" t="s">
        <v>123</v>
      </c>
      <c r="L2117" t="str">
        <f>IFERROR(VLOOKUP(Detalle_OC[[#This Row],[Centro]]&amp;Detalle_OC[[#This Row],[Nro Almacen]],Almacen!A:D,4,FALSE),"")</f>
        <v>Almacen Lobo</v>
      </c>
    </row>
    <row r="2118" spans="1:12" x14ac:dyDescent="0.3">
      <c r="A2118" s="29" t="str">
        <f>Detalle_OC[[#This Row],[Centro]]&amp;Detalle_OC[[#This Row],[Nom Almacen]]&amp;Detalle_OC[[#This Row],[Material]]&amp;Detalle_OC[[#This Row],[Pedido]]&amp;Detalle_OC[[#This Row],[Posicion]]</f>
        <v>Agricola del Chira PlantaAlmacen Lobo70066119452009503410</v>
      </c>
      <c r="B2118" t="s">
        <v>33</v>
      </c>
      <c r="C2118" t="s">
        <v>1208</v>
      </c>
      <c r="D2118" s="11">
        <v>45618</v>
      </c>
      <c r="E2118" t="s">
        <v>16</v>
      </c>
      <c r="F2118" t="s">
        <v>12</v>
      </c>
      <c r="G2118">
        <v>70066119</v>
      </c>
      <c r="H2118">
        <v>4520095034</v>
      </c>
      <c r="I2118">
        <v>10</v>
      </c>
      <c r="J2118" s="29">
        <v>7</v>
      </c>
      <c r="K2118" s="29" t="s">
        <v>123</v>
      </c>
      <c r="L2118" t="str">
        <f>IFERROR(VLOOKUP(Detalle_OC[[#This Row],[Centro]]&amp;Detalle_OC[[#This Row],[Nro Almacen]],Almacen!A:D,4,FALSE),"")</f>
        <v>Almacen Lobo</v>
      </c>
    </row>
    <row r="2119" spans="1:12" x14ac:dyDescent="0.3">
      <c r="A2119" s="29" t="str">
        <f>Detalle_OC[[#This Row],[Centro]]&amp;Detalle_OC[[#This Row],[Nom Almacen]]&amp;Detalle_OC[[#This Row],[Material]]&amp;Detalle_OC[[#This Row],[Pedido]]&amp;Detalle_OC[[#This Row],[Posicion]]</f>
        <v>Agricola del Chira PlantaMontelima70096187452009503420</v>
      </c>
      <c r="B2119" t="s">
        <v>33</v>
      </c>
      <c r="C2119" t="s">
        <v>1208</v>
      </c>
      <c r="D2119" s="11">
        <v>45618</v>
      </c>
      <c r="E2119" t="s">
        <v>16</v>
      </c>
      <c r="F2119" t="s">
        <v>12</v>
      </c>
      <c r="G2119">
        <v>70096187</v>
      </c>
      <c r="H2119">
        <v>4520095034</v>
      </c>
      <c r="I2119">
        <v>20</v>
      </c>
      <c r="J2119" s="29">
        <v>1</v>
      </c>
      <c r="K2119" s="29" t="s">
        <v>123</v>
      </c>
      <c r="L2119" t="str">
        <f>IFERROR(VLOOKUP(Detalle_OC[[#This Row],[Centro]]&amp;Detalle_OC[[#This Row],[Nro Almacen]],Almacen!A:D,4,FALSE),"")</f>
        <v>Montelima</v>
      </c>
    </row>
    <row r="2120" spans="1:12" x14ac:dyDescent="0.3">
      <c r="A2120" s="29" t="str">
        <f>Detalle_OC[[#This Row],[Centro]]&amp;Detalle_OC[[#This Row],[Nom Almacen]]&amp;Detalle_OC[[#This Row],[Material]]&amp;Detalle_OC[[#This Row],[Pedido]]&amp;Detalle_OC[[#This Row],[Posicion]]</f>
        <v>Sucroalcolera del Chira PlantaMontelima70084356550002468210</v>
      </c>
      <c r="B2120" t="s">
        <v>28</v>
      </c>
      <c r="C2120" t="s">
        <v>84</v>
      </c>
      <c r="D2120" s="11">
        <v>45587</v>
      </c>
      <c r="E2120" t="s">
        <v>16</v>
      </c>
      <c r="F2120" t="s">
        <v>85</v>
      </c>
      <c r="G2120">
        <v>70084356</v>
      </c>
      <c r="H2120">
        <v>5500024682</v>
      </c>
      <c r="I2120">
        <v>10</v>
      </c>
      <c r="J2120" s="29">
        <v>1</v>
      </c>
      <c r="K2120" s="29" t="s">
        <v>124</v>
      </c>
      <c r="L2120" t="str">
        <f>IFERROR(VLOOKUP(Detalle_OC[[#This Row],[Centro]]&amp;Detalle_OC[[#This Row],[Nro Almacen]],Almacen!A:D,4,FALSE),"")</f>
        <v>Montelima</v>
      </c>
    </row>
    <row r="2121" spans="1:12" x14ac:dyDescent="0.3">
      <c r="A2121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2121" t="s">
        <v>28</v>
      </c>
      <c r="C2121" t="s">
        <v>54</v>
      </c>
      <c r="D2121" s="11">
        <v>45580</v>
      </c>
      <c r="E2121" t="s">
        <v>16</v>
      </c>
      <c r="F2121" t="s">
        <v>12</v>
      </c>
      <c r="G2121">
        <v>70100392</v>
      </c>
      <c r="H2121">
        <v>5500024751</v>
      </c>
      <c r="I2121">
        <v>20</v>
      </c>
      <c r="J2121" s="29">
        <v>2</v>
      </c>
      <c r="K2121" s="29" t="s">
        <v>124</v>
      </c>
      <c r="L2121" t="str">
        <f>IFERROR(VLOOKUP(Detalle_OC[[#This Row],[Centro]]&amp;Detalle_OC[[#This Row],[Nro Almacen]],Almacen!A:D,4,FALSE),"")</f>
        <v>La Huaca</v>
      </c>
    </row>
    <row r="2122" spans="1:12" x14ac:dyDescent="0.3">
      <c r="A2122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2122" t="s">
        <v>28</v>
      </c>
      <c r="C2122" t="s">
        <v>54</v>
      </c>
      <c r="D2122" s="11">
        <v>45580</v>
      </c>
      <c r="E2122" t="s">
        <v>16</v>
      </c>
      <c r="F2122" t="s">
        <v>12</v>
      </c>
      <c r="G2122">
        <v>70100392</v>
      </c>
      <c r="H2122">
        <v>5500024751</v>
      </c>
      <c r="I2122">
        <v>40</v>
      </c>
      <c r="J2122" s="29">
        <v>7</v>
      </c>
      <c r="K2122" s="29" t="s">
        <v>124</v>
      </c>
      <c r="L2122" t="str">
        <f>IFERROR(VLOOKUP(Detalle_OC[[#This Row],[Centro]]&amp;Detalle_OC[[#This Row],[Nro Almacen]],Almacen!A:D,4,FALSE),"")</f>
        <v>Almacen Lobo</v>
      </c>
    </row>
    <row r="2123" spans="1:12" x14ac:dyDescent="0.3">
      <c r="A2123" s="29" t="str">
        <f>Detalle_OC[[#This Row],[Centro]]&amp;Detalle_OC[[#This Row],[Nom Almacen]]&amp;Detalle_OC[[#This Row],[Material]]&amp;Detalle_OC[[#This Row],[Pedido]]&amp;Detalle_OC[[#This Row],[Posicion]]</f>
        <v>Agricola del Chira PlantaMontelima721669550002485530</v>
      </c>
      <c r="B2123" t="s">
        <v>28</v>
      </c>
      <c r="C2123" t="s">
        <v>96</v>
      </c>
      <c r="D2123" s="11">
        <v>45580</v>
      </c>
      <c r="E2123" t="s">
        <v>16</v>
      </c>
      <c r="F2123" t="s">
        <v>12</v>
      </c>
      <c r="G2123">
        <v>721669</v>
      </c>
      <c r="H2123">
        <v>5500024855</v>
      </c>
      <c r="I2123">
        <v>30</v>
      </c>
      <c r="J2123" s="29">
        <v>1</v>
      </c>
      <c r="K2123" s="29" t="s">
        <v>124</v>
      </c>
      <c r="L2123" t="str">
        <f>IFERROR(VLOOKUP(Detalle_OC[[#This Row],[Centro]]&amp;Detalle_OC[[#This Row],[Nro Almacen]],Almacen!A:D,4,FALSE),"")</f>
        <v>Montelima</v>
      </c>
    </row>
    <row r="2124" spans="1:12" x14ac:dyDescent="0.3">
      <c r="A2124" s="29" t="str">
        <f>Detalle_OC[[#This Row],[Centro]]&amp;Detalle_OC[[#This Row],[Nom Almacen]]&amp;Detalle_OC[[#This Row],[Material]]&amp;Detalle_OC[[#This Row],[Pedido]]&amp;Detalle_OC[[#This Row],[Posicion]]</f>
        <v>Agricola del Chira PlantaMontelima8104815500024855100</v>
      </c>
      <c r="B2124" t="s">
        <v>28</v>
      </c>
      <c r="C2124" t="s">
        <v>96</v>
      </c>
      <c r="D2124" s="11">
        <v>45593</v>
      </c>
      <c r="E2124" t="s">
        <v>16</v>
      </c>
      <c r="F2124" t="s">
        <v>12</v>
      </c>
      <c r="G2124">
        <v>810481</v>
      </c>
      <c r="H2124">
        <v>5500024855</v>
      </c>
      <c r="I2124">
        <v>100</v>
      </c>
      <c r="J2124" s="29">
        <v>1</v>
      </c>
      <c r="K2124" s="29" t="s">
        <v>124</v>
      </c>
      <c r="L2124" t="str">
        <f>IFERROR(VLOOKUP(Detalle_OC[[#This Row],[Centro]]&amp;Detalle_OC[[#This Row],[Nro Almacen]],Almacen!A:D,4,FALSE),"")</f>
        <v>Montelima</v>
      </c>
    </row>
    <row r="2125" spans="1:12" x14ac:dyDescent="0.3">
      <c r="A2125" s="29" t="str">
        <f>Detalle_OC[[#This Row],[Centro]]&amp;Detalle_OC[[#This Row],[Nom Almacen]]&amp;Detalle_OC[[#This Row],[Material]]&amp;Detalle_OC[[#This Row],[Pedido]]&amp;Detalle_OC[[#This Row],[Posicion]]</f>
        <v>Sucroalcolera del Chira PlantaMontelima70069179550002485610</v>
      </c>
      <c r="B2125" t="s">
        <v>28</v>
      </c>
      <c r="C2125" t="s">
        <v>96</v>
      </c>
      <c r="D2125" s="11">
        <v>45580</v>
      </c>
      <c r="E2125" t="s">
        <v>16</v>
      </c>
      <c r="F2125" t="s">
        <v>85</v>
      </c>
      <c r="G2125">
        <v>70069179</v>
      </c>
      <c r="H2125">
        <v>5500024856</v>
      </c>
      <c r="I2125">
        <v>10</v>
      </c>
      <c r="J2125" s="29">
        <v>1</v>
      </c>
      <c r="K2125" s="29" t="s">
        <v>124</v>
      </c>
      <c r="L2125" t="str">
        <f>IFERROR(VLOOKUP(Detalle_OC[[#This Row],[Centro]]&amp;Detalle_OC[[#This Row],[Nro Almacen]],Almacen!A:D,4,FALSE),"")</f>
        <v>Montelima</v>
      </c>
    </row>
    <row r="2126" spans="1:12" x14ac:dyDescent="0.3">
      <c r="A2126" s="29" t="str">
        <f>Detalle_OC[[#This Row],[Centro]]&amp;Detalle_OC[[#This Row],[Nom Almacen]]&amp;Detalle_OC[[#This Row],[Material]]&amp;Detalle_OC[[#This Row],[Pedido]]&amp;Detalle_OC[[#This Row],[Posicion]]</f>
        <v>Agricola del Chira PlantaMontelima700580015500024881160</v>
      </c>
      <c r="B2126" t="s">
        <v>28</v>
      </c>
      <c r="C2126" t="s">
        <v>52</v>
      </c>
      <c r="D2126" s="11">
        <v>45580</v>
      </c>
      <c r="E2126" t="s">
        <v>16</v>
      </c>
      <c r="F2126" t="s">
        <v>12</v>
      </c>
      <c r="G2126">
        <v>70058001</v>
      </c>
      <c r="H2126">
        <v>5500024881</v>
      </c>
      <c r="I2126">
        <v>160</v>
      </c>
      <c r="J2126" s="29">
        <v>1</v>
      </c>
      <c r="K2126" s="29" t="s">
        <v>124</v>
      </c>
      <c r="L2126" t="str">
        <f>IFERROR(VLOOKUP(Detalle_OC[[#This Row],[Centro]]&amp;Detalle_OC[[#This Row],[Nro Almacen]],Almacen!A:D,4,FALSE),"")</f>
        <v>Montelima</v>
      </c>
    </row>
    <row r="2127" spans="1:12" x14ac:dyDescent="0.3">
      <c r="A2127" s="29" t="str">
        <f>Detalle_OC[[#This Row],[Centro]]&amp;Detalle_OC[[#This Row],[Nom Almacen]]&amp;Detalle_OC[[#This Row],[Material]]&amp;Detalle_OC[[#This Row],[Pedido]]&amp;Detalle_OC[[#This Row],[Posicion]]</f>
        <v>Sucroalcolera del Chira PlantaMontelima70132900550002489220</v>
      </c>
      <c r="B2127" t="s">
        <v>28</v>
      </c>
      <c r="C2127" t="s">
        <v>52</v>
      </c>
      <c r="D2127" s="11">
        <v>45593</v>
      </c>
      <c r="E2127" t="s">
        <v>16</v>
      </c>
      <c r="F2127" t="s">
        <v>85</v>
      </c>
      <c r="G2127">
        <v>70132900</v>
      </c>
      <c r="H2127">
        <v>5500024892</v>
      </c>
      <c r="I2127">
        <v>20</v>
      </c>
      <c r="J2127" s="29">
        <v>1</v>
      </c>
      <c r="K2127" s="29" t="s">
        <v>124</v>
      </c>
      <c r="L2127" t="str">
        <f>IFERROR(VLOOKUP(Detalle_OC[[#This Row],[Centro]]&amp;Detalle_OC[[#This Row],[Nro Almacen]],Almacen!A:D,4,FALSE),"")</f>
        <v>Montelima</v>
      </c>
    </row>
    <row r="2128" spans="1:12" x14ac:dyDescent="0.3">
      <c r="A2128" s="29" t="str">
        <f>Detalle_OC[[#This Row],[Centro]]&amp;Detalle_OC[[#This Row],[Nom Almacen]]&amp;Detalle_OC[[#This Row],[Material]]&amp;Detalle_OC[[#This Row],[Pedido]]&amp;Detalle_OC[[#This Row],[Posicion]]</f>
        <v>Agricola del Chira PlantaMontelima818757451156687010</v>
      </c>
      <c r="B2128" t="s">
        <v>279</v>
      </c>
      <c r="C2128" t="s">
        <v>312</v>
      </c>
      <c r="D2128" s="11">
        <v>45635</v>
      </c>
      <c r="E2128" t="s">
        <v>16</v>
      </c>
      <c r="F2128" t="s">
        <v>12</v>
      </c>
      <c r="G2128">
        <v>818757</v>
      </c>
      <c r="H2128">
        <v>4511566870</v>
      </c>
      <c r="I2128">
        <v>10</v>
      </c>
      <c r="J2128" s="29">
        <v>1</v>
      </c>
      <c r="K2128" s="29" t="s">
        <v>125</v>
      </c>
      <c r="L2128" t="str">
        <f>IFERROR(VLOOKUP(Detalle_OC[[#This Row],[Centro]]&amp;Detalle_OC[[#This Row],[Nro Almacen]],Almacen!A:D,4,FALSE),"")</f>
        <v>Montelima</v>
      </c>
    </row>
    <row r="2129" spans="1:12" x14ac:dyDescent="0.3">
      <c r="A2129" s="29" t="str">
        <f>Detalle_OC[[#This Row],[Centro]]&amp;Detalle_OC[[#This Row],[Nom Almacen]]&amp;Detalle_OC[[#This Row],[Material]]&amp;Detalle_OC[[#This Row],[Pedido]]&amp;Detalle_OC[[#This Row],[Posicion]]</f>
        <v>Agricola del Chira PlantaSan Vicente898259451156687030</v>
      </c>
      <c r="B2129" t="s">
        <v>279</v>
      </c>
      <c r="C2129" t="s">
        <v>312</v>
      </c>
      <c r="D2129" s="11">
        <v>45635</v>
      </c>
      <c r="E2129" t="s">
        <v>16</v>
      </c>
      <c r="F2129" t="s">
        <v>12</v>
      </c>
      <c r="G2129">
        <v>898259</v>
      </c>
      <c r="H2129">
        <v>4511566870</v>
      </c>
      <c r="I2129">
        <v>30</v>
      </c>
      <c r="J2129" s="29">
        <v>3</v>
      </c>
      <c r="K2129" s="29" t="s">
        <v>125</v>
      </c>
      <c r="L2129" t="str">
        <f>IFERROR(VLOOKUP(Detalle_OC[[#This Row],[Centro]]&amp;Detalle_OC[[#This Row],[Nro Almacen]],Almacen!A:D,4,FALSE),"")</f>
        <v>San Vicente</v>
      </c>
    </row>
    <row r="2130" spans="1:12" x14ac:dyDescent="0.3">
      <c r="A2130" s="29" t="str">
        <f>Detalle_OC[[#This Row],[Centro]]&amp;Detalle_OC[[#This Row],[Nom Almacen]]&amp;Detalle_OC[[#This Row],[Material]]&amp;Detalle_OC[[#This Row],[Pedido]]&amp;Detalle_OC[[#This Row],[Posicion]]</f>
        <v>Agricola del Chira PlantaMontelima771668451156693410</v>
      </c>
      <c r="B2130" t="s">
        <v>26</v>
      </c>
      <c r="C2130" t="s">
        <v>24</v>
      </c>
      <c r="D2130" s="11">
        <v>45596</v>
      </c>
      <c r="E2130" t="s">
        <v>16</v>
      </c>
      <c r="F2130" t="s">
        <v>12</v>
      </c>
      <c r="G2130">
        <v>771668</v>
      </c>
      <c r="H2130">
        <v>4511566934</v>
      </c>
      <c r="I2130">
        <v>10</v>
      </c>
      <c r="J2130" s="29">
        <v>1</v>
      </c>
      <c r="K2130" s="29" t="s">
        <v>125</v>
      </c>
      <c r="L2130" t="str">
        <f>IFERROR(VLOOKUP(Detalle_OC[[#This Row],[Centro]]&amp;Detalle_OC[[#This Row],[Nro Almacen]],Almacen!A:D,4,FALSE),"")</f>
        <v>Montelima</v>
      </c>
    </row>
    <row r="2131" spans="1:12" x14ac:dyDescent="0.3">
      <c r="A2131" s="29" t="str">
        <f>Detalle_OC[[#This Row],[Centro]]&amp;Detalle_OC[[#This Row],[Nom Almacen]]&amp;Detalle_OC[[#This Row],[Material]]&amp;Detalle_OC[[#This Row],[Pedido]]&amp;Detalle_OC[[#This Row],[Posicion]]</f>
        <v>Agricola del Chira PlantaSan Vicente863360451156693420</v>
      </c>
      <c r="B2131" t="s">
        <v>26</v>
      </c>
      <c r="C2131" t="s">
        <v>24</v>
      </c>
      <c r="D2131" s="11">
        <v>45596</v>
      </c>
      <c r="E2131" t="s">
        <v>16</v>
      </c>
      <c r="F2131" t="s">
        <v>12</v>
      </c>
      <c r="G2131">
        <v>863360</v>
      </c>
      <c r="H2131">
        <v>4511566934</v>
      </c>
      <c r="I2131">
        <v>20</v>
      </c>
      <c r="J2131" s="29">
        <v>3</v>
      </c>
      <c r="K2131" s="29" t="s">
        <v>125</v>
      </c>
      <c r="L2131" t="str">
        <f>IFERROR(VLOOKUP(Detalle_OC[[#This Row],[Centro]]&amp;Detalle_OC[[#This Row],[Nro Almacen]],Almacen!A:D,4,FALSE),"")</f>
        <v>San Vicente</v>
      </c>
    </row>
    <row r="2132" spans="1:12" x14ac:dyDescent="0.3">
      <c r="A2132" s="29" t="str">
        <f>Detalle_OC[[#This Row],[Centro]]&amp;Detalle_OC[[#This Row],[Nom Almacen]]&amp;Detalle_OC[[#This Row],[Material]]&amp;Detalle_OC[[#This Row],[Pedido]]&amp;Detalle_OC[[#This Row],[Posicion]]</f>
        <v>Agricola del Chira PlantaAlmacen Lobo863363451156693430</v>
      </c>
      <c r="B2132" t="s">
        <v>26</v>
      </c>
      <c r="C2132" t="s">
        <v>24</v>
      </c>
      <c r="D2132" s="11">
        <v>45596</v>
      </c>
      <c r="E2132" t="s">
        <v>16</v>
      </c>
      <c r="F2132" t="s">
        <v>12</v>
      </c>
      <c r="G2132">
        <v>863363</v>
      </c>
      <c r="H2132">
        <v>4511566934</v>
      </c>
      <c r="I2132">
        <v>30</v>
      </c>
      <c r="J2132" s="29">
        <v>7</v>
      </c>
      <c r="K2132" s="29" t="s">
        <v>125</v>
      </c>
      <c r="L2132" t="str">
        <f>IFERROR(VLOOKUP(Detalle_OC[[#This Row],[Centro]]&amp;Detalle_OC[[#This Row],[Nro Almacen]],Almacen!A:D,4,FALSE),"")</f>
        <v>Almacen Lobo</v>
      </c>
    </row>
    <row r="2133" spans="1:12" x14ac:dyDescent="0.3">
      <c r="A2133" s="29" t="str">
        <f>Detalle_OC[[#This Row],[Centro]]&amp;Detalle_OC[[#This Row],[Nom Almacen]]&amp;Detalle_OC[[#This Row],[Material]]&amp;Detalle_OC[[#This Row],[Pedido]]&amp;Detalle_OC[[#This Row],[Posicion]]</f>
        <v>Agricola del Chira PlantaAlmacen Lobo894179451156693440</v>
      </c>
      <c r="B2133" t="s">
        <v>26</v>
      </c>
      <c r="C2133" t="s">
        <v>24</v>
      </c>
      <c r="D2133" s="11">
        <v>45596</v>
      </c>
      <c r="E2133" t="s">
        <v>16</v>
      </c>
      <c r="F2133" t="s">
        <v>12</v>
      </c>
      <c r="G2133">
        <v>894179</v>
      </c>
      <c r="H2133">
        <v>4511566934</v>
      </c>
      <c r="I2133">
        <v>40</v>
      </c>
      <c r="J2133" s="29">
        <v>7</v>
      </c>
      <c r="K2133" s="29" t="s">
        <v>125</v>
      </c>
      <c r="L2133" t="str">
        <f>IFERROR(VLOOKUP(Detalle_OC[[#This Row],[Centro]]&amp;Detalle_OC[[#This Row],[Nro Almacen]],Almacen!A:D,4,FALSE),"")</f>
        <v>Almacen Lobo</v>
      </c>
    </row>
    <row r="2134" spans="1:12" x14ac:dyDescent="0.3">
      <c r="A2134" s="29" t="str">
        <f>Detalle_OC[[#This Row],[Centro]]&amp;Detalle_OC[[#This Row],[Nom Almacen]]&amp;Detalle_OC[[#This Row],[Material]]&amp;Detalle_OC[[#This Row],[Pedido]]&amp;Detalle_OC[[#This Row],[Posicion]]</f>
        <v>Agricola del Chira PlantaMontelima804176451156694910</v>
      </c>
      <c r="B2134" t="s">
        <v>149</v>
      </c>
      <c r="C2134" t="s">
        <v>216</v>
      </c>
      <c r="D2134" s="11">
        <v>45625</v>
      </c>
      <c r="E2134" t="s">
        <v>16</v>
      </c>
      <c r="F2134" t="s">
        <v>12</v>
      </c>
      <c r="G2134">
        <v>804176</v>
      </c>
      <c r="H2134">
        <v>4511566949</v>
      </c>
      <c r="I2134">
        <v>10</v>
      </c>
      <c r="J2134" s="29">
        <v>1</v>
      </c>
      <c r="K2134" s="29" t="s">
        <v>125</v>
      </c>
      <c r="L2134" t="str">
        <f>IFERROR(VLOOKUP(Detalle_OC[[#This Row],[Centro]]&amp;Detalle_OC[[#This Row],[Nro Almacen]],Almacen!A:D,4,FALSE),"")</f>
        <v>Montelima</v>
      </c>
    </row>
    <row r="2135" spans="1:12" x14ac:dyDescent="0.3">
      <c r="A2135" s="29" t="str">
        <f>Detalle_OC[[#This Row],[Centro]]&amp;Detalle_OC[[#This Row],[Nom Almacen]]&amp;Detalle_OC[[#This Row],[Material]]&amp;Detalle_OC[[#This Row],[Pedido]]&amp;Detalle_OC[[#This Row],[Posicion]]</f>
        <v>Agricola del Chira PlantaMontelima804202451156694920</v>
      </c>
      <c r="B2135" t="s">
        <v>149</v>
      </c>
      <c r="C2135" t="s">
        <v>216</v>
      </c>
      <c r="D2135" s="11">
        <v>45593</v>
      </c>
      <c r="E2135" t="s">
        <v>16</v>
      </c>
      <c r="F2135" t="s">
        <v>12</v>
      </c>
      <c r="G2135">
        <v>804202</v>
      </c>
      <c r="H2135">
        <v>4511566949</v>
      </c>
      <c r="I2135">
        <v>20</v>
      </c>
      <c r="J2135" s="29">
        <v>1</v>
      </c>
      <c r="K2135" s="29" t="s">
        <v>125</v>
      </c>
      <c r="L2135" t="str">
        <f>IFERROR(VLOOKUP(Detalle_OC[[#This Row],[Centro]]&amp;Detalle_OC[[#This Row],[Nro Almacen]],Almacen!A:D,4,FALSE),"")</f>
        <v>Montelima</v>
      </c>
    </row>
    <row r="2136" spans="1:12" x14ac:dyDescent="0.3">
      <c r="A2136" s="29" t="str">
        <f>Detalle_OC[[#This Row],[Centro]]&amp;Detalle_OC[[#This Row],[Nom Almacen]]&amp;Detalle_OC[[#This Row],[Material]]&amp;Detalle_OC[[#This Row],[Pedido]]&amp;Detalle_OC[[#This Row],[Posicion]]</f>
        <v>Agricola del Chira PlantaMontelima810526451156694930</v>
      </c>
      <c r="B2136" t="s">
        <v>149</v>
      </c>
      <c r="C2136" t="s">
        <v>216</v>
      </c>
      <c r="D2136" s="11">
        <v>45593</v>
      </c>
      <c r="E2136" t="s">
        <v>16</v>
      </c>
      <c r="F2136" t="s">
        <v>12</v>
      </c>
      <c r="G2136">
        <v>810526</v>
      </c>
      <c r="H2136">
        <v>4511566949</v>
      </c>
      <c r="I2136">
        <v>30</v>
      </c>
      <c r="J2136" s="29">
        <v>1</v>
      </c>
      <c r="K2136" s="29" t="s">
        <v>125</v>
      </c>
      <c r="L2136" t="str">
        <f>IFERROR(VLOOKUP(Detalle_OC[[#This Row],[Centro]]&amp;Detalle_OC[[#This Row],[Nro Almacen]],Almacen!A:D,4,FALSE),"")</f>
        <v>Montelima</v>
      </c>
    </row>
    <row r="2137" spans="1:12" x14ac:dyDescent="0.3">
      <c r="A2137" s="29" t="str">
        <f>Detalle_OC[[#This Row],[Centro]]&amp;Detalle_OC[[#This Row],[Nom Almacen]]&amp;Detalle_OC[[#This Row],[Material]]&amp;Detalle_OC[[#This Row],[Pedido]]&amp;Detalle_OC[[#This Row],[Posicion]]</f>
        <v>Agricola del Chira PlantaMontelima818052451156694940</v>
      </c>
      <c r="B2137" t="s">
        <v>149</v>
      </c>
      <c r="C2137" t="s">
        <v>216</v>
      </c>
      <c r="D2137" s="11">
        <v>45625</v>
      </c>
      <c r="E2137" t="s">
        <v>16</v>
      </c>
      <c r="F2137" t="s">
        <v>12</v>
      </c>
      <c r="G2137">
        <v>818052</v>
      </c>
      <c r="H2137">
        <v>4511566949</v>
      </c>
      <c r="I2137">
        <v>40</v>
      </c>
      <c r="J2137" s="29">
        <v>1</v>
      </c>
      <c r="K2137" s="29" t="s">
        <v>125</v>
      </c>
      <c r="L2137" t="str">
        <f>IFERROR(VLOOKUP(Detalle_OC[[#This Row],[Centro]]&amp;Detalle_OC[[#This Row],[Nro Almacen]],Almacen!A:D,4,FALSE),"")</f>
        <v>Montelima</v>
      </c>
    </row>
    <row r="2138" spans="1:12" x14ac:dyDescent="0.3">
      <c r="A2138" s="29" t="str">
        <f>Detalle_OC[[#This Row],[Centro]]&amp;Detalle_OC[[#This Row],[Nom Almacen]]&amp;Detalle_OC[[#This Row],[Material]]&amp;Detalle_OC[[#This Row],[Pedido]]&amp;Detalle_OC[[#This Row],[Posicion]]</f>
        <v>Agricola del Chira PlantaMontelima841246451156694950</v>
      </c>
      <c r="B2138" t="s">
        <v>149</v>
      </c>
      <c r="C2138" t="s">
        <v>216</v>
      </c>
      <c r="D2138" s="11">
        <v>45625</v>
      </c>
      <c r="E2138" t="s">
        <v>16</v>
      </c>
      <c r="F2138" t="s">
        <v>12</v>
      </c>
      <c r="G2138">
        <v>841246</v>
      </c>
      <c r="H2138">
        <v>4511566949</v>
      </c>
      <c r="I2138">
        <v>50</v>
      </c>
      <c r="J2138" s="29">
        <v>1</v>
      </c>
      <c r="K2138" s="29" t="s">
        <v>125</v>
      </c>
      <c r="L2138" t="str">
        <f>IFERROR(VLOOKUP(Detalle_OC[[#This Row],[Centro]]&amp;Detalle_OC[[#This Row],[Nro Almacen]],Almacen!A:D,4,FALSE),"")</f>
        <v>Montelima</v>
      </c>
    </row>
    <row r="2139" spans="1:12" x14ac:dyDescent="0.3">
      <c r="A2139" s="29" t="str">
        <f>Detalle_OC[[#This Row],[Centro]]&amp;Detalle_OC[[#This Row],[Nom Almacen]]&amp;Detalle_OC[[#This Row],[Material]]&amp;Detalle_OC[[#This Row],[Pedido]]&amp;Detalle_OC[[#This Row],[Posicion]]</f>
        <v>Agricola del Chira PlantaMontelima841307451156694960</v>
      </c>
      <c r="B2139" t="s">
        <v>149</v>
      </c>
      <c r="C2139" t="s">
        <v>216</v>
      </c>
      <c r="D2139" s="11">
        <v>45593</v>
      </c>
      <c r="E2139" t="s">
        <v>16</v>
      </c>
      <c r="F2139" t="s">
        <v>12</v>
      </c>
      <c r="G2139">
        <v>841307</v>
      </c>
      <c r="H2139">
        <v>4511566949</v>
      </c>
      <c r="I2139">
        <v>60</v>
      </c>
      <c r="J2139" s="29">
        <v>1</v>
      </c>
      <c r="K2139" s="29" t="s">
        <v>125</v>
      </c>
      <c r="L2139" t="str">
        <f>IFERROR(VLOOKUP(Detalle_OC[[#This Row],[Centro]]&amp;Detalle_OC[[#This Row],[Nro Almacen]],Almacen!A:D,4,FALSE),"")</f>
        <v>Montelima</v>
      </c>
    </row>
    <row r="2140" spans="1:12" x14ac:dyDescent="0.3">
      <c r="A2140" s="29" t="str">
        <f>Detalle_OC[[#This Row],[Centro]]&amp;Detalle_OC[[#This Row],[Nom Almacen]]&amp;Detalle_OC[[#This Row],[Material]]&amp;Detalle_OC[[#This Row],[Pedido]]&amp;Detalle_OC[[#This Row],[Posicion]]</f>
        <v>Agricola del Chira PlantaMontelima841652451156694970</v>
      </c>
      <c r="B2140" t="s">
        <v>149</v>
      </c>
      <c r="C2140" t="s">
        <v>216</v>
      </c>
      <c r="D2140" s="11">
        <v>45593</v>
      </c>
      <c r="E2140" t="s">
        <v>16</v>
      </c>
      <c r="F2140" t="s">
        <v>12</v>
      </c>
      <c r="G2140">
        <v>841652</v>
      </c>
      <c r="H2140">
        <v>4511566949</v>
      </c>
      <c r="I2140">
        <v>70</v>
      </c>
      <c r="J2140" s="29">
        <v>1</v>
      </c>
      <c r="K2140" s="29" t="s">
        <v>125</v>
      </c>
      <c r="L2140" t="str">
        <f>IFERROR(VLOOKUP(Detalle_OC[[#This Row],[Centro]]&amp;Detalle_OC[[#This Row],[Nro Almacen]],Almacen!A:D,4,FALSE),"")</f>
        <v>Montelima</v>
      </c>
    </row>
    <row r="2141" spans="1:12" x14ac:dyDescent="0.3">
      <c r="A2141" s="29" t="str">
        <f>Detalle_OC[[#This Row],[Centro]]&amp;Detalle_OC[[#This Row],[Nom Almacen]]&amp;Detalle_OC[[#This Row],[Material]]&amp;Detalle_OC[[#This Row],[Pedido]]&amp;Detalle_OC[[#This Row],[Posicion]]</f>
        <v>Agricola del Chira PlantaMontelima862040451156694980</v>
      </c>
      <c r="B2141" t="s">
        <v>149</v>
      </c>
      <c r="C2141" t="s">
        <v>216</v>
      </c>
      <c r="D2141" s="11">
        <v>45593</v>
      </c>
      <c r="E2141" t="s">
        <v>16</v>
      </c>
      <c r="F2141" t="s">
        <v>12</v>
      </c>
      <c r="G2141">
        <v>862040</v>
      </c>
      <c r="H2141">
        <v>4511566949</v>
      </c>
      <c r="I2141">
        <v>80</v>
      </c>
      <c r="J2141" s="29">
        <v>1</v>
      </c>
      <c r="K2141" s="29" t="s">
        <v>125</v>
      </c>
      <c r="L2141" t="str">
        <f>IFERROR(VLOOKUP(Detalle_OC[[#This Row],[Centro]]&amp;Detalle_OC[[#This Row],[Nro Almacen]],Almacen!A:D,4,FALSE),"")</f>
        <v>Montelima</v>
      </c>
    </row>
    <row r="2142" spans="1:12" x14ac:dyDescent="0.3">
      <c r="A2142" s="29" t="str">
        <f>Detalle_OC[[#This Row],[Centro]]&amp;Detalle_OC[[#This Row],[Nom Almacen]]&amp;Detalle_OC[[#This Row],[Material]]&amp;Detalle_OC[[#This Row],[Pedido]]&amp;Detalle_OC[[#This Row],[Posicion]]</f>
        <v>Agricola del Chira PlantaMontelima862044451156694990</v>
      </c>
      <c r="B2142" t="s">
        <v>149</v>
      </c>
      <c r="C2142" t="s">
        <v>216</v>
      </c>
      <c r="D2142" s="11">
        <v>45593</v>
      </c>
      <c r="E2142" t="s">
        <v>16</v>
      </c>
      <c r="F2142" t="s">
        <v>12</v>
      </c>
      <c r="G2142">
        <v>862044</v>
      </c>
      <c r="H2142">
        <v>4511566949</v>
      </c>
      <c r="I2142">
        <v>90</v>
      </c>
      <c r="J2142" s="29">
        <v>1</v>
      </c>
      <c r="K2142" s="29" t="s">
        <v>125</v>
      </c>
      <c r="L2142" t="str">
        <f>IFERROR(VLOOKUP(Detalle_OC[[#This Row],[Centro]]&amp;Detalle_OC[[#This Row],[Nro Almacen]],Almacen!A:D,4,FALSE),"")</f>
        <v>Montelima</v>
      </c>
    </row>
    <row r="2143" spans="1:12" x14ac:dyDescent="0.3">
      <c r="A2143" s="29" t="str">
        <f>Detalle_OC[[#This Row],[Centro]]&amp;Detalle_OC[[#This Row],[Nom Almacen]]&amp;Detalle_OC[[#This Row],[Material]]&amp;Detalle_OC[[#This Row],[Pedido]]&amp;Detalle_OC[[#This Row],[Posicion]]</f>
        <v>Agricola del Chira PlantaMontelima700146874511566949100</v>
      </c>
      <c r="B2143" t="s">
        <v>149</v>
      </c>
      <c r="C2143" t="s">
        <v>216</v>
      </c>
      <c r="D2143" s="11">
        <v>45593</v>
      </c>
      <c r="E2143" t="s">
        <v>16</v>
      </c>
      <c r="F2143" t="s">
        <v>12</v>
      </c>
      <c r="G2143">
        <v>70014687</v>
      </c>
      <c r="H2143">
        <v>4511566949</v>
      </c>
      <c r="I2143">
        <v>100</v>
      </c>
      <c r="J2143" s="29">
        <v>1</v>
      </c>
      <c r="K2143" s="29" t="s">
        <v>125</v>
      </c>
      <c r="L2143" t="str">
        <f>IFERROR(VLOOKUP(Detalle_OC[[#This Row],[Centro]]&amp;Detalle_OC[[#This Row],[Nro Almacen]],Almacen!A:D,4,FALSE),"")</f>
        <v>Montelima</v>
      </c>
    </row>
    <row r="2144" spans="1:12" x14ac:dyDescent="0.3">
      <c r="A2144" s="29" t="str">
        <f>Detalle_OC[[#This Row],[Centro]]&amp;Detalle_OC[[#This Row],[Nom Almacen]]&amp;Detalle_OC[[#This Row],[Material]]&amp;Detalle_OC[[#This Row],[Pedido]]&amp;Detalle_OC[[#This Row],[Posicion]]</f>
        <v>Agricola del Chira PlantaMontelima8180634511566949110</v>
      </c>
      <c r="B2144" t="s">
        <v>149</v>
      </c>
      <c r="C2144" t="s">
        <v>216</v>
      </c>
      <c r="D2144" s="11">
        <v>45593</v>
      </c>
      <c r="E2144" t="s">
        <v>16</v>
      </c>
      <c r="F2144" t="s">
        <v>12</v>
      </c>
      <c r="G2144">
        <v>818063</v>
      </c>
      <c r="H2144">
        <v>4511566949</v>
      </c>
      <c r="I2144">
        <v>110</v>
      </c>
      <c r="J2144" s="29">
        <v>1</v>
      </c>
      <c r="K2144" s="29" t="s">
        <v>125</v>
      </c>
      <c r="L2144" t="str">
        <f>IFERROR(VLOOKUP(Detalle_OC[[#This Row],[Centro]]&amp;Detalle_OC[[#This Row],[Nro Almacen]],Almacen!A:D,4,FALSE),"")</f>
        <v>Montelima</v>
      </c>
    </row>
    <row r="2145" spans="1:12" x14ac:dyDescent="0.3">
      <c r="A2145" s="29" t="str">
        <f>Detalle_OC[[#This Row],[Centro]]&amp;Detalle_OC[[#This Row],[Nom Almacen]]&amp;Detalle_OC[[#This Row],[Material]]&amp;Detalle_OC[[#This Row],[Pedido]]&amp;Detalle_OC[[#This Row],[Posicion]]</f>
        <v>Agricola del Chira PlantaMontelima8181444511566949120</v>
      </c>
      <c r="B2145" t="s">
        <v>149</v>
      </c>
      <c r="C2145" t="s">
        <v>216</v>
      </c>
      <c r="D2145" s="11">
        <v>45625</v>
      </c>
      <c r="E2145" t="s">
        <v>16</v>
      </c>
      <c r="F2145" t="s">
        <v>12</v>
      </c>
      <c r="G2145">
        <v>818144</v>
      </c>
      <c r="H2145">
        <v>4511566949</v>
      </c>
      <c r="I2145">
        <v>120</v>
      </c>
      <c r="J2145" s="29">
        <v>1</v>
      </c>
      <c r="K2145" s="29" t="s">
        <v>125</v>
      </c>
      <c r="L2145" t="str">
        <f>IFERROR(VLOOKUP(Detalle_OC[[#This Row],[Centro]]&amp;Detalle_OC[[#This Row],[Nro Almacen]],Almacen!A:D,4,FALSE),"")</f>
        <v>Montelima</v>
      </c>
    </row>
    <row r="2146" spans="1:12" x14ac:dyDescent="0.3">
      <c r="A2146" s="29" t="str">
        <f>Detalle_OC[[#This Row],[Centro]]&amp;Detalle_OC[[#This Row],[Nom Almacen]]&amp;Detalle_OC[[#This Row],[Material]]&amp;Detalle_OC[[#This Row],[Pedido]]&amp;Detalle_OC[[#This Row],[Posicion]]</f>
        <v>Agricola del Chira PlantaMontelima70004905451156698510</v>
      </c>
      <c r="B2146" t="s">
        <v>214</v>
      </c>
      <c r="C2146" t="s">
        <v>1209</v>
      </c>
      <c r="D2146" s="11">
        <v>45625</v>
      </c>
      <c r="E2146" t="s">
        <v>16</v>
      </c>
      <c r="F2146" t="s">
        <v>12</v>
      </c>
      <c r="G2146">
        <v>70004905</v>
      </c>
      <c r="H2146">
        <v>4511566985</v>
      </c>
      <c r="I2146">
        <v>10</v>
      </c>
      <c r="J2146" s="29">
        <v>1</v>
      </c>
      <c r="K2146" s="29" t="s">
        <v>125</v>
      </c>
      <c r="L2146" t="str">
        <f>IFERROR(VLOOKUP(Detalle_OC[[#This Row],[Centro]]&amp;Detalle_OC[[#This Row],[Nro Almacen]],Almacen!A:D,4,FALSE),"")</f>
        <v>Montelima</v>
      </c>
    </row>
    <row r="2147" spans="1:12" x14ac:dyDescent="0.3">
      <c r="A2147" s="29" t="str">
        <f>Detalle_OC[[#This Row],[Centro]]&amp;Detalle_OC[[#This Row],[Nom Almacen]]&amp;Detalle_OC[[#This Row],[Material]]&amp;Detalle_OC[[#This Row],[Pedido]]&amp;Detalle_OC[[#This Row],[Posicion]]</f>
        <v>Agricola del Chira PlantaSan Vicente773372451156698520</v>
      </c>
      <c r="B2147" t="s">
        <v>256</v>
      </c>
      <c r="C2147" t="s">
        <v>1209</v>
      </c>
      <c r="D2147" s="11">
        <v>45625</v>
      </c>
      <c r="E2147" t="s">
        <v>16</v>
      </c>
      <c r="F2147" t="s">
        <v>12</v>
      </c>
      <c r="G2147">
        <v>773372</v>
      </c>
      <c r="H2147">
        <v>4511566985</v>
      </c>
      <c r="I2147">
        <v>20</v>
      </c>
      <c r="J2147" s="29">
        <v>3</v>
      </c>
      <c r="K2147" s="29" t="s">
        <v>125</v>
      </c>
      <c r="L2147" t="str">
        <f>IFERROR(VLOOKUP(Detalle_OC[[#This Row],[Centro]]&amp;Detalle_OC[[#This Row],[Nro Almacen]],Almacen!A:D,4,FALSE),"")</f>
        <v>San Vicente</v>
      </c>
    </row>
    <row r="2148" spans="1:12" x14ac:dyDescent="0.3">
      <c r="A2148" s="29" t="str">
        <f>Detalle_OC[[#This Row],[Centro]]&amp;Detalle_OC[[#This Row],[Nom Almacen]]&amp;Detalle_OC[[#This Row],[Material]]&amp;Detalle_OC[[#This Row],[Pedido]]&amp;Detalle_OC[[#This Row],[Posicion]]</f>
        <v>Agricola del Chira PlantaSan Vicente70132079451156698530</v>
      </c>
      <c r="B2148" t="s">
        <v>256</v>
      </c>
      <c r="C2148" t="s">
        <v>1209</v>
      </c>
      <c r="D2148" s="11">
        <v>45625</v>
      </c>
      <c r="E2148" t="s">
        <v>16</v>
      </c>
      <c r="F2148" t="s">
        <v>12</v>
      </c>
      <c r="G2148">
        <v>70132079</v>
      </c>
      <c r="H2148">
        <v>4511566985</v>
      </c>
      <c r="I2148">
        <v>30</v>
      </c>
      <c r="J2148" s="29">
        <v>3</v>
      </c>
      <c r="K2148" s="29" t="s">
        <v>125</v>
      </c>
      <c r="L2148" t="str">
        <f>IFERROR(VLOOKUP(Detalle_OC[[#This Row],[Centro]]&amp;Detalle_OC[[#This Row],[Nro Almacen]],Almacen!A:D,4,FALSE),"")</f>
        <v>San Vicente</v>
      </c>
    </row>
    <row r="2149" spans="1:12" x14ac:dyDescent="0.3">
      <c r="A2149" s="29" t="str">
        <f>Detalle_OC[[#This Row],[Centro]]&amp;Detalle_OC[[#This Row],[Nom Almacen]]&amp;Detalle_OC[[#This Row],[Material]]&amp;Detalle_OC[[#This Row],[Pedido]]&amp;Detalle_OC[[#This Row],[Posicion]]</f>
        <v>Agricola del Chira PlantaMontelima841681451156699110</v>
      </c>
      <c r="B2149" t="s">
        <v>234</v>
      </c>
      <c r="C2149" t="s">
        <v>216</v>
      </c>
      <c r="D2149" s="11">
        <v>45628</v>
      </c>
      <c r="E2149" t="s">
        <v>16</v>
      </c>
      <c r="F2149" t="s">
        <v>12</v>
      </c>
      <c r="G2149">
        <v>841681</v>
      </c>
      <c r="H2149">
        <v>4511566991</v>
      </c>
      <c r="I2149">
        <v>10</v>
      </c>
      <c r="J2149" s="29">
        <v>1</v>
      </c>
      <c r="K2149" s="29" t="s">
        <v>125</v>
      </c>
      <c r="L2149" t="str">
        <f>IFERROR(VLOOKUP(Detalle_OC[[#This Row],[Centro]]&amp;Detalle_OC[[#This Row],[Nro Almacen]],Almacen!A:D,4,FALSE),"")</f>
        <v>Montelima</v>
      </c>
    </row>
    <row r="2150" spans="1:12" x14ac:dyDescent="0.3">
      <c r="A2150" s="29" t="str">
        <f>Detalle_OC[[#This Row],[Centro]]&amp;Detalle_OC[[#This Row],[Nom Almacen]]&amp;Detalle_OC[[#This Row],[Material]]&amp;Detalle_OC[[#This Row],[Pedido]]&amp;Detalle_OC[[#This Row],[Posicion]]</f>
        <v>Agricola del Chira PlantaMontelima841683451156699120</v>
      </c>
      <c r="B2150" t="s">
        <v>149</v>
      </c>
      <c r="C2150" t="s">
        <v>216</v>
      </c>
      <c r="D2150" s="11">
        <v>45628</v>
      </c>
      <c r="E2150" t="s">
        <v>16</v>
      </c>
      <c r="F2150" t="s">
        <v>12</v>
      </c>
      <c r="G2150">
        <v>841683</v>
      </c>
      <c r="H2150">
        <v>4511566991</v>
      </c>
      <c r="I2150">
        <v>20</v>
      </c>
      <c r="J2150" s="29">
        <v>1</v>
      </c>
      <c r="K2150" s="29" t="s">
        <v>125</v>
      </c>
      <c r="L2150" t="str">
        <f>IFERROR(VLOOKUP(Detalle_OC[[#This Row],[Centro]]&amp;Detalle_OC[[#This Row],[Nro Almacen]],Almacen!A:D,4,FALSE),"")</f>
        <v>Montelima</v>
      </c>
    </row>
    <row r="2151" spans="1:12" x14ac:dyDescent="0.3">
      <c r="A2151" s="29" t="str">
        <f>Detalle_OC[[#This Row],[Centro]]&amp;Detalle_OC[[#This Row],[Nom Almacen]]&amp;Detalle_OC[[#This Row],[Material]]&amp;Detalle_OC[[#This Row],[Pedido]]&amp;Detalle_OC[[#This Row],[Posicion]]</f>
        <v>Agricola del Chira PlantaLa Huaca70112201451156700310</v>
      </c>
      <c r="B2151" t="s">
        <v>50</v>
      </c>
      <c r="C2151" t="s">
        <v>42</v>
      </c>
      <c r="D2151" s="11">
        <v>45586</v>
      </c>
      <c r="E2151" t="s">
        <v>16</v>
      </c>
      <c r="F2151" t="s">
        <v>12</v>
      </c>
      <c r="G2151">
        <v>70112201</v>
      </c>
      <c r="H2151">
        <v>4511567003</v>
      </c>
      <c r="I2151">
        <v>10</v>
      </c>
      <c r="J2151" s="29">
        <v>2</v>
      </c>
      <c r="K2151" s="29" t="s">
        <v>125</v>
      </c>
      <c r="L2151" t="str">
        <f>IFERROR(VLOOKUP(Detalle_OC[[#This Row],[Centro]]&amp;Detalle_OC[[#This Row],[Nro Almacen]],Almacen!A:D,4,FALSE),"")</f>
        <v>La Huaca</v>
      </c>
    </row>
    <row r="2152" spans="1:12" x14ac:dyDescent="0.3">
      <c r="A2152" s="29" t="str">
        <f>Detalle_OC[[#This Row],[Centro]]&amp;Detalle_OC[[#This Row],[Nom Almacen]]&amp;Detalle_OC[[#This Row],[Material]]&amp;Detalle_OC[[#This Row],[Pedido]]&amp;Detalle_OC[[#This Row],[Posicion]]</f>
        <v>Agricola del Chira PlantaAlmacen Lobo70044054452009501710</v>
      </c>
      <c r="B2152" t="s">
        <v>149</v>
      </c>
      <c r="C2152" t="s">
        <v>403</v>
      </c>
      <c r="D2152" s="11">
        <v>45639</v>
      </c>
      <c r="E2152" t="s">
        <v>16</v>
      </c>
      <c r="F2152" t="s">
        <v>12</v>
      </c>
      <c r="G2152">
        <v>70044054</v>
      </c>
      <c r="H2152">
        <v>4520095017</v>
      </c>
      <c r="I2152">
        <v>10</v>
      </c>
      <c r="J2152" s="29">
        <v>7</v>
      </c>
      <c r="K2152" s="29" t="s">
        <v>125</v>
      </c>
      <c r="L2152" t="str">
        <f>IFERROR(VLOOKUP(Detalle_OC[[#This Row],[Centro]]&amp;Detalle_OC[[#This Row],[Nro Almacen]],Almacen!A:D,4,FALSE),"")</f>
        <v>Almacen Lobo</v>
      </c>
    </row>
    <row r="2153" spans="1:12" x14ac:dyDescent="0.3">
      <c r="A2153" s="29" t="str">
        <f>Detalle_OC[[#This Row],[Centro]]&amp;Detalle_OC[[#This Row],[Nom Almacen]]&amp;Detalle_OC[[#This Row],[Material]]&amp;Detalle_OC[[#This Row],[Pedido]]&amp;Detalle_OC[[#This Row],[Posicion]]</f>
        <v>Agricola del Chira PlantaMontelima839436452009501720</v>
      </c>
      <c r="B2153" t="s">
        <v>149</v>
      </c>
      <c r="C2153" t="s">
        <v>403</v>
      </c>
      <c r="D2153" s="11">
        <v>45639</v>
      </c>
      <c r="E2153" t="s">
        <v>16</v>
      </c>
      <c r="F2153" t="s">
        <v>12</v>
      </c>
      <c r="G2153">
        <v>839436</v>
      </c>
      <c r="H2153">
        <v>4520095017</v>
      </c>
      <c r="I2153">
        <v>20</v>
      </c>
      <c r="J2153" s="29">
        <v>1</v>
      </c>
      <c r="K2153" s="29" t="s">
        <v>125</v>
      </c>
      <c r="L2153" t="str">
        <f>IFERROR(VLOOKUP(Detalle_OC[[#This Row],[Centro]]&amp;Detalle_OC[[#This Row],[Nro Almacen]],Almacen!A:D,4,FALSE),"")</f>
        <v>Montelima</v>
      </c>
    </row>
    <row r="2154" spans="1:12" x14ac:dyDescent="0.3">
      <c r="A2154" s="29" t="str">
        <f>Detalle_OC[[#This Row],[Centro]]&amp;Detalle_OC[[#This Row],[Nom Almacen]]&amp;Detalle_OC[[#This Row],[Material]]&amp;Detalle_OC[[#This Row],[Pedido]]&amp;Detalle_OC[[#This Row],[Posicion]]</f>
        <v>Agricola del Chira PlantaMontelima821888452009501730</v>
      </c>
      <c r="B2154" t="s">
        <v>149</v>
      </c>
      <c r="C2154" t="s">
        <v>403</v>
      </c>
      <c r="D2154" s="11">
        <v>45639</v>
      </c>
      <c r="E2154" t="s">
        <v>16</v>
      </c>
      <c r="F2154" t="s">
        <v>12</v>
      </c>
      <c r="G2154">
        <v>821888</v>
      </c>
      <c r="H2154">
        <v>4520095017</v>
      </c>
      <c r="I2154">
        <v>30</v>
      </c>
      <c r="J2154" s="29">
        <v>1</v>
      </c>
      <c r="K2154" s="29" t="s">
        <v>125</v>
      </c>
      <c r="L2154" t="str">
        <f>IFERROR(VLOOKUP(Detalle_OC[[#This Row],[Centro]]&amp;Detalle_OC[[#This Row],[Nro Almacen]],Almacen!A:D,4,FALSE),"")</f>
        <v>Montelima</v>
      </c>
    </row>
    <row r="2155" spans="1:12" x14ac:dyDescent="0.3">
      <c r="A2155" s="29" t="str">
        <f>Detalle_OC[[#This Row],[Centro]]&amp;Detalle_OC[[#This Row],[Nom Almacen]]&amp;Detalle_OC[[#This Row],[Material]]&amp;Detalle_OC[[#This Row],[Pedido]]&amp;Detalle_OC[[#This Row],[Posicion]]</f>
        <v>Agricola del Chira PlantaMontelima821888452009501740</v>
      </c>
      <c r="B2155" t="s">
        <v>149</v>
      </c>
      <c r="C2155" t="s">
        <v>403</v>
      </c>
      <c r="D2155" s="11">
        <v>45639</v>
      </c>
      <c r="E2155" t="s">
        <v>16</v>
      </c>
      <c r="F2155" t="s">
        <v>12</v>
      </c>
      <c r="G2155">
        <v>821888</v>
      </c>
      <c r="H2155">
        <v>4520095017</v>
      </c>
      <c r="I2155">
        <v>40</v>
      </c>
      <c r="J2155" s="29">
        <v>1</v>
      </c>
      <c r="K2155" s="29" t="s">
        <v>125</v>
      </c>
      <c r="L2155" t="str">
        <f>IFERROR(VLOOKUP(Detalle_OC[[#This Row],[Centro]]&amp;Detalle_OC[[#This Row],[Nro Almacen]],Almacen!A:D,4,FALSE),"")</f>
        <v>Montelima</v>
      </c>
    </row>
    <row r="2156" spans="1:12" x14ac:dyDescent="0.3">
      <c r="A2156" s="29" t="str">
        <f>Detalle_OC[[#This Row],[Centro]]&amp;Detalle_OC[[#This Row],[Nom Almacen]]&amp;Detalle_OC[[#This Row],[Material]]&amp;Detalle_OC[[#This Row],[Pedido]]&amp;Detalle_OC[[#This Row],[Posicion]]</f>
        <v>Agricola del Chira PlantaMontelima8445325500019188440</v>
      </c>
      <c r="B2156" t="s">
        <v>28</v>
      </c>
      <c r="C2156" t="s">
        <v>82</v>
      </c>
      <c r="D2156" s="11">
        <v>45579</v>
      </c>
      <c r="E2156" t="s">
        <v>16</v>
      </c>
      <c r="F2156" t="s">
        <v>12</v>
      </c>
      <c r="G2156">
        <v>844532</v>
      </c>
      <c r="H2156">
        <v>5500019188</v>
      </c>
      <c r="I2156">
        <v>440</v>
      </c>
      <c r="J2156" s="29">
        <v>1</v>
      </c>
      <c r="K2156" s="29" t="s">
        <v>125</v>
      </c>
      <c r="L2156" t="str">
        <f>IFERROR(VLOOKUP(Detalle_OC[[#This Row],[Centro]]&amp;Detalle_OC[[#This Row],[Nro Almacen]],Almacen!A:D,4,FALSE),"")</f>
        <v>Montelima</v>
      </c>
    </row>
    <row r="2157" spans="1:12" x14ac:dyDescent="0.3">
      <c r="A2157" s="29" t="str">
        <f>Detalle_OC[[#This Row],[Centro]]&amp;Detalle_OC[[#This Row],[Nom Almacen]]&amp;Detalle_OC[[#This Row],[Material]]&amp;Detalle_OC[[#This Row],[Pedido]]&amp;Detalle_OC[[#This Row],[Posicion]]</f>
        <v>Agricola del Chira PlantaLa HuacaMWAGR000058       550002481510</v>
      </c>
      <c r="B2157" t="s">
        <v>28</v>
      </c>
      <c r="C2157" t="s">
        <v>112</v>
      </c>
      <c r="D2157" s="11">
        <v>45579</v>
      </c>
      <c r="E2157" t="s">
        <v>16</v>
      </c>
      <c r="F2157" t="s">
        <v>12</v>
      </c>
      <c r="G2157" t="s">
        <v>113</v>
      </c>
      <c r="H2157">
        <v>5500024815</v>
      </c>
      <c r="I2157">
        <v>10</v>
      </c>
      <c r="J2157" s="29">
        <v>2</v>
      </c>
      <c r="K2157" s="29" t="s">
        <v>125</v>
      </c>
      <c r="L2157" t="str">
        <f>IFERROR(VLOOKUP(Detalle_OC[[#This Row],[Centro]]&amp;Detalle_OC[[#This Row],[Nro Almacen]],Almacen!A:D,4,FALSE),"")</f>
        <v>La Huaca</v>
      </c>
    </row>
    <row r="2158" spans="1:12" x14ac:dyDescent="0.3">
      <c r="A2158" s="29" t="str">
        <f>Detalle_OC[[#This Row],[Centro]]&amp;Detalle_OC[[#This Row],[Nom Almacen]]&amp;Detalle_OC[[#This Row],[Material]]&amp;Detalle_OC[[#This Row],[Pedido]]&amp;Detalle_OC[[#This Row],[Posicion]]</f>
        <v>Agricola del Chira PlantaAlmacen LoboMWAGR000058       550002481520</v>
      </c>
      <c r="B2158" t="s">
        <v>28</v>
      </c>
      <c r="C2158" t="s">
        <v>112</v>
      </c>
      <c r="D2158" s="11">
        <v>45579</v>
      </c>
      <c r="E2158" t="s">
        <v>16</v>
      </c>
      <c r="F2158" t="s">
        <v>12</v>
      </c>
      <c r="G2158" t="s">
        <v>113</v>
      </c>
      <c r="H2158">
        <v>5500024815</v>
      </c>
      <c r="I2158">
        <v>20</v>
      </c>
      <c r="J2158" s="29">
        <v>7</v>
      </c>
      <c r="K2158" s="29" t="s">
        <v>125</v>
      </c>
      <c r="L2158" t="str">
        <f>IFERROR(VLOOKUP(Detalle_OC[[#This Row],[Centro]]&amp;Detalle_OC[[#This Row],[Nro Almacen]],Almacen!A:D,4,FALSE),"")</f>
        <v>Almacen Lobo</v>
      </c>
    </row>
    <row r="2159" spans="1:12" x14ac:dyDescent="0.3">
      <c r="A2159" s="29" t="str">
        <f>Detalle_OC[[#This Row],[Centro]]&amp;Detalle_OC[[#This Row],[Nom Almacen]]&amp;Detalle_OC[[#This Row],[Material]]&amp;Detalle_OC[[#This Row],[Pedido]]&amp;Detalle_OC[[#This Row],[Posicion]]</f>
        <v>Agricola del Chira PlantaFERTI LOBO 2MWAGR000058       550002481530</v>
      </c>
      <c r="B2159" t="s">
        <v>28</v>
      </c>
      <c r="C2159" t="s">
        <v>112</v>
      </c>
      <c r="D2159" s="11">
        <v>45579</v>
      </c>
      <c r="E2159" t="s">
        <v>16</v>
      </c>
      <c r="F2159" t="s">
        <v>12</v>
      </c>
      <c r="G2159" t="s">
        <v>113</v>
      </c>
      <c r="H2159">
        <v>5500024815</v>
      </c>
      <c r="I2159">
        <v>30</v>
      </c>
      <c r="J2159" s="29">
        <v>23</v>
      </c>
      <c r="K2159" s="29" t="s">
        <v>125</v>
      </c>
      <c r="L2159" t="str">
        <f>IFERROR(VLOOKUP(Detalle_OC[[#This Row],[Centro]]&amp;Detalle_OC[[#This Row],[Nro Almacen]],Almacen!A:D,4,FALSE),"")</f>
        <v>FERTI LOBO 2</v>
      </c>
    </row>
    <row r="2160" spans="1:12" x14ac:dyDescent="0.3">
      <c r="A2160" s="29" t="str">
        <f>Detalle_OC[[#This Row],[Centro]]&amp;Detalle_OC[[#This Row],[Nom Almacen]]&amp;Detalle_OC[[#This Row],[Material]]&amp;Detalle_OC[[#This Row],[Pedido]]&amp;Detalle_OC[[#This Row],[Posicion]]</f>
        <v>Agricola del Chira PlantaFERTI LOBO 3MWAGR000058       550002481540</v>
      </c>
      <c r="B2160" t="s">
        <v>28</v>
      </c>
      <c r="C2160" t="s">
        <v>112</v>
      </c>
      <c r="D2160" s="11">
        <v>45579</v>
      </c>
      <c r="E2160" t="s">
        <v>16</v>
      </c>
      <c r="F2160" t="s">
        <v>12</v>
      </c>
      <c r="G2160" t="s">
        <v>113</v>
      </c>
      <c r="H2160">
        <v>5500024815</v>
      </c>
      <c r="I2160">
        <v>40</v>
      </c>
      <c r="J2160" s="29">
        <v>24</v>
      </c>
      <c r="K2160" s="29" t="s">
        <v>125</v>
      </c>
      <c r="L2160" t="str">
        <f>IFERROR(VLOOKUP(Detalle_OC[[#This Row],[Centro]]&amp;Detalle_OC[[#This Row],[Nro Almacen]],Almacen!A:D,4,FALSE),"")</f>
        <v>FERTI LOBO 3</v>
      </c>
    </row>
    <row r="2161" spans="1:12" x14ac:dyDescent="0.3">
      <c r="A2161" s="29" t="str">
        <f>Detalle_OC[[#This Row],[Centro]]&amp;Detalle_OC[[#This Row],[Nom Almacen]]&amp;Detalle_OC[[#This Row],[Material]]&amp;Detalle_OC[[#This Row],[Pedido]]&amp;Detalle_OC[[#This Row],[Posicion]]</f>
        <v>Sucroalcolera del Chira PlantaMontelima700440065500024856140</v>
      </c>
      <c r="B2161" t="s">
        <v>28</v>
      </c>
      <c r="C2161" t="s">
        <v>96</v>
      </c>
      <c r="D2161" s="11">
        <v>45584</v>
      </c>
      <c r="E2161" t="s">
        <v>16</v>
      </c>
      <c r="F2161" t="s">
        <v>85</v>
      </c>
      <c r="G2161">
        <v>70044006</v>
      </c>
      <c r="H2161">
        <v>5500024856</v>
      </c>
      <c r="I2161">
        <v>140</v>
      </c>
      <c r="J2161" s="29">
        <v>1</v>
      </c>
      <c r="K2161" s="29" t="s">
        <v>125</v>
      </c>
      <c r="L2161" t="str">
        <f>IFERROR(VLOOKUP(Detalle_OC[[#This Row],[Centro]]&amp;Detalle_OC[[#This Row],[Nro Almacen]],Almacen!A:D,4,FALSE),"")</f>
        <v>Montelima</v>
      </c>
    </row>
    <row r="2162" spans="1:12" x14ac:dyDescent="0.3">
      <c r="A2162" s="29" t="str">
        <f>Detalle_OC[[#This Row],[Centro]]&amp;Detalle_OC[[#This Row],[Nom Almacen]]&amp;Detalle_OC[[#This Row],[Material]]&amp;Detalle_OC[[#This Row],[Pedido]]&amp;Detalle_OC[[#This Row],[Posicion]]</f>
        <v>Agricola del Chira PlantaMontelima700580015500024881160</v>
      </c>
      <c r="B2162" t="s">
        <v>28</v>
      </c>
      <c r="C2162" t="s">
        <v>52</v>
      </c>
      <c r="D2162" s="11">
        <v>45579</v>
      </c>
      <c r="E2162" t="s">
        <v>16</v>
      </c>
      <c r="F2162" t="s">
        <v>12</v>
      </c>
      <c r="G2162">
        <v>70058001</v>
      </c>
      <c r="H2162">
        <v>5500024881</v>
      </c>
      <c r="I2162">
        <v>160</v>
      </c>
      <c r="J2162" s="29">
        <v>1</v>
      </c>
      <c r="K2162" s="29" t="s">
        <v>125</v>
      </c>
      <c r="L2162" t="str">
        <f>IFERROR(VLOOKUP(Detalle_OC[[#This Row],[Centro]]&amp;Detalle_OC[[#This Row],[Nro Almacen]],Almacen!A:D,4,FALSE),"")</f>
        <v>Montelima</v>
      </c>
    </row>
    <row r="2163" spans="1:12" x14ac:dyDescent="0.3">
      <c r="A2163" s="29" t="str">
        <f>Detalle_OC[[#This Row],[Centro]]&amp;Detalle_OC[[#This Row],[Nom Almacen]]&amp;Detalle_OC[[#This Row],[Material]]&amp;Detalle_OC[[#This Row],[Pedido]]&amp;Detalle_OC[[#This Row],[Posicion]]</f>
        <v>Agricola del Chira PlantaAlmacen Lobo700580015500024881180</v>
      </c>
      <c r="B2163" t="s">
        <v>28</v>
      </c>
      <c r="C2163" t="s">
        <v>52</v>
      </c>
      <c r="D2163" s="11">
        <v>45579</v>
      </c>
      <c r="E2163" t="s">
        <v>16</v>
      </c>
      <c r="F2163" t="s">
        <v>12</v>
      </c>
      <c r="G2163">
        <v>70058001</v>
      </c>
      <c r="H2163">
        <v>5500024881</v>
      </c>
      <c r="I2163">
        <v>180</v>
      </c>
      <c r="J2163" s="29">
        <v>7</v>
      </c>
      <c r="K2163" s="29" t="s">
        <v>125</v>
      </c>
      <c r="L2163" t="str">
        <f>IFERROR(VLOOKUP(Detalle_OC[[#This Row],[Centro]]&amp;Detalle_OC[[#This Row],[Nro Almacen]],Almacen!A:D,4,FALSE),"")</f>
        <v>Almacen Lobo</v>
      </c>
    </row>
    <row r="2164" spans="1:12" x14ac:dyDescent="0.3">
      <c r="A2164" s="29" t="str">
        <f>Detalle_OC[[#This Row],[Centro]]&amp;Detalle_OC[[#This Row],[Nom Almacen]]&amp;Detalle_OC[[#This Row],[Material]]&amp;Detalle_OC[[#This Row],[Pedido]]&amp;Detalle_OC[[#This Row],[Posicion]]</f>
        <v>Agricola del Chira PlantaAlmacen Lobo700657865500024881220</v>
      </c>
      <c r="B2164" t="s">
        <v>28</v>
      </c>
      <c r="C2164" t="s">
        <v>52</v>
      </c>
      <c r="D2164" s="11">
        <v>45579</v>
      </c>
      <c r="E2164" t="s">
        <v>16</v>
      </c>
      <c r="F2164" t="s">
        <v>12</v>
      </c>
      <c r="G2164">
        <v>70065786</v>
      </c>
      <c r="H2164">
        <v>5500024881</v>
      </c>
      <c r="I2164">
        <v>220</v>
      </c>
      <c r="J2164" s="29">
        <v>7</v>
      </c>
      <c r="K2164" s="29" t="s">
        <v>125</v>
      </c>
      <c r="L2164" t="str">
        <f>IFERROR(VLOOKUP(Detalle_OC[[#This Row],[Centro]]&amp;Detalle_OC[[#This Row],[Nro Almacen]],Almacen!A:D,4,FALSE),"")</f>
        <v>Almacen Lobo</v>
      </c>
    </row>
    <row r="2165" spans="1:12" x14ac:dyDescent="0.3">
      <c r="A2165" s="29" t="str">
        <f>Detalle_OC[[#This Row],[Centro]]&amp;Detalle_OC[[#This Row],[Nom Almacen]]&amp;Detalle_OC[[#This Row],[Material]]&amp;Detalle_OC[[#This Row],[Pedido]]&amp;Detalle_OC[[#This Row],[Posicion]]</f>
        <v>Sucroalcolera del Chira PlantaMontelima70132900550002489220</v>
      </c>
      <c r="B2165" t="s">
        <v>28</v>
      </c>
      <c r="C2165" t="s">
        <v>52</v>
      </c>
      <c r="D2165" s="11">
        <v>45580</v>
      </c>
      <c r="E2165" t="s">
        <v>16</v>
      </c>
      <c r="F2165" t="s">
        <v>85</v>
      </c>
      <c r="G2165">
        <v>70132900</v>
      </c>
      <c r="H2165">
        <v>5500024892</v>
      </c>
      <c r="I2165">
        <v>20</v>
      </c>
      <c r="J2165" s="29">
        <v>1</v>
      </c>
      <c r="K2165" s="29" t="s">
        <v>125</v>
      </c>
      <c r="L2165" t="str">
        <f>IFERROR(VLOOKUP(Detalle_OC[[#This Row],[Centro]]&amp;Detalle_OC[[#This Row],[Nro Almacen]],Almacen!A:D,4,FALSE),"")</f>
        <v>Montelima</v>
      </c>
    </row>
    <row r="2166" spans="1:12" x14ac:dyDescent="0.3">
      <c r="A2166" s="29" t="str">
        <f>Detalle_OC[[#This Row],[Centro]]&amp;Detalle_OC[[#This Row],[Nom Almacen]]&amp;Detalle_OC[[#This Row],[Material]]&amp;Detalle_OC[[#This Row],[Pedido]]&amp;Detalle_OC[[#This Row],[Posicion]]</f>
        <v>Sucroalcolera del Chira PlantaMontelima70007733451156684510</v>
      </c>
      <c r="B2166" t="s">
        <v>138</v>
      </c>
      <c r="C2166" t="s">
        <v>213</v>
      </c>
      <c r="D2166" s="11">
        <v>45625</v>
      </c>
      <c r="E2166" t="s">
        <v>16</v>
      </c>
      <c r="F2166" t="s">
        <v>85</v>
      </c>
      <c r="G2166">
        <v>70007733</v>
      </c>
      <c r="H2166">
        <v>4511566845</v>
      </c>
      <c r="I2166">
        <v>10</v>
      </c>
      <c r="J2166" s="29">
        <v>1</v>
      </c>
      <c r="K2166" s="29" t="s">
        <v>1210</v>
      </c>
      <c r="L2166" t="str">
        <f>IFERROR(VLOOKUP(Detalle_OC[[#This Row],[Centro]]&amp;Detalle_OC[[#This Row],[Nro Almacen]],Almacen!A:D,4,FALSE),"")</f>
        <v>Montelima</v>
      </c>
    </row>
    <row r="2167" spans="1:12" x14ac:dyDescent="0.3">
      <c r="A2167" s="29" t="str">
        <f>Detalle_OC[[#This Row],[Centro]]&amp;Detalle_OC[[#This Row],[Nom Almacen]]&amp;Detalle_OC[[#This Row],[Material]]&amp;Detalle_OC[[#This Row],[Pedido]]&amp;Detalle_OC[[#This Row],[Posicion]]</f>
        <v>Agricola del Chira PlantaMontelima845715451156684810</v>
      </c>
      <c r="B2167" t="s">
        <v>149</v>
      </c>
      <c r="C2167" t="s">
        <v>255</v>
      </c>
      <c r="D2167" s="11">
        <v>45635</v>
      </c>
      <c r="E2167" t="s">
        <v>16</v>
      </c>
      <c r="F2167" t="s">
        <v>12</v>
      </c>
      <c r="G2167">
        <v>845715</v>
      </c>
      <c r="H2167">
        <v>4511566848</v>
      </c>
      <c r="I2167">
        <v>10</v>
      </c>
      <c r="J2167" s="29">
        <v>1</v>
      </c>
      <c r="K2167" s="29" t="s">
        <v>1210</v>
      </c>
      <c r="L2167" t="str">
        <f>IFERROR(VLOOKUP(Detalle_OC[[#This Row],[Centro]]&amp;Detalle_OC[[#This Row],[Nro Almacen]],Almacen!A:D,4,FALSE),"")</f>
        <v>Montelima</v>
      </c>
    </row>
    <row r="2168" spans="1:12" x14ac:dyDescent="0.3">
      <c r="A2168" s="29" t="str">
        <f>Detalle_OC[[#This Row],[Centro]]&amp;Detalle_OC[[#This Row],[Nom Almacen]]&amp;Detalle_OC[[#This Row],[Material]]&amp;Detalle_OC[[#This Row],[Pedido]]&amp;Detalle_OC[[#This Row],[Posicion]]</f>
        <v>Agricola del Chira PlantaMontelima70062962451156682810</v>
      </c>
      <c r="B2168" t="s">
        <v>145</v>
      </c>
      <c r="C2168" t="s">
        <v>368</v>
      </c>
      <c r="D2168" s="11">
        <v>45656</v>
      </c>
      <c r="E2168" t="s">
        <v>16</v>
      </c>
      <c r="F2168" t="s">
        <v>12</v>
      </c>
      <c r="G2168">
        <v>70062962</v>
      </c>
      <c r="H2168">
        <v>4511566828</v>
      </c>
      <c r="I2168">
        <v>10</v>
      </c>
      <c r="J2168" s="29">
        <v>1</v>
      </c>
      <c r="K2168" s="29" t="s">
        <v>126</v>
      </c>
      <c r="L2168" t="str">
        <f>IFERROR(VLOOKUP(Detalle_OC[[#This Row],[Centro]]&amp;Detalle_OC[[#This Row],[Nro Almacen]],Almacen!A:D,4,FALSE),"")</f>
        <v>Montelima</v>
      </c>
    </row>
    <row r="2169" spans="1:12" x14ac:dyDescent="0.3">
      <c r="A2169" s="29" t="str">
        <f>Detalle_OC[[#This Row],[Centro]]&amp;Detalle_OC[[#This Row],[Nom Almacen]]&amp;Detalle_OC[[#This Row],[Material]]&amp;Detalle_OC[[#This Row],[Pedido]]&amp;Detalle_OC[[#This Row],[Posicion]]</f>
        <v>Agricola del Chira PlantaMontelima70103044451156682820</v>
      </c>
      <c r="B2169" t="s">
        <v>145</v>
      </c>
      <c r="C2169" t="s">
        <v>368</v>
      </c>
      <c r="D2169" s="11">
        <v>45595</v>
      </c>
      <c r="E2169" t="s">
        <v>16</v>
      </c>
      <c r="F2169" t="s">
        <v>12</v>
      </c>
      <c r="G2169">
        <v>70103044</v>
      </c>
      <c r="H2169">
        <v>4511566828</v>
      </c>
      <c r="I2169">
        <v>20</v>
      </c>
      <c r="J2169" s="29">
        <v>1</v>
      </c>
      <c r="K2169" s="29" t="s">
        <v>126</v>
      </c>
      <c r="L2169" t="str">
        <f>IFERROR(VLOOKUP(Detalle_OC[[#This Row],[Centro]]&amp;Detalle_OC[[#This Row],[Nro Almacen]],Almacen!A:D,4,FALSE),"")</f>
        <v>Montelima</v>
      </c>
    </row>
    <row r="2170" spans="1:12" x14ac:dyDescent="0.3">
      <c r="A2170" s="29" t="str">
        <f>Detalle_OC[[#This Row],[Centro]]&amp;Detalle_OC[[#This Row],[Nom Almacen]]&amp;Detalle_OC[[#This Row],[Material]]&amp;Detalle_OC[[#This Row],[Pedido]]&amp;Detalle_OC[[#This Row],[Posicion]]</f>
        <v>Agricola del Chira PlantaMontelima721917451156682840</v>
      </c>
      <c r="B2170" t="s">
        <v>186</v>
      </c>
      <c r="C2170" t="s">
        <v>368</v>
      </c>
      <c r="D2170" s="11">
        <v>45595</v>
      </c>
      <c r="E2170" t="s">
        <v>16</v>
      </c>
      <c r="F2170" t="s">
        <v>12</v>
      </c>
      <c r="G2170">
        <v>721917</v>
      </c>
      <c r="H2170">
        <v>4511566828</v>
      </c>
      <c r="I2170">
        <v>40</v>
      </c>
      <c r="J2170" s="29">
        <v>1</v>
      </c>
      <c r="K2170" s="29" t="s">
        <v>126</v>
      </c>
      <c r="L2170" t="str">
        <f>IFERROR(VLOOKUP(Detalle_OC[[#This Row],[Centro]]&amp;Detalle_OC[[#This Row],[Nro Almacen]],Almacen!A:D,4,FALSE),"")</f>
        <v>Montelima</v>
      </c>
    </row>
    <row r="2171" spans="1:12" x14ac:dyDescent="0.3">
      <c r="A2171" s="29" t="str">
        <f>Detalle_OC[[#This Row],[Centro]]&amp;Detalle_OC[[#This Row],[Nom Almacen]]&amp;Detalle_OC[[#This Row],[Material]]&amp;Detalle_OC[[#This Row],[Pedido]]&amp;Detalle_OC[[#This Row],[Posicion]]</f>
        <v>Agricola del Chira PlantaMontelima70051918451156682850</v>
      </c>
      <c r="B2171" t="s">
        <v>186</v>
      </c>
      <c r="C2171" t="s">
        <v>368</v>
      </c>
      <c r="D2171" s="11">
        <v>45595</v>
      </c>
      <c r="E2171" t="s">
        <v>16</v>
      </c>
      <c r="F2171" t="s">
        <v>12</v>
      </c>
      <c r="G2171">
        <v>70051918</v>
      </c>
      <c r="H2171">
        <v>4511566828</v>
      </c>
      <c r="I2171">
        <v>50</v>
      </c>
      <c r="J2171" s="29">
        <v>1</v>
      </c>
      <c r="K2171" s="29" t="s">
        <v>126</v>
      </c>
      <c r="L2171" t="str">
        <f>IFERROR(VLOOKUP(Detalle_OC[[#This Row],[Centro]]&amp;Detalle_OC[[#This Row],[Nro Almacen]],Almacen!A:D,4,FALSE),"")</f>
        <v>Montelima</v>
      </c>
    </row>
    <row r="2172" spans="1:12" x14ac:dyDescent="0.3">
      <c r="A2172" s="29" t="str">
        <f>Detalle_OC[[#This Row],[Centro]]&amp;Detalle_OC[[#This Row],[Nom Almacen]]&amp;Detalle_OC[[#This Row],[Material]]&amp;Detalle_OC[[#This Row],[Pedido]]&amp;Detalle_OC[[#This Row],[Posicion]]</f>
        <v>Agricola del Chira PlantaMontelima70133951452009501610</v>
      </c>
      <c r="B2172" t="s">
        <v>188</v>
      </c>
      <c r="C2172" t="s">
        <v>1211</v>
      </c>
      <c r="D2172" s="11">
        <v>45632</v>
      </c>
      <c r="E2172" t="s">
        <v>16</v>
      </c>
      <c r="F2172" t="s">
        <v>12</v>
      </c>
      <c r="G2172">
        <v>70133951</v>
      </c>
      <c r="H2172">
        <v>4520095016</v>
      </c>
      <c r="I2172">
        <v>10</v>
      </c>
      <c r="J2172" s="29">
        <v>1</v>
      </c>
      <c r="K2172" s="29" t="s">
        <v>126</v>
      </c>
      <c r="L2172" t="str">
        <f>IFERROR(VLOOKUP(Detalle_OC[[#This Row],[Centro]]&amp;Detalle_OC[[#This Row],[Nro Almacen]],Almacen!A:D,4,FALSE),"")</f>
        <v>Montelima</v>
      </c>
    </row>
    <row r="2173" spans="1:12" x14ac:dyDescent="0.3">
      <c r="A2173" s="29" t="str">
        <f>Detalle_OC[[#This Row],[Centro]]&amp;Detalle_OC[[#This Row],[Nom Almacen]]&amp;Detalle_OC[[#This Row],[Material]]&amp;Detalle_OC[[#This Row],[Pedido]]&amp;Detalle_OC[[#This Row],[Posicion]]</f>
        <v>Agricola del Chira PlantaMontelima70042254452009501620</v>
      </c>
      <c r="B2173" t="s">
        <v>149</v>
      </c>
      <c r="C2173" t="s">
        <v>1211</v>
      </c>
      <c r="D2173" s="11">
        <v>45632</v>
      </c>
      <c r="E2173" t="s">
        <v>16</v>
      </c>
      <c r="F2173" t="s">
        <v>12</v>
      </c>
      <c r="G2173">
        <v>70042254</v>
      </c>
      <c r="H2173">
        <v>4520095016</v>
      </c>
      <c r="I2173">
        <v>20</v>
      </c>
      <c r="J2173" s="29">
        <v>1</v>
      </c>
      <c r="K2173" s="29" t="s">
        <v>126</v>
      </c>
      <c r="L2173" t="str">
        <f>IFERROR(VLOOKUP(Detalle_OC[[#This Row],[Centro]]&amp;Detalle_OC[[#This Row],[Nro Almacen]],Almacen!A:D,4,FALSE),"")</f>
        <v>Montelima</v>
      </c>
    </row>
    <row r="2174" spans="1:12" x14ac:dyDescent="0.3">
      <c r="A2174" s="29" t="str">
        <f>Detalle_OC[[#This Row],[Centro]]&amp;Detalle_OC[[#This Row],[Nom Almacen]]&amp;Detalle_OC[[#This Row],[Material]]&amp;Detalle_OC[[#This Row],[Pedido]]&amp;Detalle_OC[[#This Row],[Posicion]]</f>
        <v>Sucroalcolera del Chira PlantaMontelima70043987451156663710</v>
      </c>
      <c r="B2174" t="s">
        <v>15</v>
      </c>
      <c r="C2174" t="s">
        <v>14</v>
      </c>
      <c r="D2174" s="11">
        <v>45618</v>
      </c>
      <c r="E2174" t="s">
        <v>16</v>
      </c>
      <c r="F2174" t="s">
        <v>85</v>
      </c>
      <c r="G2174">
        <v>70043987</v>
      </c>
      <c r="H2174">
        <v>4511566637</v>
      </c>
      <c r="I2174">
        <v>10</v>
      </c>
      <c r="J2174" s="29">
        <v>1</v>
      </c>
      <c r="K2174" s="29" t="s">
        <v>127</v>
      </c>
      <c r="L2174" t="str">
        <f>IFERROR(VLOOKUP(Detalle_OC[[#This Row],[Centro]]&amp;Detalle_OC[[#This Row],[Nro Almacen]],Almacen!A:D,4,FALSE),"")</f>
        <v>Montelima</v>
      </c>
    </row>
    <row r="2175" spans="1:12" x14ac:dyDescent="0.3">
      <c r="A2175" s="29" t="str">
        <f>Detalle_OC[[#This Row],[Centro]]&amp;Detalle_OC[[#This Row],[Nom Almacen]]&amp;Detalle_OC[[#This Row],[Material]]&amp;Detalle_OC[[#This Row],[Pedido]]&amp;Detalle_OC[[#This Row],[Posicion]]</f>
        <v>Sucroalcolera del Chira PlantaMontelima717453451156663720</v>
      </c>
      <c r="B2175" t="s">
        <v>15</v>
      </c>
      <c r="C2175" t="s">
        <v>14</v>
      </c>
      <c r="D2175" s="11">
        <v>45618</v>
      </c>
      <c r="E2175" t="s">
        <v>16</v>
      </c>
      <c r="F2175" t="s">
        <v>85</v>
      </c>
      <c r="G2175">
        <v>717453</v>
      </c>
      <c r="H2175">
        <v>4511566637</v>
      </c>
      <c r="I2175">
        <v>20</v>
      </c>
      <c r="J2175" s="29">
        <v>1</v>
      </c>
      <c r="K2175" s="29" t="s">
        <v>127</v>
      </c>
      <c r="L2175" t="str">
        <f>IFERROR(VLOOKUP(Detalle_OC[[#This Row],[Centro]]&amp;Detalle_OC[[#This Row],[Nro Almacen]],Almacen!A:D,4,FALSE),"")</f>
        <v>Montelima</v>
      </c>
    </row>
    <row r="2176" spans="1:12" x14ac:dyDescent="0.3">
      <c r="A2176" s="29" t="str">
        <f>Detalle_OC[[#This Row],[Centro]]&amp;Detalle_OC[[#This Row],[Nom Almacen]]&amp;Detalle_OC[[#This Row],[Material]]&amp;Detalle_OC[[#This Row],[Pedido]]&amp;Detalle_OC[[#This Row],[Posicion]]</f>
        <v>Sucroalcolera del Chira PlantaMontelima763503451156663730</v>
      </c>
      <c r="B2176" t="s">
        <v>15</v>
      </c>
      <c r="C2176" t="s">
        <v>14</v>
      </c>
      <c r="D2176" s="11">
        <v>45618</v>
      </c>
      <c r="E2176" t="s">
        <v>16</v>
      </c>
      <c r="F2176" t="s">
        <v>85</v>
      </c>
      <c r="G2176">
        <v>763503</v>
      </c>
      <c r="H2176">
        <v>4511566637</v>
      </c>
      <c r="I2176">
        <v>30</v>
      </c>
      <c r="J2176" s="29">
        <v>1</v>
      </c>
      <c r="K2176" s="29" t="s">
        <v>127</v>
      </c>
      <c r="L2176" t="str">
        <f>IFERROR(VLOOKUP(Detalle_OC[[#This Row],[Centro]]&amp;Detalle_OC[[#This Row],[Nro Almacen]],Almacen!A:D,4,FALSE),"")</f>
        <v>Montelima</v>
      </c>
    </row>
    <row r="2177" spans="1:12" x14ac:dyDescent="0.3">
      <c r="A2177" s="29" t="str">
        <f>Detalle_OC[[#This Row],[Centro]]&amp;Detalle_OC[[#This Row],[Nom Almacen]]&amp;Detalle_OC[[#This Row],[Material]]&amp;Detalle_OC[[#This Row],[Pedido]]&amp;Detalle_OC[[#This Row],[Posicion]]</f>
        <v>Sucroalcolera del Chira PlantaMontelima813054451156663740</v>
      </c>
      <c r="B2177" t="s">
        <v>15</v>
      </c>
      <c r="C2177" t="s">
        <v>14</v>
      </c>
      <c r="D2177" s="11">
        <v>45618</v>
      </c>
      <c r="E2177" t="s">
        <v>16</v>
      </c>
      <c r="F2177" t="s">
        <v>85</v>
      </c>
      <c r="G2177">
        <v>813054</v>
      </c>
      <c r="H2177">
        <v>4511566637</v>
      </c>
      <c r="I2177">
        <v>40</v>
      </c>
      <c r="J2177" s="29">
        <v>1</v>
      </c>
      <c r="K2177" s="29" t="s">
        <v>127</v>
      </c>
      <c r="L2177" t="str">
        <f>IFERROR(VLOOKUP(Detalle_OC[[#This Row],[Centro]]&amp;Detalle_OC[[#This Row],[Nro Almacen]],Almacen!A:D,4,FALSE),"")</f>
        <v>Montelima</v>
      </c>
    </row>
    <row r="2178" spans="1:12" x14ac:dyDescent="0.3">
      <c r="A2178" s="29" t="str">
        <f>Detalle_OC[[#This Row],[Centro]]&amp;Detalle_OC[[#This Row],[Nom Almacen]]&amp;Detalle_OC[[#This Row],[Material]]&amp;Detalle_OC[[#This Row],[Pedido]]&amp;Detalle_OC[[#This Row],[Posicion]]</f>
        <v>Sucroalcolera del Chira PlantaMontelima822061451156663750</v>
      </c>
      <c r="B2178" t="s">
        <v>15</v>
      </c>
      <c r="C2178" t="s">
        <v>14</v>
      </c>
      <c r="D2178" s="11">
        <v>45618</v>
      </c>
      <c r="E2178" t="s">
        <v>16</v>
      </c>
      <c r="F2178" t="s">
        <v>85</v>
      </c>
      <c r="G2178">
        <v>822061</v>
      </c>
      <c r="H2178">
        <v>4511566637</v>
      </c>
      <c r="I2178">
        <v>50</v>
      </c>
      <c r="J2178" s="29">
        <v>1</v>
      </c>
      <c r="K2178" s="29" t="s">
        <v>127</v>
      </c>
      <c r="L2178" t="str">
        <f>IFERROR(VLOOKUP(Detalle_OC[[#This Row],[Centro]]&amp;Detalle_OC[[#This Row],[Nro Almacen]],Almacen!A:D,4,FALSE),"")</f>
        <v>Montelima</v>
      </c>
    </row>
    <row r="2179" spans="1:12" x14ac:dyDescent="0.3">
      <c r="A2179" s="29" t="str">
        <f>Detalle_OC[[#This Row],[Centro]]&amp;Detalle_OC[[#This Row],[Nom Almacen]]&amp;Detalle_OC[[#This Row],[Material]]&amp;Detalle_OC[[#This Row],[Pedido]]&amp;Detalle_OC[[#This Row],[Posicion]]</f>
        <v>Sucroalcolera del Chira PlantaMontelima886970451156663760</v>
      </c>
      <c r="B2179" t="s">
        <v>15</v>
      </c>
      <c r="C2179" t="s">
        <v>14</v>
      </c>
      <c r="D2179" s="11">
        <v>45618</v>
      </c>
      <c r="E2179" t="s">
        <v>16</v>
      </c>
      <c r="F2179" t="s">
        <v>85</v>
      </c>
      <c r="G2179">
        <v>886970</v>
      </c>
      <c r="H2179">
        <v>4511566637</v>
      </c>
      <c r="I2179">
        <v>60</v>
      </c>
      <c r="J2179" s="29">
        <v>1</v>
      </c>
      <c r="K2179" s="29" t="s">
        <v>127</v>
      </c>
      <c r="L2179" t="str">
        <f>IFERROR(VLOOKUP(Detalle_OC[[#This Row],[Centro]]&amp;Detalle_OC[[#This Row],[Nro Almacen]],Almacen!A:D,4,FALSE),"")</f>
        <v>Montelima</v>
      </c>
    </row>
    <row r="2180" spans="1:12" x14ac:dyDescent="0.3">
      <c r="A2180" s="29" t="str">
        <f>Detalle_OC[[#This Row],[Centro]]&amp;Detalle_OC[[#This Row],[Nom Almacen]]&amp;Detalle_OC[[#This Row],[Material]]&amp;Detalle_OC[[#This Row],[Pedido]]&amp;Detalle_OC[[#This Row],[Posicion]]</f>
        <v>Agricola del Chira PlantaMontelima70040034451156663810</v>
      </c>
      <c r="B2180" t="s">
        <v>149</v>
      </c>
      <c r="C2180" t="s">
        <v>1190</v>
      </c>
      <c r="D2180" s="11">
        <v>45635</v>
      </c>
      <c r="E2180" t="s">
        <v>16</v>
      </c>
      <c r="F2180" t="s">
        <v>12</v>
      </c>
      <c r="G2180">
        <v>70040034</v>
      </c>
      <c r="H2180">
        <v>4511566638</v>
      </c>
      <c r="I2180">
        <v>10</v>
      </c>
      <c r="J2180" s="29">
        <v>1</v>
      </c>
      <c r="K2180" s="29" t="s">
        <v>127</v>
      </c>
      <c r="L2180" t="str">
        <f>IFERROR(VLOOKUP(Detalle_OC[[#This Row],[Centro]]&amp;Detalle_OC[[#This Row],[Nro Almacen]],Almacen!A:D,4,FALSE),"")</f>
        <v>Montelima</v>
      </c>
    </row>
    <row r="2181" spans="1:12" x14ac:dyDescent="0.3">
      <c r="A2181" s="29" t="str">
        <f>Detalle_OC[[#This Row],[Centro]]&amp;Detalle_OC[[#This Row],[Nom Almacen]]&amp;Detalle_OC[[#This Row],[Material]]&amp;Detalle_OC[[#This Row],[Pedido]]&amp;Detalle_OC[[#This Row],[Posicion]]</f>
        <v>Agricola del Chira PlantaAlmacen Lobo890970451156666910</v>
      </c>
      <c r="B2181" t="s">
        <v>274</v>
      </c>
      <c r="C2181" t="s">
        <v>278</v>
      </c>
      <c r="D2181" s="11">
        <v>45611</v>
      </c>
      <c r="E2181" t="s">
        <v>16</v>
      </c>
      <c r="F2181" t="s">
        <v>12</v>
      </c>
      <c r="G2181">
        <v>890970</v>
      </c>
      <c r="H2181">
        <v>4511566669</v>
      </c>
      <c r="I2181">
        <v>10</v>
      </c>
      <c r="J2181" s="29">
        <v>7</v>
      </c>
      <c r="K2181" s="29" t="s">
        <v>127</v>
      </c>
      <c r="L2181" t="str">
        <f>IFERROR(VLOOKUP(Detalle_OC[[#This Row],[Centro]]&amp;Detalle_OC[[#This Row],[Nro Almacen]],Almacen!A:D,4,FALSE),"")</f>
        <v>Almacen Lobo</v>
      </c>
    </row>
    <row r="2182" spans="1:12" x14ac:dyDescent="0.3">
      <c r="A2182" s="29" t="str">
        <f>Detalle_OC[[#This Row],[Centro]]&amp;Detalle_OC[[#This Row],[Nom Almacen]]&amp;Detalle_OC[[#This Row],[Material]]&amp;Detalle_OC[[#This Row],[Pedido]]&amp;Detalle_OC[[#This Row],[Posicion]]</f>
        <v>Agricola del Chira PlantaAlmacen Lobo830480451156666920</v>
      </c>
      <c r="B2182" t="s">
        <v>181</v>
      </c>
      <c r="C2182" t="s">
        <v>278</v>
      </c>
      <c r="D2182" s="11">
        <v>45625</v>
      </c>
      <c r="E2182" t="s">
        <v>16</v>
      </c>
      <c r="F2182" t="s">
        <v>12</v>
      </c>
      <c r="G2182">
        <v>830480</v>
      </c>
      <c r="H2182">
        <v>4511566669</v>
      </c>
      <c r="I2182">
        <v>20</v>
      </c>
      <c r="J2182" s="29">
        <v>7</v>
      </c>
      <c r="K2182" s="29" t="s">
        <v>127</v>
      </c>
      <c r="L2182" t="str">
        <f>IFERROR(VLOOKUP(Detalle_OC[[#This Row],[Centro]]&amp;Detalle_OC[[#This Row],[Nro Almacen]],Almacen!A:D,4,FALSE),"")</f>
        <v>Almacen Lobo</v>
      </c>
    </row>
    <row r="2183" spans="1:12" x14ac:dyDescent="0.3">
      <c r="A2183" s="29" t="str">
        <f>Detalle_OC[[#This Row],[Centro]]&amp;Detalle_OC[[#This Row],[Nom Almacen]]&amp;Detalle_OC[[#This Row],[Material]]&amp;Detalle_OC[[#This Row],[Pedido]]&amp;Detalle_OC[[#This Row],[Posicion]]</f>
        <v>Agricola del Chira PlantaLa Huaca890970451156666930</v>
      </c>
      <c r="B2183" t="s">
        <v>274</v>
      </c>
      <c r="C2183" t="s">
        <v>278</v>
      </c>
      <c r="D2183" s="11">
        <v>45593</v>
      </c>
      <c r="E2183" t="s">
        <v>16</v>
      </c>
      <c r="F2183" t="s">
        <v>12</v>
      </c>
      <c r="G2183">
        <v>890970</v>
      </c>
      <c r="H2183">
        <v>4511566669</v>
      </c>
      <c r="I2183">
        <v>30</v>
      </c>
      <c r="J2183" s="29">
        <v>2</v>
      </c>
      <c r="K2183" s="29" t="s">
        <v>127</v>
      </c>
      <c r="L2183" t="str">
        <f>IFERROR(VLOOKUP(Detalle_OC[[#This Row],[Centro]]&amp;Detalle_OC[[#This Row],[Nro Almacen]],Almacen!A:D,4,FALSE),"")</f>
        <v>La Huaca</v>
      </c>
    </row>
    <row r="2184" spans="1:12" x14ac:dyDescent="0.3">
      <c r="A2184" s="29" t="str">
        <f>Detalle_OC[[#This Row],[Centro]]&amp;Detalle_OC[[#This Row],[Nom Almacen]]&amp;Detalle_OC[[#This Row],[Material]]&amp;Detalle_OC[[#This Row],[Pedido]]&amp;Detalle_OC[[#This Row],[Posicion]]</f>
        <v>Agricola del Chira PlantaMontelima895624451156675110</v>
      </c>
      <c r="B2184" t="s">
        <v>149</v>
      </c>
      <c r="C2184" t="s">
        <v>166</v>
      </c>
      <c r="D2184" s="11">
        <v>45635</v>
      </c>
      <c r="E2184" t="s">
        <v>16</v>
      </c>
      <c r="F2184" t="s">
        <v>12</v>
      </c>
      <c r="G2184">
        <v>895624</v>
      </c>
      <c r="H2184">
        <v>4511566751</v>
      </c>
      <c r="I2184">
        <v>10</v>
      </c>
      <c r="J2184" s="29">
        <v>1</v>
      </c>
      <c r="K2184" s="29" t="s">
        <v>127</v>
      </c>
      <c r="L2184" t="str">
        <f>IFERROR(VLOOKUP(Detalle_OC[[#This Row],[Centro]]&amp;Detalle_OC[[#This Row],[Nro Almacen]],Almacen!A:D,4,FALSE),"")</f>
        <v>Montelima</v>
      </c>
    </row>
    <row r="2185" spans="1:12" x14ac:dyDescent="0.3">
      <c r="A2185" s="29" t="str">
        <f>Detalle_OC[[#This Row],[Centro]]&amp;Detalle_OC[[#This Row],[Nom Almacen]]&amp;Detalle_OC[[#This Row],[Material]]&amp;Detalle_OC[[#This Row],[Pedido]]&amp;Detalle_OC[[#This Row],[Posicion]]</f>
        <v>Agricola del Chira PlantaMontelima70034529451156675120</v>
      </c>
      <c r="B2185" t="s">
        <v>149</v>
      </c>
      <c r="C2185" t="s">
        <v>166</v>
      </c>
      <c r="D2185" s="11">
        <v>45625</v>
      </c>
      <c r="E2185" t="s">
        <v>16</v>
      </c>
      <c r="F2185" t="s">
        <v>12</v>
      </c>
      <c r="G2185">
        <v>70034529</v>
      </c>
      <c r="H2185">
        <v>4511566751</v>
      </c>
      <c r="I2185">
        <v>20</v>
      </c>
      <c r="J2185" s="29">
        <v>1</v>
      </c>
      <c r="K2185" s="29" t="s">
        <v>127</v>
      </c>
      <c r="L2185" t="str">
        <f>IFERROR(VLOOKUP(Detalle_OC[[#This Row],[Centro]]&amp;Detalle_OC[[#This Row],[Nro Almacen]],Almacen!A:D,4,FALSE),"")</f>
        <v>Montelima</v>
      </c>
    </row>
    <row r="2186" spans="1:12" x14ac:dyDescent="0.3">
      <c r="A2186" s="29" t="str">
        <f>Detalle_OC[[#This Row],[Centro]]&amp;Detalle_OC[[#This Row],[Nom Almacen]]&amp;Detalle_OC[[#This Row],[Material]]&amp;Detalle_OC[[#This Row],[Pedido]]&amp;Detalle_OC[[#This Row],[Posicion]]</f>
        <v>Agricola del Chira PlantaMontelima70034530451156675130</v>
      </c>
      <c r="B2186" t="s">
        <v>149</v>
      </c>
      <c r="C2186" t="s">
        <v>166</v>
      </c>
      <c r="D2186" s="11">
        <v>45611</v>
      </c>
      <c r="E2186" t="s">
        <v>16</v>
      </c>
      <c r="F2186" t="s">
        <v>12</v>
      </c>
      <c r="G2186">
        <v>70034530</v>
      </c>
      <c r="H2186">
        <v>4511566751</v>
      </c>
      <c r="I2186">
        <v>30</v>
      </c>
      <c r="J2186" s="29">
        <v>1</v>
      </c>
      <c r="K2186" s="29" t="s">
        <v>127</v>
      </c>
      <c r="L2186" t="str">
        <f>IFERROR(VLOOKUP(Detalle_OC[[#This Row],[Centro]]&amp;Detalle_OC[[#This Row],[Nro Almacen]],Almacen!A:D,4,FALSE),"")</f>
        <v>Montelima</v>
      </c>
    </row>
    <row r="2187" spans="1:12" x14ac:dyDescent="0.3">
      <c r="A2187" s="29" t="str">
        <f>Detalle_OC[[#This Row],[Centro]]&amp;Detalle_OC[[#This Row],[Nom Almacen]]&amp;Detalle_OC[[#This Row],[Material]]&amp;Detalle_OC[[#This Row],[Pedido]]&amp;Detalle_OC[[#This Row],[Posicion]]</f>
        <v>Agricola del Chira PlantaMontelima70116898451156675140</v>
      </c>
      <c r="B2187" t="s">
        <v>149</v>
      </c>
      <c r="C2187" t="s">
        <v>166</v>
      </c>
      <c r="D2187" s="11">
        <v>45611</v>
      </c>
      <c r="E2187" t="s">
        <v>16</v>
      </c>
      <c r="F2187" t="s">
        <v>12</v>
      </c>
      <c r="G2187">
        <v>70116898</v>
      </c>
      <c r="H2187">
        <v>4511566751</v>
      </c>
      <c r="I2187">
        <v>40</v>
      </c>
      <c r="J2187" s="29">
        <v>1</v>
      </c>
      <c r="K2187" s="29" t="s">
        <v>127</v>
      </c>
      <c r="L2187" t="str">
        <f>IFERROR(VLOOKUP(Detalle_OC[[#This Row],[Centro]]&amp;Detalle_OC[[#This Row],[Nro Almacen]],Almacen!A:D,4,FALSE),"")</f>
        <v>Montelima</v>
      </c>
    </row>
    <row r="2188" spans="1:12" x14ac:dyDescent="0.3">
      <c r="A2188" s="29" t="str">
        <f>Detalle_OC[[#This Row],[Centro]]&amp;Detalle_OC[[#This Row],[Nom Almacen]]&amp;Detalle_OC[[#This Row],[Material]]&amp;Detalle_OC[[#This Row],[Pedido]]&amp;Detalle_OC[[#This Row],[Posicion]]</f>
        <v>Agricola del Chira PlantaMontelima866333451156675150</v>
      </c>
      <c r="B2188" t="s">
        <v>225</v>
      </c>
      <c r="C2188" t="s">
        <v>166</v>
      </c>
      <c r="D2188" s="11">
        <v>45611</v>
      </c>
      <c r="E2188" t="s">
        <v>16</v>
      </c>
      <c r="F2188" t="s">
        <v>12</v>
      </c>
      <c r="G2188">
        <v>866333</v>
      </c>
      <c r="H2188">
        <v>4511566751</v>
      </c>
      <c r="I2188">
        <v>50</v>
      </c>
      <c r="J2188" s="29">
        <v>1</v>
      </c>
      <c r="K2188" s="29" t="s">
        <v>127</v>
      </c>
      <c r="L2188" t="str">
        <f>IFERROR(VLOOKUP(Detalle_OC[[#This Row],[Centro]]&amp;Detalle_OC[[#This Row],[Nro Almacen]],Almacen!A:D,4,FALSE),"")</f>
        <v>Montelima</v>
      </c>
    </row>
    <row r="2189" spans="1:12" x14ac:dyDescent="0.3">
      <c r="A2189" s="29" t="str">
        <f>Detalle_OC[[#This Row],[Centro]]&amp;Detalle_OC[[#This Row],[Nom Almacen]]&amp;Detalle_OC[[#This Row],[Material]]&amp;Detalle_OC[[#This Row],[Pedido]]&amp;Detalle_OC[[#This Row],[Posicion]]</f>
        <v>Agricola del Chira PlantaMontelima70011329451156675180</v>
      </c>
      <c r="B2189" t="s">
        <v>149</v>
      </c>
      <c r="C2189" t="s">
        <v>166</v>
      </c>
      <c r="D2189" s="11">
        <v>45588</v>
      </c>
      <c r="E2189" t="s">
        <v>16</v>
      </c>
      <c r="F2189" t="s">
        <v>12</v>
      </c>
      <c r="G2189">
        <v>70011329</v>
      </c>
      <c r="H2189">
        <v>4511566751</v>
      </c>
      <c r="I2189">
        <v>80</v>
      </c>
      <c r="J2189" s="29">
        <v>1</v>
      </c>
      <c r="K2189" s="29" t="s">
        <v>127</v>
      </c>
      <c r="L2189" t="str">
        <f>IFERROR(VLOOKUP(Detalle_OC[[#This Row],[Centro]]&amp;Detalle_OC[[#This Row],[Nro Almacen]],Almacen!A:D,4,FALSE),"")</f>
        <v>Montelima</v>
      </c>
    </row>
    <row r="2190" spans="1:12" x14ac:dyDescent="0.3">
      <c r="A2190" s="29" t="str">
        <f>Detalle_OC[[#This Row],[Centro]]&amp;Detalle_OC[[#This Row],[Nom Almacen]]&amp;Detalle_OC[[#This Row],[Material]]&amp;Detalle_OC[[#This Row],[Pedido]]&amp;Detalle_OC[[#This Row],[Posicion]]</f>
        <v>Sucroalcolera del Chira PlantaMontelima834391451156678810</v>
      </c>
      <c r="B2190" t="s">
        <v>138</v>
      </c>
      <c r="C2190" t="s">
        <v>366</v>
      </c>
      <c r="D2190" s="11">
        <v>45651</v>
      </c>
      <c r="E2190" t="s">
        <v>16</v>
      </c>
      <c r="F2190" t="s">
        <v>85</v>
      </c>
      <c r="G2190">
        <v>834391</v>
      </c>
      <c r="H2190">
        <v>4511566788</v>
      </c>
      <c r="I2190">
        <v>10</v>
      </c>
      <c r="J2190" s="29">
        <v>1</v>
      </c>
      <c r="K2190" s="29" t="s">
        <v>127</v>
      </c>
      <c r="L2190" t="str">
        <f>IFERROR(VLOOKUP(Detalle_OC[[#This Row],[Centro]]&amp;Detalle_OC[[#This Row],[Nro Almacen]],Almacen!A:D,4,FALSE),"")</f>
        <v>Montelima</v>
      </c>
    </row>
    <row r="2191" spans="1:12" x14ac:dyDescent="0.3">
      <c r="A2191" s="29" t="str">
        <f>Detalle_OC[[#This Row],[Centro]]&amp;Detalle_OC[[#This Row],[Nom Almacen]]&amp;Detalle_OC[[#This Row],[Material]]&amp;Detalle_OC[[#This Row],[Pedido]]&amp;Detalle_OC[[#This Row],[Posicion]]</f>
        <v>Sucroalcolera del Chira PlantaMontelima70031132451156678820</v>
      </c>
      <c r="B2191" t="s">
        <v>191</v>
      </c>
      <c r="C2191" t="s">
        <v>366</v>
      </c>
      <c r="D2191" s="11">
        <v>45651</v>
      </c>
      <c r="E2191" t="s">
        <v>16</v>
      </c>
      <c r="F2191" t="s">
        <v>85</v>
      </c>
      <c r="G2191">
        <v>70031132</v>
      </c>
      <c r="H2191">
        <v>4511566788</v>
      </c>
      <c r="I2191">
        <v>20</v>
      </c>
      <c r="J2191" s="29">
        <v>1</v>
      </c>
      <c r="K2191" s="29" t="s">
        <v>127</v>
      </c>
      <c r="L2191" t="str">
        <f>IFERROR(VLOOKUP(Detalle_OC[[#This Row],[Centro]]&amp;Detalle_OC[[#This Row],[Nro Almacen]],Almacen!A:D,4,FALSE),"")</f>
        <v>Montelima</v>
      </c>
    </row>
    <row r="2192" spans="1:12" x14ac:dyDescent="0.3">
      <c r="A2192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2192" t="s">
        <v>28</v>
      </c>
      <c r="C2192" t="s">
        <v>54</v>
      </c>
      <c r="D2192" s="11">
        <v>45576</v>
      </c>
      <c r="E2192" t="s">
        <v>16</v>
      </c>
      <c r="F2192" t="s">
        <v>12</v>
      </c>
      <c r="G2192">
        <v>70100392</v>
      </c>
      <c r="H2192">
        <v>5500024751</v>
      </c>
      <c r="I2192">
        <v>20</v>
      </c>
      <c r="J2192" s="29">
        <v>2</v>
      </c>
      <c r="K2192" s="29" t="s">
        <v>127</v>
      </c>
      <c r="L2192" t="str">
        <f>IFERROR(VLOOKUP(Detalle_OC[[#This Row],[Centro]]&amp;Detalle_OC[[#This Row],[Nro Almacen]],Almacen!A:D,4,FALSE),"")</f>
        <v>La Huaca</v>
      </c>
    </row>
    <row r="2193" spans="1:12" x14ac:dyDescent="0.3">
      <c r="A2193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2193" t="s">
        <v>28</v>
      </c>
      <c r="C2193" t="s">
        <v>54</v>
      </c>
      <c r="D2193" s="11">
        <v>45576</v>
      </c>
      <c r="E2193" t="s">
        <v>16</v>
      </c>
      <c r="F2193" t="s">
        <v>12</v>
      </c>
      <c r="G2193">
        <v>70100392</v>
      </c>
      <c r="H2193">
        <v>5500024751</v>
      </c>
      <c r="I2193">
        <v>40</v>
      </c>
      <c r="J2193" s="29">
        <v>7</v>
      </c>
      <c r="K2193" s="29" t="s">
        <v>127</v>
      </c>
      <c r="L2193" t="str">
        <f>IFERROR(VLOOKUP(Detalle_OC[[#This Row],[Centro]]&amp;Detalle_OC[[#This Row],[Nro Almacen]],Almacen!A:D,4,FALSE),"")</f>
        <v>Almacen Lobo</v>
      </c>
    </row>
    <row r="2194" spans="1:12" x14ac:dyDescent="0.3">
      <c r="A2194" s="29" t="str">
        <f>Detalle_OC[[#This Row],[Centro]]&amp;Detalle_OC[[#This Row],[Nom Almacen]]&amp;Detalle_OC[[#This Row],[Material]]&amp;Detalle_OC[[#This Row],[Pedido]]&amp;Detalle_OC[[#This Row],[Posicion]]</f>
        <v>Agricola del Chira PlantaSan Vicente721426550002484460</v>
      </c>
      <c r="B2194" t="s">
        <v>28</v>
      </c>
      <c r="C2194" t="s">
        <v>88</v>
      </c>
      <c r="D2194" s="11">
        <v>45576</v>
      </c>
      <c r="E2194" t="s">
        <v>16</v>
      </c>
      <c r="F2194" t="s">
        <v>12</v>
      </c>
      <c r="G2194">
        <v>721426</v>
      </c>
      <c r="H2194">
        <v>5500024844</v>
      </c>
      <c r="I2194">
        <v>60</v>
      </c>
      <c r="J2194" s="29">
        <v>3</v>
      </c>
      <c r="K2194" s="29" t="s">
        <v>127</v>
      </c>
      <c r="L2194" t="str">
        <f>IFERROR(VLOOKUP(Detalle_OC[[#This Row],[Centro]]&amp;Detalle_OC[[#This Row],[Nro Almacen]],Almacen!A:D,4,FALSE),"")</f>
        <v>San Vicente</v>
      </c>
    </row>
    <row r="2195" spans="1:12" x14ac:dyDescent="0.3">
      <c r="A2195" s="29" t="str">
        <f>Detalle_OC[[#This Row],[Centro]]&amp;Detalle_OC[[#This Row],[Nom Almacen]]&amp;Detalle_OC[[#This Row],[Material]]&amp;Detalle_OC[[#This Row],[Pedido]]&amp;Detalle_OC[[#This Row],[Posicion]]</f>
        <v>Agricola del Chira PlantaSan Vicente70069183550002485540</v>
      </c>
      <c r="B2195" t="s">
        <v>28</v>
      </c>
      <c r="C2195" t="s">
        <v>96</v>
      </c>
      <c r="D2195" s="11">
        <v>45576</v>
      </c>
      <c r="E2195" t="s">
        <v>16</v>
      </c>
      <c r="F2195" t="s">
        <v>12</v>
      </c>
      <c r="G2195">
        <v>70069183</v>
      </c>
      <c r="H2195">
        <v>5500024855</v>
      </c>
      <c r="I2195">
        <v>40</v>
      </c>
      <c r="J2195" s="29">
        <v>3</v>
      </c>
      <c r="K2195" s="29" t="s">
        <v>127</v>
      </c>
      <c r="L2195" t="str">
        <f>IFERROR(VLOOKUP(Detalle_OC[[#This Row],[Centro]]&amp;Detalle_OC[[#This Row],[Nro Almacen]],Almacen!A:D,4,FALSE),"")</f>
        <v>San Vicente</v>
      </c>
    </row>
    <row r="2196" spans="1:12" x14ac:dyDescent="0.3">
      <c r="A2196" s="29" t="str">
        <f>Detalle_OC[[#This Row],[Centro]]&amp;Detalle_OC[[#This Row],[Nom Almacen]]&amp;Detalle_OC[[#This Row],[Material]]&amp;Detalle_OC[[#This Row],[Pedido]]&amp;Detalle_OC[[#This Row],[Posicion]]</f>
        <v>Agricola del Chira PlantaSan Vicente7823515500024855140</v>
      </c>
      <c r="B2196" t="s">
        <v>28</v>
      </c>
      <c r="C2196" t="s">
        <v>96</v>
      </c>
      <c r="D2196" s="11">
        <v>45576</v>
      </c>
      <c r="E2196" t="s">
        <v>16</v>
      </c>
      <c r="F2196" t="s">
        <v>12</v>
      </c>
      <c r="G2196">
        <v>782351</v>
      </c>
      <c r="H2196">
        <v>5500024855</v>
      </c>
      <c r="I2196">
        <v>140</v>
      </c>
      <c r="J2196" s="29">
        <v>3</v>
      </c>
      <c r="K2196" s="29" t="s">
        <v>127</v>
      </c>
      <c r="L2196" t="str">
        <f>IFERROR(VLOOKUP(Detalle_OC[[#This Row],[Centro]]&amp;Detalle_OC[[#This Row],[Nro Almacen]],Almacen!A:D,4,FALSE),"")</f>
        <v>San Vicente</v>
      </c>
    </row>
    <row r="2197" spans="1:12" x14ac:dyDescent="0.3">
      <c r="A2197" s="29" t="str">
        <f>Detalle_OC[[#This Row],[Centro]]&amp;Detalle_OC[[#This Row],[Nom Almacen]]&amp;Detalle_OC[[#This Row],[Material]]&amp;Detalle_OC[[#This Row],[Pedido]]&amp;Detalle_OC[[#This Row],[Posicion]]</f>
        <v>Agricola del Chira PlantaSan Vicente7781465500024855180</v>
      </c>
      <c r="B2197" t="s">
        <v>28</v>
      </c>
      <c r="C2197" t="s">
        <v>96</v>
      </c>
      <c r="D2197" s="11">
        <v>45576</v>
      </c>
      <c r="E2197" t="s">
        <v>16</v>
      </c>
      <c r="F2197" t="s">
        <v>12</v>
      </c>
      <c r="G2197">
        <v>778146</v>
      </c>
      <c r="H2197">
        <v>5500024855</v>
      </c>
      <c r="I2197">
        <v>180</v>
      </c>
      <c r="J2197" s="29">
        <v>3</v>
      </c>
      <c r="K2197" s="29" t="s">
        <v>127</v>
      </c>
      <c r="L2197" t="str">
        <f>IFERROR(VLOOKUP(Detalle_OC[[#This Row],[Centro]]&amp;Detalle_OC[[#This Row],[Nro Almacen]],Almacen!A:D,4,FALSE),"")</f>
        <v>San Vicente</v>
      </c>
    </row>
    <row r="2198" spans="1:12" x14ac:dyDescent="0.3">
      <c r="A2198" s="29" t="str">
        <f>Detalle_OC[[#This Row],[Centro]]&amp;Detalle_OC[[#This Row],[Nom Almacen]]&amp;Detalle_OC[[#This Row],[Material]]&amp;Detalle_OC[[#This Row],[Pedido]]&amp;Detalle_OC[[#This Row],[Posicion]]</f>
        <v>Agricola del Chira PlantaAlmacen Lobo700580015500024881180</v>
      </c>
      <c r="B2198" t="s">
        <v>28</v>
      </c>
      <c r="C2198" t="s">
        <v>52</v>
      </c>
      <c r="D2198" s="11">
        <v>45576</v>
      </c>
      <c r="E2198" t="s">
        <v>16</v>
      </c>
      <c r="F2198" t="s">
        <v>12</v>
      </c>
      <c r="G2198">
        <v>70058001</v>
      </c>
      <c r="H2198">
        <v>5500024881</v>
      </c>
      <c r="I2198">
        <v>180</v>
      </c>
      <c r="J2198" s="29">
        <v>7</v>
      </c>
      <c r="K2198" s="29" t="s">
        <v>127</v>
      </c>
      <c r="L2198" t="str">
        <f>IFERROR(VLOOKUP(Detalle_OC[[#This Row],[Centro]]&amp;Detalle_OC[[#This Row],[Nro Almacen]],Almacen!A:D,4,FALSE),"")</f>
        <v>Almacen Lobo</v>
      </c>
    </row>
    <row r="2199" spans="1:12" x14ac:dyDescent="0.3">
      <c r="A2199" s="29" t="str">
        <f>Detalle_OC[[#This Row],[Centro]]&amp;Detalle_OC[[#This Row],[Nom Almacen]]&amp;Detalle_OC[[#This Row],[Material]]&amp;Detalle_OC[[#This Row],[Pedido]]&amp;Detalle_OC[[#This Row],[Posicion]]</f>
        <v>Agricola del Chira PlantaAlmacen Lobo700657865500024881220</v>
      </c>
      <c r="B2199" t="s">
        <v>28</v>
      </c>
      <c r="C2199" t="s">
        <v>52</v>
      </c>
      <c r="D2199" s="11">
        <v>45575</v>
      </c>
      <c r="E2199" t="s">
        <v>16</v>
      </c>
      <c r="F2199" t="s">
        <v>12</v>
      </c>
      <c r="G2199">
        <v>70065786</v>
      </c>
      <c r="H2199">
        <v>5500024881</v>
      </c>
      <c r="I2199">
        <v>220</v>
      </c>
      <c r="J2199" s="29">
        <v>7</v>
      </c>
      <c r="K2199" s="29" t="s">
        <v>127</v>
      </c>
      <c r="L2199" t="str">
        <f>IFERROR(VLOOKUP(Detalle_OC[[#This Row],[Centro]]&amp;Detalle_OC[[#This Row],[Nro Almacen]],Almacen!A:D,4,FALSE),"")</f>
        <v>Almacen Lobo</v>
      </c>
    </row>
    <row r="2200" spans="1:12" x14ac:dyDescent="0.3">
      <c r="A2200" s="29" t="str">
        <f>Detalle_OC[[#This Row],[Centro]]&amp;Detalle_OC[[#This Row],[Nom Almacen]]&amp;Detalle_OC[[#This Row],[Material]]&amp;Detalle_OC[[#This Row],[Pedido]]&amp;Detalle_OC[[#This Row],[Posicion]]</f>
        <v>Agricola del Chira PlantaMontelima70133388451156652110</v>
      </c>
      <c r="B2200" t="s">
        <v>198</v>
      </c>
      <c r="C2200" t="s">
        <v>235</v>
      </c>
      <c r="D2200" s="11">
        <v>45625</v>
      </c>
      <c r="E2200" t="s">
        <v>16</v>
      </c>
      <c r="F2200" t="s">
        <v>12</v>
      </c>
      <c r="G2200">
        <v>70133388</v>
      </c>
      <c r="H2200">
        <v>4511566521</v>
      </c>
      <c r="I2200">
        <v>10</v>
      </c>
      <c r="J2200" s="29">
        <v>1</v>
      </c>
      <c r="K2200" s="29" t="s">
        <v>128</v>
      </c>
      <c r="L2200" t="str">
        <f>IFERROR(VLOOKUP(Detalle_OC[[#This Row],[Centro]]&amp;Detalle_OC[[#This Row],[Nro Almacen]],Almacen!A:D,4,FALSE),"")</f>
        <v>Montelima</v>
      </c>
    </row>
    <row r="2201" spans="1:12" x14ac:dyDescent="0.3">
      <c r="A2201" s="29" t="str">
        <f>Detalle_OC[[#This Row],[Centro]]&amp;Detalle_OC[[#This Row],[Nom Almacen]]&amp;Detalle_OC[[#This Row],[Material]]&amp;Detalle_OC[[#This Row],[Pedido]]&amp;Detalle_OC[[#This Row],[Posicion]]</f>
        <v>Sucroalcolera del Chira PlantaMontelima867975451156656510</v>
      </c>
      <c r="B2201" t="s">
        <v>138</v>
      </c>
      <c r="C2201" t="s">
        <v>235</v>
      </c>
      <c r="D2201" s="11">
        <v>45625</v>
      </c>
      <c r="E2201" t="s">
        <v>16</v>
      </c>
      <c r="F2201" t="s">
        <v>85</v>
      </c>
      <c r="G2201">
        <v>867975</v>
      </c>
      <c r="H2201">
        <v>4511566565</v>
      </c>
      <c r="I2201">
        <v>10</v>
      </c>
      <c r="J2201" s="29">
        <v>1</v>
      </c>
      <c r="K2201" s="29" t="s">
        <v>128</v>
      </c>
      <c r="L2201" t="str">
        <f>IFERROR(VLOOKUP(Detalle_OC[[#This Row],[Centro]]&amp;Detalle_OC[[#This Row],[Nro Almacen]],Almacen!A:D,4,FALSE),"")</f>
        <v>Montelima</v>
      </c>
    </row>
    <row r="2202" spans="1:12" x14ac:dyDescent="0.3">
      <c r="A2202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2202" t="s">
        <v>28</v>
      </c>
      <c r="C2202" t="s">
        <v>94</v>
      </c>
      <c r="D2202" s="11">
        <v>45573</v>
      </c>
      <c r="E2202" t="s">
        <v>16</v>
      </c>
      <c r="F2202" t="s">
        <v>85</v>
      </c>
      <c r="G2202" t="s">
        <v>95</v>
      </c>
      <c r="H2202">
        <v>5500024746</v>
      </c>
      <c r="I2202">
        <v>10</v>
      </c>
      <c r="J2202" s="29">
        <v>1</v>
      </c>
      <c r="K2202" s="29" t="s">
        <v>128</v>
      </c>
      <c r="L2202" t="str">
        <f>IFERROR(VLOOKUP(Detalle_OC[[#This Row],[Centro]]&amp;Detalle_OC[[#This Row],[Nro Almacen]],Almacen!A:D,4,FALSE),"")</f>
        <v>Montelima</v>
      </c>
    </row>
    <row r="2203" spans="1:12" x14ac:dyDescent="0.3">
      <c r="A2203" s="29" t="str">
        <f>Detalle_OC[[#This Row],[Centro]]&amp;Detalle_OC[[#This Row],[Nom Almacen]]&amp;Detalle_OC[[#This Row],[Material]]&amp;Detalle_OC[[#This Row],[Pedido]]&amp;Detalle_OC[[#This Row],[Posicion]]</f>
        <v>Agricola del Chira PlantaMontelima700580015500024881160</v>
      </c>
      <c r="B2203" t="s">
        <v>28</v>
      </c>
      <c r="C2203" t="s">
        <v>52</v>
      </c>
      <c r="D2203" s="11">
        <v>45575</v>
      </c>
      <c r="E2203" t="s">
        <v>16</v>
      </c>
      <c r="F2203" t="s">
        <v>12</v>
      </c>
      <c r="G2203">
        <v>70058001</v>
      </c>
      <c r="H2203">
        <v>5500024881</v>
      </c>
      <c r="I2203">
        <v>160</v>
      </c>
      <c r="J2203" s="29">
        <v>1</v>
      </c>
      <c r="K2203" s="29" t="s">
        <v>128</v>
      </c>
      <c r="L2203" t="str">
        <f>IFERROR(VLOOKUP(Detalle_OC[[#This Row],[Centro]]&amp;Detalle_OC[[#This Row],[Nro Almacen]],Almacen!A:D,4,FALSE),"")</f>
        <v>Montelima</v>
      </c>
    </row>
    <row r="2204" spans="1:12" x14ac:dyDescent="0.3">
      <c r="A2204" s="29" t="str">
        <f>Detalle_OC[[#This Row],[Centro]]&amp;Detalle_OC[[#This Row],[Nom Almacen]]&amp;Detalle_OC[[#This Row],[Material]]&amp;Detalle_OC[[#This Row],[Pedido]]&amp;Detalle_OC[[#This Row],[Posicion]]</f>
        <v>Agricola del Chira PlantaMontelima70004459550002489630</v>
      </c>
      <c r="B2204" t="s">
        <v>28</v>
      </c>
      <c r="C2204" t="s">
        <v>27</v>
      </c>
      <c r="D2204" s="11">
        <v>45575</v>
      </c>
      <c r="E2204" t="s">
        <v>16</v>
      </c>
      <c r="F2204" t="s">
        <v>12</v>
      </c>
      <c r="G2204">
        <v>70004459</v>
      </c>
      <c r="H2204">
        <v>5500024896</v>
      </c>
      <c r="I2204">
        <v>30</v>
      </c>
      <c r="J2204" s="29">
        <v>1</v>
      </c>
      <c r="K2204" s="29" t="s">
        <v>128</v>
      </c>
      <c r="L2204" t="str">
        <f>IFERROR(VLOOKUP(Detalle_OC[[#This Row],[Centro]]&amp;Detalle_OC[[#This Row],[Nro Almacen]],Almacen!A:D,4,FALSE),"")</f>
        <v>Montelima</v>
      </c>
    </row>
    <row r="2205" spans="1:12" x14ac:dyDescent="0.3">
      <c r="A2205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2205" t="s">
        <v>28</v>
      </c>
      <c r="C2205" t="s">
        <v>54</v>
      </c>
      <c r="D2205" s="11">
        <v>45574</v>
      </c>
      <c r="E2205" t="s">
        <v>16</v>
      </c>
      <c r="F2205" t="s">
        <v>12</v>
      </c>
      <c r="G2205">
        <v>70100392</v>
      </c>
      <c r="H2205">
        <v>5500024751</v>
      </c>
      <c r="I2205">
        <v>40</v>
      </c>
      <c r="J2205" s="29">
        <v>7</v>
      </c>
      <c r="K2205" s="29" t="s">
        <v>129</v>
      </c>
      <c r="L2205" t="str">
        <f>IFERROR(VLOOKUP(Detalle_OC[[#This Row],[Centro]]&amp;Detalle_OC[[#This Row],[Nro Almacen]],Almacen!A:D,4,FALSE),"")</f>
        <v>Almacen Lobo</v>
      </c>
    </row>
    <row r="2206" spans="1:12" x14ac:dyDescent="0.3">
      <c r="A2206" s="29" t="str">
        <f>Detalle_OC[[#This Row],[Centro]]&amp;Detalle_OC[[#This Row],[Nom Almacen]]&amp;Detalle_OC[[#This Row],[Material]]&amp;Detalle_OC[[#This Row],[Pedido]]&amp;Detalle_OC[[#This Row],[Posicion]]</f>
        <v>Agricola del Chira PlantaAlmacen Lobo896581451156614660</v>
      </c>
      <c r="B2206" t="s">
        <v>289</v>
      </c>
      <c r="C2206" t="s">
        <v>312</v>
      </c>
      <c r="D2206" s="11">
        <v>45625</v>
      </c>
      <c r="E2206" t="s">
        <v>16</v>
      </c>
      <c r="F2206" t="s">
        <v>12</v>
      </c>
      <c r="G2206">
        <v>896581</v>
      </c>
      <c r="H2206">
        <v>4511566146</v>
      </c>
      <c r="I2206">
        <v>60</v>
      </c>
      <c r="J2206" s="29">
        <v>7</v>
      </c>
      <c r="K2206" s="29" t="s">
        <v>130</v>
      </c>
      <c r="L2206" t="str">
        <f>IFERROR(VLOOKUP(Detalle_OC[[#This Row],[Centro]]&amp;Detalle_OC[[#This Row],[Nro Almacen]],Almacen!A:D,4,FALSE),"")</f>
        <v>Almacen Lobo</v>
      </c>
    </row>
    <row r="2207" spans="1:12" x14ac:dyDescent="0.3">
      <c r="A2207" s="29" t="str">
        <f>Detalle_OC[[#This Row],[Centro]]&amp;Detalle_OC[[#This Row],[Nom Almacen]]&amp;Detalle_OC[[#This Row],[Material]]&amp;Detalle_OC[[#This Row],[Pedido]]&amp;Detalle_OC[[#This Row],[Posicion]]</f>
        <v>Sucroalcolera del Chira PlantaMontelima70032972451156623410</v>
      </c>
      <c r="B2207" t="s">
        <v>138</v>
      </c>
      <c r="C2207" t="s">
        <v>275</v>
      </c>
      <c r="D2207" s="11">
        <v>45637</v>
      </c>
      <c r="E2207" t="s">
        <v>16</v>
      </c>
      <c r="F2207" t="s">
        <v>85</v>
      </c>
      <c r="G2207">
        <v>70032972</v>
      </c>
      <c r="H2207">
        <v>4511566234</v>
      </c>
      <c r="I2207">
        <v>10</v>
      </c>
      <c r="J2207" s="29">
        <v>1</v>
      </c>
      <c r="K2207" s="29" t="s">
        <v>130</v>
      </c>
      <c r="L2207" t="str">
        <f>IFERROR(VLOOKUP(Detalle_OC[[#This Row],[Centro]]&amp;Detalle_OC[[#This Row],[Nro Almacen]],Almacen!A:D,4,FALSE),"")</f>
        <v>Montelima</v>
      </c>
    </row>
    <row r="2208" spans="1:12" x14ac:dyDescent="0.3">
      <c r="A2208" s="29" t="str">
        <f>Detalle_OC[[#This Row],[Centro]]&amp;Detalle_OC[[#This Row],[Nom Almacen]]&amp;Detalle_OC[[#This Row],[Material]]&amp;Detalle_OC[[#This Row],[Pedido]]&amp;Detalle_OC[[#This Row],[Posicion]]</f>
        <v>Bioenergía del Chira PlantaMontelima70133683451156632110</v>
      </c>
      <c r="B2208" t="s">
        <v>191</v>
      </c>
      <c r="C2208" t="s">
        <v>1169</v>
      </c>
      <c r="D2208" s="11">
        <v>45611</v>
      </c>
      <c r="E2208" t="s">
        <v>16</v>
      </c>
      <c r="F2208" t="s">
        <v>86</v>
      </c>
      <c r="G2208">
        <v>70133683</v>
      </c>
      <c r="H2208">
        <v>4511566321</v>
      </c>
      <c r="I2208">
        <v>10</v>
      </c>
      <c r="J2208" s="29">
        <v>1</v>
      </c>
      <c r="K2208" s="29" t="s">
        <v>130</v>
      </c>
      <c r="L2208" t="str">
        <f>IFERROR(VLOOKUP(Detalle_OC[[#This Row],[Centro]]&amp;Detalle_OC[[#This Row],[Nro Almacen]],Almacen!A:D,4,FALSE),"")</f>
        <v>Montelima</v>
      </c>
    </row>
    <row r="2209" spans="1:12" x14ac:dyDescent="0.3">
      <c r="A2209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2209" t="s">
        <v>28</v>
      </c>
      <c r="C2209" t="s">
        <v>54</v>
      </c>
      <c r="D2209" s="11">
        <v>45572</v>
      </c>
      <c r="E2209" t="s">
        <v>16</v>
      </c>
      <c r="F2209" t="s">
        <v>12</v>
      </c>
      <c r="G2209">
        <v>70100392</v>
      </c>
      <c r="H2209">
        <v>5500024751</v>
      </c>
      <c r="I2209">
        <v>20</v>
      </c>
      <c r="J2209" s="29">
        <v>2</v>
      </c>
      <c r="K2209" s="29" t="s">
        <v>130</v>
      </c>
      <c r="L2209" t="str">
        <f>IFERROR(VLOOKUP(Detalle_OC[[#This Row],[Centro]]&amp;Detalle_OC[[#This Row],[Nro Almacen]],Almacen!A:D,4,FALSE),"")</f>
        <v>La Huaca</v>
      </c>
    </row>
    <row r="2210" spans="1:12" x14ac:dyDescent="0.3">
      <c r="A2210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2210" t="s">
        <v>28</v>
      </c>
      <c r="C2210" t="s">
        <v>54</v>
      </c>
      <c r="D2210" s="11">
        <v>45572</v>
      </c>
      <c r="E2210" t="s">
        <v>16</v>
      </c>
      <c r="F2210" t="s">
        <v>12</v>
      </c>
      <c r="G2210">
        <v>70100392</v>
      </c>
      <c r="H2210">
        <v>5500024751</v>
      </c>
      <c r="I2210">
        <v>40</v>
      </c>
      <c r="J2210" s="29">
        <v>7</v>
      </c>
      <c r="K2210" s="29" t="s">
        <v>130</v>
      </c>
      <c r="L2210" t="str">
        <f>IFERROR(VLOOKUP(Detalle_OC[[#This Row],[Centro]]&amp;Detalle_OC[[#This Row],[Nro Almacen]],Almacen!A:D,4,FALSE),"")</f>
        <v>Almacen Lobo</v>
      </c>
    </row>
    <row r="2211" spans="1:12" x14ac:dyDescent="0.3">
      <c r="A2211" s="29" t="str">
        <f>Detalle_OC[[#This Row],[Centro]]&amp;Detalle_OC[[#This Row],[Nom Almacen]]&amp;Detalle_OC[[#This Row],[Material]]&amp;Detalle_OC[[#This Row],[Pedido]]&amp;Detalle_OC[[#This Row],[Posicion]]</f>
        <v>Agricola del Chira PlantaMontelima70084360550002468150</v>
      </c>
      <c r="B2211" t="s">
        <v>28</v>
      </c>
      <c r="C2211" t="s">
        <v>84</v>
      </c>
      <c r="D2211" s="11">
        <v>45569</v>
      </c>
      <c r="E2211" t="s">
        <v>16</v>
      </c>
      <c r="F2211" t="s">
        <v>12</v>
      </c>
      <c r="G2211">
        <v>70084360</v>
      </c>
      <c r="H2211">
        <v>5500024681</v>
      </c>
      <c r="I2211">
        <v>50</v>
      </c>
      <c r="J2211" s="29">
        <v>1</v>
      </c>
      <c r="K2211" s="29" t="s">
        <v>131</v>
      </c>
      <c r="L2211" t="str">
        <f>IFERROR(VLOOKUP(Detalle_OC[[#This Row],[Centro]]&amp;Detalle_OC[[#This Row],[Nro Almacen]],Almacen!A:D,4,FALSE),"")</f>
        <v>Montelima</v>
      </c>
    </row>
    <row r="2212" spans="1:12" x14ac:dyDescent="0.3">
      <c r="A2212" s="29" t="str">
        <f>Detalle_OC[[#This Row],[Centro]]&amp;Detalle_OC[[#This Row],[Nom Almacen]]&amp;Detalle_OC[[#This Row],[Material]]&amp;Detalle_OC[[#This Row],[Pedido]]&amp;Detalle_OC[[#This Row],[Posicion]]</f>
        <v>Agricola del Chira PlantaMontelimaCT905226          550002490170</v>
      </c>
      <c r="B2212" t="s">
        <v>28</v>
      </c>
      <c r="C2212" t="s">
        <v>84</v>
      </c>
      <c r="D2212" s="11">
        <v>45569</v>
      </c>
      <c r="E2212" t="s">
        <v>16</v>
      </c>
      <c r="F2212" t="s">
        <v>12</v>
      </c>
      <c r="G2212" t="s">
        <v>1164</v>
      </c>
      <c r="H2212">
        <v>5500024901</v>
      </c>
      <c r="I2212">
        <v>70</v>
      </c>
      <c r="J2212" s="29">
        <v>1</v>
      </c>
      <c r="K2212" s="29" t="s">
        <v>131</v>
      </c>
      <c r="L2212" t="str">
        <f>IFERROR(VLOOKUP(Detalle_OC[[#This Row],[Centro]]&amp;Detalle_OC[[#This Row],[Nro Almacen]],Almacen!A:D,4,FALSE),"")</f>
        <v>Montelima</v>
      </c>
    </row>
    <row r="2213" spans="1:12" x14ac:dyDescent="0.3">
      <c r="A2213" s="29" t="str">
        <f>Detalle_OC[[#This Row],[Centro]]&amp;Detalle_OC[[#This Row],[Nom Almacen]]&amp;Detalle_OC[[#This Row],[Material]]&amp;Detalle_OC[[#This Row],[Pedido]]&amp;Detalle_OC[[#This Row],[Posicion]]</f>
        <v>Agricola del Chira PlantaMontelima70132842451156613610</v>
      </c>
      <c r="B2213" t="s">
        <v>151</v>
      </c>
      <c r="C2213" t="s">
        <v>1212</v>
      </c>
      <c r="D2213" s="11">
        <v>45656</v>
      </c>
      <c r="E2213" t="s">
        <v>51</v>
      </c>
      <c r="F2213" t="s">
        <v>12</v>
      </c>
      <c r="G2213">
        <v>70132842</v>
      </c>
      <c r="H2213">
        <v>4511566136</v>
      </c>
      <c r="I2213">
        <v>10</v>
      </c>
      <c r="J2213" s="29">
        <v>1</v>
      </c>
      <c r="K2213" s="29" t="s">
        <v>132</v>
      </c>
      <c r="L2213" t="str">
        <f>IFERROR(VLOOKUP(Detalle_OC[[#This Row],[Centro]]&amp;Detalle_OC[[#This Row],[Nro Almacen]],Almacen!A:D,4,FALSE),"")</f>
        <v>Montelima</v>
      </c>
    </row>
    <row r="2214" spans="1:12" x14ac:dyDescent="0.3">
      <c r="A2214" s="29" t="str">
        <f>Detalle_OC[[#This Row],[Centro]]&amp;Detalle_OC[[#This Row],[Nom Almacen]]&amp;Detalle_OC[[#This Row],[Material]]&amp;Detalle_OC[[#This Row],[Pedido]]&amp;Detalle_OC[[#This Row],[Posicion]]</f>
        <v>Agricola del Chira PlantaMontelima70132841451156613620</v>
      </c>
      <c r="B2214" t="s">
        <v>151</v>
      </c>
      <c r="C2214" t="s">
        <v>1212</v>
      </c>
      <c r="D2214" s="11">
        <v>45656</v>
      </c>
      <c r="E2214" t="s">
        <v>51</v>
      </c>
      <c r="F2214" t="s">
        <v>12</v>
      </c>
      <c r="G2214">
        <v>70132841</v>
      </c>
      <c r="H2214">
        <v>4511566136</v>
      </c>
      <c r="I2214">
        <v>20</v>
      </c>
      <c r="J2214" s="29">
        <v>1</v>
      </c>
      <c r="K2214" s="29" t="s">
        <v>132</v>
      </c>
      <c r="L2214" t="str">
        <f>IFERROR(VLOOKUP(Detalle_OC[[#This Row],[Centro]]&amp;Detalle_OC[[#This Row],[Nro Almacen]],Almacen!A:D,4,FALSE),"")</f>
        <v>Montelima</v>
      </c>
    </row>
    <row r="2215" spans="1:12" x14ac:dyDescent="0.3">
      <c r="A2215" s="29" t="str">
        <f>Detalle_OC[[#This Row],[Centro]]&amp;Detalle_OC[[#This Row],[Nom Almacen]]&amp;Detalle_OC[[#This Row],[Material]]&amp;Detalle_OC[[#This Row],[Pedido]]&amp;Detalle_OC[[#This Row],[Posicion]]</f>
        <v>Agricola del Chira PlantaMontelima70132839451156613630</v>
      </c>
      <c r="B2215" t="s">
        <v>151</v>
      </c>
      <c r="C2215" t="s">
        <v>1212</v>
      </c>
      <c r="D2215" s="11">
        <v>45656</v>
      </c>
      <c r="E2215" t="s">
        <v>51</v>
      </c>
      <c r="F2215" t="s">
        <v>12</v>
      </c>
      <c r="G2215">
        <v>70132839</v>
      </c>
      <c r="H2215">
        <v>4511566136</v>
      </c>
      <c r="I2215">
        <v>30</v>
      </c>
      <c r="J2215" s="29">
        <v>1</v>
      </c>
      <c r="K2215" s="29" t="s">
        <v>132</v>
      </c>
      <c r="L2215" t="str">
        <f>IFERROR(VLOOKUP(Detalle_OC[[#This Row],[Centro]]&amp;Detalle_OC[[#This Row],[Nro Almacen]],Almacen!A:D,4,FALSE),"")</f>
        <v>Montelima</v>
      </c>
    </row>
    <row r="2216" spans="1:12" x14ac:dyDescent="0.3">
      <c r="A2216" s="29" t="str">
        <f>Detalle_OC[[#This Row],[Centro]]&amp;Detalle_OC[[#This Row],[Nom Almacen]]&amp;Detalle_OC[[#This Row],[Material]]&amp;Detalle_OC[[#This Row],[Pedido]]&amp;Detalle_OC[[#This Row],[Posicion]]</f>
        <v>Agricola del Chira PlantaMontelima818757451156614210</v>
      </c>
      <c r="B2216" t="s">
        <v>279</v>
      </c>
      <c r="C2216" t="s">
        <v>312</v>
      </c>
      <c r="D2216" s="11">
        <v>45635</v>
      </c>
      <c r="E2216" t="s">
        <v>16</v>
      </c>
      <c r="F2216" t="s">
        <v>12</v>
      </c>
      <c r="G2216">
        <v>818757</v>
      </c>
      <c r="H2216">
        <v>4511566142</v>
      </c>
      <c r="I2216">
        <v>10</v>
      </c>
      <c r="J2216" s="29">
        <v>1</v>
      </c>
      <c r="K2216" s="29" t="s">
        <v>132</v>
      </c>
      <c r="L2216" t="str">
        <f>IFERROR(VLOOKUP(Detalle_OC[[#This Row],[Centro]]&amp;Detalle_OC[[#This Row],[Nro Almacen]],Almacen!A:D,4,FALSE),"")</f>
        <v>Montelima</v>
      </c>
    </row>
    <row r="2217" spans="1:12" x14ac:dyDescent="0.3">
      <c r="A2217" s="29" t="str">
        <f>Detalle_OC[[#This Row],[Centro]]&amp;Detalle_OC[[#This Row],[Nom Almacen]]&amp;Detalle_OC[[#This Row],[Material]]&amp;Detalle_OC[[#This Row],[Pedido]]&amp;Detalle_OC[[#This Row],[Posicion]]</f>
        <v>Agricola del Chira PlantaMontelima841320451156614230</v>
      </c>
      <c r="B2217" t="s">
        <v>279</v>
      </c>
      <c r="C2217" t="s">
        <v>312</v>
      </c>
      <c r="D2217" s="11">
        <v>45635</v>
      </c>
      <c r="E2217" t="s">
        <v>16</v>
      </c>
      <c r="F2217" t="s">
        <v>12</v>
      </c>
      <c r="G2217">
        <v>841320</v>
      </c>
      <c r="H2217">
        <v>4511566142</v>
      </c>
      <c r="I2217">
        <v>30</v>
      </c>
      <c r="J2217" s="29">
        <v>1</v>
      </c>
      <c r="K2217" s="29" t="s">
        <v>132</v>
      </c>
      <c r="L2217" t="str">
        <f>IFERROR(VLOOKUP(Detalle_OC[[#This Row],[Centro]]&amp;Detalle_OC[[#This Row],[Nro Almacen]],Almacen!A:D,4,FALSE),"")</f>
        <v>Montelima</v>
      </c>
    </row>
    <row r="2218" spans="1:12" x14ac:dyDescent="0.3">
      <c r="A2218" s="29" t="str">
        <f>Detalle_OC[[#This Row],[Centro]]&amp;Detalle_OC[[#This Row],[Nom Almacen]]&amp;Detalle_OC[[#This Row],[Material]]&amp;Detalle_OC[[#This Row],[Pedido]]&amp;Detalle_OC[[#This Row],[Posicion]]</f>
        <v>Sucroalcolera del Chira PlantaMontelima70132779451156614410</v>
      </c>
      <c r="B2218" t="s">
        <v>151</v>
      </c>
      <c r="C2218" t="s">
        <v>319</v>
      </c>
      <c r="D2218" s="11">
        <v>45656</v>
      </c>
      <c r="E2218" t="s">
        <v>51</v>
      </c>
      <c r="F2218" t="s">
        <v>85</v>
      </c>
      <c r="G2218">
        <v>70132779</v>
      </c>
      <c r="H2218">
        <v>4511566144</v>
      </c>
      <c r="I2218">
        <v>10</v>
      </c>
      <c r="J2218" s="29">
        <v>1</v>
      </c>
      <c r="K2218" s="29" t="s">
        <v>132</v>
      </c>
      <c r="L2218" t="str">
        <f>IFERROR(VLOOKUP(Detalle_OC[[#This Row],[Centro]]&amp;Detalle_OC[[#This Row],[Nro Almacen]],Almacen!A:D,4,FALSE),"")</f>
        <v>Montelima</v>
      </c>
    </row>
    <row r="2219" spans="1:12" x14ac:dyDescent="0.3">
      <c r="A2219" s="29" t="str">
        <f>Detalle_OC[[#This Row],[Centro]]&amp;Detalle_OC[[#This Row],[Nom Almacen]]&amp;Detalle_OC[[#This Row],[Material]]&amp;Detalle_OC[[#This Row],[Pedido]]&amp;Detalle_OC[[#This Row],[Posicion]]</f>
        <v>Sucroalcolera del Chira PlantaMontelima70132778451156614420</v>
      </c>
      <c r="B2219" t="s">
        <v>151</v>
      </c>
      <c r="C2219" t="s">
        <v>319</v>
      </c>
      <c r="D2219" s="11">
        <v>45656</v>
      </c>
      <c r="E2219" t="s">
        <v>51</v>
      </c>
      <c r="F2219" t="s">
        <v>85</v>
      </c>
      <c r="G2219">
        <v>70132778</v>
      </c>
      <c r="H2219">
        <v>4511566144</v>
      </c>
      <c r="I2219">
        <v>20</v>
      </c>
      <c r="J2219" s="29">
        <v>1</v>
      </c>
      <c r="K2219" s="29" t="s">
        <v>132</v>
      </c>
      <c r="L2219" t="str">
        <f>IFERROR(VLOOKUP(Detalle_OC[[#This Row],[Centro]]&amp;Detalle_OC[[#This Row],[Nro Almacen]],Almacen!A:D,4,FALSE),"")</f>
        <v>Montelima</v>
      </c>
    </row>
    <row r="2220" spans="1:12" x14ac:dyDescent="0.3">
      <c r="A2220" s="29" t="str">
        <f>Detalle_OC[[#This Row],[Centro]]&amp;Detalle_OC[[#This Row],[Nom Almacen]]&amp;Detalle_OC[[#This Row],[Material]]&amp;Detalle_OC[[#This Row],[Pedido]]&amp;Detalle_OC[[#This Row],[Posicion]]</f>
        <v>Agricola del Chira PlantaAlmacen Lobo70061481451156614610</v>
      </c>
      <c r="B2220" t="s">
        <v>289</v>
      </c>
      <c r="C2220" t="s">
        <v>312</v>
      </c>
      <c r="D2220" s="11">
        <v>45635</v>
      </c>
      <c r="E2220" t="s">
        <v>16</v>
      </c>
      <c r="F2220" t="s">
        <v>12</v>
      </c>
      <c r="G2220">
        <v>70061481</v>
      </c>
      <c r="H2220">
        <v>4511566146</v>
      </c>
      <c r="I2220">
        <v>10</v>
      </c>
      <c r="J2220" s="29">
        <v>7</v>
      </c>
      <c r="K2220" s="29" t="s">
        <v>132</v>
      </c>
      <c r="L2220" t="str">
        <f>IFERROR(VLOOKUP(Detalle_OC[[#This Row],[Centro]]&amp;Detalle_OC[[#This Row],[Nro Almacen]],Almacen!A:D,4,FALSE),"")</f>
        <v>Almacen Lobo</v>
      </c>
    </row>
    <row r="2221" spans="1:12" x14ac:dyDescent="0.3">
      <c r="A2221" s="29" t="str">
        <f>Detalle_OC[[#This Row],[Centro]]&amp;Detalle_OC[[#This Row],[Nom Almacen]]&amp;Detalle_OC[[#This Row],[Material]]&amp;Detalle_OC[[#This Row],[Pedido]]&amp;Detalle_OC[[#This Row],[Posicion]]</f>
        <v>Agricola del Chira PlantaAlmacen Lobo70061481451156614620</v>
      </c>
      <c r="B2221" t="s">
        <v>289</v>
      </c>
      <c r="C2221" t="s">
        <v>312</v>
      </c>
      <c r="D2221" s="11">
        <v>45641</v>
      </c>
      <c r="E2221" t="s">
        <v>16</v>
      </c>
      <c r="F2221" t="s">
        <v>12</v>
      </c>
      <c r="G2221">
        <v>70061481</v>
      </c>
      <c r="H2221">
        <v>4511566146</v>
      </c>
      <c r="I2221">
        <v>20</v>
      </c>
      <c r="J2221" s="29">
        <v>7</v>
      </c>
      <c r="K2221" s="29" t="s">
        <v>132</v>
      </c>
      <c r="L2221" t="str">
        <f>IFERROR(VLOOKUP(Detalle_OC[[#This Row],[Centro]]&amp;Detalle_OC[[#This Row],[Nro Almacen]],Almacen!A:D,4,FALSE),"")</f>
        <v>Almacen Lobo</v>
      </c>
    </row>
    <row r="2222" spans="1:12" x14ac:dyDescent="0.3">
      <c r="A2222" s="29" t="str">
        <f>Detalle_OC[[#This Row],[Centro]]&amp;Detalle_OC[[#This Row],[Nom Almacen]]&amp;Detalle_OC[[#This Row],[Material]]&amp;Detalle_OC[[#This Row],[Pedido]]&amp;Detalle_OC[[#This Row],[Posicion]]</f>
        <v>Agricola del Chira PlantaAlmacen Lobo896581451156614630</v>
      </c>
      <c r="B2222" t="s">
        <v>289</v>
      </c>
      <c r="C2222" t="s">
        <v>312</v>
      </c>
      <c r="D2222" s="11">
        <v>45629</v>
      </c>
      <c r="E2222" t="s">
        <v>16</v>
      </c>
      <c r="F2222" t="s">
        <v>12</v>
      </c>
      <c r="G2222">
        <v>896581</v>
      </c>
      <c r="H2222">
        <v>4511566146</v>
      </c>
      <c r="I2222">
        <v>30</v>
      </c>
      <c r="J2222" s="29">
        <v>7</v>
      </c>
      <c r="K2222" s="29" t="s">
        <v>132</v>
      </c>
      <c r="L2222" t="str">
        <f>IFERROR(VLOOKUP(Detalle_OC[[#This Row],[Centro]]&amp;Detalle_OC[[#This Row],[Nro Almacen]],Almacen!A:D,4,FALSE),"")</f>
        <v>Almacen Lobo</v>
      </c>
    </row>
    <row r="2223" spans="1:12" x14ac:dyDescent="0.3">
      <c r="A2223" s="29" t="str">
        <f>Detalle_OC[[#This Row],[Centro]]&amp;Detalle_OC[[#This Row],[Nom Almacen]]&amp;Detalle_OC[[#This Row],[Material]]&amp;Detalle_OC[[#This Row],[Pedido]]&amp;Detalle_OC[[#This Row],[Posicion]]</f>
        <v>Agricola del Chira PlantaAlmacen Lobo896581451156614640</v>
      </c>
      <c r="B2223" t="s">
        <v>289</v>
      </c>
      <c r="C2223" t="s">
        <v>312</v>
      </c>
      <c r="D2223" s="11">
        <v>45635</v>
      </c>
      <c r="E2223" t="s">
        <v>16</v>
      </c>
      <c r="F2223" t="s">
        <v>12</v>
      </c>
      <c r="G2223">
        <v>896581</v>
      </c>
      <c r="H2223">
        <v>4511566146</v>
      </c>
      <c r="I2223">
        <v>40</v>
      </c>
      <c r="J2223" s="29">
        <v>7</v>
      </c>
      <c r="K2223" s="29" t="s">
        <v>132</v>
      </c>
      <c r="L2223" t="str">
        <f>IFERROR(VLOOKUP(Detalle_OC[[#This Row],[Centro]]&amp;Detalle_OC[[#This Row],[Nro Almacen]],Almacen!A:D,4,FALSE),"")</f>
        <v>Almacen Lobo</v>
      </c>
    </row>
    <row r="2224" spans="1:12" x14ac:dyDescent="0.3">
      <c r="A2224" s="29" t="str">
        <f>Detalle_OC[[#This Row],[Centro]]&amp;Detalle_OC[[#This Row],[Nom Almacen]]&amp;Detalle_OC[[#This Row],[Material]]&amp;Detalle_OC[[#This Row],[Pedido]]&amp;Detalle_OC[[#This Row],[Posicion]]</f>
        <v>Agricola del Chira PlantaAlmacen Lobo818757451156614650</v>
      </c>
      <c r="B2224" t="s">
        <v>289</v>
      </c>
      <c r="C2224" t="s">
        <v>312</v>
      </c>
      <c r="D2224" s="11">
        <v>45625</v>
      </c>
      <c r="E2224" t="s">
        <v>16</v>
      </c>
      <c r="F2224" t="s">
        <v>12</v>
      </c>
      <c r="G2224">
        <v>818757</v>
      </c>
      <c r="H2224">
        <v>4511566146</v>
      </c>
      <c r="I2224">
        <v>50</v>
      </c>
      <c r="J2224" s="29">
        <v>7</v>
      </c>
      <c r="K2224" s="29" t="s">
        <v>132</v>
      </c>
      <c r="L2224" t="str">
        <f>IFERROR(VLOOKUP(Detalle_OC[[#This Row],[Centro]]&amp;Detalle_OC[[#This Row],[Nro Almacen]],Almacen!A:D,4,FALSE),"")</f>
        <v>Almacen Lobo</v>
      </c>
    </row>
    <row r="2225" spans="1:12" x14ac:dyDescent="0.3">
      <c r="A2225" s="29" t="str">
        <f>Detalle_OC[[#This Row],[Centro]]&amp;Detalle_OC[[#This Row],[Nom Almacen]]&amp;Detalle_OC[[#This Row],[Material]]&amp;Detalle_OC[[#This Row],[Pedido]]&amp;Detalle_OC[[#This Row],[Posicion]]</f>
        <v>Agricola del Chira PlantaMontelima70048232451156615410</v>
      </c>
      <c r="B2225" t="s">
        <v>15</v>
      </c>
      <c r="C2225" t="s">
        <v>298</v>
      </c>
      <c r="D2225" s="11">
        <v>45656</v>
      </c>
      <c r="E2225" t="s">
        <v>16</v>
      </c>
      <c r="F2225" t="s">
        <v>12</v>
      </c>
      <c r="G2225">
        <v>70048232</v>
      </c>
      <c r="H2225">
        <v>4511566154</v>
      </c>
      <c r="I2225">
        <v>10</v>
      </c>
      <c r="J2225" s="29">
        <v>1</v>
      </c>
      <c r="K2225" s="29" t="s">
        <v>132</v>
      </c>
      <c r="L2225" t="str">
        <f>IFERROR(VLOOKUP(Detalle_OC[[#This Row],[Centro]]&amp;Detalle_OC[[#This Row],[Nro Almacen]],Almacen!A:D,4,FALSE),"")</f>
        <v>Montelima</v>
      </c>
    </row>
    <row r="2226" spans="1:12" x14ac:dyDescent="0.3">
      <c r="A2226" s="29" t="str">
        <f>Detalle_OC[[#This Row],[Centro]]&amp;Detalle_OC[[#This Row],[Nom Almacen]]&amp;Detalle_OC[[#This Row],[Material]]&amp;Detalle_OC[[#This Row],[Pedido]]&amp;Detalle_OC[[#This Row],[Posicion]]</f>
        <v>Agricola del Chira PlantaMontelima801459451156620810</v>
      </c>
      <c r="B2226" t="s">
        <v>149</v>
      </c>
      <c r="C2226" t="s">
        <v>1190</v>
      </c>
      <c r="D2226" s="11">
        <v>45635</v>
      </c>
      <c r="E2226" t="s">
        <v>16</v>
      </c>
      <c r="F2226" t="s">
        <v>12</v>
      </c>
      <c r="G2226">
        <v>801459</v>
      </c>
      <c r="H2226">
        <v>4511566208</v>
      </c>
      <c r="I2226">
        <v>10</v>
      </c>
      <c r="J2226" s="29">
        <v>1</v>
      </c>
      <c r="K2226" s="29" t="s">
        <v>132</v>
      </c>
      <c r="L2226" t="str">
        <f>IFERROR(VLOOKUP(Detalle_OC[[#This Row],[Centro]]&amp;Detalle_OC[[#This Row],[Nro Almacen]],Almacen!A:D,4,FALSE),"")</f>
        <v>Montelima</v>
      </c>
    </row>
    <row r="2227" spans="1:12" x14ac:dyDescent="0.3">
      <c r="A2227" s="29" t="str">
        <f>Detalle_OC[[#This Row],[Centro]]&amp;Detalle_OC[[#This Row],[Nom Almacen]]&amp;Detalle_OC[[#This Row],[Material]]&amp;Detalle_OC[[#This Row],[Pedido]]&amp;Detalle_OC[[#This Row],[Posicion]]</f>
        <v>Agricola del Chira PlantaMontelima818075451156620820</v>
      </c>
      <c r="B2227" t="s">
        <v>149</v>
      </c>
      <c r="C2227" t="s">
        <v>1190</v>
      </c>
      <c r="D2227" s="11">
        <v>45586</v>
      </c>
      <c r="E2227" t="s">
        <v>16</v>
      </c>
      <c r="F2227" t="s">
        <v>12</v>
      </c>
      <c r="G2227">
        <v>818075</v>
      </c>
      <c r="H2227">
        <v>4511566208</v>
      </c>
      <c r="I2227">
        <v>20</v>
      </c>
      <c r="J2227" s="29">
        <v>1</v>
      </c>
      <c r="K2227" s="29" t="s">
        <v>132</v>
      </c>
      <c r="L2227" t="str">
        <f>IFERROR(VLOOKUP(Detalle_OC[[#This Row],[Centro]]&amp;Detalle_OC[[#This Row],[Nro Almacen]],Almacen!A:D,4,FALSE),"")</f>
        <v>Montelima</v>
      </c>
    </row>
    <row r="2228" spans="1:12" x14ac:dyDescent="0.3">
      <c r="A2228" s="29" t="str">
        <f>Detalle_OC[[#This Row],[Centro]]&amp;Detalle_OC[[#This Row],[Nom Almacen]]&amp;Detalle_OC[[#This Row],[Material]]&amp;Detalle_OC[[#This Row],[Pedido]]&amp;Detalle_OC[[#This Row],[Posicion]]</f>
        <v>Agricola del Chira PlantaMontelima70053266451156620830</v>
      </c>
      <c r="B2228" t="s">
        <v>188</v>
      </c>
      <c r="C2228" t="s">
        <v>1190</v>
      </c>
      <c r="D2228" s="11">
        <v>45635</v>
      </c>
      <c r="E2228" t="s">
        <v>16</v>
      </c>
      <c r="F2228" t="s">
        <v>12</v>
      </c>
      <c r="G2228">
        <v>70053266</v>
      </c>
      <c r="H2228">
        <v>4511566208</v>
      </c>
      <c r="I2228">
        <v>30</v>
      </c>
      <c r="J2228" s="29">
        <v>1</v>
      </c>
      <c r="K2228" s="29" t="s">
        <v>132</v>
      </c>
      <c r="L2228" t="str">
        <f>IFERROR(VLOOKUP(Detalle_OC[[#This Row],[Centro]]&amp;Detalle_OC[[#This Row],[Nro Almacen]],Almacen!A:D,4,FALSE),"")</f>
        <v>Montelima</v>
      </c>
    </row>
    <row r="2229" spans="1:12" x14ac:dyDescent="0.3">
      <c r="A2229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2229" t="s">
        <v>28</v>
      </c>
      <c r="C2229" t="s">
        <v>94</v>
      </c>
      <c r="D2229" s="11">
        <v>45568</v>
      </c>
      <c r="E2229" t="s">
        <v>16</v>
      </c>
      <c r="F2229" t="s">
        <v>85</v>
      </c>
      <c r="G2229" t="s">
        <v>95</v>
      </c>
      <c r="H2229">
        <v>5500024746</v>
      </c>
      <c r="I2229">
        <v>10</v>
      </c>
      <c r="J2229" s="29">
        <v>1</v>
      </c>
      <c r="K2229" s="29" t="s">
        <v>132</v>
      </c>
      <c r="L2229" t="str">
        <f>IFERROR(VLOOKUP(Detalle_OC[[#This Row],[Centro]]&amp;Detalle_OC[[#This Row],[Nro Almacen]],Almacen!A:D,4,FALSE),"")</f>
        <v>Montelima</v>
      </c>
    </row>
    <row r="2230" spans="1:12" x14ac:dyDescent="0.3">
      <c r="A2230" s="29" t="str">
        <f>Detalle_OC[[#This Row],[Centro]]&amp;Detalle_OC[[#This Row],[Nom Almacen]]&amp;Detalle_OC[[#This Row],[Material]]&amp;Detalle_OC[[#This Row],[Pedido]]&amp;Detalle_OC[[#This Row],[Posicion]]</f>
        <v>Agricola del Chira PlantaMontelima70074657451156600870</v>
      </c>
      <c r="B2230" t="s">
        <v>200</v>
      </c>
      <c r="C2230" t="s">
        <v>1203</v>
      </c>
      <c r="D2230" s="11">
        <v>45618</v>
      </c>
      <c r="E2230" t="s">
        <v>48</v>
      </c>
      <c r="F2230" t="s">
        <v>12</v>
      </c>
      <c r="G2230">
        <v>70074657</v>
      </c>
      <c r="H2230">
        <v>4511566008</v>
      </c>
      <c r="I2230">
        <v>70</v>
      </c>
      <c r="J2230" s="29">
        <v>1</v>
      </c>
      <c r="K2230" s="29" t="s">
        <v>133</v>
      </c>
      <c r="L2230" t="str">
        <f>IFERROR(VLOOKUP(Detalle_OC[[#This Row],[Centro]]&amp;Detalle_OC[[#This Row],[Nro Almacen]],Almacen!A:D,4,FALSE),"")</f>
        <v>Montelima</v>
      </c>
    </row>
    <row r="2231" spans="1:12" x14ac:dyDescent="0.3">
      <c r="A2231" s="29" t="str">
        <f>Detalle_OC[[#This Row],[Centro]]&amp;Detalle_OC[[#This Row],[Nom Almacen]]&amp;Detalle_OC[[#This Row],[Material]]&amp;Detalle_OC[[#This Row],[Pedido]]&amp;Detalle_OC[[#This Row],[Posicion]]</f>
        <v>Agricola del Chira PlantaMontelima70074657451156600880</v>
      </c>
      <c r="B2231" t="s">
        <v>200</v>
      </c>
      <c r="C2231" t="s">
        <v>1203</v>
      </c>
      <c r="D2231" s="11">
        <v>45618</v>
      </c>
      <c r="E2231" t="s">
        <v>48</v>
      </c>
      <c r="F2231" t="s">
        <v>12</v>
      </c>
      <c r="G2231">
        <v>70074657</v>
      </c>
      <c r="H2231">
        <v>4511566008</v>
      </c>
      <c r="I2231">
        <v>80</v>
      </c>
      <c r="J2231" s="29">
        <v>1</v>
      </c>
      <c r="K2231" s="29" t="s">
        <v>133</v>
      </c>
      <c r="L2231" t="str">
        <f>IFERROR(VLOOKUP(Detalle_OC[[#This Row],[Centro]]&amp;Detalle_OC[[#This Row],[Nro Almacen]],Almacen!A:D,4,FALSE),"")</f>
        <v>Montelima</v>
      </c>
    </row>
    <row r="2232" spans="1:12" x14ac:dyDescent="0.3">
      <c r="A2232" s="29" t="str">
        <f>Detalle_OC[[#This Row],[Centro]]&amp;Detalle_OC[[#This Row],[Nom Almacen]]&amp;Detalle_OC[[#This Row],[Material]]&amp;Detalle_OC[[#This Row],[Pedido]]&amp;Detalle_OC[[#This Row],[Posicion]]</f>
        <v>Agricola del Chira PlantaMontelima70074657451156600890</v>
      </c>
      <c r="B2232" t="s">
        <v>200</v>
      </c>
      <c r="C2232" t="s">
        <v>1203</v>
      </c>
      <c r="D2232" s="11">
        <v>45618</v>
      </c>
      <c r="E2232" t="s">
        <v>48</v>
      </c>
      <c r="F2232" t="s">
        <v>12</v>
      </c>
      <c r="G2232">
        <v>70074657</v>
      </c>
      <c r="H2232">
        <v>4511566008</v>
      </c>
      <c r="I2232">
        <v>90</v>
      </c>
      <c r="J2232" s="29">
        <v>1</v>
      </c>
      <c r="K2232" s="29" t="s">
        <v>133</v>
      </c>
      <c r="L2232" t="str">
        <f>IFERROR(VLOOKUP(Detalle_OC[[#This Row],[Centro]]&amp;Detalle_OC[[#This Row],[Nro Almacen]],Almacen!A:D,4,FALSE),"")</f>
        <v>Montelima</v>
      </c>
    </row>
    <row r="2233" spans="1:12" x14ac:dyDescent="0.3">
      <c r="A2233" s="29" t="str">
        <f>Detalle_OC[[#This Row],[Centro]]&amp;Detalle_OC[[#This Row],[Nom Almacen]]&amp;Detalle_OC[[#This Row],[Material]]&amp;Detalle_OC[[#This Row],[Pedido]]&amp;Detalle_OC[[#This Row],[Posicion]]</f>
        <v>Agricola del Chira PlantaMontelima700746574511566008100</v>
      </c>
      <c r="B2233" t="s">
        <v>200</v>
      </c>
      <c r="C2233" t="s">
        <v>1203</v>
      </c>
      <c r="D2233" s="11">
        <v>45618</v>
      </c>
      <c r="E2233" t="s">
        <v>48</v>
      </c>
      <c r="F2233" t="s">
        <v>12</v>
      </c>
      <c r="G2233">
        <v>70074657</v>
      </c>
      <c r="H2233">
        <v>4511566008</v>
      </c>
      <c r="I2233">
        <v>100</v>
      </c>
      <c r="J2233" s="29">
        <v>1</v>
      </c>
      <c r="K2233" s="29" t="s">
        <v>133</v>
      </c>
      <c r="L2233" t="str">
        <f>IFERROR(VLOOKUP(Detalle_OC[[#This Row],[Centro]]&amp;Detalle_OC[[#This Row],[Nro Almacen]],Almacen!A:D,4,FALSE),"")</f>
        <v>Montelima</v>
      </c>
    </row>
    <row r="2234" spans="1:12" x14ac:dyDescent="0.3">
      <c r="A2234" s="29" t="str">
        <f>Detalle_OC[[#This Row],[Centro]]&amp;Detalle_OC[[#This Row],[Nom Almacen]]&amp;Detalle_OC[[#This Row],[Material]]&amp;Detalle_OC[[#This Row],[Pedido]]&amp;Detalle_OC[[#This Row],[Posicion]]</f>
        <v>Agricola del Chira PlantaMontelima700746574511566008110</v>
      </c>
      <c r="B2234" t="s">
        <v>200</v>
      </c>
      <c r="C2234" t="s">
        <v>1203</v>
      </c>
      <c r="D2234" s="11">
        <v>45618</v>
      </c>
      <c r="E2234" t="s">
        <v>48</v>
      </c>
      <c r="F2234" t="s">
        <v>12</v>
      </c>
      <c r="G2234">
        <v>70074657</v>
      </c>
      <c r="H2234">
        <v>4511566008</v>
      </c>
      <c r="I2234">
        <v>110</v>
      </c>
      <c r="J2234" s="29">
        <v>1</v>
      </c>
      <c r="K2234" s="29" t="s">
        <v>133</v>
      </c>
      <c r="L2234" t="str">
        <f>IFERROR(VLOOKUP(Detalle_OC[[#This Row],[Centro]]&amp;Detalle_OC[[#This Row],[Nro Almacen]],Almacen!A:D,4,FALSE),"")</f>
        <v>Montelima</v>
      </c>
    </row>
    <row r="2235" spans="1:12" x14ac:dyDescent="0.3">
      <c r="A2235" s="29" t="str">
        <f>Detalle_OC[[#This Row],[Centro]]&amp;Detalle_OC[[#This Row],[Nom Almacen]]&amp;Detalle_OC[[#This Row],[Material]]&amp;Detalle_OC[[#This Row],[Pedido]]&amp;Detalle_OC[[#This Row],[Posicion]]</f>
        <v>Agricola del Chira PlantaMontelima700746574511566008120</v>
      </c>
      <c r="B2235" t="s">
        <v>200</v>
      </c>
      <c r="C2235" t="s">
        <v>1203</v>
      </c>
      <c r="D2235" s="11">
        <v>45618</v>
      </c>
      <c r="E2235" t="s">
        <v>48</v>
      </c>
      <c r="F2235" t="s">
        <v>12</v>
      </c>
      <c r="G2235">
        <v>70074657</v>
      </c>
      <c r="H2235">
        <v>4511566008</v>
      </c>
      <c r="I2235">
        <v>120</v>
      </c>
      <c r="J2235" s="29">
        <v>1</v>
      </c>
      <c r="K2235" s="29" t="s">
        <v>133</v>
      </c>
      <c r="L2235" t="str">
        <f>IFERROR(VLOOKUP(Detalle_OC[[#This Row],[Centro]]&amp;Detalle_OC[[#This Row],[Nro Almacen]],Almacen!A:D,4,FALSE),"")</f>
        <v>Montelima</v>
      </c>
    </row>
    <row r="2236" spans="1:12" x14ac:dyDescent="0.3">
      <c r="A2236" s="29" t="str">
        <f>Detalle_OC[[#This Row],[Centro]]&amp;Detalle_OC[[#This Row],[Nom Almacen]]&amp;Detalle_OC[[#This Row],[Material]]&amp;Detalle_OC[[#This Row],[Pedido]]&amp;Detalle_OC[[#This Row],[Posicion]]</f>
        <v>Agricola del Chira PlantaMontelima700746624511566008130</v>
      </c>
      <c r="B2236" t="s">
        <v>200</v>
      </c>
      <c r="C2236" t="s">
        <v>1203</v>
      </c>
      <c r="D2236" s="11">
        <v>45618</v>
      </c>
      <c r="E2236" t="s">
        <v>48</v>
      </c>
      <c r="F2236" t="s">
        <v>12</v>
      </c>
      <c r="G2236">
        <v>70074662</v>
      </c>
      <c r="H2236">
        <v>4511566008</v>
      </c>
      <c r="I2236">
        <v>130</v>
      </c>
      <c r="J2236" s="29">
        <v>1</v>
      </c>
      <c r="K2236" s="29" t="s">
        <v>133</v>
      </c>
      <c r="L2236" t="str">
        <f>IFERROR(VLOOKUP(Detalle_OC[[#This Row],[Centro]]&amp;Detalle_OC[[#This Row],[Nro Almacen]],Almacen!A:D,4,FALSE),"")</f>
        <v>Montelima</v>
      </c>
    </row>
    <row r="2237" spans="1:12" x14ac:dyDescent="0.3">
      <c r="A2237" s="29" t="str">
        <f>Detalle_OC[[#This Row],[Centro]]&amp;Detalle_OC[[#This Row],[Nom Almacen]]&amp;Detalle_OC[[#This Row],[Material]]&amp;Detalle_OC[[#This Row],[Pedido]]&amp;Detalle_OC[[#This Row],[Posicion]]</f>
        <v>Agricola del Chira PlantaMontelima700746624511566008140</v>
      </c>
      <c r="B2237" t="s">
        <v>200</v>
      </c>
      <c r="C2237" t="s">
        <v>1203</v>
      </c>
      <c r="D2237" s="11">
        <v>45618</v>
      </c>
      <c r="E2237" t="s">
        <v>48</v>
      </c>
      <c r="F2237" t="s">
        <v>12</v>
      </c>
      <c r="G2237">
        <v>70074662</v>
      </c>
      <c r="H2237">
        <v>4511566008</v>
      </c>
      <c r="I2237">
        <v>140</v>
      </c>
      <c r="J2237" s="29">
        <v>1</v>
      </c>
      <c r="K2237" s="29" t="s">
        <v>133</v>
      </c>
      <c r="L2237" t="str">
        <f>IFERROR(VLOOKUP(Detalle_OC[[#This Row],[Centro]]&amp;Detalle_OC[[#This Row],[Nro Almacen]],Almacen!A:D,4,FALSE),"")</f>
        <v>Montelima</v>
      </c>
    </row>
    <row r="2238" spans="1:12" x14ac:dyDescent="0.3">
      <c r="A2238" s="29" t="str">
        <f>Detalle_OC[[#This Row],[Centro]]&amp;Detalle_OC[[#This Row],[Nom Almacen]]&amp;Detalle_OC[[#This Row],[Material]]&amp;Detalle_OC[[#This Row],[Pedido]]&amp;Detalle_OC[[#This Row],[Posicion]]</f>
        <v>Agricola del Chira PlantaMontelima700746624511566008150</v>
      </c>
      <c r="B2238" t="s">
        <v>200</v>
      </c>
      <c r="C2238" t="s">
        <v>1203</v>
      </c>
      <c r="D2238" s="11">
        <v>45618</v>
      </c>
      <c r="E2238" t="s">
        <v>48</v>
      </c>
      <c r="F2238" t="s">
        <v>12</v>
      </c>
      <c r="G2238">
        <v>70074662</v>
      </c>
      <c r="H2238">
        <v>4511566008</v>
      </c>
      <c r="I2238">
        <v>150</v>
      </c>
      <c r="J2238" s="29">
        <v>1</v>
      </c>
      <c r="K2238" s="29" t="s">
        <v>133</v>
      </c>
      <c r="L2238" t="str">
        <f>IFERROR(VLOOKUP(Detalle_OC[[#This Row],[Centro]]&amp;Detalle_OC[[#This Row],[Nro Almacen]],Almacen!A:D,4,FALSE),"")</f>
        <v>Montelima</v>
      </c>
    </row>
    <row r="2239" spans="1:12" x14ac:dyDescent="0.3">
      <c r="A2239" s="29" t="str">
        <f>Detalle_OC[[#This Row],[Centro]]&amp;Detalle_OC[[#This Row],[Nom Almacen]]&amp;Detalle_OC[[#This Row],[Material]]&amp;Detalle_OC[[#This Row],[Pedido]]&amp;Detalle_OC[[#This Row],[Posicion]]</f>
        <v>Agricola del Chira PlantaMontelima700746624511566008160</v>
      </c>
      <c r="B2239" t="s">
        <v>200</v>
      </c>
      <c r="C2239" t="s">
        <v>1203</v>
      </c>
      <c r="D2239" s="11">
        <v>45618</v>
      </c>
      <c r="E2239" t="s">
        <v>48</v>
      </c>
      <c r="F2239" t="s">
        <v>12</v>
      </c>
      <c r="G2239">
        <v>70074662</v>
      </c>
      <c r="H2239">
        <v>4511566008</v>
      </c>
      <c r="I2239">
        <v>160</v>
      </c>
      <c r="J2239" s="29">
        <v>1</v>
      </c>
      <c r="K2239" s="29" t="s">
        <v>133</v>
      </c>
      <c r="L2239" t="str">
        <f>IFERROR(VLOOKUP(Detalle_OC[[#This Row],[Centro]]&amp;Detalle_OC[[#This Row],[Nro Almacen]],Almacen!A:D,4,FALSE),"")</f>
        <v>Montelima</v>
      </c>
    </row>
    <row r="2240" spans="1:12" x14ac:dyDescent="0.3">
      <c r="A2240" s="29" t="str">
        <f>Detalle_OC[[#This Row],[Centro]]&amp;Detalle_OC[[#This Row],[Nom Almacen]]&amp;Detalle_OC[[#This Row],[Material]]&amp;Detalle_OC[[#This Row],[Pedido]]&amp;Detalle_OC[[#This Row],[Posicion]]</f>
        <v>Agricola del Chira PlantaMontelima700746624511566008170</v>
      </c>
      <c r="B2240" t="s">
        <v>200</v>
      </c>
      <c r="C2240" t="s">
        <v>1203</v>
      </c>
      <c r="D2240" s="11">
        <v>45618</v>
      </c>
      <c r="E2240" t="s">
        <v>48</v>
      </c>
      <c r="F2240" t="s">
        <v>12</v>
      </c>
      <c r="G2240">
        <v>70074662</v>
      </c>
      <c r="H2240">
        <v>4511566008</v>
      </c>
      <c r="I2240">
        <v>170</v>
      </c>
      <c r="J2240" s="29">
        <v>1</v>
      </c>
      <c r="K2240" s="29" t="s">
        <v>133</v>
      </c>
      <c r="L2240" t="str">
        <f>IFERROR(VLOOKUP(Detalle_OC[[#This Row],[Centro]]&amp;Detalle_OC[[#This Row],[Nro Almacen]],Almacen!A:D,4,FALSE),"")</f>
        <v>Montelima</v>
      </c>
    </row>
    <row r="2241" spans="1:12" x14ac:dyDescent="0.3">
      <c r="A2241" s="29" t="str">
        <f>Detalle_OC[[#This Row],[Centro]]&amp;Detalle_OC[[#This Row],[Nom Almacen]]&amp;Detalle_OC[[#This Row],[Material]]&amp;Detalle_OC[[#This Row],[Pedido]]&amp;Detalle_OC[[#This Row],[Posicion]]</f>
        <v>Agricola del Chira PlantaMontelima700746624511566008180</v>
      </c>
      <c r="B2241" t="s">
        <v>200</v>
      </c>
      <c r="C2241" t="s">
        <v>1203</v>
      </c>
      <c r="D2241" s="11">
        <v>45618</v>
      </c>
      <c r="E2241" t="s">
        <v>48</v>
      </c>
      <c r="F2241" t="s">
        <v>12</v>
      </c>
      <c r="G2241">
        <v>70074662</v>
      </c>
      <c r="H2241">
        <v>4511566008</v>
      </c>
      <c r="I2241">
        <v>180</v>
      </c>
      <c r="J2241" s="29">
        <v>1</v>
      </c>
      <c r="K2241" s="29" t="s">
        <v>133</v>
      </c>
      <c r="L2241" t="str">
        <f>IFERROR(VLOOKUP(Detalle_OC[[#This Row],[Centro]]&amp;Detalle_OC[[#This Row],[Nro Almacen]],Almacen!A:D,4,FALSE),"")</f>
        <v>Montelima</v>
      </c>
    </row>
    <row r="2242" spans="1:12" x14ac:dyDescent="0.3">
      <c r="A2242" s="29" t="str">
        <f>Detalle_OC[[#This Row],[Centro]]&amp;Detalle_OC[[#This Row],[Nom Almacen]]&amp;Detalle_OC[[#This Row],[Material]]&amp;Detalle_OC[[#This Row],[Pedido]]&amp;Detalle_OC[[#This Row],[Posicion]]</f>
        <v>Agricola del Chira PlantaMontelima700746634511566008220</v>
      </c>
      <c r="B2242" t="s">
        <v>200</v>
      </c>
      <c r="C2242" t="s">
        <v>1203</v>
      </c>
      <c r="D2242" s="11">
        <v>45618</v>
      </c>
      <c r="E2242" t="s">
        <v>48</v>
      </c>
      <c r="F2242" t="s">
        <v>12</v>
      </c>
      <c r="G2242">
        <v>70074663</v>
      </c>
      <c r="H2242">
        <v>4511566008</v>
      </c>
      <c r="I2242">
        <v>220</v>
      </c>
      <c r="J2242" s="29">
        <v>1</v>
      </c>
      <c r="K2242" s="29" t="s">
        <v>133</v>
      </c>
      <c r="L2242" t="str">
        <f>IFERROR(VLOOKUP(Detalle_OC[[#This Row],[Centro]]&amp;Detalle_OC[[#This Row],[Nro Almacen]],Almacen!A:D,4,FALSE),"")</f>
        <v>Montelima</v>
      </c>
    </row>
    <row r="2243" spans="1:12" x14ac:dyDescent="0.3">
      <c r="A2243" s="29" t="str">
        <f>Detalle_OC[[#This Row],[Centro]]&amp;Detalle_OC[[#This Row],[Nom Almacen]]&amp;Detalle_OC[[#This Row],[Material]]&amp;Detalle_OC[[#This Row],[Pedido]]&amp;Detalle_OC[[#This Row],[Posicion]]</f>
        <v>Agricola del Chira PlantaMontelima700746634511566008240</v>
      </c>
      <c r="B2243" t="s">
        <v>200</v>
      </c>
      <c r="C2243" t="s">
        <v>1203</v>
      </c>
      <c r="D2243" s="11">
        <v>45618</v>
      </c>
      <c r="E2243" t="s">
        <v>48</v>
      </c>
      <c r="F2243" t="s">
        <v>12</v>
      </c>
      <c r="G2243">
        <v>70074663</v>
      </c>
      <c r="H2243">
        <v>4511566008</v>
      </c>
      <c r="I2243">
        <v>240</v>
      </c>
      <c r="J2243" s="29">
        <v>1</v>
      </c>
      <c r="K2243" s="29" t="s">
        <v>133</v>
      </c>
      <c r="L2243" t="str">
        <f>IFERROR(VLOOKUP(Detalle_OC[[#This Row],[Centro]]&amp;Detalle_OC[[#This Row],[Nro Almacen]],Almacen!A:D,4,FALSE),"")</f>
        <v>Montelima</v>
      </c>
    </row>
    <row r="2244" spans="1:12" x14ac:dyDescent="0.3">
      <c r="A2244" s="29" t="str">
        <f>Detalle_OC[[#This Row],[Centro]]&amp;Detalle_OC[[#This Row],[Nom Almacen]]&amp;Detalle_OC[[#This Row],[Material]]&amp;Detalle_OC[[#This Row],[Pedido]]&amp;Detalle_OC[[#This Row],[Posicion]]</f>
        <v>Agricola del Chira PlantaMontelima700746654511566008250</v>
      </c>
      <c r="B2244" t="s">
        <v>200</v>
      </c>
      <c r="C2244" t="s">
        <v>1203</v>
      </c>
      <c r="D2244" s="11">
        <v>45618</v>
      </c>
      <c r="E2244" t="s">
        <v>48</v>
      </c>
      <c r="F2244" t="s">
        <v>12</v>
      </c>
      <c r="G2244">
        <v>70074665</v>
      </c>
      <c r="H2244">
        <v>4511566008</v>
      </c>
      <c r="I2244">
        <v>250</v>
      </c>
      <c r="J2244" s="29">
        <v>1</v>
      </c>
      <c r="K2244" s="29" t="s">
        <v>133</v>
      </c>
      <c r="L2244" t="str">
        <f>IFERROR(VLOOKUP(Detalle_OC[[#This Row],[Centro]]&amp;Detalle_OC[[#This Row],[Nro Almacen]],Almacen!A:D,4,FALSE),"")</f>
        <v>Montelima</v>
      </c>
    </row>
    <row r="2245" spans="1:12" x14ac:dyDescent="0.3">
      <c r="A2245" s="29" t="str">
        <f>Detalle_OC[[#This Row],[Centro]]&amp;Detalle_OC[[#This Row],[Nom Almacen]]&amp;Detalle_OC[[#This Row],[Material]]&amp;Detalle_OC[[#This Row],[Pedido]]&amp;Detalle_OC[[#This Row],[Posicion]]</f>
        <v>Agricola del Chira PlantaMontelima700746654511566008260</v>
      </c>
      <c r="B2245" t="s">
        <v>200</v>
      </c>
      <c r="C2245" t="s">
        <v>1203</v>
      </c>
      <c r="D2245" s="11">
        <v>45618</v>
      </c>
      <c r="E2245" t="s">
        <v>48</v>
      </c>
      <c r="F2245" t="s">
        <v>12</v>
      </c>
      <c r="G2245">
        <v>70074665</v>
      </c>
      <c r="H2245">
        <v>4511566008</v>
      </c>
      <c r="I2245">
        <v>260</v>
      </c>
      <c r="J2245" s="29">
        <v>1</v>
      </c>
      <c r="K2245" s="29" t="s">
        <v>133</v>
      </c>
      <c r="L2245" t="str">
        <f>IFERROR(VLOOKUP(Detalle_OC[[#This Row],[Centro]]&amp;Detalle_OC[[#This Row],[Nro Almacen]],Almacen!A:D,4,FALSE),"")</f>
        <v>Montelima</v>
      </c>
    </row>
    <row r="2246" spans="1:12" x14ac:dyDescent="0.3">
      <c r="A2246" s="29" t="str">
        <f>Detalle_OC[[#This Row],[Centro]]&amp;Detalle_OC[[#This Row],[Nom Almacen]]&amp;Detalle_OC[[#This Row],[Material]]&amp;Detalle_OC[[#This Row],[Pedido]]&amp;Detalle_OC[[#This Row],[Posicion]]</f>
        <v>Agricola del Chira PlantaMontelima700746654511566008270</v>
      </c>
      <c r="B2246" t="s">
        <v>200</v>
      </c>
      <c r="C2246" t="s">
        <v>1203</v>
      </c>
      <c r="D2246" s="11">
        <v>45618</v>
      </c>
      <c r="E2246" t="s">
        <v>48</v>
      </c>
      <c r="F2246" t="s">
        <v>12</v>
      </c>
      <c r="G2246">
        <v>70074665</v>
      </c>
      <c r="H2246">
        <v>4511566008</v>
      </c>
      <c r="I2246">
        <v>270</v>
      </c>
      <c r="J2246" s="29">
        <v>1</v>
      </c>
      <c r="K2246" s="29" t="s">
        <v>133</v>
      </c>
      <c r="L2246" t="str">
        <f>IFERROR(VLOOKUP(Detalle_OC[[#This Row],[Centro]]&amp;Detalle_OC[[#This Row],[Nro Almacen]],Almacen!A:D,4,FALSE),"")</f>
        <v>Montelima</v>
      </c>
    </row>
    <row r="2247" spans="1:12" x14ac:dyDescent="0.3">
      <c r="A2247" s="29" t="str">
        <f>Detalle_OC[[#This Row],[Centro]]&amp;Detalle_OC[[#This Row],[Nom Almacen]]&amp;Detalle_OC[[#This Row],[Material]]&amp;Detalle_OC[[#This Row],[Pedido]]&amp;Detalle_OC[[#This Row],[Posicion]]</f>
        <v>Agricola del Chira PlantaMontelima700746654511566008280</v>
      </c>
      <c r="B2247" t="s">
        <v>200</v>
      </c>
      <c r="C2247" t="s">
        <v>1203</v>
      </c>
      <c r="D2247" s="11">
        <v>45618</v>
      </c>
      <c r="E2247" t="s">
        <v>48</v>
      </c>
      <c r="F2247" t="s">
        <v>12</v>
      </c>
      <c r="G2247">
        <v>70074665</v>
      </c>
      <c r="H2247">
        <v>4511566008</v>
      </c>
      <c r="I2247">
        <v>280</v>
      </c>
      <c r="J2247" s="29">
        <v>1</v>
      </c>
      <c r="K2247" s="29" t="s">
        <v>133</v>
      </c>
      <c r="L2247" t="str">
        <f>IFERROR(VLOOKUP(Detalle_OC[[#This Row],[Centro]]&amp;Detalle_OC[[#This Row],[Nro Almacen]],Almacen!A:D,4,FALSE),"")</f>
        <v>Montelima</v>
      </c>
    </row>
    <row r="2248" spans="1:12" x14ac:dyDescent="0.3">
      <c r="A2248" s="29" t="str">
        <f>Detalle_OC[[#This Row],[Centro]]&amp;Detalle_OC[[#This Row],[Nom Almacen]]&amp;Detalle_OC[[#This Row],[Material]]&amp;Detalle_OC[[#This Row],[Pedido]]&amp;Detalle_OC[[#This Row],[Posicion]]</f>
        <v>Agricola del Chira PlantaMontelima700746654511566008290</v>
      </c>
      <c r="B2248" t="s">
        <v>200</v>
      </c>
      <c r="C2248" t="s">
        <v>1203</v>
      </c>
      <c r="D2248" s="11">
        <v>45618</v>
      </c>
      <c r="E2248" t="s">
        <v>48</v>
      </c>
      <c r="F2248" t="s">
        <v>12</v>
      </c>
      <c r="G2248">
        <v>70074665</v>
      </c>
      <c r="H2248">
        <v>4511566008</v>
      </c>
      <c r="I2248">
        <v>290</v>
      </c>
      <c r="J2248" s="29">
        <v>1</v>
      </c>
      <c r="K2248" s="29" t="s">
        <v>133</v>
      </c>
      <c r="L2248" t="str">
        <f>IFERROR(VLOOKUP(Detalle_OC[[#This Row],[Centro]]&amp;Detalle_OC[[#This Row],[Nro Almacen]],Almacen!A:D,4,FALSE),"")</f>
        <v>Montelima</v>
      </c>
    </row>
    <row r="2249" spans="1:12" x14ac:dyDescent="0.3">
      <c r="A2249" s="29" t="str">
        <f>Detalle_OC[[#This Row],[Centro]]&amp;Detalle_OC[[#This Row],[Nom Almacen]]&amp;Detalle_OC[[#This Row],[Material]]&amp;Detalle_OC[[#This Row],[Pedido]]&amp;Detalle_OC[[#This Row],[Posicion]]</f>
        <v>Agricola del Chira PlantaMontelima700746654511566008300</v>
      </c>
      <c r="B2249" t="s">
        <v>200</v>
      </c>
      <c r="C2249" t="s">
        <v>1203</v>
      </c>
      <c r="D2249" s="11">
        <v>45618</v>
      </c>
      <c r="E2249" t="s">
        <v>48</v>
      </c>
      <c r="F2249" t="s">
        <v>12</v>
      </c>
      <c r="G2249">
        <v>70074665</v>
      </c>
      <c r="H2249">
        <v>4511566008</v>
      </c>
      <c r="I2249">
        <v>300</v>
      </c>
      <c r="J2249" s="29">
        <v>1</v>
      </c>
      <c r="K2249" s="29" t="s">
        <v>133</v>
      </c>
      <c r="L2249" t="str">
        <f>IFERROR(VLOOKUP(Detalle_OC[[#This Row],[Centro]]&amp;Detalle_OC[[#This Row],[Nro Almacen]],Almacen!A:D,4,FALSE),"")</f>
        <v>Montelima</v>
      </c>
    </row>
    <row r="2250" spans="1:12" x14ac:dyDescent="0.3">
      <c r="A2250" s="29" t="str">
        <f>Detalle_OC[[#This Row],[Centro]]&amp;Detalle_OC[[#This Row],[Nom Almacen]]&amp;Detalle_OC[[#This Row],[Material]]&amp;Detalle_OC[[#This Row],[Pedido]]&amp;Detalle_OC[[#This Row],[Posicion]]</f>
        <v>Agricola del Chira PlantaMontelima700747934511566008310</v>
      </c>
      <c r="B2250" t="s">
        <v>200</v>
      </c>
      <c r="C2250" t="s">
        <v>1203</v>
      </c>
      <c r="D2250" s="11">
        <v>45618</v>
      </c>
      <c r="E2250" t="s">
        <v>48</v>
      </c>
      <c r="F2250" t="s">
        <v>12</v>
      </c>
      <c r="G2250">
        <v>70074793</v>
      </c>
      <c r="H2250">
        <v>4511566008</v>
      </c>
      <c r="I2250">
        <v>310</v>
      </c>
      <c r="J2250" s="29">
        <v>1</v>
      </c>
      <c r="K2250" s="29" t="s">
        <v>133</v>
      </c>
      <c r="L2250" t="str">
        <f>IFERROR(VLOOKUP(Detalle_OC[[#This Row],[Centro]]&amp;Detalle_OC[[#This Row],[Nro Almacen]],Almacen!A:D,4,FALSE),"")</f>
        <v>Montelima</v>
      </c>
    </row>
    <row r="2251" spans="1:12" x14ac:dyDescent="0.3">
      <c r="A2251" s="29" t="str">
        <f>Detalle_OC[[#This Row],[Centro]]&amp;Detalle_OC[[#This Row],[Nom Almacen]]&amp;Detalle_OC[[#This Row],[Material]]&amp;Detalle_OC[[#This Row],[Pedido]]&amp;Detalle_OC[[#This Row],[Posicion]]</f>
        <v>Agricola del Chira PlantaMontelima700747934511566008320</v>
      </c>
      <c r="B2251" t="s">
        <v>200</v>
      </c>
      <c r="C2251" t="s">
        <v>1203</v>
      </c>
      <c r="D2251" s="11">
        <v>45618</v>
      </c>
      <c r="E2251" t="s">
        <v>48</v>
      </c>
      <c r="F2251" t="s">
        <v>12</v>
      </c>
      <c r="G2251">
        <v>70074793</v>
      </c>
      <c r="H2251">
        <v>4511566008</v>
      </c>
      <c r="I2251">
        <v>320</v>
      </c>
      <c r="J2251" s="29">
        <v>1</v>
      </c>
      <c r="K2251" s="29" t="s">
        <v>133</v>
      </c>
      <c r="L2251" t="str">
        <f>IFERROR(VLOOKUP(Detalle_OC[[#This Row],[Centro]]&amp;Detalle_OC[[#This Row],[Nro Almacen]],Almacen!A:D,4,FALSE),"")</f>
        <v>Montelima</v>
      </c>
    </row>
    <row r="2252" spans="1:12" x14ac:dyDescent="0.3">
      <c r="A2252" s="29" t="str">
        <f>Detalle_OC[[#This Row],[Centro]]&amp;Detalle_OC[[#This Row],[Nom Almacen]]&amp;Detalle_OC[[#This Row],[Material]]&amp;Detalle_OC[[#This Row],[Pedido]]&amp;Detalle_OC[[#This Row],[Posicion]]</f>
        <v>Agricola del Chira PlantaMontelima700747934511566008330</v>
      </c>
      <c r="B2252" t="s">
        <v>200</v>
      </c>
      <c r="C2252" t="s">
        <v>1203</v>
      </c>
      <c r="D2252" s="11">
        <v>45618</v>
      </c>
      <c r="E2252" t="s">
        <v>48</v>
      </c>
      <c r="F2252" t="s">
        <v>12</v>
      </c>
      <c r="G2252">
        <v>70074793</v>
      </c>
      <c r="H2252">
        <v>4511566008</v>
      </c>
      <c r="I2252">
        <v>330</v>
      </c>
      <c r="J2252" s="29">
        <v>1</v>
      </c>
      <c r="K2252" s="29" t="s">
        <v>133</v>
      </c>
      <c r="L2252" t="str">
        <f>IFERROR(VLOOKUP(Detalle_OC[[#This Row],[Centro]]&amp;Detalle_OC[[#This Row],[Nro Almacen]],Almacen!A:D,4,FALSE),"")</f>
        <v>Montelima</v>
      </c>
    </row>
    <row r="2253" spans="1:12" x14ac:dyDescent="0.3">
      <c r="A2253" s="29" t="str">
        <f>Detalle_OC[[#This Row],[Centro]]&amp;Detalle_OC[[#This Row],[Nom Almacen]]&amp;Detalle_OC[[#This Row],[Material]]&amp;Detalle_OC[[#This Row],[Pedido]]&amp;Detalle_OC[[#This Row],[Posicion]]</f>
        <v>Agricola del Chira PlantaMontelima700747934511566008340</v>
      </c>
      <c r="B2253" t="s">
        <v>200</v>
      </c>
      <c r="C2253" t="s">
        <v>1203</v>
      </c>
      <c r="D2253" s="11">
        <v>45618</v>
      </c>
      <c r="E2253" t="s">
        <v>48</v>
      </c>
      <c r="F2253" t="s">
        <v>12</v>
      </c>
      <c r="G2253">
        <v>70074793</v>
      </c>
      <c r="H2253">
        <v>4511566008</v>
      </c>
      <c r="I2253">
        <v>340</v>
      </c>
      <c r="J2253" s="29">
        <v>1</v>
      </c>
      <c r="K2253" s="29" t="s">
        <v>133</v>
      </c>
      <c r="L2253" t="str">
        <f>IFERROR(VLOOKUP(Detalle_OC[[#This Row],[Centro]]&amp;Detalle_OC[[#This Row],[Nro Almacen]],Almacen!A:D,4,FALSE),"")</f>
        <v>Montelima</v>
      </c>
    </row>
    <row r="2254" spans="1:12" x14ac:dyDescent="0.3">
      <c r="A2254" s="29" t="str">
        <f>Detalle_OC[[#This Row],[Centro]]&amp;Detalle_OC[[#This Row],[Nom Almacen]]&amp;Detalle_OC[[#This Row],[Material]]&amp;Detalle_OC[[#This Row],[Pedido]]&amp;Detalle_OC[[#This Row],[Posicion]]</f>
        <v>Agricola del Chira PlantaMontelima700747934511566008350</v>
      </c>
      <c r="B2254" t="s">
        <v>200</v>
      </c>
      <c r="C2254" t="s">
        <v>1203</v>
      </c>
      <c r="D2254" s="11">
        <v>45618</v>
      </c>
      <c r="E2254" t="s">
        <v>48</v>
      </c>
      <c r="F2254" t="s">
        <v>12</v>
      </c>
      <c r="G2254">
        <v>70074793</v>
      </c>
      <c r="H2254">
        <v>4511566008</v>
      </c>
      <c r="I2254">
        <v>350</v>
      </c>
      <c r="J2254" s="29">
        <v>1</v>
      </c>
      <c r="K2254" s="29" t="s">
        <v>133</v>
      </c>
      <c r="L2254" t="str">
        <f>IFERROR(VLOOKUP(Detalle_OC[[#This Row],[Centro]]&amp;Detalle_OC[[#This Row],[Nro Almacen]],Almacen!A:D,4,FALSE),"")</f>
        <v>Montelima</v>
      </c>
    </row>
    <row r="2255" spans="1:12" x14ac:dyDescent="0.3">
      <c r="A2255" s="29" t="str">
        <f>Detalle_OC[[#This Row],[Centro]]&amp;Detalle_OC[[#This Row],[Nom Almacen]]&amp;Detalle_OC[[#This Row],[Material]]&amp;Detalle_OC[[#This Row],[Pedido]]&amp;Detalle_OC[[#This Row],[Posicion]]</f>
        <v>Agricola del Chira PlantaMontelima700747934511566008360</v>
      </c>
      <c r="B2255" t="s">
        <v>200</v>
      </c>
      <c r="C2255" t="s">
        <v>1203</v>
      </c>
      <c r="D2255" s="11">
        <v>45618</v>
      </c>
      <c r="E2255" t="s">
        <v>48</v>
      </c>
      <c r="F2255" t="s">
        <v>12</v>
      </c>
      <c r="G2255">
        <v>70074793</v>
      </c>
      <c r="H2255">
        <v>4511566008</v>
      </c>
      <c r="I2255">
        <v>360</v>
      </c>
      <c r="J2255" s="29">
        <v>1</v>
      </c>
      <c r="K2255" s="29" t="s">
        <v>133</v>
      </c>
      <c r="L2255" t="str">
        <f>IFERROR(VLOOKUP(Detalle_OC[[#This Row],[Centro]]&amp;Detalle_OC[[#This Row],[Nro Almacen]],Almacen!A:D,4,FALSE),"")</f>
        <v>Montelima</v>
      </c>
    </row>
    <row r="2256" spans="1:12" x14ac:dyDescent="0.3">
      <c r="A2256" s="29" t="str">
        <f>Detalle_OC[[#This Row],[Centro]]&amp;Detalle_OC[[#This Row],[Nom Almacen]]&amp;Detalle_OC[[#This Row],[Material]]&amp;Detalle_OC[[#This Row],[Pedido]]&amp;Detalle_OC[[#This Row],[Posicion]]</f>
        <v>Agricola del Chira PlantaMontelima700747944511566008370</v>
      </c>
      <c r="B2256" t="s">
        <v>200</v>
      </c>
      <c r="C2256" t="s">
        <v>1203</v>
      </c>
      <c r="D2256" s="11">
        <v>45618</v>
      </c>
      <c r="E2256" t="s">
        <v>48</v>
      </c>
      <c r="F2256" t="s">
        <v>12</v>
      </c>
      <c r="G2256">
        <v>70074794</v>
      </c>
      <c r="H2256">
        <v>4511566008</v>
      </c>
      <c r="I2256">
        <v>370</v>
      </c>
      <c r="J2256" s="29">
        <v>1</v>
      </c>
      <c r="K2256" s="29" t="s">
        <v>133</v>
      </c>
      <c r="L2256" t="str">
        <f>IFERROR(VLOOKUP(Detalle_OC[[#This Row],[Centro]]&amp;Detalle_OC[[#This Row],[Nro Almacen]],Almacen!A:D,4,FALSE),"")</f>
        <v>Montelima</v>
      </c>
    </row>
    <row r="2257" spans="1:12" x14ac:dyDescent="0.3">
      <c r="A2257" s="29" t="str">
        <f>Detalle_OC[[#This Row],[Centro]]&amp;Detalle_OC[[#This Row],[Nom Almacen]]&amp;Detalle_OC[[#This Row],[Material]]&amp;Detalle_OC[[#This Row],[Pedido]]&amp;Detalle_OC[[#This Row],[Posicion]]</f>
        <v>Agricola del Chira PlantaMontelima700747944511566008380</v>
      </c>
      <c r="B2257" t="s">
        <v>200</v>
      </c>
      <c r="C2257" t="s">
        <v>1203</v>
      </c>
      <c r="D2257" s="11">
        <v>45618</v>
      </c>
      <c r="E2257" t="s">
        <v>48</v>
      </c>
      <c r="F2257" t="s">
        <v>12</v>
      </c>
      <c r="G2257">
        <v>70074794</v>
      </c>
      <c r="H2257">
        <v>4511566008</v>
      </c>
      <c r="I2257">
        <v>380</v>
      </c>
      <c r="J2257" s="29">
        <v>1</v>
      </c>
      <c r="K2257" s="29" t="s">
        <v>133</v>
      </c>
      <c r="L2257" t="str">
        <f>IFERROR(VLOOKUP(Detalle_OC[[#This Row],[Centro]]&amp;Detalle_OC[[#This Row],[Nro Almacen]],Almacen!A:D,4,FALSE),"")</f>
        <v>Montelima</v>
      </c>
    </row>
    <row r="2258" spans="1:12" x14ac:dyDescent="0.3">
      <c r="A2258" s="29" t="str">
        <f>Detalle_OC[[#This Row],[Centro]]&amp;Detalle_OC[[#This Row],[Nom Almacen]]&amp;Detalle_OC[[#This Row],[Material]]&amp;Detalle_OC[[#This Row],[Pedido]]&amp;Detalle_OC[[#This Row],[Posicion]]</f>
        <v>Agricola del Chira PlantaMontelima700747944511566008390</v>
      </c>
      <c r="B2258" t="s">
        <v>200</v>
      </c>
      <c r="C2258" t="s">
        <v>1203</v>
      </c>
      <c r="D2258" s="11">
        <v>45618</v>
      </c>
      <c r="E2258" t="s">
        <v>48</v>
      </c>
      <c r="F2258" t="s">
        <v>12</v>
      </c>
      <c r="G2258">
        <v>70074794</v>
      </c>
      <c r="H2258">
        <v>4511566008</v>
      </c>
      <c r="I2258">
        <v>390</v>
      </c>
      <c r="J2258" s="29">
        <v>1</v>
      </c>
      <c r="K2258" s="29" t="s">
        <v>133</v>
      </c>
      <c r="L2258" t="str">
        <f>IFERROR(VLOOKUP(Detalle_OC[[#This Row],[Centro]]&amp;Detalle_OC[[#This Row],[Nro Almacen]],Almacen!A:D,4,FALSE),"")</f>
        <v>Montelima</v>
      </c>
    </row>
    <row r="2259" spans="1:12" x14ac:dyDescent="0.3">
      <c r="A2259" s="29" t="str">
        <f>Detalle_OC[[#This Row],[Centro]]&amp;Detalle_OC[[#This Row],[Nom Almacen]]&amp;Detalle_OC[[#This Row],[Material]]&amp;Detalle_OC[[#This Row],[Pedido]]&amp;Detalle_OC[[#This Row],[Posicion]]</f>
        <v>Agricola del Chira PlantaMontelima700747944511566008400</v>
      </c>
      <c r="B2259" t="s">
        <v>200</v>
      </c>
      <c r="C2259" t="s">
        <v>1203</v>
      </c>
      <c r="D2259" s="11">
        <v>45618</v>
      </c>
      <c r="E2259" t="s">
        <v>48</v>
      </c>
      <c r="F2259" t="s">
        <v>12</v>
      </c>
      <c r="G2259">
        <v>70074794</v>
      </c>
      <c r="H2259">
        <v>4511566008</v>
      </c>
      <c r="I2259">
        <v>400</v>
      </c>
      <c r="J2259" s="29">
        <v>1</v>
      </c>
      <c r="K2259" s="29" t="s">
        <v>133</v>
      </c>
      <c r="L2259" t="str">
        <f>IFERROR(VLOOKUP(Detalle_OC[[#This Row],[Centro]]&amp;Detalle_OC[[#This Row],[Nro Almacen]],Almacen!A:D,4,FALSE),"")</f>
        <v>Montelima</v>
      </c>
    </row>
    <row r="2260" spans="1:12" x14ac:dyDescent="0.3">
      <c r="A2260" s="29" t="str">
        <f>Detalle_OC[[#This Row],[Centro]]&amp;Detalle_OC[[#This Row],[Nom Almacen]]&amp;Detalle_OC[[#This Row],[Material]]&amp;Detalle_OC[[#This Row],[Pedido]]&amp;Detalle_OC[[#This Row],[Posicion]]</f>
        <v>Agricola del Chira PlantaMontelima700747944511566008410</v>
      </c>
      <c r="B2260" t="s">
        <v>200</v>
      </c>
      <c r="C2260" t="s">
        <v>1203</v>
      </c>
      <c r="D2260" s="11">
        <v>45618</v>
      </c>
      <c r="E2260" t="s">
        <v>48</v>
      </c>
      <c r="F2260" t="s">
        <v>12</v>
      </c>
      <c r="G2260">
        <v>70074794</v>
      </c>
      <c r="H2260">
        <v>4511566008</v>
      </c>
      <c r="I2260">
        <v>410</v>
      </c>
      <c r="J2260" s="29">
        <v>1</v>
      </c>
      <c r="K2260" s="29" t="s">
        <v>133</v>
      </c>
      <c r="L2260" t="str">
        <f>IFERROR(VLOOKUP(Detalle_OC[[#This Row],[Centro]]&amp;Detalle_OC[[#This Row],[Nro Almacen]],Almacen!A:D,4,FALSE),"")</f>
        <v>Montelima</v>
      </c>
    </row>
    <row r="2261" spans="1:12" x14ac:dyDescent="0.3">
      <c r="A2261" s="29" t="str">
        <f>Detalle_OC[[#This Row],[Centro]]&amp;Detalle_OC[[#This Row],[Nom Almacen]]&amp;Detalle_OC[[#This Row],[Material]]&amp;Detalle_OC[[#This Row],[Pedido]]&amp;Detalle_OC[[#This Row],[Posicion]]</f>
        <v>Agricola del Chira PlantaMontelima700747944511566008420</v>
      </c>
      <c r="B2261" t="s">
        <v>200</v>
      </c>
      <c r="C2261" t="s">
        <v>1203</v>
      </c>
      <c r="D2261" s="11">
        <v>45618</v>
      </c>
      <c r="E2261" t="s">
        <v>48</v>
      </c>
      <c r="F2261" t="s">
        <v>12</v>
      </c>
      <c r="G2261">
        <v>70074794</v>
      </c>
      <c r="H2261">
        <v>4511566008</v>
      </c>
      <c r="I2261">
        <v>420</v>
      </c>
      <c r="J2261" s="29">
        <v>1</v>
      </c>
      <c r="K2261" s="29" t="s">
        <v>133</v>
      </c>
      <c r="L2261" t="str">
        <f>IFERROR(VLOOKUP(Detalle_OC[[#This Row],[Centro]]&amp;Detalle_OC[[#This Row],[Nro Almacen]],Almacen!A:D,4,FALSE),"")</f>
        <v>Montelima</v>
      </c>
    </row>
    <row r="2262" spans="1:12" x14ac:dyDescent="0.3">
      <c r="A2262" s="29" t="str">
        <f>Detalle_OC[[#This Row],[Centro]]&amp;Detalle_OC[[#This Row],[Nom Almacen]]&amp;Detalle_OC[[#This Row],[Material]]&amp;Detalle_OC[[#This Row],[Pedido]]&amp;Detalle_OC[[#This Row],[Posicion]]</f>
        <v>Agricola del Chira PlantaMontelima700757944511566008430</v>
      </c>
      <c r="B2262" t="s">
        <v>200</v>
      </c>
      <c r="C2262" t="s">
        <v>1203</v>
      </c>
      <c r="D2262" s="11">
        <v>45618</v>
      </c>
      <c r="E2262" t="s">
        <v>48</v>
      </c>
      <c r="F2262" t="s">
        <v>12</v>
      </c>
      <c r="G2262">
        <v>70075794</v>
      </c>
      <c r="H2262">
        <v>4511566008</v>
      </c>
      <c r="I2262">
        <v>430</v>
      </c>
      <c r="J2262" s="29">
        <v>1</v>
      </c>
      <c r="K2262" s="29" t="s">
        <v>133</v>
      </c>
      <c r="L2262" t="str">
        <f>IFERROR(VLOOKUP(Detalle_OC[[#This Row],[Centro]]&amp;Detalle_OC[[#This Row],[Nro Almacen]],Almacen!A:D,4,FALSE),"")</f>
        <v>Montelima</v>
      </c>
    </row>
    <row r="2263" spans="1:12" x14ac:dyDescent="0.3">
      <c r="A2263" s="29" t="str">
        <f>Detalle_OC[[#This Row],[Centro]]&amp;Detalle_OC[[#This Row],[Nom Almacen]]&amp;Detalle_OC[[#This Row],[Material]]&amp;Detalle_OC[[#This Row],[Pedido]]&amp;Detalle_OC[[#This Row],[Posicion]]</f>
        <v>Agricola del Chira PlantaMontelima700757944511566008440</v>
      </c>
      <c r="B2263" t="s">
        <v>200</v>
      </c>
      <c r="C2263" t="s">
        <v>1203</v>
      </c>
      <c r="D2263" s="11">
        <v>45618</v>
      </c>
      <c r="E2263" t="s">
        <v>48</v>
      </c>
      <c r="F2263" t="s">
        <v>12</v>
      </c>
      <c r="G2263">
        <v>70075794</v>
      </c>
      <c r="H2263">
        <v>4511566008</v>
      </c>
      <c r="I2263">
        <v>440</v>
      </c>
      <c r="J2263" s="29">
        <v>1</v>
      </c>
      <c r="K2263" s="29" t="s">
        <v>133</v>
      </c>
      <c r="L2263" t="str">
        <f>IFERROR(VLOOKUP(Detalle_OC[[#This Row],[Centro]]&amp;Detalle_OC[[#This Row],[Nro Almacen]],Almacen!A:D,4,FALSE),"")</f>
        <v>Montelima</v>
      </c>
    </row>
    <row r="2264" spans="1:12" x14ac:dyDescent="0.3">
      <c r="A2264" s="29" t="str">
        <f>Detalle_OC[[#This Row],[Centro]]&amp;Detalle_OC[[#This Row],[Nom Almacen]]&amp;Detalle_OC[[#This Row],[Material]]&amp;Detalle_OC[[#This Row],[Pedido]]&amp;Detalle_OC[[#This Row],[Posicion]]</f>
        <v>Agricola del Chira PlantaMontelima700757944511566008450</v>
      </c>
      <c r="B2264" t="s">
        <v>200</v>
      </c>
      <c r="C2264" t="s">
        <v>1203</v>
      </c>
      <c r="D2264" s="11">
        <v>45618</v>
      </c>
      <c r="E2264" t="s">
        <v>48</v>
      </c>
      <c r="F2264" t="s">
        <v>12</v>
      </c>
      <c r="G2264">
        <v>70075794</v>
      </c>
      <c r="H2264">
        <v>4511566008</v>
      </c>
      <c r="I2264">
        <v>450</v>
      </c>
      <c r="J2264" s="29">
        <v>1</v>
      </c>
      <c r="K2264" s="29" t="s">
        <v>133</v>
      </c>
      <c r="L2264" t="str">
        <f>IFERROR(VLOOKUP(Detalle_OC[[#This Row],[Centro]]&amp;Detalle_OC[[#This Row],[Nro Almacen]],Almacen!A:D,4,FALSE),"")</f>
        <v>Montelima</v>
      </c>
    </row>
    <row r="2265" spans="1:12" x14ac:dyDescent="0.3">
      <c r="A2265" s="29" t="str">
        <f>Detalle_OC[[#This Row],[Centro]]&amp;Detalle_OC[[#This Row],[Nom Almacen]]&amp;Detalle_OC[[#This Row],[Material]]&amp;Detalle_OC[[#This Row],[Pedido]]&amp;Detalle_OC[[#This Row],[Posicion]]</f>
        <v>Agricola del Chira PlantaMontelima700757944511566008460</v>
      </c>
      <c r="B2265" t="s">
        <v>200</v>
      </c>
      <c r="C2265" t="s">
        <v>1203</v>
      </c>
      <c r="D2265" s="11">
        <v>45618</v>
      </c>
      <c r="E2265" t="s">
        <v>48</v>
      </c>
      <c r="F2265" t="s">
        <v>12</v>
      </c>
      <c r="G2265">
        <v>70075794</v>
      </c>
      <c r="H2265">
        <v>4511566008</v>
      </c>
      <c r="I2265">
        <v>460</v>
      </c>
      <c r="J2265" s="29">
        <v>1</v>
      </c>
      <c r="K2265" s="29" t="s">
        <v>133</v>
      </c>
      <c r="L2265" t="str">
        <f>IFERROR(VLOOKUP(Detalle_OC[[#This Row],[Centro]]&amp;Detalle_OC[[#This Row],[Nro Almacen]],Almacen!A:D,4,FALSE),"")</f>
        <v>Montelima</v>
      </c>
    </row>
    <row r="2266" spans="1:12" x14ac:dyDescent="0.3">
      <c r="A2266" s="29" t="str">
        <f>Detalle_OC[[#This Row],[Centro]]&amp;Detalle_OC[[#This Row],[Nom Almacen]]&amp;Detalle_OC[[#This Row],[Material]]&amp;Detalle_OC[[#This Row],[Pedido]]&amp;Detalle_OC[[#This Row],[Posicion]]</f>
        <v>Agricola del Chira PlantaMontelima700757944511566008470</v>
      </c>
      <c r="B2266" t="s">
        <v>200</v>
      </c>
      <c r="C2266" t="s">
        <v>1203</v>
      </c>
      <c r="D2266" s="11">
        <v>45618</v>
      </c>
      <c r="E2266" t="s">
        <v>48</v>
      </c>
      <c r="F2266" t="s">
        <v>12</v>
      </c>
      <c r="G2266">
        <v>70075794</v>
      </c>
      <c r="H2266">
        <v>4511566008</v>
      </c>
      <c r="I2266">
        <v>470</v>
      </c>
      <c r="J2266" s="29">
        <v>1</v>
      </c>
      <c r="K2266" s="29" t="s">
        <v>133</v>
      </c>
      <c r="L2266" t="str">
        <f>IFERROR(VLOOKUP(Detalle_OC[[#This Row],[Centro]]&amp;Detalle_OC[[#This Row],[Nro Almacen]],Almacen!A:D,4,FALSE),"")</f>
        <v>Montelima</v>
      </c>
    </row>
    <row r="2267" spans="1:12" x14ac:dyDescent="0.3">
      <c r="A2267" s="29" t="str">
        <f>Detalle_OC[[#This Row],[Centro]]&amp;Detalle_OC[[#This Row],[Nom Almacen]]&amp;Detalle_OC[[#This Row],[Material]]&amp;Detalle_OC[[#This Row],[Pedido]]&amp;Detalle_OC[[#This Row],[Posicion]]</f>
        <v>Agricola del Chira PlantaMontelima700757944511566008480</v>
      </c>
      <c r="B2267" t="s">
        <v>200</v>
      </c>
      <c r="C2267" t="s">
        <v>1203</v>
      </c>
      <c r="D2267" s="11">
        <v>45618</v>
      </c>
      <c r="E2267" t="s">
        <v>48</v>
      </c>
      <c r="F2267" t="s">
        <v>12</v>
      </c>
      <c r="G2267">
        <v>70075794</v>
      </c>
      <c r="H2267">
        <v>4511566008</v>
      </c>
      <c r="I2267">
        <v>480</v>
      </c>
      <c r="J2267" s="29">
        <v>1</v>
      </c>
      <c r="K2267" s="29" t="s">
        <v>133</v>
      </c>
      <c r="L2267" t="str">
        <f>IFERROR(VLOOKUP(Detalle_OC[[#This Row],[Centro]]&amp;Detalle_OC[[#This Row],[Nro Almacen]],Almacen!A:D,4,FALSE),"")</f>
        <v>Montelima</v>
      </c>
    </row>
    <row r="2268" spans="1:12" x14ac:dyDescent="0.3">
      <c r="A2268" s="29" t="str">
        <f>Detalle_OC[[#This Row],[Centro]]&amp;Detalle_OC[[#This Row],[Nom Almacen]]&amp;Detalle_OC[[#This Row],[Material]]&amp;Detalle_OC[[#This Row],[Pedido]]&amp;Detalle_OC[[#This Row],[Posicion]]</f>
        <v>Agricola del Chira PlantaMontelima700757964511566008490</v>
      </c>
      <c r="B2268" t="s">
        <v>200</v>
      </c>
      <c r="C2268" t="s">
        <v>1203</v>
      </c>
      <c r="D2268" s="11">
        <v>45618</v>
      </c>
      <c r="E2268" t="s">
        <v>48</v>
      </c>
      <c r="F2268" t="s">
        <v>12</v>
      </c>
      <c r="G2268">
        <v>70075796</v>
      </c>
      <c r="H2268">
        <v>4511566008</v>
      </c>
      <c r="I2268">
        <v>490</v>
      </c>
      <c r="J2268" s="29">
        <v>1</v>
      </c>
      <c r="K2268" s="29" t="s">
        <v>133</v>
      </c>
      <c r="L2268" t="str">
        <f>IFERROR(VLOOKUP(Detalle_OC[[#This Row],[Centro]]&amp;Detalle_OC[[#This Row],[Nro Almacen]],Almacen!A:D,4,FALSE),"")</f>
        <v>Montelima</v>
      </c>
    </row>
    <row r="2269" spans="1:12" x14ac:dyDescent="0.3">
      <c r="A2269" s="29" t="str">
        <f>Detalle_OC[[#This Row],[Centro]]&amp;Detalle_OC[[#This Row],[Nom Almacen]]&amp;Detalle_OC[[#This Row],[Material]]&amp;Detalle_OC[[#This Row],[Pedido]]&amp;Detalle_OC[[#This Row],[Posicion]]</f>
        <v>Agricola del Chira PlantaMontelima700757964511566008500</v>
      </c>
      <c r="B2269" t="s">
        <v>200</v>
      </c>
      <c r="C2269" t="s">
        <v>1203</v>
      </c>
      <c r="D2269" s="11">
        <v>45618</v>
      </c>
      <c r="E2269" t="s">
        <v>48</v>
      </c>
      <c r="F2269" t="s">
        <v>12</v>
      </c>
      <c r="G2269">
        <v>70075796</v>
      </c>
      <c r="H2269">
        <v>4511566008</v>
      </c>
      <c r="I2269">
        <v>500</v>
      </c>
      <c r="J2269" s="29">
        <v>1</v>
      </c>
      <c r="K2269" s="29" t="s">
        <v>133</v>
      </c>
      <c r="L2269" t="str">
        <f>IFERROR(VLOOKUP(Detalle_OC[[#This Row],[Centro]]&amp;Detalle_OC[[#This Row],[Nro Almacen]],Almacen!A:D,4,FALSE),"")</f>
        <v>Montelima</v>
      </c>
    </row>
    <row r="2270" spans="1:12" x14ac:dyDescent="0.3">
      <c r="A2270" s="29" t="str">
        <f>Detalle_OC[[#This Row],[Centro]]&amp;Detalle_OC[[#This Row],[Nom Almacen]]&amp;Detalle_OC[[#This Row],[Material]]&amp;Detalle_OC[[#This Row],[Pedido]]&amp;Detalle_OC[[#This Row],[Posicion]]</f>
        <v>Agricola del Chira PlantaMontelima700757964511566008510</v>
      </c>
      <c r="B2270" t="s">
        <v>200</v>
      </c>
      <c r="C2270" t="s">
        <v>1203</v>
      </c>
      <c r="D2270" s="11">
        <v>45618</v>
      </c>
      <c r="E2270" t="s">
        <v>48</v>
      </c>
      <c r="F2270" t="s">
        <v>12</v>
      </c>
      <c r="G2270">
        <v>70075796</v>
      </c>
      <c r="H2270">
        <v>4511566008</v>
      </c>
      <c r="I2270">
        <v>510</v>
      </c>
      <c r="J2270" s="29">
        <v>1</v>
      </c>
      <c r="K2270" s="29" t="s">
        <v>133</v>
      </c>
      <c r="L2270" t="str">
        <f>IFERROR(VLOOKUP(Detalle_OC[[#This Row],[Centro]]&amp;Detalle_OC[[#This Row],[Nro Almacen]],Almacen!A:D,4,FALSE),"")</f>
        <v>Montelima</v>
      </c>
    </row>
    <row r="2271" spans="1:12" x14ac:dyDescent="0.3">
      <c r="A2271" s="29" t="str">
        <f>Detalle_OC[[#This Row],[Centro]]&amp;Detalle_OC[[#This Row],[Nom Almacen]]&amp;Detalle_OC[[#This Row],[Material]]&amp;Detalle_OC[[#This Row],[Pedido]]&amp;Detalle_OC[[#This Row],[Posicion]]</f>
        <v>Agricola del Chira PlantaMontelima700757964511566008520</v>
      </c>
      <c r="B2271" t="s">
        <v>200</v>
      </c>
      <c r="C2271" t="s">
        <v>1203</v>
      </c>
      <c r="D2271" s="11">
        <v>45618</v>
      </c>
      <c r="E2271" t="s">
        <v>48</v>
      </c>
      <c r="F2271" t="s">
        <v>12</v>
      </c>
      <c r="G2271">
        <v>70075796</v>
      </c>
      <c r="H2271">
        <v>4511566008</v>
      </c>
      <c r="I2271">
        <v>520</v>
      </c>
      <c r="J2271" s="29">
        <v>1</v>
      </c>
      <c r="K2271" s="29" t="s">
        <v>133</v>
      </c>
      <c r="L2271" t="str">
        <f>IFERROR(VLOOKUP(Detalle_OC[[#This Row],[Centro]]&amp;Detalle_OC[[#This Row],[Nro Almacen]],Almacen!A:D,4,FALSE),"")</f>
        <v>Montelima</v>
      </c>
    </row>
    <row r="2272" spans="1:12" x14ac:dyDescent="0.3">
      <c r="A2272" s="29" t="str">
        <f>Detalle_OC[[#This Row],[Centro]]&amp;Detalle_OC[[#This Row],[Nom Almacen]]&amp;Detalle_OC[[#This Row],[Material]]&amp;Detalle_OC[[#This Row],[Pedido]]&amp;Detalle_OC[[#This Row],[Posicion]]</f>
        <v>Agricola del Chira PlantaMontelima700757964511566008530</v>
      </c>
      <c r="B2272" t="s">
        <v>200</v>
      </c>
      <c r="C2272" t="s">
        <v>1203</v>
      </c>
      <c r="D2272" s="11">
        <v>45618</v>
      </c>
      <c r="E2272" t="s">
        <v>48</v>
      </c>
      <c r="F2272" t="s">
        <v>12</v>
      </c>
      <c r="G2272">
        <v>70075796</v>
      </c>
      <c r="H2272">
        <v>4511566008</v>
      </c>
      <c r="I2272">
        <v>530</v>
      </c>
      <c r="J2272" s="29">
        <v>1</v>
      </c>
      <c r="K2272" s="29" t="s">
        <v>133</v>
      </c>
      <c r="L2272" t="str">
        <f>IFERROR(VLOOKUP(Detalle_OC[[#This Row],[Centro]]&amp;Detalle_OC[[#This Row],[Nro Almacen]],Almacen!A:D,4,FALSE),"")</f>
        <v>Montelima</v>
      </c>
    </row>
    <row r="2273" spans="1:12" x14ac:dyDescent="0.3">
      <c r="A2273" s="29" t="str">
        <f>Detalle_OC[[#This Row],[Centro]]&amp;Detalle_OC[[#This Row],[Nom Almacen]]&amp;Detalle_OC[[#This Row],[Material]]&amp;Detalle_OC[[#This Row],[Pedido]]&amp;Detalle_OC[[#This Row],[Posicion]]</f>
        <v>Agricola del Chira PlantaMontelima700757964511566008540</v>
      </c>
      <c r="B2273" t="s">
        <v>200</v>
      </c>
      <c r="C2273" t="s">
        <v>1203</v>
      </c>
      <c r="D2273" s="11">
        <v>45618</v>
      </c>
      <c r="E2273" t="s">
        <v>48</v>
      </c>
      <c r="F2273" t="s">
        <v>12</v>
      </c>
      <c r="G2273">
        <v>70075796</v>
      </c>
      <c r="H2273">
        <v>4511566008</v>
      </c>
      <c r="I2273">
        <v>540</v>
      </c>
      <c r="J2273" s="29">
        <v>1</v>
      </c>
      <c r="K2273" s="29" t="s">
        <v>133</v>
      </c>
      <c r="L2273" t="str">
        <f>IFERROR(VLOOKUP(Detalle_OC[[#This Row],[Centro]]&amp;Detalle_OC[[#This Row],[Nro Almacen]],Almacen!A:D,4,FALSE),"")</f>
        <v>Montelima</v>
      </c>
    </row>
    <row r="2274" spans="1:12" x14ac:dyDescent="0.3">
      <c r="A2274" s="29" t="str">
        <f>Detalle_OC[[#This Row],[Centro]]&amp;Detalle_OC[[#This Row],[Nom Almacen]]&amp;Detalle_OC[[#This Row],[Material]]&amp;Detalle_OC[[#This Row],[Pedido]]&amp;Detalle_OC[[#This Row],[Posicion]]</f>
        <v>Agricola del Chira PlantaMontelima700757974511566008550</v>
      </c>
      <c r="B2274" t="s">
        <v>200</v>
      </c>
      <c r="C2274" t="s">
        <v>1203</v>
      </c>
      <c r="D2274" s="11">
        <v>45618</v>
      </c>
      <c r="E2274" t="s">
        <v>48</v>
      </c>
      <c r="F2274" t="s">
        <v>12</v>
      </c>
      <c r="G2274">
        <v>70075797</v>
      </c>
      <c r="H2274">
        <v>4511566008</v>
      </c>
      <c r="I2274">
        <v>550</v>
      </c>
      <c r="J2274" s="29">
        <v>1</v>
      </c>
      <c r="K2274" s="29" t="s">
        <v>133</v>
      </c>
      <c r="L2274" t="str">
        <f>IFERROR(VLOOKUP(Detalle_OC[[#This Row],[Centro]]&amp;Detalle_OC[[#This Row],[Nro Almacen]],Almacen!A:D,4,FALSE),"")</f>
        <v>Montelima</v>
      </c>
    </row>
    <row r="2275" spans="1:12" x14ac:dyDescent="0.3">
      <c r="A2275" s="29" t="str">
        <f>Detalle_OC[[#This Row],[Centro]]&amp;Detalle_OC[[#This Row],[Nom Almacen]]&amp;Detalle_OC[[#This Row],[Material]]&amp;Detalle_OC[[#This Row],[Pedido]]&amp;Detalle_OC[[#This Row],[Posicion]]</f>
        <v>Agricola del Chira PlantaMontelima700757974511566008560</v>
      </c>
      <c r="B2275" t="s">
        <v>200</v>
      </c>
      <c r="C2275" t="s">
        <v>1203</v>
      </c>
      <c r="D2275" s="11">
        <v>45618</v>
      </c>
      <c r="E2275" t="s">
        <v>48</v>
      </c>
      <c r="F2275" t="s">
        <v>12</v>
      </c>
      <c r="G2275">
        <v>70075797</v>
      </c>
      <c r="H2275">
        <v>4511566008</v>
      </c>
      <c r="I2275">
        <v>560</v>
      </c>
      <c r="J2275" s="29">
        <v>1</v>
      </c>
      <c r="K2275" s="29" t="s">
        <v>133</v>
      </c>
      <c r="L2275" t="str">
        <f>IFERROR(VLOOKUP(Detalle_OC[[#This Row],[Centro]]&amp;Detalle_OC[[#This Row],[Nro Almacen]],Almacen!A:D,4,FALSE),"")</f>
        <v>Montelima</v>
      </c>
    </row>
    <row r="2276" spans="1:12" x14ac:dyDescent="0.3">
      <c r="A2276" s="29" t="str">
        <f>Detalle_OC[[#This Row],[Centro]]&amp;Detalle_OC[[#This Row],[Nom Almacen]]&amp;Detalle_OC[[#This Row],[Material]]&amp;Detalle_OC[[#This Row],[Pedido]]&amp;Detalle_OC[[#This Row],[Posicion]]</f>
        <v>Agricola del Chira PlantaMontelima700757974511566008570</v>
      </c>
      <c r="B2276" t="s">
        <v>200</v>
      </c>
      <c r="C2276" t="s">
        <v>1203</v>
      </c>
      <c r="D2276" s="11">
        <v>45618</v>
      </c>
      <c r="E2276" t="s">
        <v>48</v>
      </c>
      <c r="F2276" t="s">
        <v>12</v>
      </c>
      <c r="G2276">
        <v>70075797</v>
      </c>
      <c r="H2276">
        <v>4511566008</v>
      </c>
      <c r="I2276">
        <v>570</v>
      </c>
      <c r="J2276" s="29">
        <v>1</v>
      </c>
      <c r="K2276" s="29" t="s">
        <v>133</v>
      </c>
      <c r="L2276" t="str">
        <f>IFERROR(VLOOKUP(Detalle_OC[[#This Row],[Centro]]&amp;Detalle_OC[[#This Row],[Nro Almacen]],Almacen!A:D,4,FALSE),"")</f>
        <v>Montelima</v>
      </c>
    </row>
    <row r="2277" spans="1:12" x14ac:dyDescent="0.3">
      <c r="A2277" s="29" t="str">
        <f>Detalle_OC[[#This Row],[Centro]]&amp;Detalle_OC[[#This Row],[Nom Almacen]]&amp;Detalle_OC[[#This Row],[Material]]&amp;Detalle_OC[[#This Row],[Pedido]]&amp;Detalle_OC[[#This Row],[Posicion]]</f>
        <v>Agricola del Chira PlantaMontelima700757974511566008580</v>
      </c>
      <c r="B2277" t="s">
        <v>200</v>
      </c>
      <c r="C2277" t="s">
        <v>1203</v>
      </c>
      <c r="D2277" s="11">
        <v>45618</v>
      </c>
      <c r="E2277" t="s">
        <v>48</v>
      </c>
      <c r="F2277" t="s">
        <v>12</v>
      </c>
      <c r="G2277">
        <v>70075797</v>
      </c>
      <c r="H2277">
        <v>4511566008</v>
      </c>
      <c r="I2277">
        <v>580</v>
      </c>
      <c r="J2277" s="29">
        <v>1</v>
      </c>
      <c r="K2277" s="29" t="s">
        <v>133</v>
      </c>
      <c r="L2277" t="str">
        <f>IFERROR(VLOOKUP(Detalle_OC[[#This Row],[Centro]]&amp;Detalle_OC[[#This Row],[Nro Almacen]],Almacen!A:D,4,FALSE),"")</f>
        <v>Montelima</v>
      </c>
    </row>
    <row r="2278" spans="1:12" x14ac:dyDescent="0.3">
      <c r="A2278" s="29" t="str">
        <f>Detalle_OC[[#This Row],[Centro]]&amp;Detalle_OC[[#This Row],[Nom Almacen]]&amp;Detalle_OC[[#This Row],[Material]]&amp;Detalle_OC[[#This Row],[Pedido]]&amp;Detalle_OC[[#This Row],[Posicion]]</f>
        <v>Agricola del Chira PlantaMontelima700757974511566008590</v>
      </c>
      <c r="B2278" t="s">
        <v>200</v>
      </c>
      <c r="C2278" t="s">
        <v>1203</v>
      </c>
      <c r="D2278" s="11">
        <v>45618</v>
      </c>
      <c r="E2278" t="s">
        <v>48</v>
      </c>
      <c r="F2278" t="s">
        <v>12</v>
      </c>
      <c r="G2278">
        <v>70075797</v>
      </c>
      <c r="H2278">
        <v>4511566008</v>
      </c>
      <c r="I2278">
        <v>590</v>
      </c>
      <c r="J2278" s="29">
        <v>1</v>
      </c>
      <c r="K2278" s="29" t="s">
        <v>133</v>
      </c>
      <c r="L2278" t="str">
        <f>IFERROR(VLOOKUP(Detalle_OC[[#This Row],[Centro]]&amp;Detalle_OC[[#This Row],[Nro Almacen]],Almacen!A:D,4,FALSE),"")</f>
        <v>Montelima</v>
      </c>
    </row>
    <row r="2279" spans="1:12" x14ac:dyDescent="0.3">
      <c r="A2279" s="29" t="str">
        <f>Detalle_OC[[#This Row],[Centro]]&amp;Detalle_OC[[#This Row],[Nom Almacen]]&amp;Detalle_OC[[#This Row],[Material]]&amp;Detalle_OC[[#This Row],[Pedido]]&amp;Detalle_OC[[#This Row],[Posicion]]</f>
        <v>Agricola del Chira PlantaMontelima700757974511566008600</v>
      </c>
      <c r="B2279" t="s">
        <v>200</v>
      </c>
      <c r="C2279" t="s">
        <v>1203</v>
      </c>
      <c r="D2279" s="11">
        <v>45618</v>
      </c>
      <c r="E2279" t="s">
        <v>48</v>
      </c>
      <c r="F2279" t="s">
        <v>12</v>
      </c>
      <c r="G2279">
        <v>70075797</v>
      </c>
      <c r="H2279">
        <v>4511566008</v>
      </c>
      <c r="I2279">
        <v>600</v>
      </c>
      <c r="J2279" s="29">
        <v>1</v>
      </c>
      <c r="K2279" s="29" t="s">
        <v>133</v>
      </c>
      <c r="L2279" t="str">
        <f>IFERROR(VLOOKUP(Detalle_OC[[#This Row],[Centro]]&amp;Detalle_OC[[#This Row],[Nro Almacen]],Almacen!A:D,4,FALSE),"")</f>
        <v>Montelima</v>
      </c>
    </row>
    <row r="2280" spans="1:12" x14ac:dyDescent="0.3">
      <c r="A2280" s="29" t="str">
        <f>Detalle_OC[[#This Row],[Centro]]&amp;Detalle_OC[[#This Row],[Nom Almacen]]&amp;Detalle_OC[[#This Row],[Material]]&amp;Detalle_OC[[#This Row],[Pedido]]&amp;Detalle_OC[[#This Row],[Posicion]]</f>
        <v>Agricola del Chira PlantaMontelima700912124511566008610</v>
      </c>
      <c r="B2280" t="s">
        <v>200</v>
      </c>
      <c r="C2280" t="s">
        <v>1203</v>
      </c>
      <c r="D2280" s="11">
        <v>45618</v>
      </c>
      <c r="E2280" t="s">
        <v>48</v>
      </c>
      <c r="F2280" t="s">
        <v>12</v>
      </c>
      <c r="G2280">
        <v>70091212</v>
      </c>
      <c r="H2280">
        <v>4511566008</v>
      </c>
      <c r="I2280">
        <v>610</v>
      </c>
      <c r="J2280" s="29">
        <v>1</v>
      </c>
      <c r="K2280" s="29" t="s">
        <v>133</v>
      </c>
      <c r="L2280" t="str">
        <f>IFERROR(VLOOKUP(Detalle_OC[[#This Row],[Centro]]&amp;Detalle_OC[[#This Row],[Nro Almacen]],Almacen!A:D,4,FALSE),"")</f>
        <v>Montelima</v>
      </c>
    </row>
    <row r="2281" spans="1:12" x14ac:dyDescent="0.3">
      <c r="A2281" s="29" t="str">
        <f>Detalle_OC[[#This Row],[Centro]]&amp;Detalle_OC[[#This Row],[Nom Almacen]]&amp;Detalle_OC[[#This Row],[Material]]&amp;Detalle_OC[[#This Row],[Pedido]]&amp;Detalle_OC[[#This Row],[Posicion]]</f>
        <v>Agricola del Chira PlantaMontelima700912124511566008620</v>
      </c>
      <c r="B2281" t="s">
        <v>200</v>
      </c>
      <c r="C2281" t="s">
        <v>1203</v>
      </c>
      <c r="D2281" s="11">
        <v>45618</v>
      </c>
      <c r="E2281" t="s">
        <v>48</v>
      </c>
      <c r="F2281" t="s">
        <v>12</v>
      </c>
      <c r="G2281">
        <v>70091212</v>
      </c>
      <c r="H2281">
        <v>4511566008</v>
      </c>
      <c r="I2281">
        <v>620</v>
      </c>
      <c r="J2281" s="29">
        <v>1</v>
      </c>
      <c r="K2281" s="29" t="s">
        <v>133</v>
      </c>
      <c r="L2281" t="str">
        <f>IFERROR(VLOOKUP(Detalle_OC[[#This Row],[Centro]]&amp;Detalle_OC[[#This Row],[Nro Almacen]],Almacen!A:D,4,FALSE),"")</f>
        <v>Montelima</v>
      </c>
    </row>
    <row r="2282" spans="1:12" x14ac:dyDescent="0.3">
      <c r="A2282" s="29" t="str">
        <f>Detalle_OC[[#This Row],[Centro]]&amp;Detalle_OC[[#This Row],[Nom Almacen]]&amp;Detalle_OC[[#This Row],[Material]]&amp;Detalle_OC[[#This Row],[Pedido]]&amp;Detalle_OC[[#This Row],[Posicion]]</f>
        <v>Agricola del Chira PlantaMontelima700912124511566008630</v>
      </c>
      <c r="B2282" t="s">
        <v>200</v>
      </c>
      <c r="C2282" t="s">
        <v>1203</v>
      </c>
      <c r="D2282" s="11">
        <v>45618</v>
      </c>
      <c r="E2282" t="s">
        <v>48</v>
      </c>
      <c r="F2282" t="s">
        <v>12</v>
      </c>
      <c r="G2282">
        <v>70091212</v>
      </c>
      <c r="H2282">
        <v>4511566008</v>
      </c>
      <c r="I2282">
        <v>630</v>
      </c>
      <c r="J2282" s="29">
        <v>1</v>
      </c>
      <c r="K2282" s="29" t="s">
        <v>133</v>
      </c>
      <c r="L2282" t="str">
        <f>IFERROR(VLOOKUP(Detalle_OC[[#This Row],[Centro]]&amp;Detalle_OC[[#This Row],[Nro Almacen]],Almacen!A:D,4,FALSE),"")</f>
        <v>Montelima</v>
      </c>
    </row>
    <row r="2283" spans="1:12" x14ac:dyDescent="0.3">
      <c r="A2283" s="29" t="str">
        <f>Detalle_OC[[#This Row],[Centro]]&amp;Detalle_OC[[#This Row],[Nom Almacen]]&amp;Detalle_OC[[#This Row],[Material]]&amp;Detalle_OC[[#This Row],[Pedido]]&amp;Detalle_OC[[#This Row],[Posicion]]</f>
        <v>Agricola del Chira PlantaMontelima700912124511566008640</v>
      </c>
      <c r="B2283" t="s">
        <v>200</v>
      </c>
      <c r="C2283" t="s">
        <v>1203</v>
      </c>
      <c r="D2283" s="11">
        <v>45618</v>
      </c>
      <c r="E2283" t="s">
        <v>48</v>
      </c>
      <c r="F2283" t="s">
        <v>12</v>
      </c>
      <c r="G2283">
        <v>70091212</v>
      </c>
      <c r="H2283">
        <v>4511566008</v>
      </c>
      <c r="I2283">
        <v>640</v>
      </c>
      <c r="J2283" s="29">
        <v>1</v>
      </c>
      <c r="K2283" s="29" t="s">
        <v>133</v>
      </c>
      <c r="L2283" t="str">
        <f>IFERROR(VLOOKUP(Detalle_OC[[#This Row],[Centro]]&amp;Detalle_OC[[#This Row],[Nro Almacen]],Almacen!A:D,4,FALSE),"")</f>
        <v>Montelima</v>
      </c>
    </row>
    <row r="2284" spans="1:12" x14ac:dyDescent="0.3">
      <c r="A2284" s="29" t="str">
        <f>Detalle_OC[[#This Row],[Centro]]&amp;Detalle_OC[[#This Row],[Nom Almacen]]&amp;Detalle_OC[[#This Row],[Material]]&amp;Detalle_OC[[#This Row],[Pedido]]&amp;Detalle_OC[[#This Row],[Posicion]]</f>
        <v>Agricola del Chira PlantaMontelima700912124511566008650</v>
      </c>
      <c r="B2284" t="s">
        <v>200</v>
      </c>
      <c r="C2284" t="s">
        <v>1203</v>
      </c>
      <c r="D2284" s="11">
        <v>45618</v>
      </c>
      <c r="E2284" t="s">
        <v>48</v>
      </c>
      <c r="F2284" t="s">
        <v>12</v>
      </c>
      <c r="G2284">
        <v>70091212</v>
      </c>
      <c r="H2284">
        <v>4511566008</v>
      </c>
      <c r="I2284">
        <v>650</v>
      </c>
      <c r="J2284" s="29">
        <v>1</v>
      </c>
      <c r="K2284" s="29" t="s">
        <v>133</v>
      </c>
      <c r="L2284" t="str">
        <f>IFERROR(VLOOKUP(Detalle_OC[[#This Row],[Centro]]&amp;Detalle_OC[[#This Row],[Nro Almacen]],Almacen!A:D,4,FALSE),"")</f>
        <v>Montelima</v>
      </c>
    </row>
    <row r="2285" spans="1:12" x14ac:dyDescent="0.3">
      <c r="A2285" s="29" t="str">
        <f>Detalle_OC[[#This Row],[Centro]]&amp;Detalle_OC[[#This Row],[Nom Almacen]]&amp;Detalle_OC[[#This Row],[Material]]&amp;Detalle_OC[[#This Row],[Pedido]]&amp;Detalle_OC[[#This Row],[Posicion]]</f>
        <v>Agricola del Chira PlantaMontelima700912124511566008660</v>
      </c>
      <c r="B2285" t="s">
        <v>200</v>
      </c>
      <c r="C2285" t="s">
        <v>1203</v>
      </c>
      <c r="D2285" s="11">
        <v>45618</v>
      </c>
      <c r="E2285" t="s">
        <v>48</v>
      </c>
      <c r="F2285" t="s">
        <v>12</v>
      </c>
      <c r="G2285">
        <v>70091212</v>
      </c>
      <c r="H2285">
        <v>4511566008</v>
      </c>
      <c r="I2285">
        <v>660</v>
      </c>
      <c r="J2285" s="29">
        <v>1</v>
      </c>
      <c r="K2285" s="29" t="s">
        <v>133</v>
      </c>
      <c r="L2285" t="str">
        <f>IFERROR(VLOOKUP(Detalle_OC[[#This Row],[Centro]]&amp;Detalle_OC[[#This Row],[Nro Almacen]],Almacen!A:D,4,FALSE),"")</f>
        <v>Montelima</v>
      </c>
    </row>
    <row r="2286" spans="1:12" x14ac:dyDescent="0.3">
      <c r="A2286" s="29" t="str">
        <f>Detalle_OC[[#This Row],[Centro]]&amp;Detalle_OC[[#This Row],[Nom Almacen]]&amp;Detalle_OC[[#This Row],[Material]]&amp;Detalle_OC[[#This Row],[Pedido]]&amp;Detalle_OC[[#This Row],[Posicion]]</f>
        <v>Agricola del Chira PlantaMontelima700942604511566008670</v>
      </c>
      <c r="B2286" t="s">
        <v>200</v>
      </c>
      <c r="C2286" t="s">
        <v>1203</v>
      </c>
      <c r="D2286" s="11">
        <v>45618</v>
      </c>
      <c r="E2286" t="s">
        <v>48</v>
      </c>
      <c r="F2286" t="s">
        <v>12</v>
      </c>
      <c r="G2286">
        <v>70094260</v>
      </c>
      <c r="H2286">
        <v>4511566008</v>
      </c>
      <c r="I2286">
        <v>670</v>
      </c>
      <c r="J2286" s="29">
        <v>1</v>
      </c>
      <c r="K2286" s="29" t="s">
        <v>133</v>
      </c>
      <c r="L2286" t="str">
        <f>IFERROR(VLOOKUP(Detalle_OC[[#This Row],[Centro]]&amp;Detalle_OC[[#This Row],[Nro Almacen]],Almacen!A:D,4,FALSE),"")</f>
        <v>Montelima</v>
      </c>
    </row>
    <row r="2287" spans="1:12" x14ac:dyDescent="0.3">
      <c r="A2287" s="29" t="str">
        <f>Detalle_OC[[#This Row],[Centro]]&amp;Detalle_OC[[#This Row],[Nom Almacen]]&amp;Detalle_OC[[#This Row],[Material]]&amp;Detalle_OC[[#This Row],[Pedido]]&amp;Detalle_OC[[#This Row],[Posicion]]</f>
        <v>Agricola del Chira PlantaMontelima700942604511566008680</v>
      </c>
      <c r="B2287" t="s">
        <v>200</v>
      </c>
      <c r="C2287" t="s">
        <v>1203</v>
      </c>
      <c r="D2287" s="11">
        <v>45618</v>
      </c>
      <c r="E2287" t="s">
        <v>48</v>
      </c>
      <c r="F2287" t="s">
        <v>12</v>
      </c>
      <c r="G2287">
        <v>70094260</v>
      </c>
      <c r="H2287">
        <v>4511566008</v>
      </c>
      <c r="I2287">
        <v>680</v>
      </c>
      <c r="J2287" s="29">
        <v>1</v>
      </c>
      <c r="K2287" s="29" t="s">
        <v>133</v>
      </c>
      <c r="L2287" t="str">
        <f>IFERROR(VLOOKUP(Detalle_OC[[#This Row],[Centro]]&amp;Detalle_OC[[#This Row],[Nro Almacen]],Almacen!A:D,4,FALSE),"")</f>
        <v>Montelima</v>
      </c>
    </row>
    <row r="2288" spans="1:12" x14ac:dyDescent="0.3">
      <c r="A2288" s="29" t="str">
        <f>Detalle_OC[[#This Row],[Centro]]&amp;Detalle_OC[[#This Row],[Nom Almacen]]&amp;Detalle_OC[[#This Row],[Material]]&amp;Detalle_OC[[#This Row],[Pedido]]&amp;Detalle_OC[[#This Row],[Posicion]]</f>
        <v>Agricola del Chira PlantaMontelima700942604511566008690</v>
      </c>
      <c r="B2288" t="s">
        <v>200</v>
      </c>
      <c r="C2288" t="s">
        <v>1203</v>
      </c>
      <c r="D2288" s="11">
        <v>45618</v>
      </c>
      <c r="E2288" t="s">
        <v>48</v>
      </c>
      <c r="F2288" t="s">
        <v>12</v>
      </c>
      <c r="G2288">
        <v>70094260</v>
      </c>
      <c r="H2288">
        <v>4511566008</v>
      </c>
      <c r="I2288">
        <v>690</v>
      </c>
      <c r="J2288" s="29">
        <v>1</v>
      </c>
      <c r="K2288" s="29" t="s">
        <v>133</v>
      </c>
      <c r="L2288" t="str">
        <f>IFERROR(VLOOKUP(Detalle_OC[[#This Row],[Centro]]&amp;Detalle_OC[[#This Row],[Nro Almacen]],Almacen!A:D,4,FALSE),"")</f>
        <v>Montelima</v>
      </c>
    </row>
    <row r="2289" spans="1:12" x14ac:dyDescent="0.3">
      <c r="A2289" s="29" t="str">
        <f>Detalle_OC[[#This Row],[Centro]]&amp;Detalle_OC[[#This Row],[Nom Almacen]]&amp;Detalle_OC[[#This Row],[Material]]&amp;Detalle_OC[[#This Row],[Pedido]]&amp;Detalle_OC[[#This Row],[Posicion]]</f>
        <v>Agricola del Chira PlantaMontelima700942604511566008700</v>
      </c>
      <c r="B2289" t="s">
        <v>200</v>
      </c>
      <c r="C2289" t="s">
        <v>1203</v>
      </c>
      <c r="D2289" s="11">
        <v>45618</v>
      </c>
      <c r="E2289" t="s">
        <v>48</v>
      </c>
      <c r="F2289" t="s">
        <v>12</v>
      </c>
      <c r="G2289">
        <v>70094260</v>
      </c>
      <c r="H2289">
        <v>4511566008</v>
      </c>
      <c r="I2289">
        <v>700</v>
      </c>
      <c r="J2289" s="29">
        <v>1</v>
      </c>
      <c r="K2289" s="29" t="s">
        <v>133</v>
      </c>
      <c r="L2289" t="str">
        <f>IFERROR(VLOOKUP(Detalle_OC[[#This Row],[Centro]]&amp;Detalle_OC[[#This Row],[Nro Almacen]],Almacen!A:D,4,FALSE),"")</f>
        <v>Montelima</v>
      </c>
    </row>
    <row r="2290" spans="1:12" x14ac:dyDescent="0.3">
      <c r="A2290" s="29" t="str">
        <f>Detalle_OC[[#This Row],[Centro]]&amp;Detalle_OC[[#This Row],[Nom Almacen]]&amp;Detalle_OC[[#This Row],[Material]]&amp;Detalle_OC[[#This Row],[Pedido]]&amp;Detalle_OC[[#This Row],[Posicion]]</f>
        <v>Agricola del Chira PlantaMontelima700942604511566008710</v>
      </c>
      <c r="B2290" t="s">
        <v>200</v>
      </c>
      <c r="C2290" t="s">
        <v>1203</v>
      </c>
      <c r="D2290" s="11">
        <v>45618</v>
      </c>
      <c r="E2290" t="s">
        <v>48</v>
      </c>
      <c r="F2290" t="s">
        <v>12</v>
      </c>
      <c r="G2290">
        <v>70094260</v>
      </c>
      <c r="H2290">
        <v>4511566008</v>
      </c>
      <c r="I2290">
        <v>710</v>
      </c>
      <c r="J2290" s="29">
        <v>1</v>
      </c>
      <c r="K2290" s="29" t="s">
        <v>133</v>
      </c>
      <c r="L2290" t="str">
        <f>IFERROR(VLOOKUP(Detalle_OC[[#This Row],[Centro]]&amp;Detalle_OC[[#This Row],[Nro Almacen]],Almacen!A:D,4,FALSE),"")</f>
        <v>Montelima</v>
      </c>
    </row>
    <row r="2291" spans="1:12" x14ac:dyDescent="0.3">
      <c r="A2291" s="29" t="str">
        <f>Detalle_OC[[#This Row],[Centro]]&amp;Detalle_OC[[#This Row],[Nom Almacen]]&amp;Detalle_OC[[#This Row],[Material]]&amp;Detalle_OC[[#This Row],[Pedido]]&amp;Detalle_OC[[#This Row],[Posicion]]</f>
        <v>Agricola del Chira PlantaMontelima700942604511566008720</v>
      </c>
      <c r="B2291" t="s">
        <v>200</v>
      </c>
      <c r="C2291" t="s">
        <v>1203</v>
      </c>
      <c r="D2291" s="11">
        <v>45618</v>
      </c>
      <c r="E2291" t="s">
        <v>48</v>
      </c>
      <c r="F2291" t="s">
        <v>12</v>
      </c>
      <c r="G2291">
        <v>70094260</v>
      </c>
      <c r="H2291">
        <v>4511566008</v>
      </c>
      <c r="I2291">
        <v>720</v>
      </c>
      <c r="J2291" s="29">
        <v>1</v>
      </c>
      <c r="K2291" s="29" t="s">
        <v>133</v>
      </c>
      <c r="L2291" t="str">
        <f>IFERROR(VLOOKUP(Detalle_OC[[#This Row],[Centro]]&amp;Detalle_OC[[#This Row],[Nro Almacen]],Almacen!A:D,4,FALSE),"")</f>
        <v>Montelima</v>
      </c>
    </row>
    <row r="2292" spans="1:12" x14ac:dyDescent="0.3">
      <c r="A2292" s="29" t="str">
        <f>Detalle_OC[[#This Row],[Centro]]&amp;Detalle_OC[[#This Row],[Nom Almacen]]&amp;Detalle_OC[[#This Row],[Material]]&amp;Detalle_OC[[#This Row],[Pedido]]&amp;Detalle_OC[[#This Row],[Posicion]]</f>
        <v>Agricola del Chira PlantaMontelima701082584511566008730</v>
      </c>
      <c r="B2292" t="s">
        <v>200</v>
      </c>
      <c r="C2292" t="s">
        <v>1203</v>
      </c>
      <c r="D2292" s="11">
        <v>45618</v>
      </c>
      <c r="E2292" t="s">
        <v>48</v>
      </c>
      <c r="F2292" t="s">
        <v>12</v>
      </c>
      <c r="G2292">
        <v>70108258</v>
      </c>
      <c r="H2292">
        <v>4511566008</v>
      </c>
      <c r="I2292">
        <v>730</v>
      </c>
      <c r="J2292" s="29">
        <v>1</v>
      </c>
      <c r="K2292" s="29" t="s">
        <v>133</v>
      </c>
      <c r="L2292" t="str">
        <f>IFERROR(VLOOKUP(Detalle_OC[[#This Row],[Centro]]&amp;Detalle_OC[[#This Row],[Nro Almacen]],Almacen!A:D,4,FALSE),"")</f>
        <v>Montelima</v>
      </c>
    </row>
    <row r="2293" spans="1:12" x14ac:dyDescent="0.3">
      <c r="A2293" s="29" t="str">
        <f>Detalle_OC[[#This Row],[Centro]]&amp;Detalle_OC[[#This Row],[Nom Almacen]]&amp;Detalle_OC[[#This Row],[Material]]&amp;Detalle_OC[[#This Row],[Pedido]]&amp;Detalle_OC[[#This Row],[Posicion]]</f>
        <v>Agricola del Chira PlantaMontelima701082584511566008740</v>
      </c>
      <c r="B2293" t="s">
        <v>200</v>
      </c>
      <c r="C2293" t="s">
        <v>1203</v>
      </c>
      <c r="D2293" s="11">
        <v>45618</v>
      </c>
      <c r="E2293" t="s">
        <v>48</v>
      </c>
      <c r="F2293" t="s">
        <v>12</v>
      </c>
      <c r="G2293">
        <v>70108258</v>
      </c>
      <c r="H2293">
        <v>4511566008</v>
      </c>
      <c r="I2293">
        <v>740</v>
      </c>
      <c r="J2293" s="29">
        <v>1</v>
      </c>
      <c r="K2293" s="29" t="s">
        <v>133</v>
      </c>
      <c r="L2293" t="str">
        <f>IFERROR(VLOOKUP(Detalle_OC[[#This Row],[Centro]]&amp;Detalle_OC[[#This Row],[Nro Almacen]],Almacen!A:D,4,FALSE),"")</f>
        <v>Montelima</v>
      </c>
    </row>
    <row r="2294" spans="1:12" x14ac:dyDescent="0.3">
      <c r="A2294" s="29" t="str">
        <f>Detalle_OC[[#This Row],[Centro]]&amp;Detalle_OC[[#This Row],[Nom Almacen]]&amp;Detalle_OC[[#This Row],[Material]]&amp;Detalle_OC[[#This Row],[Pedido]]&amp;Detalle_OC[[#This Row],[Posicion]]</f>
        <v>Agricola del Chira PlantaMontelima701082584511566008750</v>
      </c>
      <c r="B2294" t="s">
        <v>200</v>
      </c>
      <c r="C2294" t="s">
        <v>1203</v>
      </c>
      <c r="D2294" s="11">
        <v>45618</v>
      </c>
      <c r="E2294" t="s">
        <v>48</v>
      </c>
      <c r="F2294" t="s">
        <v>12</v>
      </c>
      <c r="G2294">
        <v>70108258</v>
      </c>
      <c r="H2294">
        <v>4511566008</v>
      </c>
      <c r="I2294">
        <v>750</v>
      </c>
      <c r="J2294" s="29">
        <v>1</v>
      </c>
      <c r="K2294" s="29" t="s">
        <v>133</v>
      </c>
      <c r="L2294" t="str">
        <f>IFERROR(VLOOKUP(Detalle_OC[[#This Row],[Centro]]&amp;Detalle_OC[[#This Row],[Nro Almacen]],Almacen!A:D,4,FALSE),"")</f>
        <v>Montelima</v>
      </c>
    </row>
    <row r="2295" spans="1:12" x14ac:dyDescent="0.3">
      <c r="A2295" s="29" t="str">
        <f>Detalle_OC[[#This Row],[Centro]]&amp;Detalle_OC[[#This Row],[Nom Almacen]]&amp;Detalle_OC[[#This Row],[Material]]&amp;Detalle_OC[[#This Row],[Pedido]]&amp;Detalle_OC[[#This Row],[Posicion]]</f>
        <v>Agricola del Chira PlantaMontelima701082584511566008760</v>
      </c>
      <c r="B2295" t="s">
        <v>200</v>
      </c>
      <c r="C2295" t="s">
        <v>1203</v>
      </c>
      <c r="D2295" s="11">
        <v>45618</v>
      </c>
      <c r="E2295" t="s">
        <v>48</v>
      </c>
      <c r="F2295" t="s">
        <v>12</v>
      </c>
      <c r="G2295">
        <v>70108258</v>
      </c>
      <c r="H2295">
        <v>4511566008</v>
      </c>
      <c r="I2295">
        <v>760</v>
      </c>
      <c r="J2295" s="29">
        <v>1</v>
      </c>
      <c r="K2295" s="29" t="s">
        <v>133</v>
      </c>
      <c r="L2295" t="str">
        <f>IFERROR(VLOOKUP(Detalle_OC[[#This Row],[Centro]]&amp;Detalle_OC[[#This Row],[Nro Almacen]],Almacen!A:D,4,FALSE),"")</f>
        <v>Montelima</v>
      </c>
    </row>
    <row r="2296" spans="1:12" x14ac:dyDescent="0.3">
      <c r="A2296" s="29" t="str">
        <f>Detalle_OC[[#This Row],[Centro]]&amp;Detalle_OC[[#This Row],[Nom Almacen]]&amp;Detalle_OC[[#This Row],[Material]]&amp;Detalle_OC[[#This Row],[Pedido]]&amp;Detalle_OC[[#This Row],[Posicion]]</f>
        <v>Agricola del Chira PlantaMontelima701082584511566008770</v>
      </c>
      <c r="B2296" t="s">
        <v>200</v>
      </c>
      <c r="C2296" t="s">
        <v>1203</v>
      </c>
      <c r="D2296" s="11">
        <v>45618</v>
      </c>
      <c r="E2296" t="s">
        <v>48</v>
      </c>
      <c r="F2296" t="s">
        <v>12</v>
      </c>
      <c r="G2296">
        <v>70108258</v>
      </c>
      <c r="H2296">
        <v>4511566008</v>
      </c>
      <c r="I2296">
        <v>770</v>
      </c>
      <c r="J2296" s="29">
        <v>1</v>
      </c>
      <c r="K2296" s="29" t="s">
        <v>133</v>
      </c>
      <c r="L2296" t="str">
        <f>IFERROR(VLOOKUP(Detalle_OC[[#This Row],[Centro]]&amp;Detalle_OC[[#This Row],[Nro Almacen]],Almacen!A:D,4,FALSE),"")</f>
        <v>Montelima</v>
      </c>
    </row>
    <row r="2297" spans="1:12" x14ac:dyDescent="0.3">
      <c r="A2297" s="29" t="str">
        <f>Detalle_OC[[#This Row],[Centro]]&amp;Detalle_OC[[#This Row],[Nom Almacen]]&amp;Detalle_OC[[#This Row],[Material]]&amp;Detalle_OC[[#This Row],[Pedido]]&amp;Detalle_OC[[#This Row],[Posicion]]</f>
        <v>Agricola del Chira PlantaMontelima701082584511566008780</v>
      </c>
      <c r="B2297" t="s">
        <v>200</v>
      </c>
      <c r="C2297" t="s">
        <v>1203</v>
      </c>
      <c r="D2297" s="11">
        <v>45618</v>
      </c>
      <c r="E2297" t="s">
        <v>48</v>
      </c>
      <c r="F2297" t="s">
        <v>12</v>
      </c>
      <c r="G2297">
        <v>70108258</v>
      </c>
      <c r="H2297">
        <v>4511566008</v>
      </c>
      <c r="I2297">
        <v>780</v>
      </c>
      <c r="J2297" s="29">
        <v>1</v>
      </c>
      <c r="K2297" s="29" t="s">
        <v>133</v>
      </c>
      <c r="L2297" t="str">
        <f>IFERROR(VLOOKUP(Detalle_OC[[#This Row],[Centro]]&amp;Detalle_OC[[#This Row],[Nro Almacen]],Almacen!A:D,4,FALSE),"")</f>
        <v>Montelima</v>
      </c>
    </row>
    <row r="2298" spans="1:12" x14ac:dyDescent="0.3">
      <c r="A2298" s="29" t="str">
        <f>Detalle_OC[[#This Row],[Centro]]&amp;Detalle_OC[[#This Row],[Nom Almacen]]&amp;Detalle_OC[[#This Row],[Material]]&amp;Detalle_OC[[#This Row],[Pedido]]&amp;Detalle_OC[[#This Row],[Posicion]]</f>
        <v>Agricola del Chira PlantaMontelima701082744511566008790</v>
      </c>
      <c r="B2298" t="s">
        <v>200</v>
      </c>
      <c r="C2298" t="s">
        <v>1203</v>
      </c>
      <c r="D2298" s="11">
        <v>45618</v>
      </c>
      <c r="E2298" t="s">
        <v>48</v>
      </c>
      <c r="F2298" t="s">
        <v>12</v>
      </c>
      <c r="G2298">
        <v>70108274</v>
      </c>
      <c r="H2298">
        <v>4511566008</v>
      </c>
      <c r="I2298">
        <v>790</v>
      </c>
      <c r="J2298" s="29">
        <v>1</v>
      </c>
      <c r="K2298" s="29" t="s">
        <v>133</v>
      </c>
      <c r="L2298" t="str">
        <f>IFERROR(VLOOKUP(Detalle_OC[[#This Row],[Centro]]&amp;Detalle_OC[[#This Row],[Nro Almacen]],Almacen!A:D,4,FALSE),"")</f>
        <v>Montelima</v>
      </c>
    </row>
    <row r="2299" spans="1:12" x14ac:dyDescent="0.3">
      <c r="A2299" s="29" t="str">
        <f>Detalle_OC[[#This Row],[Centro]]&amp;Detalle_OC[[#This Row],[Nom Almacen]]&amp;Detalle_OC[[#This Row],[Material]]&amp;Detalle_OC[[#This Row],[Pedido]]&amp;Detalle_OC[[#This Row],[Posicion]]</f>
        <v>Agricola del Chira PlantaMontelima701082744511566008800</v>
      </c>
      <c r="B2299" t="s">
        <v>200</v>
      </c>
      <c r="C2299" t="s">
        <v>1203</v>
      </c>
      <c r="D2299" s="11">
        <v>45618</v>
      </c>
      <c r="E2299" t="s">
        <v>48</v>
      </c>
      <c r="F2299" t="s">
        <v>12</v>
      </c>
      <c r="G2299">
        <v>70108274</v>
      </c>
      <c r="H2299">
        <v>4511566008</v>
      </c>
      <c r="I2299">
        <v>800</v>
      </c>
      <c r="J2299" s="29">
        <v>1</v>
      </c>
      <c r="K2299" s="29" t="s">
        <v>133</v>
      </c>
      <c r="L2299" t="str">
        <f>IFERROR(VLOOKUP(Detalle_OC[[#This Row],[Centro]]&amp;Detalle_OC[[#This Row],[Nro Almacen]],Almacen!A:D,4,FALSE),"")</f>
        <v>Montelima</v>
      </c>
    </row>
    <row r="2300" spans="1:12" x14ac:dyDescent="0.3">
      <c r="A2300" s="29" t="str">
        <f>Detalle_OC[[#This Row],[Centro]]&amp;Detalle_OC[[#This Row],[Nom Almacen]]&amp;Detalle_OC[[#This Row],[Material]]&amp;Detalle_OC[[#This Row],[Pedido]]&amp;Detalle_OC[[#This Row],[Posicion]]</f>
        <v>Agricola del Chira PlantaMontelima701082744511566008810</v>
      </c>
      <c r="B2300" t="s">
        <v>200</v>
      </c>
      <c r="C2300" t="s">
        <v>1203</v>
      </c>
      <c r="D2300" s="11">
        <v>45618</v>
      </c>
      <c r="E2300" t="s">
        <v>48</v>
      </c>
      <c r="F2300" t="s">
        <v>12</v>
      </c>
      <c r="G2300">
        <v>70108274</v>
      </c>
      <c r="H2300">
        <v>4511566008</v>
      </c>
      <c r="I2300">
        <v>810</v>
      </c>
      <c r="J2300" s="29">
        <v>1</v>
      </c>
      <c r="K2300" s="29" t="s">
        <v>133</v>
      </c>
      <c r="L2300" t="str">
        <f>IFERROR(VLOOKUP(Detalle_OC[[#This Row],[Centro]]&amp;Detalle_OC[[#This Row],[Nro Almacen]],Almacen!A:D,4,FALSE),"")</f>
        <v>Montelima</v>
      </c>
    </row>
    <row r="2301" spans="1:12" x14ac:dyDescent="0.3">
      <c r="A2301" s="29" t="str">
        <f>Detalle_OC[[#This Row],[Centro]]&amp;Detalle_OC[[#This Row],[Nom Almacen]]&amp;Detalle_OC[[#This Row],[Material]]&amp;Detalle_OC[[#This Row],[Pedido]]&amp;Detalle_OC[[#This Row],[Posicion]]</f>
        <v>Agricola del Chira PlantaMontelima701082744511566008820</v>
      </c>
      <c r="B2301" t="s">
        <v>200</v>
      </c>
      <c r="C2301" t="s">
        <v>1203</v>
      </c>
      <c r="D2301" s="11">
        <v>45618</v>
      </c>
      <c r="E2301" t="s">
        <v>48</v>
      </c>
      <c r="F2301" t="s">
        <v>12</v>
      </c>
      <c r="G2301">
        <v>70108274</v>
      </c>
      <c r="H2301">
        <v>4511566008</v>
      </c>
      <c r="I2301">
        <v>820</v>
      </c>
      <c r="J2301" s="29">
        <v>1</v>
      </c>
      <c r="K2301" s="29" t="s">
        <v>133</v>
      </c>
      <c r="L2301" t="str">
        <f>IFERROR(VLOOKUP(Detalle_OC[[#This Row],[Centro]]&amp;Detalle_OC[[#This Row],[Nro Almacen]],Almacen!A:D,4,FALSE),"")</f>
        <v>Montelima</v>
      </c>
    </row>
    <row r="2302" spans="1:12" x14ac:dyDescent="0.3">
      <c r="A2302" s="29" t="str">
        <f>Detalle_OC[[#This Row],[Centro]]&amp;Detalle_OC[[#This Row],[Nom Almacen]]&amp;Detalle_OC[[#This Row],[Material]]&amp;Detalle_OC[[#This Row],[Pedido]]&amp;Detalle_OC[[#This Row],[Posicion]]</f>
        <v>Agricola del Chira PlantaMontelima701082744511566008830</v>
      </c>
      <c r="B2302" t="s">
        <v>200</v>
      </c>
      <c r="C2302" t="s">
        <v>1203</v>
      </c>
      <c r="D2302" s="11">
        <v>45618</v>
      </c>
      <c r="E2302" t="s">
        <v>48</v>
      </c>
      <c r="F2302" t="s">
        <v>12</v>
      </c>
      <c r="G2302">
        <v>70108274</v>
      </c>
      <c r="H2302">
        <v>4511566008</v>
      </c>
      <c r="I2302">
        <v>830</v>
      </c>
      <c r="J2302" s="29">
        <v>1</v>
      </c>
      <c r="K2302" s="29" t="s">
        <v>133</v>
      </c>
      <c r="L2302" t="str">
        <f>IFERROR(VLOOKUP(Detalle_OC[[#This Row],[Centro]]&amp;Detalle_OC[[#This Row],[Nro Almacen]],Almacen!A:D,4,FALSE),"")</f>
        <v>Montelima</v>
      </c>
    </row>
    <row r="2303" spans="1:12" x14ac:dyDescent="0.3">
      <c r="A2303" s="29" t="str">
        <f>Detalle_OC[[#This Row],[Centro]]&amp;Detalle_OC[[#This Row],[Nom Almacen]]&amp;Detalle_OC[[#This Row],[Material]]&amp;Detalle_OC[[#This Row],[Pedido]]&amp;Detalle_OC[[#This Row],[Posicion]]</f>
        <v>Agricola del Chira PlantaMontelima701082744511566008840</v>
      </c>
      <c r="B2303" t="s">
        <v>200</v>
      </c>
      <c r="C2303" t="s">
        <v>1203</v>
      </c>
      <c r="D2303" s="11">
        <v>45618</v>
      </c>
      <c r="E2303" t="s">
        <v>48</v>
      </c>
      <c r="F2303" t="s">
        <v>12</v>
      </c>
      <c r="G2303">
        <v>70108274</v>
      </c>
      <c r="H2303">
        <v>4511566008</v>
      </c>
      <c r="I2303">
        <v>840</v>
      </c>
      <c r="J2303" s="29">
        <v>1</v>
      </c>
      <c r="K2303" s="29" t="s">
        <v>133</v>
      </c>
      <c r="L2303" t="str">
        <f>IFERROR(VLOOKUP(Detalle_OC[[#This Row],[Centro]]&amp;Detalle_OC[[#This Row],[Nro Almacen]],Almacen!A:D,4,FALSE),"")</f>
        <v>Montelima</v>
      </c>
    </row>
    <row r="2304" spans="1:12" x14ac:dyDescent="0.3">
      <c r="A2304" s="29" t="str">
        <f>Detalle_OC[[#This Row],[Centro]]&amp;Detalle_OC[[#This Row],[Nom Almacen]]&amp;Detalle_OC[[#This Row],[Material]]&amp;Detalle_OC[[#This Row],[Pedido]]&amp;Detalle_OC[[#This Row],[Posicion]]</f>
        <v>Agricola del Chira PlantaMontelima701082764511566008860</v>
      </c>
      <c r="B2304" t="s">
        <v>200</v>
      </c>
      <c r="C2304" t="s">
        <v>1203</v>
      </c>
      <c r="D2304" s="11">
        <v>45618</v>
      </c>
      <c r="E2304" t="s">
        <v>48</v>
      </c>
      <c r="F2304" t="s">
        <v>12</v>
      </c>
      <c r="G2304">
        <v>70108276</v>
      </c>
      <c r="H2304">
        <v>4511566008</v>
      </c>
      <c r="I2304">
        <v>860</v>
      </c>
      <c r="J2304" s="29">
        <v>1</v>
      </c>
      <c r="K2304" s="29" t="s">
        <v>133</v>
      </c>
      <c r="L2304" t="str">
        <f>IFERROR(VLOOKUP(Detalle_OC[[#This Row],[Centro]]&amp;Detalle_OC[[#This Row],[Nro Almacen]],Almacen!A:D,4,FALSE),"")</f>
        <v>Montelima</v>
      </c>
    </row>
    <row r="2305" spans="1:12" x14ac:dyDescent="0.3">
      <c r="A2305" s="29" t="str">
        <f>Detalle_OC[[#This Row],[Centro]]&amp;Detalle_OC[[#This Row],[Nom Almacen]]&amp;Detalle_OC[[#This Row],[Material]]&amp;Detalle_OC[[#This Row],[Pedido]]&amp;Detalle_OC[[#This Row],[Posicion]]</f>
        <v>Agricola del Chira PlantaMontelima701082764511566008870</v>
      </c>
      <c r="B2305" t="s">
        <v>200</v>
      </c>
      <c r="C2305" t="s">
        <v>1203</v>
      </c>
      <c r="D2305" s="11">
        <v>45618</v>
      </c>
      <c r="E2305" t="s">
        <v>48</v>
      </c>
      <c r="F2305" t="s">
        <v>12</v>
      </c>
      <c r="G2305">
        <v>70108276</v>
      </c>
      <c r="H2305">
        <v>4511566008</v>
      </c>
      <c r="I2305">
        <v>870</v>
      </c>
      <c r="J2305" s="29">
        <v>1</v>
      </c>
      <c r="K2305" s="29" t="s">
        <v>133</v>
      </c>
      <c r="L2305" t="str">
        <f>IFERROR(VLOOKUP(Detalle_OC[[#This Row],[Centro]]&amp;Detalle_OC[[#This Row],[Nro Almacen]],Almacen!A:D,4,FALSE),"")</f>
        <v>Montelima</v>
      </c>
    </row>
    <row r="2306" spans="1:12" x14ac:dyDescent="0.3">
      <c r="A2306" s="29" t="str">
        <f>Detalle_OC[[#This Row],[Centro]]&amp;Detalle_OC[[#This Row],[Nom Almacen]]&amp;Detalle_OC[[#This Row],[Material]]&amp;Detalle_OC[[#This Row],[Pedido]]&amp;Detalle_OC[[#This Row],[Posicion]]</f>
        <v>Agricola del Chira PlantaMontelima701082764511566008880</v>
      </c>
      <c r="B2306" t="s">
        <v>200</v>
      </c>
      <c r="C2306" t="s">
        <v>1203</v>
      </c>
      <c r="D2306" s="11">
        <v>45618</v>
      </c>
      <c r="E2306" t="s">
        <v>48</v>
      </c>
      <c r="F2306" t="s">
        <v>12</v>
      </c>
      <c r="G2306">
        <v>70108276</v>
      </c>
      <c r="H2306">
        <v>4511566008</v>
      </c>
      <c r="I2306">
        <v>880</v>
      </c>
      <c r="J2306" s="29">
        <v>1</v>
      </c>
      <c r="K2306" s="29" t="s">
        <v>133</v>
      </c>
      <c r="L2306" t="str">
        <f>IFERROR(VLOOKUP(Detalle_OC[[#This Row],[Centro]]&amp;Detalle_OC[[#This Row],[Nro Almacen]],Almacen!A:D,4,FALSE),"")</f>
        <v>Montelima</v>
      </c>
    </row>
    <row r="2307" spans="1:12" x14ac:dyDescent="0.3">
      <c r="A2307" s="29" t="str">
        <f>Detalle_OC[[#This Row],[Centro]]&amp;Detalle_OC[[#This Row],[Nom Almacen]]&amp;Detalle_OC[[#This Row],[Material]]&amp;Detalle_OC[[#This Row],[Pedido]]&amp;Detalle_OC[[#This Row],[Posicion]]</f>
        <v>Agricola del Chira PlantaMontelima701082764511566008890</v>
      </c>
      <c r="B2307" t="s">
        <v>200</v>
      </c>
      <c r="C2307" t="s">
        <v>1203</v>
      </c>
      <c r="D2307" s="11">
        <v>45618</v>
      </c>
      <c r="E2307" t="s">
        <v>48</v>
      </c>
      <c r="F2307" t="s">
        <v>12</v>
      </c>
      <c r="G2307">
        <v>70108276</v>
      </c>
      <c r="H2307">
        <v>4511566008</v>
      </c>
      <c r="I2307">
        <v>890</v>
      </c>
      <c r="J2307" s="29">
        <v>1</v>
      </c>
      <c r="K2307" s="29" t="s">
        <v>133</v>
      </c>
      <c r="L2307" t="str">
        <f>IFERROR(VLOOKUP(Detalle_OC[[#This Row],[Centro]]&amp;Detalle_OC[[#This Row],[Nro Almacen]],Almacen!A:D,4,FALSE),"")</f>
        <v>Montelima</v>
      </c>
    </row>
    <row r="2308" spans="1:12" x14ac:dyDescent="0.3">
      <c r="A2308" s="29" t="str">
        <f>Detalle_OC[[#This Row],[Centro]]&amp;Detalle_OC[[#This Row],[Nom Almacen]]&amp;Detalle_OC[[#This Row],[Material]]&amp;Detalle_OC[[#This Row],[Pedido]]&amp;Detalle_OC[[#This Row],[Posicion]]</f>
        <v>Agricola del Chira PlantaMontelima701082764511566008900</v>
      </c>
      <c r="B2308" t="s">
        <v>200</v>
      </c>
      <c r="C2308" t="s">
        <v>1203</v>
      </c>
      <c r="D2308" s="11">
        <v>45618</v>
      </c>
      <c r="E2308" t="s">
        <v>48</v>
      </c>
      <c r="F2308" t="s">
        <v>12</v>
      </c>
      <c r="G2308">
        <v>70108276</v>
      </c>
      <c r="H2308">
        <v>4511566008</v>
      </c>
      <c r="I2308">
        <v>900</v>
      </c>
      <c r="J2308" s="29">
        <v>1</v>
      </c>
      <c r="K2308" s="29" t="s">
        <v>133</v>
      </c>
      <c r="L2308" t="str">
        <f>IFERROR(VLOOKUP(Detalle_OC[[#This Row],[Centro]]&amp;Detalle_OC[[#This Row],[Nro Almacen]],Almacen!A:D,4,FALSE),"")</f>
        <v>Montelima</v>
      </c>
    </row>
    <row r="2309" spans="1:12" x14ac:dyDescent="0.3">
      <c r="A2309" s="29" t="str">
        <f>Detalle_OC[[#This Row],[Centro]]&amp;Detalle_OC[[#This Row],[Nom Almacen]]&amp;Detalle_OC[[#This Row],[Material]]&amp;Detalle_OC[[#This Row],[Pedido]]&amp;Detalle_OC[[#This Row],[Posicion]]</f>
        <v>Agricola del Chira PlantaMontelima701082764511566008910</v>
      </c>
      <c r="B2309" t="s">
        <v>200</v>
      </c>
      <c r="C2309" t="s">
        <v>1203</v>
      </c>
      <c r="D2309" s="11">
        <v>45618</v>
      </c>
      <c r="E2309" t="s">
        <v>48</v>
      </c>
      <c r="F2309" t="s">
        <v>12</v>
      </c>
      <c r="G2309">
        <v>70108276</v>
      </c>
      <c r="H2309">
        <v>4511566008</v>
      </c>
      <c r="I2309">
        <v>910</v>
      </c>
      <c r="J2309" s="29">
        <v>1</v>
      </c>
      <c r="K2309" s="29" t="s">
        <v>133</v>
      </c>
      <c r="L2309" t="str">
        <f>IFERROR(VLOOKUP(Detalle_OC[[#This Row],[Centro]]&amp;Detalle_OC[[#This Row],[Nro Almacen]],Almacen!A:D,4,FALSE),"")</f>
        <v>Montelima</v>
      </c>
    </row>
    <row r="2310" spans="1:12" x14ac:dyDescent="0.3">
      <c r="A2310" s="29" t="str">
        <f>Detalle_OC[[#This Row],[Centro]]&amp;Detalle_OC[[#This Row],[Nom Almacen]]&amp;Detalle_OC[[#This Row],[Material]]&amp;Detalle_OC[[#This Row],[Pedido]]&amp;Detalle_OC[[#This Row],[Posicion]]</f>
        <v>Agricola del Chira PlantaMontelima701083314511566008920</v>
      </c>
      <c r="B2310" t="s">
        <v>200</v>
      </c>
      <c r="C2310" t="s">
        <v>1203</v>
      </c>
      <c r="D2310" s="11">
        <v>45618</v>
      </c>
      <c r="E2310" t="s">
        <v>48</v>
      </c>
      <c r="F2310" t="s">
        <v>12</v>
      </c>
      <c r="G2310">
        <v>70108331</v>
      </c>
      <c r="H2310">
        <v>4511566008</v>
      </c>
      <c r="I2310">
        <v>920</v>
      </c>
      <c r="J2310" s="29">
        <v>1</v>
      </c>
      <c r="K2310" s="29" t="s">
        <v>133</v>
      </c>
      <c r="L2310" t="str">
        <f>IFERROR(VLOOKUP(Detalle_OC[[#This Row],[Centro]]&amp;Detalle_OC[[#This Row],[Nro Almacen]],Almacen!A:D,4,FALSE),"")</f>
        <v>Montelima</v>
      </c>
    </row>
    <row r="2311" spans="1:12" x14ac:dyDescent="0.3">
      <c r="A2311" s="29" t="str">
        <f>Detalle_OC[[#This Row],[Centro]]&amp;Detalle_OC[[#This Row],[Nom Almacen]]&amp;Detalle_OC[[#This Row],[Material]]&amp;Detalle_OC[[#This Row],[Pedido]]&amp;Detalle_OC[[#This Row],[Posicion]]</f>
        <v>Agricola del Chira PlantaMontelima701083314511566008930</v>
      </c>
      <c r="B2311" t="s">
        <v>200</v>
      </c>
      <c r="C2311" t="s">
        <v>1203</v>
      </c>
      <c r="D2311" s="11">
        <v>45618</v>
      </c>
      <c r="E2311" t="s">
        <v>48</v>
      </c>
      <c r="F2311" t="s">
        <v>12</v>
      </c>
      <c r="G2311">
        <v>70108331</v>
      </c>
      <c r="H2311">
        <v>4511566008</v>
      </c>
      <c r="I2311">
        <v>930</v>
      </c>
      <c r="J2311" s="29">
        <v>1</v>
      </c>
      <c r="K2311" s="29" t="s">
        <v>133</v>
      </c>
      <c r="L2311" t="str">
        <f>IFERROR(VLOOKUP(Detalle_OC[[#This Row],[Centro]]&amp;Detalle_OC[[#This Row],[Nro Almacen]],Almacen!A:D,4,FALSE),"")</f>
        <v>Montelima</v>
      </c>
    </row>
    <row r="2312" spans="1:12" x14ac:dyDescent="0.3">
      <c r="A2312" s="29" t="str">
        <f>Detalle_OC[[#This Row],[Centro]]&amp;Detalle_OC[[#This Row],[Nom Almacen]]&amp;Detalle_OC[[#This Row],[Material]]&amp;Detalle_OC[[#This Row],[Pedido]]&amp;Detalle_OC[[#This Row],[Posicion]]</f>
        <v>Agricola del Chira PlantaMontelima701083314511566008940</v>
      </c>
      <c r="B2312" t="s">
        <v>200</v>
      </c>
      <c r="C2312" t="s">
        <v>1203</v>
      </c>
      <c r="D2312" s="11">
        <v>45618</v>
      </c>
      <c r="E2312" t="s">
        <v>48</v>
      </c>
      <c r="F2312" t="s">
        <v>12</v>
      </c>
      <c r="G2312">
        <v>70108331</v>
      </c>
      <c r="H2312">
        <v>4511566008</v>
      </c>
      <c r="I2312">
        <v>940</v>
      </c>
      <c r="J2312" s="29">
        <v>1</v>
      </c>
      <c r="K2312" s="29" t="s">
        <v>133</v>
      </c>
      <c r="L2312" t="str">
        <f>IFERROR(VLOOKUP(Detalle_OC[[#This Row],[Centro]]&amp;Detalle_OC[[#This Row],[Nro Almacen]],Almacen!A:D,4,FALSE),"")</f>
        <v>Montelima</v>
      </c>
    </row>
    <row r="2313" spans="1:12" x14ac:dyDescent="0.3">
      <c r="A2313" s="29" t="str">
        <f>Detalle_OC[[#This Row],[Centro]]&amp;Detalle_OC[[#This Row],[Nom Almacen]]&amp;Detalle_OC[[#This Row],[Material]]&amp;Detalle_OC[[#This Row],[Pedido]]&amp;Detalle_OC[[#This Row],[Posicion]]</f>
        <v>Agricola del Chira PlantaMontelima701083314511566008950</v>
      </c>
      <c r="B2313" t="s">
        <v>200</v>
      </c>
      <c r="C2313" t="s">
        <v>1203</v>
      </c>
      <c r="D2313" s="11">
        <v>45618</v>
      </c>
      <c r="E2313" t="s">
        <v>48</v>
      </c>
      <c r="F2313" t="s">
        <v>12</v>
      </c>
      <c r="G2313">
        <v>70108331</v>
      </c>
      <c r="H2313">
        <v>4511566008</v>
      </c>
      <c r="I2313">
        <v>950</v>
      </c>
      <c r="J2313" s="29">
        <v>1</v>
      </c>
      <c r="K2313" s="29" t="s">
        <v>133</v>
      </c>
      <c r="L2313" t="str">
        <f>IFERROR(VLOOKUP(Detalle_OC[[#This Row],[Centro]]&amp;Detalle_OC[[#This Row],[Nro Almacen]],Almacen!A:D,4,FALSE),"")</f>
        <v>Montelima</v>
      </c>
    </row>
    <row r="2314" spans="1:12" x14ac:dyDescent="0.3">
      <c r="A2314" s="29" t="str">
        <f>Detalle_OC[[#This Row],[Centro]]&amp;Detalle_OC[[#This Row],[Nom Almacen]]&amp;Detalle_OC[[#This Row],[Material]]&amp;Detalle_OC[[#This Row],[Pedido]]&amp;Detalle_OC[[#This Row],[Posicion]]</f>
        <v>Agricola del Chira PlantaMontelima701083314511566008960</v>
      </c>
      <c r="B2314" t="s">
        <v>200</v>
      </c>
      <c r="C2314" t="s">
        <v>1203</v>
      </c>
      <c r="D2314" s="11">
        <v>45618</v>
      </c>
      <c r="E2314" t="s">
        <v>48</v>
      </c>
      <c r="F2314" t="s">
        <v>12</v>
      </c>
      <c r="G2314">
        <v>70108331</v>
      </c>
      <c r="H2314">
        <v>4511566008</v>
      </c>
      <c r="I2314">
        <v>960</v>
      </c>
      <c r="J2314" s="29">
        <v>1</v>
      </c>
      <c r="K2314" s="29" t="s">
        <v>133</v>
      </c>
      <c r="L2314" t="str">
        <f>IFERROR(VLOOKUP(Detalle_OC[[#This Row],[Centro]]&amp;Detalle_OC[[#This Row],[Nro Almacen]],Almacen!A:D,4,FALSE),"")</f>
        <v>Montelima</v>
      </c>
    </row>
    <row r="2315" spans="1:12" x14ac:dyDescent="0.3">
      <c r="A2315" s="29" t="str">
        <f>Detalle_OC[[#This Row],[Centro]]&amp;Detalle_OC[[#This Row],[Nom Almacen]]&amp;Detalle_OC[[#This Row],[Material]]&amp;Detalle_OC[[#This Row],[Pedido]]&amp;Detalle_OC[[#This Row],[Posicion]]</f>
        <v>Agricola del Chira PlantaMontelima701083314511566008970</v>
      </c>
      <c r="B2315" t="s">
        <v>200</v>
      </c>
      <c r="C2315" t="s">
        <v>1203</v>
      </c>
      <c r="D2315" s="11">
        <v>45618</v>
      </c>
      <c r="E2315" t="s">
        <v>48</v>
      </c>
      <c r="F2315" t="s">
        <v>12</v>
      </c>
      <c r="G2315">
        <v>70108331</v>
      </c>
      <c r="H2315">
        <v>4511566008</v>
      </c>
      <c r="I2315">
        <v>970</v>
      </c>
      <c r="J2315" s="29">
        <v>1</v>
      </c>
      <c r="K2315" s="29" t="s">
        <v>133</v>
      </c>
      <c r="L2315" t="str">
        <f>IFERROR(VLOOKUP(Detalle_OC[[#This Row],[Centro]]&amp;Detalle_OC[[#This Row],[Nro Almacen]],Almacen!A:D,4,FALSE),"")</f>
        <v>Montelima</v>
      </c>
    </row>
    <row r="2316" spans="1:12" x14ac:dyDescent="0.3">
      <c r="A2316" s="29" t="str">
        <f>Detalle_OC[[#This Row],[Centro]]&amp;Detalle_OC[[#This Row],[Nom Almacen]]&amp;Detalle_OC[[#This Row],[Material]]&amp;Detalle_OC[[#This Row],[Pedido]]&amp;Detalle_OC[[#This Row],[Posicion]]</f>
        <v>Agricola del Chira PlantaMontelima701083794511566008980</v>
      </c>
      <c r="B2316" t="s">
        <v>200</v>
      </c>
      <c r="C2316" t="s">
        <v>1203</v>
      </c>
      <c r="D2316" s="11">
        <v>45618</v>
      </c>
      <c r="E2316" t="s">
        <v>48</v>
      </c>
      <c r="F2316" t="s">
        <v>12</v>
      </c>
      <c r="G2316">
        <v>70108379</v>
      </c>
      <c r="H2316">
        <v>4511566008</v>
      </c>
      <c r="I2316">
        <v>980</v>
      </c>
      <c r="J2316" s="29">
        <v>1</v>
      </c>
      <c r="K2316" s="29" t="s">
        <v>133</v>
      </c>
      <c r="L2316" t="str">
        <f>IFERROR(VLOOKUP(Detalle_OC[[#This Row],[Centro]]&amp;Detalle_OC[[#This Row],[Nro Almacen]],Almacen!A:D,4,FALSE),"")</f>
        <v>Montelima</v>
      </c>
    </row>
    <row r="2317" spans="1:12" x14ac:dyDescent="0.3">
      <c r="A2317" s="29" t="str">
        <f>Detalle_OC[[#This Row],[Centro]]&amp;Detalle_OC[[#This Row],[Nom Almacen]]&amp;Detalle_OC[[#This Row],[Material]]&amp;Detalle_OC[[#This Row],[Pedido]]&amp;Detalle_OC[[#This Row],[Posicion]]</f>
        <v>Agricola del Chira PlantaMontelima701083794511566008990</v>
      </c>
      <c r="B2317" t="s">
        <v>200</v>
      </c>
      <c r="C2317" t="s">
        <v>1203</v>
      </c>
      <c r="D2317" s="11">
        <v>45618</v>
      </c>
      <c r="E2317" t="s">
        <v>48</v>
      </c>
      <c r="F2317" t="s">
        <v>12</v>
      </c>
      <c r="G2317">
        <v>70108379</v>
      </c>
      <c r="H2317">
        <v>4511566008</v>
      </c>
      <c r="I2317">
        <v>990</v>
      </c>
      <c r="J2317" s="29">
        <v>1</v>
      </c>
      <c r="K2317" s="29" t="s">
        <v>133</v>
      </c>
      <c r="L2317" t="str">
        <f>IFERROR(VLOOKUP(Detalle_OC[[#This Row],[Centro]]&amp;Detalle_OC[[#This Row],[Nro Almacen]],Almacen!A:D,4,FALSE),"")</f>
        <v>Montelima</v>
      </c>
    </row>
    <row r="2318" spans="1:12" x14ac:dyDescent="0.3">
      <c r="A2318" s="29" t="str">
        <f>Detalle_OC[[#This Row],[Centro]]&amp;Detalle_OC[[#This Row],[Nom Almacen]]&amp;Detalle_OC[[#This Row],[Material]]&amp;Detalle_OC[[#This Row],[Pedido]]&amp;Detalle_OC[[#This Row],[Posicion]]</f>
        <v>Agricola del Chira PlantaMontelima7010837945115660081000</v>
      </c>
      <c r="B2318" t="s">
        <v>200</v>
      </c>
      <c r="C2318" t="s">
        <v>1203</v>
      </c>
      <c r="D2318" s="11">
        <v>45618</v>
      </c>
      <c r="E2318" t="s">
        <v>48</v>
      </c>
      <c r="F2318" t="s">
        <v>12</v>
      </c>
      <c r="G2318">
        <v>70108379</v>
      </c>
      <c r="H2318">
        <v>4511566008</v>
      </c>
      <c r="I2318">
        <v>1000</v>
      </c>
      <c r="J2318" s="29">
        <v>1</v>
      </c>
      <c r="K2318" s="29" t="s">
        <v>133</v>
      </c>
      <c r="L2318" t="str">
        <f>IFERROR(VLOOKUP(Detalle_OC[[#This Row],[Centro]]&amp;Detalle_OC[[#This Row],[Nro Almacen]],Almacen!A:D,4,FALSE),"")</f>
        <v>Montelima</v>
      </c>
    </row>
    <row r="2319" spans="1:12" x14ac:dyDescent="0.3">
      <c r="A2319" s="29" t="str">
        <f>Detalle_OC[[#This Row],[Centro]]&amp;Detalle_OC[[#This Row],[Nom Almacen]]&amp;Detalle_OC[[#This Row],[Material]]&amp;Detalle_OC[[#This Row],[Pedido]]&amp;Detalle_OC[[#This Row],[Posicion]]</f>
        <v>Agricola del Chira PlantaMontelima7010837945115660081010</v>
      </c>
      <c r="B2319" t="s">
        <v>200</v>
      </c>
      <c r="C2319" t="s">
        <v>1203</v>
      </c>
      <c r="D2319" s="11">
        <v>45618</v>
      </c>
      <c r="E2319" t="s">
        <v>48</v>
      </c>
      <c r="F2319" t="s">
        <v>12</v>
      </c>
      <c r="G2319">
        <v>70108379</v>
      </c>
      <c r="H2319">
        <v>4511566008</v>
      </c>
      <c r="I2319">
        <v>1010</v>
      </c>
      <c r="J2319" s="29">
        <v>1</v>
      </c>
      <c r="K2319" s="29" t="s">
        <v>133</v>
      </c>
      <c r="L2319" t="str">
        <f>IFERROR(VLOOKUP(Detalle_OC[[#This Row],[Centro]]&amp;Detalle_OC[[#This Row],[Nro Almacen]],Almacen!A:D,4,FALSE),"")</f>
        <v>Montelima</v>
      </c>
    </row>
    <row r="2320" spans="1:12" x14ac:dyDescent="0.3">
      <c r="A2320" s="29" t="str">
        <f>Detalle_OC[[#This Row],[Centro]]&amp;Detalle_OC[[#This Row],[Nom Almacen]]&amp;Detalle_OC[[#This Row],[Material]]&amp;Detalle_OC[[#This Row],[Pedido]]&amp;Detalle_OC[[#This Row],[Posicion]]</f>
        <v>Agricola del Chira PlantaMontelima7010837945115660081020</v>
      </c>
      <c r="B2320" t="s">
        <v>200</v>
      </c>
      <c r="C2320" t="s">
        <v>1203</v>
      </c>
      <c r="D2320" s="11">
        <v>45618</v>
      </c>
      <c r="E2320" t="s">
        <v>48</v>
      </c>
      <c r="F2320" t="s">
        <v>12</v>
      </c>
      <c r="G2320">
        <v>70108379</v>
      </c>
      <c r="H2320">
        <v>4511566008</v>
      </c>
      <c r="I2320">
        <v>1020</v>
      </c>
      <c r="J2320" s="29">
        <v>1</v>
      </c>
      <c r="K2320" s="29" t="s">
        <v>133</v>
      </c>
      <c r="L2320" t="str">
        <f>IFERROR(VLOOKUP(Detalle_OC[[#This Row],[Centro]]&amp;Detalle_OC[[#This Row],[Nro Almacen]],Almacen!A:D,4,FALSE),"")</f>
        <v>Montelima</v>
      </c>
    </row>
    <row r="2321" spans="1:12" x14ac:dyDescent="0.3">
      <c r="A2321" s="29" t="str">
        <f>Detalle_OC[[#This Row],[Centro]]&amp;Detalle_OC[[#This Row],[Nom Almacen]]&amp;Detalle_OC[[#This Row],[Material]]&amp;Detalle_OC[[#This Row],[Pedido]]&amp;Detalle_OC[[#This Row],[Posicion]]</f>
        <v>Agricola del Chira PlantaMontelima7010837945115660081030</v>
      </c>
      <c r="B2321" t="s">
        <v>200</v>
      </c>
      <c r="C2321" t="s">
        <v>1203</v>
      </c>
      <c r="D2321" s="11">
        <v>45618</v>
      </c>
      <c r="E2321" t="s">
        <v>48</v>
      </c>
      <c r="F2321" t="s">
        <v>12</v>
      </c>
      <c r="G2321">
        <v>70108379</v>
      </c>
      <c r="H2321">
        <v>4511566008</v>
      </c>
      <c r="I2321">
        <v>1030</v>
      </c>
      <c r="J2321" s="29">
        <v>1</v>
      </c>
      <c r="K2321" s="29" t="s">
        <v>133</v>
      </c>
      <c r="L2321" t="str">
        <f>IFERROR(VLOOKUP(Detalle_OC[[#This Row],[Centro]]&amp;Detalle_OC[[#This Row],[Nro Almacen]],Almacen!A:D,4,FALSE),"")</f>
        <v>Montelima</v>
      </c>
    </row>
    <row r="2322" spans="1:12" x14ac:dyDescent="0.3">
      <c r="A2322" s="29" t="str">
        <f>Detalle_OC[[#This Row],[Centro]]&amp;Detalle_OC[[#This Row],[Nom Almacen]]&amp;Detalle_OC[[#This Row],[Material]]&amp;Detalle_OC[[#This Row],[Pedido]]&amp;Detalle_OC[[#This Row],[Posicion]]</f>
        <v>Sucroalcolera del Chira PlantaMontelima70074657451156600930</v>
      </c>
      <c r="B2322" t="s">
        <v>200</v>
      </c>
      <c r="C2322" t="s">
        <v>1203</v>
      </c>
      <c r="D2322" s="11">
        <v>45617</v>
      </c>
      <c r="E2322" t="s">
        <v>48</v>
      </c>
      <c r="F2322" t="s">
        <v>85</v>
      </c>
      <c r="G2322">
        <v>70074657</v>
      </c>
      <c r="H2322">
        <v>4511566009</v>
      </c>
      <c r="I2322">
        <v>30</v>
      </c>
      <c r="J2322" s="29">
        <v>1</v>
      </c>
      <c r="K2322" s="29" t="s">
        <v>133</v>
      </c>
      <c r="L2322" t="str">
        <f>IFERROR(VLOOKUP(Detalle_OC[[#This Row],[Centro]]&amp;Detalle_OC[[#This Row],[Nro Almacen]],Almacen!A:D,4,FALSE),"")</f>
        <v>Montelima</v>
      </c>
    </row>
    <row r="2323" spans="1:12" x14ac:dyDescent="0.3">
      <c r="A2323" s="29" t="str">
        <f>Detalle_OC[[#This Row],[Centro]]&amp;Detalle_OC[[#This Row],[Nom Almacen]]&amp;Detalle_OC[[#This Row],[Material]]&amp;Detalle_OC[[#This Row],[Pedido]]&amp;Detalle_OC[[#This Row],[Posicion]]</f>
        <v>Sucroalcolera del Chira PlantaMontelima70074657451156600940</v>
      </c>
      <c r="B2323" t="s">
        <v>200</v>
      </c>
      <c r="C2323" t="s">
        <v>1203</v>
      </c>
      <c r="D2323" s="11">
        <v>45617</v>
      </c>
      <c r="E2323" t="s">
        <v>48</v>
      </c>
      <c r="F2323" t="s">
        <v>85</v>
      </c>
      <c r="G2323">
        <v>70074657</v>
      </c>
      <c r="H2323">
        <v>4511566009</v>
      </c>
      <c r="I2323">
        <v>40</v>
      </c>
      <c r="J2323" s="29">
        <v>1</v>
      </c>
      <c r="K2323" s="29" t="s">
        <v>133</v>
      </c>
      <c r="L2323" t="str">
        <f>IFERROR(VLOOKUP(Detalle_OC[[#This Row],[Centro]]&amp;Detalle_OC[[#This Row],[Nro Almacen]],Almacen!A:D,4,FALSE),"")</f>
        <v>Montelima</v>
      </c>
    </row>
    <row r="2324" spans="1:12" x14ac:dyDescent="0.3">
      <c r="A2324" s="29" t="str">
        <f>Detalle_OC[[#This Row],[Centro]]&amp;Detalle_OC[[#This Row],[Nom Almacen]]&amp;Detalle_OC[[#This Row],[Material]]&amp;Detalle_OC[[#This Row],[Pedido]]&amp;Detalle_OC[[#This Row],[Posicion]]</f>
        <v>Sucroalcolera del Chira PlantaMontelima70074662451156600950</v>
      </c>
      <c r="B2324" t="s">
        <v>200</v>
      </c>
      <c r="C2324" t="s">
        <v>1203</v>
      </c>
      <c r="D2324" s="11">
        <v>45617</v>
      </c>
      <c r="E2324" t="s">
        <v>48</v>
      </c>
      <c r="F2324" t="s">
        <v>85</v>
      </c>
      <c r="G2324">
        <v>70074662</v>
      </c>
      <c r="H2324">
        <v>4511566009</v>
      </c>
      <c r="I2324">
        <v>50</v>
      </c>
      <c r="J2324" s="29">
        <v>1</v>
      </c>
      <c r="K2324" s="29" t="s">
        <v>133</v>
      </c>
      <c r="L2324" t="str">
        <f>IFERROR(VLOOKUP(Detalle_OC[[#This Row],[Centro]]&amp;Detalle_OC[[#This Row],[Nro Almacen]],Almacen!A:D,4,FALSE),"")</f>
        <v>Montelima</v>
      </c>
    </row>
    <row r="2325" spans="1:12" x14ac:dyDescent="0.3">
      <c r="A2325" s="29" t="str">
        <f>Detalle_OC[[#This Row],[Centro]]&amp;Detalle_OC[[#This Row],[Nom Almacen]]&amp;Detalle_OC[[#This Row],[Material]]&amp;Detalle_OC[[#This Row],[Pedido]]&amp;Detalle_OC[[#This Row],[Posicion]]</f>
        <v>Sucroalcolera del Chira PlantaMontelima70074662451156600960</v>
      </c>
      <c r="B2325" t="s">
        <v>200</v>
      </c>
      <c r="C2325" t="s">
        <v>1203</v>
      </c>
      <c r="D2325" s="11">
        <v>45617</v>
      </c>
      <c r="E2325" t="s">
        <v>48</v>
      </c>
      <c r="F2325" t="s">
        <v>85</v>
      </c>
      <c r="G2325">
        <v>70074662</v>
      </c>
      <c r="H2325">
        <v>4511566009</v>
      </c>
      <c r="I2325">
        <v>60</v>
      </c>
      <c r="J2325" s="29">
        <v>1</v>
      </c>
      <c r="K2325" s="29" t="s">
        <v>133</v>
      </c>
      <c r="L2325" t="str">
        <f>IFERROR(VLOOKUP(Detalle_OC[[#This Row],[Centro]]&amp;Detalle_OC[[#This Row],[Nro Almacen]],Almacen!A:D,4,FALSE),"")</f>
        <v>Montelima</v>
      </c>
    </row>
    <row r="2326" spans="1:12" x14ac:dyDescent="0.3">
      <c r="A2326" s="29" t="str">
        <f>Detalle_OC[[#This Row],[Centro]]&amp;Detalle_OC[[#This Row],[Nom Almacen]]&amp;Detalle_OC[[#This Row],[Material]]&amp;Detalle_OC[[#This Row],[Pedido]]&amp;Detalle_OC[[#This Row],[Posicion]]</f>
        <v>Sucroalcolera del Chira PlantaMontelima70074663451156600970</v>
      </c>
      <c r="B2326" t="s">
        <v>200</v>
      </c>
      <c r="C2326" t="s">
        <v>1203</v>
      </c>
      <c r="D2326" s="11">
        <v>45617</v>
      </c>
      <c r="E2326" t="s">
        <v>48</v>
      </c>
      <c r="F2326" t="s">
        <v>85</v>
      </c>
      <c r="G2326">
        <v>70074663</v>
      </c>
      <c r="H2326">
        <v>4511566009</v>
      </c>
      <c r="I2326">
        <v>70</v>
      </c>
      <c r="J2326" s="29">
        <v>1</v>
      </c>
      <c r="K2326" s="29" t="s">
        <v>133</v>
      </c>
      <c r="L2326" t="str">
        <f>IFERROR(VLOOKUP(Detalle_OC[[#This Row],[Centro]]&amp;Detalle_OC[[#This Row],[Nro Almacen]],Almacen!A:D,4,FALSE),"")</f>
        <v>Montelima</v>
      </c>
    </row>
    <row r="2327" spans="1:12" x14ac:dyDescent="0.3">
      <c r="A2327" s="29" t="str">
        <f>Detalle_OC[[#This Row],[Centro]]&amp;Detalle_OC[[#This Row],[Nom Almacen]]&amp;Detalle_OC[[#This Row],[Material]]&amp;Detalle_OC[[#This Row],[Pedido]]&amp;Detalle_OC[[#This Row],[Posicion]]</f>
        <v>Sucroalcolera del Chira PlantaMontelima70074663451156600980</v>
      </c>
      <c r="B2327" t="s">
        <v>200</v>
      </c>
      <c r="C2327" t="s">
        <v>1203</v>
      </c>
      <c r="D2327" s="11">
        <v>45617</v>
      </c>
      <c r="E2327" t="s">
        <v>48</v>
      </c>
      <c r="F2327" t="s">
        <v>85</v>
      </c>
      <c r="G2327">
        <v>70074663</v>
      </c>
      <c r="H2327">
        <v>4511566009</v>
      </c>
      <c r="I2327">
        <v>80</v>
      </c>
      <c r="J2327" s="29">
        <v>1</v>
      </c>
      <c r="K2327" s="29" t="s">
        <v>133</v>
      </c>
      <c r="L2327" t="str">
        <f>IFERROR(VLOOKUP(Detalle_OC[[#This Row],[Centro]]&amp;Detalle_OC[[#This Row],[Nro Almacen]],Almacen!A:D,4,FALSE),"")</f>
        <v>Montelima</v>
      </c>
    </row>
    <row r="2328" spans="1:12" x14ac:dyDescent="0.3">
      <c r="A2328" s="29" t="str">
        <f>Detalle_OC[[#This Row],[Centro]]&amp;Detalle_OC[[#This Row],[Nom Almacen]]&amp;Detalle_OC[[#This Row],[Material]]&amp;Detalle_OC[[#This Row],[Pedido]]&amp;Detalle_OC[[#This Row],[Posicion]]</f>
        <v>Sucroalcolera del Chira PlantaMontelima70074665451156600990</v>
      </c>
      <c r="B2328" t="s">
        <v>200</v>
      </c>
      <c r="C2328" t="s">
        <v>1203</v>
      </c>
      <c r="D2328" s="11">
        <v>45617</v>
      </c>
      <c r="E2328" t="s">
        <v>48</v>
      </c>
      <c r="F2328" t="s">
        <v>85</v>
      </c>
      <c r="G2328">
        <v>70074665</v>
      </c>
      <c r="H2328">
        <v>4511566009</v>
      </c>
      <c r="I2328">
        <v>90</v>
      </c>
      <c r="J2328" s="29">
        <v>1</v>
      </c>
      <c r="K2328" s="29" t="s">
        <v>133</v>
      </c>
      <c r="L2328" t="str">
        <f>IFERROR(VLOOKUP(Detalle_OC[[#This Row],[Centro]]&amp;Detalle_OC[[#This Row],[Nro Almacen]],Almacen!A:D,4,FALSE),"")</f>
        <v>Montelima</v>
      </c>
    </row>
    <row r="2329" spans="1:12" x14ac:dyDescent="0.3">
      <c r="A2329" s="29" t="str">
        <f>Detalle_OC[[#This Row],[Centro]]&amp;Detalle_OC[[#This Row],[Nom Almacen]]&amp;Detalle_OC[[#This Row],[Material]]&amp;Detalle_OC[[#This Row],[Pedido]]&amp;Detalle_OC[[#This Row],[Posicion]]</f>
        <v>Sucroalcolera del Chira PlantaMontelima700746654511566009100</v>
      </c>
      <c r="B2329" t="s">
        <v>200</v>
      </c>
      <c r="C2329" t="s">
        <v>1203</v>
      </c>
      <c r="D2329" s="11">
        <v>45617</v>
      </c>
      <c r="E2329" t="s">
        <v>48</v>
      </c>
      <c r="F2329" t="s">
        <v>85</v>
      </c>
      <c r="G2329">
        <v>70074665</v>
      </c>
      <c r="H2329">
        <v>4511566009</v>
      </c>
      <c r="I2329">
        <v>100</v>
      </c>
      <c r="J2329" s="29">
        <v>1</v>
      </c>
      <c r="K2329" s="29" t="s">
        <v>133</v>
      </c>
      <c r="L2329" t="str">
        <f>IFERROR(VLOOKUP(Detalle_OC[[#This Row],[Centro]]&amp;Detalle_OC[[#This Row],[Nro Almacen]],Almacen!A:D,4,FALSE),"")</f>
        <v>Montelima</v>
      </c>
    </row>
    <row r="2330" spans="1:12" x14ac:dyDescent="0.3">
      <c r="A2330" s="29" t="str">
        <f>Detalle_OC[[#This Row],[Centro]]&amp;Detalle_OC[[#This Row],[Nom Almacen]]&amp;Detalle_OC[[#This Row],[Material]]&amp;Detalle_OC[[#This Row],[Pedido]]&amp;Detalle_OC[[#This Row],[Posicion]]</f>
        <v>Sucroalcolera del Chira PlantaMontelima700747934511566009110</v>
      </c>
      <c r="B2330" t="s">
        <v>200</v>
      </c>
      <c r="C2330" t="s">
        <v>1203</v>
      </c>
      <c r="D2330" s="11">
        <v>45617</v>
      </c>
      <c r="E2330" t="s">
        <v>48</v>
      </c>
      <c r="F2330" t="s">
        <v>85</v>
      </c>
      <c r="G2330">
        <v>70074793</v>
      </c>
      <c r="H2330">
        <v>4511566009</v>
      </c>
      <c r="I2330">
        <v>110</v>
      </c>
      <c r="J2330" s="29">
        <v>1</v>
      </c>
      <c r="K2330" s="29" t="s">
        <v>133</v>
      </c>
      <c r="L2330" t="str">
        <f>IFERROR(VLOOKUP(Detalle_OC[[#This Row],[Centro]]&amp;Detalle_OC[[#This Row],[Nro Almacen]],Almacen!A:D,4,FALSE),"")</f>
        <v>Montelima</v>
      </c>
    </row>
    <row r="2331" spans="1:12" x14ac:dyDescent="0.3">
      <c r="A2331" s="29" t="str">
        <f>Detalle_OC[[#This Row],[Centro]]&amp;Detalle_OC[[#This Row],[Nom Almacen]]&amp;Detalle_OC[[#This Row],[Material]]&amp;Detalle_OC[[#This Row],[Pedido]]&amp;Detalle_OC[[#This Row],[Posicion]]</f>
        <v>Sucroalcolera del Chira PlantaMontelima700747934511566009120</v>
      </c>
      <c r="B2331" t="s">
        <v>200</v>
      </c>
      <c r="C2331" t="s">
        <v>1203</v>
      </c>
      <c r="D2331" s="11">
        <v>45617</v>
      </c>
      <c r="E2331" t="s">
        <v>48</v>
      </c>
      <c r="F2331" t="s">
        <v>85</v>
      </c>
      <c r="G2331">
        <v>70074793</v>
      </c>
      <c r="H2331">
        <v>4511566009</v>
      </c>
      <c r="I2331">
        <v>120</v>
      </c>
      <c r="J2331" s="29">
        <v>1</v>
      </c>
      <c r="K2331" s="29" t="s">
        <v>133</v>
      </c>
      <c r="L2331" t="str">
        <f>IFERROR(VLOOKUP(Detalle_OC[[#This Row],[Centro]]&amp;Detalle_OC[[#This Row],[Nro Almacen]],Almacen!A:D,4,FALSE),"")</f>
        <v>Montelima</v>
      </c>
    </row>
    <row r="2332" spans="1:12" x14ac:dyDescent="0.3">
      <c r="A2332" s="29" t="str">
        <f>Detalle_OC[[#This Row],[Centro]]&amp;Detalle_OC[[#This Row],[Nom Almacen]]&amp;Detalle_OC[[#This Row],[Material]]&amp;Detalle_OC[[#This Row],[Pedido]]&amp;Detalle_OC[[#This Row],[Posicion]]</f>
        <v>Sucroalcolera del Chira PlantaMontelima700747944511566009130</v>
      </c>
      <c r="B2332" t="s">
        <v>200</v>
      </c>
      <c r="C2332" t="s">
        <v>1203</v>
      </c>
      <c r="D2332" s="11">
        <v>45617</v>
      </c>
      <c r="E2332" t="s">
        <v>48</v>
      </c>
      <c r="F2332" t="s">
        <v>85</v>
      </c>
      <c r="G2332">
        <v>70074794</v>
      </c>
      <c r="H2332">
        <v>4511566009</v>
      </c>
      <c r="I2332">
        <v>130</v>
      </c>
      <c r="J2332" s="29">
        <v>1</v>
      </c>
      <c r="K2332" s="29" t="s">
        <v>133</v>
      </c>
      <c r="L2332" t="str">
        <f>IFERROR(VLOOKUP(Detalle_OC[[#This Row],[Centro]]&amp;Detalle_OC[[#This Row],[Nro Almacen]],Almacen!A:D,4,FALSE),"")</f>
        <v>Montelima</v>
      </c>
    </row>
    <row r="2333" spans="1:12" x14ac:dyDescent="0.3">
      <c r="A2333" s="29" t="str">
        <f>Detalle_OC[[#This Row],[Centro]]&amp;Detalle_OC[[#This Row],[Nom Almacen]]&amp;Detalle_OC[[#This Row],[Material]]&amp;Detalle_OC[[#This Row],[Pedido]]&amp;Detalle_OC[[#This Row],[Posicion]]</f>
        <v>Sucroalcolera del Chira PlantaMontelima700747944511566009140</v>
      </c>
      <c r="B2333" t="s">
        <v>200</v>
      </c>
      <c r="C2333" t="s">
        <v>1203</v>
      </c>
      <c r="D2333" s="11">
        <v>45617</v>
      </c>
      <c r="E2333" t="s">
        <v>48</v>
      </c>
      <c r="F2333" t="s">
        <v>85</v>
      </c>
      <c r="G2333">
        <v>70074794</v>
      </c>
      <c r="H2333">
        <v>4511566009</v>
      </c>
      <c r="I2333">
        <v>140</v>
      </c>
      <c r="J2333" s="29">
        <v>1</v>
      </c>
      <c r="K2333" s="29" t="s">
        <v>133</v>
      </c>
      <c r="L2333" t="str">
        <f>IFERROR(VLOOKUP(Detalle_OC[[#This Row],[Centro]]&amp;Detalle_OC[[#This Row],[Nro Almacen]],Almacen!A:D,4,FALSE),"")</f>
        <v>Montelima</v>
      </c>
    </row>
    <row r="2334" spans="1:12" x14ac:dyDescent="0.3">
      <c r="A2334" s="29" t="str">
        <f>Detalle_OC[[#This Row],[Centro]]&amp;Detalle_OC[[#This Row],[Nom Almacen]]&amp;Detalle_OC[[#This Row],[Material]]&amp;Detalle_OC[[#This Row],[Pedido]]&amp;Detalle_OC[[#This Row],[Posicion]]</f>
        <v>Sucroalcolera del Chira PlantaMontelima700757944511566009150</v>
      </c>
      <c r="B2334" t="s">
        <v>200</v>
      </c>
      <c r="C2334" t="s">
        <v>1203</v>
      </c>
      <c r="D2334" s="11">
        <v>45617</v>
      </c>
      <c r="E2334" t="s">
        <v>48</v>
      </c>
      <c r="F2334" t="s">
        <v>85</v>
      </c>
      <c r="G2334">
        <v>70075794</v>
      </c>
      <c r="H2334">
        <v>4511566009</v>
      </c>
      <c r="I2334">
        <v>150</v>
      </c>
      <c r="J2334" s="29">
        <v>1</v>
      </c>
      <c r="K2334" s="29" t="s">
        <v>133</v>
      </c>
      <c r="L2334" t="str">
        <f>IFERROR(VLOOKUP(Detalle_OC[[#This Row],[Centro]]&amp;Detalle_OC[[#This Row],[Nro Almacen]],Almacen!A:D,4,FALSE),"")</f>
        <v>Montelima</v>
      </c>
    </row>
    <row r="2335" spans="1:12" x14ac:dyDescent="0.3">
      <c r="A2335" s="29" t="str">
        <f>Detalle_OC[[#This Row],[Centro]]&amp;Detalle_OC[[#This Row],[Nom Almacen]]&amp;Detalle_OC[[#This Row],[Material]]&amp;Detalle_OC[[#This Row],[Pedido]]&amp;Detalle_OC[[#This Row],[Posicion]]</f>
        <v>Sucroalcolera del Chira PlantaMontelima700757944511566009160</v>
      </c>
      <c r="B2335" t="s">
        <v>200</v>
      </c>
      <c r="C2335" t="s">
        <v>1203</v>
      </c>
      <c r="D2335" s="11">
        <v>45617</v>
      </c>
      <c r="E2335" t="s">
        <v>48</v>
      </c>
      <c r="F2335" t="s">
        <v>85</v>
      </c>
      <c r="G2335">
        <v>70075794</v>
      </c>
      <c r="H2335">
        <v>4511566009</v>
      </c>
      <c r="I2335">
        <v>160</v>
      </c>
      <c r="J2335" s="29">
        <v>1</v>
      </c>
      <c r="K2335" s="29" t="s">
        <v>133</v>
      </c>
      <c r="L2335" t="str">
        <f>IFERROR(VLOOKUP(Detalle_OC[[#This Row],[Centro]]&amp;Detalle_OC[[#This Row],[Nro Almacen]],Almacen!A:D,4,FALSE),"")</f>
        <v>Montelima</v>
      </c>
    </row>
    <row r="2336" spans="1:12" x14ac:dyDescent="0.3">
      <c r="A2336" s="29" t="str">
        <f>Detalle_OC[[#This Row],[Centro]]&amp;Detalle_OC[[#This Row],[Nom Almacen]]&amp;Detalle_OC[[#This Row],[Material]]&amp;Detalle_OC[[#This Row],[Pedido]]&amp;Detalle_OC[[#This Row],[Posicion]]</f>
        <v>Sucroalcolera del Chira PlantaMontelima700757964511566009170</v>
      </c>
      <c r="B2336" t="s">
        <v>200</v>
      </c>
      <c r="C2336" t="s">
        <v>1203</v>
      </c>
      <c r="D2336" s="11">
        <v>45617</v>
      </c>
      <c r="E2336" t="s">
        <v>48</v>
      </c>
      <c r="F2336" t="s">
        <v>85</v>
      </c>
      <c r="G2336">
        <v>70075796</v>
      </c>
      <c r="H2336">
        <v>4511566009</v>
      </c>
      <c r="I2336">
        <v>170</v>
      </c>
      <c r="J2336" s="29">
        <v>1</v>
      </c>
      <c r="K2336" s="29" t="s">
        <v>133</v>
      </c>
      <c r="L2336" t="str">
        <f>IFERROR(VLOOKUP(Detalle_OC[[#This Row],[Centro]]&amp;Detalle_OC[[#This Row],[Nro Almacen]],Almacen!A:D,4,FALSE),"")</f>
        <v>Montelima</v>
      </c>
    </row>
    <row r="2337" spans="1:12" x14ac:dyDescent="0.3">
      <c r="A2337" s="29" t="str">
        <f>Detalle_OC[[#This Row],[Centro]]&amp;Detalle_OC[[#This Row],[Nom Almacen]]&amp;Detalle_OC[[#This Row],[Material]]&amp;Detalle_OC[[#This Row],[Pedido]]&amp;Detalle_OC[[#This Row],[Posicion]]</f>
        <v>Sucroalcolera del Chira PlantaMontelima700757964511566009180</v>
      </c>
      <c r="B2337" t="s">
        <v>200</v>
      </c>
      <c r="C2337" t="s">
        <v>1203</v>
      </c>
      <c r="D2337" s="11">
        <v>45617</v>
      </c>
      <c r="E2337" t="s">
        <v>48</v>
      </c>
      <c r="F2337" t="s">
        <v>85</v>
      </c>
      <c r="G2337">
        <v>70075796</v>
      </c>
      <c r="H2337">
        <v>4511566009</v>
      </c>
      <c r="I2337">
        <v>180</v>
      </c>
      <c r="J2337" s="29">
        <v>1</v>
      </c>
      <c r="K2337" s="29" t="s">
        <v>133</v>
      </c>
      <c r="L2337" t="str">
        <f>IFERROR(VLOOKUP(Detalle_OC[[#This Row],[Centro]]&amp;Detalle_OC[[#This Row],[Nro Almacen]],Almacen!A:D,4,FALSE),"")</f>
        <v>Montelima</v>
      </c>
    </row>
    <row r="2338" spans="1:12" x14ac:dyDescent="0.3">
      <c r="A2338" s="29" t="str">
        <f>Detalle_OC[[#This Row],[Centro]]&amp;Detalle_OC[[#This Row],[Nom Almacen]]&amp;Detalle_OC[[#This Row],[Material]]&amp;Detalle_OC[[#This Row],[Pedido]]&amp;Detalle_OC[[#This Row],[Posicion]]</f>
        <v>Sucroalcolera del Chira PlantaMontelima700757974511566009190</v>
      </c>
      <c r="B2338" t="s">
        <v>200</v>
      </c>
      <c r="C2338" t="s">
        <v>1203</v>
      </c>
      <c r="D2338" s="11">
        <v>45617</v>
      </c>
      <c r="E2338" t="s">
        <v>48</v>
      </c>
      <c r="F2338" t="s">
        <v>85</v>
      </c>
      <c r="G2338">
        <v>70075797</v>
      </c>
      <c r="H2338">
        <v>4511566009</v>
      </c>
      <c r="I2338">
        <v>190</v>
      </c>
      <c r="J2338" s="29">
        <v>1</v>
      </c>
      <c r="K2338" s="29" t="s">
        <v>133</v>
      </c>
      <c r="L2338" t="str">
        <f>IFERROR(VLOOKUP(Detalle_OC[[#This Row],[Centro]]&amp;Detalle_OC[[#This Row],[Nro Almacen]],Almacen!A:D,4,FALSE),"")</f>
        <v>Montelima</v>
      </c>
    </row>
    <row r="2339" spans="1:12" x14ac:dyDescent="0.3">
      <c r="A2339" s="29" t="str">
        <f>Detalle_OC[[#This Row],[Centro]]&amp;Detalle_OC[[#This Row],[Nom Almacen]]&amp;Detalle_OC[[#This Row],[Material]]&amp;Detalle_OC[[#This Row],[Pedido]]&amp;Detalle_OC[[#This Row],[Posicion]]</f>
        <v>Sucroalcolera del Chira PlantaMontelima700757974511566009200</v>
      </c>
      <c r="B2339" t="s">
        <v>200</v>
      </c>
      <c r="C2339" t="s">
        <v>1203</v>
      </c>
      <c r="D2339" s="11">
        <v>45617</v>
      </c>
      <c r="E2339" t="s">
        <v>48</v>
      </c>
      <c r="F2339" t="s">
        <v>85</v>
      </c>
      <c r="G2339">
        <v>70075797</v>
      </c>
      <c r="H2339">
        <v>4511566009</v>
      </c>
      <c r="I2339">
        <v>200</v>
      </c>
      <c r="J2339" s="29">
        <v>1</v>
      </c>
      <c r="K2339" s="29" t="s">
        <v>133</v>
      </c>
      <c r="L2339" t="str">
        <f>IFERROR(VLOOKUP(Detalle_OC[[#This Row],[Centro]]&amp;Detalle_OC[[#This Row],[Nro Almacen]],Almacen!A:D,4,FALSE),"")</f>
        <v>Montelima</v>
      </c>
    </row>
    <row r="2340" spans="1:12" x14ac:dyDescent="0.3">
      <c r="A2340" s="29" t="str">
        <f>Detalle_OC[[#This Row],[Centro]]&amp;Detalle_OC[[#This Row],[Nom Almacen]]&amp;Detalle_OC[[#This Row],[Material]]&amp;Detalle_OC[[#This Row],[Pedido]]&amp;Detalle_OC[[#This Row],[Posicion]]</f>
        <v>Sucroalcolera del Chira PlantaMontelima700912124511566009210</v>
      </c>
      <c r="B2340" t="s">
        <v>200</v>
      </c>
      <c r="C2340" t="s">
        <v>1203</v>
      </c>
      <c r="D2340" s="11">
        <v>45617</v>
      </c>
      <c r="E2340" t="s">
        <v>48</v>
      </c>
      <c r="F2340" t="s">
        <v>85</v>
      </c>
      <c r="G2340">
        <v>70091212</v>
      </c>
      <c r="H2340">
        <v>4511566009</v>
      </c>
      <c r="I2340">
        <v>210</v>
      </c>
      <c r="J2340" s="29">
        <v>1</v>
      </c>
      <c r="K2340" s="29" t="s">
        <v>133</v>
      </c>
      <c r="L2340" t="str">
        <f>IFERROR(VLOOKUP(Detalle_OC[[#This Row],[Centro]]&amp;Detalle_OC[[#This Row],[Nro Almacen]],Almacen!A:D,4,FALSE),"")</f>
        <v>Montelima</v>
      </c>
    </row>
    <row r="2341" spans="1:12" x14ac:dyDescent="0.3">
      <c r="A2341" s="29" t="str">
        <f>Detalle_OC[[#This Row],[Centro]]&amp;Detalle_OC[[#This Row],[Nom Almacen]]&amp;Detalle_OC[[#This Row],[Material]]&amp;Detalle_OC[[#This Row],[Pedido]]&amp;Detalle_OC[[#This Row],[Posicion]]</f>
        <v>Sucroalcolera del Chira PlantaMontelima700912124511566009220</v>
      </c>
      <c r="B2341" t="s">
        <v>200</v>
      </c>
      <c r="C2341" t="s">
        <v>1203</v>
      </c>
      <c r="D2341" s="11">
        <v>45617</v>
      </c>
      <c r="E2341" t="s">
        <v>48</v>
      </c>
      <c r="F2341" t="s">
        <v>85</v>
      </c>
      <c r="G2341">
        <v>70091212</v>
      </c>
      <c r="H2341">
        <v>4511566009</v>
      </c>
      <c r="I2341">
        <v>220</v>
      </c>
      <c r="J2341" s="29">
        <v>1</v>
      </c>
      <c r="K2341" s="29" t="s">
        <v>133</v>
      </c>
      <c r="L2341" t="str">
        <f>IFERROR(VLOOKUP(Detalle_OC[[#This Row],[Centro]]&amp;Detalle_OC[[#This Row],[Nro Almacen]],Almacen!A:D,4,FALSE),"")</f>
        <v>Montelima</v>
      </c>
    </row>
    <row r="2342" spans="1:12" x14ac:dyDescent="0.3">
      <c r="A2342" s="29" t="str">
        <f>Detalle_OC[[#This Row],[Centro]]&amp;Detalle_OC[[#This Row],[Nom Almacen]]&amp;Detalle_OC[[#This Row],[Material]]&amp;Detalle_OC[[#This Row],[Pedido]]&amp;Detalle_OC[[#This Row],[Posicion]]</f>
        <v>Sucroalcolera del Chira PlantaMontelima700942604511566009230</v>
      </c>
      <c r="B2342" t="s">
        <v>200</v>
      </c>
      <c r="C2342" t="s">
        <v>1203</v>
      </c>
      <c r="D2342" s="11">
        <v>45617</v>
      </c>
      <c r="E2342" t="s">
        <v>48</v>
      </c>
      <c r="F2342" t="s">
        <v>85</v>
      </c>
      <c r="G2342">
        <v>70094260</v>
      </c>
      <c r="H2342">
        <v>4511566009</v>
      </c>
      <c r="I2342">
        <v>230</v>
      </c>
      <c r="J2342" s="29">
        <v>1</v>
      </c>
      <c r="K2342" s="29" t="s">
        <v>133</v>
      </c>
      <c r="L2342" t="str">
        <f>IFERROR(VLOOKUP(Detalle_OC[[#This Row],[Centro]]&amp;Detalle_OC[[#This Row],[Nro Almacen]],Almacen!A:D,4,FALSE),"")</f>
        <v>Montelima</v>
      </c>
    </row>
    <row r="2343" spans="1:12" x14ac:dyDescent="0.3">
      <c r="A2343" s="29" t="str">
        <f>Detalle_OC[[#This Row],[Centro]]&amp;Detalle_OC[[#This Row],[Nom Almacen]]&amp;Detalle_OC[[#This Row],[Material]]&amp;Detalle_OC[[#This Row],[Pedido]]&amp;Detalle_OC[[#This Row],[Posicion]]</f>
        <v>Sucroalcolera del Chira PlantaMontelima700942604511566009240</v>
      </c>
      <c r="B2343" t="s">
        <v>200</v>
      </c>
      <c r="C2343" t="s">
        <v>1203</v>
      </c>
      <c r="D2343" s="11">
        <v>45617</v>
      </c>
      <c r="E2343" t="s">
        <v>48</v>
      </c>
      <c r="F2343" t="s">
        <v>85</v>
      </c>
      <c r="G2343">
        <v>70094260</v>
      </c>
      <c r="H2343">
        <v>4511566009</v>
      </c>
      <c r="I2343">
        <v>240</v>
      </c>
      <c r="J2343" s="29">
        <v>1</v>
      </c>
      <c r="K2343" s="29" t="s">
        <v>133</v>
      </c>
      <c r="L2343" t="str">
        <f>IFERROR(VLOOKUP(Detalle_OC[[#This Row],[Centro]]&amp;Detalle_OC[[#This Row],[Nro Almacen]],Almacen!A:D,4,FALSE),"")</f>
        <v>Montelima</v>
      </c>
    </row>
    <row r="2344" spans="1:12" x14ac:dyDescent="0.3">
      <c r="A2344" s="29" t="str">
        <f>Detalle_OC[[#This Row],[Centro]]&amp;Detalle_OC[[#This Row],[Nom Almacen]]&amp;Detalle_OC[[#This Row],[Material]]&amp;Detalle_OC[[#This Row],[Pedido]]&amp;Detalle_OC[[#This Row],[Posicion]]</f>
        <v>Sucroalcolera del Chira PlantaMontelima701082584511566009250</v>
      </c>
      <c r="B2344" t="s">
        <v>200</v>
      </c>
      <c r="C2344" t="s">
        <v>1203</v>
      </c>
      <c r="D2344" s="11">
        <v>45617</v>
      </c>
      <c r="E2344" t="s">
        <v>48</v>
      </c>
      <c r="F2344" t="s">
        <v>85</v>
      </c>
      <c r="G2344">
        <v>70108258</v>
      </c>
      <c r="H2344">
        <v>4511566009</v>
      </c>
      <c r="I2344">
        <v>250</v>
      </c>
      <c r="J2344" s="29">
        <v>1</v>
      </c>
      <c r="K2344" s="29" t="s">
        <v>133</v>
      </c>
      <c r="L2344" t="str">
        <f>IFERROR(VLOOKUP(Detalle_OC[[#This Row],[Centro]]&amp;Detalle_OC[[#This Row],[Nro Almacen]],Almacen!A:D,4,FALSE),"")</f>
        <v>Montelima</v>
      </c>
    </row>
    <row r="2345" spans="1:12" x14ac:dyDescent="0.3">
      <c r="A2345" s="29" t="str">
        <f>Detalle_OC[[#This Row],[Centro]]&amp;Detalle_OC[[#This Row],[Nom Almacen]]&amp;Detalle_OC[[#This Row],[Material]]&amp;Detalle_OC[[#This Row],[Pedido]]&amp;Detalle_OC[[#This Row],[Posicion]]</f>
        <v>Sucroalcolera del Chira PlantaMontelima701082584511566009260</v>
      </c>
      <c r="B2345" t="s">
        <v>200</v>
      </c>
      <c r="C2345" t="s">
        <v>1203</v>
      </c>
      <c r="D2345" s="11">
        <v>45617</v>
      </c>
      <c r="E2345" t="s">
        <v>48</v>
      </c>
      <c r="F2345" t="s">
        <v>85</v>
      </c>
      <c r="G2345">
        <v>70108258</v>
      </c>
      <c r="H2345">
        <v>4511566009</v>
      </c>
      <c r="I2345">
        <v>260</v>
      </c>
      <c r="J2345" s="29">
        <v>1</v>
      </c>
      <c r="K2345" s="29" t="s">
        <v>133</v>
      </c>
      <c r="L2345" t="str">
        <f>IFERROR(VLOOKUP(Detalle_OC[[#This Row],[Centro]]&amp;Detalle_OC[[#This Row],[Nro Almacen]],Almacen!A:D,4,FALSE),"")</f>
        <v>Montelima</v>
      </c>
    </row>
    <row r="2346" spans="1:12" x14ac:dyDescent="0.3">
      <c r="A2346" s="29" t="str">
        <f>Detalle_OC[[#This Row],[Centro]]&amp;Detalle_OC[[#This Row],[Nom Almacen]]&amp;Detalle_OC[[#This Row],[Material]]&amp;Detalle_OC[[#This Row],[Pedido]]&amp;Detalle_OC[[#This Row],[Posicion]]</f>
        <v>Sucroalcolera del Chira PlantaMontelima701082744511566009270</v>
      </c>
      <c r="B2346" t="s">
        <v>200</v>
      </c>
      <c r="C2346" t="s">
        <v>1203</v>
      </c>
      <c r="D2346" s="11">
        <v>45617</v>
      </c>
      <c r="E2346" t="s">
        <v>48</v>
      </c>
      <c r="F2346" t="s">
        <v>85</v>
      </c>
      <c r="G2346">
        <v>70108274</v>
      </c>
      <c r="H2346">
        <v>4511566009</v>
      </c>
      <c r="I2346">
        <v>270</v>
      </c>
      <c r="J2346" s="29">
        <v>1</v>
      </c>
      <c r="K2346" s="29" t="s">
        <v>133</v>
      </c>
      <c r="L2346" t="str">
        <f>IFERROR(VLOOKUP(Detalle_OC[[#This Row],[Centro]]&amp;Detalle_OC[[#This Row],[Nro Almacen]],Almacen!A:D,4,FALSE),"")</f>
        <v>Montelima</v>
      </c>
    </row>
    <row r="2347" spans="1:12" x14ac:dyDescent="0.3">
      <c r="A2347" s="29" t="str">
        <f>Detalle_OC[[#This Row],[Centro]]&amp;Detalle_OC[[#This Row],[Nom Almacen]]&amp;Detalle_OC[[#This Row],[Material]]&amp;Detalle_OC[[#This Row],[Pedido]]&amp;Detalle_OC[[#This Row],[Posicion]]</f>
        <v>Sucroalcolera del Chira PlantaMontelima701082744511566009280</v>
      </c>
      <c r="B2347" t="s">
        <v>200</v>
      </c>
      <c r="C2347" t="s">
        <v>1203</v>
      </c>
      <c r="D2347" s="11">
        <v>45617</v>
      </c>
      <c r="E2347" t="s">
        <v>48</v>
      </c>
      <c r="F2347" t="s">
        <v>85</v>
      </c>
      <c r="G2347">
        <v>70108274</v>
      </c>
      <c r="H2347">
        <v>4511566009</v>
      </c>
      <c r="I2347">
        <v>280</v>
      </c>
      <c r="J2347" s="29">
        <v>1</v>
      </c>
      <c r="K2347" s="29" t="s">
        <v>133</v>
      </c>
      <c r="L2347" t="str">
        <f>IFERROR(VLOOKUP(Detalle_OC[[#This Row],[Centro]]&amp;Detalle_OC[[#This Row],[Nro Almacen]],Almacen!A:D,4,FALSE),"")</f>
        <v>Montelima</v>
      </c>
    </row>
    <row r="2348" spans="1:12" x14ac:dyDescent="0.3">
      <c r="A2348" s="29" t="str">
        <f>Detalle_OC[[#This Row],[Centro]]&amp;Detalle_OC[[#This Row],[Nom Almacen]]&amp;Detalle_OC[[#This Row],[Material]]&amp;Detalle_OC[[#This Row],[Pedido]]&amp;Detalle_OC[[#This Row],[Posicion]]</f>
        <v>Sucroalcolera del Chira PlantaMontelima701082764511566009290</v>
      </c>
      <c r="B2348" t="s">
        <v>200</v>
      </c>
      <c r="C2348" t="s">
        <v>1203</v>
      </c>
      <c r="D2348" s="11">
        <v>45617</v>
      </c>
      <c r="E2348" t="s">
        <v>48</v>
      </c>
      <c r="F2348" t="s">
        <v>85</v>
      </c>
      <c r="G2348">
        <v>70108276</v>
      </c>
      <c r="H2348">
        <v>4511566009</v>
      </c>
      <c r="I2348">
        <v>290</v>
      </c>
      <c r="J2348" s="29">
        <v>1</v>
      </c>
      <c r="K2348" s="29" t="s">
        <v>133</v>
      </c>
      <c r="L2348" t="str">
        <f>IFERROR(VLOOKUP(Detalle_OC[[#This Row],[Centro]]&amp;Detalle_OC[[#This Row],[Nro Almacen]],Almacen!A:D,4,FALSE),"")</f>
        <v>Montelima</v>
      </c>
    </row>
    <row r="2349" spans="1:12" x14ac:dyDescent="0.3">
      <c r="A2349" s="29" t="str">
        <f>Detalle_OC[[#This Row],[Centro]]&amp;Detalle_OC[[#This Row],[Nom Almacen]]&amp;Detalle_OC[[#This Row],[Material]]&amp;Detalle_OC[[#This Row],[Pedido]]&amp;Detalle_OC[[#This Row],[Posicion]]</f>
        <v>Sucroalcolera del Chira PlantaMontelima701082764511566009300</v>
      </c>
      <c r="B2349" t="s">
        <v>200</v>
      </c>
      <c r="C2349" t="s">
        <v>1203</v>
      </c>
      <c r="D2349" s="11">
        <v>45617</v>
      </c>
      <c r="E2349" t="s">
        <v>48</v>
      </c>
      <c r="F2349" t="s">
        <v>85</v>
      </c>
      <c r="G2349">
        <v>70108276</v>
      </c>
      <c r="H2349">
        <v>4511566009</v>
      </c>
      <c r="I2349">
        <v>300</v>
      </c>
      <c r="J2349" s="29">
        <v>1</v>
      </c>
      <c r="K2349" s="29" t="s">
        <v>133</v>
      </c>
      <c r="L2349" t="str">
        <f>IFERROR(VLOOKUP(Detalle_OC[[#This Row],[Centro]]&amp;Detalle_OC[[#This Row],[Nro Almacen]],Almacen!A:D,4,FALSE),"")</f>
        <v>Montelima</v>
      </c>
    </row>
    <row r="2350" spans="1:12" x14ac:dyDescent="0.3">
      <c r="A2350" s="29" t="str">
        <f>Detalle_OC[[#This Row],[Centro]]&amp;Detalle_OC[[#This Row],[Nom Almacen]]&amp;Detalle_OC[[#This Row],[Material]]&amp;Detalle_OC[[#This Row],[Pedido]]&amp;Detalle_OC[[#This Row],[Posicion]]</f>
        <v>Sucroalcolera del Chira PlantaMontelima701083314511566009310</v>
      </c>
      <c r="B2350" t="s">
        <v>200</v>
      </c>
      <c r="C2350" t="s">
        <v>1203</v>
      </c>
      <c r="D2350" s="11">
        <v>45617</v>
      </c>
      <c r="E2350" t="s">
        <v>48</v>
      </c>
      <c r="F2350" t="s">
        <v>85</v>
      </c>
      <c r="G2350">
        <v>70108331</v>
      </c>
      <c r="H2350">
        <v>4511566009</v>
      </c>
      <c r="I2350">
        <v>310</v>
      </c>
      <c r="J2350" s="29">
        <v>1</v>
      </c>
      <c r="K2350" s="29" t="s">
        <v>133</v>
      </c>
      <c r="L2350" t="str">
        <f>IFERROR(VLOOKUP(Detalle_OC[[#This Row],[Centro]]&amp;Detalle_OC[[#This Row],[Nro Almacen]],Almacen!A:D,4,FALSE),"")</f>
        <v>Montelima</v>
      </c>
    </row>
    <row r="2351" spans="1:12" x14ac:dyDescent="0.3">
      <c r="A2351" s="29" t="str">
        <f>Detalle_OC[[#This Row],[Centro]]&amp;Detalle_OC[[#This Row],[Nom Almacen]]&amp;Detalle_OC[[#This Row],[Material]]&amp;Detalle_OC[[#This Row],[Pedido]]&amp;Detalle_OC[[#This Row],[Posicion]]</f>
        <v>Sucroalcolera del Chira PlantaMontelima701083314511566009320</v>
      </c>
      <c r="B2351" t="s">
        <v>200</v>
      </c>
      <c r="C2351" t="s">
        <v>1203</v>
      </c>
      <c r="D2351" s="11">
        <v>45617</v>
      </c>
      <c r="E2351" t="s">
        <v>48</v>
      </c>
      <c r="F2351" t="s">
        <v>85</v>
      </c>
      <c r="G2351">
        <v>70108331</v>
      </c>
      <c r="H2351">
        <v>4511566009</v>
      </c>
      <c r="I2351">
        <v>320</v>
      </c>
      <c r="J2351" s="29">
        <v>1</v>
      </c>
      <c r="K2351" s="29" t="s">
        <v>133</v>
      </c>
      <c r="L2351" t="str">
        <f>IFERROR(VLOOKUP(Detalle_OC[[#This Row],[Centro]]&amp;Detalle_OC[[#This Row],[Nro Almacen]],Almacen!A:D,4,FALSE),"")</f>
        <v>Montelima</v>
      </c>
    </row>
    <row r="2352" spans="1:12" x14ac:dyDescent="0.3">
      <c r="A2352" s="29" t="str">
        <f>Detalle_OC[[#This Row],[Centro]]&amp;Detalle_OC[[#This Row],[Nom Almacen]]&amp;Detalle_OC[[#This Row],[Material]]&amp;Detalle_OC[[#This Row],[Pedido]]&amp;Detalle_OC[[#This Row],[Posicion]]</f>
        <v>Sucroalcolera del Chira PlantaMontelima701083794511566009330</v>
      </c>
      <c r="B2352" t="s">
        <v>200</v>
      </c>
      <c r="C2352" t="s">
        <v>1203</v>
      </c>
      <c r="D2352" s="11">
        <v>45617</v>
      </c>
      <c r="E2352" t="s">
        <v>48</v>
      </c>
      <c r="F2352" t="s">
        <v>85</v>
      </c>
      <c r="G2352">
        <v>70108379</v>
      </c>
      <c r="H2352">
        <v>4511566009</v>
      </c>
      <c r="I2352">
        <v>330</v>
      </c>
      <c r="J2352" s="29">
        <v>1</v>
      </c>
      <c r="K2352" s="29" t="s">
        <v>133</v>
      </c>
      <c r="L2352" t="str">
        <f>IFERROR(VLOOKUP(Detalle_OC[[#This Row],[Centro]]&amp;Detalle_OC[[#This Row],[Nro Almacen]],Almacen!A:D,4,FALSE),"")</f>
        <v>Montelima</v>
      </c>
    </row>
    <row r="2353" spans="1:12" x14ac:dyDescent="0.3">
      <c r="A2353" s="29" t="str">
        <f>Detalle_OC[[#This Row],[Centro]]&amp;Detalle_OC[[#This Row],[Nom Almacen]]&amp;Detalle_OC[[#This Row],[Material]]&amp;Detalle_OC[[#This Row],[Pedido]]&amp;Detalle_OC[[#This Row],[Posicion]]</f>
        <v>Sucroalcolera del Chira PlantaMontelima701083794511566009340</v>
      </c>
      <c r="B2353" t="s">
        <v>200</v>
      </c>
      <c r="C2353" t="s">
        <v>1203</v>
      </c>
      <c r="D2353" s="11">
        <v>45617</v>
      </c>
      <c r="E2353" t="s">
        <v>48</v>
      </c>
      <c r="F2353" t="s">
        <v>85</v>
      </c>
      <c r="G2353">
        <v>70108379</v>
      </c>
      <c r="H2353">
        <v>4511566009</v>
      </c>
      <c r="I2353">
        <v>340</v>
      </c>
      <c r="J2353" s="29">
        <v>1</v>
      </c>
      <c r="K2353" s="29" t="s">
        <v>133</v>
      </c>
      <c r="L2353" t="str">
        <f>IFERROR(VLOOKUP(Detalle_OC[[#This Row],[Centro]]&amp;Detalle_OC[[#This Row],[Nro Almacen]],Almacen!A:D,4,FALSE),"")</f>
        <v>Montelima</v>
      </c>
    </row>
    <row r="2354" spans="1:12" x14ac:dyDescent="0.3">
      <c r="A2354" s="29" t="str">
        <f>Detalle_OC[[#This Row],[Centro]]&amp;Detalle_OC[[#This Row],[Nom Almacen]]&amp;Detalle_OC[[#This Row],[Material]]&amp;Detalle_OC[[#This Row],[Pedido]]&amp;Detalle_OC[[#This Row],[Posicion]]</f>
        <v>Agricola del Chira PlantaAlmacen Lobo825435451156610810</v>
      </c>
      <c r="B2354" t="s">
        <v>26</v>
      </c>
      <c r="C2354" t="s">
        <v>278</v>
      </c>
      <c r="D2354" s="11">
        <v>45604</v>
      </c>
      <c r="E2354" t="s">
        <v>16</v>
      </c>
      <c r="F2354" t="s">
        <v>12</v>
      </c>
      <c r="G2354">
        <v>825435</v>
      </c>
      <c r="H2354">
        <v>4511566108</v>
      </c>
      <c r="I2354">
        <v>10</v>
      </c>
      <c r="J2354" s="29">
        <v>7</v>
      </c>
      <c r="K2354" s="29" t="s">
        <v>133</v>
      </c>
      <c r="L2354" t="str">
        <f>IFERROR(VLOOKUP(Detalle_OC[[#This Row],[Centro]]&amp;Detalle_OC[[#This Row],[Nro Almacen]],Almacen!A:D,4,FALSE),"")</f>
        <v>Almacen Lobo</v>
      </c>
    </row>
    <row r="2355" spans="1:12" x14ac:dyDescent="0.3">
      <c r="A2355" s="29" t="str">
        <f>Detalle_OC[[#This Row],[Centro]]&amp;Detalle_OC[[#This Row],[Nom Almacen]]&amp;Detalle_OC[[#This Row],[Material]]&amp;Detalle_OC[[#This Row],[Pedido]]&amp;Detalle_OC[[#This Row],[Posicion]]</f>
        <v>Agricola del Chira PlantaMontelima886114451156610820</v>
      </c>
      <c r="B2355" t="s">
        <v>26</v>
      </c>
      <c r="C2355" t="s">
        <v>278</v>
      </c>
      <c r="D2355" s="11">
        <v>45632</v>
      </c>
      <c r="E2355" t="s">
        <v>16</v>
      </c>
      <c r="F2355" t="s">
        <v>12</v>
      </c>
      <c r="G2355">
        <v>886114</v>
      </c>
      <c r="H2355">
        <v>4511566108</v>
      </c>
      <c r="I2355">
        <v>20</v>
      </c>
      <c r="J2355" s="29">
        <v>1</v>
      </c>
      <c r="K2355" s="29" t="s">
        <v>133</v>
      </c>
      <c r="L2355" t="str">
        <f>IFERROR(VLOOKUP(Detalle_OC[[#This Row],[Centro]]&amp;Detalle_OC[[#This Row],[Nro Almacen]],Almacen!A:D,4,FALSE),"")</f>
        <v>Montelima</v>
      </c>
    </row>
    <row r="2356" spans="1:12" x14ac:dyDescent="0.3">
      <c r="A2356" s="29" t="str">
        <f>Detalle_OC[[#This Row],[Centro]]&amp;Detalle_OC[[#This Row],[Nom Almacen]]&amp;Detalle_OC[[#This Row],[Material]]&amp;Detalle_OC[[#This Row],[Pedido]]&amp;Detalle_OC[[#This Row],[Posicion]]</f>
        <v>Agricola del Chira PlantaMontelima8445195500019188530</v>
      </c>
      <c r="B2356" t="s">
        <v>28</v>
      </c>
      <c r="C2356" t="s">
        <v>82</v>
      </c>
      <c r="D2356" s="11">
        <v>45576</v>
      </c>
      <c r="E2356" t="s">
        <v>16</v>
      </c>
      <c r="F2356" t="s">
        <v>12</v>
      </c>
      <c r="G2356">
        <v>844519</v>
      </c>
      <c r="H2356">
        <v>5500019188</v>
      </c>
      <c r="I2356">
        <v>530</v>
      </c>
      <c r="J2356" s="29">
        <v>1</v>
      </c>
      <c r="K2356" s="29" t="s">
        <v>133</v>
      </c>
      <c r="L2356" t="str">
        <f>IFERROR(VLOOKUP(Detalle_OC[[#This Row],[Centro]]&amp;Detalle_OC[[#This Row],[Nro Almacen]],Almacen!A:D,4,FALSE),"")</f>
        <v>Montelima</v>
      </c>
    </row>
    <row r="2357" spans="1:12" x14ac:dyDescent="0.3">
      <c r="A2357" s="29" t="str">
        <f>Detalle_OC[[#This Row],[Centro]]&amp;Detalle_OC[[#This Row],[Nom Almacen]]&amp;Detalle_OC[[#This Row],[Material]]&amp;Detalle_OC[[#This Row],[Pedido]]&amp;Detalle_OC[[#This Row],[Posicion]]</f>
        <v>Agricola del Chira PlantaMontelima8445125500019188620</v>
      </c>
      <c r="B2357" t="s">
        <v>28</v>
      </c>
      <c r="C2357" t="s">
        <v>82</v>
      </c>
      <c r="D2357" s="11">
        <v>45576</v>
      </c>
      <c r="E2357" t="s">
        <v>16</v>
      </c>
      <c r="F2357" t="s">
        <v>12</v>
      </c>
      <c r="G2357">
        <v>844512</v>
      </c>
      <c r="H2357">
        <v>5500019188</v>
      </c>
      <c r="I2357">
        <v>620</v>
      </c>
      <c r="J2357" s="29">
        <v>1</v>
      </c>
      <c r="K2357" s="29" t="s">
        <v>133</v>
      </c>
      <c r="L2357" t="str">
        <f>IFERROR(VLOOKUP(Detalle_OC[[#This Row],[Centro]]&amp;Detalle_OC[[#This Row],[Nro Almacen]],Almacen!A:D,4,FALSE),"")</f>
        <v>Montelima</v>
      </c>
    </row>
    <row r="2358" spans="1:12" x14ac:dyDescent="0.3">
      <c r="A2358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2358" t="s">
        <v>28</v>
      </c>
      <c r="C2358" t="s">
        <v>84</v>
      </c>
      <c r="D2358" s="11">
        <v>45569</v>
      </c>
      <c r="E2358" t="s">
        <v>16</v>
      </c>
      <c r="F2358" t="s">
        <v>85</v>
      </c>
      <c r="G2358">
        <v>801846</v>
      </c>
      <c r="H2358">
        <v>5500022336</v>
      </c>
      <c r="I2358">
        <v>10</v>
      </c>
      <c r="J2358" s="29">
        <v>1</v>
      </c>
      <c r="K2358" s="29" t="s">
        <v>133</v>
      </c>
      <c r="L2358" t="str">
        <f>IFERROR(VLOOKUP(Detalle_OC[[#This Row],[Centro]]&amp;Detalle_OC[[#This Row],[Nro Almacen]],Almacen!A:D,4,FALSE),"")</f>
        <v>Montelima</v>
      </c>
    </row>
    <row r="2359" spans="1:12" x14ac:dyDescent="0.3">
      <c r="A2359" s="29" t="str">
        <f>Detalle_OC[[#This Row],[Centro]]&amp;Detalle_OC[[#This Row],[Nom Almacen]]&amp;Detalle_OC[[#This Row],[Material]]&amp;Detalle_OC[[#This Row],[Pedido]]&amp;Detalle_OC[[#This Row],[Posicion]]</f>
        <v>Agricola del Chira PlantaSan Vicente70100392550002475130</v>
      </c>
      <c r="B2359" t="s">
        <v>28</v>
      </c>
      <c r="C2359" t="s">
        <v>54</v>
      </c>
      <c r="D2359" s="11">
        <v>45568</v>
      </c>
      <c r="E2359" t="s">
        <v>16</v>
      </c>
      <c r="F2359" t="s">
        <v>12</v>
      </c>
      <c r="G2359">
        <v>70100392</v>
      </c>
      <c r="H2359">
        <v>5500024751</v>
      </c>
      <c r="I2359">
        <v>30</v>
      </c>
      <c r="J2359" s="29">
        <v>3</v>
      </c>
      <c r="K2359" s="29" t="s">
        <v>133</v>
      </c>
      <c r="L2359" t="str">
        <f>IFERROR(VLOOKUP(Detalle_OC[[#This Row],[Centro]]&amp;Detalle_OC[[#This Row],[Nro Almacen]],Almacen!A:D,4,FALSE),"")</f>
        <v>San Vicente</v>
      </c>
    </row>
    <row r="2360" spans="1:12" x14ac:dyDescent="0.3">
      <c r="A2360" s="29" t="str">
        <f>Detalle_OC[[#This Row],[Centro]]&amp;Detalle_OC[[#This Row],[Nom Almacen]]&amp;Detalle_OC[[#This Row],[Material]]&amp;Detalle_OC[[#This Row],[Pedido]]&amp;Detalle_OC[[#This Row],[Posicion]]</f>
        <v>Sucroalcolera del Chira PlantaMontelimaMWSODACAUSTICA    550002478020</v>
      </c>
      <c r="B2360" t="s">
        <v>28</v>
      </c>
      <c r="C2360" t="s">
        <v>94</v>
      </c>
      <c r="D2360" s="11">
        <v>45567</v>
      </c>
      <c r="E2360" t="s">
        <v>16</v>
      </c>
      <c r="F2360" t="s">
        <v>85</v>
      </c>
      <c r="G2360" t="s">
        <v>1010</v>
      </c>
      <c r="H2360">
        <v>5500024780</v>
      </c>
      <c r="I2360">
        <v>20</v>
      </c>
      <c r="J2360" s="29">
        <v>1</v>
      </c>
      <c r="K2360" s="29" t="s">
        <v>133</v>
      </c>
      <c r="L2360" t="str">
        <f>IFERROR(VLOOKUP(Detalle_OC[[#This Row],[Centro]]&amp;Detalle_OC[[#This Row],[Nro Almacen]],Almacen!A:D,4,FALSE),"")</f>
        <v>Montelima</v>
      </c>
    </row>
    <row r="2361" spans="1:12" x14ac:dyDescent="0.3">
      <c r="A2361" s="29" t="str">
        <f>Detalle_OC[[#This Row],[Centro]]&amp;Detalle_OC[[#This Row],[Nom Almacen]]&amp;Detalle_OC[[#This Row],[Material]]&amp;Detalle_OC[[#This Row],[Pedido]]&amp;Detalle_OC[[#This Row],[Posicion]]</f>
        <v>Agricola del Chira PlantaSan Vicente721426550002484460</v>
      </c>
      <c r="B2361" t="s">
        <v>28</v>
      </c>
      <c r="C2361" t="s">
        <v>88</v>
      </c>
      <c r="D2361" s="11">
        <v>45576</v>
      </c>
      <c r="E2361" t="s">
        <v>16</v>
      </c>
      <c r="F2361" t="s">
        <v>12</v>
      </c>
      <c r="G2361">
        <v>721426</v>
      </c>
      <c r="H2361">
        <v>5500024844</v>
      </c>
      <c r="I2361">
        <v>60</v>
      </c>
      <c r="J2361" s="29">
        <v>3</v>
      </c>
      <c r="K2361" s="29" t="s">
        <v>133</v>
      </c>
      <c r="L2361" t="str">
        <f>IFERROR(VLOOKUP(Detalle_OC[[#This Row],[Centro]]&amp;Detalle_OC[[#This Row],[Nro Almacen]],Almacen!A:D,4,FALSE),"")</f>
        <v>San Vicente</v>
      </c>
    </row>
    <row r="2362" spans="1:12" x14ac:dyDescent="0.3">
      <c r="A2362" s="29" t="str">
        <f>Detalle_OC[[#This Row],[Centro]]&amp;Detalle_OC[[#This Row],[Nom Almacen]]&amp;Detalle_OC[[#This Row],[Material]]&amp;Detalle_OC[[#This Row],[Pedido]]&amp;Detalle_OC[[#This Row],[Posicion]]</f>
        <v>Agricola del Chira PlantaMontelima70069183550002485520</v>
      </c>
      <c r="B2362" t="s">
        <v>28</v>
      </c>
      <c r="C2362" t="s">
        <v>96</v>
      </c>
      <c r="D2362" s="11">
        <v>45580</v>
      </c>
      <c r="E2362" t="s">
        <v>16</v>
      </c>
      <c r="F2362" t="s">
        <v>12</v>
      </c>
      <c r="G2362">
        <v>70069183</v>
      </c>
      <c r="H2362">
        <v>5500024855</v>
      </c>
      <c r="I2362">
        <v>20</v>
      </c>
      <c r="J2362" s="29">
        <v>1</v>
      </c>
      <c r="K2362" s="29" t="s">
        <v>133</v>
      </c>
      <c r="L2362" t="str">
        <f>IFERROR(VLOOKUP(Detalle_OC[[#This Row],[Centro]]&amp;Detalle_OC[[#This Row],[Nro Almacen]],Almacen!A:D,4,FALSE),"")</f>
        <v>Montelima</v>
      </c>
    </row>
    <row r="2363" spans="1:12" x14ac:dyDescent="0.3">
      <c r="A2363" s="29" t="str">
        <f>Detalle_OC[[#This Row],[Centro]]&amp;Detalle_OC[[#This Row],[Nom Almacen]]&amp;Detalle_OC[[#This Row],[Material]]&amp;Detalle_OC[[#This Row],[Pedido]]&amp;Detalle_OC[[#This Row],[Posicion]]</f>
        <v>Agricola del Chira PlantaLa Huaca7773055500024855300</v>
      </c>
      <c r="B2363" t="s">
        <v>28</v>
      </c>
      <c r="C2363" t="s">
        <v>96</v>
      </c>
      <c r="D2363" s="11">
        <v>45574</v>
      </c>
      <c r="E2363" t="s">
        <v>16</v>
      </c>
      <c r="F2363" t="s">
        <v>12</v>
      </c>
      <c r="G2363">
        <v>777305</v>
      </c>
      <c r="H2363">
        <v>5500024855</v>
      </c>
      <c r="I2363">
        <v>300</v>
      </c>
      <c r="J2363" s="29">
        <v>2</v>
      </c>
      <c r="K2363" s="29" t="s">
        <v>133</v>
      </c>
      <c r="L2363" t="str">
        <f>IFERROR(VLOOKUP(Detalle_OC[[#This Row],[Centro]]&amp;Detalle_OC[[#This Row],[Nro Almacen]],Almacen!A:D,4,FALSE),"")</f>
        <v>La Huaca</v>
      </c>
    </row>
    <row r="2364" spans="1:12" x14ac:dyDescent="0.3">
      <c r="A2364" s="29" t="str">
        <f>Detalle_OC[[#This Row],[Centro]]&amp;Detalle_OC[[#This Row],[Nom Almacen]]&amp;Detalle_OC[[#This Row],[Material]]&amp;Detalle_OC[[#This Row],[Pedido]]&amp;Detalle_OC[[#This Row],[Posicion]]</f>
        <v>Agricola del Chira PlantaMontelima763487451156588310</v>
      </c>
      <c r="B2364" t="s">
        <v>181</v>
      </c>
      <c r="C2364" t="s">
        <v>341</v>
      </c>
      <c r="D2364" s="11">
        <v>45635</v>
      </c>
      <c r="E2364" t="s">
        <v>16</v>
      </c>
      <c r="F2364" t="s">
        <v>12</v>
      </c>
      <c r="G2364">
        <v>763487</v>
      </c>
      <c r="H2364">
        <v>4511565883</v>
      </c>
      <c r="I2364">
        <v>10</v>
      </c>
      <c r="J2364" s="29">
        <v>1</v>
      </c>
      <c r="K2364" s="29" t="s">
        <v>134</v>
      </c>
      <c r="L2364" t="str">
        <f>IFERROR(VLOOKUP(Detalle_OC[[#This Row],[Centro]]&amp;Detalle_OC[[#This Row],[Nro Almacen]],Almacen!A:D,4,FALSE),"")</f>
        <v>Montelima</v>
      </c>
    </row>
    <row r="2365" spans="1:12" x14ac:dyDescent="0.3">
      <c r="A2365" s="29" t="str">
        <f>Detalle_OC[[#This Row],[Centro]]&amp;Detalle_OC[[#This Row],[Nom Almacen]]&amp;Detalle_OC[[#This Row],[Material]]&amp;Detalle_OC[[#This Row],[Pedido]]&amp;Detalle_OC[[#This Row],[Posicion]]</f>
        <v>Agricola del Chira PlantaMontelima810188451156591910</v>
      </c>
      <c r="B2365" t="s">
        <v>149</v>
      </c>
      <c r="C2365" t="s">
        <v>262</v>
      </c>
      <c r="D2365" s="11">
        <v>45644</v>
      </c>
      <c r="E2365" t="s">
        <v>16</v>
      </c>
      <c r="F2365" t="s">
        <v>12</v>
      </c>
      <c r="G2365">
        <v>810188</v>
      </c>
      <c r="H2365">
        <v>4511565919</v>
      </c>
      <c r="I2365">
        <v>10</v>
      </c>
      <c r="J2365" s="29">
        <v>1</v>
      </c>
      <c r="K2365" s="29" t="s">
        <v>134</v>
      </c>
      <c r="L2365" t="str">
        <f>IFERROR(VLOOKUP(Detalle_OC[[#This Row],[Centro]]&amp;Detalle_OC[[#This Row],[Nro Almacen]],Almacen!A:D,4,FALSE),"")</f>
        <v>Montelima</v>
      </c>
    </row>
    <row r="2366" spans="1:12" x14ac:dyDescent="0.3">
      <c r="A2366" s="29" t="str">
        <f>Detalle_OC[[#This Row],[Centro]]&amp;Detalle_OC[[#This Row],[Nom Almacen]]&amp;Detalle_OC[[#This Row],[Material]]&amp;Detalle_OC[[#This Row],[Pedido]]&amp;Detalle_OC[[#This Row],[Posicion]]</f>
        <v>Sucroalcolera del Chira PlantaMontelima70086009451156593710</v>
      </c>
      <c r="B2366" t="s">
        <v>200</v>
      </c>
      <c r="C2366" t="s">
        <v>1213</v>
      </c>
      <c r="D2366" s="11">
        <v>45657</v>
      </c>
      <c r="E2366" t="s">
        <v>16</v>
      </c>
      <c r="F2366" t="s">
        <v>85</v>
      </c>
      <c r="G2366">
        <v>70086009</v>
      </c>
      <c r="H2366">
        <v>4511565937</v>
      </c>
      <c r="I2366">
        <v>10</v>
      </c>
      <c r="J2366" s="29">
        <v>1</v>
      </c>
      <c r="K2366" s="29" t="s">
        <v>134</v>
      </c>
      <c r="L2366" t="str">
        <f>IFERROR(VLOOKUP(Detalle_OC[[#This Row],[Centro]]&amp;Detalle_OC[[#This Row],[Nro Almacen]],Almacen!A:D,4,FALSE),"")</f>
        <v>Montelima</v>
      </c>
    </row>
    <row r="2367" spans="1:12" x14ac:dyDescent="0.3">
      <c r="A2367" s="29" t="str">
        <f>Detalle_OC[[#This Row],[Centro]]&amp;Detalle_OC[[#This Row],[Nom Almacen]]&amp;Detalle_OC[[#This Row],[Material]]&amp;Detalle_OC[[#This Row],[Pedido]]&amp;Detalle_OC[[#This Row],[Posicion]]</f>
        <v>Sucroalcolera del Chira PlantaMontelima70086010451156593720</v>
      </c>
      <c r="B2367" t="s">
        <v>200</v>
      </c>
      <c r="C2367" t="s">
        <v>1213</v>
      </c>
      <c r="D2367" s="11">
        <v>45657</v>
      </c>
      <c r="E2367" t="s">
        <v>16</v>
      </c>
      <c r="F2367" t="s">
        <v>85</v>
      </c>
      <c r="G2367">
        <v>70086010</v>
      </c>
      <c r="H2367">
        <v>4511565937</v>
      </c>
      <c r="I2367">
        <v>20</v>
      </c>
      <c r="J2367" s="29">
        <v>1</v>
      </c>
      <c r="K2367" s="29" t="s">
        <v>134</v>
      </c>
      <c r="L2367" t="str">
        <f>IFERROR(VLOOKUP(Detalle_OC[[#This Row],[Centro]]&amp;Detalle_OC[[#This Row],[Nro Almacen]],Almacen!A:D,4,FALSE),"")</f>
        <v>Montelima</v>
      </c>
    </row>
    <row r="2368" spans="1:12" x14ac:dyDescent="0.3">
      <c r="A2368" s="29" t="str">
        <f>Detalle_OC[[#This Row],[Centro]]&amp;Detalle_OC[[#This Row],[Nom Almacen]]&amp;Detalle_OC[[#This Row],[Material]]&amp;Detalle_OC[[#This Row],[Pedido]]&amp;Detalle_OC[[#This Row],[Posicion]]</f>
        <v>Sucroalcolera del Chira PlantaMontelima70086084451156593730</v>
      </c>
      <c r="B2368" t="s">
        <v>200</v>
      </c>
      <c r="C2368" t="s">
        <v>1213</v>
      </c>
      <c r="D2368" s="11">
        <v>45657</v>
      </c>
      <c r="E2368" t="s">
        <v>16</v>
      </c>
      <c r="F2368" t="s">
        <v>85</v>
      </c>
      <c r="G2368">
        <v>70086084</v>
      </c>
      <c r="H2368">
        <v>4511565937</v>
      </c>
      <c r="I2368">
        <v>30</v>
      </c>
      <c r="J2368" s="29">
        <v>1</v>
      </c>
      <c r="K2368" s="29" t="s">
        <v>134</v>
      </c>
      <c r="L2368" t="str">
        <f>IFERROR(VLOOKUP(Detalle_OC[[#This Row],[Centro]]&amp;Detalle_OC[[#This Row],[Nro Almacen]],Almacen!A:D,4,FALSE),"")</f>
        <v>Montelima</v>
      </c>
    </row>
    <row r="2369" spans="1:12" x14ac:dyDescent="0.3">
      <c r="A2369" s="29" t="str">
        <f>Detalle_OC[[#This Row],[Centro]]&amp;Detalle_OC[[#This Row],[Nom Almacen]]&amp;Detalle_OC[[#This Row],[Material]]&amp;Detalle_OC[[#This Row],[Pedido]]&amp;Detalle_OC[[#This Row],[Posicion]]</f>
        <v>Sucroalcolera del Chira PlantaMontelima70086085451156593740</v>
      </c>
      <c r="B2369" t="s">
        <v>200</v>
      </c>
      <c r="C2369" t="s">
        <v>1213</v>
      </c>
      <c r="D2369" s="11">
        <v>45657</v>
      </c>
      <c r="E2369" t="s">
        <v>16</v>
      </c>
      <c r="F2369" t="s">
        <v>85</v>
      </c>
      <c r="G2369">
        <v>70086085</v>
      </c>
      <c r="H2369">
        <v>4511565937</v>
      </c>
      <c r="I2369">
        <v>40</v>
      </c>
      <c r="J2369" s="29">
        <v>1</v>
      </c>
      <c r="K2369" s="29" t="s">
        <v>134</v>
      </c>
      <c r="L2369" t="str">
        <f>IFERROR(VLOOKUP(Detalle_OC[[#This Row],[Centro]]&amp;Detalle_OC[[#This Row],[Nro Almacen]],Almacen!A:D,4,FALSE),"")</f>
        <v>Montelima</v>
      </c>
    </row>
    <row r="2370" spans="1:12" x14ac:dyDescent="0.3">
      <c r="A2370" s="29" t="str">
        <f>Detalle_OC[[#This Row],[Centro]]&amp;Detalle_OC[[#This Row],[Nom Almacen]]&amp;Detalle_OC[[#This Row],[Material]]&amp;Detalle_OC[[#This Row],[Pedido]]&amp;Detalle_OC[[#This Row],[Posicion]]</f>
        <v>Sucroalcolera del Chira PlantaMontelima70086086451156593750</v>
      </c>
      <c r="B2370" t="s">
        <v>200</v>
      </c>
      <c r="C2370" t="s">
        <v>1213</v>
      </c>
      <c r="D2370" s="11">
        <v>45657</v>
      </c>
      <c r="E2370" t="s">
        <v>16</v>
      </c>
      <c r="F2370" t="s">
        <v>85</v>
      </c>
      <c r="G2370">
        <v>70086086</v>
      </c>
      <c r="H2370">
        <v>4511565937</v>
      </c>
      <c r="I2370">
        <v>50</v>
      </c>
      <c r="J2370" s="29">
        <v>1</v>
      </c>
      <c r="K2370" s="29" t="s">
        <v>134</v>
      </c>
      <c r="L2370" t="str">
        <f>IFERROR(VLOOKUP(Detalle_OC[[#This Row],[Centro]]&amp;Detalle_OC[[#This Row],[Nro Almacen]],Almacen!A:D,4,FALSE),"")</f>
        <v>Montelima</v>
      </c>
    </row>
    <row r="2371" spans="1:12" x14ac:dyDescent="0.3">
      <c r="A2371" s="29" t="str">
        <f>Detalle_OC[[#This Row],[Centro]]&amp;Detalle_OC[[#This Row],[Nom Almacen]]&amp;Detalle_OC[[#This Row],[Material]]&amp;Detalle_OC[[#This Row],[Pedido]]&amp;Detalle_OC[[#This Row],[Posicion]]</f>
        <v>Sucroalcolera del Chira PlantaMontelima70086087451156593760</v>
      </c>
      <c r="B2371" t="s">
        <v>200</v>
      </c>
      <c r="C2371" t="s">
        <v>1213</v>
      </c>
      <c r="D2371" s="11">
        <v>45657</v>
      </c>
      <c r="E2371" t="s">
        <v>16</v>
      </c>
      <c r="F2371" t="s">
        <v>85</v>
      </c>
      <c r="G2371">
        <v>70086087</v>
      </c>
      <c r="H2371">
        <v>4511565937</v>
      </c>
      <c r="I2371">
        <v>60</v>
      </c>
      <c r="J2371" s="29">
        <v>1</v>
      </c>
      <c r="K2371" s="29" t="s">
        <v>134</v>
      </c>
      <c r="L2371" t="str">
        <f>IFERROR(VLOOKUP(Detalle_OC[[#This Row],[Centro]]&amp;Detalle_OC[[#This Row],[Nro Almacen]],Almacen!A:D,4,FALSE),"")</f>
        <v>Montelima</v>
      </c>
    </row>
    <row r="2372" spans="1:12" x14ac:dyDescent="0.3">
      <c r="A2372" s="29" t="str">
        <f>Detalle_OC[[#This Row],[Centro]]&amp;Detalle_OC[[#This Row],[Nom Almacen]]&amp;Detalle_OC[[#This Row],[Material]]&amp;Detalle_OC[[#This Row],[Pedido]]&amp;Detalle_OC[[#This Row],[Posicion]]</f>
        <v>Agricola del Chira PlantaMontelima70086008451156594110</v>
      </c>
      <c r="B2372" t="s">
        <v>200</v>
      </c>
      <c r="C2372" t="s">
        <v>1213</v>
      </c>
      <c r="D2372" s="11">
        <v>45657</v>
      </c>
      <c r="E2372" t="s">
        <v>16</v>
      </c>
      <c r="F2372" t="s">
        <v>12</v>
      </c>
      <c r="G2372">
        <v>70086008</v>
      </c>
      <c r="H2372">
        <v>4511565941</v>
      </c>
      <c r="I2372">
        <v>10</v>
      </c>
      <c r="J2372" s="29">
        <v>1</v>
      </c>
      <c r="K2372" s="29" t="s">
        <v>134</v>
      </c>
      <c r="L2372" t="str">
        <f>IFERROR(VLOOKUP(Detalle_OC[[#This Row],[Centro]]&amp;Detalle_OC[[#This Row],[Nro Almacen]],Almacen!A:D,4,FALSE),"")</f>
        <v>Montelima</v>
      </c>
    </row>
    <row r="2373" spans="1:12" x14ac:dyDescent="0.3">
      <c r="A2373" s="29" t="str">
        <f>Detalle_OC[[#This Row],[Centro]]&amp;Detalle_OC[[#This Row],[Nom Almacen]]&amp;Detalle_OC[[#This Row],[Material]]&amp;Detalle_OC[[#This Row],[Pedido]]&amp;Detalle_OC[[#This Row],[Posicion]]</f>
        <v>Agricola del Chira PlantaMontelima70086009451156594120</v>
      </c>
      <c r="B2373" t="s">
        <v>200</v>
      </c>
      <c r="C2373" t="s">
        <v>1213</v>
      </c>
      <c r="D2373" s="11">
        <v>45657</v>
      </c>
      <c r="E2373" t="s">
        <v>16</v>
      </c>
      <c r="F2373" t="s">
        <v>12</v>
      </c>
      <c r="G2373">
        <v>70086009</v>
      </c>
      <c r="H2373">
        <v>4511565941</v>
      </c>
      <c r="I2373">
        <v>20</v>
      </c>
      <c r="J2373" s="29">
        <v>1</v>
      </c>
      <c r="K2373" s="29" t="s">
        <v>134</v>
      </c>
      <c r="L2373" t="str">
        <f>IFERROR(VLOOKUP(Detalle_OC[[#This Row],[Centro]]&amp;Detalle_OC[[#This Row],[Nro Almacen]],Almacen!A:D,4,FALSE),"")</f>
        <v>Montelima</v>
      </c>
    </row>
    <row r="2374" spans="1:12" x14ac:dyDescent="0.3">
      <c r="A2374" s="29" t="str">
        <f>Detalle_OC[[#This Row],[Centro]]&amp;Detalle_OC[[#This Row],[Nom Almacen]]&amp;Detalle_OC[[#This Row],[Material]]&amp;Detalle_OC[[#This Row],[Pedido]]&amp;Detalle_OC[[#This Row],[Posicion]]</f>
        <v>Agricola del Chira PlantaMontelima70086010451156594130</v>
      </c>
      <c r="B2374" t="s">
        <v>200</v>
      </c>
      <c r="C2374" t="s">
        <v>1213</v>
      </c>
      <c r="D2374" s="11">
        <v>45657</v>
      </c>
      <c r="E2374" t="s">
        <v>16</v>
      </c>
      <c r="F2374" t="s">
        <v>12</v>
      </c>
      <c r="G2374">
        <v>70086010</v>
      </c>
      <c r="H2374">
        <v>4511565941</v>
      </c>
      <c r="I2374">
        <v>30</v>
      </c>
      <c r="J2374" s="29">
        <v>1</v>
      </c>
      <c r="K2374" s="29" t="s">
        <v>134</v>
      </c>
      <c r="L2374" t="str">
        <f>IFERROR(VLOOKUP(Detalle_OC[[#This Row],[Centro]]&amp;Detalle_OC[[#This Row],[Nro Almacen]],Almacen!A:D,4,FALSE),"")</f>
        <v>Montelima</v>
      </c>
    </row>
    <row r="2375" spans="1:12" x14ac:dyDescent="0.3">
      <c r="A2375" s="29" t="str">
        <f>Detalle_OC[[#This Row],[Centro]]&amp;Detalle_OC[[#This Row],[Nom Almacen]]&amp;Detalle_OC[[#This Row],[Material]]&amp;Detalle_OC[[#This Row],[Pedido]]&amp;Detalle_OC[[#This Row],[Posicion]]</f>
        <v>Agricola del Chira PlantaMontelima70086011451156594140</v>
      </c>
      <c r="B2375" t="s">
        <v>200</v>
      </c>
      <c r="C2375" t="s">
        <v>1213</v>
      </c>
      <c r="D2375" s="11">
        <v>45657</v>
      </c>
      <c r="E2375" t="s">
        <v>16</v>
      </c>
      <c r="F2375" t="s">
        <v>12</v>
      </c>
      <c r="G2375">
        <v>70086011</v>
      </c>
      <c r="H2375">
        <v>4511565941</v>
      </c>
      <c r="I2375">
        <v>40</v>
      </c>
      <c r="J2375" s="29">
        <v>1</v>
      </c>
      <c r="K2375" s="29" t="s">
        <v>134</v>
      </c>
      <c r="L2375" t="str">
        <f>IFERROR(VLOOKUP(Detalle_OC[[#This Row],[Centro]]&amp;Detalle_OC[[#This Row],[Nro Almacen]],Almacen!A:D,4,FALSE),"")</f>
        <v>Montelima</v>
      </c>
    </row>
    <row r="2376" spans="1:12" x14ac:dyDescent="0.3">
      <c r="A2376" s="29" t="str">
        <f>Detalle_OC[[#This Row],[Centro]]&amp;Detalle_OC[[#This Row],[Nom Almacen]]&amp;Detalle_OC[[#This Row],[Material]]&amp;Detalle_OC[[#This Row],[Pedido]]&amp;Detalle_OC[[#This Row],[Posicion]]</f>
        <v>Agricola del Chira PlantaMontelima70086084451156594150</v>
      </c>
      <c r="B2376" t="s">
        <v>200</v>
      </c>
      <c r="C2376" t="s">
        <v>1213</v>
      </c>
      <c r="D2376" s="11">
        <v>45657</v>
      </c>
      <c r="E2376" t="s">
        <v>16</v>
      </c>
      <c r="F2376" t="s">
        <v>12</v>
      </c>
      <c r="G2376">
        <v>70086084</v>
      </c>
      <c r="H2376">
        <v>4511565941</v>
      </c>
      <c r="I2376">
        <v>50</v>
      </c>
      <c r="J2376" s="29">
        <v>1</v>
      </c>
      <c r="K2376" s="29" t="s">
        <v>134</v>
      </c>
      <c r="L2376" t="str">
        <f>IFERROR(VLOOKUP(Detalle_OC[[#This Row],[Centro]]&amp;Detalle_OC[[#This Row],[Nro Almacen]],Almacen!A:D,4,FALSE),"")</f>
        <v>Montelima</v>
      </c>
    </row>
    <row r="2377" spans="1:12" x14ac:dyDescent="0.3">
      <c r="A2377" s="29" t="str">
        <f>Detalle_OC[[#This Row],[Centro]]&amp;Detalle_OC[[#This Row],[Nom Almacen]]&amp;Detalle_OC[[#This Row],[Material]]&amp;Detalle_OC[[#This Row],[Pedido]]&amp;Detalle_OC[[#This Row],[Posicion]]</f>
        <v>Agricola del Chira PlantaMontelima70086085451156594160</v>
      </c>
      <c r="B2377" t="s">
        <v>200</v>
      </c>
      <c r="C2377" t="s">
        <v>1213</v>
      </c>
      <c r="D2377" s="11">
        <v>45657</v>
      </c>
      <c r="E2377" t="s">
        <v>16</v>
      </c>
      <c r="F2377" t="s">
        <v>12</v>
      </c>
      <c r="G2377">
        <v>70086085</v>
      </c>
      <c r="H2377">
        <v>4511565941</v>
      </c>
      <c r="I2377">
        <v>60</v>
      </c>
      <c r="J2377" s="29">
        <v>1</v>
      </c>
      <c r="K2377" s="29" t="s">
        <v>134</v>
      </c>
      <c r="L2377" t="str">
        <f>IFERROR(VLOOKUP(Detalle_OC[[#This Row],[Centro]]&amp;Detalle_OC[[#This Row],[Nro Almacen]],Almacen!A:D,4,FALSE),"")</f>
        <v>Montelima</v>
      </c>
    </row>
    <row r="2378" spans="1:12" x14ac:dyDescent="0.3">
      <c r="A2378" s="29" t="str">
        <f>Detalle_OC[[#This Row],[Centro]]&amp;Detalle_OC[[#This Row],[Nom Almacen]]&amp;Detalle_OC[[#This Row],[Material]]&amp;Detalle_OC[[#This Row],[Pedido]]&amp;Detalle_OC[[#This Row],[Posicion]]</f>
        <v>Agricola del Chira PlantaMontelima70086086451156594170</v>
      </c>
      <c r="B2378" t="s">
        <v>200</v>
      </c>
      <c r="C2378" t="s">
        <v>1213</v>
      </c>
      <c r="D2378" s="11">
        <v>45657</v>
      </c>
      <c r="E2378" t="s">
        <v>16</v>
      </c>
      <c r="F2378" t="s">
        <v>12</v>
      </c>
      <c r="G2378">
        <v>70086086</v>
      </c>
      <c r="H2378">
        <v>4511565941</v>
      </c>
      <c r="I2378">
        <v>70</v>
      </c>
      <c r="J2378" s="29">
        <v>1</v>
      </c>
      <c r="K2378" s="29" t="s">
        <v>134</v>
      </c>
      <c r="L2378" t="str">
        <f>IFERROR(VLOOKUP(Detalle_OC[[#This Row],[Centro]]&amp;Detalle_OC[[#This Row],[Nro Almacen]],Almacen!A:D,4,FALSE),"")</f>
        <v>Montelima</v>
      </c>
    </row>
    <row r="2379" spans="1:12" x14ac:dyDescent="0.3">
      <c r="A2379" s="29" t="str">
        <f>Detalle_OC[[#This Row],[Centro]]&amp;Detalle_OC[[#This Row],[Nom Almacen]]&amp;Detalle_OC[[#This Row],[Material]]&amp;Detalle_OC[[#This Row],[Pedido]]&amp;Detalle_OC[[#This Row],[Posicion]]</f>
        <v>Agricola del Chira PlantaMontelima70086087451156594180</v>
      </c>
      <c r="B2379" t="s">
        <v>200</v>
      </c>
      <c r="C2379" t="s">
        <v>1213</v>
      </c>
      <c r="D2379" s="11">
        <v>45657</v>
      </c>
      <c r="E2379" t="s">
        <v>16</v>
      </c>
      <c r="F2379" t="s">
        <v>12</v>
      </c>
      <c r="G2379">
        <v>70086087</v>
      </c>
      <c r="H2379">
        <v>4511565941</v>
      </c>
      <c r="I2379">
        <v>80</v>
      </c>
      <c r="J2379" s="29">
        <v>1</v>
      </c>
      <c r="K2379" s="29" t="s">
        <v>134</v>
      </c>
      <c r="L2379" t="str">
        <f>IFERROR(VLOOKUP(Detalle_OC[[#This Row],[Centro]]&amp;Detalle_OC[[#This Row],[Nro Almacen]],Almacen!A:D,4,FALSE),"")</f>
        <v>Montelima</v>
      </c>
    </row>
    <row r="2380" spans="1:12" x14ac:dyDescent="0.3">
      <c r="A2380" s="29" t="str">
        <f>Detalle_OC[[#This Row],[Centro]]&amp;Detalle_OC[[#This Row],[Nom Almacen]]&amp;Detalle_OC[[#This Row],[Material]]&amp;Detalle_OC[[#This Row],[Pedido]]&amp;Detalle_OC[[#This Row],[Posicion]]</f>
        <v>Agricola del Chira PlantaMontelima70086090451156594190</v>
      </c>
      <c r="B2380" t="s">
        <v>200</v>
      </c>
      <c r="C2380" t="s">
        <v>1213</v>
      </c>
      <c r="D2380" s="11">
        <v>45657</v>
      </c>
      <c r="E2380" t="s">
        <v>16</v>
      </c>
      <c r="F2380" t="s">
        <v>12</v>
      </c>
      <c r="G2380">
        <v>70086090</v>
      </c>
      <c r="H2380">
        <v>4511565941</v>
      </c>
      <c r="I2380">
        <v>90</v>
      </c>
      <c r="J2380" s="29">
        <v>1</v>
      </c>
      <c r="K2380" s="29" t="s">
        <v>134</v>
      </c>
      <c r="L2380" t="str">
        <f>IFERROR(VLOOKUP(Detalle_OC[[#This Row],[Centro]]&amp;Detalle_OC[[#This Row],[Nro Almacen]],Almacen!A:D,4,FALSE),"")</f>
        <v>Montelima</v>
      </c>
    </row>
    <row r="2381" spans="1:12" x14ac:dyDescent="0.3">
      <c r="A2381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2381" t="s">
        <v>28</v>
      </c>
      <c r="C2381" t="s">
        <v>54</v>
      </c>
      <c r="D2381" s="11">
        <v>45567</v>
      </c>
      <c r="E2381" t="s">
        <v>16</v>
      </c>
      <c r="F2381" t="s">
        <v>12</v>
      </c>
      <c r="G2381">
        <v>70100392</v>
      </c>
      <c r="H2381">
        <v>5500024751</v>
      </c>
      <c r="I2381">
        <v>20</v>
      </c>
      <c r="J2381" s="29">
        <v>2</v>
      </c>
      <c r="K2381" s="29" t="s">
        <v>134</v>
      </c>
      <c r="L2381" t="str">
        <f>IFERROR(VLOOKUP(Detalle_OC[[#This Row],[Centro]]&amp;Detalle_OC[[#This Row],[Nro Almacen]],Almacen!A:D,4,FALSE),"")</f>
        <v>La Huaca</v>
      </c>
    </row>
    <row r="2382" spans="1:12" x14ac:dyDescent="0.3">
      <c r="A2382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2382" t="s">
        <v>28</v>
      </c>
      <c r="C2382" t="s">
        <v>54</v>
      </c>
      <c r="D2382" s="11">
        <v>45567</v>
      </c>
      <c r="E2382" t="s">
        <v>16</v>
      </c>
      <c r="F2382" t="s">
        <v>12</v>
      </c>
      <c r="G2382">
        <v>70100392</v>
      </c>
      <c r="H2382">
        <v>5500024751</v>
      </c>
      <c r="I2382">
        <v>40</v>
      </c>
      <c r="J2382" s="29">
        <v>7</v>
      </c>
      <c r="K2382" s="29" t="s">
        <v>134</v>
      </c>
      <c r="L2382" t="str">
        <f>IFERROR(VLOOKUP(Detalle_OC[[#This Row],[Centro]]&amp;Detalle_OC[[#This Row],[Nro Almacen]],Almacen!A:D,4,FALSE),"")</f>
        <v>Almacen Lobo</v>
      </c>
    </row>
    <row r="2383" spans="1:12" x14ac:dyDescent="0.3">
      <c r="A2383" s="29" t="str">
        <f>Detalle_OC[[#This Row],[Centro]]&amp;Detalle_OC[[#This Row],[Nom Almacen]]&amp;Detalle_OC[[#This Row],[Material]]&amp;Detalle_OC[[#This Row],[Pedido]]&amp;Detalle_OC[[#This Row],[Posicion]]</f>
        <v>Agricola del Chira PlantaSan Vicente721426550002484460</v>
      </c>
      <c r="B2383" t="s">
        <v>28</v>
      </c>
      <c r="C2383" t="s">
        <v>88</v>
      </c>
      <c r="D2383" s="11">
        <v>45567</v>
      </c>
      <c r="E2383" t="s">
        <v>16</v>
      </c>
      <c r="F2383" t="s">
        <v>12</v>
      </c>
      <c r="G2383">
        <v>721426</v>
      </c>
      <c r="H2383">
        <v>5500024844</v>
      </c>
      <c r="I2383">
        <v>60</v>
      </c>
      <c r="J2383" s="29">
        <v>3</v>
      </c>
      <c r="K2383" s="29" t="s">
        <v>134</v>
      </c>
      <c r="L2383" t="str">
        <f>IFERROR(VLOOKUP(Detalle_OC[[#This Row],[Centro]]&amp;Detalle_OC[[#This Row],[Nro Almacen]],Almacen!A:D,4,FALSE),"")</f>
        <v>San Vicente</v>
      </c>
    </row>
    <row r="2384" spans="1:12" x14ac:dyDescent="0.3">
      <c r="A2384" s="29" t="str">
        <f>Detalle_OC[[#This Row],[Centro]]&amp;Detalle_OC[[#This Row],[Nom Almacen]]&amp;Detalle_OC[[#This Row],[Material]]&amp;Detalle_OC[[#This Row],[Pedido]]&amp;Detalle_OC[[#This Row],[Posicion]]</f>
        <v>Agricola del Chira PlantaMontelima804201451156568910</v>
      </c>
      <c r="B2384" t="s">
        <v>149</v>
      </c>
      <c r="C2384" t="s">
        <v>216</v>
      </c>
      <c r="D2384" s="11">
        <v>45625</v>
      </c>
      <c r="E2384" t="s">
        <v>16</v>
      </c>
      <c r="F2384" t="s">
        <v>12</v>
      </c>
      <c r="G2384">
        <v>804201</v>
      </c>
      <c r="H2384">
        <v>4511565689</v>
      </c>
      <c r="I2384">
        <v>10</v>
      </c>
      <c r="J2384" s="29">
        <v>1</v>
      </c>
      <c r="K2384" s="29" t="s">
        <v>135</v>
      </c>
      <c r="L2384" t="str">
        <f>IFERROR(VLOOKUP(Detalle_OC[[#This Row],[Centro]]&amp;Detalle_OC[[#This Row],[Nro Almacen]],Almacen!A:D,4,FALSE),"")</f>
        <v>Montelima</v>
      </c>
    </row>
    <row r="2385" spans="1:12" x14ac:dyDescent="0.3">
      <c r="A2385" s="29" t="str">
        <f>Detalle_OC[[#This Row],[Centro]]&amp;Detalle_OC[[#This Row],[Nom Almacen]]&amp;Detalle_OC[[#This Row],[Material]]&amp;Detalle_OC[[#This Row],[Pedido]]&amp;Detalle_OC[[#This Row],[Posicion]]</f>
        <v>Sucroalcolera del Chira PlantaMontelima806177451156570210</v>
      </c>
      <c r="B2385" t="s">
        <v>15</v>
      </c>
      <c r="C2385" t="s">
        <v>103</v>
      </c>
      <c r="D2385" s="11">
        <v>45667</v>
      </c>
      <c r="E2385" t="s">
        <v>16</v>
      </c>
      <c r="F2385" t="s">
        <v>85</v>
      </c>
      <c r="G2385">
        <v>806177</v>
      </c>
      <c r="H2385">
        <v>4511565702</v>
      </c>
      <c r="I2385">
        <v>10</v>
      </c>
      <c r="J2385" s="29">
        <v>1</v>
      </c>
      <c r="K2385" s="29" t="s">
        <v>135</v>
      </c>
      <c r="L2385" t="str">
        <f>IFERROR(VLOOKUP(Detalle_OC[[#This Row],[Centro]]&amp;Detalle_OC[[#This Row],[Nro Almacen]],Almacen!A:D,4,FALSE),"")</f>
        <v>Montelima</v>
      </c>
    </row>
    <row r="2386" spans="1:12" x14ac:dyDescent="0.3">
      <c r="A2386" s="29" t="str">
        <f>Detalle_OC[[#This Row],[Centro]]&amp;Detalle_OC[[#This Row],[Nom Almacen]]&amp;Detalle_OC[[#This Row],[Material]]&amp;Detalle_OC[[#This Row],[Pedido]]&amp;Detalle_OC[[#This Row],[Posicion]]</f>
        <v>Agricola del Chira PlantaSan Vicente70119130451156570910</v>
      </c>
      <c r="B2386" t="s">
        <v>29</v>
      </c>
      <c r="C2386" t="s">
        <v>278</v>
      </c>
      <c r="D2386" s="11">
        <v>45625</v>
      </c>
      <c r="E2386" t="s">
        <v>16</v>
      </c>
      <c r="F2386" t="s">
        <v>12</v>
      </c>
      <c r="G2386">
        <v>70119130</v>
      </c>
      <c r="H2386">
        <v>4511565709</v>
      </c>
      <c r="I2386">
        <v>10</v>
      </c>
      <c r="J2386" s="29">
        <v>3</v>
      </c>
      <c r="K2386" s="29" t="s">
        <v>135</v>
      </c>
      <c r="L2386" t="str">
        <f>IFERROR(VLOOKUP(Detalle_OC[[#This Row],[Centro]]&amp;Detalle_OC[[#This Row],[Nro Almacen]],Almacen!A:D,4,FALSE),"")</f>
        <v>San Vicente</v>
      </c>
    </row>
    <row r="2387" spans="1:12" x14ac:dyDescent="0.3">
      <c r="A2387" s="29" t="str">
        <f>Detalle_OC[[#This Row],[Centro]]&amp;Detalle_OC[[#This Row],[Nom Almacen]]&amp;Detalle_OC[[#This Row],[Material]]&amp;Detalle_OC[[#This Row],[Pedido]]&amp;Detalle_OC[[#This Row],[Posicion]]</f>
        <v>Agricola del Chira PlantaMontelima723109550002489610</v>
      </c>
      <c r="B2387" t="s">
        <v>28</v>
      </c>
      <c r="C2387" t="s">
        <v>27</v>
      </c>
      <c r="D2387" s="11">
        <v>45574</v>
      </c>
      <c r="E2387" t="s">
        <v>16</v>
      </c>
      <c r="F2387" t="s">
        <v>12</v>
      </c>
      <c r="G2387">
        <v>723109</v>
      </c>
      <c r="H2387">
        <v>5500024896</v>
      </c>
      <c r="I2387">
        <v>10</v>
      </c>
      <c r="J2387" s="29">
        <v>1</v>
      </c>
      <c r="K2387" s="29" t="s">
        <v>135</v>
      </c>
      <c r="L2387" t="str">
        <f>IFERROR(VLOOKUP(Detalle_OC[[#This Row],[Centro]]&amp;Detalle_OC[[#This Row],[Nro Almacen]],Almacen!A:D,4,FALSE),"")</f>
        <v>Montelima</v>
      </c>
    </row>
    <row r="2388" spans="1:12" x14ac:dyDescent="0.3">
      <c r="A2388" s="29" t="str">
        <f>Detalle_OC[[#This Row],[Centro]]&amp;Detalle_OC[[#This Row],[Nom Almacen]]&amp;Detalle_OC[[#This Row],[Material]]&amp;Detalle_OC[[#This Row],[Pedido]]&amp;Detalle_OC[[#This Row],[Posicion]]</f>
        <v>Agricola del Chira PlantaMontelima70086070451156548210</v>
      </c>
      <c r="B2388" t="s">
        <v>200</v>
      </c>
      <c r="C2388" t="s">
        <v>1213</v>
      </c>
      <c r="D2388" s="11">
        <v>45657</v>
      </c>
      <c r="E2388" t="s">
        <v>16</v>
      </c>
      <c r="F2388" t="s">
        <v>12</v>
      </c>
      <c r="G2388">
        <v>70086070</v>
      </c>
      <c r="H2388">
        <v>4511565482</v>
      </c>
      <c r="I2388">
        <v>10</v>
      </c>
      <c r="J2388" s="29">
        <v>1</v>
      </c>
      <c r="K2388" s="29" t="s">
        <v>136</v>
      </c>
      <c r="L2388" t="str">
        <f>IFERROR(VLOOKUP(Detalle_OC[[#This Row],[Centro]]&amp;Detalle_OC[[#This Row],[Nro Almacen]],Almacen!A:D,4,FALSE),"")</f>
        <v>Montelima</v>
      </c>
    </row>
    <row r="2389" spans="1:12" x14ac:dyDescent="0.3">
      <c r="A2389" s="29" t="str">
        <f>Detalle_OC[[#This Row],[Centro]]&amp;Detalle_OC[[#This Row],[Nom Almacen]]&amp;Detalle_OC[[#This Row],[Material]]&amp;Detalle_OC[[#This Row],[Pedido]]&amp;Detalle_OC[[#This Row],[Posicion]]</f>
        <v>Agricola del Chira PlantaMontelima70086041451156548220</v>
      </c>
      <c r="B2389" t="s">
        <v>200</v>
      </c>
      <c r="C2389" t="s">
        <v>1213</v>
      </c>
      <c r="D2389" s="11">
        <v>45657</v>
      </c>
      <c r="E2389" t="s">
        <v>16</v>
      </c>
      <c r="F2389" t="s">
        <v>12</v>
      </c>
      <c r="G2389">
        <v>70086041</v>
      </c>
      <c r="H2389">
        <v>4511565482</v>
      </c>
      <c r="I2389">
        <v>20</v>
      </c>
      <c r="J2389" s="29">
        <v>1</v>
      </c>
      <c r="K2389" s="29" t="s">
        <v>136</v>
      </c>
      <c r="L2389" t="str">
        <f>IFERROR(VLOOKUP(Detalle_OC[[#This Row],[Centro]]&amp;Detalle_OC[[#This Row],[Nro Almacen]],Almacen!A:D,4,FALSE),"")</f>
        <v>Montelima</v>
      </c>
    </row>
    <row r="2390" spans="1:12" x14ac:dyDescent="0.3">
      <c r="A2390" s="29" t="str">
        <f>Detalle_OC[[#This Row],[Centro]]&amp;Detalle_OC[[#This Row],[Nom Almacen]]&amp;Detalle_OC[[#This Row],[Material]]&amp;Detalle_OC[[#This Row],[Pedido]]&amp;Detalle_OC[[#This Row],[Posicion]]</f>
        <v>Agricola del Chira PlantaMontelima70086042451156548230</v>
      </c>
      <c r="B2390" t="s">
        <v>200</v>
      </c>
      <c r="C2390" t="s">
        <v>1213</v>
      </c>
      <c r="D2390" s="11">
        <v>45657</v>
      </c>
      <c r="E2390" t="s">
        <v>16</v>
      </c>
      <c r="F2390" t="s">
        <v>12</v>
      </c>
      <c r="G2390">
        <v>70086042</v>
      </c>
      <c r="H2390">
        <v>4511565482</v>
      </c>
      <c r="I2390">
        <v>30</v>
      </c>
      <c r="J2390" s="29">
        <v>1</v>
      </c>
      <c r="K2390" s="29" t="s">
        <v>136</v>
      </c>
      <c r="L2390" t="str">
        <f>IFERROR(VLOOKUP(Detalle_OC[[#This Row],[Centro]]&amp;Detalle_OC[[#This Row],[Nro Almacen]],Almacen!A:D,4,FALSE),"")</f>
        <v>Montelima</v>
      </c>
    </row>
    <row r="2391" spans="1:12" x14ac:dyDescent="0.3">
      <c r="A2391" s="29" t="str">
        <f>Detalle_OC[[#This Row],[Centro]]&amp;Detalle_OC[[#This Row],[Nom Almacen]]&amp;Detalle_OC[[#This Row],[Material]]&amp;Detalle_OC[[#This Row],[Pedido]]&amp;Detalle_OC[[#This Row],[Posicion]]</f>
        <v>Agricola del Chira PlantaMontelima70086043451156548240</v>
      </c>
      <c r="B2391" t="s">
        <v>200</v>
      </c>
      <c r="C2391" t="s">
        <v>1213</v>
      </c>
      <c r="D2391" s="11">
        <v>45657</v>
      </c>
      <c r="E2391" t="s">
        <v>16</v>
      </c>
      <c r="F2391" t="s">
        <v>12</v>
      </c>
      <c r="G2391">
        <v>70086043</v>
      </c>
      <c r="H2391">
        <v>4511565482</v>
      </c>
      <c r="I2391">
        <v>40</v>
      </c>
      <c r="J2391" s="29">
        <v>1</v>
      </c>
      <c r="K2391" s="29" t="s">
        <v>136</v>
      </c>
      <c r="L2391" t="str">
        <f>IFERROR(VLOOKUP(Detalle_OC[[#This Row],[Centro]]&amp;Detalle_OC[[#This Row],[Nro Almacen]],Almacen!A:D,4,FALSE),"")</f>
        <v>Montelima</v>
      </c>
    </row>
    <row r="2392" spans="1:12" x14ac:dyDescent="0.3">
      <c r="A2392" s="29" t="str">
        <f>Detalle_OC[[#This Row],[Centro]]&amp;Detalle_OC[[#This Row],[Nom Almacen]]&amp;Detalle_OC[[#This Row],[Material]]&amp;Detalle_OC[[#This Row],[Pedido]]&amp;Detalle_OC[[#This Row],[Posicion]]</f>
        <v>Agricola del Chira PlantaMontelima70086044451156548250</v>
      </c>
      <c r="B2392" t="s">
        <v>200</v>
      </c>
      <c r="C2392" t="s">
        <v>1213</v>
      </c>
      <c r="D2392" s="11">
        <v>45657</v>
      </c>
      <c r="E2392" t="s">
        <v>16</v>
      </c>
      <c r="F2392" t="s">
        <v>12</v>
      </c>
      <c r="G2392">
        <v>70086044</v>
      </c>
      <c r="H2392">
        <v>4511565482</v>
      </c>
      <c r="I2392">
        <v>50</v>
      </c>
      <c r="J2392" s="29">
        <v>1</v>
      </c>
      <c r="K2392" s="29" t="s">
        <v>136</v>
      </c>
      <c r="L2392" t="str">
        <f>IFERROR(VLOOKUP(Detalle_OC[[#This Row],[Centro]]&amp;Detalle_OC[[#This Row],[Nro Almacen]],Almacen!A:D,4,FALSE),"")</f>
        <v>Montelima</v>
      </c>
    </row>
    <row r="2393" spans="1:12" x14ac:dyDescent="0.3">
      <c r="A2393" s="29" t="str">
        <f>Detalle_OC[[#This Row],[Centro]]&amp;Detalle_OC[[#This Row],[Nom Almacen]]&amp;Detalle_OC[[#This Row],[Material]]&amp;Detalle_OC[[#This Row],[Pedido]]&amp;Detalle_OC[[#This Row],[Posicion]]</f>
        <v>Agricola del Chira PlantaMontelima70100624451156548260</v>
      </c>
      <c r="B2393" t="s">
        <v>200</v>
      </c>
      <c r="C2393" t="s">
        <v>1213</v>
      </c>
      <c r="D2393" s="11">
        <v>45657</v>
      </c>
      <c r="E2393" t="s">
        <v>16</v>
      </c>
      <c r="F2393" t="s">
        <v>12</v>
      </c>
      <c r="G2393">
        <v>70100624</v>
      </c>
      <c r="H2393">
        <v>4511565482</v>
      </c>
      <c r="I2393">
        <v>60</v>
      </c>
      <c r="J2393" s="29">
        <v>1</v>
      </c>
      <c r="K2393" s="29" t="s">
        <v>136</v>
      </c>
      <c r="L2393" t="str">
        <f>IFERROR(VLOOKUP(Detalle_OC[[#This Row],[Centro]]&amp;Detalle_OC[[#This Row],[Nro Almacen]],Almacen!A:D,4,FALSE),"")</f>
        <v>Montelima</v>
      </c>
    </row>
    <row r="2394" spans="1:12" x14ac:dyDescent="0.3">
      <c r="A2394" s="29" t="str">
        <f>Detalle_OC[[#This Row],[Centro]]&amp;Detalle_OC[[#This Row],[Nom Almacen]]&amp;Detalle_OC[[#This Row],[Material]]&amp;Detalle_OC[[#This Row],[Pedido]]&amp;Detalle_OC[[#This Row],[Posicion]]</f>
        <v>Agricola del Chira PlantaMontelima70086104451156548270</v>
      </c>
      <c r="B2394" t="s">
        <v>200</v>
      </c>
      <c r="C2394" t="s">
        <v>1213</v>
      </c>
      <c r="D2394" s="11">
        <v>45657</v>
      </c>
      <c r="E2394" t="s">
        <v>16</v>
      </c>
      <c r="F2394" t="s">
        <v>12</v>
      </c>
      <c r="G2394">
        <v>70086104</v>
      </c>
      <c r="H2394">
        <v>4511565482</v>
      </c>
      <c r="I2394">
        <v>70</v>
      </c>
      <c r="J2394" s="29">
        <v>1</v>
      </c>
      <c r="K2394" s="29" t="s">
        <v>136</v>
      </c>
      <c r="L2394" t="str">
        <f>IFERROR(VLOOKUP(Detalle_OC[[#This Row],[Centro]]&amp;Detalle_OC[[#This Row],[Nro Almacen]],Almacen!A:D,4,FALSE),"")</f>
        <v>Montelima</v>
      </c>
    </row>
    <row r="2395" spans="1:12" x14ac:dyDescent="0.3">
      <c r="A2395" s="29" t="str">
        <f>Detalle_OC[[#This Row],[Centro]]&amp;Detalle_OC[[#This Row],[Nom Almacen]]&amp;Detalle_OC[[#This Row],[Material]]&amp;Detalle_OC[[#This Row],[Pedido]]&amp;Detalle_OC[[#This Row],[Posicion]]</f>
        <v>Agricola del Chira PlantaMontelima70133623451156548280</v>
      </c>
      <c r="B2395" t="s">
        <v>200</v>
      </c>
      <c r="C2395" t="s">
        <v>1213</v>
      </c>
      <c r="D2395" s="11">
        <v>45657</v>
      </c>
      <c r="E2395" t="s">
        <v>16</v>
      </c>
      <c r="F2395" t="s">
        <v>12</v>
      </c>
      <c r="G2395">
        <v>70133623</v>
      </c>
      <c r="H2395">
        <v>4511565482</v>
      </c>
      <c r="I2395">
        <v>80</v>
      </c>
      <c r="J2395" s="29">
        <v>1</v>
      </c>
      <c r="K2395" s="29" t="s">
        <v>136</v>
      </c>
      <c r="L2395" t="str">
        <f>IFERROR(VLOOKUP(Detalle_OC[[#This Row],[Centro]]&amp;Detalle_OC[[#This Row],[Nro Almacen]],Almacen!A:D,4,FALSE),"")</f>
        <v>Montelima</v>
      </c>
    </row>
    <row r="2396" spans="1:12" x14ac:dyDescent="0.3">
      <c r="A2396" s="29" t="str">
        <f>Detalle_OC[[#This Row],[Centro]]&amp;Detalle_OC[[#This Row],[Nom Almacen]]&amp;Detalle_OC[[#This Row],[Material]]&amp;Detalle_OC[[#This Row],[Pedido]]&amp;Detalle_OC[[#This Row],[Posicion]]</f>
        <v>Agricola del Chira PlantaMontelima70133624451156548290</v>
      </c>
      <c r="B2396" t="s">
        <v>200</v>
      </c>
      <c r="C2396" t="s">
        <v>1213</v>
      </c>
      <c r="D2396" s="11">
        <v>45657</v>
      </c>
      <c r="E2396" t="s">
        <v>16</v>
      </c>
      <c r="F2396" t="s">
        <v>12</v>
      </c>
      <c r="G2396">
        <v>70133624</v>
      </c>
      <c r="H2396">
        <v>4511565482</v>
      </c>
      <c r="I2396">
        <v>90</v>
      </c>
      <c r="J2396" s="29">
        <v>1</v>
      </c>
      <c r="K2396" s="29" t="s">
        <v>136</v>
      </c>
      <c r="L2396" t="str">
        <f>IFERROR(VLOOKUP(Detalle_OC[[#This Row],[Centro]]&amp;Detalle_OC[[#This Row],[Nro Almacen]],Almacen!A:D,4,FALSE),"")</f>
        <v>Montelima</v>
      </c>
    </row>
    <row r="2397" spans="1:12" x14ac:dyDescent="0.3">
      <c r="A2397" s="29" t="str">
        <f>Detalle_OC[[#This Row],[Centro]]&amp;Detalle_OC[[#This Row],[Nom Almacen]]&amp;Detalle_OC[[#This Row],[Material]]&amp;Detalle_OC[[#This Row],[Pedido]]&amp;Detalle_OC[[#This Row],[Posicion]]</f>
        <v>Sucroalcolera del Chira PlantaMontelima70086041451156548310</v>
      </c>
      <c r="B2397" t="s">
        <v>200</v>
      </c>
      <c r="C2397" t="s">
        <v>1213</v>
      </c>
      <c r="D2397" s="11">
        <v>45618</v>
      </c>
      <c r="E2397" t="s">
        <v>16</v>
      </c>
      <c r="F2397" t="s">
        <v>85</v>
      </c>
      <c r="G2397">
        <v>70086041</v>
      </c>
      <c r="H2397">
        <v>4511565483</v>
      </c>
      <c r="I2397">
        <v>10</v>
      </c>
      <c r="J2397" s="29">
        <v>1</v>
      </c>
      <c r="K2397" s="29" t="s">
        <v>136</v>
      </c>
      <c r="L2397" t="str">
        <f>IFERROR(VLOOKUP(Detalle_OC[[#This Row],[Centro]]&amp;Detalle_OC[[#This Row],[Nro Almacen]],Almacen!A:D,4,FALSE),"")</f>
        <v>Montelima</v>
      </c>
    </row>
    <row r="2398" spans="1:12" x14ac:dyDescent="0.3">
      <c r="A2398" s="29" t="str">
        <f>Detalle_OC[[#This Row],[Centro]]&amp;Detalle_OC[[#This Row],[Nom Almacen]]&amp;Detalle_OC[[#This Row],[Material]]&amp;Detalle_OC[[#This Row],[Pedido]]&amp;Detalle_OC[[#This Row],[Posicion]]</f>
        <v>Bioenergía del Chira PlantaMontelima70069779451156567210</v>
      </c>
      <c r="B2398" t="s">
        <v>200</v>
      </c>
      <c r="C2398" t="s">
        <v>1162</v>
      </c>
      <c r="D2398" s="11">
        <v>45657</v>
      </c>
      <c r="E2398" t="s">
        <v>48</v>
      </c>
      <c r="F2398" t="s">
        <v>86</v>
      </c>
      <c r="G2398">
        <v>70069779</v>
      </c>
      <c r="H2398">
        <v>4511565672</v>
      </c>
      <c r="I2398">
        <v>10</v>
      </c>
      <c r="J2398" s="29">
        <v>1</v>
      </c>
      <c r="K2398" s="29" t="s">
        <v>136</v>
      </c>
      <c r="L2398" t="str">
        <f>IFERROR(VLOOKUP(Detalle_OC[[#This Row],[Centro]]&amp;Detalle_OC[[#This Row],[Nro Almacen]],Almacen!A:D,4,FALSE),"")</f>
        <v>Montelima</v>
      </c>
    </row>
    <row r="2399" spans="1:12" x14ac:dyDescent="0.3">
      <c r="A2399" s="29" t="str">
        <f>Detalle_OC[[#This Row],[Centro]]&amp;Detalle_OC[[#This Row],[Nom Almacen]]&amp;Detalle_OC[[#This Row],[Material]]&amp;Detalle_OC[[#This Row],[Pedido]]&amp;Detalle_OC[[#This Row],[Posicion]]</f>
        <v>Sucroalcolera del Chira PlantaMontelima810904452009496010</v>
      </c>
      <c r="B2399" t="s">
        <v>138</v>
      </c>
      <c r="C2399" t="s">
        <v>1207</v>
      </c>
      <c r="D2399" s="11">
        <v>45632</v>
      </c>
      <c r="E2399" t="s">
        <v>16</v>
      </c>
      <c r="F2399" t="s">
        <v>85</v>
      </c>
      <c r="G2399">
        <v>810904</v>
      </c>
      <c r="H2399">
        <v>4520094960</v>
      </c>
      <c r="I2399">
        <v>10</v>
      </c>
      <c r="J2399" s="29">
        <v>1</v>
      </c>
      <c r="K2399" s="29" t="s">
        <v>136</v>
      </c>
      <c r="L2399" t="str">
        <f>IFERROR(VLOOKUP(Detalle_OC[[#This Row],[Centro]]&amp;Detalle_OC[[#This Row],[Nro Almacen]],Almacen!A:D,4,FALSE),"")</f>
        <v>Montelima</v>
      </c>
    </row>
    <row r="2400" spans="1:12" x14ac:dyDescent="0.3">
      <c r="A2400" s="29" t="str">
        <f>Detalle_OC[[#This Row],[Centro]]&amp;Detalle_OC[[#This Row],[Nom Almacen]]&amp;Detalle_OC[[#This Row],[Material]]&amp;Detalle_OC[[#This Row],[Pedido]]&amp;Detalle_OC[[#This Row],[Posicion]]</f>
        <v>Agricola del Chira PlantaMontelima70084371550002468180</v>
      </c>
      <c r="B2400" t="s">
        <v>28</v>
      </c>
      <c r="C2400" t="s">
        <v>84</v>
      </c>
      <c r="D2400" s="11">
        <v>45569</v>
      </c>
      <c r="E2400" t="s">
        <v>16</v>
      </c>
      <c r="F2400" t="s">
        <v>12</v>
      </c>
      <c r="G2400">
        <v>70084371</v>
      </c>
      <c r="H2400">
        <v>5500024681</v>
      </c>
      <c r="I2400">
        <v>80</v>
      </c>
      <c r="J2400" s="29">
        <v>1</v>
      </c>
      <c r="K2400" s="29" t="s">
        <v>136</v>
      </c>
      <c r="L2400" t="str">
        <f>IFERROR(VLOOKUP(Detalle_OC[[#This Row],[Centro]]&amp;Detalle_OC[[#This Row],[Nro Almacen]],Almacen!A:D,4,FALSE),"")</f>
        <v>Montelima</v>
      </c>
    </row>
    <row r="2401" spans="1:12" x14ac:dyDescent="0.3">
      <c r="A2401" s="29" t="str">
        <f>Detalle_OC[[#This Row],[Centro]]&amp;Detalle_OC[[#This Row],[Nom Almacen]]&amp;Detalle_OC[[#This Row],[Material]]&amp;Detalle_OC[[#This Row],[Pedido]]&amp;Detalle_OC[[#This Row],[Posicion]]</f>
        <v>Agricola del Chira PlantaMontelima70084371550002468180</v>
      </c>
      <c r="B2401" t="s">
        <v>28</v>
      </c>
      <c r="C2401" t="s">
        <v>84</v>
      </c>
      <c r="D2401" s="11">
        <v>45565</v>
      </c>
      <c r="E2401" t="s">
        <v>16</v>
      </c>
      <c r="F2401" t="s">
        <v>12</v>
      </c>
      <c r="G2401">
        <v>70084371</v>
      </c>
      <c r="H2401">
        <v>5500024681</v>
      </c>
      <c r="I2401">
        <v>80</v>
      </c>
      <c r="J2401" s="29">
        <v>1</v>
      </c>
      <c r="K2401" s="29" t="s">
        <v>136</v>
      </c>
      <c r="L2401" t="str">
        <f>IFERROR(VLOOKUP(Detalle_OC[[#This Row],[Centro]]&amp;Detalle_OC[[#This Row],[Nro Almacen]],Almacen!A:D,4,FALSE),"")</f>
        <v>Montelima</v>
      </c>
    </row>
    <row r="2402" spans="1:12" x14ac:dyDescent="0.3">
      <c r="A2402" s="29" t="str">
        <f>Detalle_OC[[#This Row],[Centro]]&amp;Detalle_OC[[#This Row],[Nom Almacen]]&amp;Detalle_OC[[#This Row],[Material]]&amp;Detalle_OC[[#This Row],[Pedido]]&amp;Detalle_OC[[#This Row],[Posicion]]</f>
        <v>Agricola del Chira PlantaFERTI LOBO 2721426550002484430</v>
      </c>
      <c r="B2402" t="s">
        <v>28</v>
      </c>
      <c r="C2402" t="s">
        <v>88</v>
      </c>
      <c r="D2402" s="11">
        <v>45565</v>
      </c>
      <c r="E2402" t="s">
        <v>16</v>
      </c>
      <c r="F2402" t="s">
        <v>12</v>
      </c>
      <c r="G2402">
        <v>721426</v>
      </c>
      <c r="H2402">
        <v>5500024844</v>
      </c>
      <c r="I2402">
        <v>30</v>
      </c>
      <c r="J2402" s="29">
        <v>23</v>
      </c>
      <c r="K2402" s="29" t="s">
        <v>136</v>
      </c>
      <c r="L2402" t="str">
        <f>IFERROR(VLOOKUP(Detalle_OC[[#This Row],[Centro]]&amp;Detalle_OC[[#This Row],[Nro Almacen]],Almacen!A:D,4,FALSE),"")</f>
        <v>FERTI LOBO 2</v>
      </c>
    </row>
    <row r="2403" spans="1:12" x14ac:dyDescent="0.3">
      <c r="A2403" s="29" t="str">
        <f>Detalle_OC[[#This Row],[Centro]]&amp;Detalle_OC[[#This Row],[Nom Almacen]]&amp;Detalle_OC[[#This Row],[Material]]&amp;Detalle_OC[[#This Row],[Pedido]]&amp;Detalle_OC[[#This Row],[Posicion]]</f>
        <v>Agricola del Chira PlantaMontelima70100392550002475110</v>
      </c>
      <c r="B2403" t="s">
        <v>28</v>
      </c>
      <c r="C2403" t="s">
        <v>54</v>
      </c>
      <c r="D2403" s="11">
        <v>45577</v>
      </c>
      <c r="E2403" t="s">
        <v>16</v>
      </c>
      <c r="F2403" t="s">
        <v>12</v>
      </c>
      <c r="G2403">
        <v>70100392</v>
      </c>
      <c r="H2403">
        <v>5500024751</v>
      </c>
      <c r="I2403">
        <v>10</v>
      </c>
      <c r="J2403" s="29">
        <v>1</v>
      </c>
      <c r="K2403" s="29" t="s">
        <v>144</v>
      </c>
      <c r="L2403" t="str">
        <f>IFERROR(VLOOKUP(Detalle_OC[[#This Row],[Centro]]&amp;Detalle_OC[[#This Row],[Nro Almacen]],Almacen!A:D,4,FALSE),"")</f>
        <v>Montelima</v>
      </c>
    </row>
    <row r="2404" spans="1:12" x14ac:dyDescent="0.3">
      <c r="A2404" s="29" t="str">
        <f>Detalle_OC[[#This Row],[Centro]]&amp;Detalle_OC[[#This Row],[Nom Almacen]]&amp;Detalle_OC[[#This Row],[Material]]&amp;Detalle_OC[[#This Row],[Pedido]]&amp;Detalle_OC[[#This Row],[Posicion]]</f>
        <v>Agricola del Chira PlantaMontelima70031427451156535310</v>
      </c>
      <c r="B2404" t="s">
        <v>200</v>
      </c>
      <c r="C2404" t="s">
        <v>1213</v>
      </c>
      <c r="D2404" s="11">
        <v>45657</v>
      </c>
      <c r="E2404" t="s">
        <v>16</v>
      </c>
      <c r="F2404" t="s">
        <v>12</v>
      </c>
      <c r="G2404">
        <v>70031427</v>
      </c>
      <c r="H2404">
        <v>4511565353</v>
      </c>
      <c r="I2404">
        <v>10</v>
      </c>
      <c r="J2404" s="29">
        <v>1</v>
      </c>
      <c r="K2404" s="29" t="s">
        <v>147</v>
      </c>
      <c r="L2404" t="str">
        <f>IFERROR(VLOOKUP(Detalle_OC[[#This Row],[Centro]]&amp;Detalle_OC[[#This Row],[Nro Almacen]],Almacen!A:D,4,FALSE),"")</f>
        <v>Montelima</v>
      </c>
    </row>
    <row r="2405" spans="1:12" x14ac:dyDescent="0.3">
      <c r="A2405" s="29" t="str">
        <f>Detalle_OC[[#This Row],[Centro]]&amp;Detalle_OC[[#This Row],[Nom Almacen]]&amp;Detalle_OC[[#This Row],[Material]]&amp;Detalle_OC[[#This Row],[Pedido]]&amp;Detalle_OC[[#This Row],[Posicion]]</f>
        <v>Agricola del Chira PlantaMontelima70045561451156535320</v>
      </c>
      <c r="B2405" t="s">
        <v>200</v>
      </c>
      <c r="C2405" t="s">
        <v>1213</v>
      </c>
      <c r="D2405" s="11">
        <v>45657</v>
      </c>
      <c r="E2405" t="s">
        <v>16</v>
      </c>
      <c r="F2405" t="s">
        <v>12</v>
      </c>
      <c r="G2405">
        <v>70045561</v>
      </c>
      <c r="H2405">
        <v>4511565353</v>
      </c>
      <c r="I2405">
        <v>20</v>
      </c>
      <c r="J2405" s="29">
        <v>1</v>
      </c>
      <c r="K2405" s="29" t="s">
        <v>147</v>
      </c>
      <c r="L2405" t="str">
        <f>IFERROR(VLOOKUP(Detalle_OC[[#This Row],[Centro]]&amp;Detalle_OC[[#This Row],[Nro Almacen]],Almacen!A:D,4,FALSE),"")</f>
        <v>Montelima</v>
      </c>
    </row>
    <row r="2406" spans="1:12" x14ac:dyDescent="0.3">
      <c r="A2406" s="29" t="str">
        <f>Detalle_OC[[#This Row],[Centro]]&amp;Detalle_OC[[#This Row],[Nom Almacen]]&amp;Detalle_OC[[#This Row],[Material]]&amp;Detalle_OC[[#This Row],[Pedido]]&amp;Detalle_OC[[#This Row],[Posicion]]</f>
        <v>Agricola del Chira PlantaMontelima70086000451156535330</v>
      </c>
      <c r="B2406" t="s">
        <v>200</v>
      </c>
      <c r="C2406" t="s">
        <v>1213</v>
      </c>
      <c r="D2406" s="11">
        <v>45657</v>
      </c>
      <c r="E2406" t="s">
        <v>16</v>
      </c>
      <c r="F2406" t="s">
        <v>12</v>
      </c>
      <c r="G2406">
        <v>70086000</v>
      </c>
      <c r="H2406">
        <v>4511565353</v>
      </c>
      <c r="I2406">
        <v>30</v>
      </c>
      <c r="J2406" s="29">
        <v>1</v>
      </c>
      <c r="K2406" s="29" t="s">
        <v>147</v>
      </c>
      <c r="L2406" t="str">
        <f>IFERROR(VLOOKUP(Detalle_OC[[#This Row],[Centro]]&amp;Detalle_OC[[#This Row],[Nro Almacen]],Almacen!A:D,4,FALSE),"")</f>
        <v>Montelima</v>
      </c>
    </row>
    <row r="2407" spans="1:12" x14ac:dyDescent="0.3">
      <c r="A2407" s="29" t="str">
        <f>Detalle_OC[[#This Row],[Centro]]&amp;Detalle_OC[[#This Row],[Nom Almacen]]&amp;Detalle_OC[[#This Row],[Material]]&amp;Detalle_OC[[#This Row],[Pedido]]&amp;Detalle_OC[[#This Row],[Posicion]]</f>
        <v>Agricola del Chira PlantaMontelima70086001451156535340</v>
      </c>
      <c r="B2407" t="s">
        <v>200</v>
      </c>
      <c r="C2407" t="s">
        <v>1213</v>
      </c>
      <c r="D2407" s="11">
        <v>45657</v>
      </c>
      <c r="E2407" t="s">
        <v>16</v>
      </c>
      <c r="F2407" t="s">
        <v>12</v>
      </c>
      <c r="G2407">
        <v>70086001</v>
      </c>
      <c r="H2407">
        <v>4511565353</v>
      </c>
      <c r="I2407">
        <v>40</v>
      </c>
      <c r="J2407" s="29">
        <v>1</v>
      </c>
      <c r="K2407" s="29" t="s">
        <v>147</v>
      </c>
      <c r="L2407" t="str">
        <f>IFERROR(VLOOKUP(Detalle_OC[[#This Row],[Centro]]&amp;Detalle_OC[[#This Row],[Nro Almacen]],Almacen!A:D,4,FALSE),"")</f>
        <v>Montelima</v>
      </c>
    </row>
    <row r="2408" spans="1:12" x14ac:dyDescent="0.3">
      <c r="A2408" s="29" t="str">
        <f>Detalle_OC[[#This Row],[Centro]]&amp;Detalle_OC[[#This Row],[Nom Almacen]]&amp;Detalle_OC[[#This Row],[Material]]&amp;Detalle_OC[[#This Row],[Pedido]]&amp;Detalle_OC[[#This Row],[Posicion]]</f>
        <v>Agricola del Chira PlantaMontelima70086002451156535350</v>
      </c>
      <c r="B2408" t="s">
        <v>200</v>
      </c>
      <c r="C2408" t="s">
        <v>1213</v>
      </c>
      <c r="D2408" s="11">
        <v>45657</v>
      </c>
      <c r="E2408" t="s">
        <v>16</v>
      </c>
      <c r="F2408" t="s">
        <v>12</v>
      </c>
      <c r="G2408">
        <v>70086002</v>
      </c>
      <c r="H2408">
        <v>4511565353</v>
      </c>
      <c r="I2408">
        <v>50</v>
      </c>
      <c r="J2408" s="29">
        <v>1</v>
      </c>
      <c r="K2408" s="29" t="s">
        <v>147</v>
      </c>
      <c r="L2408" t="str">
        <f>IFERROR(VLOOKUP(Detalle_OC[[#This Row],[Centro]]&amp;Detalle_OC[[#This Row],[Nro Almacen]],Almacen!A:D,4,FALSE),"")</f>
        <v>Montelima</v>
      </c>
    </row>
    <row r="2409" spans="1:12" x14ac:dyDescent="0.3">
      <c r="A2409" s="29" t="str">
        <f>Detalle_OC[[#This Row],[Centro]]&amp;Detalle_OC[[#This Row],[Nom Almacen]]&amp;Detalle_OC[[#This Row],[Material]]&amp;Detalle_OC[[#This Row],[Pedido]]&amp;Detalle_OC[[#This Row],[Posicion]]</f>
        <v>Agricola del Chira PlantaMontelima70086003451156535360</v>
      </c>
      <c r="B2409" t="s">
        <v>200</v>
      </c>
      <c r="C2409" t="s">
        <v>1213</v>
      </c>
      <c r="D2409" s="11">
        <v>45657</v>
      </c>
      <c r="E2409" t="s">
        <v>16</v>
      </c>
      <c r="F2409" t="s">
        <v>12</v>
      </c>
      <c r="G2409">
        <v>70086003</v>
      </c>
      <c r="H2409">
        <v>4511565353</v>
      </c>
      <c r="I2409">
        <v>60</v>
      </c>
      <c r="J2409" s="29">
        <v>1</v>
      </c>
      <c r="K2409" s="29" t="s">
        <v>147</v>
      </c>
      <c r="L2409" t="str">
        <f>IFERROR(VLOOKUP(Detalle_OC[[#This Row],[Centro]]&amp;Detalle_OC[[#This Row],[Nro Almacen]],Almacen!A:D,4,FALSE),"")</f>
        <v>Montelima</v>
      </c>
    </row>
    <row r="2410" spans="1:12" x14ac:dyDescent="0.3">
      <c r="A2410" s="29" t="str">
        <f>Detalle_OC[[#This Row],[Centro]]&amp;Detalle_OC[[#This Row],[Nom Almacen]]&amp;Detalle_OC[[#This Row],[Material]]&amp;Detalle_OC[[#This Row],[Pedido]]&amp;Detalle_OC[[#This Row],[Posicion]]</f>
        <v>Agricola del Chira PlantaMontelima70086004451156535370</v>
      </c>
      <c r="B2410" t="s">
        <v>200</v>
      </c>
      <c r="C2410" t="s">
        <v>1213</v>
      </c>
      <c r="D2410" s="11">
        <v>45657</v>
      </c>
      <c r="E2410" t="s">
        <v>16</v>
      </c>
      <c r="F2410" t="s">
        <v>12</v>
      </c>
      <c r="G2410">
        <v>70086004</v>
      </c>
      <c r="H2410">
        <v>4511565353</v>
      </c>
      <c r="I2410">
        <v>70</v>
      </c>
      <c r="J2410" s="29">
        <v>1</v>
      </c>
      <c r="K2410" s="29" t="s">
        <v>147</v>
      </c>
      <c r="L2410" t="str">
        <f>IFERROR(VLOOKUP(Detalle_OC[[#This Row],[Centro]]&amp;Detalle_OC[[#This Row],[Nro Almacen]],Almacen!A:D,4,FALSE),"")</f>
        <v>Montelima</v>
      </c>
    </row>
    <row r="2411" spans="1:12" x14ac:dyDescent="0.3">
      <c r="A2411" s="29" t="str">
        <f>Detalle_OC[[#This Row],[Centro]]&amp;Detalle_OC[[#This Row],[Nom Almacen]]&amp;Detalle_OC[[#This Row],[Material]]&amp;Detalle_OC[[#This Row],[Pedido]]&amp;Detalle_OC[[#This Row],[Posicion]]</f>
        <v>Agricola del Chira PlantaMontelima70086005451156535380</v>
      </c>
      <c r="B2411" t="s">
        <v>200</v>
      </c>
      <c r="C2411" t="s">
        <v>1213</v>
      </c>
      <c r="D2411" s="11">
        <v>45657</v>
      </c>
      <c r="E2411" t="s">
        <v>16</v>
      </c>
      <c r="F2411" t="s">
        <v>12</v>
      </c>
      <c r="G2411">
        <v>70086005</v>
      </c>
      <c r="H2411">
        <v>4511565353</v>
      </c>
      <c r="I2411">
        <v>80</v>
      </c>
      <c r="J2411" s="29">
        <v>1</v>
      </c>
      <c r="K2411" s="29" t="s">
        <v>147</v>
      </c>
      <c r="L2411" t="str">
        <f>IFERROR(VLOOKUP(Detalle_OC[[#This Row],[Centro]]&amp;Detalle_OC[[#This Row],[Nro Almacen]],Almacen!A:D,4,FALSE),"")</f>
        <v>Montelima</v>
      </c>
    </row>
    <row r="2412" spans="1:12" x14ac:dyDescent="0.3">
      <c r="A2412" s="29" t="str">
        <f>Detalle_OC[[#This Row],[Centro]]&amp;Detalle_OC[[#This Row],[Nom Almacen]]&amp;Detalle_OC[[#This Row],[Material]]&amp;Detalle_OC[[#This Row],[Pedido]]&amp;Detalle_OC[[#This Row],[Posicion]]</f>
        <v>Agricola del Chira PlantaMontelima700860224511565353130</v>
      </c>
      <c r="B2412" t="s">
        <v>200</v>
      </c>
      <c r="C2412" t="s">
        <v>1213</v>
      </c>
      <c r="D2412" s="11">
        <v>45657</v>
      </c>
      <c r="E2412" t="s">
        <v>16</v>
      </c>
      <c r="F2412" t="s">
        <v>12</v>
      </c>
      <c r="G2412">
        <v>70086022</v>
      </c>
      <c r="H2412">
        <v>4511565353</v>
      </c>
      <c r="I2412">
        <v>130</v>
      </c>
      <c r="J2412" s="29">
        <v>1</v>
      </c>
      <c r="K2412" s="29" t="s">
        <v>147</v>
      </c>
      <c r="L2412" t="str">
        <f>IFERROR(VLOOKUP(Detalle_OC[[#This Row],[Centro]]&amp;Detalle_OC[[#This Row],[Nro Almacen]],Almacen!A:D,4,FALSE),"")</f>
        <v>Montelima</v>
      </c>
    </row>
    <row r="2413" spans="1:12" x14ac:dyDescent="0.3">
      <c r="A2413" s="29" t="str">
        <f>Detalle_OC[[#This Row],[Centro]]&amp;Detalle_OC[[#This Row],[Nom Almacen]]&amp;Detalle_OC[[#This Row],[Material]]&amp;Detalle_OC[[#This Row],[Pedido]]&amp;Detalle_OC[[#This Row],[Posicion]]</f>
        <v>Agricola del Chira PlantaMontelima700860274511565353140</v>
      </c>
      <c r="B2413" t="s">
        <v>200</v>
      </c>
      <c r="C2413" t="s">
        <v>1213</v>
      </c>
      <c r="D2413" s="11">
        <v>45657</v>
      </c>
      <c r="E2413" t="s">
        <v>16</v>
      </c>
      <c r="F2413" t="s">
        <v>12</v>
      </c>
      <c r="G2413">
        <v>70086027</v>
      </c>
      <c r="H2413">
        <v>4511565353</v>
      </c>
      <c r="I2413">
        <v>140</v>
      </c>
      <c r="J2413" s="29">
        <v>1</v>
      </c>
      <c r="K2413" s="29" t="s">
        <v>147</v>
      </c>
      <c r="L2413" t="str">
        <f>IFERROR(VLOOKUP(Detalle_OC[[#This Row],[Centro]]&amp;Detalle_OC[[#This Row],[Nro Almacen]],Almacen!A:D,4,FALSE),"")</f>
        <v>Montelima</v>
      </c>
    </row>
    <row r="2414" spans="1:12" x14ac:dyDescent="0.3">
      <c r="A2414" s="29" t="str">
        <f>Detalle_OC[[#This Row],[Centro]]&amp;Detalle_OC[[#This Row],[Nom Almacen]]&amp;Detalle_OC[[#This Row],[Material]]&amp;Detalle_OC[[#This Row],[Pedido]]&amp;Detalle_OC[[#This Row],[Posicion]]</f>
        <v>Agricola del Chira PlantaMontelima700860284511565353150</v>
      </c>
      <c r="B2414" t="s">
        <v>200</v>
      </c>
      <c r="C2414" t="s">
        <v>1213</v>
      </c>
      <c r="D2414" s="11">
        <v>45657</v>
      </c>
      <c r="E2414" t="s">
        <v>16</v>
      </c>
      <c r="F2414" t="s">
        <v>12</v>
      </c>
      <c r="G2414">
        <v>70086028</v>
      </c>
      <c r="H2414">
        <v>4511565353</v>
      </c>
      <c r="I2414">
        <v>150</v>
      </c>
      <c r="J2414" s="29">
        <v>1</v>
      </c>
      <c r="K2414" s="29" t="s">
        <v>147</v>
      </c>
      <c r="L2414" t="str">
        <f>IFERROR(VLOOKUP(Detalle_OC[[#This Row],[Centro]]&amp;Detalle_OC[[#This Row],[Nro Almacen]],Almacen!A:D,4,FALSE),"")</f>
        <v>Montelima</v>
      </c>
    </row>
    <row r="2415" spans="1:12" x14ac:dyDescent="0.3">
      <c r="A2415" s="29" t="str">
        <f>Detalle_OC[[#This Row],[Centro]]&amp;Detalle_OC[[#This Row],[Nom Almacen]]&amp;Detalle_OC[[#This Row],[Material]]&amp;Detalle_OC[[#This Row],[Pedido]]&amp;Detalle_OC[[#This Row],[Posicion]]</f>
        <v>Agricola del Chira PlantaMontelima700860294511565353160</v>
      </c>
      <c r="B2415" t="s">
        <v>200</v>
      </c>
      <c r="C2415" t="s">
        <v>1213</v>
      </c>
      <c r="D2415" s="11">
        <v>45657</v>
      </c>
      <c r="E2415" t="s">
        <v>16</v>
      </c>
      <c r="F2415" t="s">
        <v>12</v>
      </c>
      <c r="G2415">
        <v>70086029</v>
      </c>
      <c r="H2415">
        <v>4511565353</v>
      </c>
      <c r="I2415">
        <v>160</v>
      </c>
      <c r="J2415" s="29">
        <v>1</v>
      </c>
      <c r="K2415" s="29" t="s">
        <v>147</v>
      </c>
      <c r="L2415" t="str">
        <f>IFERROR(VLOOKUP(Detalle_OC[[#This Row],[Centro]]&amp;Detalle_OC[[#This Row],[Nro Almacen]],Almacen!A:D,4,FALSE),"")</f>
        <v>Montelima</v>
      </c>
    </row>
    <row r="2416" spans="1:12" x14ac:dyDescent="0.3">
      <c r="A2416" s="29" t="str">
        <f>Detalle_OC[[#This Row],[Centro]]&amp;Detalle_OC[[#This Row],[Nom Almacen]]&amp;Detalle_OC[[#This Row],[Material]]&amp;Detalle_OC[[#This Row],[Pedido]]&amp;Detalle_OC[[#This Row],[Posicion]]</f>
        <v>Agricola del Chira PlantaMontelima700860304511565353170</v>
      </c>
      <c r="B2416" t="s">
        <v>200</v>
      </c>
      <c r="C2416" t="s">
        <v>1213</v>
      </c>
      <c r="D2416" s="11">
        <v>45657</v>
      </c>
      <c r="E2416" t="s">
        <v>16</v>
      </c>
      <c r="F2416" t="s">
        <v>12</v>
      </c>
      <c r="G2416">
        <v>70086030</v>
      </c>
      <c r="H2416">
        <v>4511565353</v>
      </c>
      <c r="I2416">
        <v>170</v>
      </c>
      <c r="J2416" s="29">
        <v>1</v>
      </c>
      <c r="K2416" s="29" t="s">
        <v>147</v>
      </c>
      <c r="L2416" t="str">
        <f>IFERROR(VLOOKUP(Detalle_OC[[#This Row],[Centro]]&amp;Detalle_OC[[#This Row],[Nro Almacen]],Almacen!A:D,4,FALSE),"")</f>
        <v>Montelima</v>
      </c>
    </row>
    <row r="2417" spans="1:12" x14ac:dyDescent="0.3">
      <c r="A2417" s="29" t="str">
        <f>Detalle_OC[[#This Row],[Centro]]&amp;Detalle_OC[[#This Row],[Nom Almacen]]&amp;Detalle_OC[[#This Row],[Material]]&amp;Detalle_OC[[#This Row],[Pedido]]&amp;Detalle_OC[[#This Row],[Posicion]]</f>
        <v>Agricola del Chira PlantaMontelima700860404511565353180</v>
      </c>
      <c r="B2417" t="s">
        <v>200</v>
      </c>
      <c r="C2417" t="s">
        <v>1213</v>
      </c>
      <c r="D2417" s="11">
        <v>45657</v>
      </c>
      <c r="E2417" t="s">
        <v>16</v>
      </c>
      <c r="F2417" t="s">
        <v>12</v>
      </c>
      <c r="G2417">
        <v>70086040</v>
      </c>
      <c r="H2417">
        <v>4511565353</v>
      </c>
      <c r="I2417">
        <v>180</v>
      </c>
      <c r="J2417" s="29">
        <v>1</v>
      </c>
      <c r="K2417" s="29" t="s">
        <v>147</v>
      </c>
      <c r="L2417" t="str">
        <f>IFERROR(VLOOKUP(Detalle_OC[[#This Row],[Centro]]&amp;Detalle_OC[[#This Row],[Nro Almacen]],Almacen!A:D,4,FALSE),"")</f>
        <v>Montelima</v>
      </c>
    </row>
    <row r="2418" spans="1:12" x14ac:dyDescent="0.3">
      <c r="A2418" s="29" t="str">
        <f>Detalle_OC[[#This Row],[Centro]]&amp;Detalle_OC[[#This Row],[Nom Almacen]]&amp;Detalle_OC[[#This Row],[Material]]&amp;Detalle_OC[[#This Row],[Pedido]]&amp;Detalle_OC[[#This Row],[Posicion]]</f>
        <v>Agricola del Chira PlantaMontelima700860484511565353190</v>
      </c>
      <c r="B2418" t="s">
        <v>200</v>
      </c>
      <c r="C2418" t="s">
        <v>1213</v>
      </c>
      <c r="D2418" s="11">
        <v>45657</v>
      </c>
      <c r="E2418" t="s">
        <v>16</v>
      </c>
      <c r="F2418" t="s">
        <v>12</v>
      </c>
      <c r="G2418">
        <v>70086048</v>
      </c>
      <c r="H2418">
        <v>4511565353</v>
      </c>
      <c r="I2418">
        <v>190</v>
      </c>
      <c r="J2418" s="29">
        <v>1</v>
      </c>
      <c r="K2418" s="29" t="s">
        <v>147</v>
      </c>
      <c r="L2418" t="str">
        <f>IFERROR(VLOOKUP(Detalle_OC[[#This Row],[Centro]]&amp;Detalle_OC[[#This Row],[Nro Almacen]],Almacen!A:D,4,FALSE),"")</f>
        <v>Montelima</v>
      </c>
    </row>
    <row r="2419" spans="1:12" x14ac:dyDescent="0.3">
      <c r="A2419" s="29" t="str">
        <f>Detalle_OC[[#This Row],[Centro]]&amp;Detalle_OC[[#This Row],[Nom Almacen]]&amp;Detalle_OC[[#This Row],[Material]]&amp;Detalle_OC[[#This Row],[Pedido]]&amp;Detalle_OC[[#This Row],[Posicion]]</f>
        <v>Agricola del Chira PlantaMontelima700860494511565353200</v>
      </c>
      <c r="B2419" t="s">
        <v>200</v>
      </c>
      <c r="C2419" t="s">
        <v>1213</v>
      </c>
      <c r="D2419" s="11">
        <v>45657</v>
      </c>
      <c r="E2419" t="s">
        <v>16</v>
      </c>
      <c r="F2419" t="s">
        <v>12</v>
      </c>
      <c r="G2419">
        <v>70086049</v>
      </c>
      <c r="H2419">
        <v>4511565353</v>
      </c>
      <c r="I2419">
        <v>200</v>
      </c>
      <c r="J2419" s="29">
        <v>1</v>
      </c>
      <c r="K2419" s="29" t="s">
        <v>147</v>
      </c>
      <c r="L2419" t="str">
        <f>IFERROR(VLOOKUP(Detalle_OC[[#This Row],[Centro]]&amp;Detalle_OC[[#This Row],[Nro Almacen]],Almacen!A:D,4,FALSE),"")</f>
        <v>Montelima</v>
      </c>
    </row>
    <row r="2420" spans="1:12" x14ac:dyDescent="0.3">
      <c r="A2420" s="29" t="str">
        <f>Detalle_OC[[#This Row],[Centro]]&amp;Detalle_OC[[#This Row],[Nom Almacen]]&amp;Detalle_OC[[#This Row],[Material]]&amp;Detalle_OC[[#This Row],[Pedido]]&amp;Detalle_OC[[#This Row],[Posicion]]</f>
        <v>Agricola del Chira PlantaMontelima700860504511565353210</v>
      </c>
      <c r="B2420" t="s">
        <v>200</v>
      </c>
      <c r="C2420" t="s">
        <v>1213</v>
      </c>
      <c r="D2420" s="11">
        <v>45657</v>
      </c>
      <c r="E2420" t="s">
        <v>16</v>
      </c>
      <c r="F2420" t="s">
        <v>12</v>
      </c>
      <c r="G2420">
        <v>70086050</v>
      </c>
      <c r="H2420">
        <v>4511565353</v>
      </c>
      <c r="I2420">
        <v>210</v>
      </c>
      <c r="J2420" s="29">
        <v>1</v>
      </c>
      <c r="K2420" s="29" t="s">
        <v>147</v>
      </c>
      <c r="L2420" t="str">
        <f>IFERROR(VLOOKUP(Detalle_OC[[#This Row],[Centro]]&amp;Detalle_OC[[#This Row],[Nro Almacen]],Almacen!A:D,4,FALSE),"")</f>
        <v>Montelima</v>
      </c>
    </row>
    <row r="2421" spans="1:12" x14ac:dyDescent="0.3">
      <c r="A2421" s="29" t="str">
        <f>Detalle_OC[[#This Row],[Centro]]&amp;Detalle_OC[[#This Row],[Nom Almacen]]&amp;Detalle_OC[[#This Row],[Material]]&amp;Detalle_OC[[#This Row],[Pedido]]&amp;Detalle_OC[[#This Row],[Posicion]]</f>
        <v>Agricola del Chira PlantaMontelima700860514511565353220</v>
      </c>
      <c r="B2421" t="s">
        <v>200</v>
      </c>
      <c r="C2421" t="s">
        <v>1213</v>
      </c>
      <c r="D2421" s="11">
        <v>45657</v>
      </c>
      <c r="E2421" t="s">
        <v>16</v>
      </c>
      <c r="F2421" t="s">
        <v>12</v>
      </c>
      <c r="G2421">
        <v>70086051</v>
      </c>
      <c r="H2421">
        <v>4511565353</v>
      </c>
      <c r="I2421">
        <v>220</v>
      </c>
      <c r="J2421" s="29">
        <v>1</v>
      </c>
      <c r="K2421" s="29" t="s">
        <v>147</v>
      </c>
      <c r="L2421" t="str">
        <f>IFERROR(VLOOKUP(Detalle_OC[[#This Row],[Centro]]&amp;Detalle_OC[[#This Row],[Nro Almacen]],Almacen!A:D,4,FALSE),"")</f>
        <v>Montelima</v>
      </c>
    </row>
    <row r="2422" spans="1:12" x14ac:dyDescent="0.3">
      <c r="A2422" s="29" t="str">
        <f>Detalle_OC[[#This Row],[Centro]]&amp;Detalle_OC[[#This Row],[Nom Almacen]]&amp;Detalle_OC[[#This Row],[Material]]&amp;Detalle_OC[[#This Row],[Pedido]]&amp;Detalle_OC[[#This Row],[Posicion]]</f>
        <v>Agricola del Chira PlantaMontelima700860694511565353230</v>
      </c>
      <c r="B2422" t="s">
        <v>200</v>
      </c>
      <c r="C2422" t="s">
        <v>1213</v>
      </c>
      <c r="D2422" s="11">
        <v>45657</v>
      </c>
      <c r="E2422" t="s">
        <v>16</v>
      </c>
      <c r="F2422" t="s">
        <v>12</v>
      </c>
      <c r="G2422">
        <v>70086069</v>
      </c>
      <c r="H2422">
        <v>4511565353</v>
      </c>
      <c r="I2422">
        <v>230</v>
      </c>
      <c r="J2422" s="29">
        <v>1</v>
      </c>
      <c r="K2422" s="29" t="s">
        <v>147</v>
      </c>
      <c r="L2422" t="str">
        <f>IFERROR(VLOOKUP(Detalle_OC[[#This Row],[Centro]]&amp;Detalle_OC[[#This Row],[Nro Almacen]],Almacen!A:D,4,FALSE),"")</f>
        <v>Montelima</v>
      </c>
    </row>
    <row r="2423" spans="1:12" x14ac:dyDescent="0.3">
      <c r="A2423" s="29" t="str">
        <f>Detalle_OC[[#This Row],[Centro]]&amp;Detalle_OC[[#This Row],[Nom Almacen]]&amp;Detalle_OC[[#This Row],[Material]]&amp;Detalle_OC[[#This Row],[Pedido]]&amp;Detalle_OC[[#This Row],[Posicion]]</f>
        <v>Agricola del Chira PlantaMontelima700860714511565353250</v>
      </c>
      <c r="B2423" t="s">
        <v>200</v>
      </c>
      <c r="C2423" t="s">
        <v>1213</v>
      </c>
      <c r="D2423" s="11">
        <v>45657</v>
      </c>
      <c r="E2423" t="s">
        <v>16</v>
      </c>
      <c r="F2423" t="s">
        <v>12</v>
      </c>
      <c r="G2423">
        <v>70086071</v>
      </c>
      <c r="H2423">
        <v>4511565353</v>
      </c>
      <c r="I2423">
        <v>250</v>
      </c>
      <c r="J2423" s="29">
        <v>1</v>
      </c>
      <c r="K2423" s="29" t="s">
        <v>147</v>
      </c>
      <c r="L2423" t="str">
        <f>IFERROR(VLOOKUP(Detalle_OC[[#This Row],[Centro]]&amp;Detalle_OC[[#This Row],[Nro Almacen]],Almacen!A:D,4,FALSE),"")</f>
        <v>Montelima</v>
      </c>
    </row>
    <row r="2424" spans="1:12" x14ac:dyDescent="0.3">
      <c r="A2424" s="29" t="str">
        <f>Detalle_OC[[#This Row],[Centro]]&amp;Detalle_OC[[#This Row],[Nom Almacen]]&amp;Detalle_OC[[#This Row],[Material]]&amp;Detalle_OC[[#This Row],[Pedido]]&amp;Detalle_OC[[#This Row],[Posicion]]</f>
        <v>Agricola del Chira PlantaMontelima700860724511565353260</v>
      </c>
      <c r="B2424" t="s">
        <v>200</v>
      </c>
      <c r="C2424" t="s">
        <v>1213</v>
      </c>
      <c r="D2424" s="11">
        <v>45657</v>
      </c>
      <c r="E2424" t="s">
        <v>16</v>
      </c>
      <c r="F2424" t="s">
        <v>12</v>
      </c>
      <c r="G2424">
        <v>70086072</v>
      </c>
      <c r="H2424">
        <v>4511565353</v>
      </c>
      <c r="I2424">
        <v>260</v>
      </c>
      <c r="J2424" s="29">
        <v>1</v>
      </c>
      <c r="K2424" s="29" t="s">
        <v>147</v>
      </c>
      <c r="L2424" t="str">
        <f>IFERROR(VLOOKUP(Detalle_OC[[#This Row],[Centro]]&amp;Detalle_OC[[#This Row],[Nro Almacen]],Almacen!A:D,4,FALSE),"")</f>
        <v>Montelima</v>
      </c>
    </row>
    <row r="2425" spans="1:12" x14ac:dyDescent="0.3">
      <c r="A2425" s="29" t="str">
        <f>Detalle_OC[[#This Row],[Centro]]&amp;Detalle_OC[[#This Row],[Nom Almacen]]&amp;Detalle_OC[[#This Row],[Material]]&amp;Detalle_OC[[#This Row],[Pedido]]&amp;Detalle_OC[[#This Row],[Posicion]]</f>
        <v>Agricola del Chira PlantaMontelima700860754511565353270</v>
      </c>
      <c r="B2425" t="s">
        <v>200</v>
      </c>
      <c r="C2425" t="s">
        <v>1213</v>
      </c>
      <c r="D2425" s="11">
        <v>45657</v>
      </c>
      <c r="E2425" t="s">
        <v>16</v>
      </c>
      <c r="F2425" t="s">
        <v>12</v>
      </c>
      <c r="G2425">
        <v>70086075</v>
      </c>
      <c r="H2425">
        <v>4511565353</v>
      </c>
      <c r="I2425">
        <v>270</v>
      </c>
      <c r="J2425" s="29">
        <v>1</v>
      </c>
      <c r="K2425" s="29" t="s">
        <v>147</v>
      </c>
      <c r="L2425" t="str">
        <f>IFERROR(VLOOKUP(Detalle_OC[[#This Row],[Centro]]&amp;Detalle_OC[[#This Row],[Nro Almacen]],Almacen!A:D,4,FALSE),"")</f>
        <v>Montelima</v>
      </c>
    </row>
    <row r="2426" spans="1:12" x14ac:dyDescent="0.3">
      <c r="A2426" s="29" t="str">
        <f>Detalle_OC[[#This Row],[Centro]]&amp;Detalle_OC[[#This Row],[Nom Almacen]]&amp;Detalle_OC[[#This Row],[Material]]&amp;Detalle_OC[[#This Row],[Pedido]]&amp;Detalle_OC[[#This Row],[Posicion]]</f>
        <v>Agricola del Chira PlantaMontelima700860764511565353280</v>
      </c>
      <c r="B2426" t="s">
        <v>200</v>
      </c>
      <c r="C2426" t="s">
        <v>1213</v>
      </c>
      <c r="D2426" s="11">
        <v>45657</v>
      </c>
      <c r="E2426" t="s">
        <v>16</v>
      </c>
      <c r="F2426" t="s">
        <v>12</v>
      </c>
      <c r="G2426">
        <v>70086076</v>
      </c>
      <c r="H2426">
        <v>4511565353</v>
      </c>
      <c r="I2426">
        <v>280</v>
      </c>
      <c r="J2426" s="29">
        <v>1</v>
      </c>
      <c r="K2426" s="29" t="s">
        <v>147</v>
      </c>
      <c r="L2426" t="str">
        <f>IFERROR(VLOOKUP(Detalle_OC[[#This Row],[Centro]]&amp;Detalle_OC[[#This Row],[Nro Almacen]],Almacen!A:D,4,FALSE),"")</f>
        <v>Montelima</v>
      </c>
    </row>
    <row r="2427" spans="1:12" x14ac:dyDescent="0.3">
      <c r="A2427" s="29" t="str">
        <f>Detalle_OC[[#This Row],[Centro]]&amp;Detalle_OC[[#This Row],[Nom Almacen]]&amp;Detalle_OC[[#This Row],[Material]]&amp;Detalle_OC[[#This Row],[Pedido]]&amp;Detalle_OC[[#This Row],[Posicion]]</f>
        <v>Agricola del Chira PlantaMontelima700860774511565353290</v>
      </c>
      <c r="B2427" t="s">
        <v>200</v>
      </c>
      <c r="C2427" t="s">
        <v>1213</v>
      </c>
      <c r="D2427" s="11">
        <v>45657</v>
      </c>
      <c r="E2427" t="s">
        <v>16</v>
      </c>
      <c r="F2427" t="s">
        <v>12</v>
      </c>
      <c r="G2427">
        <v>70086077</v>
      </c>
      <c r="H2427">
        <v>4511565353</v>
      </c>
      <c r="I2427">
        <v>290</v>
      </c>
      <c r="J2427" s="29">
        <v>1</v>
      </c>
      <c r="K2427" s="29" t="s">
        <v>147</v>
      </c>
      <c r="L2427" t="str">
        <f>IFERROR(VLOOKUP(Detalle_OC[[#This Row],[Centro]]&amp;Detalle_OC[[#This Row],[Nro Almacen]],Almacen!A:D,4,FALSE),"")</f>
        <v>Montelima</v>
      </c>
    </row>
    <row r="2428" spans="1:12" x14ac:dyDescent="0.3">
      <c r="A2428" s="29" t="str">
        <f>Detalle_OC[[#This Row],[Centro]]&amp;Detalle_OC[[#This Row],[Nom Almacen]]&amp;Detalle_OC[[#This Row],[Material]]&amp;Detalle_OC[[#This Row],[Pedido]]&amp;Detalle_OC[[#This Row],[Posicion]]</f>
        <v>Agricola del Chira PlantaMontelima700860784511565353300</v>
      </c>
      <c r="B2428" t="s">
        <v>200</v>
      </c>
      <c r="C2428" t="s">
        <v>1213</v>
      </c>
      <c r="D2428" s="11">
        <v>45657</v>
      </c>
      <c r="E2428" t="s">
        <v>16</v>
      </c>
      <c r="F2428" t="s">
        <v>12</v>
      </c>
      <c r="G2428">
        <v>70086078</v>
      </c>
      <c r="H2428">
        <v>4511565353</v>
      </c>
      <c r="I2428">
        <v>300</v>
      </c>
      <c r="J2428" s="29">
        <v>1</v>
      </c>
      <c r="K2428" s="29" t="s">
        <v>147</v>
      </c>
      <c r="L2428" t="str">
        <f>IFERROR(VLOOKUP(Detalle_OC[[#This Row],[Centro]]&amp;Detalle_OC[[#This Row],[Nro Almacen]],Almacen!A:D,4,FALSE),"")</f>
        <v>Montelima</v>
      </c>
    </row>
    <row r="2429" spans="1:12" x14ac:dyDescent="0.3">
      <c r="A2429" s="29" t="str">
        <f>Detalle_OC[[#This Row],[Centro]]&amp;Detalle_OC[[#This Row],[Nom Almacen]]&amp;Detalle_OC[[#This Row],[Material]]&amp;Detalle_OC[[#This Row],[Pedido]]&amp;Detalle_OC[[#This Row],[Posicion]]</f>
        <v>Agricola del Chira PlantaMontelima700860794511565353310</v>
      </c>
      <c r="B2429" t="s">
        <v>200</v>
      </c>
      <c r="C2429" t="s">
        <v>1213</v>
      </c>
      <c r="D2429" s="11">
        <v>45657</v>
      </c>
      <c r="E2429" t="s">
        <v>16</v>
      </c>
      <c r="F2429" t="s">
        <v>12</v>
      </c>
      <c r="G2429">
        <v>70086079</v>
      </c>
      <c r="H2429">
        <v>4511565353</v>
      </c>
      <c r="I2429">
        <v>310</v>
      </c>
      <c r="J2429" s="29">
        <v>1</v>
      </c>
      <c r="K2429" s="29" t="s">
        <v>147</v>
      </c>
      <c r="L2429" t="str">
        <f>IFERROR(VLOOKUP(Detalle_OC[[#This Row],[Centro]]&amp;Detalle_OC[[#This Row],[Nro Almacen]],Almacen!A:D,4,FALSE),"")</f>
        <v>Montelima</v>
      </c>
    </row>
    <row r="2430" spans="1:12" x14ac:dyDescent="0.3">
      <c r="A2430" s="29" t="str">
        <f>Detalle_OC[[#This Row],[Centro]]&amp;Detalle_OC[[#This Row],[Nom Almacen]]&amp;Detalle_OC[[#This Row],[Material]]&amp;Detalle_OC[[#This Row],[Pedido]]&amp;Detalle_OC[[#This Row],[Posicion]]</f>
        <v>Agricola del Chira PlantaMontelima700860804511565353320</v>
      </c>
      <c r="B2430" t="s">
        <v>200</v>
      </c>
      <c r="C2430" t="s">
        <v>1213</v>
      </c>
      <c r="D2430" s="11">
        <v>45657</v>
      </c>
      <c r="E2430" t="s">
        <v>16</v>
      </c>
      <c r="F2430" t="s">
        <v>12</v>
      </c>
      <c r="G2430">
        <v>70086080</v>
      </c>
      <c r="H2430">
        <v>4511565353</v>
      </c>
      <c r="I2430">
        <v>320</v>
      </c>
      <c r="J2430" s="29">
        <v>1</v>
      </c>
      <c r="K2430" s="29" t="s">
        <v>147</v>
      </c>
      <c r="L2430" t="str">
        <f>IFERROR(VLOOKUP(Detalle_OC[[#This Row],[Centro]]&amp;Detalle_OC[[#This Row],[Nro Almacen]],Almacen!A:D,4,FALSE),"")</f>
        <v>Montelima</v>
      </c>
    </row>
    <row r="2431" spans="1:12" x14ac:dyDescent="0.3">
      <c r="A2431" s="29" t="str">
        <f>Detalle_OC[[#This Row],[Centro]]&amp;Detalle_OC[[#This Row],[Nom Almacen]]&amp;Detalle_OC[[#This Row],[Material]]&amp;Detalle_OC[[#This Row],[Pedido]]&amp;Detalle_OC[[#This Row],[Posicion]]</f>
        <v>Agricola del Chira PlantaMontelima700860814511565353330</v>
      </c>
      <c r="B2431" t="s">
        <v>200</v>
      </c>
      <c r="C2431" t="s">
        <v>1213</v>
      </c>
      <c r="D2431" s="11">
        <v>45657</v>
      </c>
      <c r="E2431" t="s">
        <v>16</v>
      </c>
      <c r="F2431" t="s">
        <v>12</v>
      </c>
      <c r="G2431">
        <v>70086081</v>
      </c>
      <c r="H2431">
        <v>4511565353</v>
      </c>
      <c r="I2431">
        <v>330</v>
      </c>
      <c r="J2431" s="29">
        <v>1</v>
      </c>
      <c r="K2431" s="29" t="s">
        <v>147</v>
      </c>
      <c r="L2431" t="str">
        <f>IFERROR(VLOOKUP(Detalle_OC[[#This Row],[Centro]]&amp;Detalle_OC[[#This Row],[Nro Almacen]],Almacen!A:D,4,FALSE),"")</f>
        <v>Montelima</v>
      </c>
    </row>
    <row r="2432" spans="1:12" x14ac:dyDescent="0.3">
      <c r="A2432" s="29" t="str">
        <f>Detalle_OC[[#This Row],[Centro]]&amp;Detalle_OC[[#This Row],[Nom Almacen]]&amp;Detalle_OC[[#This Row],[Material]]&amp;Detalle_OC[[#This Row],[Pedido]]&amp;Detalle_OC[[#This Row],[Posicion]]</f>
        <v>Agricola del Chira PlantaMontelima700860824511565353340</v>
      </c>
      <c r="B2432" t="s">
        <v>200</v>
      </c>
      <c r="C2432" t="s">
        <v>1213</v>
      </c>
      <c r="D2432" s="11">
        <v>45657</v>
      </c>
      <c r="E2432" t="s">
        <v>16</v>
      </c>
      <c r="F2432" t="s">
        <v>12</v>
      </c>
      <c r="G2432">
        <v>70086082</v>
      </c>
      <c r="H2432">
        <v>4511565353</v>
      </c>
      <c r="I2432">
        <v>340</v>
      </c>
      <c r="J2432" s="29">
        <v>1</v>
      </c>
      <c r="K2432" s="29" t="s">
        <v>147</v>
      </c>
      <c r="L2432" t="str">
        <f>IFERROR(VLOOKUP(Detalle_OC[[#This Row],[Centro]]&amp;Detalle_OC[[#This Row],[Nro Almacen]],Almacen!A:D,4,FALSE),"")</f>
        <v>Montelima</v>
      </c>
    </row>
    <row r="2433" spans="1:12" x14ac:dyDescent="0.3">
      <c r="A2433" s="29" t="str">
        <f>Detalle_OC[[#This Row],[Centro]]&amp;Detalle_OC[[#This Row],[Nom Almacen]]&amp;Detalle_OC[[#This Row],[Material]]&amp;Detalle_OC[[#This Row],[Pedido]]&amp;Detalle_OC[[#This Row],[Posicion]]</f>
        <v>Agricola del Chira PlantaMontelima700861054511565353410</v>
      </c>
      <c r="B2433" t="s">
        <v>200</v>
      </c>
      <c r="C2433" t="s">
        <v>1213</v>
      </c>
      <c r="D2433" s="11">
        <v>45657</v>
      </c>
      <c r="E2433" t="s">
        <v>16</v>
      </c>
      <c r="F2433" t="s">
        <v>12</v>
      </c>
      <c r="G2433">
        <v>70086105</v>
      </c>
      <c r="H2433">
        <v>4511565353</v>
      </c>
      <c r="I2433">
        <v>410</v>
      </c>
      <c r="J2433" s="29">
        <v>1</v>
      </c>
      <c r="K2433" s="29" t="s">
        <v>147</v>
      </c>
      <c r="L2433" t="str">
        <f>IFERROR(VLOOKUP(Detalle_OC[[#This Row],[Centro]]&amp;Detalle_OC[[#This Row],[Nro Almacen]],Almacen!A:D,4,FALSE),"")</f>
        <v>Montelima</v>
      </c>
    </row>
    <row r="2434" spans="1:12" x14ac:dyDescent="0.3">
      <c r="A2434" s="29" t="str">
        <f>Detalle_OC[[#This Row],[Centro]]&amp;Detalle_OC[[#This Row],[Nom Almacen]]&amp;Detalle_OC[[#This Row],[Material]]&amp;Detalle_OC[[#This Row],[Pedido]]&amp;Detalle_OC[[#This Row],[Posicion]]</f>
        <v>Agricola del Chira PlantaMontelima700861064511565353420</v>
      </c>
      <c r="B2434" t="s">
        <v>200</v>
      </c>
      <c r="C2434" t="s">
        <v>1213</v>
      </c>
      <c r="D2434" s="11">
        <v>45657</v>
      </c>
      <c r="E2434" t="s">
        <v>16</v>
      </c>
      <c r="F2434" t="s">
        <v>12</v>
      </c>
      <c r="G2434">
        <v>70086106</v>
      </c>
      <c r="H2434">
        <v>4511565353</v>
      </c>
      <c r="I2434">
        <v>420</v>
      </c>
      <c r="J2434" s="29">
        <v>1</v>
      </c>
      <c r="K2434" s="29" t="s">
        <v>147</v>
      </c>
      <c r="L2434" t="str">
        <f>IFERROR(VLOOKUP(Detalle_OC[[#This Row],[Centro]]&amp;Detalle_OC[[#This Row],[Nro Almacen]],Almacen!A:D,4,FALSE),"")</f>
        <v>Montelima</v>
      </c>
    </row>
    <row r="2435" spans="1:12" x14ac:dyDescent="0.3">
      <c r="A2435" s="29" t="str">
        <f>Detalle_OC[[#This Row],[Centro]]&amp;Detalle_OC[[#This Row],[Nom Almacen]]&amp;Detalle_OC[[#This Row],[Material]]&amp;Detalle_OC[[#This Row],[Pedido]]&amp;Detalle_OC[[#This Row],[Posicion]]</f>
        <v>Agricola del Chira PlantaMontelima700861074511565353430</v>
      </c>
      <c r="B2435" t="s">
        <v>200</v>
      </c>
      <c r="C2435" t="s">
        <v>1213</v>
      </c>
      <c r="D2435" s="11">
        <v>45657</v>
      </c>
      <c r="E2435" t="s">
        <v>16</v>
      </c>
      <c r="F2435" t="s">
        <v>12</v>
      </c>
      <c r="G2435">
        <v>70086107</v>
      </c>
      <c r="H2435">
        <v>4511565353</v>
      </c>
      <c r="I2435">
        <v>430</v>
      </c>
      <c r="J2435" s="29">
        <v>1</v>
      </c>
      <c r="K2435" s="29" t="s">
        <v>147</v>
      </c>
      <c r="L2435" t="str">
        <f>IFERROR(VLOOKUP(Detalle_OC[[#This Row],[Centro]]&amp;Detalle_OC[[#This Row],[Nro Almacen]],Almacen!A:D,4,FALSE),"")</f>
        <v>Montelima</v>
      </c>
    </row>
    <row r="2436" spans="1:12" x14ac:dyDescent="0.3">
      <c r="A2436" s="29" t="str">
        <f>Detalle_OC[[#This Row],[Centro]]&amp;Detalle_OC[[#This Row],[Nom Almacen]]&amp;Detalle_OC[[#This Row],[Material]]&amp;Detalle_OC[[#This Row],[Pedido]]&amp;Detalle_OC[[#This Row],[Posicion]]</f>
        <v>Agricola del Chira PlantaMontelima700861084511565353440</v>
      </c>
      <c r="B2436" t="s">
        <v>200</v>
      </c>
      <c r="C2436" t="s">
        <v>1213</v>
      </c>
      <c r="D2436" s="11">
        <v>45657</v>
      </c>
      <c r="E2436" t="s">
        <v>16</v>
      </c>
      <c r="F2436" t="s">
        <v>12</v>
      </c>
      <c r="G2436">
        <v>70086108</v>
      </c>
      <c r="H2436">
        <v>4511565353</v>
      </c>
      <c r="I2436">
        <v>440</v>
      </c>
      <c r="J2436" s="29">
        <v>1</v>
      </c>
      <c r="K2436" s="29" t="s">
        <v>147</v>
      </c>
      <c r="L2436" t="str">
        <f>IFERROR(VLOOKUP(Detalle_OC[[#This Row],[Centro]]&amp;Detalle_OC[[#This Row],[Nro Almacen]],Almacen!A:D,4,FALSE),"")</f>
        <v>Montelima</v>
      </c>
    </row>
    <row r="2437" spans="1:12" x14ac:dyDescent="0.3">
      <c r="A2437" s="29" t="str">
        <f>Detalle_OC[[#This Row],[Centro]]&amp;Detalle_OC[[#This Row],[Nom Almacen]]&amp;Detalle_OC[[#This Row],[Material]]&amp;Detalle_OC[[#This Row],[Pedido]]&amp;Detalle_OC[[#This Row],[Posicion]]</f>
        <v>Agricola del Chira PlantaMontelima700861104511565353450</v>
      </c>
      <c r="B2437" t="s">
        <v>200</v>
      </c>
      <c r="C2437" t="s">
        <v>1213</v>
      </c>
      <c r="D2437" s="11">
        <v>45657</v>
      </c>
      <c r="E2437" t="s">
        <v>16</v>
      </c>
      <c r="F2437" t="s">
        <v>12</v>
      </c>
      <c r="G2437">
        <v>70086110</v>
      </c>
      <c r="H2437">
        <v>4511565353</v>
      </c>
      <c r="I2437">
        <v>450</v>
      </c>
      <c r="J2437" s="29">
        <v>1</v>
      </c>
      <c r="K2437" s="29" t="s">
        <v>147</v>
      </c>
      <c r="L2437" t="str">
        <f>IFERROR(VLOOKUP(Detalle_OC[[#This Row],[Centro]]&amp;Detalle_OC[[#This Row],[Nro Almacen]],Almacen!A:D,4,FALSE),"")</f>
        <v>Montelima</v>
      </c>
    </row>
    <row r="2438" spans="1:12" x14ac:dyDescent="0.3">
      <c r="A2438" s="29" t="str">
        <f>Detalle_OC[[#This Row],[Centro]]&amp;Detalle_OC[[#This Row],[Nom Almacen]]&amp;Detalle_OC[[#This Row],[Material]]&amp;Detalle_OC[[#This Row],[Pedido]]&amp;Detalle_OC[[#This Row],[Posicion]]</f>
        <v>Agricola del Chira PlantaMontelima700861304511565353460</v>
      </c>
      <c r="B2438" t="s">
        <v>200</v>
      </c>
      <c r="C2438" t="s">
        <v>1213</v>
      </c>
      <c r="D2438" s="11">
        <v>45657</v>
      </c>
      <c r="E2438" t="s">
        <v>16</v>
      </c>
      <c r="F2438" t="s">
        <v>12</v>
      </c>
      <c r="G2438">
        <v>70086130</v>
      </c>
      <c r="H2438">
        <v>4511565353</v>
      </c>
      <c r="I2438">
        <v>460</v>
      </c>
      <c r="J2438" s="29">
        <v>1</v>
      </c>
      <c r="K2438" s="29" t="s">
        <v>147</v>
      </c>
      <c r="L2438" t="str">
        <f>IFERROR(VLOOKUP(Detalle_OC[[#This Row],[Centro]]&amp;Detalle_OC[[#This Row],[Nro Almacen]],Almacen!A:D,4,FALSE),"")</f>
        <v>Montelima</v>
      </c>
    </row>
    <row r="2439" spans="1:12" x14ac:dyDescent="0.3">
      <c r="A2439" s="29" t="str">
        <f>Detalle_OC[[#This Row],[Centro]]&amp;Detalle_OC[[#This Row],[Nom Almacen]]&amp;Detalle_OC[[#This Row],[Material]]&amp;Detalle_OC[[#This Row],[Pedido]]&amp;Detalle_OC[[#This Row],[Posicion]]</f>
        <v>Agricola del Chira PlantaMontelima700861314511565353470</v>
      </c>
      <c r="B2439" t="s">
        <v>200</v>
      </c>
      <c r="C2439" t="s">
        <v>1213</v>
      </c>
      <c r="D2439" s="11">
        <v>45657</v>
      </c>
      <c r="E2439" t="s">
        <v>16</v>
      </c>
      <c r="F2439" t="s">
        <v>12</v>
      </c>
      <c r="G2439">
        <v>70086131</v>
      </c>
      <c r="H2439">
        <v>4511565353</v>
      </c>
      <c r="I2439">
        <v>470</v>
      </c>
      <c r="J2439" s="29">
        <v>1</v>
      </c>
      <c r="K2439" s="29" t="s">
        <v>147</v>
      </c>
      <c r="L2439" t="str">
        <f>IFERROR(VLOOKUP(Detalle_OC[[#This Row],[Centro]]&amp;Detalle_OC[[#This Row],[Nro Almacen]],Almacen!A:D,4,FALSE),"")</f>
        <v>Montelima</v>
      </c>
    </row>
    <row r="2440" spans="1:12" x14ac:dyDescent="0.3">
      <c r="A2440" s="29" t="str">
        <f>Detalle_OC[[#This Row],[Centro]]&amp;Detalle_OC[[#This Row],[Nom Almacen]]&amp;Detalle_OC[[#This Row],[Material]]&amp;Detalle_OC[[#This Row],[Pedido]]&amp;Detalle_OC[[#This Row],[Posicion]]</f>
        <v>Agricola del Chira PlantaMontelima700861324511565353480</v>
      </c>
      <c r="B2440" t="s">
        <v>200</v>
      </c>
      <c r="C2440" t="s">
        <v>1213</v>
      </c>
      <c r="D2440" s="11">
        <v>45657</v>
      </c>
      <c r="E2440" t="s">
        <v>16</v>
      </c>
      <c r="F2440" t="s">
        <v>12</v>
      </c>
      <c r="G2440">
        <v>70086132</v>
      </c>
      <c r="H2440">
        <v>4511565353</v>
      </c>
      <c r="I2440">
        <v>480</v>
      </c>
      <c r="J2440" s="29">
        <v>1</v>
      </c>
      <c r="K2440" s="29" t="s">
        <v>147</v>
      </c>
      <c r="L2440" t="str">
        <f>IFERROR(VLOOKUP(Detalle_OC[[#This Row],[Centro]]&amp;Detalle_OC[[#This Row],[Nro Almacen]],Almacen!A:D,4,FALSE),"")</f>
        <v>Montelima</v>
      </c>
    </row>
    <row r="2441" spans="1:12" x14ac:dyDescent="0.3">
      <c r="A2441" s="29" t="str">
        <f>Detalle_OC[[#This Row],[Centro]]&amp;Detalle_OC[[#This Row],[Nom Almacen]]&amp;Detalle_OC[[#This Row],[Material]]&amp;Detalle_OC[[#This Row],[Pedido]]&amp;Detalle_OC[[#This Row],[Posicion]]</f>
        <v>Agricola del Chira PlantaMontelima700861374511565353490</v>
      </c>
      <c r="B2441" t="s">
        <v>200</v>
      </c>
      <c r="C2441" t="s">
        <v>1213</v>
      </c>
      <c r="D2441" s="11">
        <v>45657</v>
      </c>
      <c r="E2441" t="s">
        <v>16</v>
      </c>
      <c r="F2441" t="s">
        <v>12</v>
      </c>
      <c r="G2441">
        <v>70086137</v>
      </c>
      <c r="H2441">
        <v>4511565353</v>
      </c>
      <c r="I2441">
        <v>490</v>
      </c>
      <c r="J2441" s="29">
        <v>1</v>
      </c>
      <c r="K2441" s="29" t="s">
        <v>147</v>
      </c>
      <c r="L2441" t="str">
        <f>IFERROR(VLOOKUP(Detalle_OC[[#This Row],[Centro]]&amp;Detalle_OC[[#This Row],[Nro Almacen]],Almacen!A:D,4,FALSE),"")</f>
        <v>Montelima</v>
      </c>
    </row>
    <row r="2442" spans="1:12" x14ac:dyDescent="0.3">
      <c r="A2442" s="29" t="str">
        <f>Detalle_OC[[#This Row],[Centro]]&amp;Detalle_OC[[#This Row],[Nom Almacen]]&amp;Detalle_OC[[#This Row],[Material]]&amp;Detalle_OC[[#This Row],[Pedido]]&amp;Detalle_OC[[#This Row],[Posicion]]</f>
        <v>Agricola del Chira PlantaMontelima700861384511565353500</v>
      </c>
      <c r="B2442" t="s">
        <v>200</v>
      </c>
      <c r="C2442" t="s">
        <v>1213</v>
      </c>
      <c r="D2442" s="11">
        <v>45657</v>
      </c>
      <c r="E2442" t="s">
        <v>16</v>
      </c>
      <c r="F2442" t="s">
        <v>12</v>
      </c>
      <c r="G2442">
        <v>70086138</v>
      </c>
      <c r="H2442">
        <v>4511565353</v>
      </c>
      <c r="I2442">
        <v>500</v>
      </c>
      <c r="J2442" s="29">
        <v>1</v>
      </c>
      <c r="K2442" s="29" t="s">
        <v>147</v>
      </c>
      <c r="L2442" t="str">
        <f>IFERROR(VLOOKUP(Detalle_OC[[#This Row],[Centro]]&amp;Detalle_OC[[#This Row],[Nro Almacen]],Almacen!A:D,4,FALSE),"")</f>
        <v>Montelima</v>
      </c>
    </row>
    <row r="2443" spans="1:12" x14ac:dyDescent="0.3">
      <c r="A2443" s="29" t="str">
        <f>Detalle_OC[[#This Row],[Centro]]&amp;Detalle_OC[[#This Row],[Nom Almacen]]&amp;Detalle_OC[[#This Row],[Material]]&amp;Detalle_OC[[#This Row],[Pedido]]&amp;Detalle_OC[[#This Row],[Posicion]]</f>
        <v>Agricola del Chira PlantaMontelima700861394511565353510</v>
      </c>
      <c r="B2443" t="s">
        <v>200</v>
      </c>
      <c r="C2443" t="s">
        <v>1213</v>
      </c>
      <c r="D2443" s="11">
        <v>45657</v>
      </c>
      <c r="E2443" t="s">
        <v>16</v>
      </c>
      <c r="F2443" t="s">
        <v>12</v>
      </c>
      <c r="G2443">
        <v>70086139</v>
      </c>
      <c r="H2443">
        <v>4511565353</v>
      </c>
      <c r="I2443">
        <v>510</v>
      </c>
      <c r="J2443" s="29">
        <v>1</v>
      </c>
      <c r="K2443" s="29" t="s">
        <v>147</v>
      </c>
      <c r="L2443" t="str">
        <f>IFERROR(VLOOKUP(Detalle_OC[[#This Row],[Centro]]&amp;Detalle_OC[[#This Row],[Nro Almacen]],Almacen!A:D,4,FALSE),"")</f>
        <v>Montelima</v>
      </c>
    </row>
    <row r="2444" spans="1:12" x14ac:dyDescent="0.3">
      <c r="A2444" s="29" t="str">
        <f>Detalle_OC[[#This Row],[Centro]]&amp;Detalle_OC[[#This Row],[Nom Almacen]]&amp;Detalle_OC[[#This Row],[Material]]&amp;Detalle_OC[[#This Row],[Pedido]]&amp;Detalle_OC[[#This Row],[Posicion]]</f>
        <v>Agricola del Chira PlantaMontelima700861434511565353520</v>
      </c>
      <c r="B2444" t="s">
        <v>200</v>
      </c>
      <c r="C2444" t="s">
        <v>1213</v>
      </c>
      <c r="D2444" s="11">
        <v>45657</v>
      </c>
      <c r="E2444" t="s">
        <v>16</v>
      </c>
      <c r="F2444" t="s">
        <v>12</v>
      </c>
      <c r="G2444">
        <v>70086143</v>
      </c>
      <c r="H2444">
        <v>4511565353</v>
      </c>
      <c r="I2444">
        <v>520</v>
      </c>
      <c r="J2444" s="29">
        <v>1</v>
      </c>
      <c r="K2444" s="29" t="s">
        <v>147</v>
      </c>
      <c r="L2444" t="str">
        <f>IFERROR(VLOOKUP(Detalle_OC[[#This Row],[Centro]]&amp;Detalle_OC[[#This Row],[Nro Almacen]],Almacen!A:D,4,FALSE),"")</f>
        <v>Montelima</v>
      </c>
    </row>
    <row r="2445" spans="1:12" x14ac:dyDescent="0.3">
      <c r="A2445" s="29" t="str">
        <f>Detalle_OC[[#This Row],[Centro]]&amp;Detalle_OC[[#This Row],[Nom Almacen]]&amp;Detalle_OC[[#This Row],[Material]]&amp;Detalle_OC[[#This Row],[Pedido]]&amp;Detalle_OC[[#This Row],[Posicion]]</f>
        <v>Agricola del Chira PlantaMontelima700861444511565353530</v>
      </c>
      <c r="B2445" t="s">
        <v>200</v>
      </c>
      <c r="C2445" t="s">
        <v>1213</v>
      </c>
      <c r="D2445" s="11">
        <v>45657</v>
      </c>
      <c r="E2445" t="s">
        <v>16</v>
      </c>
      <c r="F2445" t="s">
        <v>12</v>
      </c>
      <c r="G2445">
        <v>70086144</v>
      </c>
      <c r="H2445">
        <v>4511565353</v>
      </c>
      <c r="I2445">
        <v>530</v>
      </c>
      <c r="J2445" s="29">
        <v>1</v>
      </c>
      <c r="K2445" s="29" t="s">
        <v>147</v>
      </c>
      <c r="L2445" t="str">
        <f>IFERROR(VLOOKUP(Detalle_OC[[#This Row],[Centro]]&amp;Detalle_OC[[#This Row],[Nro Almacen]],Almacen!A:D,4,FALSE),"")</f>
        <v>Montelima</v>
      </c>
    </row>
    <row r="2446" spans="1:12" x14ac:dyDescent="0.3">
      <c r="A2446" s="29" t="str">
        <f>Detalle_OC[[#This Row],[Centro]]&amp;Detalle_OC[[#This Row],[Nom Almacen]]&amp;Detalle_OC[[#This Row],[Material]]&amp;Detalle_OC[[#This Row],[Pedido]]&amp;Detalle_OC[[#This Row],[Posicion]]</f>
        <v>Agricola del Chira PlantaMontelima700861454511565353540</v>
      </c>
      <c r="B2446" t="s">
        <v>200</v>
      </c>
      <c r="C2446" t="s">
        <v>1213</v>
      </c>
      <c r="D2446" s="11">
        <v>45657</v>
      </c>
      <c r="E2446" t="s">
        <v>16</v>
      </c>
      <c r="F2446" t="s">
        <v>12</v>
      </c>
      <c r="G2446">
        <v>70086145</v>
      </c>
      <c r="H2446">
        <v>4511565353</v>
      </c>
      <c r="I2446">
        <v>540</v>
      </c>
      <c r="J2446" s="29">
        <v>1</v>
      </c>
      <c r="K2446" s="29" t="s">
        <v>147</v>
      </c>
      <c r="L2446" t="str">
        <f>IFERROR(VLOOKUP(Detalle_OC[[#This Row],[Centro]]&amp;Detalle_OC[[#This Row],[Nro Almacen]],Almacen!A:D,4,FALSE),"")</f>
        <v>Montelima</v>
      </c>
    </row>
    <row r="2447" spans="1:12" x14ac:dyDescent="0.3">
      <c r="A2447" s="29" t="str">
        <f>Detalle_OC[[#This Row],[Centro]]&amp;Detalle_OC[[#This Row],[Nom Almacen]]&amp;Detalle_OC[[#This Row],[Material]]&amp;Detalle_OC[[#This Row],[Pedido]]&amp;Detalle_OC[[#This Row],[Posicion]]</f>
        <v>Agricola del Chira PlantaMontelima700861464511565353550</v>
      </c>
      <c r="B2447" t="s">
        <v>200</v>
      </c>
      <c r="C2447" t="s">
        <v>1213</v>
      </c>
      <c r="D2447" s="11">
        <v>45657</v>
      </c>
      <c r="E2447" t="s">
        <v>16</v>
      </c>
      <c r="F2447" t="s">
        <v>12</v>
      </c>
      <c r="G2447">
        <v>70086146</v>
      </c>
      <c r="H2447">
        <v>4511565353</v>
      </c>
      <c r="I2447">
        <v>550</v>
      </c>
      <c r="J2447" s="29">
        <v>1</v>
      </c>
      <c r="K2447" s="29" t="s">
        <v>147</v>
      </c>
      <c r="L2447" t="str">
        <f>IFERROR(VLOOKUP(Detalle_OC[[#This Row],[Centro]]&amp;Detalle_OC[[#This Row],[Nro Almacen]],Almacen!A:D,4,FALSE),"")</f>
        <v>Montelima</v>
      </c>
    </row>
    <row r="2448" spans="1:12" x14ac:dyDescent="0.3">
      <c r="A2448" s="29" t="str">
        <f>Detalle_OC[[#This Row],[Centro]]&amp;Detalle_OC[[#This Row],[Nom Almacen]]&amp;Detalle_OC[[#This Row],[Material]]&amp;Detalle_OC[[#This Row],[Pedido]]&amp;Detalle_OC[[#This Row],[Posicion]]</f>
        <v>Agricola del Chira PlantaMontelima700861474511565353560</v>
      </c>
      <c r="B2448" t="s">
        <v>200</v>
      </c>
      <c r="C2448" t="s">
        <v>1213</v>
      </c>
      <c r="D2448" s="11">
        <v>45657</v>
      </c>
      <c r="E2448" t="s">
        <v>16</v>
      </c>
      <c r="F2448" t="s">
        <v>12</v>
      </c>
      <c r="G2448">
        <v>70086147</v>
      </c>
      <c r="H2448">
        <v>4511565353</v>
      </c>
      <c r="I2448">
        <v>560</v>
      </c>
      <c r="J2448" s="29">
        <v>1</v>
      </c>
      <c r="K2448" s="29" t="s">
        <v>147</v>
      </c>
      <c r="L2448" t="str">
        <f>IFERROR(VLOOKUP(Detalle_OC[[#This Row],[Centro]]&amp;Detalle_OC[[#This Row],[Nro Almacen]],Almacen!A:D,4,FALSE),"")</f>
        <v>Montelima</v>
      </c>
    </row>
    <row r="2449" spans="1:12" x14ac:dyDescent="0.3">
      <c r="A2449" s="29" t="str">
        <f>Detalle_OC[[#This Row],[Centro]]&amp;Detalle_OC[[#This Row],[Nom Almacen]]&amp;Detalle_OC[[#This Row],[Material]]&amp;Detalle_OC[[#This Row],[Pedido]]&amp;Detalle_OC[[#This Row],[Posicion]]</f>
        <v>Agricola del Chira PlantaMontelima701006274511565353580</v>
      </c>
      <c r="B2449" t="s">
        <v>200</v>
      </c>
      <c r="C2449" t="s">
        <v>1213</v>
      </c>
      <c r="D2449" s="11">
        <v>45657</v>
      </c>
      <c r="E2449" t="s">
        <v>16</v>
      </c>
      <c r="F2449" t="s">
        <v>12</v>
      </c>
      <c r="G2449">
        <v>70100627</v>
      </c>
      <c r="H2449">
        <v>4511565353</v>
      </c>
      <c r="I2449">
        <v>580</v>
      </c>
      <c r="J2449" s="29">
        <v>1</v>
      </c>
      <c r="K2449" s="29" t="s">
        <v>147</v>
      </c>
      <c r="L2449" t="str">
        <f>IFERROR(VLOOKUP(Detalle_OC[[#This Row],[Centro]]&amp;Detalle_OC[[#This Row],[Nro Almacen]],Almacen!A:D,4,FALSE),"")</f>
        <v>Montelima</v>
      </c>
    </row>
    <row r="2450" spans="1:12" x14ac:dyDescent="0.3">
      <c r="A2450" s="29" t="str">
        <f>Detalle_OC[[#This Row],[Centro]]&amp;Detalle_OC[[#This Row],[Nom Almacen]]&amp;Detalle_OC[[#This Row],[Material]]&amp;Detalle_OC[[#This Row],[Pedido]]&amp;Detalle_OC[[#This Row],[Posicion]]</f>
        <v>Agricola del Chira PlantaMontelima701006284511565353590</v>
      </c>
      <c r="B2450" t="s">
        <v>200</v>
      </c>
      <c r="C2450" t="s">
        <v>1213</v>
      </c>
      <c r="D2450" s="11">
        <v>45657</v>
      </c>
      <c r="E2450" t="s">
        <v>16</v>
      </c>
      <c r="F2450" t="s">
        <v>12</v>
      </c>
      <c r="G2450">
        <v>70100628</v>
      </c>
      <c r="H2450">
        <v>4511565353</v>
      </c>
      <c r="I2450">
        <v>590</v>
      </c>
      <c r="J2450" s="29">
        <v>1</v>
      </c>
      <c r="K2450" s="29" t="s">
        <v>147</v>
      </c>
      <c r="L2450" t="str">
        <f>IFERROR(VLOOKUP(Detalle_OC[[#This Row],[Centro]]&amp;Detalle_OC[[#This Row],[Nro Almacen]],Almacen!A:D,4,FALSE),"")</f>
        <v>Montelima</v>
      </c>
    </row>
    <row r="2451" spans="1:12" x14ac:dyDescent="0.3">
      <c r="A2451" s="29" t="str">
        <f>Detalle_OC[[#This Row],[Centro]]&amp;Detalle_OC[[#This Row],[Nom Almacen]]&amp;Detalle_OC[[#This Row],[Material]]&amp;Detalle_OC[[#This Row],[Pedido]]&amp;Detalle_OC[[#This Row],[Posicion]]</f>
        <v>Agricola del Chira PlantaMontelima701006434511565353600</v>
      </c>
      <c r="B2451" t="s">
        <v>200</v>
      </c>
      <c r="C2451" t="s">
        <v>1213</v>
      </c>
      <c r="D2451" s="11">
        <v>45657</v>
      </c>
      <c r="E2451" t="s">
        <v>16</v>
      </c>
      <c r="F2451" t="s">
        <v>12</v>
      </c>
      <c r="G2451">
        <v>70100643</v>
      </c>
      <c r="H2451">
        <v>4511565353</v>
      </c>
      <c r="I2451">
        <v>600</v>
      </c>
      <c r="J2451" s="29">
        <v>1</v>
      </c>
      <c r="K2451" s="29" t="s">
        <v>147</v>
      </c>
      <c r="L2451" t="str">
        <f>IFERROR(VLOOKUP(Detalle_OC[[#This Row],[Centro]]&amp;Detalle_OC[[#This Row],[Nro Almacen]],Almacen!A:D,4,FALSE),"")</f>
        <v>Montelima</v>
      </c>
    </row>
    <row r="2452" spans="1:12" x14ac:dyDescent="0.3">
      <c r="A2452" s="29" t="str">
        <f>Detalle_OC[[#This Row],[Centro]]&amp;Detalle_OC[[#This Row],[Nom Almacen]]&amp;Detalle_OC[[#This Row],[Material]]&amp;Detalle_OC[[#This Row],[Pedido]]&amp;Detalle_OC[[#This Row],[Posicion]]</f>
        <v>Agricola del Chira PlantaMontelima701119924511565353610</v>
      </c>
      <c r="B2452" t="s">
        <v>200</v>
      </c>
      <c r="C2452" t="s">
        <v>1213</v>
      </c>
      <c r="D2452" s="11">
        <v>45657</v>
      </c>
      <c r="E2452" t="s">
        <v>16</v>
      </c>
      <c r="F2452" t="s">
        <v>12</v>
      </c>
      <c r="G2452">
        <v>70111992</v>
      </c>
      <c r="H2452">
        <v>4511565353</v>
      </c>
      <c r="I2452">
        <v>610</v>
      </c>
      <c r="J2452" s="29">
        <v>1</v>
      </c>
      <c r="K2452" s="29" t="s">
        <v>147</v>
      </c>
      <c r="L2452" t="str">
        <f>IFERROR(VLOOKUP(Detalle_OC[[#This Row],[Centro]]&amp;Detalle_OC[[#This Row],[Nro Almacen]],Almacen!A:D,4,FALSE),"")</f>
        <v>Montelima</v>
      </c>
    </row>
    <row r="2453" spans="1:12" x14ac:dyDescent="0.3">
      <c r="A2453" s="29" t="str">
        <f>Detalle_OC[[#This Row],[Centro]]&amp;Detalle_OC[[#This Row],[Nom Almacen]]&amp;Detalle_OC[[#This Row],[Material]]&amp;Detalle_OC[[#This Row],[Pedido]]&amp;Detalle_OC[[#This Row],[Posicion]]</f>
        <v>Agricola del Chira PlantaMontelima701119934511565353620</v>
      </c>
      <c r="B2453" t="s">
        <v>200</v>
      </c>
      <c r="C2453" t="s">
        <v>1213</v>
      </c>
      <c r="D2453" s="11">
        <v>45657</v>
      </c>
      <c r="E2453" t="s">
        <v>16</v>
      </c>
      <c r="F2453" t="s">
        <v>12</v>
      </c>
      <c r="G2453">
        <v>70111993</v>
      </c>
      <c r="H2453">
        <v>4511565353</v>
      </c>
      <c r="I2453">
        <v>620</v>
      </c>
      <c r="J2453" s="29">
        <v>1</v>
      </c>
      <c r="K2453" s="29" t="s">
        <v>147</v>
      </c>
      <c r="L2453" t="str">
        <f>IFERROR(VLOOKUP(Detalle_OC[[#This Row],[Centro]]&amp;Detalle_OC[[#This Row],[Nro Almacen]],Almacen!A:D,4,FALSE),"")</f>
        <v>Montelima</v>
      </c>
    </row>
    <row r="2454" spans="1:12" x14ac:dyDescent="0.3">
      <c r="A2454" s="29" t="str">
        <f>Detalle_OC[[#This Row],[Centro]]&amp;Detalle_OC[[#This Row],[Nom Almacen]]&amp;Detalle_OC[[#This Row],[Material]]&amp;Detalle_OC[[#This Row],[Pedido]]&amp;Detalle_OC[[#This Row],[Posicion]]</f>
        <v>Agricola del Chira PlantaMontelima701119944511565353630</v>
      </c>
      <c r="B2454" t="s">
        <v>200</v>
      </c>
      <c r="C2454" t="s">
        <v>1213</v>
      </c>
      <c r="D2454" s="11">
        <v>45657</v>
      </c>
      <c r="E2454" t="s">
        <v>16</v>
      </c>
      <c r="F2454" t="s">
        <v>12</v>
      </c>
      <c r="G2454">
        <v>70111994</v>
      </c>
      <c r="H2454">
        <v>4511565353</v>
      </c>
      <c r="I2454">
        <v>630</v>
      </c>
      <c r="J2454" s="29">
        <v>1</v>
      </c>
      <c r="K2454" s="29" t="s">
        <v>147</v>
      </c>
      <c r="L2454" t="str">
        <f>IFERROR(VLOOKUP(Detalle_OC[[#This Row],[Centro]]&amp;Detalle_OC[[#This Row],[Nro Almacen]],Almacen!A:D,4,FALSE),"")</f>
        <v>Montelima</v>
      </c>
    </row>
    <row r="2455" spans="1:12" x14ac:dyDescent="0.3">
      <c r="A2455" s="29" t="str">
        <f>Detalle_OC[[#This Row],[Centro]]&amp;Detalle_OC[[#This Row],[Nom Almacen]]&amp;Detalle_OC[[#This Row],[Material]]&amp;Detalle_OC[[#This Row],[Pedido]]&amp;Detalle_OC[[#This Row],[Posicion]]</f>
        <v>Agricola del Chira PlantaMontelima701119954511565353640</v>
      </c>
      <c r="B2455" t="s">
        <v>200</v>
      </c>
      <c r="C2455" t="s">
        <v>1213</v>
      </c>
      <c r="D2455" s="11">
        <v>45657</v>
      </c>
      <c r="E2455" t="s">
        <v>16</v>
      </c>
      <c r="F2455" t="s">
        <v>12</v>
      </c>
      <c r="G2455">
        <v>70111995</v>
      </c>
      <c r="H2455">
        <v>4511565353</v>
      </c>
      <c r="I2455">
        <v>640</v>
      </c>
      <c r="J2455" s="29">
        <v>1</v>
      </c>
      <c r="K2455" s="29" t="s">
        <v>147</v>
      </c>
      <c r="L2455" t="str">
        <f>IFERROR(VLOOKUP(Detalle_OC[[#This Row],[Centro]]&amp;Detalle_OC[[#This Row],[Nro Almacen]],Almacen!A:D,4,FALSE),"")</f>
        <v>Montelima</v>
      </c>
    </row>
    <row r="2456" spans="1:12" x14ac:dyDescent="0.3">
      <c r="A2456" s="29" t="str">
        <f>Detalle_OC[[#This Row],[Centro]]&amp;Detalle_OC[[#This Row],[Nom Almacen]]&amp;Detalle_OC[[#This Row],[Material]]&amp;Detalle_OC[[#This Row],[Pedido]]&amp;Detalle_OC[[#This Row],[Posicion]]</f>
        <v>Agricola del Chira PlantaMontelima701119964511565353650</v>
      </c>
      <c r="B2456" t="s">
        <v>200</v>
      </c>
      <c r="C2456" t="s">
        <v>1213</v>
      </c>
      <c r="D2456" s="11">
        <v>45657</v>
      </c>
      <c r="E2456" t="s">
        <v>16</v>
      </c>
      <c r="F2456" t="s">
        <v>12</v>
      </c>
      <c r="G2456">
        <v>70111996</v>
      </c>
      <c r="H2456">
        <v>4511565353</v>
      </c>
      <c r="I2456">
        <v>650</v>
      </c>
      <c r="J2456" s="29">
        <v>1</v>
      </c>
      <c r="K2456" s="29" t="s">
        <v>147</v>
      </c>
      <c r="L2456" t="str">
        <f>IFERROR(VLOOKUP(Detalle_OC[[#This Row],[Centro]]&amp;Detalle_OC[[#This Row],[Nro Almacen]],Almacen!A:D,4,FALSE),"")</f>
        <v>Montelima</v>
      </c>
    </row>
    <row r="2457" spans="1:12" x14ac:dyDescent="0.3">
      <c r="A2457" s="29" t="str">
        <f>Detalle_OC[[#This Row],[Centro]]&amp;Detalle_OC[[#This Row],[Nom Almacen]]&amp;Detalle_OC[[#This Row],[Material]]&amp;Detalle_OC[[#This Row],[Pedido]]&amp;Detalle_OC[[#This Row],[Posicion]]</f>
        <v>Agricola del Chira PlantaMontelima701119974511565353660</v>
      </c>
      <c r="B2457" t="s">
        <v>200</v>
      </c>
      <c r="C2457" t="s">
        <v>1213</v>
      </c>
      <c r="D2457" s="11">
        <v>45657</v>
      </c>
      <c r="E2457" t="s">
        <v>16</v>
      </c>
      <c r="F2457" t="s">
        <v>12</v>
      </c>
      <c r="G2457">
        <v>70111997</v>
      </c>
      <c r="H2457">
        <v>4511565353</v>
      </c>
      <c r="I2457">
        <v>660</v>
      </c>
      <c r="J2457" s="29">
        <v>1</v>
      </c>
      <c r="K2457" s="29" t="s">
        <v>147</v>
      </c>
      <c r="L2457" t="str">
        <f>IFERROR(VLOOKUP(Detalle_OC[[#This Row],[Centro]]&amp;Detalle_OC[[#This Row],[Nro Almacen]],Almacen!A:D,4,FALSE),"")</f>
        <v>Montelima</v>
      </c>
    </row>
    <row r="2458" spans="1:12" x14ac:dyDescent="0.3">
      <c r="A2458" s="29" t="str">
        <f>Detalle_OC[[#This Row],[Centro]]&amp;Detalle_OC[[#This Row],[Nom Almacen]]&amp;Detalle_OC[[#This Row],[Material]]&amp;Detalle_OC[[#This Row],[Pedido]]&amp;Detalle_OC[[#This Row],[Posicion]]</f>
        <v>Agricola del Chira PlantaMontelima701119984511565353670</v>
      </c>
      <c r="B2458" t="s">
        <v>200</v>
      </c>
      <c r="C2458" t="s">
        <v>1213</v>
      </c>
      <c r="D2458" s="11">
        <v>45657</v>
      </c>
      <c r="E2458" t="s">
        <v>16</v>
      </c>
      <c r="F2458" t="s">
        <v>12</v>
      </c>
      <c r="G2458">
        <v>70111998</v>
      </c>
      <c r="H2458">
        <v>4511565353</v>
      </c>
      <c r="I2458">
        <v>670</v>
      </c>
      <c r="J2458" s="29">
        <v>1</v>
      </c>
      <c r="K2458" s="29" t="s">
        <v>147</v>
      </c>
      <c r="L2458" t="str">
        <f>IFERROR(VLOOKUP(Detalle_OC[[#This Row],[Centro]]&amp;Detalle_OC[[#This Row],[Nro Almacen]],Almacen!A:D,4,FALSE),"")</f>
        <v>Montelima</v>
      </c>
    </row>
    <row r="2459" spans="1:12" x14ac:dyDescent="0.3">
      <c r="A2459" s="29" t="str">
        <f>Detalle_OC[[#This Row],[Centro]]&amp;Detalle_OC[[#This Row],[Nom Almacen]]&amp;Detalle_OC[[#This Row],[Material]]&amp;Detalle_OC[[#This Row],[Pedido]]&amp;Detalle_OC[[#This Row],[Posicion]]</f>
        <v>Agricola del Chira PlantaMontelima701119994511565353680</v>
      </c>
      <c r="B2459" t="s">
        <v>200</v>
      </c>
      <c r="C2459" t="s">
        <v>1213</v>
      </c>
      <c r="D2459" s="11">
        <v>45657</v>
      </c>
      <c r="E2459" t="s">
        <v>16</v>
      </c>
      <c r="F2459" t="s">
        <v>12</v>
      </c>
      <c r="G2459">
        <v>70111999</v>
      </c>
      <c r="H2459">
        <v>4511565353</v>
      </c>
      <c r="I2459">
        <v>680</v>
      </c>
      <c r="J2459" s="29">
        <v>1</v>
      </c>
      <c r="K2459" s="29" t="s">
        <v>147</v>
      </c>
      <c r="L2459" t="str">
        <f>IFERROR(VLOOKUP(Detalle_OC[[#This Row],[Centro]]&amp;Detalle_OC[[#This Row],[Nro Almacen]],Almacen!A:D,4,FALSE),"")</f>
        <v>Montelima</v>
      </c>
    </row>
    <row r="2460" spans="1:12" x14ac:dyDescent="0.3">
      <c r="A2460" s="29" t="str">
        <f>Detalle_OC[[#This Row],[Centro]]&amp;Detalle_OC[[#This Row],[Nom Almacen]]&amp;Detalle_OC[[#This Row],[Material]]&amp;Detalle_OC[[#This Row],[Pedido]]&amp;Detalle_OC[[#This Row],[Posicion]]</f>
        <v>Agricola del Chira PlantaMontelima701120004511565353690</v>
      </c>
      <c r="B2460" t="s">
        <v>200</v>
      </c>
      <c r="C2460" t="s">
        <v>1213</v>
      </c>
      <c r="D2460" s="11">
        <v>45657</v>
      </c>
      <c r="E2460" t="s">
        <v>16</v>
      </c>
      <c r="F2460" t="s">
        <v>12</v>
      </c>
      <c r="G2460">
        <v>70112000</v>
      </c>
      <c r="H2460">
        <v>4511565353</v>
      </c>
      <c r="I2460">
        <v>690</v>
      </c>
      <c r="J2460" s="29">
        <v>1</v>
      </c>
      <c r="K2460" s="29" t="s">
        <v>147</v>
      </c>
      <c r="L2460" t="str">
        <f>IFERROR(VLOOKUP(Detalle_OC[[#This Row],[Centro]]&amp;Detalle_OC[[#This Row],[Nro Almacen]],Almacen!A:D,4,FALSE),"")</f>
        <v>Montelima</v>
      </c>
    </row>
    <row r="2461" spans="1:12" x14ac:dyDescent="0.3">
      <c r="A2461" s="29" t="str">
        <f>Detalle_OC[[#This Row],[Centro]]&amp;Detalle_OC[[#This Row],[Nom Almacen]]&amp;Detalle_OC[[#This Row],[Material]]&amp;Detalle_OC[[#This Row],[Pedido]]&amp;Detalle_OC[[#This Row],[Posicion]]</f>
        <v>Agricola del Chira PlantaMontelima701120294511565353700</v>
      </c>
      <c r="B2461" t="s">
        <v>200</v>
      </c>
      <c r="C2461" t="s">
        <v>1213</v>
      </c>
      <c r="D2461" s="11">
        <v>45657</v>
      </c>
      <c r="E2461" t="s">
        <v>16</v>
      </c>
      <c r="F2461" t="s">
        <v>12</v>
      </c>
      <c r="G2461">
        <v>70112029</v>
      </c>
      <c r="H2461">
        <v>4511565353</v>
      </c>
      <c r="I2461">
        <v>700</v>
      </c>
      <c r="J2461" s="29">
        <v>1</v>
      </c>
      <c r="K2461" s="29" t="s">
        <v>147</v>
      </c>
      <c r="L2461" t="str">
        <f>IFERROR(VLOOKUP(Detalle_OC[[#This Row],[Centro]]&amp;Detalle_OC[[#This Row],[Nro Almacen]],Almacen!A:D,4,FALSE),"")</f>
        <v>Montelima</v>
      </c>
    </row>
    <row r="2462" spans="1:12" x14ac:dyDescent="0.3">
      <c r="A2462" s="29" t="str">
        <f>Detalle_OC[[#This Row],[Centro]]&amp;Detalle_OC[[#This Row],[Nom Almacen]]&amp;Detalle_OC[[#This Row],[Material]]&amp;Detalle_OC[[#This Row],[Pedido]]&amp;Detalle_OC[[#This Row],[Posicion]]</f>
        <v>Agricola del Chira PlantaMontelima701235864511565353710</v>
      </c>
      <c r="B2462" t="s">
        <v>200</v>
      </c>
      <c r="C2462" t="s">
        <v>1213</v>
      </c>
      <c r="D2462" s="11">
        <v>45657</v>
      </c>
      <c r="E2462" t="s">
        <v>16</v>
      </c>
      <c r="F2462" t="s">
        <v>12</v>
      </c>
      <c r="G2462">
        <v>70123586</v>
      </c>
      <c r="H2462">
        <v>4511565353</v>
      </c>
      <c r="I2462">
        <v>710</v>
      </c>
      <c r="J2462" s="29">
        <v>1</v>
      </c>
      <c r="K2462" s="29" t="s">
        <v>147</v>
      </c>
      <c r="L2462" t="str">
        <f>IFERROR(VLOOKUP(Detalle_OC[[#This Row],[Centro]]&amp;Detalle_OC[[#This Row],[Nro Almacen]],Almacen!A:D,4,FALSE),"")</f>
        <v>Montelima</v>
      </c>
    </row>
    <row r="2463" spans="1:12" x14ac:dyDescent="0.3">
      <c r="A2463" s="29" t="str">
        <f>Detalle_OC[[#This Row],[Centro]]&amp;Detalle_OC[[#This Row],[Nom Almacen]]&amp;Detalle_OC[[#This Row],[Material]]&amp;Detalle_OC[[#This Row],[Pedido]]&amp;Detalle_OC[[#This Row],[Posicion]]</f>
        <v>Sucroalcolera del Chira PlantaMontelima70031427451156536110</v>
      </c>
      <c r="B2463" t="s">
        <v>200</v>
      </c>
      <c r="C2463" t="s">
        <v>1213</v>
      </c>
      <c r="D2463" s="11">
        <v>45657</v>
      </c>
      <c r="E2463" t="s">
        <v>16</v>
      </c>
      <c r="F2463" t="s">
        <v>85</v>
      </c>
      <c r="G2463">
        <v>70031427</v>
      </c>
      <c r="H2463">
        <v>4511565361</v>
      </c>
      <c r="I2463">
        <v>10</v>
      </c>
      <c r="J2463" s="29">
        <v>1</v>
      </c>
      <c r="K2463" s="29" t="s">
        <v>147</v>
      </c>
      <c r="L2463" t="str">
        <f>IFERROR(VLOOKUP(Detalle_OC[[#This Row],[Centro]]&amp;Detalle_OC[[#This Row],[Nro Almacen]],Almacen!A:D,4,FALSE),"")</f>
        <v>Montelima</v>
      </c>
    </row>
    <row r="2464" spans="1:12" x14ac:dyDescent="0.3">
      <c r="A2464" s="29" t="str">
        <f>Detalle_OC[[#This Row],[Centro]]&amp;Detalle_OC[[#This Row],[Nom Almacen]]&amp;Detalle_OC[[#This Row],[Material]]&amp;Detalle_OC[[#This Row],[Pedido]]&amp;Detalle_OC[[#This Row],[Posicion]]</f>
        <v>Sucroalcolera del Chira PlantaMontelima70045561451156536120</v>
      </c>
      <c r="B2464" t="s">
        <v>200</v>
      </c>
      <c r="C2464" t="s">
        <v>1213</v>
      </c>
      <c r="D2464" s="11">
        <v>45657</v>
      </c>
      <c r="E2464" t="s">
        <v>16</v>
      </c>
      <c r="F2464" t="s">
        <v>85</v>
      </c>
      <c r="G2464">
        <v>70045561</v>
      </c>
      <c r="H2464">
        <v>4511565361</v>
      </c>
      <c r="I2464">
        <v>20</v>
      </c>
      <c r="J2464" s="29">
        <v>1</v>
      </c>
      <c r="K2464" s="29" t="s">
        <v>147</v>
      </c>
      <c r="L2464" t="str">
        <f>IFERROR(VLOOKUP(Detalle_OC[[#This Row],[Centro]]&amp;Detalle_OC[[#This Row],[Nro Almacen]],Almacen!A:D,4,FALSE),"")</f>
        <v>Montelima</v>
      </c>
    </row>
    <row r="2465" spans="1:12" x14ac:dyDescent="0.3">
      <c r="A2465" s="29" t="str">
        <f>Detalle_OC[[#This Row],[Centro]]&amp;Detalle_OC[[#This Row],[Nom Almacen]]&amp;Detalle_OC[[#This Row],[Material]]&amp;Detalle_OC[[#This Row],[Pedido]]&amp;Detalle_OC[[#This Row],[Posicion]]</f>
        <v>Sucroalcolera del Chira PlantaMontelima70086000451156536130</v>
      </c>
      <c r="B2465" t="s">
        <v>200</v>
      </c>
      <c r="C2465" t="s">
        <v>1213</v>
      </c>
      <c r="D2465" s="11">
        <v>45657</v>
      </c>
      <c r="E2465" t="s">
        <v>16</v>
      </c>
      <c r="F2465" t="s">
        <v>85</v>
      </c>
      <c r="G2465">
        <v>70086000</v>
      </c>
      <c r="H2465">
        <v>4511565361</v>
      </c>
      <c r="I2465">
        <v>30</v>
      </c>
      <c r="J2465" s="29">
        <v>1</v>
      </c>
      <c r="K2465" s="29" t="s">
        <v>147</v>
      </c>
      <c r="L2465" t="str">
        <f>IFERROR(VLOOKUP(Detalle_OC[[#This Row],[Centro]]&amp;Detalle_OC[[#This Row],[Nro Almacen]],Almacen!A:D,4,FALSE),"")</f>
        <v>Montelima</v>
      </c>
    </row>
    <row r="2466" spans="1:12" x14ac:dyDescent="0.3">
      <c r="A2466" s="29" t="str">
        <f>Detalle_OC[[#This Row],[Centro]]&amp;Detalle_OC[[#This Row],[Nom Almacen]]&amp;Detalle_OC[[#This Row],[Material]]&amp;Detalle_OC[[#This Row],[Pedido]]&amp;Detalle_OC[[#This Row],[Posicion]]</f>
        <v>Sucroalcolera del Chira PlantaMontelima70086001451156536140</v>
      </c>
      <c r="B2466" t="s">
        <v>200</v>
      </c>
      <c r="C2466" t="s">
        <v>1213</v>
      </c>
      <c r="D2466" s="11">
        <v>45657</v>
      </c>
      <c r="E2466" t="s">
        <v>16</v>
      </c>
      <c r="F2466" t="s">
        <v>85</v>
      </c>
      <c r="G2466">
        <v>70086001</v>
      </c>
      <c r="H2466">
        <v>4511565361</v>
      </c>
      <c r="I2466">
        <v>40</v>
      </c>
      <c r="J2466" s="29">
        <v>1</v>
      </c>
      <c r="K2466" s="29" t="s">
        <v>147</v>
      </c>
      <c r="L2466" t="str">
        <f>IFERROR(VLOOKUP(Detalle_OC[[#This Row],[Centro]]&amp;Detalle_OC[[#This Row],[Nro Almacen]],Almacen!A:D,4,FALSE),"")</f>
        <v>Montelima</v>
      </c>
    </row>
    <row r="2467" spans="1:12" x14ac:dyDescent="0.3">
      <c r="A2467" s="29" t="str">
        <f>Detalle_OC[[#This Row],[Centro]]&amp;Detalle_OC[[#This Row],[Nom Almacen]]&amp;Detalle_OC[[#This Row],[Material]]&amp;Detalle_OC[[#This Row],[Pedido]]&amp;Detalle_OC[[#This Row],[Posicion]]</f>
        <v>Sucroalcolera del Chira PlantaMontelima70086002451156536150</v>
      </c>
      <c r="B2467" t="s">
        <v>200</v>
      </c>
      <c r="C2467" t="s">
        <v>1213</v>
      </c>
      <c r="D2467" s="11">
        <v>45657</v>
      </c>
      <c r="E2467" t="s">
        <v>16</v>
      </c>
      <c r="F2467" t="s">
        <v>85</v>
      </c>
      <c r="G2467">
        <v>70086002</v>
      </c>
      <c r="H2467">
        <v>4511565361</v>
      </c>
      <c r="I2467">
        <v>50</v>
      </c>
      <c r="J2467" s="29">
        <v>1</v>
      </c>
      <c r="K2467" s="29" t="s">
        <v>147</v>
      </c>
      <c r="L2467" t="str">
        <f>IFERROR(VLOOKUP(Detalle_OC[[#This Row],[Centro]]&amp;Detalle_OC[[#This Row],[Nro Almacen]],Almacen!A:D,4,FALSE),"")</f>
        <v>Montelima</v>
      </c>
    </row>
    <row r="2468" spans="1:12" x14ac:dyDescent="0.3">
      <c r="A2468" s="29" t="str">
        <f>Detalle_OC[[#This Row],[Centro]]&amp;Detalle_OC[[#This Row],[Nom Almacen]]&amp;Detalle_OC[[#This Row],[Material]]&amp;Detalle_OC[[#This Row],[Pedido]]&amp;Detalle_OC[[#This Row],[Posicion]]</f>
        <v>Sucroalcolera del Chira PlantaMontelima70086003451156536160</v>
      </c>
      <c r="B2468" t="s">
        <v>200</v>
      </c>
      <c r="C2468" t="s">
        <v>1213</v>
      </c>
      <c r="D2468" s="11">
        <v>45657</v>
      </c>
      <c r="E2468" t="s">
        <v>16</v>
      </c>
      <c r="F2468" t="s">
        <v>85</v>
      </c>
      <c r="G2468">
        <v>70086003</v>
      </c>
      <c r="H2468">
        <v>4511565361</v>
      </c>
      <c r="I2468">
        <v>60</v>
      </c>
      <c r="J2468" s="29">
        <v>1</v>
      </c>
      <c r="K2468" s="29" t="s">
        <v>147</v>
      </c>
      <c r="L2468" t="str">
        <f>IFERROR(VLOOKUP(Detalle_OC[[#This Row],[Centro]]&amp;Detalle_OC[[#This Row],[Nro Almacen]],Almacen!A:D,4,FALSE),"")</f>
        <v>Montelima</v>
      </c>
    </row>
    <row r="2469" spans="1:12" x14ac:dyDescent="0.3">
      <c r="A2469" s="29" t="str">
        <f>Detalle_OC[[#This Row],[Centro]]&amp;Detalle_OC[[#This Row],[Nom Almacen]]&amp;Detalle_OC[[#This Row],[Material]]&amp;Detalle_OC[[#This Row],[Pedido]]&amp;Detalle_OC[[#This Row],[Posicion]]</f>
        <v>Sucroalcolera del Chira PlantaMontelima70086004451156536170</v>
      </c>
      <c r="B2469" t="s">
        <v>200</v>
      </c>
      <c r="C2469" t="s">
        <v>1213</v>
      </c>
      <c r="D2469" s="11">
        <v>45657</v>
      </c>
      <c r="E2469" t="s">
        <v>16</v>
      </c>
      <c r="F2469" t="s">
        <v>85</v>
      </c>
      <c r="G2469">
        <v>70086004</v>
      </c>
      <c r="H2469">
        <v>4511565361</v>
      </c>
      <c r="I2469">
        <v>70</v>
      </c>
      <c r="J2469" s="29">
        <v>1</v>
      </c>
      <c r="K2469" s="29" t="s">
        <v>147</v>
      </c>
      <c r="L2469" t="str">
        <f>IFERROR(VLOOKUP(Detalle_OC[[#This Row],[Centro]]&amp;Detalle_OC[[#This Row],[Nro Almacen]],Almacen!A:D,4,FALSE),"")</f>
        <v>Montelima</v>
      </c>
    </row>
    <row r="2470" spans="1:12" x14ac:dyDescent="0.3">
      <c r="A2470" s="29" t="str">
        <f>Detalle_OC[[#This Row],[Centro]]&amp;Detalle_OC[[#This Row],[Nom Almacen]]&amp;Detalle_OC[[#This Row],[Material]]&amp;Detalle_OC[[#This Row],[Pedido]]&amp;Detalle_OC[[#This Row],[Posicion]]</f>
        <v>Sucroalcolera del Chira PlantaMontelima70086005451156536180</v>
      </c>
      <c r="B2470" t="s">
        <v>200</v>
      </c>
      <c r="C2470" t="s">
        <v>1213</v>
      </c>
      <c r="D2470" s="11">
        <v>45657</v>
      </c>
      <c r="E2470" t="s">
        <v>16</v>
      </c>
      <c r="F2470" t="s">
        <v>85</v>
      </c>
      <c r="G2470">
        <v>70086005</v>
      </c>
      <c r="H2470">
        <v>4511565361</v>
      </c>
      <c r="I2470">
        <v>80</v>
      </c>
      <c r="J2470" s="29">
        <v>1</v>
      </c>
      <c r="K2470" s="29" t="s">
        <v>147</v>
      </c>
      <c r="L2470" t="str">
        <f>IFERROR(VLOOKUP(Detalle_OC[[#This Row],[Centro]]&amp;Detalle_OC[[#This Row],[Nro Almacen]],Almacen!A:D,4,FALSE),"")</f>
        <v>Montelima</v>
      </c>
    </row>
    <row r="2471" spans="1:12" x14ac:dyDescent="0.3">
      <c r="A2471" s="29" t="str">
        <f>Detalle_OC[[#This Row],[Centro]]&amp;Detalle_OC[[#This Row],[Nom Almacen]]&amp;Detalle_OC[[#This Row],[Material]]&amp;Detalle_OC[[#This Row],[Pedido]]&amp;Detalle_OC[[#This Row],[Posicion]]</f>
        <v>Sucroalcolera del Chira PlantaMontelima700860274511565361110</v>
      </c>
      <c r="B2471" t="s">
        <v>200</v>
      </c>
      <c r="C2471" t="s">
        <v>1213</v>
      </c>
      <c r="D2471" s="11">
        <v>45657</v>
      </c>
      <c r="E2471" t="s">
        <v>16</v>
      </c>
      <c r="F2471" t="s">
        <v>85</v>
      </c>
      <c r="G2471">
        <v>70086027</v>
      </c>
      <c r="H2471">
        <v>4511565361</v>
      </c>
      <c r="I2471">
        <v>110</v>
      </c>
      <c r="J2471" s="29">
        <v>1</v>
      </c>
      <c r="K2471" s="29" t="s">
        <v>147</v>
      </c>
      <c r="L2471" t="str">
        <f>IFERROR(VLOOKUP(Detalle_OC[[#This Row],[Centro]]&amp;Detalle_OC[[#This Row],[Nro Almacen]],Almacen!A:D,4,FALSE),"")</f>
        <v>Montelima</v>
      </c>
    </row>
    <row r="2472" spans="1:12" x14ac:dyDescent="0.3">
      <c r="A2472" s="29" t="str">
        <f>Detalle_OC[[#This Row],[Centro]]&amp;Detalle_OC[[#This Row],[Nom Almacen]]&amp;Detalle_OC[[#This Row],[Material]]&amp;Detalle_OC[[#This Row],[Pedido]]&amp;Detalle_OC[[#This Row],[Posicion]]</f>
        <v>Sucroalcolera del Chira PlantaMontelima700860284511565361120</v>
      </c>
      <c r="B2472" t="s">
        <v>200</v>
      </c>
      <c r="C2472" t="s">
        <v>1213</v>
      </c>
      <c r="D2472" s="11">
        <v>45657</v>
      </c>
      <c r="E2472" t="s">
        <v>16</v>
      </c>
      <c r="F2472" t="s">
        <v>85</v>
      </c>
      <c r="G2472">
        <v>70086028</v>
      </c>
      <c r="H2472">
        <v>4511565361</v>
      </c>
      <c r="I2472">
        <v>120</v>
      </c>
      <c r="J2472" s="29">
        <v>1</v>
      </c>
      <c r="K2472" s="29" t="s">
        <v>147</v>
      </c>
      <c r="L2472" t="str">
        <f>IFERROR(VLOOKUP(Detalle_OC[[#This Row],[Centro]]&amp;Detalle_OC[[#This Row],[Nro Almacen]],Almacen!A:D,4,FALSE),"")</f>
        <v>Montelima</v>
      </c>
    </row>
    <row r="2473" spans="1:12" x14ac:dyDescent="0.3">
      <c r="A2473" s="29" t="str">
        <f>Detalle_OC[[#This Row],[Centro]]&amp;Detalle_OC[[#This Row],[Nom Almacen]]&amp;Detalle_OC[[#This Row],[Material]]&amp;Detalle_OC[[#This Row],[Pedido]]&amp;Detalle_OC[[#This Row],[Posicion]]</f>
        <v>Sucroalcolera del Chira PlantaMontelima700860294511565361130</v>
      </c>
      <c r="B2473" t="s">
        <v>200</v>
      </c>
      <c r="C2473" t="s">
        <v>1213</v>
      </c>
      <c r="D2473" s="11">
        <v>45657</v>
      </c>
      <c r="E2473" t="s">
        <v>16</v>
      </c>
      <c r="F2473" t="s">
        <v>85</v>
      </c>
      <c r="G2473">
        <v>70086029</v>
      </c>
      <c r="H2473">
        <v>4511565361</v>
      </c>
      <c r="I2473">
        <v>130</v>
      </c>
      <c r="J2473" s="29">
        <v>1</v>
      </c>
      <c r="K2473" s="29" t="s">
        <v>147</v>
      </c>
      <c r="L2473" t="str">
        <f>IFERROR(VLOOKUP(Detalle_OC[[#This Row],[Centro]]&amp;Detalle_OC[[#This Row],[Nro Almacen]],Almacen!A:D,4,FALSE),"")</f>
        <v>Montelima</v>
      </c>
    </row>
    <row r="2474" spans="1:12" x14ac:dyDescent="0.3">
      <c r="A2474" s="29" t="str">
        <f>Detalle_OC[[#This Row],[Centro]]&amp;Detalle_OC[[#This Row],[Nom Almacen]]&amp;Detalle_OC[[#This Row],[Material]]&amp;Detalle_OC[[#This Row],[Pedido]]&amp;Detalle_OC[[#This Row],[Posicion]]</f>
        <v>Sucroalcolera del Chira PlantaMontelima700860304511565361140</v>
      </c>
      <c r="B2474" t="s">
        <v>200</v>
      </c>
      <c r="C2474" t="s">
        <v>1213</v>
      </c>
      <c r="D2474" s="11">
        <v>45657</v>
      </c>
      <c r="E2474" t="s">
        <v>16</v>
      </c>
      <c r="F2474" t="s">
        <v>85</v>
      </c>
      <c r="G2474">
        <v>70086030</v>
      </c>
      <c r="H2474">
        <v>4511565361</v>
      </c>
      <c r="I2474">
        <v>140</v>
      </c>
      <c r="J2474" s="29">
        <v>1</v>
      </c>
      <c r="K2474" s="29" t="s">
        <v>147</v>
      </c>
      <c r="L2474" t="str">
        <f>IFERROR(VLOOKUP(Detalle_OC[[#This Row],[Centro]]&amp;Detalle_OC[[#This Row],[Nro Almacen]],Almacen!A:D,4,FALSE),"")</f>
        <v>Montelima</v>
      </c>
    </row>
    <row r="2475" spans="1:12" x14ac:dyDescent="0.3">
      <c r="A2475" s="29" t="str">
        <f>Detalle_OC[[#This Row],[Centro]]&amp;Detalle_OC[[#This Row],[Nom Almacen]]&amp;Detalle_OC[[#This Row],[Material]]&amp;Detalle_OC[[#This Row],[Pedido]]&amp;Detalle_OC[[#This Row],[Posicion]]</f>
        <v>Sucroalcolera del Chira PlantaMontelima700860404511565361150</v>
      </c>
      <c r="B2475" t="s">
        <v>200</v>
      </c>
      <c r="C2475" t="s">
        <v>1213</v>
      </c>
      <c r="D2475" s="11">
        <v>45657</v>
      </c>
      <c r="E2475" t="s">
        <v>16</v>
      </c>
      <c r="F2475" t="s">
        <v>85</v>
      </c>
      <c r="G2475">
        <v>70086040</v>
      </c>
      <c r="H2475">
        <v>4511565361</v>
      </c>
      <c r="I2475">
        <v>150</v>
      </c>
      <c r="J2475" s="29">
        <v>1</v>
      </c>
      <c r="K2475" s="29" t="s">
        <v>147</v>
      </c>
      <c r="L2475" t="str">
        <f>IFERROR(VLOOKUP(Detalle_OC[[#This Row],[Centro]]&amp;Detalle_OC[[#This Row],[Nro Almacen]],Almacen!A:D,4,FALSE),"")</f>
        <v>Montelima</v>
      </c>
    </row>
    <row r="2476" spans="1:12" x14ac:dyDescent="0.3">
      <c r="A2476" s="29" t="str">
        <f>Detalle_OC[[#This Row],[Centro]]&amp;Detalle_OC[[#This Row],[Nom Almacen]]&amp;Detalle_OC[[#This Row],[Material]]&amp;Detalle_OC[[#This Row],[Pedido]]&amp;Detalle_OC[[#This Row],[Posicion]]</f>
        <v>Sucroalcolera del Chira PlantaMontelima700860554511565361160</v>
      </c>
      <c r="B2476" t="s">
        <v>200</v>
      </c>
      <c r="C2476" t="s">
        <v>1213</v>
      </c>
      <c r="D2476" s="11">
        <v>45657</v>
      </c>
      <c r="E2476" t="s">
        <v>16</v>
      </c>
      <c r="F2476" t="s">
        <v>85</v>
      </c>
      <c r="G2476">
        <v>70086055</v>
      </c>
      <c r="H2476">
        <v>4511565361</v>
      </c>
      <c r="I2476">
        <v>160</v>
      </c>
      <c r="J2476" s="29">
        <v>1</v>
      </c>
      <c r="K2476" s="29" t="s">
        <v>147</v>
      </c>
      <c r="L2476" t="str">
        <f>IFERROR(VLOOKUP(Detalle_OC[[#This Row],[Centro]]&amp;Detalle_OC[[#This Row],[Nro Almacen]],Almacen!A:D,4,FALSE),"")</f>
        <v>Montelima</v>
      </c>
    </row>
    <row r="2477" spans="1:12" x14ac:dyDescent="0.3">
      <c r="A2477" s="29" t="str">
        <f>Detalle_OC[[#This Row],[Centro]]&amp;Detalle_OC[[#This Row],[Nom Almacen]]&amp;Detalle_OC[[#This Row],[Material]]&amp;Detalle_OC[[#This Row],[Pedido]]&amp;Detalle_OC[[#This Row],[Posicion]]</f>
        <v>Sucroalcolera del Chira PlantaMontelima700860564511565361170</v>
      </c>
      <c r="B2477" t="s">
        <v>200</v>
      </c>
      <c r="C2477" t="s">
        <v>1213</v>
      </c>
      <c r="D2477" s="11">
        <v>45657</v>
      </c>
      <c r="E2477" t="s">
        <v>16</v>
      </c>
      <c r="F2477" t="s">
        <v>85</v>
      </c>
      <c r="G2477">
        <v>70086056</v>
      </c>
      <c r="H2477">
        <v>4511565361</v>
      </c>
      <c r="I2477">
        <v>170</v>
      </c>
      <c r="J2477" s="29">
        <v>1</v>
      </c>
      <c r="K2477" s="29" t="s">
        <v>147</v>
      </c>
      <c r="L2477" t="str">
        <f>IFERROR(VLOOKUP(Detalle_OC[[#This Row],[Centro]]&amp;Detalle_OC[[#This Row],[Nro Almacen]],Almacen!A:D,4,FALSE),"")</f>
        <v>Montelima</v>
      </c>
    </row>
    <row r="2478" spans="1:12" x14ac:dyDescent="0.3">
      <c r="A2478" s="29" t="str">
        <f>Detalle_OC[[#This Row],[Centro]]&amp;Detalle_OC[[#This Row],[Nom Almacen]]&amp;Detalle_OC[[#This Row],[Material]]&amp;Detalle_OC[[#This Row],[Pedido]]&amp;Detalle_OC[[#This Row],[Posicion]]</f>
        <v>Sucroalcolera del Chira PlantaMontelima700860574511565361180</v>
      </c>
      <c r="B2478" t="s">
        <v>200</v>
      </c>
      <c r="C2478" t="s">
        <v>1213</v>
      </c>
      <c r="D2478" s="11">
        <v>45657</v>
      </c>
      <c r="E2478" t="s">
        <v>16</v>
      </c>
      <c r="F2478" t="s">
        <v>85</v>
      </c>
      <c r="G2478">
        <v>70086057</v>
      </c>
      <c r="H2478">
        <v>4511565361</v>
      </c>
      <c r="I2478">
        <v>180</v>
      </c>
      <c r="J2478" s="29">
        <v>1</v>
      </c>
      <c r="K2478" s="29" t="s">
        <v>147</v>
      </c>
      <c r="L2478" t="str">
        <f>IFERROR(VLOOKUP(Detalle_OC[[#This Row],[Centro]]&amp;Detalle_OC[[#This Row],[Nro Almacen]],Almacen!A:D,4,FALSE),"")</f>
        <v>Montelima</v>
      </c>
    </row>
    <row r="2479" spans="1:12" x14ac:dyDescent="0.3">
      <c r="A2479" s="29" t="str">
        <f>Detalle_OC[[#This Row],[Centro]]&amp;Detalle_OC[[#This Row],[Nom Almacen]]&amp;Detalle_OC[[#This Row],[Material]]&amp;Detalle_OC[[#This Row],[Pedido]]&amp;Detalle_OC[[#This Row],[Posicion]]</f>
        <v>Sucroalcolera del Chira PlantaMontelima700860694511565361190</v>
      </c>
      <c r="B2479" t="s">
        <v>200</v>
      </c>
      <c r="C2479" t="s">
        <v>1213</v>
      </c>
      <c r="D2479" s="11">
        <v>45657</v>
      </c>
      <c r="E2479" t="s">
        <v>16</v>
      </c>
      <c r="F2479" t="s">
        <v>85</v>
      </c>
      <c r="G2479">
        <v>70086069</v>
      </c>
      <c r="H2479">
        <v>4511565361</v>
      </c>
      <c r="I2479">
        <v>190</v>
      </c>
      <c r="J2479" s="29">
        <v>1</v>
      </c>
      <c r="K2479" s="29" t="s">
        <v>147</v>
      </c>
      <c r="L2479" t="str">
        <f>IFERROR(VLOOKUP(Detalle_OC[[#This Row],[Centro]]&amp;Detalle_OC[[#This Row],[Nro Almacen]],Almacen!A:D,4,FALSE),"")</f>
        <v>Montelima</v>
      </c>
    </row>
    <row r="2480" spans="1:12" x14ac:dyDescent="0.3">
      <c r="A2480" s="29" t="str">
        <f>Detalle_OC[[#This Row],[Centro]]&amp;Detalle_OC[[#This Row],[Nom Almacen]]&amp;Detalle_OC[[#This Row],[Material]]&amp;Detalle_OC[[#This Row],[Pedido]]&amp;Detalle_OC[[#This Row],[Posicion]]</f>
        <v>Sucroalcolera del Chira PlantaMontelima700860704511565361200</v>
      </c>
      <c r="B2480" t="s">
        <v>200</v>
      </c>
      <c r="C2480" t="s">
        <v>1213</v>
      </c>
      <c r="D2480" s="11">
        <v>45657</v>
      </c>
      <c r="E2480" t="s">
        <v>16</v>
      </c>
      <c r="F2480" t="s">
        <v>85</v>
      </c>
      <c r="G2480">
        <v>70086070</v>
      </c>
      <c r="H2480">
        <v>4511565361</v>
      </c>
      <c r="I2480">
        <v>200</v>
      </c>
      <c r="J2480" s="29">
        <v>1</v>
      </c>
      <c r="K2480" s="29" t="s">
        <v>147</v>
      </c>
      <c r="L2480" t="str">
        <f>IFERROR(VLOOKUP(Detalle_OC[[#This Row],[Centro]]&amp;Detalle_OC[[#This Row],[Nro Almacen]],Almacen!A:D,4,FALSE),"")</f>
        <v>Montelima</v>
      </c>
    </row>
    <row r="2481" spans="1:12" x14ac:dyDescent="0.3">
      <c r="A2481" s="29" t="str">
        <f>Detalle_OC[[#This Row],[Centro]]&amp;Detalle_OC[[#This Row],[Nom Almacen]]&amp;Detalle_OC[[#This Row],[Material]]&amp;Detalle_OC[[#This Row],[Pedido]]&amp;Detalle_OC[[#This Row],[Posicion]]</f>
        <v>Sucroalcolera del Chira PlantaMontelima700860714511565361210</v>
      </c>
      <c r="B2481" t="s">
        <v>200</v>
      </c>
      <c r="C2481" t="s">
        <v>1213</v>
      </c>
      <c r="D2481" s="11">
        <v>45657</v>
      </c>
      <c r="E2481" t="s">
        <v>16</v>
      </c>
      <c r="F2481" t="s">
        <v>85</v>
      </c>
      <c r="G2481">
        <v>70086071</v>
      </c>
      <c r="H2481">
        <v>4511565361</v>
      </c>
      <c r="I2481">
        <v>210</v>
      </c>
      <c r="J2481" s="29">
        <v>1</v>
      </c>
      <c r="K2481" s="29" t="s">
        <v>147</v>
      </c>
      <c r="L2481" t="str">
        <f>IFERROR(VLOOKUP(Detalle_OC[[#This Row],[Centro]]&amp;Detalle_OC[[#This Row],[Nro Almacen]],Almacen!A:D,4,FALSE),"")</f>
        <v>Montelima</v>
      </c>
    </row>
    <row r="2482" spans="1:12" x14ac:dyDescent="0.3">
      <c r="A2482" s="29" t="str">
        <f>Detalle_OC[[#This Row],[Centro]]&amp;Detalle_OC[[#This Row],[Nom Almacen]]&amp;Detalle_OC[[#This Row],[Material]]&amp;Detalle_OC[[#This Row],[Pedido]]&amp;Detalle_OC[[#This Row],[Posicion]]</f>
        <v>Sucroalcolera del Chira PlantaMontelima700860724511565361220</v>
      </c>
      <c r="B2482" t="s">
        <v>200</v>
      </c>
      <c r="C2482" t="s">
        <v>1213</v>
      </c>
      <c r="D2482" s="11">
        <v>45657</v>
      </c>
      <c r="E2482" t="s">
        <v>16</v>
      </c>
      <c r="F2482" t="s">
        <v>85</v>
      </c>
      <c r="G2482">
        <v>70086072</v>
      </c>
      <c r="H2482">
        <v>4511565361</v>
      </c>
      <c r="I2482">
        <v>220</v>
      </c>
      <c r="J2482" s="29">
        <v>1</v>
      </c>
      <c r="K2482" s="29" t="s">
        <v>147</v>
      </c>
      <c r="L2482" t="str">
        <f>IFERROR(VLOOKUP(Detalle_OC[[#This Row],[Centro]]&amp;Detalle_OC[[#This Row],[Nro Almacen]],Almacen!A:D,4,FALSE),"")</f>
        <v>Montelima</v>
      </c>
    </row>
    <row r="2483" spans="1:12" x14ac:dyDescent="0.3">
      <c r="A2483" s="29" t="str">
        <f>Detalle_OC[[#This Row],[Centro]]&amp;Detalle_OC[[#This Row],[Nom Almacen]]&amp;Detalle_OC[[#This Row],[Material]]&amp;Detalle_OC[[#This Row],[Pedido]]&amp;Detalle_OC[[#This Row],[Posicion]]</f>
        <v>Sucroalcolera del Chira PlantaMontelima700860764511565361230</v>
      </c>
      <c r="B2483" t="s">
        <v>200</v>
      </c>
      <c r="C2483" t="s">
        <v>1213</v>
      </c>
      <c r="D2483" s="11">
        <v>45657</v>
      </c>
      <c r="E2483" t="s">
        <v>16</v>
      </c>
      <c r="F2483" t="s">
        <v>85</v>
      </c>
      <c r="G2483">
        <v>70086076</v>
      </c>
      <c r="H2483">
        <v>4511565361</v>
      </c>
      <c r="I2483">
        <v>230</v>
      </c>
      <c r="J2483" s="29">
        <v>1</v>
      </c>
      <c r="K2483" s="29" t="s">
        <v>147</v>
      </c>
      <c r="L2483" t="str">
        <f>IFERROR(VLOOKUP(Detalle_OC[[#This Row],[Centro]]&amp;Detalle_OC[[#This Row],[Nro Almacen]],Almacen!A:D,4,FALSE),"")</f>
        <v>Montelima</v>
      </c>
    </row>
    <row r="2484" spans="1:12" x14ac:dyDescent="0.3">
      <c r="A2484" s="29" t="str">
        <f>Detalle_OC[[#This Row],[Centro]]&amp;Detalle_OC[[#This Row],[Nom Almacen]]&amp;Detalle_OC[[#This Row],[Material]]&amp;Detalle_OC[[#This Row],[Pedido]]&amp;Detalle_OC[[#This Row],[Posicion]]</f>
        <v>Sucroalcolera del Chira PlantaMontelima700860774511565361240</v>
      </c>
      <c r="B2484" t="s">
        <v>200</v>
      </c>
      <c r="C2484" t="s">
        <v>1213</v>
      </c>
      <c r="D2484" s="11">
        <v>45657</v>
      </c>
      <c r="E2484" t="s">
        <v>16</v>
      </c>
      <c r="F2484" t="s">
        <v>85</v>
      </c>
      <c r="G2484">
        <v>70086077</v>
      </c>
      <c r="H2484">
        <v>4511565361</v>
      </c>
      <c r="I2484">
        <v>240</v>
      </c>
      <c r="J2484" s="29">
        <v>1</v>
      </c>
      <c r="K2484" s="29" t="s">
        <v>147</v>
      </c>
      <c r="L2484" t="str">
        <f>IFERROR(VLOOKUP(Detalle_OC[[#This Row],[Centro]]&amp;Detalle_OC[[#This Row],[Nro Almacen]],Almacen!A:D,4,FALSE),"")</f>
        <v>Montelima</v>
      </c>
    </row>
    <row r="2485" spans="1:12" x14ac:dyDescent="0.3">
      <c r="A2485" s="29" t="str">
        <f>Detalle_OC[[#This Row],[Centro]]&amp;Detalle_OC[[#This Row],[Nom Almacen]]&amp;Detalle_OC[[#This Row],[Material]]&amp;Detalle_OC[[#This Row],[Pedido]]&amp;Detalle_OC[[#This Row],[Posicion]]</f>
        <v>Sucroalcolera del Chira PlantaMontelima700860784511565361250</v>
      </c>
      <c r="B2485" t="s">
        <v>200</v>
      </c>
      <c r="C2485" t="s">
        <v>1213</v>
      </c>
      <c r="D2485" s="11">
        <v>45657</v>
      </c>
      <c r="E2485" t="s">
        <v>16</v>
      </c>
      <c r="F2485" t="s">
        <v>85</v>
      </c>
      <c r="G2485">
        <v>70086078</v>
      </c>
      <c r="H2485">
        <v>4511565361</v>
      </c>
      <c r="I2485">
        <v>250</v>
      </c>
      <c r="J2485" s="29">
        <v>1</v>
      </c>
      <c r="K2485" s="29" t="s">
        <v>147</v>
      </c>
      <c r="L2485" t="str">
        <f>IFERROR(VLOOKUP(Detalle_OC[[#This Row],[Centro]]&amp;Detalle_OC[[#This Row],[Nro Almacen]],Almacen!A:D,4,FALSE),"")</f>
        <v>Montelima</v>
      </c>
    </row>
    <row r="2486" spans="1:12" x14ac:dyDescent="0.3">
      <c r="A2486" s="29" t="str">
        <f>Detalle_OC[[#This Row],[Centro]]&amp;Detalle_OC[[#This Row],[Nom Almacen]]&amp;Detalle_OC[[#This Row],[Material]]&amp;Detalle_OC[[#This Row],[Pedido]]&amp;Detalle_OC[[#This Row],[Posicion]]</f>
        <v>Sucroalcolera del Chira PlantaMontelima700860794511565361260</v>
      </c>
      <c r="B2486" t="s">
        <v>200</v>
      </c>
      <c r="C2486" t="s">
        <v>1213</v>
      </c>
      <c r="D2486" s="11">
        <v>45657</v>
      </c>
      <c r="E2486" t="s">
        <v>16</v>
      </c>
      <c r="F2486" t="s">
        <v>85</v>
      </c>
      <c r="G2486">
        <v>70086079</v>
      </c>
      <c r="H2486">
        <v>4511565361</v>
      </c>
      <c r="I2486">
        <v>260</v>
      </c>
      <c r="J2486" s="29">
        <v>1</v>
      </c>
      <c r="K2486" s="29" t="s">
        <v>147</v>
      </c>
      <c r="L2486" t="str">
        <f>IFERROR(VLOOKUP(Detalle_OC[[#This Row],[Centro]]&amp;Detalle_OC[[#This Row],[Nro Almacen]],Almacen!A:D,4,FALSE),"")</f>
        <v>Montelima</v>
      </c>
    </row>
    <row r="2487" spans="1:12" x14ac:dyDescent="0.3">
      <c r="A2487" s="29" t="str">
        <f>Detalle_OC[[#This Row],[Centro]]&amp;Detalle_OC[[#This Row],[Nom Almacen]]&amp;Detalle_OC[[#This Row],[Material]]&amp;Detalle_OC[[#This Row],[Pedido]]&amp;Detalle_OC[[#This Row],[Posicion]]</f>
        <v>Sucroalcolera del Chira PlantaMontelima700860804511565361270</v>
      </c>
      <c r="B2487" t="s">
        <v>200</v>
      </c>
      <c r="C2487" t="s">
        <v>1213</v>
      </c>
      <c r="D2487" s="11">
        <v>45657</v>
      </c>
      <c r="E2487" t="s">
        <v>16</v>
      </c>
      <c r="F2487" t="s">
        <v>85</v>
      </c>
      <c r="G2487">
        <v>70086080</v>
      </c>
      <c r="H2487">
        <v>4511565361</v>
      </c>
      <c r="I2487">
        <v>270</v>
      </c>
      <c r="J2487" s="29">
        <v>1</v>
      </c>
      <c r="K2487" s="29" t="s">
        <v>147</v>
      </c>
      <c r="L2487" t="str">
        <f>IFERROR(VLOOKUP(Detalle_OC[[#This Row],[Centro]]&amp;Detalle_OC[[#This Row],[Nro Almacen]],Almacen!A:D,4,FALSE),"")</f>
        <v>Montelima</v>
      </c>
    </row>
    <row r="2488" spans="1:12" x14ac:dyDescent="0.3">
      <c r="A2488" s="29" t="str">
        <f>Detalle_OC[[#This Row],[Centro]]&amp;Detalle_OC[[#This Row],[Nom Almacen]]&amp;Detalle_OC[[#This Row],[Material]]&amp;Detalle_OC[[#This Row],[Pedido]]&amp;Detalle_OC[[#This Row],[Posicion]]</f>
        <v>Sucroalcolera del Chira PlantaMontelima700860814511565361280</v>
      </c>
      <c r="B2488" t="s">
        <v>200</v>
      </c>
      <c r="C2488" t="s">
        <v>1213</v>
      </c>
      <c r="D2488" s="11">
        <v>45657</v>
      </c>
      <c r="E2488" t="s">
        <v>16</v>
      </c>
      <c r="F2488" t="s">
        <v>85</v>
      </c>
      <c r="G2488">
        <v>70086081</v>
      </c>
      <c r="H2488">
        <v>4511565361</v>
      </c>
      <c r="I2488">
        <v>280</v>
      </c>
      <c r="J2488" s="29">
        <v>1</v>
      </c>
      <c r="K2488" s="29" t="s">
        <v>147</v>
      </c>
      <c r="L2488" t="str">
        <f>IFERROR(VLOOKUP(Detalle_OC[[#This Row],[Centro]]&amp;Detalle_OC[[#This Row],[Nro Almacen]],Almacen!A:D,4,FALSE),"")</f>
        <v>Montelima</v>
      </c>
    </row>
    <row r="2489" spans="1:12" x14ac:dyDescent="0.3">
      <c r="A2489" s="29" t="str">
        <f>Detalle_OC[[#This Row],[Centro]]&amp;Detalle_OC[[#This Row],[Nom Almacen]]&amp;Detalle_OC[[#This Row],[Material]]&amp;Detalle_OC[[#This Row],[Pedido]]&amp;Detalle_OC[[#This Row],[Posicion]]</f>
        <v>Sucroalcolera del Chira PlantaMontelima700861044511565361330</v>
      </c>
      <c r="B2489" t="s">
        <v>200</v>
      </c>
      <c r="C2489" t="s">
        <v>1213</v>
      </c>
      <c r="D2489" s="11">
        <v>45657</v>
      </c>
      <c r="E2489" t="s">
        <v>16</v>
      </c>
      <c r="F2489" t="s">
        <v>85</v>
      </c>
      <c r="G2489">
        <v>70086104</v>
      </c>
      <c r="H2489">
        <v>4511565361</v>
      </c>
      <c r="I2489">
        <v>330</v>
      </c>
      <c r="J2489" s="29">
        <v>1</v>
      </c>
      <c r="K2489" s="29" t="s">
        <v>147</v>
      </c>
      <c r="L2489" t="str">
        <f>IFERROR(VLOOKUP(Detalle_OC[[#This Row],[Centro]]&amp;Detalle_OC[[#This Row],[Nro Almacen]],Almacen!A:D,4,FALSE),"")</f>
        <v>Montelima</v>
      </c>
    </row>
    <row r="2490" spans="1:12" x14ac:dyDescent="0.3">
      <c r="A2490" s="29" t="str">
        <f>Detalle_OC[[#This Row],[Centro]]&amp;Detalle_OC[[#This Row],[Nom Almacen]]&amp;Detalle_OC[[#This Row],[Material]]&amp;Detalle_OC[[#This Row],[Pedido]]&amp;Detalle_OC[[#This Row],[Posicion]]</f>
        <v>Sucroalcolera del Chira PlantaMontelima700861054511565361340</v>
      </c>
      <c r="B2490" t="s">
        <v>200</v>
      </c>
      <c r="C2490" t="s">
        <v>1213</v>
      </c>
      <c r="D2490" s="11">
        <v>45657</v>
      </c>
      <c r="E2490" t="s">
        <v>16</v>
      </c>
      <c r="F2490" t="s">
        <v>85</v>
      </c>
      <c r="G2490">
        <v>70086105</v>
      </c>
      <c r="H2490">
        <v>4511565361</v>
      </c>
      <c r="I2490">
        <v>340</v>
      </c>
      <c r="J2490" s="29">
        <v>1</v>
      </c>
      <c r="K2490" s="29" t="s">
        <v>147</v>
      </c>
      <c r="L2490" t="str">
        <f>IFERROR(VLOOKUP(Detalle_OC[[#This Row],[Centro]]&amp;Detalle_OC[[#This Row],[Nro Almacen]],Almacen!A:D,4,FALSE),"")</f>
        <v>Montelima</v>
      </c>
    </row>
    <row r="2491" spans="1:12" x14ac:dyDescent="0.3">
      <c r="A2491" s="29" t="str">
        <f>Detalle_OC[[#This Row],[Centro]]&amp;Detalle_OC[[#This Row],[Nom Almacen]]&amp;Detalle_OC[[#This Row],[Material]]&amp;Detalle_OC[[#This Row],[Pedido]]&amp;Detalle_OC[[#This Row],[Posicion]]</f>
        <v>Sucroalcolera del Chira PlantaMontelima700861064511565361350</v>
      </c>
      <c r="B2491" t="s">
        <v>200</v>
      </c>
      <c r="C2491" t="s">
        <v>1213</v>
      </c>
      <c r="D2491" s="11">
        <v>45657</v>
      </c>
      <c r="E2491" t="s">
        <v>16</v>
      </c>
      <c r="F2491" t="s">
        <v>85</v>
      </c>
      <c r="G2491">
        <v>70086106</v>
      </c>
      <c r="H2491">
        <v>4511565361</v>
      </c>
      <c r="I2491">
        <v>350</v>
      </c>
      <c r="J2491" s="29">
        <v>1</v>
      </c>
      <c r="K2491" s="29" t="s">
        <v>147</v>
      </c>
      <c r="L2491" t="str">
        <f>IFERROR(VLOOKUP(Detalle_OC[[#This Row],[Centro]]&amp;Detalle_OC[[#This Row],[Nro Almacen]],Almacen!A:D,4,FALSE),"")</f>
        <v>Montelima</v>
      </c>
    </row>
    <row r="2492" spans="1:12" x14ac:dyDescent="0.3">
      <c r="A2492" s="29" t="str">
        <f>Detalle_OC[[#This Row],[Centro]]&amp;Detalle_OC[[#This Row],[Nom Almacen]]&amp;Detalle_OC[[#This Row],[Material]]&amp;Detalle_OC[[#This Row],[Pedido]]&amp;Detalle_OC[[#This Row],[Posicion]]</f>
        <v>Sucroalcolera del Chira PlantaMontelima700861074511565361360</v>
      </c>
      <c r="B2492" t="s">
        <v>200</v>
      </c>
      <c r="C2492" t="s">
        <v>1213</v>
      </c>
      <c r="D2492" s="11">
        <v>45657</v>
      </c>
      <c r="E2492" t="s">
        <v>16</v>
      </c>
      <c r="F2492" t="s">
        <v>85</v>
      </c>
      <c r="G2492">
        <v>70086107</v>
      </c>
      <c r="H2492">
        <v>4511565361</v>
      </c>
      <c r="I2492">
        <v>360</v>
      </c>
      <c r="J2492" s="29">
        <v>1</v>
      </c>
      <c r="K2492" s="29" t="s">
        <v>147</v>
      </c>
      <c r="L2492" t="str">
        <f>IFERROR(VLOOKUP(Detalle_OC[[#This Row],[Centro]]&amp;Detalle_OC[[#This Row],[Nro Almacen]],Almacen!A:D,4,FALSE),"")</f>
        <v>Montelima</v>
      </c>
    </row>
    <row r="2493" spans="1:12" x14ac:dyDescent="0.3">
      <c r="A2493" s="29" t="str">
        <f>Detalle_OC[[#This Row],[Centro]]&amp;Detalle_OC[[#This Row],[Nom Almacen]]&amp;Detalle_OC[[#This Row],[Material]]&amp;Detalle_OC[[#This Row],[Pedido]]&amp;Detalle_OC[[#This Row],[Posicion]]</f>
        <v>Sucroalcolera del Chira PlantaMontelima700861084511565361370</v>
      </c>
      <c r="B2493" t="s">
        <v>200</v>
      </c>
      <c r="C2493" t="s">
        <v>1213</v>
      </c>
      <c r="D2493" s="11">
        <v>45657</v>
      </c>
      <c r="E2493" t="s">
        <v>16</v>
      </c>
      <c r="F2493" t="s">
        <v>85</v>
      </c>
      <c r="G2493">
        <v>70086108</v>
      </c>
      <c r="H2493">
        <v>4511565361</v>
      </c>
      <c r="I2493">
        <v>370</v>
      </c>
      <c r="J2493" s="29">
        <v>1</v>
      </c>
      <c r="K2493" s="29" t="s">
        <v>147</v>
      </c>
      <c r="L2493" t="str">
        <f>IFERROR(VLOOKUP(Detalle_OC[[#This Row],[Centro]]&amp;Detalle_OC[[#This Row],[Nro Almacen]],Almacen!A:D,4,FALSE),"")</f>
        <v>Montelima</v>
      </c>
    </row>
    <row r="2494" spans="1:12" x14ac:dyDescent="0.3">
      <c r="A2494" s="29" t="str">
        <f>Detalle_OC[[#This Row],[Centro]]&amp;Detalle_OC[[#This Row],[Nom Almacen]]&amp;Detalle_OC[[#This Row],[Material]]&amp;Detalle_OC[[#This Row],[Pedido]]&amp;Detalle_OC[[#This Row],[Posicion]]</f>
        <v>Sucroalcolera del Chira PlantaMontelima700861374511565361380</v>
      </c>
      <c r="B2494" t="s">
        <v>200</v>
      </c>
      <c r="C2494" t="s">
        <v>1213</v>
      </c>
      <c r="D2494" s="11">
        <v>45657</v>
      </c>
      <c r="E2494" t="s">
        <v>16</v>
      </c>
      <c r="F2494" t="s">
        <v>85</v>
      </c>
      <c r="G2494">
        <v>70086137</v>
      </c>
      <c r="H2494">
        <v>4511565361</v>
      </c>
      <c r="I2494">
        <v>380</v>
      </c>
      <c r="J2494" s="29">
        <v>1</v>
      </c>
      <c r="K2494" s="29" t="s">
        <v>147</v>
      </c>
      <c r="L2494" t="str">
        <f>IFERROR(VLOOKUP(Detalle_OC[[#This Row],[Centro]]&amp;Detalle_OC[[#This Row],[Nro Almacen]],Almacen!A:D,4,FALSE),"")</f>
        <v>Montelima</v>
      </c>
    </row>
    <row r="2495" spans="1:12" x14ac:dyDescent="0.3">
      <c r="A2495" s="29" t="str">
        <f>Detalle_OC[[#This Row],[Centro]]&amp;Detalle_OC[[#This Row],[Nom Almacen]]&amp;Detalle_OC[[#This Row],[Material]]&amp;Detalle_OC[[#This Row],[Pedido]]&amp;Detalle_OC[[#This Row],[Posicion]]</f>
        <v>Sucroalcolera del Chira PlantaMontelima700861384511565361390</v>
      </c>
      <c r="B2495" t="s">
        <v>200</v>
      </c>
      <c r="C2495" t="s">
        <v>1213</v>
      </c>
      <c r="D2495" s="11">
        <v>45657</v>
      </c>
      <c r="E2495" t="s">
        <v>16</v>
      </c>
      <c r="F2495" t="s">
        <v>85</v>
      </c>
      <c r="G2495">
        <v>70086138</v>
      </c>
      <c r="H2495">
        <v>4511565361</v>
      </c>
      <c r="I2495">
        <v>390</v>
      </c>
      <c r="J2495" s="29">
        <v>1</v>
      </c>
      <c r="K2495" s="29" t="s">
        <v>147</v>
      </c>
      <c r="L2495" t="str">
        <f>IFERROR(VLOOKUP(Detalle_OC[[#This Row],[Centro]]&amp;Detalle_OC[[#This Row],[Nro Almacen]],Almacen!A:D,4,FALSE),"")</f>
        <v>Montelima</v>
      </c>
    </row>
    <row r="2496" spans="1:12" x14ac:dyDescent="0.3">
      <c r="A2496" s="29" t="str">
        <f>Detalle_OC[[#This Row],[Centro]]&amp;Detalle_OC[[#This Row],[Nom Almacen]]&amp;Detalle_OC[[#This Row],[Material]]&amp;Detalle_OC[[#This Row],[Pedido]]&amp;Detalle_OC[[#This Row],[Posicion]]</f>
        <v>Sucroalcolera del Chira PlantaMontelima701006244511565361400</v>
      </c>
      <c r="B2496" t="s">
        <v>200</v>
      </c>
      <c r="C2496" t="s">
        <v>1213</v>
      </c>
      <c r="D2496" s="11">
        <v>45657</v>
      </c>
      <c r="E2496" t="s">
        <v>16</v>
      </c>
      <c r="F2496" t="s">
        <v>85</v>
      </c>
      <c r="G2496">
        <v>70100624</v>
      </c>
      <c r="H2496">
        <v>4511565361</v>
      </c>
      <c r="I2496">
        <v>400</v>
      </c>
      <c r="J2496" s="29">
        <v>1</v>
      </c>
      <c r="K2496" s="29" t="s">
        <v>147</v>
      </c>
      <c r="L2496" t="str">
        <f>IFERROR(VLOOKUP(Detalle_OC[[#This Row],[Centro]]&amp;Detalle_OC[[#This Row],[Nro Almacen]],Almacen!A:D,4,FALSE),"")</f>
        <v>Montelima</v>
      </c>
    </row>
    <row r="2497" spans="1:12" x14ac:dyDescent="0.3">
      <c r="A2497" s="29" t="str">
        <f>Detalle_OC[[#This Row],[Centro]]&amp;Detalle_OC[[#This Row],[Nom Almacen]]&amp;Detalle_OC[[#This Row],[Material]]&amp;Detalle_OC[[#This Row],[Pedido]]&amp;Detalle_OC[[#This Row],[Posicion]]</f>
        <v>Sucroalcolera del Chira PlantaMontelima701006274511565361410</v>
      </c>
      <c r="B2497" t="s">
        <v>200</v>
      </c>
      <c r="C2497" t="s">
        <v>1213</v>
      </c>
      <c r="D2497" s="11">
        <v>45657</v>
      </c>
      <c r="E2497" t="s">
        <v>16</v>
      </c>
      <c r="F2497" t="s">
        <v>85</v>
      </c>
      <c r="G2497">
        <v>70100627</v>
      </c>
      <c r="H2497">
        <v>4511565361</v>
      </c>
      <c r="I2497">
        <v>410</v>
      </c>
      <c r="J2497" s="29">
        <v>1</v>
      </c>
      <c r="K2497" s="29" t="s">
        <v>147</v>
      </c>
      <c r="L2497" t="str">
        <f>IFERROR(VLOOKUP(Detalle_OC[[#This Row],[Centro]]&amp;Detalle_OC[[#This Row],[Nro Almacen]],Almacen!A:D,4,FALSE),"")</f>
        <v>Montelima</v>
      </c>
    </row>
    <row r="2498" spans="1:12" x14ac:dyDescent="0.3">
      <c r="A2498" s="29" t="str">
        <f>Detalle_OC[[#This Row],[Centro]]&amp;Detalle_OC[[#This Row],[Nom Almacen]]&amp;Detalle_OC[[#This Row],[Material]]&amp;Detalle_OC[[#This Row],[Pedido]]&amp;Detalle_OC[[#This Row],[Posicion]]</f>
        <v>Sucroalcolera del Chira PlantaMontelima701006284511565361420</v>
      </c>
      <c r="B2498" t="s">
        <v>200</v>
      </c>
      <c r="C2498" t="s">
        <v>1213</v>
      </c>
      <c r="D2498" s="11">
        <v>45657</v>
      </c>
      <c r="E2498" t="s">
        <v>16</v>
      </c>
      <c r="F2498" t="s">
        <v>85</v>
      </c>
      <c r="G2498">
        <v>70100628</v>
      </c>
      <c r="H2498">
        <v>4511565361</v>
      </c>
      <c r="I2498">
        <v>420</v>
      </c>
      <c r="J2498" s="29">
        <v>1</v>
      </c>
      <c r="K2498" s="29" t="s">
        <v>147</v>
      </c>
      <c r="L2498" t="str">
        <f>IFERROR(VLOOKUP(Detalle_OC[[#This Row],[Centro]]&amp;Detalle_OC[[#This Row],[Nro Almacen]],Almacen!A:D,4,FALSE),"")</f>
        <v>Montelima</v>
      </c>
    </row>
    <row r="2499" spans="1:12" x14ac:dyDescent="0.3">
      <c r="A2499" s="29" t="str">
        <f>Detalle_OC[[#This Row],[Centro]]&amp;Detalle_OC[[#This Row],[Nom Almacen]]&amp;Detalle_OC[[#This Row],[Material]]&amp;Detalle_OC[[#This Row],[Pedido]]&amp;Detalle_OC[[#This Row],[Posicion]]</f>
        <v>Sucroalcolera del Chira PlantaMontelima701235864511565361430</v>
      </c>
      <c r="B2499" t="s">
        <v>200</v>
      </c>
      <c r="C2499" t="s">
        <v>1213</v>
      </c>
      <c r="D2499" s="11">
        <v>45657</v>
      </c>
      <c r="E2499" t="s">
        <v>16</v>
      </c>
      <c r="F2499" t="s">
        <v>85</v>
      </c>
      <c r="G2499">
        <v>70123586</v>
      </c>
      <c r="H2499">
        <v>4511565361</v>
      </c>
      <c r="I2499">
        <v>430</v>
      </c>
      <c r="J2499" s="29">
        <v>1</v>
      </c>
      <c r="K2499" s="29" t="s">
        <v>147</v>
      </c>
      <c r="L2499" t="str">
        <f>IFERROR(VLOOKUP(Detalle_OC[[#This Row],[Centro]]&amp;Detalle_OC[[#This Row],[Nro Almacen]],Almacen!A:D,4,FALSE),"")</f>
        <v>Montelima</v>
      </c>
    </row>
    <row r="2500" spans="1:12" x14ac:dyDescent="0.3">
      <c r="A2500" s="29" t="str">
        <f>Detalle_OC[[#This Row],[Centro]]&amp;Detalle_OC[[#This Row],[Nom Almacen]]&amp;Detalle_OC[[#This Row],[Material]]&amp;Detalle_OC[[#This Row],[Pedido]]&amp;Detalle_OC[[#This Row],[Posicion]]</f>
        <v>Sucroalcolera del Chira PlantaMontelima701336214511565361440</v>
      </c>
      <c r="B2500" t="s">
        <v>200</v>
      </c>
      <c r="C2500" t="s">
        <v>1213</v>
      </c>
      <c r="D2500" s="11">
        <v>45657</v>
      </c>
      <c r="E2500" t="s">
        <v>16</v>
      </c>
      <c r="F2500" t="s">
        <v>85</v>
      </c>
      <c r="G2500">
        <v>70133621</v>
      </c>
      <c r="H2500">
        <v>4511565361</v>
      </c>
      <c r="I2500">
        <v>440</v>
      </c>
      <c r="J2500" s="29">
        <v>1</v>
      </c>
      <c r="K2500" s="29" t="s">
        <v>147</v>
      </c>
      <c r="L2500" t="str">
        <f>IFERROR(VLOOKUP(Detalle_OC[[#This Row],[Centro]]&amp;Detalle_OC[[#This Row],[Nro Almacen]],Almacen!A:D,4,FALSE),"")</f>
        <v>Montelima</v>
      </c>
    </row>
    <row r="2501" spans="1:12" x14ac:dyDescent="0.3">
      <c r="A2501" s="29" t="str">
        <f>Detalle_OC[[#This Row],[Centro]]&amp;Detalle_OC[[#This Row],[Nom Almacen]]&amp;Detalle_OC[[#This Row],[Material]]&amp;Detalle_OC[[#This Row],[Pedido]]&amp;Detalle_OC[[#This Row],[Posicion]]</f>
        <v>Bioenergía del Chira PlantaMontelima70045561451156536710</v>
      </c>
      <c r="B2501" t="s">
        <v>200</v>
      </c>
      <c r="C2501" t="s">
        <v>1213</v>
      </c>
      <c r="D2501" s="11">
        <v>45657</v>
      </c>
      <c r="E2501" t="s">
        <v>16</v>
      </c>
      <c r="F2501" t="s">
        <v>86</v>
      </c>
      <c r="G2501">
        <v>70045561</v>
      </c>
      <c r="H2501">
        <v>4511565367</v>
      </c>
      <c r="I2501">
        <v>10</v>
      </c>
      <c r="J2501" s="29">
        <v>1</v>
      </c>
      <c r="K2501" s="29" t="s">
        <v>147</v>
      </c>
      <c r="L2501" t="str">
        <f>IFERROR(VLOOKUP(Detalle_OC[[#This Row],[Centro]]&amp;Detalle_OC[[#This Row],[Nro Almacen]],Almacen!A:D,4,FALSE),"")</f>
        <v>Montelima</v>
      </c>
    </row>
    <row r="2502" spans="1:12" x14ac:dyDescent="0.3">
      <c r="A2502" s="29" t="str">
        <f>Detalle_OC[[#This Row],[Centro]]&amp;Detalle_OC[[#This Row],[Nom Almacen]]&amp;Detalle_OC[[#This Row],[Material]]&amp;Detalle_OC[[#This Row],[Pedido]]&amp;Detalle_OC[[#This Row],[Posicion]]</f>
        <v>Bioenergía del Chira PlantaMontelima70086001451156536720</v>
      </c>
      <c r="B2502" t="s">
        <v>200</v>
      </c>
      <c r="C2502" t="s">
        <v>1213</v>
      </c>
      <c r="D2502" s="11">
        <v>45657</v>
      </c>
      <c r="E2502" t="s">
        <v>16</v>
      </c>
      <c r="F2502" t="s">
        <v>86</v>
      </c>
      <c r="G2502">
        <v>70086001</v>
      </c>
      <c r="H2502">
        <v>4511565367</v>
      </c>
      <c r="I2502">
        <v>20</v>
      </c>
      <c r="J2502" s="29">
        <v>1</v>
      </c>
      <c r="K2502" s="29" t="s">
        <v>147</v>
      </c>
      <c r="L2502" t="str">
        <f>IFERROR(VLOOKUP(Detalle_OC[[#This Row],[Centro]]&amp;Detalle_OC[[#This Row],[Nro Almacen]],Almacen!A:D,4,FALSE),"")</f>
        <v>Montelima</v>
      </c>
    </row>
    <row r="2503" spans="1:12" x14ac:dyDescent="0.3">
      <c r="A2503" s="29" t="str">
        <f>Detalle_OC[[#This Row],[Centro]]&amp;Detalle_OC[[#This Row],[Nom Almacen]]&amp;Detalle_OC[[#This Row],[Material]]&amp;Detalle_OC[[#This Row],[Pedido]]&amp;Detalle_OC[[#This Row],[Posicion]]</f>
        <v>Bioenergía del Chira PlantaMontelima70086002451156536730</v>
      </c>
      <c r="B2503" t="s">
        <v>200</v>
      </c>
      <c r="C2503" t="s">
        <v>1213</v>
      </c>
      <c r="D2503" s="11">
        <v>45657</v>
      </c>
      <c r="E2503" t="s">
        <v>16</v>
      </c>
      <c r="F2503" t="s">
        <v>86</v>
      </c>
      <c r="G2503">
        <v>70086002</v>
      </c>
      <c r="H2503">
        <v>4511565367</v>
      </c>
      <c r="I2503">
        <v>30</v>
      </c>
      <c r="J2503" s="29">
        <v>1</v>
      </c>
      <c r="K2503" s="29" t="s">
        <v>147</v>
      </c>
      <c r="L2503" t="str">
        <f>IFERROR(VLOOKUP(Detalle_OC[[#This Row],[Centro]]&amp;Detalle_OC[[#This Row],[Nro Almacen]],Almacen!A:D,4,FALSE),"")</f>
        <v>Montelima</v>
      </c>
    </row>
    <row r="2504" spans="1:12" x14ac:dyDescent="0.3">
      <c r="A2504" s="29" t="str">
        <f>Detalle_OC[[#This Row],[Centro]]&amp;Detalle_OC[[#This Row],[Nom Almacen]]&amp;Detalle_OC[[#This Row],[Material]]&amp;Detalle_OC[[#This Row],[Pedido]]&amp;Detalle_OC[[#This Row],[Posicion]]</f>
        <v>Bioenergía del Chira PlantaMontelima70086003451156536740</v>
      </c>
      <c r="B2504" t="s">
        <v>200</v>
      </c>
      <c r="C2504" t="s">
        <v>1213</v>
      </c>
      <c r="D2504" s="11">
        <v>45657</v>
      </c>
      <c r="E2504" t="s">
        <v>16</v>
      </c>
      <c r="F2504" t="s">
        <v>86</v>
      </c>
      <c r="G2504">
        <v>70086003</v>
      </c>
      <c r="H2504">
        <v>4511565367</v>
      </c>
      <c r="I2504">
        <v>40</v>
      </c>
      <c r="J2504" s="29">
        <v>1</v>
      </c>
      <c r="K2504" s="29" t="s">
        <v>147</v>
      </c>
      <c r="L2504" t="str">
        <f>IFERROR(VLOOKUP(Detalle_OC[[#This Row],[Centro]]&amp;Detalle_OC[[#This Row],[Nro Almacen]],Almacen!A:D,4,FALSE),"")</f>
        <v>Montelima</v>
      </c>
    </row>
    <row r="2505" spans="1:12" x14ac:dyDescent="0.3">
      <c r="A2505" s="29" t="str">
        <f>Detalle_OC[[#This Row],[Centro]]&amp;Detalle_OC[[#This Row],[Nom Almacen]]&amp;Detalle_OC[[#This Row],[Material]]&amp;Detalle_OC[[#This Row],[Pedido]]&amp;Detalle_OC[[#This Row],[Posicion]]</f>
        <v>Bioenergía del Chira PlantaMontelima70086004451156536750</v>
      </c>
      <c r="B2505" t="s">
        <v>200</v>
      </c>
      <c r="C2505" t="s">
        <v>1213</v>
      </c>
      <c r="D2505" s="11">
        <v>45657</v>
      </c>
      <c r="E2505" t="s">
        <v>16</v>
      </c>
      <c r="F2505" t="s">
        <v>86</v>
      </c>
      <c r="G2505">
        <v>70086004</v>
      </c>
      <c r="H2505">
        <v>4511565367</v>
      </c>
      <c r="I2505">
        <v>50</v>
      </c>
      <c r="J2505" s="29">
        <v>1</v>
      </c>
      <c r="K2505" s="29" t="s">
        <v>147</v>
      </c>
      <c r="L2505" t="str">
        <f>IFERROR(VLOOKUP(Detalle_OC[[#This Row],[Centro]]&amp;Detalle_OC[[#This Row],[Nro Almacen]],Almacen!A:D,4,FALSE),"")</f>
        <v>Montelima</v>
      </c>
    </row>
    <row r="2506" spans="1:12" x14ac:dyDescent="0.3">
      <c r="A2506" s="29" t="str">
        <f>Detalle_OC[[#This Row],[Centro]]&amp;Detalle_OC[[#This Row],[Nom Almacen]]&amp;Detalle_OC[[#This Row],[Material]]&amp;Detalle_OC[[#This Row],[Pedido]]&amp;Detalle_OC[[#This Row],[Posicion]]</f>
        <v>Bioenergía del Chira PlantaMontelima70086005451156536760</v>
      </c>
      <c r="B2506" t="s">
        <v>200</v>
      </c>
      <c r="C2506" t="s">
        <v>1213</v>
      </c>
      <c r="D2506" s="11">
        <v>45657</v>
      </c>
      <c r="E2506" t="s">
        <v>16</v>
      </c>
      <c r="F2506" t="s">
        <v>86</v>
      </c>
      <c r="G2506">
        <v>70086005</v>
      </c>
      <c r="H2506">
        <v>4511565367</v>
      </c>
      <c r="I2506">
        <v>60</v>
      </c>
      <c r="J2506" s="29">
        <v>1</v>
      </c>
      <c r="K2506" s="29" t="s">
        <v>147</v>
      </c>
      <c r="L2506" t="str">
        <f>IFERROR(VLOOKUP(Detalle_OC[[#This Row],[Centro]]&amp;Detalle_OC[[#This Row],[Nro Almacen]],Almacen!A:D,4,FALSE),"")</f>
        <v>Montelima</v>
      </c>
    </row>
    <row r="2507" spans="1:12" x14ac:dyDescent="0.3">
      <c r="A2507" s="29" t="str">
        <f>Detalle_OC[[#This Row],[Centro]]&amp;Detalle_OC[[#This Row],[Nom Almacen]]&amp;Detalle_OC[[#This Row],[Material]]&amp;Detalle_OC[[#This Row],[Pedido]]&amp;Detalle_OC[[#This Row],[Posicion]]</f>
        <v>Bioenergía del Chira PlantaMontelima70086069451156536770</v>
      </c>
      <c r="B2507" t="s">
        <v>200</v>
      </c>
      <c r="C2507" t="s">
        <v>1213</v>
      </c>
      <c r="D2507" s="11">
        <v>45657</v>
      </c>
      <c r="E2507" t="s">
        <v>16</v>
      </c>
      <c r="F2507" t="s">
        <v>86</v>
      </c>
      <c r="G2507">
        <v>70086069</v>
      </c>
      <c r="H2507">
        <v>4511565367</v>
      </c>
      <c r="I2507">
        <v>70</v>
      </c>
      <c r="J2507" s="29">
        <v>1</v>
      </c>
      <c r="K2507" s="29" t="s">
        <v>147</v>
      </c>
      <c r="L2507" t="str">
        <f>IFERROR(VLOOKUP(Detalle_OC[[#This Row],[Centro]]&amp;Detalle_OC[[#This Row],[Nro Almacen]],Almacen!A:D,4,FALSE),"")</f>
        <v>Montelima</v>
      </c>
    </row>
    <row r="2508" spans="1:12" x14ac:dyDescent="0.3">
      <c r="A2508" s="29" t="str">
        <f>Detalle_OC[[#This Row],[Centro]]&amp;Detalle_OC[[#This Row],[Nom Almacen]]&amp;Detalle_OC[[#This Row],[Material]]&amp;Detalle_OC[[#This Row],[Pedido]]&amp;Detalle_OC[[#This Row],[Posicion]]</f>
        <v>Bioenergía del Chira PlantaMontelima70086070451156536780</v>
      </c>
      <c r="B2508" t="s">
        <v>200</v>
      </c>
      <c r="C2508" t="s">
        <v>1213</v>
      </c>
      <c r="D2508" s="11">
        <v>45657</v>
      </c>
      <c r="E2508" t="s">
        <v>16</v>
      </c>
      <c r="F2508" t="s">
        <v>86</v>
      </c>
      <c r="G2508">
        <v>70086070</v>
      </c>
      <c r="H2508">
        <v>4511565367</v>
      </c>
      <c r="I2508">
        <v>80</v>
      </c>
      <c r="J2508" s="29">
        <v>1</v>
      </c>
      <c r="K2508" s="29" t="s">
        <v>147</v>
      </c>
      <c r="L2508" t="str">
        <f>IFERROR(VLOOKUP(Detalle_OC[[#This Row],[Centro]]&amp;Detalle_OC[[#This Row],[Nro Almacen]],Almacen!A:D,4,FALSE),"")</f>
        <v>Montelima</v>
      </c>
    </row>
    <row r="2509" spans="1:12" x14ac:dyDescent="0.3">
      <c r="A2509" s="29" t="str">
        <f>Detalle_OC[[#This Row],[Centro]]&amp;Detalle_OC[[#This Row],[Nom Almacen]]&amp;Detalle_OC[[#This Row],[Material]]&amp;Detalle_OC[[#This Row],[Pedido]]&amp;Detalle_OC[[#This Row],[Posicion]]</f>
        <v>Bioenergía del Chira PlantaMontelima70086071451156536790</v>
      </c>
      <c r="B2509" t="s">
        <v>200</v>
      </c>
      <c r="C2509" t="s">
        <v>1213</v>
      </c>
      <c r="D2509" s="11">
        <v>45657</v>
      </c>
      <c r="E2509" t="s">
        <v>16</v>
      </c>
      <c r="F2509" t="s">
        <v>86</v>
      </c>
      <c r="G2509">
        <v>70086071</v>
      </c>
      <c r="H2509">
        <v>4511565367</v>
      </c>
      <c r="I2509">
        <v>90</v>
      </c>
      <c r="J2509" s="29">
        <v>1</v>
      </c>
      <c r="K2509" s="29" t="s">
        <v>147</v>
      </c>
      <c r="L2509" t="str">
        <f>IFERROR(VLOOKUP(Detalle_OC[[#This Row],[Centro]]&amp;Detalle_OC[[#This Row],[Nro Almacen]],Almacen!A:D,4,FALSE),"")</f>
        <v>Montelima</v>
      </c>
    </row>
    <row r="2510" spans="1:12" x14ac:dyDescent="0.3">
      <c r="A2510" s="29" t="str">
        <f>Detalle_OC[[#This Row],[Centro]]&amp;Detalle_OC[[#This Row],[Nom Almacen]]&amp;Detalle_OC[[#This Row],[Material]]&amp;Detalle_OC[[#This Row],[Pedido]]&amp;Detalle_OC[[#This Row],[Posicion]]</f>
        <v>Bioenergía del Chira PlantaMontelima700860724511565367100</v>
      </c>
      <c r="B2510" t="s">
        <v>200</v>
      </c>
      <c r="C2510" t="s">
        <v>1213</v>
      </c>
      <c r="D2510" s="11">
        <v>45657</v>
      </c>
      <c r="E2510" t="s">
        <v>16</v>
      </c>
      <c r="F2510" t="s">
        <v>86</v>
      </c>
      <c r="G2510">
        <v>70086072</v>
      </c>
      <c r="H2510">
        <v>4511565367</v>
      </c>
      <c r="I2510">
        <v>100</v>
      </c>
      <c r="J2510" s="29">
        <v>1</v>
      </c>
      <c r="K2510" s="29" t="s">
        <v>147</v>
      </c>
      <c r="L2510" t="str">
        <f>IFERROR(VLOOKUP(Detalle_OC[[#This Row],[Centro]]&amp;Detalle_OC[[#This Row],[Nro Almacen]],Almacen!A:D,4,FALSE),"")</f>
        <v>Montelima</v>
      </c>
    </row>
    <row r="2511" spans="1:12" x14ac:dyDescent="0.3">
      <c r="A2511" s="29" t="str">
        <f>Detalle_OC[[#This Row],[Centro]]&amp;Detalle_OC[[#This Row],[Nom Almacen]]&amp;Detalle_OC[[#This Row],[Material]]&amp;Detalle_OC[[#This Row],[Pedido]]&amp;Detalle_OC[[#This Row],[Posicion]]</f>
        <v>Bioenergía del Chira PlantaMontelima700860774511565367110</v>
      </c>
      <c r="B2511" t="s">
        <v>200</v>
      </c>
      <c r="C2511" t="s">
        <v>1213</v>
      </c>
      <c r="D2511" s="11">
        <v>45657</v>
      </c>
      <c r="E2511" t="s">
        <v>16</v>
      </c>
      <c r="F2511" t="s">
        <v>86</v>
      </c>
      <c r="G2511">
        <v>70086077</v>
      </c>
      <c r="H2511">
        <v>4511565367</v>
      </c>
      <c r="I2511">
        <v>110</v>
      </c>
      <c r="J2511" s="29">
        <v>1</v>
      </c>
      <c r="K2511" s="29" t="s">
        <v>147</v>
      </c>
      <c r="L2511" t="str">
        <f>IFERROR(VLOOKUP(Detalle_OC[[#This Row],[Centro]]&amp;Detalle_OC[[#This Row],[Nro Almacen]],Almacen!A:D,4,FALSE),"")</f>
        <v>Montelima</v>
      </c>
    </row>
    <row r="2512" spans="1:12" x14ac:dyDescent="0.3">
      <c r="A2512" s="29" t="str">
        <f>Detalle_OC[[#This Row],[Centro]]&amp;Detalle_OC[[#This Row],[Nom Almacen]]&amp;Detalle_OC[[#This Row],[Material]]&amp;Detalle_OC[[#This Row],[Pedido]]&amp;Detalle_OC[[#This Row],[Posicion]]</f>
        <v>Bioenergía del Chira PlantaMontelima700860784511565367120</v>
      </c>
      <c r="B2512" t="s">
        <v>200</v>
      </c>
      <c r="C2512" t="s">
        <v>1213</v>
      </c>
      <c r="D2512" s="11">
        <v>45657</v>
      </c>
      <c r="E2512" t="s">
        <v>16</v>
      </c>
      <c r="F2512" t="s">
        <v>86</v>
      </c>
      <c r="G2512">
        <v>70086078</v>
      </c>
      <c r="H2512">
        <v>4511565367</v>
      </c>
      <c r="I2512">
        <v>120</v>
      </c>
      <c r="J2512" s="29">
        <v>1</v>
      </c>
      <c r="K2512" s="29" t="s">
        <v>147</v>
      </c>
      <c r="L2512" t="str">
        <f>IFERROR(VLOOKUP(Detalle_OC[[#This Row],[Centro]]&amp;Detalle_OC[[#This Row],[Nro Almacen]],Almacen!A:D,4,FALSE),"")</f>
        <v>Montelima</v>
      </c>
    </row>
    <row r="2513" spans="1:12" x14ac:dyDescent="0.3">
      <c r="A2513" s="29" t="str">
        <f>Detalle_OC[[#This Row],[Centro]]&amp;Detalle_OC[[#This Row],[Nom Almacen]]&amp;Detalle_OC[[#This Row],[Material]]&amp;Detalle_OC[[#This Row],[Pedido]]&amp;Detalle_OC[[#This Row],[Posicion]]</f>
        <v>Bioenergía del Chira PlantaMontelima700860794511565367130</v>
      </c>
      <c r="B2513" t="s">
        <v>200</v>
      </c>
      <c r="C2513" t="s">
        <v>1213</v>
      </c>
      <c r="D2513" s="11">
        <v>45657</v>
      </c>
      <c r="E2513" t="s">
        <v>16</v>
      </c>
      <c r="F2513" t="s">
        <v>86</v>
      </c>
      <c r="G2513">
        <v>70086079</v>
      </c>
      <c r="H2513">
        <v>4511565367</v>
      </c>
      <c r="I2513">
        <v>130</v>
      </c>
      <c r="J2513" s="29">
        <v>1</v>
      </c>
      <c r="K2513" s="29" t="s">
        <v>147</v>
      </c>
      <c r="L2513" t="str">
        <f>IFERROR(VLOOKUP(Detalle_OC[[#This Row],[Centro]]&amp;Detalle_OC[[#This Row],[Nro Almacen]],Almacen!A:D,4,FALSE),"")</f>
        <v>Montelima</v>
      </c>
    </row>
    <row r="2514" spans="1:12" x14ac:dyDescent="0.3">
      <c r="A2514" s="29" t="str">
        <f>Detalle_OC[[#This Row],[Centro]]&amp;Detalle_OC[[#This Row],[Nom Almacen]]&amp;Detalle_OC[[#This Row],[Material]]&amp;Detalle_OC[[#This Row],[Pedido]]&amp;Detalle_OC[[#This Row],[Posicion]]</f>
        <v>Bioenergía del Chira PlantaMontelima700860804511565367140</v>
      </c>
      <c r="B2514" t="s">
        <v>200</v>
      </c>
      <c r="C2514" t="s">
        <v>1213</v>
      </c>
      <c r="D2514" s="11">
        <v>45657</v>
      </c>
      <c r="E2514" t="s">
        <v>16</v>
      </c>
      <c r="F2514" t="s">
        <v>86</v>
      </c>
      <c r="G2514">
        <v>70086080</v>
      </c>
      <c r="H2514">
        <v>4511565367</v>
      </c>
      <c r="I2514">
        <v>140</v>
      </c>
      <c r="J2514" s="29">
        <v>1</v>
      </c>
      <c r="K2514" s="29" t="s">
        <v>147</v>
      </c>
      <c r="L2514" t="str">
        <f>IFERROR(VLOOKUP(Detalle_OC[[#This Row],[Centro]]&amp;Detalle_OC[[#This Row],[Nro Almacen]],Almacen!A:D,4,FALSE),"")</f>
        <v>Montelima</v>
      </c>
    </row>
    <row r="2515" spans="1:12" x14ac:dyDescent="0.3">
      <c r="A2515" s="29" t="str">
        <f>Detalle_OC[[#This Row],[Centro]]&amp;Detalle_OC[[#This Row],[Nom Almacen]]&amp;Detalle_OC[[#This Row],[Material]]&amp;Detalle_OC[[#This Row],[Pedido]]&amp;Detalle_OC[[#This Row],[Posicion]]</f>
        <v>Agricola del Chira PlantaMontelima800763451156542010</v>
      </c>
      <c r="B2515" t="s">
        <v>149</v>
      </c>
      <c r="C2515" t="s">
        <v>216</v>
      </c>
      <c r="D2515" s="11">
        <v>45586</v>
      </c>
      <c r="E2515" t="s">
        <v>16</v>
      </c>
      <c r="F2515" t="s">
        <v>12</v>
      </c>
      <c r="G2515">
        <v>800763</v>
      </c>
      <c r="H2515">
        <v>4511565420</v>
      </c>
      <c r="I2515">
        <v>10</v>
      </c>
      <c r="J2515" s="29">
        <v>1</v>
      </c>
      <c r="K2515" s="29" t="s">
        <v>147</v>
      </c>
      <c r="L2515" t="str">
        <f>IFERROR(VLOOKUP(Detalle_OC[[#This Row],[Centro]]&amp;Detalle_OC[[#This Row],[Nro Almacen]],Almacen!A:D,4,FALSE),"")</f>
        <v>Montelima</v>
      </c>
    </row>
    <row r="2516" spans="1:12" x14ac:dyDescent="0.3">
      <c r="A2516" s="29" t="str">
        <f>Detalle_OC[[#This Row],[Centro]]&amp;Detalle_OC[[#This Row],[Nom Almacen]]&amp;Detalle_OC[[#This Row],[Material]]&amp;Detalle_OC[[#This Row],[Pedido]]&amp;Detalle_OC[[#This Row],[Posicion]]</f>
        <v>Agricola del Chira PlantaMontelima818063451156542020</v>
      </c>
      <c r="B2516" t="s">
        <v>149</v>
      </c>
      <c r="C2516" t="s">
        <v>216</v>
      </c>
      <c r="D2516" s="11">
        <v>45586</v>
      </c>
      <c r="E2516" t="s">
        <v>16</v>
      </c>
      <c r="F2516" t="s">
        <v>12</v>
      </c>
      <c r="G2516">
        <v>818063</v>
      </c>
      <c r="H2516">
        <v>4511565420</v>
      </c>
      <c r="I2516">
        <v>20</v>
      </c>
      <c r="J2516" s="29">
        <v>1</v>
      </c>
      <c r="K2516" s="29" t="s">
        <v>147</v>
      </c>
      <c r="L2516" t="str">
        <f>IFERROR(VLOOKUP(Detalle_OC[[#This Row],[Centro]]&amp;Detalle_OC[[#This Row],[Nro Almacen]],Almacen!A:D,4,FALSE),"")</f>
        <v>Montelima</v>
      </c>
    </row>
    <row r="2517" spans="1:12" x14ac:dyDescent="0.3">
      <c r="A2517" s="29" t="str">
        <f>Detalle_OC[[#This Row],[Centro]]&amp;Detalle_OC[[#This Row],[Nom Almacen]]&amp;Detalle_OC[[#This Row],[Material]]&amp;Detalle_OC[[#This Row],[Pedido]]&amp;Detalle_OC[[#This Row],[Posicion]]</f>
        <v>Agricola del Chira PlantaMontelima865869451156542030</v>
      </c>
      <c r="B2517" t="s">
        <v>149</v>
      </c>
      <c r="C2517" t="s">
        <v>216</v>
      </c>
      <c r="D2517" s="11">
        <v>45625</v>
      </c>
      <c r="E2517" t="s">
        <v>16</v>
      </c>
      <c r="F2517" t="s">
        <v>12</v>
      </c>
      <c r="G2517">
        <v>865869</v>
      </c>
      <c r="H2517">
        <v>4511565420</v>
      </c>
      <c r="I2517">
        <v>30</v>
      </c>
      <c r="J2517" s="29">
        <v>1</v>
      </c>
      <c r="K2517" s="29" t="s">
        <v>147</v>
      </c>
      <c r="L2517" t="str">
        <f>IFERROR(VLOOKUP(Detalle_OC[[#This Row],[Centro]]&amp;Detalle_OC[[#This Row],[Nro Almacen]],Almacen!A:D,4,FALSE),"")</f>
        <v>Montelima</v>
      </c>
    </row>
    <row r="2518" spans="1:12" x14ac:dyDescent="0.3">
      <c r="A2518" s="29" t="str">
        <f>Detalle_OC[[#This Row],[Centro]]&amp;Detalle_OC[[#This Row],[Nom Almacen]]&amp;Detalle_OC[[#This Row],[Material]]&amp;Detalle_OC[[#This Row],[Pedido]]&amp;Detalle_OC[[#This Row],[Posicion]]</f>
        <v>Sucroalcolera del Chira PlantaMontelima70084357550002468220</v>
      </c>
      <c r="B2518" t="s">
        <v>28</v>
      </c>
      <c r="C2518" t="s">
        <v>84</v>
      </c>
      <c r="D2518" s="11">
        <v>45569</v>
      </c>
      <c r="E2518" t="s">
        <v>16</v>
      </c>
      <c r="F2518" t="s">
        <v>85</v>
      </c>
      <c r="G2518">
        <v>70084357</v>
      </c>
      <c r="H2518">
        <v>5500024682</v>
      </c>
      <c r="I2518">
        <v>20</v>
      </c>
      <c r="J2518" s="29">
        <v>1</v>
      </c>
      <c r="K2518" s="29" t="s">
        <v>147</v>
      </c>
      <c r="L2518" t="str">
        <f>IFERROR(VLOOKUP(Detalle_OC[[#This Row],[Centro]]&amp;Detalle_OC[[#This Row],[Nro Almacen]],Almacen!A:D,4,FALSE),"")</f>
        <v>Montelima</v>
      </c>
    </row>
    <row r="2519" spans="1:12" x14ac:dyDescent="0.3">
      <c r="A2519" s="29" t="str">
        <f>Detalle_OC[[#This Row],[Centro]]&amp;Detalle_OC[[#This Row],[Nom Almacen]]&amp;Detalle_OC[[#This Row],[Material]]&amp;Detalle_OC[[#This Row],[Pedido]]&amp;Detalle_OC[[#This Row],[Posicion]]</f>
        <v>Sucroalcolera del Chira PlantaMontelima70084360550002468240</v>
      </c>
      <c r="B2519" t="s">
        <v>28</v>
      </c>
      <c r="C2519" t="s">
        <v>84</v>
      </c>
      <c r="D2519" s="11">
        <v>45569</v>
      </c>
      <c r="E2519" t="s">
        <v>16</v>
      </c>
      <c r="F2519" t="s">
        <v>85</v>
      </c>
      <c r="G2519">
        <v>70084360</v>
      </c>
      <c r="H2519">
        <v>5500024682</v>
      </c>
      <c r="I2519">
        <v>40</v>
      </c>
      <c r="J2519" s="29">
        <v>1</v>
      </c>
      <c r="K2519" s="29" t="s">
        <v>147</v>
      </c>
      <c r="L2519" t="str">
        <f>IFERROR(VLOOKUP(Detalle_OC[[#This Row],[Centro]]&amp;Detalle_OC[[#This Row],[Nro Almacen]],Almacen!A:D,4,FALSE),"")</f>
        <v>Montelima</v>
      </c>
    </row>
    <row r="2520" spans="1:12" x14ac:dyDescent="0.3">
      <c r="A2520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2520" t="s">
        <v>28</v>
      </c>
      <c r="C2520" t="s">
        <v>54</v>
      </c>
      <c r="D2520" s="11">
        <v>45561</v>
      </c>
      <c r="E2520" t="s">
        <v>16</v>
      </c>
      <c r="F2520" t="s">
        <v>12</v>
      </c>
      <c r="G2520">
        <v>70100392</v>
      </c>
      <c r="H2520">
        <v>5500024751</v>
      </c>
      <c r="I2520">
        <v>20</v>
      </c>
      <c r="J2520" s="29">
        <v>2</v>
      </c>
      <c r="K2520" s="29" t="s">
        <v>147</v>
      </c>
      <c r="L2520" t="str">
        <f>IFERROR(VLOOKUP(Detalle_OC[[#This Row],[Centro]]&amp;Detalle_OC[[#This Row],[Nro Almacen]],Almacen!A:D,4,FALSE),"")</f>
        <v>La Huaca</v>
      </c>
    </row>
    <row r="2521" spans="1:12" x14ac:dyDescent="0.3">
      <c r="A2521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2521" t="s">
        <v>28</v>
      </c>
      <c r="C2521" t="s">
        <v>54</v>
      </c>
      <c r="D2521" s="11">
        <v>45561</v>
      </c>
      <c r="E2521" t="s">
        <v>16</v>
      </c>
      <c r="F2521" t="s">
        <v>12</v>
      </c>
      <c r="G2521">
        <v>70100392</v>
      </c>
      <c r="H2521">
        <v>5500024751</v>
      </c>
      <c r="I2521">
        <v>40</v>
      </c>
      <c r="J2521" s="29">
        <v>7</v>
      </c>
      <c r="K2521" s="29" t="s">
        <v>147</v>
      </c>
      <c r="L2521" t="str">
        <f>IFERROR(VLOOKUP(Detalle_OC[[#This Row],[Centro]]&amp;Detalle_OC[[#This Row],[Nro Almacen]],Almacen!A:D,4,FALSE),"")</f>
        <v>Almacen Lobo</v>
      </c>
    </row>
    <row r="2522" spans="1:12" x14ac:dyDescent="0.3">
      <c r="A2522" s="29" t="str">
        <f>Detalle_OC[[#This Row],[Centro]]&amp;Detalle_OC[[#This Row],[Nom Almacen]]&amp;Detalle_OC[[#This Row],[Material]]&amp;Detalle_OC[[#This Row],[Pedido]]&amp;Detalle_OC[[#This Row],[Posicion]]</f>
        <v>Agricola del Chira PlantaLa Huaca721426550002484410</v>
      </c>
      <c r="B2522" t="s">
        <v>28</v>
      </c>
      <c r="C2522" t="s">
        <v>88</v>
      </c>
      <c r="D2522" s="11">
        <v>45562</v>
      </c>
      <c r="E2522" t="s">
        <v>16</v>
      </c>
      <c r="F2522" t="s">
        <v>12</v>
      </c>
      <c r="G2522">
        <v>721426</v>
      </c>
      <c r="H2522">
        <v>5500024844</v>
      </c>
      <c r="I2522">
        <v>10</v>
      </c>
      <c r="J2522" s="29">
        <v>2</v>
      </c>
      <c r="K2522" s="29" t="s">
        <v>147</v>
      </c>
      <c r="L2522" t="str">
        <f>IFERROR(VLOOKUP(Detalle_OC[[#This Row],[Centro]]&amp;Detalle_OC[[#This Row],[Nro Almacen]],Almacen!A:D,4,FALSE),"")</f>
        <v>La Huaca</v>
      </c>
    </row>
    <row r="2523" spans="1:12" x14ac:dyDescent="0.3">
      <c r="A2523" s="29" t="str">
        <f>Detalle_OC[[#This Row],[Centro]]&amp;Detalle_OC[[#This Row],[Nom Almacen]]&amp;Detalle_OC[[#This Row],[Material]]&amp;Detalle_OC[[#This Row],[Pedido]]&amp;Detalle_OC[[#This Row],[Posicion]]</f>
        <v>Agricola del Chira PlantaMontelima884401451156525010</v>
      </c>
      <c r="B2523" t="s">
        <v>214</v>
      </c>
      <c r="C2523" t="s">
        <v>365</v>
      </c>
      <c r="D2523" s="11">
        <v>45639</v>
      </c>
      <c r="E2523" t="s">
        <v>16</v>
      </c>
      <c r="F2523" t="s">
        <v>12</v>
      </c>
      <c r="G2523">
        <v>884401</v>
      </c>
      <c r="H2523">
        <v>4511565250</v>
      </c>
      <c r="I2523">
        <v>10</v>
      </c>
      <c r="J2523" s="29">
        <v>1</v>
      </c>
      <c r="K2523" s="29" t="s">
        <v>152</v>
      </c>
      <c r="L2523" t="str">
        <f>IFERROR(VLOOKUP(Detalle_OC[[#This Row],[Centro]]&amp;Detalle_OC[[#This Row],[Nro Almacen]],Almacen!A:D,4,FALSE),"")</f>
        <v>Montelima</v>
      </c>
    </row>
    <row r="2524" spans="1:12" x14ac:dyDescent="0.3">
      <c r="A2524" s="29" t="str">
        <f>Detalle_OC[[#This Row],[Centro]]&amp;Detalle_OC[[#This Row],[Nom Almacen]]&amp;Detalle_OC[[#This Row],[Material]]&amp;Detalle_OC[[#This Row],[Pedido]]&amp;Detalle_OC[[#This Row],[Posicion]]</f>
        <v>Agricola del Chira PlantaLa Huaca884401451156525020</v>
      </c>
      <c r="B2524" t="s">
        <v>214</v>
      </c>
      <c r="C2524" t="s">
        <v>365</v>
      </c>
      <c r="D2524" s="11">
        <v>45639</v>
      </c>
      <c r="E2524" t="s">
        <v>16</v>
      </c>
      <c r="F2524" t="s">
        <v>12</v>
      </c>
      <c r="G2524">
        <v>884401</v>
      </c>
      <c r="H2524">
        <v>4511565250</v>
      </c>
      <c r="I2524">
        <v>20</v>
      </c>
      <c r="J2524" s="29">
        <v>2</v>
      </c>
      <c r="K2524" s="29" t="s">
        <v>152</v>
      </c>
      <c r="L2524" t="str">
        <f>IFERROR(VLOOKUP(Detalle_OC[[#This Row],[Centro]]&amp;Detalle_OC[[#This Row],[Nro Almacen]],Almacen!A:D,4,FALSE),"")</f>
        <v>La Huaca</v>
      </c>
    </row>
    <row r="2525" spans="1:12" x14ac:dyDescent="0.3">
      <c r="A2525" s="29" t="str">
        <f>Detalle_OC[[#This Row],[Centro]]&amp;Detalle_OC[[#This Row],[Nom Almacen]]&amp;Detalle_OC[[#This Row],[Material]]&amp;Detalle_OC[[#This Row],[Pedido]]&amp;Detalle_OC[[#This Row],[Posicion]]</f>
        <v>Sucroalcolera del Chira PlantaMontelima810904452009494810</v>
      </c>
      <c r="B2525" t="s">
        <v>138</v>
      </c>
      <c r="C2525" t="s">
        <v>1207</v>
      </c>
      <c r="D2525" s="11">
        <v>45632</v>
      </c>
      <c r="E2525" t="s">
        <v>16</v>
      </c>
      <c r="F2525" t="s">
        <v>85</v>
      </c>
      <c r="G2525">
        <v>810904</v>
      </c>
      <c r="H2525">
        <v>4520094948</v>
      </c>
      <c r="I2525">
        <v>10</v>
      </c>
      <c r="J2525" s="29">
        <v>1</v>
      </c>
      <c r="K2525" s="29" t="s">
        <v>152</v>
      </c>
      <c r="L2525" t="str">
        <f>IFERROR(VLOOKUP(Detalle_OC[[#This Row],[Centro]]&amp;Detalle_OC[[#This Row],[Nro Almacen]],Almacen!A:D,4,FALSE),"")</f>
        <v>Montelima</v>
      </c>
    </row>
    <row r="2526" spans="1:12" x14ac:dyDescent="0.3">
      <c r="A2526" s="29" t="str">
        <f>Detalle_OC[[#This Row],[Centro]]&amp;Detalle_OC[[#This Row],[Nom Almacen]]&amp;Detalle_OC[[#This Row],[Material]]&amp;Detalle_OC[[#This Row],[Pedido]]&amp;Detalle_OC[[#This Row],[Posicion]]</f>
        <v>Sucroalcolera del Chira PlantaMontelima810904452009494820</v>
      </c>
      <c r="B2526" t="s">
        <v>138</v>
      </c>
      <c r="C2526" t="s">
        <v>1207</v>
      </c>
      <c r="D2526" s="11">
        <v>45632</v>
      </c>
      <c r="E2526" t="s">
        <v>16</v>
      </c>
      <c r="F2526" t="s">
        <v>85</v>
      </c>
      <c r="G2526">
        <v>810904</v>
      </c>
      <c r="H2526">
        <v>4520094948</v>
      </c>
      <c r="I2526">
        <v>20</v>
      </c>
      <c r="J2526" s="29">
        <v>1</v>
      </c>
      <c r="K2526" s="29" t="s">
        <v>152</v>
      </c>
      <c r="L2526" t="str">
        <f>IFERROR(VLOOKUP(Detalle_OC[[#This Row],[Centro]]&amp;Detalle_OC[[#This Row],[Nro Almacen]],Almacen!A:D,4,FALSE),"")</f>
        <v>Montelima</v>
      </c>
    </row>
    <row r="2527" spans="1:12" x14ac:dyDescent="0.3">
      <c r="A2527" s="29" t="str">
        <f>Detalle_OC[[#This Row],[Centro]]&amp;Detalle_OC[[#This Row],[Nom Almacen]]&amp;Detalle_OC[[#This Row],[Material]]&amp;Detalle_OC[[#This Row],[Pedido]]&amp;Detalle_OC[[#This Row],[Posicion]]</f>
        <v>Sucroalcolera del Chira PlantaMontelima813224550002233650</v>
      </c>
      <c r="B2527" t="s">
        <v>28</v>
      </c>
      <c r="C2527" t="s">
        <v>84</v>
      </c>
      <c r="D2527" s="11">
        <v>45569</v>
      </c>
      <c r="E2527" t="s">
        <v>16</v>
      </c>
      <c r="F2527" t="s">
        <v>85</v>
      </c>
      <c r="G2527">
        <v>813224</v>
      </c>
      <c r="H2527">
        <v>5500022336</v>
      </c>
      <c r="I2527">
        <v>50</v>
      </c>
      <c r="J2527" s="29">
        <v>1</v>
      </c>
      <c r="K2527" s="29" t="s">
        <v>152</v>
      </c>
      <c r="L2527" t="str">
        <f>IFERROR(VLOOKUP(Detalle_OC[[#This Row],[Centro]]&amp;Detalle_OC[[#This Row],[Nro Almacen]],Almacen!A:D,4,FALSE),"")</f>
        <v>Montelima</v>
      </c>
    </row>
    <row r="2528" spans="1:12" x14ac:dyDescent="0.3">
      <c r="A2528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2528" t="s">
        <v>28</v>
      </c>
      <c r="C2528" t="s">
        <v>94</v>
      </c>
      <c r="D2528" s="11">
        <v>45561</v>
      </c>
      <c r="E2528" t="s">
        <v>16</v>
      </c>
      <c r="F2528" t="s">
        <v>85</v>
      </c>
      <c r="G2528" t="s">
        <v>95</v>
      </c>
      <c r="H2528">
        <v>5500024746</v>
      </c>
      <c r="I2528">
        <v>10</v>
      </c>
      <c r="J2528" s="29">
        <v>1</v>
      </c>
      <c r="K2528" s="29" t="s">
        <v>152</v>
      </c>
      <c r="L2528" t="str">
        <f>IFERROR(VLOOKUP(Detalle_OC[[#This Row],[Centro]]&amp;Detalle_OC[[#This Row],[Nro Almacen]],Almacen!A:D,4,FALSE),"")</f>
        <v>Montelima</v>
      </c>
    </row>
    <row r="2529" spans="1:12" x14ac:dyDescent="0.3">
      <c r="A2529" s="29" t="str">
        <f>Detalle_OC[[#This Row],[Centro]]&amp;Detalle_OC[[#This Row],[Nom Almacen]]&amp;Detalle_OC[[#This Row],[Material]]&amp;Detalle_OC[[#This Row],[Pedido]]&amp;Detalle_OC[[#This Row],[Posicion]]</f>
        <v>Agricola del Chira PlantaSan Vicente70100392550002475130</v>
      </c>
      <c r="B2529" t="s">
        <v>28</v>
      </c>
      <c r="C2529" t="s">
        <v>54</v>
      </c>
      <c r="D2529" s="11">
        <v>45561</v>
      </c>
      <c r="E2529" t="s">
        <v>16</v>
      </c>
      <c r="F2529" t="s">
        <v>12</v>
      </c>
      <c r="G2529">
        <v>70100392</v>
      </c>
      <c r="H2529">
        <v>5500024751</v>
      </c>
      <c r="I2529">
        <v>30</v>
      </c>
      <c r="J2529" s="29">
        <v>3</v>
      </c>
      <c r="K2529" s="29" t="s">
        <v>152</v>
      </c>
      <c r="L2529" t="str">
        <f>IFERROR(VLOOKUP(Detalle_OC[[#This Row],[Centro]]&amp;Detalle_OC[[#This Row],[Nro Almacen]],Almacen!A:D,4,FALSE),"")</f>
        <v>San Vicente</v>
      </c>
    </row>
    <row r="2530" spans="1:12" x14ac:dyDescent="0.3">
      <c r="A2530" s="29" t="str">
        <f>Detalle_OC[[#This Row],[Centro]]&amp;Detalle_OC[[#This Row],[Nom Almacen]]&amp;Detalle_OC[[#This Row],[Material]]&amp;Detalle_OC[[#This Row],[Pedido]]&amp;Detalle_OC[[#This Row],[Posicion]]</f>
        <v>Agricola del Chira PlantaAlmacen Lobo70058000550002488130</v>
      </c>
      <c r="B2530" t="s">
        <v>28</v>
      </c>
      <c r="C2530" t="s">
        <v>52</v>
      </c>
      <c r="D2530" s="11">
        <v>45560</v>
      </c>
      <c r="E2530" t="s">
        <v>16</v>
      </c>
      <c r="F2530" t="s">
        <v>12</v>
      </c>
      <c r="G2530">
        <v>70058000</v>
      </c>
      <c r="H2530">
        <v>5500024881</v>
      </c>
      <c r="I2530">
        <v>30</v>
      </c>
      <c r="J2530" s="29">
        <v>7</v>
      </c>
      <c r="K2530" s="29" t="s">
        <v>152</v>
      </c>
      <c r="L2530" t="str">
        <f>IFERROR(VLOOKUP(Detalle_OC[[#This Row],[Centro]]&amp;Detalle_OC[[#This Row],[Nro Almacen]],Almacen!A:D,4,FALSE),"")</f>
        <v>Almacen Lobo</v>
      </c>
    </row>
    <row r="2531" spans="1:12" x14ac:dyDescent="0.3">
      <c r="A2531" s="29" t="str">
        <f>Detalle_OC[[#This Row],[Centro]]&amp;Detalle_OC[[#This Row],[Nom Almacen]]&amp;Detalle_OC[[#This Row],[Material]]&amp;Detalle_OC[[#This Row],[Pedido]]&amp;Detalle_OC[[#This Row],[Posicion]]</f>
        <v>Agricola del Chira PlantaAlmacen Lobo70050498550002488160</v>
      </c>
      <c r="B2531" t="s">
        <v>28</v>
      </c>
      <c r="C2531" t="s">
        <v>52</v>
      </c>
      <c r="D2531" s="11">
        <v>45560</v>
      </c>
      <c r="E2531" t="s">
        <v>16</v>
      </c>
      <c r="F2531" t="s">
        <v>12</v>
      </c>
      <c r="G2531">
        <v>70050498</v>
      </c>
      <c r="H2531">
        <v>5500024881</v>
      </c>
      <c r="I2531">
        <v>60</v>
      </c>
      <c r="J2531" s="29">
        <v>7</v>
      </c>
      <c r="K2531" s="29" t="s">
        <v>152</v>
      </c>
      <c r="L2531" t="str">
        <f>IFERROR(VLOOKUP(Detalle_OC[[#This Row],[Centro]]&amp;Detalle_OC[[#This Row],[Nro Almacen]],Almacen!A:D,4,FALSE),"")</f>
        <v>Almacen Lobo</v>
      </c>
    </row>
    <row r="2532" spans="1:12" x14ac:dyDescent="0.3">
      <c r="A2532" s="29" t="str">
        <f>Detalle_OC[[#This Row],[Centro]]&amp;Detalle_OC[[#This Row],[Nom Almacen]]&amp;Detalle_OC[[#This Row],[Material]]&amp;Detalle_OC[[#This Row],[Pedido]]&amp;Detalle_OC[[#This Row],[Posicion]]</f>
        <v>Agricola del Chira PlantaAlmacen Lobo70050498550002488160</v>
      </c>
      <c r="B2532" t="s">
        <v>28</v>
      </c>
      <c r="C2532" t="s">
        <v>52</v>
      </c>
      <c r="D2532" s="11">
        <v>45579</v>
      </c>
      <c r="E2532" t="s">
        <v>16</v>
      </c>
      <c r="F2532" t="s">
        <v>12</v>
      </c>
      <c r="G2532">
        <v>70050498</v>
      </c>
      <c r="H2532">
        <v>5500024881</v>
      </c>
      <c r="I2532">
        <v>60</v>
      </c>
      <c r="J2532" s="29">
        <v>7</v>
      </c>
      <c r="K2532" s="29" t="s">
        <v>152</v>
      </c>
      <c r="L2532" t="str">
        <f>IFERROR(VLOOKUP(Detalle_OC[[#This Row],[Centro]]&amp;Detalle_OC[[#This Row],[Nro Almacen]],Almacen!A:D,4,FALSE),"")</f>
        <v>Almacen Lobo</v>
      </c>
    </row>
    <row r="2533" spans="1:12" x14ac:dyDescent="0.3">
      <c r="A2533" s="29" t="str">
        <f>Detalle_OC[[#This Row],[Centro]]&amp;Detalle_OC[[#This Row],[Nom Almacen]]&amp;Detalle_OC[[#This Row],[Material]]&amp;Detalle_OC[[#This Row],[Pedido]]&amp;Detalle_OC[[#This Row],[Posicion]]</f>
        <v>Agricola del Chira PlantaMontelima700580015500024881160</v>
      </c>
      <c r="B2533" t="s">
        <v>28</v>
      </c>
      <c r="C2533" t="s">
        <v>52</v>
      </c>
      <c r="D2533" s="11">
        <v>45561</v>
      </c>
      <c r="E2533" t="s">
        <v>16</v>
      </c>
      <c r="F2533" t="s">
        <v>12</v>
      </c>
      <c r="G2533">
        <v>70058001</v>
      </c>
      <c r="H2533">
        <v>5500024881</v>
      </c>
      <c r="I2533">
        <v>160</v>
      </c>
      <c r="J2533" s="29">
        <v>1</v>
      </c>
      <c r="K2533" s="29" t="s">
        <v>152</v>
      </c>
      <c r="L2533" t="str">
        <f>IFERROR(VLOOKUP(Detalle_OC[[#This Row],[Centro]]&amp;Detalle_OC[[#This Row],[Nro Almacen]],Almacen!A:D,4,FALSE),"")</f>
        <v>Montelima</v>
      </c>
    </row>
    <row r="2534" spans="1:12" x14ac:dyDescent="0.3">
      <c r="A2534" s="29" t="str">
        <f>Detalle_OC[[#This Row],[Centro]]&amp;Detalle_OC[[#This Row],[Nom Almacen]]&amp;Detalle_OC[[#This Row],[Material]]&amp;Detalle_OC[[#This Row],[Pedido]]&amp;Detalle_OC[[#This Row],[Posicion]]</f>
        <v>Agricola del Chira PlantaAlmacen Lobo700580015500024881180</v>
      </c>
      <c r="B2534" t="s">
        <v>28</v>
      </c>
      <c r="C2534" t="s">
        <v>52</v>
      </c>
      <c r="D2534" s="11">
        <v>45560</v>
      </c>
      <c r="E2534" t="s">
        <v>16</v>
      </c>
      <c r="F2534" t="s">
        <v>12</v>
      </c>
      <c r="G2534">
        <v>70058001</v>
      </c>
      <c r="H2534">
        <v>5500024881</v>
      </c>
      <c r="I2534">
        <v>180</v>
      </c>
      <c r="J2534" s="29">
        <v>7</v>
      </c>
      <c r="K2534" s="29" t="s">
        <v>152</v>
      </c>
      <c r="L2534" t="str">
        <f>IFERROR(VLOOKUP(Detalle_OC[[#This Row],[Centro]]&amp;Detalle_OC[[#This Row],[Nro Almacen]],Almacen!A:D,4,FALSE),"")</f>
        <v>Almacen Lobo</v>
      </c>
    </row>
    <row r="2535" spans="1:12" x14ac:dyDescent="0.3">
      <c r="A2535" s="29" t="str">
        <f>Detalle_OC[[#This Row],[Centro]]&amp;Detalle_OC[[#This Row],[Nom Almacen]]&amp;Detalle_OC[[#This Row],[Material]]&amp;Detalle_OC[[#This Row],[Pedido]]&amp;Detalle_OC[[#This Row],[Posicion]]</f>
        <v>Agricola del Chira PlantaAlmacen Lobo700657865500024881220</v>
      </c>
      <c r="B2535" t="s">
        <v>28</v>
      </c>
      <c r="C2535" t="s">
        <v>52</v>
      </c>
      <c r="D2535" s="11">
        <v>45560</v>
      </c>
      <c r="E2535" t="s">
        <v>16</v>
      </c>
      <c r="F2535" t="s">
        <v>12</v>
      </c>
      <c r="G2535">
        <v>70065786</v>
      </c>
      <c r="H2535">
        <v>5500024881</v>
      </c>
      <c r="I2535">
        <v>220</v>
      </c>
      <c r="J2535" s="29">
        <v>7</v>
      </c>
      <c r="K2535" s="29" t="s">
        <v>152</v>
      </c>
      <c r="L2535" t="str">
        <f>IFERROR(VLOOKUP(Detalle_OC[[#This Row],[Centro]]&amp;Detalle_OC[[#This Row],[Nro Almacen]],Almacen!A:D,4,FALSE),"")</f>
        <v>Almacen Lobo</v>
      </c>
    </row>
    <row r="2536" spans="1:12" x14ac:dyDescent="0.3">
      <c r="A2536" s="29" t="str">
        <f>Detalle_OC[[#This Row],[Centro]]&amp;Detalle_OC[[#This Row],[Nom Almacen]]&amp;Detalle_OC[[#This Row],[Material]]&amp;Detalle_OC[[#This Row],[Pedido]]&amp;Detalle_OC[[#This Row],[Posicion]]</f>
        <v>Bioenergía del Chira PlantaMontelima852739451156516210</v>
      </c>
      <c r="B2536" t="s">
        <v>180</v>
      </c>
      <c r="C2536" t="s">
        <v>240</v>
      </c>
      <c r="D2536" s="11">
        <v>45632</v>
      </c>
      <c r="E2536" t="s">
        <v>16</v>
      </c>
      <c r="F2536" t="s">
        <v>86</v>
      </c>
      <c r="G2536">
        <v>852739</v>
      </c>
      <c r="H2536">
        <v>4511565162</v>
      </c>
      <c r="I2536">
        <v>10</v>
      </c>
      <c r="J2536" s="29">
        <v>1</v>
      </c>
      <c r="K2536" s="29" t="s">
        <v>162</v>
      </c>
      <c r="L2536" t="str">
        <f>IFERROR(VLOOKUP(Detalle_OC[[#This Row],[Centro]]&amp;Detalle_OC[[#This Row],[Nro Almacen]],Almacen!A:D,4,FALSE),"")</f>
        <v>Montelima</v>
      </c>
    </row>
    <row r="2537" spans="1:12" x14ac:dyDescent="0.3">
      <c r="A2537" s="29" t="str">
        <f>Detalle_OC[[#This Row],[Centro]]&amp;Detalle_OC[[#This Row],[Nom Almacen]]&amp;Detalle_OC[[#This Row],[Material]]&amp;Detalle_OC[[#This Row],[Pedido]]&amp;Detalle_OC[[#This Row],[Posicion]]</f>
        <v>Bioenergía del Chira PlantaMontelima70004418451156516220</v>
      </c>
      <c r="B2537" t="s">
        <v>180</v>
      </c>
      <c r="C2537" t="s">
        <v>240</v>
      </c>
      <c r="D2537" s="11">
        <v>45632</v>
      </c>
      <c r="E2537" t="s">
        <v>16</v>
      </c>
      <c r="F2537" t="s">
        <v>86</v>
      </c>
      <c r="G2537">
        <v>70004418</v>
      </c>
      <c r="H2537">
        <v>4511565162</v>
      </c>
      <c r="I2537">
        <v>20</v>
      </c>
      <c r="J2537" s="29">
        <v>1</v>
      </c>
      <c r="K2537" s="29" t="s">
        <v>162</v>
      </c>
      <c r="L2537" t="str">
        <f>IFERROR(VLOOKUP(Detalle_OC[[#This Row],[Centro]]&amp;Detalle_OC[[#This Row],[Nro Almacen]],Almacen!A:D,4,FALSE),"")</f>
        <v>Montelima</v>
      </c>
    </row>
    <row r="2538" spans="1:12" x14ac:dyDescent="0.3">
      <c r="A2538" s="29" t="str">
        <f>Detalle_OC[[#This Row],[Centro]]&amp;Detalle_OC[[#This Row],[Nom Almacen]]&amp;Detalle_OC[[#This Row],[Material]]&amp;Detalle_OC[[#This Row],[Pedido]]&amp;Detalle_OC[[#This Row],[Posicion]]</f>
        <v>Bioenergía del Chira PlantaMontelima890399451156516230</v>
      </c>
      <c r="B2538" t="s">
        <v>180</v>
      </c>
      <c r="C2538" t="s">
        <v>240</v>
      </c>
      <c r="D2538" s="11">
        <v>45635</v>
      </c>
      <c r="E2538" t="s">
        <v>16</v>
      </c>
      <c r="F2538" t="s">
        <v>86</v>
      </c>
      <c r="G2538">
        <v>890399</v>
      </c>
      <c r="H2538">
        <v>4511565162</v>
      </c>
      <c r="I2538">
        <v>30</v>
      </c>
      <c r="J2538" s="29">
        <v>1</v>
      </c>
      <c r="K2538" s="29" t="s">
        <v>162</v>
      </c>
      <c r="L2538" t="str">
        <f>IFERROR(VLOOKUP(Detalle_OC[[#This Row],[Centro]]&amp;Detalle_OC[[#This Row],[Nro Almacen]],Almacen!A:D,4,FALSE),"")</f>
        <v>Montelima</v>
      </c>
    </row>
    <row r="2539" spans="1:12" x14ac:dyDescent="0.3">
      <c r="A2539" s="29" t="str">
        <f>Detalle_OC[[#This Row],[Centro]]&amp;Detalle_OC[[#This Row],[Nom Almacen]]&amp;Detalle_OC[[#This Row],[Material]]&amp;Detalle_OC[[#This Row],[Pedido]]&amp;Detalle_OC[[#This Row],[Posicion]]</f>
        <v>Agricola del Chira PlantaMontelima70133686451156518210</v>
      </c>
      <c r="B2539" t="s">
        <v>258</v>
      </c>
      <c r="C2539" t="s">
        <v>435</v>
      </c>
      <c r="D2539" s="11">
        <v>45637</v>
      </c>
      <c r="E2539" t="s">
        <v>51</v>
      </c>
      <c r="F2539" t="s">
        <v>12</v>
      </c>
      <c r="G2539">
        <v>70133686</v>
      </c>
      <c r="H2539">
        <v>4511565182</v>
      </c>
      <c r="I2539">
        <v>10</v>
      </c>
      <c r="J2539" s="29">
        <v>1</v>
      </c>
      <c r="K2539" s="29" t="s">
        <v>162</v>
      </c>
      <c r="L2539" t="str">
        <f>IFERROR(VLOOKUP(Detalle_OC[[#This Row],[Centro]]&amp;Detalle_OC[[#This Row],[Nro Almacen]],Almacen!A:D,4,FALSE),"")</f>
        <v>Montelima</v>
      </c>
    </row>
    <row r="2540" spans="1:12" x14ac:dyDescent="0.3">
      <c r="A2540" s="29" t="str">
        <f>Detalle_OC[[#This Row],[Centro]]&amp;Detalle_OC[[#This Row],[Nom Almacen]]&amp;Detalle_OC[[#This Row],[Material]]&amp;Detalle_OC[[#This Row],[Pedido]]&amp;Detalle_OC[[#This Row],[Posicion]]</f>
        <v>Agricola del Chira PlantaMontelima70133389451156518810</v>
      </c>
      <c r="B2540" t="s">
        <v>188</v>
      </c>
      <c r="C2540" t="s">
        <v>216</v>
      </c>
      <c r="D2540" s="11">
        <v>45625</v>
      </c>
      <c r="E2540" t="s">
        <v>16</v>
      </c>
      <c r="F2540" t="s">
        <v>12</v>
      </c>
      <c r="G2540">
        <v>70133389</v>
      </c>
      <c r="H2540">
        <v>4511565188</v>
      </c>
      <c r="I2540">
        <v>10</v>
      </c>
      <c r="J2540" s="29">
        <v>1</v>
      </c>
      <c r="K2540" s="29" t="s">
        <v>162</v>
      </c>
      <c r="L2540" t="str">
        <f>IFERROR(VLOOKUP(Detalle_OC[[#This Row],[Centro]]&amp;Detalle_OC[[#This Row],[Nro Almacen]],Almacen!A:D,4,FALSE),"")</f>
        <v>Montelima</v>
      </c>
    </row>
    <row r="2541" spans="1:12" x14ac:dyDescent="0.3">
      <c r="A2541" s="29" t="str">
        <f>Detalle_OC[[#This Row],[Centro]]&amp;Detalle_OC[[#This Row],[Nom Almacen]]&amp;Detalle_OC[[#This Row],[Material]]&amp;Detalle_OC[[#This Row],[Pedido]]&amp;Detalle_OC[[#This Row],[Posicion]]</f>
        <v>Agricola del Chira PlantaMontelima70133390451156518820</v>
      </c>
      <c r="B2541" t="s">
        <v>188</v>
      </c>
      <c r="C2541" t="s">
        <v>216</v>
      </c>
      <c r="D2541" s="11">
        <v>45625</v>
      </c>
      <c r="E2541" t="s">
        <v>16</v>
      </c>
      <c r="F2541" t="s">
        <v>12</v>
      </c>
      <c r="G2541">
        <v>70133390</v>
      </c>
      <c r="H2541">
        <v>4511565188</v>
      </c>
      <c r="I2541">
        <v>20</v>
      </c>
      <c r="J2541" s="29">
        <v>1</v>
      </c>
      <c r="K2541" s="29" t="s">
        <v>162</v>
      </c>
      <c r="L2541" t="str">
        <f>IFERROR(VLOOKUP(Detalle_OC[[#This Row],[Centro]]&amp;Detalle_OC[[#This Row],[Nro Almacen]],Almacen!A:D,4,FALSE),"")</f>
        <v>Montelima</v>
      </c>
    </row>
    <row r="2542" spans="1:12" x14ac:dyDescent="0.3">
      <c r="A2542" s="29" t="str">
        <f>Detalle_OC[[#This Row],[Centro]]&amp;Detalle_OC[[#This Row],[Nom Almacen]]&amp;Detalle_OC[[#This Row],[Material]]&amp;Detalle_OC[[#This Row],[Pedido]]&amp;Detalle_OC[[#This Row],[Posicion]]</f>
        <v>Agricola del Chira PlantaMontelima70042066452009494210</v>
      </c>
      <c r="B2542" t="s">
        <v>258</v>
      </c>
      <c r="C2542" t="s">
        <v>1208</v>
      </c>
      <c r="D2542" s="11">
        <v>45632</v>
      </c>
      <c r="E2542" t="s">
        <v>51</v>
      </c>
      <c r="F2542" t="s">
        <v>12</v>
      </c>
      <c r="G2542">
        <v>70042066</v>
      </c>
      <c r="H2542">
        <v>4520094942</v>
      </c>
      <c r="I2542">
        <v>10</v>
      </c>
      <c r="J2542" s="29">
        <v>1</v>
      </c>
      <c r="K2542" s="29" t="s">
        <v>162</v>
      </c>
      <c r="L2542" t="str">
        <f>IFERROR(VLOOKUP(Detalle_OC[[#This Row],[Centro]]&amp;Detalle_OC[[#This Row],[Nro Almacen]],Almacen!A:D,4,FALSE),"")</f>
        <v>Montelima</v>
      </c>
    </row>
    <row r="2543" spans="1:12" x14ac:dyDescent="0.3">
      <c r="A2543" s="29" t="str">
        <f>Detalle_OC[[#This Row],[Centro]]&amp;Detalle_OC[[#This Row],[Nom Almacen]]&amp;Detalle_OC[[#This Row],[Material]]&amp;Detalle_OC[[#This Row],[Pedido]]&amp;Detalle_OC[[#This Row],[Posicion]]</f>
        <v>Agricola del Chira PlantaMontelima738330550001918820</v>
      </c>
      <c r="B2543" t="s">
        <v>28</v>
      </c>
      <c r="C2543" t="s">
        <v>82</v>
      </c>
      <c r="D2543" s="11">
        <v>45560</v>
      </c>
      <c r="E2543" t="s">
        <v>16</v>
      </c>
      <c r="F2543" t="s">
        <v>12</v>
      </c>
      <c r="G2543">
        <v>738330</v>
      </c>
      <c r="H2543">
        <v>5500019188</v>
      </c>
      <c r="I2543">
        <v>20</v>
      </c>
      <c r="J2543" s="29">
        <v>1</v>
      </c>
      <c r="K2543" s="29" t="s">
        <v>162</v>
      </c>
      <c r="L2543" t="str">
        <f>IFERROR(VLOOKUP(Detalle_OC[[#This Row],[Centro]]&amp;Detalle_OC[[#This Row],[Nro Almacen]],Almacen!A:D,4,FALSE),"")</f>
        <v>Montelima</v>
      </c>
    </row>
    <row r="2544" spans="1:12" x14ac:dyDescent="0.3">
      <c r="A2544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2544" t="s">
        <v>28</v>
      </c>
      <c r="C2544" t="s">
        <v>82</v>
      </c>
      <c r="D2544" s="11">
        <v>45560</v>
      </c>
      <c r="E2544" t="s">
        <v>16</v>
      </c>
      <c r="F2544" t="s">
        <v>12</v>
      </c>
      <c r="G2544">
        <v>844523</v>
      </c>
      <c r="H2544">
        <v>5500019188</v>
      </c>
      <c r="I2544">
        <v>140</v>
      </c>
      <c r="J2544" s="29">
        <v>1</v>
      </c>
      <c r="K2544" s="29" t="s">
        <v>162</v>
      </c>
      <c r="L2544" t="str">
        <f>IFERROR(VLOOKUP(Detalle_OC[[#This Row],[Centro]]&amp;Detalle_OC[[#This Row],[Nro Almacen]],Almacen!A:D,4,FALSE),"")</f>
        <v>Montelima</v>
      </c>
    </row>
    <row r="2545" spans="1:12" x14ac:dyDescent="0.3">
      <c r="A2545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2545" t="s">
        <v>28</v>
      </c>
      <c r="C2545" t="s">
        <v>82</v>
      </c>
      <c r="D2545" s="11">
        <v>45560</v>
      </c>
      <c r="E2545" t="s">
        <v>16</v>
      </c>
      <c r="F2545" t="s">
        <v>12</v>
      </c>
      <c r="G2545">
        <v>844522</v>
      </c>
      <c r="H2545">
        <v>5500019188</v>
      </c>
      <c r="I2545">
        <v>150</v>
      </c>
      <c r="J2545" s="29">
        <v>1</v>
      </c>
      <c r="K2545" s="29" t="s">
        <v>162</v>
      </c>
      <c r="L2545" t="str">
        <f>IFERROR(VLOOKUP(Detalle_OC[[#This Row],[Centro]]&amp;Detalle_OC[[#This Row],[Nro Almacen]],Almacen!A:D,4,FALSE),"")</f>
        <v>Montelima</v>
      </c>
    </row>
    <row r="2546" spans="1:12" x14ac:dyDescent="0.3">
      <c r="A2546" s="29" t="str">
        <f>Detalle_OC[[#This Row],[Centro]]&amp;Detalle_OC[[#This Row],[Nom Almacen]]&amp;Detalle_OC[[#This Row],[Material]]&amp;Detalle_OC[[#This Row],[Pedido]]&amp;Detalle_OC[[#This Row],[Posicion]]</f>
        <v>Agricola del Chira PlantaMontelima8445335500019188170</v>
      </c>
      <c r="B2546" t="s">
        <v>28</v>
      </c>
      <c r="C2546" t="s">
        <v>82</v>
      </c>
      <c r="D2546" s="11">
        <v>45560</v>
      </c>
      <c r="E2546" t="s">
        <v>16</v>
      </c>
      <c r="F2546" t="s">
        <v>12</v>
      </c>
      <c r="G2546">
        <v>844533</v>
      </c>
      <c r="H2546">
        <v>5500019188</v>
      </c>
      <c r="I2546">
        <v>170</v>
      </c>
      <c r="J2546" s="29">
        <v>1</v>
      </c>
      <c r="K2546" s="29" t="s">
        <v>162</v>
      </c>
      <c r="L2546" t="str">
        <f>IFERROR(VLOOKUP(Detalle_OC[[#This Row],[Centro]]&amp;Detalle_OC[[#This Row],[Nro Almacen]],Almacen!A:D,4,FALSE),"")</f>
        <v>Montelima</v>
      </c>
    </row>
    <row r="2547" spans="1:12" x14ac:dyDescent="0.3">
      <c r="A2547" s="29" t="str">
        <f>Detalle_OC[[#This Row],[Centro]]&amp;Detalle_OC[[#This Row],[Nom Almacen]]&amp;Detalle_OC[[#This Row],[Material]]&amp;Detalle_OC[[#This Row],[Pedido]]&amp;Detalle_OC[[#This Row],[Posicion]]</f>
        <v>Agricola del Chira PlantaMontelima8445115500019188180</v>
      </c>
      <c r="B2547" t="s">
        <v>28</v>
      </c>
      <c r="C2547" t="s">
        <v>82</v>
      </c>
      <c r="D2547" s="11">
        <v>45560</v>
      </c>
      <c r="E2547" t="s">
        <v>16</v>
      </c>
      <c r="F2547" t="s">
        <v>12</v>
      </c>
      <c r="G2547">
        <v>844511</v>
      </c>
      <c r="H2547">
        <v>5500019188</v>
      </c>
      <c r="I2547">
        <v>180</v>
      </c>
      <c r="J2547" s="29">
        <v>1</v>
      </c>
      <c r="K2547" s="29" t="s">
        <v>162</v>
      </c>
      <c r="L2547" t="str">
        <f>IFERROR(VLOOKUP(Detalle_OC[[#This Row],[Centro]]&amp;Detalle_OC[[#This Row],[Nro Almacen]],Almacen!A:D,4,FALSE),"")</f>
        <v>Montelima</v>
      </c>
    </row>
    <row r="2548" spans="1:12" x14ac:dyDescent="0.3">
      <c r="A2548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2548" t="s">
        <v>28</v>
      </c>
      <c r="C2548" t="s">
        <v>82</v>
      </c>
      <c r="D2548" s="11">
        <v>45560</v>
      </c>
      <c r="E2548" t="s">
        <v>16</v>
      </c>
      <c r="F2548" t="s">
        <v>12</v>
      </c>
      <c r="G2548">
        <v>844516</v>
      </c>
      <c r="H2548">
        <v>5500019188</v>
      </c>
      <c r="I2548">
        <v>190</v>
      </c>
      <c r="J2548" s="29">
        <v>1</v>
      </c>
      <c r="K2548" s="29" t="s">
        <v>162</v>
      </c>
      <c r="L2548" t="str">
        <f>IFERROR(VLOOKUP(Detalle_OC[[#This Row],[Centro]]&amp;Detalle_OC[[#This Row],[Nro Almacen]],Almacen!A:D,4,FALSE),"")</f>
        <v>Montelima</v>
      </c>
    </row>
    <row r="2549" spans="1:12" x14ac:dyDescent="0.3">
      <c r="A2549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2549" t="s">
        <v>28</v>
      </c>
      <c r="C2549" t="s">
        <v>82</v>
      </c>
      <c r="D2549" s="11">
        <v>45560</v>
      </c>
      <c r="E2549" t="s">
        <v>16</v>
      </c>
      <c r="F2549" t="s">
        <v>12</v>
      </c>
      <c r="G2549">
        <v>844515</v>
      </c>
      <c r="H2549">
        <v>5500019188</v>
      </c>
      <c r="I2549">
        <v>200</v>
      </c>
      <c r="J2549" s="29">
        <v>1</v>
      </c>
      <c r="K2549" s="29" t="s">
        <v>162</v>
      </c>
      <c r="L2549" t="str">
        <f>IFERROR(VLOOKUP(Detalle_OC[[#This Row],[Centro]]&amp;Detalle_OC[[#This Row],[Nro Almacen]],Almacen!A:D,4,FALSE),"")</f>
        <v>Montelima</v>
      </c>
    </row>
    <row r="2550" spans="1:12" x14ac:dyDescent="0.3">
      <c r="A2550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2550" t="s">
        <v>28</v>
      </c>
      <c r="C2550" t="s">
        <v>82</v>
      </c>
      <c r="D2550" s="11">
        <v>45560</v>
      </c>
      <c r="E2550" t="s">
        <v>16</v>
      </c>
      <c r="F2550" t="s">
        <v>12</v>
      </c>
      <c r="G2550">
        <v>844508</v>
      </c>
      <c r="H2550">
        <v>5500019188</v>
      </c>
      <c r="I2550">
        <v>220</v>
      </c>
      <c r="J2550" s="29">
        <v>1</v>
      </c>
      <c r="K2550" s="29" t="s">
        <v>162</v>
      </c>
      <c r="L2550" t="str">
        <f>IFERROR(VLOOKUP(Detalle_OC[[#This Row],[Centro]]&amp;Detalle_OC[[#This Row],[Nro Almacen]],Almacen!A:D,4,FALSE),"")</f>
        <v>Montelima</v>
      </c>
    </row>
    <row r="2551" spans="1:12" x14ac:dyDescent="0.3">
      <c r="A2551" s="29" t="str">
        <f>Detalle_OC[[#This Row],[Centro]]&amp;Detalle_OC[[#This Row],[Nom Almacen]]&amp;Detalle_OC[[#This Row],[Material]]&amp;Detalle_OC[[#This Row],[Pedido]]&amp;Detalle_OC[[#This Row],[Posicion]]</f>
        <v>Agricola del Chira PlantaMontelima8445025500019188250</v>
      </c>
      <c r="B2551" t="s">
        <v>28</v>
      </c>
      <c r="C2551" t="s">
        <v>82</v>
      </c>
      <c r="D2551" s="11">
        <v>45560</v>
      </c>
      <c r="E2551" t="s">
        <v>16</v>
      </c>
      <c r="F2551" t="s">
        <v>12</v>
      </c>
      <c r="G2551">
        <v>844502</v>
      </c>
      <c r="H2551">
        <v>5500019188</v>
      </c>
      <c r="I2551">
        <v>250</v>
      </c>
      <c r="J2551" s="29">
        <v>1</v>
      </c>
      <c r="K2551" s="29" t="s">
        <v>162</v>
      </c>
      <c r="L2551" t="str">
        <f>IFERROR(VLOOKUP(Detalle_OC[[#This Row],[Centro]]&amp;Detalle_OC[[#This Row],[Nro Almacen]],Almacen!A:D,4,FALSE),"")</f>
        <v>Montelima</v>
      </c>
    </row>
    <row r="2552" spans="1:12" x14ac:dyDescent="0.3">
      <c r="A2552" s="29" t="str">
        <f>Detalle_OC[[#This Row],[Centro]]&amp;Detalle_OC[[#This Row],[Nom Almacen]]&amp;Detalle_OC[[#This Row],[Material]]&amp;Detalle_OC[[#This Row],[Pedido]]&amp;Detalle_OC[[#This Row],[Posicion]]</f>
        <v>Agricola del Chira PlantaMontelima8445185500019188270</v>
      </c>
      <c r="B2552" t="s">
        <v>28</v>
      </c>
      <c r="C2552" t="s">
        <v>82</v>
      </c>
      <c r="D2552" s="11">
        <v>45560</v>
      </c>
      <c r="E2552" t="s">
        <v>16</v>
      </c>
      <c r="F2552" t="s">
        <v>12</v>
      </c>
      <c r="G2552">
        <v>844518</v>
      </c>
      <c r="H2552">
        <v>5500019188</v>
      </c>
      <c r="I2552">
        <v>270</v>
      </c>
      <c r="J2552" s="29">
        <v>1</v>
      </c>
      <c r="K2552" s="29" t="s">
        <v>162</v>
      </c>
      <c r="L2552" t="str">
        <f>IFERROR(VLOOKUP(Detalle_OC[[#This Row],[Centro]]&amp;Detalle_OC[[#This Row],[Nro Almacen]],Almacen!A:D,4,FALSE),"")</f>
        <v>Montelima</v>
      </c>
    </row>
    <row r="2553" spans="1:12" x14ac:dyDescent="0.3">
      <c r="A2553" s="29" t="str">
        <f>Detalle_OC[[#This Row],[Centro]]&amp;Detalle_OC[[#This Row],[Nom Almacen]]&amp;Detalle_OC[[#This Row],[Material]]&amp;Detalle_OC[[#This Row],[Pedido]]&amp;Detalle_OC[[#This Row],[Posicion]]</f>
        <v>Agricola del Chira PlantaMontelima8445395500019188300</v>
      </c>
      <c r="B2553" t="s">
        <v>28</v>
      </c>
      <c r="C2553" t="s">
        <v>82</v>
      </c>
      <c r="D2553" s="11">
        <v>45560</v>
      </c>
      <c r="E2553" t="s">
        <v>16</v>
      </c>
      <c r="F2553" t="s">
        <v>12</v>
      </c>
      <c r="G2553">
        <v>844539</v>
      </c>
      <c r="H2553">
        <v>5500019188</v>
      </c>
      <c r="I2553">
        <v>300</v>
      </c>
      <c r="J2553" s="29">
        <v>1</v>
      </c>
      <c r="K2553" s="29" t="s">
        <v>162</v>
      </c>
      <c r="L2553" t="str">
        <f>IFERROR(VLOOKUP(Detalle_OC[[#This Row],[Centro]]&amp;Detalle_OC[[#This Row],[Nro Almacen]],Almacen!A:D,4,FALSE),"")</f>
        <v>Montelima</v>
      </c>
    </row>
    <row r="2554" spans="1:12" x14ac:dyDescent="0.3">
      <c r="A2554" s="29" t="str">
        <f>Detalle_OC[[#This Row],[Centro]]&amp;Detalle_OC[[#This Row],[Nom Almacen]]&amp;Detalle_OC[[#This Row],[Material]]&amp;Detalle_OC[[#This Row],[Pedido]]&amp;Detalle_OC[[#This Row],[Posicion]]</f>
        <v>Agricola del Chira PlantaMontelima8445515500019188320</v>
      </c>
      <c r="B2554" t="s">
        <v>28</v>
      </c>
      <c r="C2554" t="s">
        <v>82</v>
      </c>
      <c r="D2554" s="11">
        <v>45560</v>
      </c>
      <c r="E2554" t="s">
        <v>16</v>
      </c>
      <c r="F2554" t="s">
        <v>12</v>
      </c>
      <c r="G2554">
        <v>844551</v>
      </c>
      <c r="H2554">
        <v>5500019188</v>
      </c>
      <c r="I2554">
        <v>320</v>
      </c>
      <c r="J2554" s="29">
        <v>1</v>
      </c>
      <c r="K2554" s="29" t="s">
        <v>162</v>
      </c>
      <c r="L2554" t="str">
        <f>IFERROR(VLOOKUP(Detalle_OC[[#This Row],[Centro]]&amp;Detalle_OC[[#This Row],[Nro Almacen]],Almacen!A:D,4,FALSE),"")</f>
        <v>Montelima</v>
      </c>
    </row>
    <row r="2555" spans="1:12" x14ac:dyDescent="0.3">
      <c r="A2555" s="29" t="str">
        <f>Detalle_OC[[#This Row],[Centro]]&amp;Detalle_OC[[#This Row],[Nom Almacen]]&amp;Detalle_OC[[#This Row],[Material]]&amp;Detalle_OC[[#This Row],[Pedido]]&amp;Detalle_OC[[#This Row],[Posicion]]</f>
        <v>Agricola del Chira PlantaMontelima8445285500019188360</v>
      </c>
      <c r="B2555" t="s">
        <v>28</v>
      </c>
      <c r="C2555" t="s">
        <v>82</v>
      </c>
      <c r="D2555" s="11">
        <v>45560</v>
      </c>
      <c r="E2555" t="s">
        <v>16</v>
      </c>
      <c r="F2555" t="s">
        <v>12</v>
      </c>
      <c r="G2555">
        <v>844528</v>
      </c>
      <c r="H2555">
        <v>5500019188</v>
      </c>
      <c r="I2555">
        <v>360</v>
      </c>
      <c r="J2555" s="29">
        <v>1</v>
      </c>
      <c r="K2555" s="29" t="s">
        <v>162</v>
      </c>
      <c r="L2555" t="str">
        <f>IFERROR(VLOOKUP(Detalle_OC[[#This Row],[Centro]]&amp;Detalle_OC[[#This Row],[Nro Almacen]],Almacen!A:D,4,FALSE),"")</f>
        <v>Montelima</v>
      </c>
    </row>
    <row r="2556" spans="1:12" x14ac:dyDescent="0.3">
      <c r="A2556" s="29" t="str">
        <f>Detalle_OC[[#This Row],[Centro]]&amp;Detalle_OC[[#This Row],[Nom Almacen]]&amp;Detalle_OC[[#This Row],[Material]]&amp;Detalle_OC[[#This Row],[Pedido]]&amp;Detalle_OC[[#This Row],[Posicion]]</f>
        <v>Agricola del Chira PlantaMontelima8445415500019188460</v>
      </c>
      <c r="B2556" t="s">
        <v>28</v>
      </c>
      <c r="C2556" t="s">
        <v>82</v>
      </c>
      <c r="D2556" s="11">
        <v>45560</v>
      </c>
      <c r="E2556" t="s">
        <v>16</v>
      </c>
      <c r="F2556" t="s">
        <v>12</v>
      </c>
      <c r="G2556">
        <v>844541</v>
      </c>
      <c r="H2556">
        <v>5500019188</v>
      </c>
      <c r="I2556">
        <v>460</v>
      </c>
      <c r="J2556" s="29">
        <v>1</v>
      </c>
      <c r="K2556" s="29" t="s">
        <v>162</v>
      </c>
      <c r="L2556" t="str">
        <f>IFERROR(VLOOKUP(Detalle_OC[[#This Row],[Centro]]&amp;Detalle_OC[[#This Row],[Nro Almacen]],Almacen!A:D,4,FALSE),"")</f>
        <v>Montelima</v>
      </c>
    </row>
    <row r="2557" spans="1:12" x14ac:dyDescent="0.3">
      <c r="A2557" s="29" t="str">
        <f>Detalle_OC[[#This Row],[Centro]]&amp;Detalle_OC[[#This Row],[Nom Almacen]]&amp;Detalle_OC[[#This Row],[Material]]&amp;Detalle_OC[[#This Row],[Pedido]]&amp;Detalle_OC[[#This Row],[Posicion]]</f>
        <v>Agricola del Chira PlantaMontelima8445205500019188520</v>
      </c>
      <c r="B2557" t="s">
        <v>28</v>
      </c>
      <c r="C2557" t="s">
        <v>82</v>
      </c>
      <c r="D2557" s="11">
        <v>45560</v>
      </c>
      <c r="E2557" t="s">
        <v>16</v>
      </c>
      <c r="F2557" t="s">
        <v>12</v>
      </c>
      <c r="G2557">
        <v>844520</v>
      </c>
      <c r="H2557">
        <v>5500019188</v>
      </c>
      <c r="I2557">
        <v>520</v>
      </c>
      <c r="J2557" s="29">
        <v>1</v>
      </c>
      <c r="K2557" s="29" t="s">
        <v>162</v>
      </c>
      <c r="L2557" t="str">
        <f>IFERROR(VLOOKUP(Detalle_OC[[#This Row],[Centro]]&amp;Detalle_OC[[#This Row],[Nro Almacen]],Almacen!A:D,4,FALSE),"")</f>
        <v>Montelima</v>
      </c>
    </row>
    <row r="2558" spans="1:12" x14ac:dyDescent="0.3">
      <c r="A2558" s="29" t="str">
        <f>Detalle_OC[[#This Row],[Centro]]&amp;Detalle_OC[[#This Row],[Nom Almacen]]&amp;Detalle_OC[[#This Row],[Material]]&amp;Detalle_OC[[#This Row],[Pedido]]&amp;Detalle_OC[[#This Row],[Posicion]]</f>
        <v>Agricola del Chira PlantaMontelima82719955000191881020</v>
      </c>
      <c r="B2558" t="s">
        <v>28</v>
      </c>
      <c r="C2558" t="s">
        <v>82</v>
      </c>
      <c r="D2558" s="11">
        <v>45560</v>
      </c>
      <c r="E2558" t="s">
        <v>16</v>
      </c>
      <c r="F2558" t="s">
        <v>12</v>
      </c>
      <c r="G2558">
        <v>827199</v>
      </c>
      <c r="H2558">
        <v>5500019188</v>
      </c>
      <c r="I2558">
        <v>1020</v>
      </c>
      <c r="J2558" s="29">
        <v>1</v>
      </c>
      <c r="K2558" s="29" t="s">
        <v>162</v>
      </c>
      <c r="L2558" t="str">
        <f>IFERROR(VLOOKUP(Detalle_OC[[#This Row],[Centro]]&amp;Detalle_OC[[#This Row],[Nro Almacen]],Almacen!A:D,4,FALSE),"")</f>
        <v>Montelima</v>
      </c>
    </row>
    <row r="2559" spans="1:12" x14ac:dyDescent="0.3">
      <c r="A2559" s="29" t="str">
        <f>Detalle_OC[[#This Row],[Centro]]&amp;Detalle_OC[[#This Row],[Nom Almacen]]&amp;Detalle_OC[[#This Row],[Material]]&amp;Detalle_OC[[#This Row],[Pedido]]&amp;Detalle_OC[[#This Row],[Posicion]]</f>
        <v>Agricola del Chira PlantaMontelima82638355000191881150</v>
      </c>
      <c r="B2559" t="s">
        <v>28</v>
      </c>
      <c r="C2559" t="s">
        <v>82</v>
      </c>
      <c r="D2559" s="11">
        <v>45560</v>
      </c>
      <c r="E2559" t="s">
        <v>16</v>
      </c>
      <c r="F2559" t="s">
        <v>12</v>
      </c>
      <c r="G2559">
        <v>826383</v>
      </c>
      <c r="H2559">
        <v>5500019188</v>
      </c>
      <c r="I2559">
        <v>1150</v>
      </c>
      <c r="J2559" s="29">
        <v>1</v>
      </c>
      <c r="K2559" s="29" t="s">
        <v>162</v>
      </c>
      <c r="L2559" t="str">
        <f>IFERROR(VLOOKUP(Detalle_OC[[#This Row],[Centro]]&amp;Detalle_OC[[#This Row],[Nro Almacen]],Almacen!A:D,4,FALSE),"")</f>
        <v>Montelima</v>
      </c>
    </row>
    <row r="2560" spans="1:12" x14ac:dyDescent="0.3">
      <c r="A2560" s="29" t="str">
        <f>Detalle_OC[[#This Row],[Centro]]&amp;Detalle_OC[[#This Row],[Nom Almacen]]&amp;Detalle_OC[[#This Row],[Material]]&amp;Detalle_OC[[#This Row],[Pedido]]&amp;Detalle_OC[[#This Row],[Posicion]]</f>
        <v>Agricola del Chira PlantaMontelima84557255000191881300</v>
      </c>
      <c r="B2560" t="s">
        <v>28</v>
      </c>
      <c r="C2560" t="s">
        <v>82</v>
      </c>
      <c r="D2560" s="11">
        <v>45560</v>
      </c>
      <c r="E2560" t="s">
        <v>16</v>
      </c>
      <c r="F2560" t="s">
        <v>12</v>
      </c>
      <c r="G2560">
        <v>845572</v>
      </c>
      <c r="H2560">
        <v>5500019188</v>
      </c>
      <c r="I2560">
        <v>1300</v>
      </c>
      <c r="J2560" s="29">
        <v>1</v>
      </c>
      <c r="K2560" s="29" t="s">
        <v>162</v>
      </c>
      <c r="L2560" t="str">
        <f>IFERROR(VLOOKUP(Detalle_OC[[#This Row],[Centro]]&amp;Detalle_OC[[#This Row],[Nro Almacen]],Almacen!A:D,4,FALSE),"")</f>
        <v>Montelima</v>
      </c>
    </row>
    <row r="2561" spans="1:12" x14ac:dyDescent="0.3">
      <c r="A2561" s="29" t="str">
        <f>Detalle_OC[[#This Row],[Centro]]&amp;Detalle_OC[[#This Row],[Nom Almacen]]&amp;Detalle_OC[[#This Row],[Material]]&amp;Detalle_OC[[#This Row],[Pedido]]&amp;Detalle_OC[[#This Row],[Posicion]]</f>
        <v>Agricola del Chira PlantaMontelima7002963255000191881670</v>
      </c>
      <c r="B2561" t="s">
        <v>28</v>
      </c>
      <c r="C2561" t="s">
        <v>82</v>
      </c>
      <c r="D2561" s="11">
        <v>45560</v>
      </c>
      <c r="E2561" t="s">
        <v>16</v>
      </c>
      <c r="F2561" t="s">
        <v>12</v>
      </c>
      <c r="G2561">
        <v>70029632</v>
      </c>
      <c r="H2561">
        <v>5500019188</v>
      </c>
      <c r="I2561">
        <v>1670</v>
      </c>
      <c r="J2561" s="29">
        <v>1</v>
      </c>
      <c r="K2561" s="29" t="s">
        <v>162</v>
      </c>
      <c r="L2561" t="str">
        <f>IFERROR(VLOOKUP(Detalle_OC[[#This Row],[Centro]]&amp;Detalle_OC[[#This Row],[Nro Almacen]],Almacen!A:D,4,FALSE),"")</f>
        <v>Montelima</v>
      </c>
    </row>
    <row r="2562" spans="1:12" x14ac:dyDescent="0.3">
      <c r="A2562" s="29" t="str">
        <f>Detalle_OC[[#This Row],[Centro]]&amp;Detalle_OC[[#This Row],[Nom Almacen]]&amp;Detalle_OC[[#This Row],[Material]]&amp;Detalle_OC[[#This Row],[Pedido]]&amp;Detalle_OC[[#This Row],[Posicion]]</f>
        <v>Agricola del Chira PlantaSan Vicente70133176451156490310</v>
      </c>
      <c r="B2562" t="s">
        <v>25</v>
      </c>
      <c r="C2562" t="s">
        <v>1214</v>
      </c>
      <c r="D2562" s="11">
        <v>45609</v>
      </c>
      <c r="E2562" t="s">
        <v>16</v>
      </c>
      <c r="F2562" t="s">
        <v>12</v>
      </c>
      <c r="G2562">
        <v>70133176</v>
      </c>
      <c r="H2562">
        <v>4511564903</v>
      </c>
      <c r="I2562">
        <v>10</v>
      </c>
      <c r="J2562" s="29">
        <v>3</v>
      </c>
      <c r="K2562" s="29" t="s">
        <v>174</v>
      </c>
      <c r="L2562" t="str">
        <f>IFERROR(VLOOKUP(Detalle_OC[[#This Row],[Centro]]&amp;Detalle_OC[[#This Row],[Nro Almacen]],Almacen!A:D,4,FALSE),"")</f>
        <v>San Vicente</v>
      </c>
    </row>
    <row r="2563" spans="1:12" x14ac:dyDescent="0.3">
      <c r="A2563" s="29" t="str">
        <f>Detalle_OC[[#This Row],[Centro]]&amp;Detalle_OC[[#This Row],[Nom Almacen]]&amp;Detalle_OC[[#This Row],[Material]]&amp;Detalle_OC[[#This Row],[Pedido]]&amp;Detalle_OC[[#This Row],[Posicion]]</f>
        <v>Agricola del Chira PlantaMontelima832268451156499010</v>
      </c>
      <c r="B2563" t="s">
        <v>171</v>
      </c>
      <c r="C2563" t="s">
        <v>278</v>
      </c>
      <c r="D2563" s="11">
        <v>45583</v>
      </c>
      <c r="E2563" t="s">
        <v>16</v>
      </c>
      <c r="F2563" t="s">
        <v>12</v>
      </c>
      <c r="G2563">
        <v>832268</v>
      </c>
      <c r="H2563">
        <v>4511564990</v>
      </c>
      <c r="I2563">
        <v>10</v>
      </c>
      <c r="J2563" s="29">
        <v>1</v>
      </c>
      <c r="K2563" s="29" t="s">
        <v>174</v>
      </c>
      <c r="L2563" t="str">
        <f>IFERROR(VLOOKUP(Detalle_OC[[#This Row],[Centro]]&amp;Detalle_OC[[#This Row],[Nro Almacen]],Almacen!A:D,4,FALSE),"")</f>
        <v>Montelima</v>
      </c>
    </row>
    <row r="2564" spans="1:12" x14ac:dyDescent="0.3">
      <c r="A2564" s="29" t="str">
        <f>Detalle_OC[[#This Row],[Centro]]&amp;Detalle_OC[[#This Row],[Nom Almacen]]&amp;Detalle_OC[[#This Row],[Material]]&amp;Detalle_OC[[#This Row],[Pedido]]&amp;Detalle_OC[[#This Row],[Posicion]]</f>
        <v>Agricola del Chira PlantaMontelima886114451156499020</v>
      </c>
      <c r="B2564" t="s">
        <v>171</v>
      </c>
      <c r="C2564" t="s">
        <v>278</v>
      </c>
      <c r="D2564" s="11">
        <v>45618</v>
      </c>
      <c r="E2564" t="s">
        <v>16</v>
      </c>
      <c r="F2564" t="s">
        <v>12</v>
      </c>
      <c r="G2564">
        <v>886114</v>
      </c>
      <c r="H2564">
        <v>4511564990</v>
      </c>
      <c r="I2564">
        <v>20</v>
      </c>
      <c r="J2564" s="29">
        <v>1</v>
      </c>
      <c r="K2564" s="29" t="s">
        <v>174</v>
      </c>
      <c r="L2564" t="str">
        <f>IFERROR(VLOOKUP(Detalle_OC[[#This Row],[Centro]]&amp;Detalle_OC[[#This Row],[Nro Almacen]],Almacen!A:D,4,FALSE),"")</f>
        <v>Montelima</v>
      </c>
    </row>
    <row r="2565" spans="1:12" x14ac:dyDescent="0.3">
      <c r="A2565" s="29" t="str">
        <f>Detalle_OC[[#This Row],[Centro]]&amp;Detalle_OC[[#This Row],[Nom Almacen]]&amp;Detalle_OC[[#This Row],[Material]]&amp;Detalle_OC[[#This Row],[Pedido]]&amp;Detalle_OC[[#This Row],[Posicion]]</f>
        <v>Agricola del Chira PlantaMontelima758391451156500110</v>
      </c>
      <c r="B2565" t="s">
        <v>149</v>
      </c>
      <c r="C2565" t="s">
        <v>166</v>
      </c>
      <c r="D2565" s="11">
        <v>45569</v>
      </c>
      <c r="E2565" t="s">
        <v>16</v>
      </c>
      <c r="F2565" t="s">
        <v>12</v>
      </c>
      <c r="G2565">
        <v>758391</v>
      </c>
      <c r="H2565">
        <v>4511565001</v>
      </c>
      <c r="I2565">
        <v>10</v>
      </c>
      <c r="J2565" s="29">
        <v>1</v>
      </c>
      <c r="K2565" s="29" t="s">
        <v>174</v>
      </c>
      <c r="L2565" t="str">
        <f>IFERROR(VLOOKUP(Detalle_OC[[#This Row],[Centro]]&amp;Detalle_OC[[#This Row],[Nro Almacen]],Almacen!A:D,4,FALSE),"")</f>
        <v>Montelima</v>
      </c>
    </row>
    <row r="2566" spans="1:12" x14ac:dyDescent="0.3">
      <c r="A2566" s="29" t="str">
        <f>Detalle_OC[[#This Row],[Centro]]&amp;Detalle_OC[[#This Row],[Nom Almacen]]&amp;Detalle_OC[[#This Row],[Material]]&amp;Detalle_OC[[#This Row],[Pedido]]&amp;Detalle_OC[[#This Row],[Posicion]]</f>
        <v>Agricola del Chira PlantaMontelima70003671451156500120</v>
      </c>
      <c r="B2566" t="s">
        <v>149</v>
      </c>
      <c r="C2566" t="s">
        <v>166</v>
      </c>
      <c r="D2566" s="11">
        <v>45583</v>
      </c>
      <c r="E2566" t="s">
        <v>16</v>
      </c>
      <c r="F2566" t="s">
        <v>12</v>
      </c>
      <c r="G2566">
        <v>70003671</v>
      </c>
      <c r="H2566">
        <v>4511565001</v>
      </c>
      <c r="I2566">
        <v>20</v>
      </c>
      <c r="J2566" s="29">
        <v>1</v>
      </c>
      <c r="K2566" s="29" t="s">
        <v>174</v>
      </c>
      <c r="L2566" t="str">
        <f>IFERROR(VLOOKUP(Detalle_OC[[#This Row],[Centro]]&amp;Detalle_OC[[#This Row],[Nro Almacen]],Almacen!A:D,4,FALSE),"")</f>
        <v>Montelima</v>
      </c>
    </row>
    <row r="2567" spans="1:12" x14ac:dyDescent="0.3">
      <c r="A2567" s="29" t="str">
        <f>Detalle_OC[[#This Row],[Centro]]&amp;Detalle_OC[[#This Row],[Nom Almacen]]&amp;Detalle_OC[[#This Row],[Material]]&amp;Detalle_OC[[#This Row],[Pedido]]&amp;Detalle_OC[[#This Row],[Posicion]]</f>
        <v>Agricola del Chira PlantaMontelima70132634451156500130</v>
      </c>
      <c r="B2567" t="s">
        <v>186</v>
      </c>
      <c r="C2567" t="s">
        <v>166</v>
      </c>
      <c r="D2567" s="11">
        <v>45590</v>
      </c>
      <c r="E2567" t="s">
        <v>16</v>
      </c>
      <c r="F2567" t="s">
        <v>12</v>
      </c>
      <c r="G2567">
        <v>70132634</v>
      </c>
      <c r="H2567">
        <v>4511565001</v>
      </c>
      <c r="I2567">
        <v>30</v>
      </c>
      <c r="J2567" s="29">
        <v>1</v>
      </c>
      <c r="K2567" s="29" t="s">
        <v>174</v>
      </c>
      <c r="L2567" t="str">
        <f>IFERROR(VLOOKUP(Detalle_OC[[#This Row],[Centro]]&amp;Detalle_OC[[#This Row],[Nro Almacen]],Almacen!A:D,4,FALSE),"")</f>
        <v>Montelima</v>
      </c>
    </row>
    <row r="2568" spans="1:12" x14ac:dyDescent="0.3">
      <c r="A2568" s="29" t="str">
        <f>Detalle_OC[[#This Row],[Centro]]&amp;Detalle_OC[[#This Row],[Nom Almacen]]&amp;Detalle_OC[[#This Row],[Material]]&amp;Detalle_OC[[#This Row],[Pedido]]&amp;Detalle_OC[[#This Row],[Posicion]]</f>
        <v>Agricola del Chira PlantaMontelima810247451156500140</v>
      </c>
      <c r="B2568" t="s">
        <v>149</v>
      </c>
      <c r="C2568" t="s">
        <v>166</v>
      </c>
      <c r="D2568" s="11">
        <v>45569</v>
      </c>
      <c r="E2568" t="s">
        <v>16</v>
      </c>
      <c r="F2568" t="s">
        <v>12</v>
      </c>
      <c r="G2568">
        <v>810247</v>
      </c>
      <c r="H2568">
        <v>4511565001</v>
      </c>
      <c r="I2568">
        <v>40</v>
      </c>
      <c r="J2568" s="29">
        <v>1</v>
      </c>
      <c r="K2568" s="29" t="s">
        <v>174</v>
      </c>
      <c r="L2568" t="str">
        <f>IFERROR(VLOOKUP(Detalle_OC[[#This Row],[Centro]]&amp;Detalle_OC[[#This Row],[Nro Almacen]],Almacen!A:D,4,FALSE),"")</f>
        <v>Montelima</v>
      </c>
    </row>
    <row r="2569" spans="1:12" x14ac:dyDescent="0.3">
      <c r="A2569" s="29" t="str">
        <f>Detalle_OC[[#This Row],[Centro]]&amp;Detalle_OC[[#This Row],[Nom Almacen]]&amp;Detalle_OC[[#This Row],[Material]]&amp;Detalle_OC[[#This Row],[Pedido]]&amp;Detalle_OC[[#This Row],[Posicion]]</f>
        <v>Agricola del Chira PlantaMontelima825934451156500150</v>
      </c>
      <c r="B2569" t="s">
        <v>149</v>
      </c>
      <c r="C2569" t="s">
        <v>166</v>
      </c>
      <c r="D2569" s="11">
        <v>45569</v>
      </c>
      <c r="E2569" t="s">
        <v>16</v>
      </c>
      <c r="F2569" t="s">
        <v>12</v>
      </c>
      <c r="G2569">
        <v>825934</v>
      </c>
      <c r="H2569">
        <v>4511565001</v>
      </c>
      <c r="I2569">
        <v>50</v>
      </c>
      <c r="J2569" s="29">
        <v>1</v>
      </c>
      <c r="K2569" s="29" t="s">
        <v>174</v>
      </c>
      <c r="L2569" t="str">
        <f>IFERROR(VLOOKUP(Detalle_OC[[#This Row],[Centro]]&amp;Detalle_OC[[#This Row],[Nro Almacen]],Almacen!A:D,4,FALSE),"")</f>
        <v>Montelima</v>
      </c>
    </row>
    <row r="2570" spans="1:12" x14ac:dyDescent="0.3">
      <c r="A2570" s="29" t="str">
        <f>Detalle_OC[[#This Row],[Centro]]&amp;Detalle_OC[[#This Row],[Nom Almacen]]&amp;Detalle_OC[[#This Row],[Material]]&amp;Detalle_OC[[#This Row],[Pedido]]&amp;Detalle_OC[[#This Row],[Posicion]]</f>
        <v>Agricola del Chira PlantaMontelima839409451156500160</v>
      </c>
      <c r="B2570" t="s">
        <v>149</v>
      </c>
      <c r="C2570" t="s">
        <v>166</v>
      </c>
      <c r="D2570" s="11">
        <v>45569</v>
      </c>
      <c r="E2570" t="s">
        <v>16</v>
      </c>
      <c r="F2570" t="s">
        <v>12</v>
      </c>
      <c r="G2570">
        <v>839409</v>
      </c>
      <c r="H2570">
        <v>4511565001</v>
      </c>
      <c r="I2570">
        <v>60</v>
      </c>
      <c r="J2570" s="29">
        <v>1</v>
      </c>
      <c r="K2570" s="29" t="s">
        <v>174</v>
      </c>
      <c r="L2570" t="str">
        <f>IFERROR(VLOOKUP(Detalle_OC[[#This Row],[Centro]]&amp;Detalle_OC[[#This Row],[Nro Almacen]],Almacen!A:D,4,FALSE),"")</f>
        <v>Montelima</v>
      </c>
    </row>
    <row r="2571" spans="1:12" x14ac:dyDescent="0.3">
      <c r="A2571" s="29" t="str">
        <f>Detalle_OC[[#This Row],[Centro]]&amp;Detalle_OC[[#This Row],[Nom Almacen]]&amp;Detalle_OC[[#This Row],[Material]]&amp;Detalle_OC[[#This Row],[Pedido]]&amp;Detalle_OC[[#This Row],[Posicion]]</f>
        <v>Agricola del Chira PlantaMontelima839891451156500170</v>
      </c>
      <c r="B2571" t="s">
        <v>149</v>
      </c>
      <c r="C2571" t="s">
        <v>166</v>
      </c>
      <c r="D2571" s="11">
        <v>45583</v>
      </c>
      <c r="E2571" t="s">
        <v>16</v>
      </c>
      <c r="F2571" t="s">
        <v>12</v>
      </c>
      <c r="G2571">
        <v>839891</v>
      </c>
      <c r="H2571">
        <v>4511565001</v>
      </c>
      <c r="I2571">
        <v>70</v>
      </c>
      <c r="J2571" s="29">
        <v>1</v>
      </c>
      <c r="K2571" s="29" t="s">
        <v>174</v>
      </c>
      <c r="L2571" t="str">
        <f>IFERROR(VLOOKUP(Detalle_OC[[#This Row],[Centro]]&amp;Detalle_OC[[#This Row],[Nro Almacen]],Almacen!A:D,4,FALSE),"")</f>
        <v>Montelima</v>
      </c>
    </row>
    <row r="2572" spans="1:12" x14ac:dyDescent="0.3">
      <c r="A2572" s="29" t="str">
        <f>Detalle_OC[[#This Row],[Centro]]&amp;Detalle_OC[[#This Row],[Nom Almacen]]&amp;Detalle_OC[[#This Row],[Material]]&amp;Detalle_OC[[#This Row],[Pedido]]&amp;Detalle_OC[[#This Row],[Posicion]]</f>
        <v>Agricola del Chira PlantaAlmacen Lobo843802451156500180</v>
      </c>
      <c r="B2572" t="s">
        <v>149</v>
      </c>
      <c r="C2572" t="s">
        <v>166</v>
      </c>
      <c r="D2572" s="11">
        <v>45569</v>
      </c>
      <c r="E2572" t="s">
        <v>16</v>
      </c>
      <c r="F2572" t="s">
        <v>12</v>
      </c>
      <c r="G2572">
        <v>843802</v>
      </c>
      <c r="H2572">
        <v>4511565001</v>
      </c>
      <c r="I2572">
        <v>80</v>
      </c>
      <c r="J2572" s="29">
        <v>7</v>
      </c>
      <c r="K2572" s="29" t="s">
        <v>174</v>
      </c>
      <c r="L2572" t="str">
        <f>IFERROR(VLOOKUP(Detalle_OC[[#This Row],[Centro]]&amp;Detalle_OC[[#This Row],[Nro Almacen]],Almacen!A:D,4,FALSE),"")</f>
        <v>Almacen Lobo</v>
      </c>
    </row>
    <row r="2573" spans="1:12" x14ac:dyDescent="0.3">
      <c r="A2573" s="29" t="str">
        <f>Detalle_OC[[#This Row],[Centro]]&amp;Detalle_OC[[#This Row],[Nom Almacen]]&amp;Detalle_OC[[#This Row],[Material]]&amp;Detalle_OC[[#This Row],[Pedido]]&amp;Detalle_OC[[#This Row],[Posicion]]</f>
        <v>Agricola del Chira PlantaMontelima848024451156500190</v>
      </c>
      <c r="B2573" t="s">
        <v>149</v>
      </c>
      <c r="C2573" t="s">
        <v>166</v>
      </c>
      <c r="D2573" s="11">
        <v>45569</v>
      </c>
      <c r="E2573" t="s">
        <v>16</v>
      </c>
      <c r="F2573" t="s">
        <v>12</v>
      </c>
      <c r="G2573">
        <v>848024</v>
      </c>
      <c r="H2573">
        <v>4511565001</v>
      </c>
      <c r="I2573">
        <v>90</v>
      </c>
      <c r="J2573" s="29">
        <v>1</v>
      </c>
      <c r="K2573" s="29" t="s">
        <v>174</v>
      </c>
      <c r="L2573" t="str">
        <f>IFERROR(VLOOKUP(Detalle_OC[[#This Row],[Centro]]&amp;Detalle_OC[[#This Row],[Nro Almacen]],Almacen!A:D,4,FALSE),"")</f>
        <v>Montelima</v>
      </c>
    </row>
    <row r="2574" spans="1:12" x14ac:dyDescent="0.3">
      <c r="A2574" s="29" t="str">
        <f>Detalle_OC[[#This Row],[Centro]]&amp;Detalle_OC[[#This Row],[Nom Almacen]]&amp;Detalle_OC[[#This Row],[Material]]&amp;Detalle_OC[[#This Row],[Pedido]]&amp;Detalle_OC[[#This Row],[Posicion]]</f>
        <v>Agricola del Chira PlantaMontelima8608844511565001100</v>
      </c>
      <c r="B2574" t="s">
        <v>149</v>
      </c>
      <c r="C2574" t="s">
        <v>166</v>
      </c>
      <c r="D2574" s="11">
        <v>45583</v>
      </c>
      <c r="E2574" t="s">
        <v>16</v>
      </c>
      <c r="F2574" t="s">
        <v>12</v>
      </c>
      <c r="G2574">
        <v>860884</v>
      </c>
      <c r="H2574">
        <v>4511565001</v>
      </c>
      <c r="I2574">
        <v>100</v>
      </c>
      <c r="J2574" s="29">
        <v>1</v>
      </c>
      <c r="K2574" s="29" t="s">
        <v>174</v>
      </c>
      <c r="L2574" t="str">
        <f>IFERROR(VLOOKUP(Detalle_OC[[#This Row],[Centro]]&amp;Detalle_OC[[#This Row],[Nro Almacen]],Almacen!A:D,4,FALSE),"")</f>
        <v>Montelima</v>
      </c>
    </row>
    <row r="2575" spans="1:12" x14ac:dyDescent="0.3">
      <c r="A2575" s="29" t="str">
        <f>Detalle_OC[[#This Row],[Centro]]&amp;Detalle_OC[[#This Row],[Nom Almacen]]&amp;Detalle_OC[[#This Row],[Material]]&amp;Detalle_OC[[#This Row],[Pedido]]&amp;Detalle_OC[[#This Row],[Posicion]]</f>
        <v>Agricola del Chira PlantaMontelima8956244511565001110</v>
      </c>
      <c r="B2575" t="s">
        <v>149</v>
      </c>
      <c r="C2575" t="s">
        <v>166</v>
      </c>
      <c r="D2575" s="11">
        <v>45635</v>
      </c>
      <c r="E2575" t="s">
        <v>16</v>
      </c>
      <c r="F2575" t="s">
        <v>12</v>
      </c>
      <c r="G2575">
        <v>895624</v>
      </c>
      <c r="H2575">
        <v>4511565001</v>
      </c>
      <c r="I2575">
        <v>110</v>
      </c>
      <c r="J2575" s="29">
        <v>1</v>
      </c>
      <c r="K2575" s="29" t="s">
        <v>174</v>
      </c>
      <c r="L2575" t="str">
        <f>IFERROR(VLOOKUP(Detalle_OC[[#This Row],[Centro]]&amp;Detalle_OC[[#This Row],[Nro Almacen]],Almacen!A:D,4,FALSE),"")</f>
        <v>Montelima</v>
      </c>
    </row>
    <row r="2576" spans="1:12" x14ac:dyDescent="0.3">
      <c r="A2576" s="29" t="str">
        <f>Detalle_OC[[#This Row],[Centro]]&amp;Detalle_OC[[#This Row],[Nom Almacen]]&amp;Detalle_OC[[#This Row],[Material]]&amp;Detalle_OC[[#This Row],[Pedido]]&amp;Detalle_OC[[#This Row],[Posicion]]</f>
        <v>Agricola del Chira PlantaMontelima700021714511565001120</v>
      </c>
      <c r="B2576" t="s">
        <v>149</v>
      </c>
      <c r="C2576" t="s">
        <v>166</v>
      </c>
      <c r="D2576" s="11">
        <v>45625</v>
      </c>
      <c r="E2576" t="s">
        <v>16</v>
      </c>
      <c r="F2576" t="s">
        <v>12</v>
      </c>
      <c r="G2576">
        <v>70002171</v>
      </c>
      <c r="H2576">
        <v>4511565001</v>
      </c>
      <c r="I2576">
        <v>120</v>
      </c>
      <c r="J2576" s="29">
        <v>1</v>
      </c>
      <c r="K2576" s="29" t="s">
        <v>174</v>
      </c>
      <c r="L2576" t="str">
        <f>IFERROR(VLOOKUP(Detalle_OC[[#This Row],[Centro]]&amp;Detalle_OC[[#This Row],[Nro Almacen]],Almacen!A:D,4,FALSE),"")</f>
        <v>Montelima</v>
      </c>
    </row>
    <row r="2577" spans="1:12" x14ac:dyDescent="0.3">
      <c r="A2577" s="29" t="str">
        <f>Detalle_OC[[#This Row],[Centro]]&amp;Detalle_OC[[#This Row],[Nom Almacen]]&amp;Detalle_OC[[#This Row],[Material]]&amp;Detalle_OC[[#This Row],[Pedido]]&amp;Detalle_OC[[#This Row],[Posicion]]</f>
        <v>Agricola del Chira PlantaMontelima700033874511565001130</v>
      </c>
      <c r="B2577" t="s">
        <v>149</v>
      </c>
      <c r="C2577" t="s">
        <v>166</v>
      </c>
      <c r="D2577" s="11">
        <v>45569</v>
      </c>
      <c r="E2577" t="s">
        <v>16</v>
      </c>
      <c r="F2577" t="s">
        <v>12</v>
      </c>
      <c r="G2577">
        <v>70003387</v>
      </c>
      <c r="H2577">
        <v>4511565001</v>
      </c>
      <c r="I2577">
        <v>130</v>
      </c>
      <c r="J2577" s="29">
        <v>1</v>
      </c>
      <c r="K2577" s="29" t="s">
        <v>174</v>
      </c>
      <c r="L2577" t="str">
        <f>IFERROR(VLOOKUP(Detalle_OC[[#This Row],[Centro]]&amp;Detalle_OC[[#This Row],[Nro Almacen]],Almacen!A:D,4,FALSE),"")</f>
        <v>Montelima</v>
      </c>
    </row>
    <row r="2578" spans="1:12" x14ac:dyDescent="0.3">
      <c r="A2578" s="29" t="str">
        <f>Detalle_OC[[#This Row],[Centro]]&amp;Detalle_OC[[#This Row],[Nom Almacen]]&amp;Detalle_OC[[#This Row],[Material]]&amp;Detalle_OC[[#This Row],[Pedido]]&amp;Detalle_OC[[#This Row],[Posicion]]</f>
        <v>Agricola del Chira PlantaMontelima700114434511565001140</v>
      </c>
      <c r="B2578" t="s">
        <v>149</v>
      </c>
      <c r="C2578" t="s">
        <v>166</v>
      </c>
      <c r="D2578" s="11">
        <v>45569</v>
      </c>
      <c r="E2578" t="s">
        <v>16</v>
      </c>
      <c r="F2578" t="s">
        <v>12</v>
      </c>
      <c r="G2578">
        <v>70011443</v>
      </c>
      <c r="H2578">
        <v>4511565001</v>
      </c>
      <c r="I2578">
        <v>140</v>
      </c>
      <c r="J2578" s="29">
        <v>1</v>
      </c>
      <c r="K2578" s="29" t="s">
        <v>174</v>
      </c>
      <c r="L2578" t="str">
        <f>IFERROR(VLOOKUP(Detalle_OC[[#This Row],[Centro]]&amp;Detalle_OC[[#This Row],[Nro Almacen]],Almacen!A:D,4,FALSE),"")</f>
        <v>Montelima</v>
      </c>
    </row>
    <row r="2579" spans="1:12" x14ac:dyDescent="0.3">
      <c r="A2579" s="29" t="str">
        <f>Detalle_OC[[#This Row],[Centro]]&amp;Detalle_OC[[#This Row],[Nom Almacen]]&amp;Detalle_OC[[#This Row],[Material]]&amp;Detalle_OC[[#This Row],[Pedido]]&amp;Detalle_OC[[#This Row],[Posicion]]</f>
        <v>Agricola del Chira PlantaMontelima700438334511565001150</v>
      </c>
      <c r="B2579" t="s">
        <v>149</v>
      </c>
      <c r="C2579" t="s">
        <v>166</v>
      </c>
      <c r="D2579" s="11">
        <v>45569</v>
      </c>
      <c r="E2579" t="s">
        <v>16</v>
      </c>
      <c r="F2579" t="s">
        <v>12</v>
      </c>
      <c r="G2579">
        <v>70043833</v>
      </c>
      <c r="H2579">
        <v>4511565001</v>
      </c>
      <c r="I2579">
        <v>150</v>
      </c>
      <c r="J2579" s="29">
        <v>1</v>
      </c>
      <c r="K2579" s="29" t="s">
        <v>174</v>
      </c>
      <c r="L2579" t="str">
        <f>IFERROR(VLOOKUP(Detalle_OC[[#This Row],[Centro]]&amp;Detalle_OC[[#This Row],[Nro Almacen]],Almacen!A:D,4,FALSE),"")</f>
        <v>Montelima</v>
      </c>
    </row>
    <row r="2580" spans="1:12" x14ac:dyDescent="0.3">
      <c r="A2580" s="29" t="str">
        <f>Detalle_OC[[#This Row],[Centro]]&amp;Detalle_OC[[#This Row],[Nom Almacen]]&amp;Detalle_OC[[#This Row],[Material]]&amp;Detalle_OC[[#This Row],[Pedido]]&amp;Detalle_OC[[#This Row],[Posicion]]</f>
        <v>Agricola del Chira PlantaMontelima700068354511565001160</v>
      </c>
      <c r="B2580" t="s">
        <v>149</v>
      </c>
      <c r="C2580" t="s">
        <v>166</v>
      </c>
      <c r="D2580" s="11">
        <v>45583</v>
      </c>
      <c r="E2580" t="s">
        <v>16</v>
      </c>
      <c r="F2580" t="s">
        <v>12</v>
      </c>
      <c r="G2580">
        <v>70006835</v>
      </c>
      <c r="H2580">
        <v>4511565001</v>
      </c>
      <c r="I2580">
        <v>160</v>
      </c>
      <c r="J2580" s="29">
        <v>1</v>
      </c>
      <c r="K2580" s="29" t="s">
        <v>174</v>
      </c>
      <c r="L2580" t="str">
        <f>IFERROR(VLOOKUP(Detalle_OC[[#This Row],[Centro]]&amp;Detalle_OC[[#This Row],[Nro Almacen]],Almacen!A:D,4,FALSE),"")</f>
        <v>Montelima</v>
      </c>
    </row>
    <row r="2581" spans="1:12" x14ac:dyDescent="0.3">
      <c r="A2581" s="29" t="str">
        <f>Detalle_OC[[#This Row],[Centro]]&amp;Detalle_OC[[#This Row],[Nom Almacen]]&amp;Detalle_OC[[#This Row],[Material]]&amp;Detalle_OC[[#This Row],[Pedido]]&amp;Detalle_OC[[#This Row],[Posicion]]</f>
        <v>Agricola del Chira PlantaMontelima70100392550002475110</v>
      </c>
      <c r="B2581" t="s">
        <v>28</v>
      </c>
      <c r="C2581" t="s">
        <v>54</v>
      </c>
      <c r="D2581" s="11">
        <v>45558</v>
      </c>
      <c r="E2581" t="s">
        <v>16</v>
      </c>
      <c r="F2581" t="s">
        <v>12</v>
      </c>
      <c r="G2581">
        <v>70100392</v>
      </c>
      <c r="H2581">
        <v>5500024751</v>
      </c>
      <c r="I2581">
        <v>10</v>
      </c>
      <c r="J2581" s="29">
        <v>1</v>
      </c>
      <c r="K2581" s="29" t="s">
        <v>174</v>
      </c>
      <c r="L2581" t="str">
        <f>IFERROR(VLOOKUP(Detalle_OC[[#This Row],[Centro]]&amp;Detalle_OC[[#This Row],[Nro Almacen]],Almacen!A:D,4,FALSE),"")</f>
        <v>Montelima</v>
      </c>
    </row>
    <row r="2582" spans="1:12" x14ac:dyDescent="0.3">
      <c r="A2582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2582" t="s">
        <v>28</v>
      </c>
      <c r="C2582" t="s">
        <v>54</v>
      </c>
      <c r="D2582" s="11">
        <v>45556</v>
      </c>
      <c r="E2582" t="s">
        <v>16</v>
      </c>
      <c r="F2582" t="s">
        <v>12</v>
      </c>
      <c r="G2582">
        <v>70100392</v>
      </c>
      <c r="H2582">
        <v>5500024751</v>
      </c>
      <c r="I2582">
        <v>40</v>
      </c>
      <c r="J2582" s="29">
        <v>7</v>
      </c>
      <c r="K2582" s="29" t="s">
        <v>174</v>
      </c>
      <c r="L2582" t="str">
        <f>IFERROR(VLOOKUP(Detalle_OC[[#This Row],[Centro]]&amp;Detalle_OC[[#This Row],[Nro Almacen]],Almacen!A:D,4,FALSE),"")</f>
        <v>Almacen Lobo</v>
      </c>
    </row>
    <row r="2583" spans="1:12" x14ac:dyDescent="0.3">
      <c r="A2583" s="29" t="str">
        <f>Detalle_OC[[#This Row],[Centro]]&amp;Detalle_OC[[#This Row],[Nom Almacen]]&amp;Detalle_OC[[#This Row],[Material]]&amp;Detalle_OC[[#This Row],[Pedido]]&amp;Detalle_OC[[#This Row],[Posicion]]</f>
        <v>Agricola del Chira PlantaLa Huaca700440065500024855250</v>
      </c>
      <c r="B2583" t="s">
        <v>28</v>
      </c>
      <c r="C2583" t="s">
        <v>96</v>
      </c>
      <c r="D2583" s="11">
        <v>45569</v>
      </c>
      <c r="E2583" t="s">
        <v>16</v>
      </c>
      <c r="F2583" t="s">
        <v>12</v>
      </c>
      <c r="G2583">
        <v>70044006</v>
      </c>
      <c r="H2583">
        <v>5500024855</v>
      </c>
      <c r="I2583">
        <v>250</v>
      </c>
      <c r="J2583" s="29">
        <v>2</v>
      </c>
      <c r="K2583" s="29" t="s">
        <v>174</v>
      </c>
      <c r="L2583" t="str">
        <f>IFERROR(VLOOKUP(Detalle_OC[[#This Row],[Centro]]&amp;Detalle_OC[[#This Row],[Nro Almacen]],Almacen!A:D,4,FALSE),"")</f>
        <v>La Huaca</v>
      </c>
    </row>
    <row r="2584" spans="1:12" x14ac:dyDescent="0.3">
      <c r="A2584" s="29" t="str">
        <f>Detalle_OC[[#This Row],[Centro]]&amp;Detalle_OC[[#This Row],[Nom Almacen]]&amp;Detalle_OC[[#This Row],[Material]]&amp;Detalle_OC[[#This Row],[Pedido]]&amp;Detalle_OC[[#This Row],[Posicion]]</f>
        <v>Agricola del Chira PlantaAlmacen Lobo7773055500024855290</v>
      </c>
      <c r="B2584" t="s">
        <v>28</v>
      </c>
      <c r="C2584" t="s">
        <v>96</v>
      </c>
      <c r="D2584" s="11">
        <v>45569</v>
      </c>
      <c r="E2584" t="s">
        <v>16</v>
      </c>
      <c r="F2584" t="s">
        <v>12</v>
      </c>
      <c r="G2584">
        <v>777305</v>
      </c>
      <c r="H2584">
        <v>5500024855</v>
      </c>
      <c r="I2584">
        <v>290</v>
      </c>
      <c r="J2584" s="29">
        <v>7</v>
      </c>
      <c r="K2584" s="29" t="s">
        <v>174</v>
      </c>
      <c r="L2584" t="str">
        <f>IFERROR(VLOOKUP(Detalle_OC[[#This Row],[Centro]]&amp;Detalle_OC[[#This Row],[Nro Almacen]],Almacen!A:D,4,FALSE),"")</f>
        <v>Almacen Lobo</v>
      </c>
    </row>
    <row r="2585" spans="1:12" x14ac:dyDescent="0.3">
      <c r="A2585" s="29" t="str">
        <f>Detalle_OC[[#This Row],[Centro]]&amp;Detalle_OC[[#This Row],[Nom Almacen]]&amp;Detalle_OC[[#This Row],[Material]]&amp;Detalle_OC[[#This Row],[Pedido]]&amp;Detalle_OC[[#This Row],[Posicion]]</f>
        <v>Agricola del Chira PlantaMontelima709179550002233820</v>
      </c>
      <c r="B2585" t="s">
        <v>28</v>
      </c>
      <c r="C2585" t="s">
        <v>84</v>
      </c>
      <c r="D2585" s="11">
        <v>45556</v>
      </c>
      <c r="E2585" t="s">
        <v>16</v>
      </c>
      <c r="F2585" t="s">
        <v>12</v>
      </c>
      <c r="G2585">
        <v>709179</v>
      </c>
      <c r="H2585">
        <v>5500022338</v>
      </c>
      <c r="I2585">
        <v>20</v>
      </c>
      <c r="J2585" s="29">
        <v>1</v>
      </c>
      <c r="K2585" s="29" t="s">
        <v>190</v>
      </c>
      <c r="L2585" t="str">
        <f>IFERROR(VLOOKUP(Detalle_OC[[#This Row],[Centro]]&amp;Detalle_OC[[#This Row],[Nro Almacen]],Almacen!A:D,4,FALSE),"")</f>
        <v>Montelima</v>
      </c>
    </row>
    <row r="2586" spans="1:12" x14ac:dyDescent="0.3">
      <c r="A2586" s="29" t="str">
        <f>Detalle_OC[[#This Row],[Centro]]&amp;Detalle_OC[[#This Row],[Nom Almacen]]&amp;Detalle_OC[[#This Row],[Material]]&amp;Detalle_OC[[#This Row],[Pedido]]&amp;Detalle_OC[[#This Row],[Posicion]]</f>
        <v>Agricola del Chira PlantaMontelima70084371550002468180</v>
      </c>
      <c r="B2586" t="s">
        <v>28</v>
      </c>
      <c r="C2586" t="s">
        <v>84</v>
      </c>
      <c r="D2586" s="11">
        <v>45556</v>
      </c>
      <c r="E2586" t="s">
        <v>16</v>
      </c>
      <c r="F2586" t="s">
        <v>12</v>
      </c>
      <c r="G2586">
        <v>70084371</v>
      </c>
      <c r="H2586">
        <v>5500024681</v>
      </c>
      <c r="I2586">
        <v>80</v>
      </c>
      <c r="J2586" s="29">
        <v>1</v>
      </c>
      <c r="K2586" s="29" t="s">
        <v>190</v>
      </c>
      <c r="L2586" t="str">
        <f>IFERROR(VLOOKUP(Detalle_OC[[#This Row],[Centro]]&amp;Detalle_OC[[#This Row],[Nro Almacen]],Almacen!A:D,4,FALSE),"")</f>
        <v>Montelima</v>
      </c>
    </row>
    <row r="2587" spans="1:12" x14ac:dyDescent="0.3">
      <c r="A2587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2587" t="s">
        <v>28</v>
      </c>
      <c r="C2587" t="s">
        <v>54</v>
      </c>
      <c r="D2587" s="11">
        <v>45556</v>
      </c>
      <c r="E2587" t="s">
        <v>16</v>
      </c>
      <c r="F2587" t="s">
        <v>12</v>
      </c>
      <c r="G2587">
        <v>70100392</v>
      </c>
      <c r="H2587">
        <v>5500024751</v>
      </c>
      <c r="I2587">
        <v>20</v>
      </c>
      <c r="J2587" s="29">
        <v>2</v>
      </c>
      <c r="K2587" s="29" t="s">
        <v>190</v>
      </c>
      <c r="L2587" t="str">
        <f>IFERROR(VLOOKUP(Detalle_OC[[#This Row],[Centro]]&amp;Detalle_OC[[#This Row],[Nro Almacen]],Almacen!A:D,4,FALSE),"")</f>
        <v>La Huaca</v>
      </c>
    </row>
    <row r="2588" spans="1:12" x14ac:dyDescent="0.3">
      <c r="A2588" s="29" t="str">
        <f>Detalle_OC[[#This Row],[Centro]]&amp;Detalle_OC[[#This Row],[Nom Almacen]]&amp;Detalle_OC[[#This Row],[Material]]&amp;Detalle_OC[[#This Row],[Pedido]]&amp;Detalle_OC[[#This Row],[Posicion]]</f>
        <v>Agricola del Chira PlantaSan Vicente721426550002484460</v>
      </c>
      <c r="B2588" t="s">
        <v>28</v>
      </c>
      <c r="C2588" t="s">
        <v>88</v>
      </c>
      <c r="D2588" s="11">
        <v>45556</v>
      </c>
      <c r="E2588" t="s">
        <v>16</v>
      </c>
      <c r="F2588" t="s">
        <v>12</v>
      </c>
      <c r="G2588">
        <v>721426</v>
      </c>
      <c r="H2588">
        <v>5500024844</v>
      </c>
      <c r="I2588">
        <v>60</v>
      </c>
      <c r="J2588" s="29">
        <v>3</v>
      </c>
      <c r="K2588" s="29" t="s">
        <v>190</v>
      </c>
      <c r="L2588" t="str">
        <f>IFERROR(VLOOKUP(Detalle_OC[[#This Row],[Centro]]&amp;Detalle_OC[[#This Row],[Nro Almacen]],Almacen!A:D,4,FALSE),"")</f>
        <v>San Vicente</v>
      </c>
    </row>
    <row r="2589" spans="1:12" x14ac:dyDescent="0.3">
      <c r="A2589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2589" t="s">
        <v>28</v>
      </c>
      <c r="C2589" t="s">
        <v>84</v>
      </c>
      <c r="D2589" s="11">
        <v>45562</v>
      </c>
      <c r="E2589" t="s">
        <v>16</v>
      </c>
      <c r="F2589" t="s">
        <v>85</v>
      </c>
      <c r="G2589">
        <v>801846</v>
      </c>
      <c r="H2589">
        <v>5500022336</v>
      </c>
      <c r="I2589">
        <v>10</v>
      </c>
      <c r="J2589" s="29">
        <v>1</v>
      </c>
      <c r="K2589" s="29" t="s">
        <v>194</v>
      </c>
      <c r="L2589" t="str">
        <f>IFERROR(VLOOKUP(Detalle_OC[[#This Row],[Centro]]&amp;Detalle_OC[[#This Row],[Nro Almacen]],Almacen!A:D,4,FALSE),"")</f>
        <v>Montelima</v>
      </c>
    </row>
    <row r="2590" spans="1:12" x14ac:dyDescent="0.3">
      <c r="A2590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2590" t="s">
        <v>28</v>
      </c>
      <c r="C2590" t="s">
        <v>84</v>
      </c>
      <c r="D2590" s="11">
        <v>45562</v>
      </c>
      <c r="E2590" t="s">
        <v>16</v>
      </c>
      <c r="F2590" t="s">
        <v>85</v>
      </c>
      <c r="G2590">
        <v>806591</v>
      </c>
      <c r="H2590">
        <v>5500022336</v>
      </c>
      <c r="I2590">
        <v>20</v>
      </c>
      <c r="J2590" s="29">
        <v>1</v>
      </c>
      <c r="K2590" s="29" t="s">
        <v>194</v>
      </c>
      <c r="L2590" t="str">
        <f>IFERROR(VLOOKUP(Detalle_OC[[#This Row],[Centro]]&amp;Detalle_OC[[#This Row],[Nro Almacen]],Almacen!A:D,4,FALSE),"")</f>
        <v>Montelima</v>
      </c>
    </row>
    <row r="2591" spans="1:12" x14ac:dyDescent="0.3">
      <c r="A2591" s="29" t="str">
        <f>Detalle_OC[[#This Row],[Centro]]&amp;Detalle_OC[[#This Row],[Nom Almacen]]&amp;Detalle_OC[[#This Row],[Material]]&amp;Detalle_OC[[#This Row],[Pedido]]&amp;Detalle_OC[[#This Row],[Posicion]]</f>
        <v>Sucroalcolera del Chira PlantaMontelima709179550002233630</v>
      </c>
      <c r="B2591" t="s">
        <v>28</v>
      </c>
      <c r="C2591" t="s">
        <v>84</v>
      </c>
      <c r="D2591" s="11">
        <v>45562</v>
      </c>
      <c r="E2591" t="s">
        <v>16</v>
      </c>
      <c r="F2591" t="s">
        <v>85</v>
      </c>
      <c r="G2591">
        <v>709179</v>
      </c>
      <c r="H2591">
        <v>5500022336</v>
      </c>
      <c r="I2591">
        <v>30</v>
      </c>
      <c r="J2591" s="29">
        <v>1</v>
      </c>
      <c r="K2591" s="29" t="s">
        <v>194</v>
      </c>
      <c r="L2591" t="str">
        <f>IFERROR(VLOOKUP(Detalle_OC[[#This Row],[Centro]]&amp;Detalle_OC[[#This Row],[Nro Almacen]],Almacen!A:D,4,FALSE),"")</f>
        <v>Montelima</v>
      </c>
    </row>
    <row r="2592" spans="1:12" x14ac:dyDescent="0.3">
      <c r="A2592" s="29" t="str">
        <f>Detalle_OC[[#This Row],[Centro]]&amp;Detalle_OC[[#This Row],[Nom Almacen]]&amp;Detalle_OC[[#This Row],[Material]]&amp;Detalle_OC[[#This Row],[Pedido]]&amp;Detalle_OC[[#This Row],[Posicion]]</f>
        <v>Agricola del Chira PlantaMontelima70084360550002468150</v>
      </c>
      <c r="B2592" t="s">
        <v>28</v>
      </c>
      <c r="C2592" t="s">
        <v>84</v>
      </c>
      <c r="D2592" s="11">
        <v>45555</v>
      </c>
      <c r="E2592" t="s">
        <v>16</v>
      </c>
      <c r="F2592" t="s">
        <v>12</v>
      </c>
      <c r="G2592">
        <v>70084360</v>
      </c>
      <c r="H2592">
        <v>5500024681</v>
      </c>
      <c r="I2592">
        <v>50</v>
      </c>
      <c r="J2592" s="29">
        <v>1</v>
      </c>
      <c r="K2592" s="29" t="s">
        <v>194</v>
      </c>
      <c r="L2592" t="str">
        <f>IFERROR(VLOOKUP(Detalle_OC[[#This Row],[Centro]]&amp;Detalle_OC[[#This Row],[Nro Almacen]],Almacen!A:D,4,FALSE),"")</f>
        <v>Montelima</v>
      </c>
    </row>
    <row r="2593" spans="1:12" x14ac:dyDescent="0.3">
      <c r="A2593" s="29" t="str">
        <f>Detalle_OC[[#This Row],[Centro]]&amp;Detalle_OC[[#This Row],[Nom Almacen]]&amp;Detalle_OC[[#This Row],[Material]]&amp;Detalle_OC[[#This Row],[Pedido]]&amp;Detalle_OC[[#This Row],[Posicion]]</f>
        <v>Sucroalcolera del Chira PlantaMontelima70084359550002468230</v>
      </c>
      <c r="B2593" t="s">
        <v>28</v>
      </c>
      <c r="C2593" t="s">
        <v>84</v>
      </c>
      <c r="D2593" s="11">
        <v>45555</v>
      </c>
      <c r="E2593" t="s">
        <v>16</v>
      </c>
      <c r="F2593" t="s">
        <v>85</v>
      </c>
      <c r="G2593">
        <v>70084359</v>
      </c>
      <c r="H2593">
        <v>5500024682</v>
      </c>
      <c r="I2593">
        <v>30</v>
      </c>
      <c r="J2593" s="29">
        <v>1</v>
      </c>
      <c r="K2593" s="29" t="s">
        <v>194</v>
      </c>
      <c r="L2593" t="str">
        <f>IFERROR(VLOOKUP(Detalle_OC[[#This Row],[Centro]]&amp;Detalle_OC[[#This Row],[Nro Almacen]],Almacen!A:D,4,FALSE),"")</f>
        <v>Montelima</v>
      </c>
    </row>
    <row r="2594" spans="1:12" x14ac:dyDescent="0.3">
      <c r="A2594" s="29" t="str">
        <f>Detalle_OC[[#This Row],[Centro]]&amp;Detalle_OC[[#This Row],[Nom Almacen]]&amp;Detalle_OC[[#This Row],[Material]]&amp;Detalle_OC[[#This Row],[Pedido]]&amp;Detalle_OC[[#This Row],[Posicion]]</f>
        <v>Agricola del Chira PlantaLa HuacaMWAGR000058       550002481510</v>
      </c>
      <c r="B2594" t="s">
        <v>28</v>
      </c>
      <c r="C2594" t="s">
        <v>112</v>
      </c>
      <c r="D2594" s="11">
        <v>45555</v>
      </c>
      <c r="E2594" t="s">
        <v>16</v>
      </c>
      <c r="F2594" t="s">
        <v>12</v>
      </c>
      <c r="G2594" t="s">
        <v>113</v>
      </c>
      <c r="H2594">
        <v>5500024815</v>
      </c>
      <c r="I2594">
        <v>10</v>
      </c>
      <c r="J2594" s="29">
        <v>2</v>
      </c>
      <c r="K2594" s="29" t="s">
        <v>194</v>
      </c>
      <c r="L2594" t="str">
        <f>IFERROR(VLOOKUP(Detalle_OC[[#This Row],[Centro]]&amp;Detalle_OC[[#This Row],[Nro Almacen]],Almacen!A:D,4,FALSE),"")</f>
        <v>La Huaca</v>
      </c>
    </row>
    <row r="2595" spans="1:12" x14ac:dyDescent="0.3">
      <c r="A2595" s="29" t="str">
        <f>Detalle_OC[[#This Row],[Centro]]&amp;Detalle_OC[[#This Row],[Nom Almacen]]&amp;Detalle_OC[[#This Row],[Material]]&amp;Detalle_OC[[#This Row],[Pedido]]&amp;Detalle_OC[[#This Row],[Posicion]]</f>
        <v>Agricola del Chira PlantaAlmacen LoboMWAGR000058       550002481520</v>
      </c>
      <c r="B2595" t="s">
        <v>28</v>
      </c>
      <c r="C2595" t="s">
        <v>112</v>
      </c>
      <c r="D2595" s="11">
        <v>45555</v>
      </c>
      <c r="E2595" t="s">
        <v>16</v>
      </c>
      <c r="F2595" t="s">
        <v>12</v>
      </c>
      <c r="G2595" t="s">
        <v>113</v>
      </c>
      <c r="H2595">
        <v>5500024815</v>
      </c>
      <c r="I2595">
        <v>20</v>
      </c>
      <c r="J2595" s="29">
        <v>7</v>
      </c>
      <c r="K2595" s="29" t="s">
        <v>194</v>
      </c>
      <c r="L2595" t="str">
        <f>IFERROR(VLOOKUP(Detalle_OC[[#This Row],[Centro]]&amp;Detalle_OC[[#This Row],[Nro Almacen]],Almacen!A:D,4,FALSE),"")</f>
        <v>Almacen Lobo</v>
      </c>
    </row>
    <row r="2596" spans="1:12" x14ac:dyDescent="0.3">
      <c r="A2596" s="29" t="str">
        <f>Detalle_OC[[#This Row],[Centro]]&amp;Detalle_OC[[#This Row],[Nom Almacen]]&amp;Detalle_OC[[#This Row],[Material]]&amp;Detalle_OC[[#This Row],[Pedido]]&amp;Detalle_OC[[#This Row],[Posicion]]</f>
        <v>Agricola del Chira PlantaMontelima70100392550002475110</v>
      </c>
      <c r="B2596" t="s">
        <v>28</v>
      </c>
      <c r="C2596" t="s">
        <v>54</v>
      </c>
      <c r="D2596" s="11">
        <v>45554</v>
      </c>
      <c r="E2596" t="s">
        <v>16</v>
      </c>
      <c r="F2596" t="s">
        <v>12</v>
      </c>
      <c r="G2596">
        <v>70100392</v>
      </c>
      <c r="H2596">
        <v>5500024751</v>
      </c>
      <c r="I2596">
        <v>10</v>
      </c>
      <c r="J2596" s="29">
        <v>1</v>
      </c>
      <c r="K2596" s="29" t="s">
        <v>201</v>
      </c>
      <c r="L2596" t="str">
        <f>IFERROR(VLOOKUP(Detalle_OC[[#This Row],[Centro]]&amp;Detalle_OC[[#This Row],[Nro Almacen]],Almacen!A:D,4,FALSE),"")</f>
        <v>Montelima</v>
      </c>
    </row>
    <row r="2597" spans="1:12" x14ac:dyDescent="0.3">
      <c r="A2597" s="29" t="str">
        <f>Detalle_OC[[#This Row],[Centro]]&amp;Detalle_OC[[#This Row],[Nom Almacen]]&amp;Detalle_OC[[#This Row],[Material]]&amp;Detalle_OC[[#This Row],[Pedido]]&amp;Detalle_OC[[#This Row],[Posicion]]</f>
        <v>Sucroalcolera del Chira PlantaMontelima70125556451156458110</v>
      </c>
      <c r="B2597" t="s">
        <v>202</v>
      </c>
      <c r="C2597" t="s">
        <v>319</v>
      </c>
      <c r="D2597" s="11">
        <v>45667</v>
      </c>
      <c r="E2597" t="s">
        <v>16</v>
      </c>
      <c r="F2597" t="s">
        <v>85</v>
      </c>
      <c r="G2597">
        <v>70125556</v>
      </c>
      <c r="H2597">
        <v>4511564581</v>
      </c>
      <c r="I2597">
        <v>10</v>
      </c>
      <c r="J2597" s="29">
        <v>1</v>
      </c>
      <c r="K2597" s="29" t="s">
        <v>208</v>
      </c>
      <c r="L2597" t="str">
        <f>IFERROR(VLOOKUP(Detalle_OC[[#This Row],[Centro]]&amp;Detalle_OC[[#This Row],[Nro Almacen]],Almacen!A:D,4,FALSE),"")</f>
        <v>Montelima</v>
      </c>
    </row>
    <row r="2598" spans="1:12" x14ac:dyDescent="0.3">
      <c r="A2598" s="29" t="str">
        <f>Detalle_OC[[#This Row],[Centro]]&amp;Detalle_OC[[#This Row],[Nom Almacen]]&amp;Detalle_OC[[#This Row],[Material]]&amp;Detalle_OC[[#This Row],[Pedido]]&amp;Detalle_OC[[#This Row],[Posicion]]</f>
        <v>Sucroalcolera del Chira PlantaMontelima70125570451156458120</v>
      </c>
      <c r="B2598" t="s">
        <v>202</v>
      </c>
      <c r="C2598" t="s">
        <v>319</v>
      </c>
      <c r="D2598" s="11">
        <v>45667</v>
      </c>
      <c r="E2598" t="s">
        <v>16</v>
      </c>
      <c r="F2598" t="s">
        <v>85</v>
      </c>
      <c r="G2598">
        <v>70125570</v>
      </c>
      <c r="H2598">
        <v>4511564581</v>
      </c>
      <c r="I2598">
        <v>20</v>
      </c>
      <c r="J2598" s="29">
        <v>1</v>
      </c>
      <c r="K2598" s="29" t="s">
        <v>208</v>
      </c>
      <c r="L2598" t="str">
        <f>IFERROR(VLOOKUP(Detalle_OC[[#This Row],[Centro]]&amp;Detalle_OC[[#This Row],[Nro Almacen]],Almacen!A:D,4,FALSE),"")</f>
        <v>Montelima</v>
      </c>
    </row>
    <row r="2599" spans="1:12" x14ac:dyDescent="0.3">
      <c r="A2599" s="29" t="str">
        <f>Detalle_OC[[#This Row],[Centro]]&amp;Detalle_OC[[#This Row],[Nom Almacen]]&amp;Detalle_OC[[#This Row],[Material]]&amp;Detalle_OC[[#This Row],[Pedido]]&amp;Detalle_OC[[#This Row],[Posicion]]</f>
        <v>Sucroalcolera del Chira PlantaMontelima70125571451156458130</v>
      </c>
      <c r="B2599" t="s">
        <v>202</v>
      </c>
      <c r="C2599" t="s">
        <v>319</v>
      </c>
      <c r="D2599" s="11">
        <v>45667</v>
      </c>
      <c r="E2599" t="s">
        <v>16</v>
      </c>
      <c r="F2599" t="s">
        <v>85</v>
      </c>
      <c r="G2599">
        <v>70125571</v>
      </c>
      <c r="H2599">
        <v>4511564581</v>
      </c>
      <c r="I2599">
        <v>30</v>
      </c>
      <c r="J2599" s="29">
        <v>1</v>
      </c>
      <c r="K2599" s="29" t="s">
        <v>208</v>
      </c>
      <c r="L2599" t="str">
        <f>IFERROR(VLOOKUP(Detalle_OC[[#This Row],[Centro]]&amp;Detalle_OC[[#This Row],[Nro Almacen]],Almacen!A:D,4,FALSE),"")</f>
        <v>Montelima</v>
      </c>
    </row>
    <row r="2600" spans="1:12" x14ac:dyDescent="0.3">
      <c r="A2600" s="29" t="str">
        <f>Detalle_OC[[#This Row],[Centro]]&amp;Detalle_OC[[#This Row],[Nom Almacen]]&amp;Detalle_OC[[#This Row],[Material]]&amp;Detalle_OC[[#This Row],[Pedido]]&amp;Detalle_OC[[#This Row],[Posicion]]</f>
        <v>Sucroalcolera del Chira PlantaMontelima70125572451156458140</v>
      </c>
      <c r="B2600" t="s">
        <v>202</v>
      </c>
      <c r="C2600" t="s">
        <v>319</v>
      </c>
      <c r="D2600" s="11">
        <v>45667</v>
      </c>
      <c r="E2600" t="s">
        <v>16</v>
      </c>
      <c r="F2600" t="s">
        <v>85</v>
      </c>
      <c r="G2600">
        <v>70125572</v>
      </c>
      <c r="H2600">
        <v>4511564581</v>
      </c>
      <c r="I2600">
        <v>40</v>
      </c>
      <c r="J2600" s="29">
        <v>1</v>
      </c>
      <c r="K2600" s="29" t="s">
        <v>208</v>
      </c>
      <c r="L2600" t="str">
        <f>IFERROR(VLOOKUP(Detalle_OC[[#This Row],[Centro]]&amp;Detalle_OC[[#This Row],[Nro Almacen]],Almacen!A:D,4,FALSE),"")</f>
        <v>Montelima</v>
      </c>
    </row>
    <row r="2601" spans="1:12" x14ac:dyDescent="0.3">
      <c r="A2601" s="29" t="str">
        <f>Detalle_OC[[#This Row],[Centro]]&amp;Detalle_OC[[#This Row],[Nom Almacen]]&amp;Detalle_OC[[#This Row],[Material]]&amp;Detalle_OC[[#This Row],[Pedido]]&amp;Detalle_OC[[#This Row],[Posicion]]</f>
        <v>Sucroalcolera del Chira PlantaMontelima70125573451156458150</v>
      </c>
      <c r="B2601" t="s">
        <v>202</v>
      </c>
      <c r="C2601" t="s">
        <v>319</v>
      </c>
      <c r="D2601" s="11">
        <v>45667</v>
      </c>
      <c r="E2601" t="s">
        <v>16</v>
      </c>
      <c r="F2601" t="s">
        <v>85</v>
      </c>
      <c r="G2601">
        <v>70125573</v>
      </c>
      <c r="H2601">
        <v>4511564581</v>
      </c>
      <c r="I2601">
        <v>50</v>
      </c>
      <c r="J2601" s="29">
        <v>1</v>
      </c>
      <c r="K2601" s="29" t="s">
        <v>208</v>
      </c>
      <c r="L2601" t="str">
        <f>IFERROR(VLOOKUP(Detalle_OC[[#This Row],[Centro]]&amp;Detalle_OC[[#This Row],[Nro Almacen]],Almacen!A:D,4,FALSE),"")</f>
        <v>Montelima</v>
      </c>
    </row>
    <row r="2602" spans="1:12" x14ac:dyDescent="0.3">
      <c r="A2602" s="29" t="str">
        <f>Detalle_OC[[#This Row],[Centro]]&amp;Detalle_OC[[#This Row],[Nom Almacen]]&amp;Detalle_OC[[#This Row],[Material]]&amp;Detalle_OC[[#This Row],[Pedido]]&amp;Detalle_OC[[#This Row],[Posicion]]</f>
        <v>Sucroalcolera del Chira PlantaMontelima70125574451156458160</v>
      </c>
      <c r="B2602" t="s">
        <v>202</v>
      </c>
      <c r="C2602" t="s">
        <v>319</v>
      </c>
      <c r="D2602" s="11">
        <v>45667</v>
      </c>
      <c r="E2602" t="s">
        <v>16</v>
      </c>
      <c r="F2602" t="s">
        <v>85</v>
      </c>
      <c r="G2602">
        <v>70125574</v>
      </c>
      <c r="H2602">
        <v>4511564581</v>
      </c>
      <c r="I2602">
        <v>60</v>
      </c>
      <c r="J2602" s="29">
        <v>1</v>
      </c>
      <c r="K2602" s="29" t="s">
        <v>208</v>
      </c>
      <c r="L2602" t="str">
        <f>IFERROR(VLOOKUP(Detalle_OC[[#This Row],[Centro]]&amp;Detalle_OC[[#This Row],[Nro Almacen]],Almacen!A:D,4,FALSE),"")</f>
        <v>Montelima</v>
      </c>
    </row>
    <row r="2603" spans="1:12" x14ac:dyDescent="0.3">
      <c r="A2603" s="29" t="str">
        <f>Detalle_OC[[#This Row],[Centro]]&amp;Detalle_OC[[#This Row],[Nom Almacen]]&amp;Detalle_OC[[#This Row],[Material]]&amp;Detalle_OC[[#This Row],[Pedido]]&amp;Detalle_OC[[#This Row],[Posicion]]</f>
        <v>Sucroalcolera del Chira PlantaMontelima824298451156464310</v>
      </c>
      <c r="B2603" t="s">
        <v>200</v>
      </c>
      <c r="C2603" t="s">
        <v>1215</v>
      </c>
      <c r="D2603" s="11">
        <v>45622</v>
      </c>
      <c r="E2603" t="s">
        <v>48</v>
      </c>
      <c r="F2603" t="s">
        <v>85</v>
      </c>
      <c r="G2603">
        <v>824298</v>
      </c>
      <c r="H2603">
        <v>4511564643</v>
      </c>
      <c r="I2603">
        <v>10</v>
      </c>
      <c r="J2603" s="29">
        <v>1</v>
      </c>
      <c r="K2603" s="29" t="s">
        <v>208</v>
      </c>
      <c r="L2603" t="str">
        <f>IFERROR(VLOOKUP(Detalle_OC[[#This Row],[Centro]]&amp;Detalle_OC[[#This Row],[Nro Almacen]],Almacen!A:D,4,FALSE),"")</f>
        <v>Montelima</v>
      </c>
    </row>
    <row r="2604" spans="1:12" x14ac:dyDescent="0.3">
      <c r="A2604" s="29" t="str">
        <f>Detalle_OC[[#This Row],[Centro]]&amp;Detalle_OC[[#This Row],[Nom Almacen]]&amp;Detalle_OC[[#This Row],[Material]]&amp;Detalle_OC[[#This Row],[Pedido]]&amp;Detalle_OC[[#This Row],[Posicion]]</f>
        <v>Agricola del Chira PlantaFERTI LOBO 2721426550002484430</v>
      </c>
      <c r="B2604" t="s">
        <v>28</v>
      </c>
      <c r="C2604" t="s">
        <v>88</v>
      </c>
      <c r="D2604" s="11">
        <v>45553</v>
      </c>
      <c r="E2604" t="s">
        <v>16</v>
      </c>
      <c r="F2604" t="s">
        <v>12</v>
      </c>
      <c r="G2604">
        <v>721426</v>
      </c>
      <c r="H2604">
        <v>5500024844</v>
      </c>
      <c r="I2604">
        <v>30</v>
      </c>
      <c r="J2604" s="29">
        <v>23</v>
      </c>
      <c r="K2604" s="29" t="s">
        <v>208</v>
      </c>
      <c r="L2604" t="str">
        <f>IFERROR(VLOOKUP(Detalle_OC[[#This Row],[Centro]]&amp;Detalle_OC[[#This Row],[Nro Almacen]],Almacen!A:D,4,FALSE),"")</f>
        <v>FERTI LOBO 2</v>
      </c>
    </row>
    <row r="2605" spans="1:12" x14ac:dyDescent="0.3">
      <c r="A2605" s="29" t="str">
        <f>Detalle_OC[[#This Row],[Centro]]&amp;Detalle_OC[[#This Row],[Nom Almacen]]&amp;Detalle_OC[[#This Row],[Material]]&amp;Detalle_OC[[#This Row],[Pedido]]&amp;Detalle_OC[[#This Row],[Posicion]]</f>
        <v>Agricola del Chira PlantaAlmacen Lobo70069183550002485550</v>
      </c>
      <c r="B2605" t="s">
        <v>28</v>
      </c>
      <c r="C2605" t="s">
        <v>96</v>
      </c>
      <c r="D2605" s="11">
        <v>45553</v>
      </c>
      <c r="E2605" t="s">
        <v>16</v>
      </c>
      <c r="F2605" t="s">
        <v>12</v>
      </c>
      <c r="G2605">
        <v>70069183</v>
      </c>
      <c r="H2605">
        <v>5500024855</v>
      </c>
      <c r="I2605">
        <v>50</v>
      </c>
      <c r="J2605" s="29">
        <v>7</v>
      </c>
      <c r="K2605" s="29" t="s">
        <v>208</v>
      </c>
      <c r="L2605" t="str">
        <f>IFERROR(VLOOKUP(Detalle_OC[[#This Row],[Centro]]&amp;Detalle_OC[[#This Row],[Nro Almacen]],Almacen!A:D,4,FALSE),"")</f>
        <v>Almacen Lobo</v>
      </c>
    </row>
    <row r="2606" spans="1:12" x14ac:dyDescent="0.3">
      <c r="A2606" s="29" t="str">
        <f>Detalle_OC[[#This Row],[Centro]]&amp;Detalle_OC[[#This Row],[Nom Almacen]]&amp;Detalle_OC[[#This Row],[Material]]&amp;Detalle_OC[[#This Row],[Pedido]]&amp;Detalle_OC[[#This Row],[Posicion]]</f>
        <v>Agricola del Chira PlantaLa Huaca7216695500024855190</v>
      </c>
      <c r="B2606" t="s">
        <v>28</v>
      </c>
      <c r="C2606" t="s">
        <v>96</v>
      </c>
      <c r="D2606" s="11">
        <v>45553</v>
      </c>
      <c r="E2606" t="s">
        <v>16</v>
      </c>
      <c r="F2606" t="s">
        <v>12</v>
      </c>
      <c r="G2606">
        <v>721669</v>
      </c>
      <c r="H2606">
        <v>5500024855</v>
      </c>
      <c r="I2606">
        <v>190</v>
      </c>
      <c r="J2606" s="29">
        <v>2</v>
      </c>
      <c r="K2606" s="29" t="s">
        <v>208</v>
      </c>
      <c r="L2606" t="str">
        <f>IFERROR(VLOOKUP(Detalle_OC[[#This Row],[Centro]]&amp;Detalle_OC[[#This Row],[Nro Almacen]],Almacen!A:D,4,FALSE),"")</f>
        <v>La Huaca</v>
      </c>
    </row>
    <row r="2607" spans="1:12" x14ac:dyDescent="0.3">
      <c r="A2607" s="29" t="str">
        <f>Detalle_OC[[#This Row],[Centro]]&amp;Detalle_OC[[#This Row],[Nom Almacen]]&amp;Detalle_OC[[#This Row],[Material]]&amp;Detalle_OC[[#This Row],[Pedido]]&amp;Detalle_OC[[#This Row],[Posicion]]</f>
        <v>Agricola del Chira PlantaMontelima721620451156451710</v>
      </c>
      <c r="B2607" t="s">
        <v>15</v>
      </c>
      <c r="C2607" t="s">
        <v>231</v>
      </c>
      <c r="D2607" s="11">
        <v>45565</v>
      </c>
      <c r="E2607" t="s">
        <v>16</v>
      </c>
      <c r="F2607" t="s">
        <v>12</v>
      </c>
      <c r="G2607">
        <v>721620</v>
      </c>
      <c r="H2607">
        <v>4511564517</v>
      </c>
      <c r="I2607">
        <v>10</v>
      </c>
      <c r="J2607" s="29">
        <v>1</v>
      </c>
      <c r="K2607" s="29" t="s">
        <v>219</v>
      </c>
      <c r="L2607" t="str">
        <f>IFERROR(VLOOKUP(Detalle_OC[[#This Row],[Centro]]&amp;Detalle_OC[[#This Row],[Nro Almacen]],Almacen!A:D,4,FALSE),"")</f>
        <v>Montelima</v>
      </c>
    </row>
    <row r="2608" spans="1:12" x14ac:dyDescent="0.3">
      <c r="A2608" s="29" t="str">
        <f>Detalle_OC[[#This Row],[Centro]]&amp;Detalle_OC[[#This Row],[Nom Almacen]]&amp;Detalle_OC[[#This Row],[Material]]&amp;Detalle_OC[[#This Row],[Pedido]]&amp;Detalle_OC[[#This Row],[Posicion]]</f>
        <v>Agricola del Chira PlantaMontelima70069177451156451720</v>
      </c>
      <c r="B2608" t="s">
        <v>15</v>
      </c>
      <c r="C2608" t="s">
        <v>231</v>
      </c>
      <c r="D2608" s="11">
        <v>45565</v>
      </c>
      <c r="E2608" t="s">
        <v>16</v>
      </c>
      <c r="F2608" t="s">
        <v>12</v>
      </c>
      <c r="G2608">
        <v>70069177</v>
      </c>
      <c r="H2608">
        <v>4511564517</v>
      </c>
      <c r="I2608">
        <v>20</v>
      </c>
      <c r="J2608" s="29">
        <v>1</v>
      </c>
      <c r="K2608" s="29" t="s">
        <v>219</v>
      </c>
      <c r="L2608" t="str">
        <f>IFERROR(VLOOKUP(Detalle_OC[[#This Row],[Centro]]&amp;Detalle_OC[[#This Row],[Nro Almacen]],Almacen!A:D,4,FALSE),"")</f>
        <v>Montelima</v>
      </c>
    </row>
    <row r="2609" spans="1:12" x14ac:dyDescent="0.3">
      <c r="A2609" s="29" t="str">
        <f>Detalle_OC[[#This Row],[Centro]]&amp;Detalle_OC[[#This Row],[Nom Almacen]]&amp;Detalle_OC[[#This Row],[Material]]&amp;Detalle_OC[[#This Row],[Pedido]]&amp;Detalle_OC[[#This Row],[Posicion]]</f>
        <v>Agricola del Chira PlantaMontelima723127451156451730</v>
      </c>
      <c r="B2609" t="s">
        <v>15</v>
      </c>
      <c r="C2609" t="s">
        <v>231</v>
      </c>
      <c r="D2609" s="11">
        <v>45565</v>
      </c>
      <c r="E2609" t="s">
        <v>16</v>
      </c>
      <c r="F2609" t="s">
        <v>12</v>
      </c>
      <c r="G2609">
        <v>723127</v>
      </c>
      <c r="H2609">
        <v>4511564517</v>
      </c>
      <c r="I2609">
        <v>30</v>
      </c>
      <c r="J2609" s="29">
        <v>1</v>
      </c>
      <c r="K2609" s="29" t="s">
        <v>219</v>
      </c>
      <c r="L2609" t="str">
        <f>IFERROR(VLOOKUP(Detalle_OC[[#This Row],[Centro]]&amp;Detalle_OC[[#This Row],[Nro Almacen]],Almacen!A:D,4,FALSE),"")</f>
        <v>Montelima</v>
      </c>
    </row>
    <row r="2610" spans="1:12" x14ac:dyDescent="0.3">
      <c r="A2610" s="29" t="str">
        <f>Detalle_OC[[#This Row],[Centro]]&amp;Detalle_OC[[#This Row],[Nom Almacen]]&amp;Detalle_OC[[#This Row],[Material]]&amp;Detalle_OC[[#This Row],[Pedido]]&amp;Detalle_OC[[#This Row],[Posicion]]</f>
        <v>Agricola del Chira PlantaMontelima721620451156451740</v>
      </c>
      <c r="B2610" t="s">
        <v>15</v>
      </c>
      <c r="C2610" t="s">
        <v>231</v>
      </c>
      <c r="D2610" s="11">
        <v>45565</v>
      </c>
      <c r="E2610" t="s">
        <v>16</v>
      </c>
      <c r="F2610" t="s">
        <v>12</v>
      </c>
      <c r="G2610">
        <v>721620</v>
      </c>
      <c r="H2610">
        <v>4511564517</v>
      </c>
      <c r="I2610">
        <v>40</v>
      </c>
      <c r="J2610" s="29">
        <v>1</v>
      </c>
      <c r="K2610" s="29" t="s">
        <v>219</v>
      </c>
      <c r="L2610" t="str">
        <f>IFERROR(VLOOKUP(Detalle_OC[[#This Row],[Centro]]&amp;Detalle_OC[[#This Row],[Nro Almacen]],Almacen!A:D,4,FALSE),"")</f>
        <v>Montelima</v>
      </c>
    </row>
    <row r="2611" spans="1:12" x14ac:dyDescent="0.3">
      <c r="A2611" s="29" t="str">
        <f>Detalle_OC[[#This Row],[Centro]]&amp;Detalle_OC[[#This Row],[Nom Almacen]]&amp;Detalle_OC[[#This Row],[Material]]&amp;Detalle_OC[[#This Row],[Pedido]]&amp;Detalle_OC[[#This Row],[Posicion]]</f>
        <v>Agricola del Chira PlantaSan Vicente808068451156451750</v>
      </c>
      <c r="B2611" t="s">
        <v>15</v>
      </c>
      <c r="C2611" t="s">
        <v>231</v>
      </c>
      <c r="D2611" s="11">
        <v>45565</v>
      </c>
      <c r="E2611" t="s">
        <v>16</v>
      </c>
      <c r="F2611" t="s">
        <v>12</v>
      </c>
      <c r="G2611">
        <v>808068</v>
      </c>
      <c r="H2611">
        <v>4511564517</v>
      </c>
      <c r="I2611">
        <v>50</v>
      </c>
      <c r="J2611" s="29">
        <v>3</v>
      </c>
      <c r="K2611" s="29" t="s">
        <v>219</v>
      </c>
      <c r="L2611" t="str">
        <f>IFERROR(VLOOKUP(Detalle_OC[[#This Row],[Centro]]&amp;Detalle_OC[[#This Row],[Nro Almacen]],Almacen!A:D,4,FALSE),"")</f>
        <v>San Vicente</v>
      </c>
    </row>
    <row r="2612" spans="1:12" x14ac:dyDescent="0.3">
      <c r="A2612" s="29" t="str">
        <f>Detalle_OC[[#This Row],[Centro]]&amp;Detalle_OC[[#This Row],[Nom Almacen]]&amp;Detalle_OC[[#This Row],[Material]]&amp;Detalle_OC[[#This Row],[Pedido]]&amp;Detalle_OC[[#This Row],[Posicion]]</f>
        <v>Agricola del Chira PlantaAlmacen Lobo70069177451156451760</v>
      </c>
      <c r="B2612" t="s">
        <v>15</v>
      </c>
      <c r="C2612" t="s">
        <v>231</v>
      </c>
      <c r="D2612" s="11">
        <v>45565</v>
      </c>
      <c r="E2612" t="s">
        <v>16</v>
      </c>
      <c r="F2612" t="s">
        <v>12</v>
      </c>
      <c r="G2612">
        <v>70069177</v>
      </c>
      <c r="H2612">
        <v>4511564517</v>
      </c>
      <c r="I2612">
        <v>60</v>
      </c>
      <c r="J2612" s="29">
        <v>7</v>
      </c>
      <c r="K2612" s="29" t="s">
        <v>219</v>
      </c>
      <c r="L2612" t="str">
        <f>IFERROR(VLOOKUP(Detalle_OC[[#This Row],[Centro]]&amp;Detalle_OC[[#This Row],[Nro Almacen]],Almacen!A:D,4,FALSE),"")</f>
        <v>Almacen Lobo</v>
      </c>
    </row>
    <row r="2613" spans="1:12" x14ac:dyDescent="0.3">
      <c r="A2613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2613" t="s">
        <v>28</v>
      </c>
      <c r="C2613" t="s">
        <v>54</v>
      </c>
      <c r="D2613" s="11">
        <v>45552</v>
      </c>
      <c r="E2613" t="s">
        <v>16</v>
      </c>
      <c r="F2613" t="s">
        <v>12</v>
      </c>
      <c r="G2613">
        <v>70100392</v>
      </c>
      <c r="H2613">
        <v>5500024751</v>
      </c>
      <c r="I2613">
        <v>20</v>
      </c>
      <c r="J2613" s="29">
        <v>2</v>
      </c>
      <c r="K2613" s="29" t="s">
        <v>219</v>
      </c>
      <c r="L2613" t="str">
        <f>IFERROR(VLOOKUP(Detalle_OC[[#This Row],[Centro]]&amp;Detalle_OC[[#This Row],[Nro Almacen]],Almacen!A:D,4,FALSE),"")</f>
        <v>La Huaca</v>
      </c>
    </row>
    <row r="2614" spans="1:12" x14ac:dyDescent="0.3">
      <c r="A2614" s="29" t="str">
        <f>Detalle_OC[[#This Row],[Centro]]&amp;Detalle_OC[[#This Row],[Nom Almacen]]&amp;Detalle_OC[[#This Row],[Material]]&amp;Detalle_OC[[#This Row],[Pedido]]&amp;Detalle_OC[[#This Row],[Posicion]]</f>
        <v>Agricola del Chira PlantaSan Vicente70100392550002475130</v>
      </c>
      <c r="B2614" t="s">
        <v>28</v>
      </c>
      <c r="C2614" t="s">
        <v>54</v>
      </c>
      <c r="D2614" s="11">
        <v>45552</v>
      </c>
      <c r="E2614" t="s">
        <v>16</v>
      </c>
      <c r="F2614" t="s">
        <v>12</v>
      </c>
      <c r="G2614">
        <v>70100392</v>
      </c>
      <c r="H2614">
        <v>5500024751</v>
      </c>
      <c r="I2614">
        <v>30</v>
      </c>
      <c r="J2614" s="29">
        <v>3</v>
      </c>
      <c r="K2614" s="29" t="s">
        <v>219</v>
      </c>
      <c r="L2614" t="str">
        <f>IFERROR(VLOOKUP(Detalle_OC[[#This Row],[Centro]]&amp;Detalle_OC[[#This Row],[Nro Almacen]],Almacen!A:D,4,FALSE),"")</f>
        <v>San Vicente</v>
      </c>
    </row>
    <row r="2615" spans="1:12" x14ac:dyDescent="0.3">
      <c r="A2615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2615" t="s">
        <v>28</v>
      </c>
      <c r="C2615" t="s">
        <v>54</v>
      </c>
      <c r="D2615" s="11">
        <v>45552</v>
      </c>
      <c r="E2615" t="s">
        <v>16</v>
      </c>
      <c r="F2615" t="s">
        <v>12</v>
      </c>
      <c r="G2615">
        <v>70100392</v>
      </c>
      <c r="H2615">
        <v>5500024751</v>
      </c>
      <c r="I2615">
        <v>40</v>
      </c>
      <c r="J2615" s="29">
        <v>7</v>
      </c>
      <c r="K2615" s="29" t="s">
        <v>219</v>
      </c>
      <c r="L2615" t="str">
        <f>IFERROR(VLOOKUP(Detalle_OC[[#This Row],[Centro]]&amp;Detalle_OC[[#This Row],[Nro Almacen]],Almacen!A:D,4,FALSE),"")</f>
        <v>Almacen Lobo</v>
      </c>
    </row>
    <row r="2616" spans="1:12" x14ac:dyDescent="0.3">
      <c r="A2616" s="29" t="str">
        <f>Detalle_OC[[#This Row],[Centro]]&amp;Detalle_OC[[#This Row],[Nom Almacen]]&amp;Detalle_OC[[#This Row],[Material]]&amp;Detalle_OC[[#This Row],[Pedido]]&amp;Detalle_OC[[#This Row],[Posicion]]</f>
        <v>Sucroalcolera del Chira PlantaMontelima897892451156434110</v>
      </c>
      <c r="B2616" t="s">
        <v>151</v>
      </c>
      <c r="C2616" t="s">
        <v>1216</v>
      </c>
      <c r="D2616" s="11">
        <v>45656</v>
      </c>
      <c r="E2616" t="s">
        <v>51</v>
      </c>
      <c r="F2616" t="s">
        <v>85</v>
      </c>
      <c r="G2616">
        <v>897892</v>
      </c>
      <c r="H2616">
        <v>4511564341</v>
      </c>
      <c r="I2616">
        <v>10</v>
      </c>
      <c r="J2616" s="29">
        <v>1</v>
      </c>
      <c r="K2616" s="29" t="s">
        <v>236</v>
      </c>
      <c r="L2616" t="str">
        <f>IFERROR(VLOOKUP(Detalle_OC[[#This Row],[Centro]]&amp;Detalle_OC[[#This Row],[Nro Almacen]],Almacen!A:D,4,FALSE),"")</f>
        <v>Montelima</v>
      </c>
    </row>
    <row r="2617" spans="1:12" x14ac:dyDescent="0.3">
      <c r="A2617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2617" t="s">
        <v>28</v>
      </c>
      <c r="C2617" t="s">
        <v>94</v>
      </c>
      <c r="D2617" s="11">
        <v>45551</v>
      </c>
      <c r="E2617" t="s">
        <v>16</v>
      </c>
      <c r="F2617" t="s">
        <v>85</v>
      </c>
      <c r="G2617" t="s">
        <v>95</v>
      </c>
      <c r="H2617">
        <v>5500024746</v>
      </c>
      <c r="I2617">
        <v>10</v>
      </c>
      <c r="J2617" s="29">
        <v>1</v>
      </c>
      <c r="K2617" s="29" t="s">
        <v>236</v>
      </c>
      <c r="L2617" t="str">
        <f>IFERROR(VLOOKUP(Detalle_OC[[#This Row],[Centro]]&amp;Detalle_OC[[#This Row],[Nro Almacen]],Almacen!A:D,4,FALSE),"")</f>
        <v>Montelima</v>
      </c>
    </row>
    <row r="2618" spans="1:12" x14ac:dyDescent="0.3">
      <c r="A2618" s="29" t="str">
        <f>Detalle_OC[[#This Row],[Centro]]&amp;Detalle_OC[[#This Row],[Nom Almacen]]&amp;Detalle_OC[[#This Row],[Material]]&amp;Detalle_OC[[#This Row],[Pedido]]&amp;Detalle_OC[[#This Row],[Posicion]]</f>
        <v>Agricola del Chira PlantaMontelima70100392550002475110</v>
      </c>
      <c r="B2618" t="s">
        <v>28</v>
      </c>
      <c r="C2618" t="s">
        <v>54</v>
      </c>
      <c r="D2618" s="11">
        <v>45551</v>
      </c>
      <c r="E2618" t="s">
        <v>16</v>
      </c>
      <c r="F2618" t="s">
        <v>12</v>
      </c>
      <c r="G2618">
        <v>70100392</v>
      </c>
      <c r="H2618">
        <v>5500024751</v>
      </c>
      <c r="I2618">
        <v>10</v>
      </c>
      <c r="J2618" s="29">
        <v>1</v>
      </c>
      <c r="K2618" s="29" t="s">
        <v>236</v>
      </c>
      <c r="L2618" t="str">
        <f>IFERROR(VLOOKUP(Detalle_OC[[#This Row],[Centro]]&amp;Detalle_OC[[#This Row],[Nro Almacen]],Almacen!A:D,4,FALSE),"")</f>
        <v>Montelima</v>
      </c>
    </row>
    <row r="2619" spans="1:12" x14ac:dyDescent="0.3">
      <c r="A2619" s="29" t="str">
        <f>Detalle_OC[[#This Row],[Centro]]&amp;Detalle_OC[[#This Row],[Nom Almacen]]&amp;Detalle_OC[[#This Row],[Material]]&amp;Detalle_OC[[#This Row],[Pedido]]&amp;Detalle_OC[[#This Row],[Posicion]]</f>
        <v>Agricola del Chira PlantaFERTI LOBO 2MWAGR000058       550002481530</v>
      </c>
      <c r="B2619" t="s">
        <v>28</v>
      </c>
      <c r="C2619" t="s">
        <v>112</v>
      </c>
      <c r="D2619" s="11">
        <v>45551</v>
      </c>
      <c r="E2619" t="s">
        <v>16</v>
      </c>
      <c r="F2619" t="s">
        <v>12</v>
      </c>
      <c r="G2619" t="s">
        <v>113</v>
      </c>
      <c r="H2619">
        <v>5500024815</v>
      </c>
      <c r="I2619">
        <v>30</v>
      </c>
      <c r="J2619" s="29">
        <v>23</v>
      </c>
      <c r="K2619" s="29" t="s">
        <v>236</v>
      </c>
      <c r="L2619" t="str">
        <f>IFERROR(VLOOKUP(Detalle_OC[[#This Row],[Centro]]&amp;Detalle_OC[[#This Row],[Nro Almacen]],Almacen!A:D,4,FALSE),"")</f>
        <v>FERTI LOBO 2</v>
      </c>
    </row>
    <row r="2620" spans="1:12" x14ac:dyDescent="0.3">
      <c r="A2620" s="29" t="str">
        <f>Detalle_OC[[#This Row],[Centro]]&amp;Detalle_OC[[#This Row],[Nom Almacen]]&amp;Detalle_OC[[#This Row],[Material]]&amp;Detalle_OC[[#This Row],[Pedido]]&amp;Detalle_OC[[#This Row],[Posicion]]</f>
        <v>Agricola del Chira PlantaMontelima721426550002484450</v>
      </c>
      <c r="B2620" t="s">
        <v>28</v>
      </c>
      <c r="C2620" t="s">
        <v>88</v>
      </c>
      <c r="D2620" s="11">
        <v>45551</v>
      </c>
      <c r="E2620" t="s">
        <v>16</v>
      </c>
      <c r="F2620" t="s">
        <v>12</v>
      </c>
      <c r="G2620">
        <v>721426</v>
      </c>
      <c r="H2620">
        <v>5500024844</v>
      </c>
      <c r="I2620">
        <v>50</v>
      </c>
      <c r="J2620" s="29">
        <v>1</v>
      </c>
      <c r="K2620" s="29" t="s">
        <v>236</v>
      </c>
      <c r="L2620" t="str">
        <f>IFERROR(VLOOKUP(Detalle_OC[[#This Row],[Centro]]&amp;Detalle_OC[[#This Row],[Nro Almacen]],Almacen!A:D,4,FALSE),"")</f>
        <v>Montelima</v>
      </c>
    </row>
    <row r="2621" spans="1:12" x14ac:dyDescent="0.3">
      <c r="A2621" s="29" t="str">
        <f>Detalle_OC[[#This Row],[Centro]]&amp;Detalle_OC[[#This Row],[Nom Almacen]]&amp;Detalle_OC[[#This Row],[Material]]&amp;Detalle_OC[[#This Row],[Pedido]]&amp;Detalle_OC[[#This Row],[Posicion]]</f>
        <v>Agricola del Chira PlantaMontelima721556550002485560</v>
      </c>
      <c r="B2621" t="s">
        <v>28</v>
      </c>
      <c r="C2621" t="s">
        <v>96</v>
      </c>
      <c r="D2621" s="11">
        <v>45558</v>
      </c>
      <c r="E2621" t="s">
        <v>16</v>
      </c>
      <c r="F2621" t="s">
        <v>12</v>
      </c>
      <c r="G2621">
        <v>721556</v>
      </c>
      <c r="H2621">
        <v>5500024855</v>
      </c>
      <c r="I2621">
        <v>60</v>
      </c>
      <c r="J2621" s="29">
        <v>1</v>
      </c>
      <c r="K2621" s="29" t="s">
        <v>239</v>
      </c>
      <c r="L2621" t="str">
        <f>IFERROR(VLOOKUP(Detalle_OC[[#This Row],[Centro]]&amp;Detalle_OC[[#This Row],[Nro Almacen]],Almacen!A:D,4,FALSE),"")</f>
        <v>Montelima</v>
      </c>
    </row>
    <row r="2622" spans="1:12" x14ac:dyDescent="0.3">
      <c r="A2622" s="29" t="str">
        <f>Detalle_OC[[#This Row],[Centro]]&amp;Detalle_OC[[#This Row],[Nom Almacen]]&amp;Detalle_OC[[#This Row],[Material]]&amp;Detalle_OC[[#This Row],[Pedido]]&amp;Detalle_OC[[#This Row],[Posicion]]</f>
        <v>Agricola del Chira PlantaMontelima7773055500024855280</v>
      </c>
      <c r="B2622" t="s">
        <v>28</v>
      </c>
      <c r="C2622" t="s">
        <v>96</v>
      </c>
      <c r="D2622" s="11">
        <v>45558</v>
      </c>
      <c r="E2622" t="s">
        <v>16</v>
      </c>
      <c r="F2622" t="s">
        <v>12</v>
      </c>
      <c r="G2622">
        <v>777305</v>
      </c>
      <c r="H2622">
        <v>5500024855</v>
      </c>
      <c r="I2622">
        <v>280</v>
      </c>
      <c r="J2622" s="29">
        <v>1</v>
      </c>
      <c r="K2622" s="29" t="s">
        <v>239</v>
      </c>
      <c r="L2622" t="str">
        <f>IFERROR(VLOOKUP(Detalle_OC[[#This Row],[Centro]]&amp;Detalle_OC[[#This Row],[Nro Almacen]],Almacen!A:D,4,FALSE),"")</f>
        <v>Montelima</v>
      </c>
    </row>
    <row r="2623" spans="1:12" x14ac:dyDescent="0.3">
      <c r="A2623" s="29" t="str">
        <f>Detalle_OC[[#This Row],[Centro]]&amp;Detalle_OC[[#This Row],[Nom Almacen]]&amp;Detalle_OC[[#This Row],[Material]]&amp;Detalle_OC[[#This Row],[Pedido]]&amp;Detalle_OC[[#This Row],[Posicion]]</f>
        <v>Agricola del Chira PlantaMontelima824298451156428410</v>
      </c>
      <c r="B2623" t="s">
        <v>200</v>
      </c>
      <c r="C2623" t="s">
        <v>1215</v>
      </c>
      <c r="D2623" s="11">
        <v>45621</v>
      </c>
      <c r="E2623" t="s">
        <v>48</v>
      </c>
      <c r="F2623" t="s">
        <v>12</v>
      </c>
      <c r="G2623">
        <v>824298</v>
      </c>
      <c r="H2623">
        <v>4511564284</v>
      </c>
      <c r="I2623">
        <v>10</v>
      </c>
      <c r="J2623" s="29">
        <v>1</v>
      </c>
      <c r="K2623" s="29" t="s">
        <v>244</v>
      </c>
      <c r="L2623" t="str">
        <f>IFERROR(VLOOKUP(Detalle_OC[[#This Row],[Centro]]&amp;Detalle_OC[[#This Row],[Nro Almacen]],Almacen!A:D,4,FALSE),"")</f>
        <v>Montelima</v>
      </c>
    </row>
    <row r="2624" spans="1:12" x14ac:dyDescent="0.3">
      <c r="A2624" s="29" t="str">
        <f>Detalle_OC[[#This Row],[Centro]]&amp;Detalle_OC[[#This Row],[Nom Almacen]]&amp;Detalle_OC[[#This Row],[Material]]&amp;Detalle_OC[[#This Row],[Pedido]]&amp;Detalle_OC[[#This Row],[Posicion]]</f>
        <v>Agricola del Chira PlantaMontelima824298451156428420</v>
      </c>
      <c r="B2624" t="s">
        <v>200</v>
      </c>
      <c r="C2624" t="s">
        <v>1215</v>
      </c>
      <c r="D2624" s="11">
        <v>45621</v>
      </c>
      <c r="E2624" t="s">
        <v>48</v>
      </c>
      <c r="F2624" t="s">
        <v>12</v>
      </c>
      <c r="G2624">
        <v>824298</v>
      </c>
      <c r="H2624">
        <v>4511564284</v>
      </c>
      <c r="I2624">
        <v>20</v>
      </c>
      <c r="J2624" s="29">
        <v>1</v>
      </c>
      <c r="K2624" s="29" t="s">
        <v>244</v>
      </c>
      <c r="L2624" t="str">
        <f>IFERROR(VLOOKUP(Detalle_OC[[#This Row],[Centro]]&amp;Detalle_OC[[#This Row],[Nro Almacen]],Almacen!A:D,4,FALSE),"")</f>
        <v>Montelima</v>
      </c>
    </row>
    <row r="2625" spans="1:12" x14ac:dyDescent="0.3">
      <c r="A2625" s="29" t="str">
        <f>Detalle_OC[[#This Row],[Centro]]&amp;Detalle_OC[[#This Row],[Nom Almacen]]&amp;Detalle_OC[[#This Row],[Material]]&amp;Detalle_OC[[#This Row],[Pedido]]&amp;Detalle_OC[[#This Row],[Posicion]]</f>
        <v>Agricola del Chira PlantaMontelima824298451156428430</v>
      </c>
      <c r="B2625" t="s">
        <v>200</v>
      </c>
      <c r="C2625" t="s">
        <v>1215</v>
      </c>
      <c r="D2625" s="11">
        <v>45621</v>
      </c>
      <c r="E2625" t="s">
        <v>48</v>
      </c>
      <c r="F2625" t="s">
        <v>12</v>
      </c>
      <c r="G2625">
        <v>824298</v>
      </c>
      <c r="H2625">
        <v>4511564284</v>
      </c>
      <c r="I2625">
        <v>30</v>
      </c>
      <c r="J2625" s="29">
        <v>1</v>
      </c>
      <c r="K2625" s="29" t="s">
        <v>244</v>
      </c>
      <c r="L2625" t="str">
        <f>IFERROR(VLOOKUP(Detalle_OC[[#This Row],[Centro]]&amp;Detalle_OC[[#This Row],[Nro Almacen]],Almacen!A:D,4,FALSE),"")</f>
        <v>Montelima</v>
      </c>
    </row>
    <row r="2626" spans="1:12" x14ac:dyDescent="0.3">
      <c r="A2626" s="29" t="str">
        <f>Detalle_OC[[#This Row],[Centro]]&amp;Detalle_OC[[#This Row],[Nom Almacen]]&amp;Detalle_OC[[#This Row],[Material]]&amp;Detalle_OC[[#This Row],[Pedido]]&amp;Detalle_OC[[#This Row],[Posicion]]</f>
        <v>Agricola del Chira PlantaMontelima824298451156428440</v>
      </c>
      <c r="B2626" t="s">
        <v>200</v>
      </c>
      <c r="C2626" t="s">
        <v>1215</v>
      </c>
      <c r="D2626" s="11">
        <v>45621</v>
      </c>
      <c r="E2626" t="s">
        <v>48</v>
      </c>
      <c r="F2626" t="s">
        <v>12</v>
      </c>
      <c r="G2626">
        <v>824298</v>
      </c>
      <c r="H2626">
        <v>4511564284</v>
      </c>
      <c r="I2626">
        <v>40</v>
      </c>
      <c r="J2626" s="29">
        <v>1</v>
      </c>
      <c r="K2626" s="29" t="s">
        <v>244</v>
      </c>
      <c r="L2626" t="str">
        <f>IFERROR(VLOOKUP(Detalle_OC[[#This Row],[Centro]]&amp;Detalle_OC[[#This Row],[Nro Almacen]],Almacen!A:D,4,FALSE),"")</f>
        <v>Montelima</v>
      </c>
    </row>
    <row r="2627" spans="1:12" x14ac:dyDescent="0.3">
      <c r="A2627" s="29" t="str">
        <f>Detalle_OC[[#This Row],[Centro]]&amp;Detalle_OC[[#This Row],[Nom Almacen]]&amp;Detalle_OC[[#This Row],[Material]]&amp;Detalle_OC[[#This Row],[Pedido]]&amp;Detalle_OC[[#This Row],[Posicion]]</f>
        <v>Agricola del Chira PlantaMontelima824298451156428450</v>
      </c>
      <c r="B2627" t="s">
        <v>200</v>
      </c>
      <c r="C2627" t="s">
        <v>1215</v>
      </c>
      <c r="D2627" s="11">
        <v>45621</v>
      </c>
      <c r="E2627" t="s">
        <v>48</v>
      </c>
      <c r="F2627" t="s">
        <v>12</v>
      </c>
      <c r="G2627">
        <v>824298</v>
      </c>
      <c r="H2627">
        <v>4511564284</v>
      </c>
      <c r="I2627">
        <v>50</v>
      </c>
      <c r="J2627" s="29">
        <v>1</v>
      </c>
      <c r="K2627" s="29" t="s">
        <v>244</v>
      </c>
      <c r="L2627" t="str">
        <f>IFERROR(VLOOKUP(Detalle_OC[[#This Row],[Centro]]&amp;Detalle_OC[[#This Row],[Nro Almacen]],Almacen!A:D,4,FALSE),"")</f>
        <v>Montelima</v>
      </c>
    </row>
    <row r="2628" spans="1:12" x14ac:dyDescent="0.3">
      <c r="A2628" s="29" t="str">
        <f>Detalle_OC[[#This Row],[Centro]]&amp;Detalle_OC[[#This Row],[Nom Almacen]]&amp;Detalle_OC[[#This Row],[Material]]&amp;Detalle_OC[[#This Row],[Pedido]]&amp;Detalle_OC[[#This Row],[Posicion]]</f>
        <v>Agricola del Chira PlantaMontelima824298451156428460</v>
      </c>
      <c r="B2628" t="s">
        <v>200</v>
      </c>
      <c r="C2628" t="s">
        <v>1215</v>
      </c>
      <c r="D2628" s="11">
        <v>45621</v>
      </c>
      <c r="E2628" t="s">
        <v>48</v>
      </c>
      <c r="F2628" t="s">
        <v>12</v>
      </c>
      <c r="G2628">
        <v>824298</v>
      </c>
      <c r="H2628">
        <v>4511564284</v>
      </c>
      <c r="I2628">
        <v>60</v>
      </c>
      <c r="J2628" s="29">
        <v>1</v>
      </c>
      <c r="K2628" s="29" t="s">
        <v>244</v>
      </c>
      <c r="L2628" t="str">
        <f>IFERROR(VLOOKUP(Detalle_OC[[#This Row],[Centro]]&amp;Detalle_OC[[#This Row],[Nro Almacen]],Almacen!A:D,4,FALSE),"")</f>
        <v>Montelima</v>
      </c>
    </row>
    <row r="2629" spans="1:12" x14ac:dyDescent="0.3">
      <c r="A2629" s="29" t="str">
        <f>Detalle_OC[[#This Row],[Centro]]&amp;Detalle_OC[[#This Row],[Nom Almacen]]&amp;Detalle_OC[[#This Row],[Material]]&amp;Detalle_OC[[#This Row],[Pedido]]&amp;Detalle_OC[[#This Row],[Posicion]]</f>
        <v>Agricola del Chira PlantaMontelima824298451156428470</v>
      </c>
      <c r="B2629" t="s">
        <v>200</v>
      </c>
      <c r="C2629" t="s">
        <v>1215</v>
      </c>
      <c r="D2629" s="11">
        <v>45621</v>
      </c>
      <c r="E2629" t="s">
        <v>48</v>
      </c>
      <c r="F2629" t="s">
        <v>12</v>
      </c>
      <c r="G2629">
        <v>824298</v>
      </c>
      <c r="H2629">
        <v>4511564284</v>
      </c>
      <c r="I2629">
        <v>70</v>
      </c>
      <c r="J2629" s="29">
        <v>1</v>
      </c>
      <c r="K2629" s="29" t="s">
        <v>244</v>
      </c>
      <c r="L2629" t="str">
        <f>IFERROR(VLOOKUP(Detalle_OC[[#This Row],[Centro]]&amp;Detalle_OC[[#This Row],[Nro Almacen]],Almacen!A:D,4,FALSE),"")</f>
        <v>Montelima</v>
      </c>
    </row>
    <row r="2630" spans="1:12" x14ac:dyDescent="0.3">
      <c r="A2630" s="29" t="str">
        <f>Detalle_OC[[#This Row],[Centro]]&amp;Detalle_OC[[#This Row],[Nom Almacen]]&amp;Detalle_OC[[#This Row],[Material]]&amp;Detalle_OC[[#This Row],[Pedido]]&amp;Detalle_OC[[#This Row],[Posicion]]</f>
        <v>Agricola del Chira PlantaMontelima824298451156428480</v>
      </c>
      <c r="B2630" t="s">
        <v>200</v>
      </c>
      <c r="C2630" t="s">
        <v>1215</v>
      </c>
      <c r="D2630" s="11">
        <v>45621</v>
      </c>
      <c r="E2630" t="s">
        <v>48</v>
      </c>
      <c r="F2630" t="s">
        <v>12</v>
      </c>
      <c r="G2630">
        <v>824298</v>
      </c>
      <c r="H2630">
        <v>4511564284</v>
      </c>
      <c r="I2630">
        <v>80</v>
      </c>
      <c r="J2630" s="29">
        <v>1</v>
      </c>
      <c r="K2630" s="29" t="s">
        <v>244</v>
      </c>
      <c r="L2630" t="str">
        <f>IFERROR(VLOOKUP(Detalle_OC[[#This Row],[Centro]]&amp;Detalle_OC[[#This Row],[Nro Almacen]],Almacen!A:D,4,FALSE),"")</f>
        <v>Montelima</v>
      </c>
    </row>
    <row r="2631" spans="1:12" x14ac:dyDescent="0.3">
      <c r="A2631" s="29" t="str">
        <f>Detalle_OC[[#This Row],[Centro]]&amp;Detalle_OC[[#This Row],[Nom Almacen]]&amp;Detalle_OC[[#This Row],[Material]]&amp;Detalle_OC[[#This Row],[Pedido]]&amp;Detalle_OC[[#This Row],[Posicion]]</f>
        <v>Agricola del Chira PlantaMontelima824298451156428490</v>
      </c>
      <c r="B2631" t="s">
        <v>200</v>
      </c>
      <c r="C2631" t="s">
        <v>1215</v>
      </c>
      <c r="D2631" s="11">
        <v>45621</v>
      </c>
      <c r="E2631" t="s">
        <v>48</v>
      </c>
      <c r="F2631" t="s">
        <v>12</v>
      </c>
      <c r="G2631">
        <v>824298</v>
      </c>
      <c r="H2631">
        <v>4511564284</v>
      </c>
      <c r="I2631">
        <v>90</v>
      </c>
      <c r="J2631" s="29">
        <v>1</v>
      </c>
      <c r="K2631" s="29" t="s">
        <v>244</v>
      </c>
      <c r="L2631" t="str">
        <f>IFERROR(VLOOKUP(Detalle_OC[[#This Row],[Centro]]&amp;Detalle_OC[[#This Row],[Nro Almacen]],Almacen!A:D,4,FALSE),"")</f>
        <v>Montelima</v>
      </c>
    </row>
    <row r="2632" spans="1:12" x14ac:dyDescent="0.3">
      <c r="A2632" s="29" t="str">
        <f>Detalle_OC[[#This Row],[Centro]]&amp;Detalle_OC[[#This Row],[Nom Almacen]]&amp;Detalle_OC[[#This Row],[Material]]&amp;Detalle_OC[[#This Row],[Pedido]]&amp;Detalle_OC[[#This Row],[Posicion]]</f>
        <v>Agricola del Chira PlantaMontelima8242984511564284100</v>
      </c>
      <c r="B2632" t="s">
        <v>200</v>
      </c>
      <c r="C2632" t="s">
        <v>1215</v>
      </c>
      <c r="D2632" s="11">
        <v>45621</v>
      </c>
      <c r="E2632" t="s">
        <v>48</v>
      </c>
      <c r="F2632" t="s">
        <v>12</v>
      </c>
      <c r="G2632">
        <v>824298</v>
      </c>
      <c r="H2632">
        <v>4511564284</v>
      </c>
      <c r="I2632">
        <v>100</v>
      </c>
      <c r="J2632" s="29">
        <v>1</v>
      </c>
      <c r="K2632" s="29" t="s">
        <v>244</v>
      </c>
      <c r="L2632" t="str">
        <f>IFERROR(VLOOKUP(Detalle_OC[[#This Row],[Centro]]&amp;Detalle_OC[[#This Row],[Nro Almacen]],Almacen!A:D,4,FALSE),"")</f>
        <v>Montelima</v>
      </c>
    </row>
    <row r="2633" spans="1:12" x14ac:dyDescent="0.3">
      <c r="A2633" s="29" t="str">
        <f>Detalle_OC[[#This Row],[Centro]]&amp;Detalle_OC[[#This Row],[Nom Almacen]]&amp;Detalle_OC[[#This Row],[Material]]&amp;Detalle_OC[[#This Row],[Pedido]]&amp;Detalle_OC[[#This Row],[Posicion]]</f>
        <v>Agricola del Chira PlantaMontelima8242984511564284110</v>
      </c>
      <c r="B2633" t="s">
        <v>200</v>
      </c>
      <c r="C2633" t="s">
        <v>1215</v>
      </c>
      <c r="D2633" s="11">
        <v>45621</v>
      </c>
      <c r="E2633" t="s">
        <v>48</v>
      </c>
      <c r="F2633" t="s">
        <v>12</v>
      </c>
      <c r="G2633">
        <v>824298</v>
      </c>
      <c r="H2633">
        <v>4511564284</v>
      </c>
      <c r="I2633">
        <v>110</v>
      </c>
      <c r="J2633" s="29">
        <v>1</v>
      </c>
      <c r="K2633" s="29" t="s">
        <v>244</v>
      </c>
      <c r="L2633" t="str">
        <f>IFERROR(VLOOKUP(Detalle_OC[[#This Row],[Centro]]&amp;Detalle_OC[[#This Row],[Nro Almacen]],Almacen!A:D,4,FALSE),"")</f>
        <v>Montelima</v>
      </c>
    </row>
    <row r="2634" spans="1:12" x14ac:dyDescent="0.3">
      <c r="A2634" s="29" t="str">
        <f>Detalle_OC[[#This Row],[Centro]]&amp;Detalle_OC[[#This Row],[Nom Almacen]]&amp;Detalle_OC[[#This Row],[Material]]&amp;Detalle_OC[[#This Row],[Pedido]]&amp;Detalle_OC[[#This Row],[Posicion]]</f>
        <v>Agricola del Chira PlantaMontelima8242984511564284120</v>
      </c>
      <c r="B2634" t="s">
        <v>200</v>
      </c>
      <c r="C2634" t="s">
        <v>1215</v>
      </c>
      <c r="D2634" s="11">
        <v>45621</v>
      </c>
      <c r="E2634" t="s">
        <v>48</v>
      </c>
      <c r="F2634" t="s">
        <v>12</v>
      </c>
      <c r="G2634">
        <v>824298</v>
      </c>
      <c r="H2634">
        <v>4511564284</v>
      </c>
      <c r="I2634">
        <v>120</v>
      </c>
      <c r="J2634" s="29">
        <v>1</v>
      </c>
      <c r="K2634" s="29" t="s">
        <v>244</v>
      </c>
      <c r="L2634" t="str">
        <f>IFERROR(VLOOKUP(Detalle_OC[[#This Row],[Centro]]&amp;Detalle_OC[[#This Row],[Nro Almacen]],Almacen!A:D,4,FALSE),"")</f>
        <v>Montelima</v>
      </c>
    </row>
    <row r="2635" spans="1:12" x14ac:dyDescent="0.3">
      <c r="A2635" s="29" t="str">
        <f>Detalle_OC[[#This Row],[Centro]]&amp;Detalle_OC[[#This Row],[Nom Almacen]]&amp;Detalle_OC[[#This Row],[Material]]&amp;Detalle_OC[[#This Row],[Pedido]]&amp;Detalle_OC[[#This Row],[Posicion]]</f>
        <v>Agricola del Chira PlantaMontelima8242984511564284130</v>
      </c>
      <c r="B2635" t="s">
        <v>200</v>
      </c>
      <c r="C2635" t="s">
        <v>1215</v>
      </c>
      <c r="D2635" s="11">
        <v>45621</v>
      </c>
      <c r="E2635" t="s">
        <v>48</v>
      </c>
      <c r="F2635" t="s">
        <v>12</v>
      </c>
      <c r="G2635">
        <v>824298</v>
      </c>
      <c r="H2635">
        <v>4511564284</v>
      </c>
      <c r="I2635">
        <v>130</v>
      </c>
      <c r="J2635" s="29">
        <v>1</v>
      </c>
      <c r="K2635" s="29" t="s">
        <v>244</v>
      </c>
      <c r="L2635" t="str">
        <f>IFERROR(VLOOKUP(Detalle_OC[[#This Row],[Centro]]&amp;Detalle_OC[[#This Row],[Nro Almacen]],Almacen!A:D,4,FALSE),"")</f>
        <v>Montelima</v>
      </c>
    </row>
    <row r="2636" spans="1:12" x14ac:dyDescent="0.3">
      <c r="A2636" s="29" t="str">
        <f>Detalle_OC[[#This Row],[Centro]]&amp;Detalle_OC[[#This Row],[Nom Almacen]]&amp;Detalle_OC[[#This Row],[Material]]&amp;Detalle_OC[[#This Row],[Pedido]]&amp;Detalle_OC[[#This Row],[Posicion]]</f>
        <v>Agricola del Chira PlantaMontelima8242984511564284140</v>
      </c>
      <c r="B2636" t="s">
        <v>200</v>
      </c>
      <c r="C2636" t="s">
        <v>1215</v>
      </c>
      <c r="D2636" s="11">
        <v>45621</v>
      </c>
      <c r="E2636" t="s">
        <v>48</v>
      </c>
      <c r="F2636" t="s">
        <v>12</v>
      </c>
      <c r="G2636">
        <v>824298</v>
      </c>
      <c r="H2636">
        <v>4511564284</v>
      </c>
      <c r="I2636">
        <v>140</v>
      </c>
      <c r="J2636" s="29">
        <v>1</v>
      </c>
      <c r="K2636" s="29" t="s">
        <v>244</v>
      </c>
      <c r="L2636" t="str">
        <f>IFERROR(VLOOKUP(Detalle_OC[[#This Row],[Centro]]&amp;Detalle_OC[[#This Row],[Nro Almacen]],Almacen!A:D,4,FALSE),"")</f>
        <v>Montelima</v>
      </c>
    </row>
    <row r="2637" spans="1:12" x14ac:dyDescent="0.3">
      <c r="A2637" s="29" t="str">
        <f>Detalle_OC[[#This Row],[Centro]]&amp;Detalle_OC[[#This Row],[Nom Almacen]]&amp;Detalle_OC[[#This Row],[Material]]&amp;Detalle_OC[[#This Row],[Pedido]]&amp;Detalle_OC[[#This Row],[Posicion]]</f>
        <v>Agricola del Chira PlantaMontelima8242984511564284150</v>
      </c>
      <c r="B2637" t="s">
        <v>200</v>
      </c>
      <c r="C2637" t="s">
        <v>1215</v>
      </c>
      <c r="D2637" s="11">
        <v>45621</v>
      </c>
      <c r="E2637" t="s">
        <v>48</v>
      </c>
      <c r="F2637" t="s">
        <v>12</v>
      </c>
      <c r="G2637">
        <v>824298</v>
      </c>
      <c r="H2637">
        <v>4511564284</v>
      </c>
      <c r="I2637">
        <v>150</v>
      </c>
      <c r="J2637" s="29">
        <v>1</v>
      </c>
      <c r="K2637" s="29" t="s">
        <v>244</v>
      </c>
      <c r="L2637" t="str">
        <f>IFERROR(VLOOKUP(Detalle_OC[[#This Row],[Centro]]&amp;Detalle_OC[[#This Row],[Nro Almacen]],Almacen!A:D,4,FALSE),"")</f>
        <v>Montelima</v>
      </c>
    </row>
    <row r="2638" spans="1:12" x14ac:dyDescent="0.3">
      <c r="A2638" s="29" t="str">
        <f>Detalle_OC[[#This Row],[Centro]]&amp;Detalle_OC[[#This Row],[Nom Almacen]]&amp;Detalle_OC[[#This Row],[Material]]&amp;Detalle_OC[[#This Row],[Pedido]]&amp;Detalle_OC[[#This Row],[Posicion]]</f>
        <v>Agricola del Chira PlantaMontelima8242984511564284160</v>
      </c>
      <c r="B2638" t="s">
        <v>200</v>
      </c>
      <c r="C2638" t="s">
        <v>1215</v>
      </c>
      <c r="D2638" s="11">
        <v>45621</v>
      </c>
      <c r="E2638" t="s">
        <v>48</v>
      </c>
      <c r="F2638" t="s">
        <v>12</v>
      </c>
      <c r="G2638">
        <v>824298</v>
      </c>
      <c r="H2638">
        <v>4511564284</v>
      </c>
      <c r="I2638">
        <v>160</v>
      </c>
      <c r="J2638" s="29">
        <v>1</v>
      </c>
      <c r="K2638" s="29" t="s">
        <v>244</v>
      </c>
      <c r="L2638" t="str">
        <f>IFERROR(VLOOKUP(Detalle_OC[[#This Row],[Centro]]&amp;Detalle_OC[[#This Row],[Nro Almacen]],Almacen!A:D,4,FALSE),"")</f>
        <v>Montelima</v>
      </c>
    </row>
    <row r="2639" spans="1:12" x14ac:dyDescent="0.3">
      <c r="A2639" s="29" t="str">
        <f>Detalle_OC[[#This Row],[Centro]]&amp;Detalle_OC[[#This Row],[Nom Almacen]]&amp;Detalle_OC[[#This Row],[Material]]&amp;Detalle_OC[[#This Row],[Pedido]]&amp;Detalle_OC[[#This Row],[Posicion]]</f>
        <v>Agricola del Chira PlantaMontelima8242984511564284170</v>
      </c>
      <c r="B2639" t="s">
        <v>200</v>
      </c>
      <c r="C2639" t="s">
        <v>1215</v>
      </c>
      <c r="D2639" s="11">
        <v>45621</v>
      </c>
      <c r="E2639" t="s">
        <v>48</v>
      </c>
      <c r="F2639" t="s">
        <v>12</v>
      </c>
      <c r="G2639">
        <v>824298</v>
      </c>
      <c r="H2639">
        <v>4511564284</v>
      </c>
      <c r="I2639">
        <v>170</v>
      </c>
      <c r="J2639" s="29">
        <v>1</v>
      </c>
      <c r="K2639" s="29" t="s">
        <v>244</v>
      </c>
      <c r="L2639" t="str">
        <f>IFERROR(VLOOKUP(Detalle_OC[[#This Row],[Centro]]&amp;Detalle_OC[[#This Row],[Nro Almacen]],Almacen!A:D,4,FALSE),"")</f>
        <v>Montelima</v>
      </c>
    </row>
    <row r="2640" spans="1:12" x14ac:dyDescent="0.3">
      <c r="A2640" s="29" t="str">
        <f>Detalle_OC[[#This Row],[Centro]]&amp;Detalle_OC[[#This Row],[Nom Almacen]]&amp;Detalle_OC[[#This Row],[Material]]&amp;Detalle_OC[[#This Row],[Pedido]]&amp;Detalle_OC[[#This Row],[Posicion]]</f>
        <v>Agricola del Chira PlantaMontelima8242984511564284180</v>
      </c>
      <c r="B2640" t="s">
        <v>200</v>
      </c>
      <c r="C2640" t="s">
        <v>1215</v>
      </c>
      <c r="D2640" s="11">
        <v>45621</v>
      </c>
      <c r="E2640" t="s">
        <v>48</v>
      </c>
      <c r="F2640" t="s">
        <v>12</v>
      </c>
      <c r="G2640">
        <v>824298</v>
      </c>
      <c r="H2640">
        <v>4511564284</v>
      </c>
      <c r="I2640">
        <v>180</v>
      </c>
      <c r="J2640" s="29">
        <v>1</v>
      </c>
      <c r="K2640" s="29" t="s">
        <v>244</v>
      </c>
      <c r="L2640" t="str">
        <f>IFERROR(VLOOKUP(Detalle_OC[[#This Row],[Centro]]&amp;Detalle_OC[[#This Row],[Nro Almacen]],Almacen!A:D,4,FALSE),"")</f>
        <v>Montelima</v>
      </c>
    </row>
    <row r="2641" spans="1:12" x14ac:dyDescent="0.3">
      <c r="A2641" s="29" t="str">
        <f>Detalle_OC[[#This Row],[Centro]]&amp;Detalle_OC[[#This Row],[Nom Almacen]]&amp;Detalle_OC[[#This Row],[Material]]&amp;Detalle_OC[[#This Row],[Pedido]]&amp;Detalle_OC[[#This Row],[Posicion]]</f>
        <v>Sucroalcolera del Chira PlantaMontelima824298451156428510</v>
      </c>
      <c r="B2641" t="s">
        <v>200</v>
      </c>
      <c r="C2641" t="s">
        <v>1215</v>
      </c>
      <c r="D2641" s="11">
        <v>45621</v>
      </c>
      <c r="E2641" t="s">
        <v>48</v>
      </c>
      <c r="F2641" t="s">
        <v>85</v>
      </c>
      <c r="G2641">
        <v>824298</v>
      </c>
      <c r="H2641">
        <v>4511564285</v>
      </c>
      <c r="I2641">
        <v>10</v>
      </c>
      <c r="J2641" s="29">
        <v>1</v>
      </c>
      <c r="K2641" s="29" t="s">
        <v>244</v>
      </c>
      <c r="L2641" t="str">
        <f>IFERROR(VLOOKUP(Detalle_OC[[#This Row],[Centro]]&amp;Detalle_OC[[#This Row],[Nro Almacen]],Almacen!A:D,4,FALSE),"")</f>
        <v>Montelima</v>
      </c>
    </row>
    <row r="2642" spans="1:12" x14ac:dyDescent="0.3">
      <c r="A2642" s="29" t="str">
        <f>Detalle_OC[[#This Row],[Centro]]&amp;Detalle_OC[[#This Row],[Nom Almacen]]&amp;Detalle_OC[[#This Row],[Material]]&amp;Detalle_OC[[#This Row],[Pedido]]&amp;Detalle_OC[[#This Row],[Posicion]]</f>
        <v>Sucroalcolera del Chira PlantaMontelima824298451156428520</v>
      </c>
      <c r="B2642" t="s">
        <v>200</v>
      </c>
      <c r="C2642" t="s">
        <v>1215</v>
      </c>
      <c r="D2642" s="11">
        <v>45621</v>
      </c>
      <c r="E2642" t="s">
        <v>48</v>
      </c>
      <c r="F2642" t="s">
        <v>85</v>
      </c>
      <c r="G2642">
        <v>824298</v>
      </c>
      <c r="H2642">
        <v>4511564285</v>
      </c>
      <c r="I2642">
        <v>20</v>
      </c>
      <c r="J2642" s="29">
        <v>1</v>
      </c>
      <c r="K2642" s="29" t="s">
        <v>244</v>
      </c>
      <c r="L2642" t="str">
        <f>IFERROR(VLOOKUP(Detalle_OC[[#This Row],[Centro]]&amp;Detalle_OC[[#This Row],[Nro Almacen]],Almacen!A:D,4,FALSE),"")</f>
        <v>Montelima</v>
      </c>
    </row>
    <row r="2643" spans="1:12" x14ac:dyDescent="0.3">
      <c r="A2643" s="29" t="str">
        <f>Detalle_OC[[#This Row],[Centro]]&amp;Detalle_OC[[#This Row],[Nom Almacen]]&amp;Detalle_OC[[#This Row],[Material]]&amp;Detalle_OC[[#This Row],[Pedido]]&amp;Detalle_OC[[#This Row],[Posicion]]</f>
        <v>Sucroalcolera del Chira PlantaMontelima824298451156428530</v>
      </c>
      <c r="B2643" t="s">
        <v>200</v>
      </c>
      <c r="C2643" t="s">
        <v>1215</v>
      </c>
      <c r="D2643" s="11">
        <v>45621</v>
      </c>
      <c r="E2643" t="s">
        <v>48</v>
      </c>
      <c r="F2643" t="s">
        <v>85</v>
      </c>
      <c r="G2643">
        <v>824298</v>
      </c>
      <c r="H2643">
        <v>4511564285</v>
      </c>
      <c r="I2643">
        <v>30</v>
      </c>
      <c r="J2643" s="29">
        <v>1</v>
      </c>
      <c r="K2643" s="29" t="s">
        <v>244</v>
      </c>
      <c r="L2643" t="str">
        <f>IFERROR(VLOOKUP(Detalle_OC[[#This Row],[Centro]]&amp;Detalle_OC[[#This Row],[Nro Almacen]],Almacen!A:D,4,FALSE),"")</f>
        <v>Montelima</v>
      </c>
    </row>
    <row r="2644" spans="1:12" x14ac:dyDescent="0.3">
      <c r="A2644" s="29" t="str">
        <f>Detalle_OC[[#This Row],[Centro]]&amp;Detalle_OC[[#This Row],[Nom Almacen]]&amp;Detalle_OC[[#This Row],[Material]]&amp;Detalle_OC[[#This Row],[Pedido]]&amp;Detalle_OC[[#This Row],[Posicion]]</f>
        <v>Sucroalcolera del Chira PlantaMontelima824298451156428540</v>
      </c>
      <c r="B2644" t="s">
        <v>200</v>
      </c>
      <c r="C2644" t="s">
        <v>1215</v>
      </c>
      <c r="D2644" s="11">
        <v>45621</v>
      </c>
      <c r="E2644" t="s">
        <v>48</v>
      </c>
      <c r="F2644" t="s">
        <v>85</v>
      </c>
      <c r="G2644">
        <v>824298</v>
      </c>
      <c r="H2644">
        <v>4511564285</v>
      </c>
      <c r="I2644">
        <v>40</v>
      </c>
      <c r="J2644" s="29">
        <v>1</v>
      </c>
      <c r="K2644" s="29" t="s">
        <v>244</v>
      </c>
      <c r="L2644" t="str">
        <f>IFERROR(VLOOKUP(Detalle_OC[[#This Row],[Centro]]&amp;Detalle_OC[[#This Row],[Nro Almacen]],Almacen!A:D,4,FALSE),"")</f>
        <v>Montelima</v>
      </c>
    </row>
    <row r="2645" spans="1:12" x14ac:dyDescent="0.3">
      <c r="A2645" s="29" t="str">
        <f>Detalle_OC[[#This Row],[Centro]]&amp;Detalle_OC[[#This Row],[Nom Almacen]]&amp;Detalle_OC[[#This Row],[Material]]&amp;Detalle_OC[[#This Row],[Pedido]]&amp;Detalle_OC[[#This Row],[Posicion]]</f>
        <v>Sucroalcolera del Chira PlantaMontelima824298451156428550</v>
      </c>
      <c r="B2645" t="s">
        <v>200</v>
      </c>
      <c r="C2645" t="s">
        <v>1215</v>
      </c>
      <c r="D2645" s="11">
        <v>45621</v>
      </c>
      <c r="E2645" t="s">
        <v>48</v>
      </c>
      <c r="F2645" t="s">
        <v>85</v>
      </c>
      <c r="G2645">
        <v>824298</v>
      </c>
      <c r="H2645">
        <v>4511564285</v>
      </c>
      <c r="I2645">
        <v>50</v>
      </c>
      <c r="J2645" s="29">
        <v>1</v>
      </c>
      <c r="K2645" s="29" t="s">
        <v>244</v>
      </c>
      <c r="L2645" t="str">
        <f>IFERROR(VLOOKUP(Detalle_OC[[#This Row],[Centro]]&amp;Detalle_OC[[#This Row],[Nro Almacen]],Almacen!A:D,4,FALSE),"")</f>
        <v>Montelima</v>
      </c>
    </row>
    <row r="2646" spans="1:12" x14ac:dyDescent="0.3">
      <c r="A2646" s="29" t="str">
        <f>Detalle_OC[[#This Row],[Centro]]&amp;Detalle_OC[[#This Row],[Nom Almacen]]&amp;Detalle_OC[[#This Row],[Material]]&amp;Detalle_OC[[#This Row],[Pedido]]&amp;Detalle_OC[[#This Row],[Posicion]]</f>
        <v>Bioenergía del Chira PlantaMontelima824298451156428610</v>
      </c>
      <c r="B2646" t="s">
        <v>200</v>
      </c>
      <c r="C2646" t="s">
        <v>1215</v>
      </c>
      <c r="D2646" s="11">
        <v>45625</v>
      </c>
      <c r="E2646" t="s">
        <v>48</v>
      </c>
      <c r="F2646" t="s">
        <v>86</v>
      </c>
      <c r="G2646">
        <v>824298</v>
      </c>
      <c r="H2646">
        <v>4511564286</v>
      </c>
      <c r="I2646">
        <v>10</v>
      </c>
      <c r="J2646" s="29">
        <v>1</v>
      </c>
      <c r="K2646" s="29" t="s">
        <v>244</v>
      </c>
      <c r="L2646" t="str">
        <f>IFERROR(VLOOKUP(Detalle_OC[[#This Row],[Centro]]&amp;Detalle_OC[[#This Row],[Nro Almacen]],Almacen!A:D,4,FALSE),"")</f>
        <v>Montelima</v>
      </c>
    </row>
    <row r="2647" spans="1:12" x14ac:dyDescent="0.3">
      <c r="A2647" s="29" t="str">
        <f>Detalle_OC[[#This Row],[Centro]]&amp;Detalle_OC[[#This Row],[Nom Almacen]]&amp;Detalle_OC[[#This Row],[Material]]&amp;Detalle_OC[[#This Row],[Pedido]]&amp;Detalle_OC[[#This Row],[Posicion]]</f>
        <v>Sucroalcolera del Chira PlantaMontelima70028730452009490310</v>
      </c>
      <c r="B2647" t="s">
        <v>142</v>
      </c>
      <c r="C2647" t="s">
        <v>1217</v>
      </c>
      <c r="D2647" s="11">
        <v>45632</v>
      </c>
      <c r="E2647" t="s">
        <v>16</v>
      </c>
      <c r="F2647" t="s">
        <v>85</v>
      </c>
      <c r="G2647">
        <v>70028730</v>
      </c>
      <c r="H2647">
        <v>4520094903</v>
      </c>
      <c r="I2647">
        <v>10</v>
      </c>
      <c r="J2647" s="29">
        <v>1</v>
      </c>
      <c r="K2647" s="29" t="s">
        <v>244</v>
      </c>
      <c r="L2647" t="str">
        <f>IFERROR(VLOOKUP(Detalle_OC[[#This Row],[Centro]]&amp;Detalle_OC[[#This Row],[Nro Almacen]],Almacen!A:D,4,FALSE),"")</f>
        <v>Montelima</v>
      </c>
    </row>
    <row r="2648" spans="1:12" x14ac:dyDescent="0.3">
      <c r="A2648" s="29" t="str">
        <f>Detalle_OC[[#This Row],[Centro]]&amp;Detalle_OC[[#This Row],[Nom Almacen]]&amp;Detalle_OC[[#This Row],[Material]]&amp;Detalle_OC[[#This Row],[Pedido]]&amp;Detalle_OC[[#This Row],[Posicion]]</f>
        <v>Sucroalcolera del Chira PlantaMontelima70028738452009490320</v>
      </c>
      <c r="B2648" t="s">
        <v>138</v>
      </c>
      <c r="C2648" t="s">
        <v>1217</v>
      </c>
      <c r="D2648" s="11">
        <v>45632</v>
      </c>
      <c r="E2648" t="s">
        <v>16</v>
      </c>
      <c r="F2648" t="s">
        <v>85</v>
      </c>
      <c r="G2648">
        <v>70028738</v>
      </c>
      <c r="H2648">
        <v>4520094903</v>
      </c>
      <c r="I2648">
        <v>20</v>
      </c>
      <c r="J2648" s="29">
        <v>1</v>
      </c>
      <c r="K2648" s="29" t="s">
        <v>244</v>
      </c>
      <c r="L2648" t="str">
        <f>IFERROR(VLOOKUP(Detalle_OC[[#This Row],[Centro]]&amp;Detalle_OC[[#This Row],[Nro Almacen]],Almacen!A:D,4,FALSE),"")</f>
        <v>Montelima</v>
      </c>
    </row>
    <row r="2649" spans="1:12" x14ac:dyDescent="0.3">
      <c r="A2649" s="29" t="str">
        <f>Detalle_OC[[#This Row],[Centro]]&amp;Detalle_OC[[#This Row],[Nom Almacen]]&amp;Detalle_OC[[#This Row],[Material]]&amp;Detalle_OC[[#This Row],[Pedido]]&amp;Detalle_OC[[#This Row],[Posicion]]</f>
        <v>Sucroalcolera del Chira PlantaMontelima70028739452009490330</v>
      </c>
      <c r="B2649" t="s">
        <v>138</v>
      </c>
      <c r="C2649" t="s">
        <v>1217</v>
      </c>
      <c r="D2649" s="11">
        <v>45632</v>
      </c>
      <c r="E2649" t="s">
        <v>16</v>
      </c>
      <c r="F2649" t="s">
        <v>85</v>
      </c>
      <c r="G2649">
        <v>70028739</v>
      </c>
      <c r="H2649">
        <v>4520094903</v>
      </c>
      <c r="I2649">
        <v>30</v>
      </c>
      <c r="J2649" s="29">
        <v>1</v>
      </c>
      <c r="K2649" s="29" t="s">
        <v>244</v>
      </c>
      <c r="L2649" t="str">
        <f>IFERROR(VLOOKUP(Detalle_OC[[#This Row],[Centro]]&amp;Detalle_OC[[#This Row],[Nro Almacen]],Almacen!A:D,4,FALSE),"")</f>
        <v>Montelima</v>
      </c>
    </row>
    <row r="2650" spans="1:12" x14ac:dyDescent="0.3">
      <c r="A2650" s="29" t="str">
        <f>Detalle_OC[[#This Row],[Centro]]&amp;Detalle_OC[[#This Row],[Nom Almacen]]&amp;Detalle_OC[[#This Row],[Material]]&amp;Detalle_OC[[#This Row],[Pedido]]&amp;Detalle_OC[[#This Row],[Posicion]]</f>
        <v>Agricola del Chira PlantaMontelima70084371550002468180</v>
      </c>
      <c r="B2650" t="s">
        <v>28</v>
      </c>
      <c r="C2650" t="s">
        <v>84</v>
      </c>
      <c r="D2650" s="11">
        <v>45548</v>
      </c>
      <c r="E2650" t="s">
        <v>16</v>
      </c>
      <c r="F2650" t="s">
        <v>12</v>
      </c>
      <c r="G2650">
        <v>70084371</v>
      </c>
      <c r="H2650">
        <v>5500024681</v>
      </c>
      <c r="I2650">
        <v>80</v>
      </c>
      <c r="J2650" s="29">
        <v>1</v>
      </c>
      <c r="K2650" s="29" t="s">
        <v>244</v>
      </c>
      <c r="L2650" t="str">
        <f>IFERROR(VLOOKUP(Detalle_OC[[#This Row],[Centro]]&amp;Detalle_OC[[#This Row],[Nro Almacen]],Almacen!A:D,4,FALSE),"")</f>
        <v>Montelima</v>
      </c>
    </row>
    <row r="2651" spans="1:12" x14ac:dyDescent="0.3">
      <c r="A2651" s="29" t="str">
        <f>Detalle_OC[[#This Row],[Centro]]&amp;Detalle_OC[[#This Row],[Nom Almacen]]&amp;Detalle_OC[[#This Row],[Material]]&amp;Detalle_OC[[#This Row],[Pedido]]&amp;Detalle_OC[[#This Row],[Posicion]]</f>
        <v>Sucroalcolera del Chira PlantaMontelima708707550002233640</v>
      </c>
      <c r="B2651" t="s">
        <v>28</v>
      </c>
      <c r="C2651" t="s">
        <v>84</v>
      </c>
      <c r="D2651" s="11">
        <v>45547</v>
      </c>
      <c r="E2651" t="s">
        <v>16</v>
      </c>
      <c r="F2651" t="s">
        <v>85</v>
      </c>
      <c r="G2651">
        <v>708707</v>
      </c>
      <c r="H2651">
        <v>5500022336</v>
      </c>
      <c r="I2651">
        <v>40</v>
      </c>
      <c r="J2651" s="29">
        <v>1</v>
      </c>
      <c r="K2651" s="29" t="s">
        <v>252</v>
      </c>
      <c r="L2651" t="str">
        <f>IFERROR(VLOOKUP(Detalle_OC[[#This Row],[Centro]]&amp;Detalle_OC[[#This Row],[Nro Almacen]],Almacen!A:D,4,FALSE),"")</f>
        <v>Montelima</v>
      </c>
    </row>
    <row r="2652" spans="1:12" x14ac:dyDescent="0.3">
      <c r="A2652" s="29" t="str">
        <f>Detalle_OC[[#This Row],[Centro]]&amp;Detalle_OC[[#This Row],[Nom Almacen]]&amp;Detalle_OC[[#This Row],[Material]]&amp;Detalle_OC[[#This Row],[Pedido]]&amp;Detalle_OC[[#This Row],[Posicion]]</f>
        <v>Sucroalcolera del Chira PlantaMontelima813224550002233650</v>
      </c>
      <c r="B2652" t="s">
        <v>28</v>
      </c>
      <c r="C2652" t="s">
        <v>84</v>
      </c>
      <c r="D2652" s="11">
        <v>45547</v>
      </c>
      <c r="E2652" t="s">
        <v>16</v>
      </c>
      <c r="F2652" t="s">
        <v>85</v>
      </c>
      <c r="G2652">
        <v>813224</v>
      </c>
      <c r="H2652">
        <v>5500022336</v>
      </c>
      <c r="I2652">
        <v>50</v>
      </c>
      <c r="J2652" s="29">
        <v>1</v>
      </c>
      <c r="K2652" s="29" t="s">
        <v>252</v>
      </c>
      <c r="L2652" t="str">
        <f>IFERROR(VLOOKUP(Detalle_OC[[#This Row],[Centro]]&amp;Detalle_OC[[#This Row],[Nro Almacen]],Almacen!A:D,4,FALSE),"")</f>
        <v>Montelima</v>
      </c>
    </row>
    <row r="2653" spans="1:12" x14ac:dyDescent="0.3">
      <c r="A2653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2653" t="s">
        <v>28</v>
      </c>
      <c r="C2653" t="s">
        <v>84</v>
      </c>
      <c r="D2653" s="11">
        <v>45547</v>
      </c>
      <c r="E2653" t="s">
        <v>16</v>
      </c>
      <c r="F2653" t="s">
        <v>12</v>
      </c>
      <c r="G2653">
        <v>801846</v>
      </c>
      <c r="H2653">
        <v>5500022338</v>
      </c>
      <c r="I2653">
        <v>40</v>
      </c>
      <c r="J2653" s="29">
        <v>1</v>
      </c>
      <c r="K2653" s="29" t="s">
        <v>252</v>
      </c>
      <c r="L2653" t="str">
        <f>IFERROR(VLOOKUP(Detalle_OC[[#This Row],[Centro]]&amp;Detalle_OC[[#This Row],[Nro Almacen]],Almacen!A:D,4,FALSE),"")</f>
        <v>Montelima</v>
      </c>
    </row>
    <row r="2654" spans="1:12" x14ac:dyDescent="0.3">
      <c r="A2654" s="29" t="str">
        <f>Detalle_OC[[#This Row],[Centro]]&amp;Detalle_OC[[#This Row],[Nom Almacen]]&amp;Detalle_OC[[#This Row],[Material]]&amp;Detalle_OC[[#This Row],[Pedido]]&amp;Detalle_OC[[#This Row],[Posicion]]</f>
        <v>Agricola del Chira PlantaMontelima70032053550002233880</v>
      </c>
      <c r="B2654" t="s">
        <v>28</v>
      </c>
      <c r="C2654" t="s">
        <v>84</v>
      </c>
      <c r="D2654" s="11">
        <v>45547</v>
      </c>
      <c r="E2654" t="s">
        <v>16</v>
      </c>
      <c r="F2654" t="s">
        <v>12</v>
      </c>
      <c r="G2654">
        <v>70032053</v>
      </c>
      <c r="H2654">
        <v>5500022338</v>
      </c>
      <c r="I2654">
        <v>80</v>
      </c>
      <c r="J2654" s="29">
        <v>1</v>
      </c>
      <c r="K2654" s="29" t="s">
        <v>252</v>
      </c>
      <c r="L2654" t="str">
        <f>IFERROR(VLOOKUP(Detalle_OC[[#This Row],[Centro]]&amp;Detalle_OC[[#This Row],[Nro Almacen]],Almacen!A:D,4,FALSE),"")</f>
        <v>Montelima</v>
      </c>
    </row>
    <row r="2655" spans="1:12" x14ac:dyDescent="0.3">
      <c r="A2655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2655" t="s">
        <v>28</v>
      </c>
      <c r="C2655" t="s">
        <v>54</v>
      </c>
      <c r="D2655" s="11">
        <v>45547</v>
      </c>
      <c r="E2655" t="s">
        <v>16</v>
      </c>
      <c r="F2655" t="s">
        <v>12</v>
      </c>
      <c r="G2655">
        <v>70100392</v>
      </c>
      <c r="H2655">
        <v>5500024751</v>
      </c>
      <c r="I2655">
        <v>20</v>
      </c>
      <c r="J2655" s="29">
        <v>2</v>
      </c>
      <c r="K2655" s="29" t="s">
        <v>252</v>
      </c>
      <c r="L2655" t="str">
        <f>IFERROR(VLOOKUP(Detalle_OC[[#This Row],[Centro]]&amp;Detalle_OC[[#This Row],[Nro Almacen]],Almacen!A:D,4,FALSE),"")</f>
        <v>La Huaca</v>
      </c>
    </row>
    <row r="2656" spans="1:12" x14ac:dyDescent="0.3">
      <c r="A2656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2656" t="s">
        <v>28</v>
      </c>
      <c r="C2656" t="s">
        <v>54</v>
      </c>
      <c r="D2656" s="11">
        <v>45547</v>
      </c>
      <c r="E2656" t="s">
        <v>16</v>
      </c>
      <c r="F2656" t="s">
        <v>12</v>
      </c>
      <c r="G2656">
        <v>70100392</v>
      </c>
      <c r="H2656">
        <v>5500024751</v>
      </c>
      <c r="I2656">
        <v>40</v>
      </c>
      <c r="J2656" s="29">
        <v>7</v>
      </c>
      <c r="K2656" s="29" t="s">
        <v>252</v>
      </c>
      <c r="L2656" t="str">
        <f>IFERROR(VLOOKUP(Detalle_OC[[#This Row],[Centro]]&amp;Detalle_OC[[#This Row],[Nro Almacen]],Almacen!A:D,4,FALSE),"")</f>
        <v>Almacen Lobo</v>
      </c>
    </row>
    <row r="2657" spans="1:12" x14ac:dyDescent="0.3">
      <c r="A2657" s="29" t="str">
        <f>Detalle_OC[[#This Row],[Centro]]&amp;Detalle_OC[[#This Row],[Nom Almacen]]&amp;Detalle_OC[[#This Row],[Material]]&amp;Detalle_OC[[#This Row],[Pedido]]&amp;Detalle_OC[[#This Row],[Posicion]]</f>
        <v>Sucroalcolera del Chira PlantaMontelimaMWSODACAUSTICA    550002478020</v>
      </c>
      <c r="B2657" t="s">
        <v>28</v>
      </c>
      <c r="C2657" t="s">
        <v>94</v>
      </c>
      <c r="D2657" s="11">
        <v>45546</v>
      </c>
      <c r="E2657" t="s">
        <v>16</v>
      </c>
      <c r="F2657" t="s">
        <v>85</v>
      </c>
      <c r="G2657" t="s">
        <v>1010</v>
      </c>
      <c r="H2657">
        <v>5500024780</v>
      </c>
      <c r="I2657">
        <v>20</v>
      </c>
      <c r="J2657" s="29">
        <v>1</v>
      </c>
      <c r="K2657" s="29" t="s">
        <v>252</v>
      </c>
      <c r="L2657" t="str">
        <f>IFERROR(VLOOKUP(Detalle_OC[[#This Row],[Centro]]&amp;Detalle_OC[[#This Row],[Nro Almacen]],Almacen!A:D,4,FALSE),"")</f>
        <v>Montelima</v>
      </c>
    </row>
    <row r="2658" spans="1:12" x14ac:dyDescent="0.3">
      <c r="A2658" s="29" t="str">
        <f>Detalle_OC[[#This Row],[Centro]]&amp;Detalle_OC[[#This Row],[Nom Almacen]]&amp;Detalle_OC[[#This Row],[Material]]&amp;Detalle_OC[[#This Row],[Pedido]]&amp;Detalle_OC[[#This Row],[Posicion]]</f>
        <v>Agricola del Chira PlantaMontelima717453451156399210</v>
      </c>
      <c r="B2658" t="s">
        <v>15</v>
      </c>
      <c r="C2658" t="s">
        <v>22</v>
      </c>
      <c r="D2658" s="11">
        <v>45667</v>
      </c>
      <c r="E2658" t="s">
        <v>16</v>
      </c>
      <c r="F2658" t="s">
        <v>12</v>
      </c>
      <c r="G2658">
        <v>717453</v>
      </c>
      <c r="H2658">
        <v>4511563992</v>
      </c>
      <c r="I2658">
        <v>10</v>
      </c>
      <c r="J2658" s="29">
        <v>1</v>
      </c>
      <c r="K2658" s="29" t="s">
        <v>257</v>
      </c>
      <c r="L2658" t="str">
        <f>IFERROR(VLOOKUP(Detalle_OC[[#This Row],[Centro]]&amp;Detalle_OC[[#This Row],[Nro Almacen]],Almacen!A:D,4,FALSE),"")</f>
        <v>Montelima</v>
      </c>
    </row>
    <row r="2659" spans="1:12" x14ac:dyDescent="0.3">
      <c r="A2659" s="29" t="str">
        <f>Detalle_OC[[#This Row],[Centro]]&amp;Detalle_OC[[#This Row],[Nom Almacen]]&amp;Detalle_OC[[#This Row],[Material]]&amp;Detalle_OC[[#This Row],[Pedido]]&amp;Detalle_OC[[#This Row],[Posicion]]</f>
        <v>Agricola del Chira PlantaMontelima70100392550002475110</v>
      </c>
      <c r="B2659" t="s">
        <v>28</v>
      </c>
      <c r="C2659" t="s">
        <v>54</v>
      </c>
      <c r="D2659" s="11">
        <v>45546</v>
      </c>
      <c r="E2659" t="s">
        <v>16</v>
      </c>
      <c r="F2659" t="s">
        <v>12</v>
      </c>
      <c r="G2659">
        <v>70100392</v>
      </c>
      <c r="H2659">
        <v>5500024751</v>
      </c>
      <c r="I2659">
        <v>10</v>
      </c>
      <c r="J2659" s="29">
        <v>1</v>
      </c>
      <c r="K2659" s="29" t="s">
        <v>257</v>
      </c>
      <c r="L2659" t="str">
        <f>IFERROR(VLOOKUP(Detalle_OC[[#This Row],[Centro]]&amp;Detalle_OC[[#This Row],[Nro Almacen]],Almacen!A:D,4,FALSE),"")</f>
        <v>Montelima</v>
      </c>
    </row>
    <row r="2660" spans="1:12" x14ac:dyDescent="0.3">
      <c r="A2660" s="29" t="str">
        <f>Detalle_OC[[#This Row],[Centro]]&amp;Detalle_OC[[#This Row],[Nom Almacen]]&amp;Detalle_OC[[#This Row],[Material]]&amp;Detalle_OC[[#This Row],[Pedido]]&amp;Detalle_OC[[#This Row],[Posicion]]</f>
        <v>Agricola del Chira PlantaAlmacen Lobo721426550002484420</v>
      </c>
      <c r="B2660" t="s">
        <v>28</v>
      </c>
      <c r="C2660" t="s">
        <v>88</v>
      </c>
      <c r="D2660" s="11">
        <v>45546</v>
      </c>
      <c r="E2660" t="s">
        <v>16</v>
      </c>
      <c r="F2660" t="s">
        <v>12</v>
      </c>
      <c r="G2660">
        <v>721426</v>
      </c>
      <c r="H2660">
        <v>5500024844</v>
      </c>
      <c r="I2660">
        <v>20</v>
      </c>
      <c r="J2660" s="29">
        <v>7</v>
      </c>
      <c r="K2660" s="29" t="s">
        <v>257</v>
      </c>
      <c r="L2660" t="str">
        <f>IFERROR(VLOOKUP(Detalle_OC[[#This Row],[Centro]]&amp;Detalle_OC[[#This Row],[Nro Almacen]],Almacen!A:D,4,FALSE),"")</f>
        <v>Almacen Lobo</v>
      </c>
    </row>
    <row r="2661" spans="1:12" x14ac:dyDescent="0.3">
      <c r="A2661" s="29" t="str">
        <f>Detalle_OC[[#This Row],[Centro]]&amp;Detalle_OC[[#This Row],[Nom Almacen]]&amp;Detalle_OC[[#This Row],[Material]]&amp;Detalle_OC[[#This Row],[Pedido]]&amp;Detalle_OC[[#This Row],[Posicion]]</f>
        <v>Agricola del Chira PlantaSan Vicente721426550002484460</v>
      </c>
      <c r="B2661" t="s">
        <v>28</v>
      </c>
      <c r="C2661" t="s">
        <v>88</v>
      </c>
      <c r="D2661" s="11">
        <v>45546</v>
      </c>
      <c r="E2661" t="s">
        <v>16</v>
      </c>
      <c r="F2661" t="s">
        <v>12</v>
      </c>
      <c r="G2661">
        <v>721426</v>
      </c>
      <c r="H2661">
        <v>5500024844</v>
      </c>
      <c r="I2661">
        <v>60</v>
      </c>
      <c r="J2661" s="29">
        <v>3</v>
      </c>
      <c r="K2661" s="29" t="s">
        <v>257</v>
      </c>
      <c r="L2661" t="str">
        <f>IFERROR(VLOOKUP(Detalle_OC[[#This Row],[Centro]]&amp;Detalle_OC[[#This Row],[Nro Almacen]],Almacen!A:D,4,FALSE),"")</f>
        <v>San Vicente</v>
      </c>
    </row>
    <row r="2662" spans="1:12" x14ac:dyDescent="0.3">
      <c r="A2662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2662" t="s">
        <v>28</v>
      </c>
      <c r="C2662" t="s">
        <v>94</v>
      </c>
      <c r="D2662" s="11">
        <v>45545</v>
      </c>
      <c r="E2662" t="s">
        <v>16</v>
      </c>
      <c r="F2662" t="s">
        <v>85</v>
      </c>
      <c r="G2662" t="s">
        <v>95</v>
      </c>
      <c r="H2662">
        <v>5500024746</v>
      </c>
      <c r="I2662">
        <v>10</v>
      </c>
      <c r="J2662" s="29">
        <v>1</v>
      </c>
      <c r="K2662" s="29" t="s">
        <v>268</v>
      </c>
      <c r="L2662" t="str">
        <f>IFERROR(VLOOKUP(Detalle_OC[[#This Row],[Centro]]&amp;Detalle_OC[[#This Row],[Nro Almacen]],Almacen!A:D,4,FALSE),"")</f>
        <v>Montelima</v>
      </c>
    </row>
    <row r="2663" spans="1:12" x14ac:dyDescent="0.3">
      <c r="A2663" s="29" t="str">
        <f>Detalle_OC[[#This Row],[Centro]]&amp;Detalle_OC[[#This Row],[Nom Almacen]]&amp;Detalle_OC[[#This Row],[Material]]&amp;Detalle_OC[[#This Row],[Pedido]]&amp;Detalle_OC[[#This Row],[Posicion]]</f>
        <v>Agricola del Chira PlantaAlmacen Lobo7216695500024855210</v>
      </c>
      <c r="B2663" t="s">
        <v>28</v>
      </c>
      <c r="C2663" t="s">
        <v>96</v>
      </c>
      <c r="D2663" s="11">
        <v>45553</v>
      </c>
      <c r="E2663" t="s">
        <v>16</v>
      </c>
      <c r="F2663" t="s">
        <v>12</v>
      </c>
      <c r="G2663">
        <v>721669</v>
      </c>
      <c r="H2663">
        <v>5500024855</v>
      </c>
      <c r="I2663">
        <v>210</v>
      </c>
      <c r="J2663" s="29">
        <v>7</v>
      </c>
      <c r="K2663" s="29" t="s">
        <v>268</v>
      </c>
      <c r="L2663" t="str">
        <f>IFERROR(VLOOKUP(Detalle_OC[[#This Row],[Centro]]&amp;Detalle_OC[[#This Row],[Nro Almacen]],Almacen!A:D,4,FALSE),"")</f>
        <v>Almacen Lobo</v>
      </c>
    </row>
    <row r="2664" spans="1:12" x14ac:dyDescent="0.3">
      <c r="A2664" s="29" t="str">
        <f>Detalle_OC[[#This Row],[Centro]]&amp;Detalle_OC[[#This Row],[Nom Almacen]]&amp;Detalle_OC[[#This Row],[Material]]&amp;Detalle_OC[[#This Row],[Pedido]]&amp;Detalle_OC[[#This Row],[Posicion]]</f>
        <v>Sucroalcolera del Chira PlantaMontelima70094961550002489210</v>
      </c>
      <c r="B2664" t="s">
        <v>28</v>
      </c>
      <c r="C2664" t="s">
        <v>52</v>
      </c>
      <c r="D2664" s="11">
        <v>45555</v>
      </c>
      <c r="E2664" t="s">
        <v>16</v>
      </c>
      <c r="F2664" t="s">
        <v>85</v>
      </c>
      <c r="G2664">
        <v>70094961</v>
      </c>
      <c r="H2664">
        <v>5500024892</v>
      </c>
      <c r="I2664">
        <v>10</v>
      </c>
      <c r="J2664" s="29">
        <v>1</v>
      </c>
      <c r="K2664" s="29" t="s">
        <v>268</v>
      </c>
      <c r="L2664" t="str">
        <f>IFERROR(VLOOKUP(Detalle_OC[[#This Row],[Centro]]&amp;Detalle_OC[[#This Row],[Nro Almacen]],Almacen!A:D,4,FALSE),"")</f>
        <v>Montelima</v>
      </c>
    </row>
    <row r="2665" spans="1:12" x14ac:dyDescent="0.3">
      <c r="A2665" s="29" t="str">
        <f>Detalle_OC[[#This Row],[Centro]]&amp;Detalle_OC[[#This Row],[Nom Almacen]]&amp;Detalle_OC[[#This Row],[Material]]&amp;Detalle_OC[[#This Row],[Pedido]]&amp;Detalle_OC[[#This Row],[Posicion]]</f>
        <v>Sucroalcolera del Chira PlantaMontelima70132901550002489230</v>
      </c>
      <c r="B2665" t="s">
        <v>28</v>
      </c>
      <c r="C2665" t="s">
        <v>52</v>
      </c>
      <c r="D2665" s="11">
        <v>45555</v>
      </c>
      <c r="E2665" t="s">
        <v>16</v>
      </c>
      <c r="F2665" t="s">
        <v>85</v>
      </c>
      <c r="G2665">
        <v>70132901</v>
      </c>
      <c r="H2665">
        <v>5500024892</v>
      </c>
      <c r="I2665">
        <v>30</v>
      </c>
      <c r="J2665" s="29">
        <v>1</v>
      </c>
      <c r="K2665" s="29" t="s">
        <v>268</v>
      </c>
      <c r="L2665" t="str">
        <f>IFERROR(VLOOKUP(Detalle_OC[[#This Row],[Centro]]&amp;Detalle_OC[[#This Row],[Nro Almacen]],Almacen!A:D,4,FALSE),"")</f>
        <v>Montelima</v>
      </c>
    </row>
    <row r="2666" spans="1:12" x14ac:dyDescent="0.3">
      <c r="A2666" s="29" t="str">
        <f>Detalle_OC[[#This Row],[Centro]]&amp;Detalle_OC[[#This Row],[Nom Almacen]]&amp;Detalle_OC[[#This Row],[Material]]&amp;Detalle_OC[[#This Row],[Pedido]]&amp;Detalle_OC[[#This Row],[Posicion]]</f>
        <v>Sucroalcolera del Chira PlantaMontelima70095527550002489240</v>
      </c>
      <c r="B2666" t="s">
        <v>28</v>
      </c>
      <c r="C2666" t="s">
        <v>52</v>
      </c>
      <c r="D2666" s="11">
        <v>45555</v>
      </c>
      <c r="E2666" t="s">
        <v>16</v>
      </c>
      <c r="F2666" t="s">
        <v>85</v>
      </c>
      <c r="G2666">
        <v>70095527</v>
      </c>
      <c r="H2666">
        <v>5500024892</v>
      </c>
      <c r="I2666">
        <v>40</v>
      </c>
      <c r="J2666" s="29">
        <v>1</v>
      </c>
      <c r="K2666" s="29" t="s">
        <v>268</v>
      </c>
      <c r="L2666" t="str">
        <f>IFERROR(VLOOKUP(Detalle_OC[[#This Row],[Centro]]&amp;Detalle_OC[[#This Row],[Nro Almacen]],Almacen!A:D,4,FALSE),"")</f>
        <v>Montelima</v>
      </c>
    </row>
    <row r="2667" spans="1:12" x14ac:dyDescent="0.3">
      <c r="A2667" s="29" t="str">
        <f>Detalle_OC[[#This Row],[Centro]]&amp;Detalle_OC[[#This Row],[Nom Almacen]]&amp;Detalle_OC[[#This Row],[Material]]&amp;Detalle_OC[[#This Row],[Pedido]]&amp;Detalle_OC[[#This Row],[Posicion]]</f>
        <v>Bioenergía del Chira PlantaMontelima886820451156370710</v>
      </c>
      <c r="B2667" t="s">
        <v>180</v>
      </c>
      <c r="C2667" t="s">
        <v>275</v>
      </c>
      <c r="D2667" s="11">
        <v>45635</v>
      </c>
      <c r="E2667" t="s">
        <v>16</v>
      </c>
      <c r="F2667" t="s">
        <v>86</v>
      </c>
      <c r="G2667">
        <v>886820</v>
      </c>
      <c r="H2667">
        <v>4511563707</v>
      </c>
      <c r="I2667">
        <v>10</v>
      </c>
      <c r="J2667" s="29">
        <v>1</v>
      </c>
      <c r="K2667" s="29" t="s">
        <v>273</v>
      </c>
      <c r="L2667" t="str">
        <f>IFERROR(VLOOKUP(Detalle_OC[[#This Row],[Centro]]&amp;Detalle_OC[[#This Row],[Nro Almacen]],Almacen!A:D,4,FALSE),"")</f>
        <v>Montelima</v>
      </c>
    </row>
    <row r="2668" spans="1:12" x14ac:dyDescent="0.3">
      <c r="A2668" s="29" t="str">
        <f>Detalle_OC[[#This Row],[Centro]]&amp;Detalle_OC[[#This Row],[Nom Almacen]]&amp;Detalle_OC[[#This Row],[Material]]&amp;Detalle_OC[[#This Row],[Pedido]]&amp;Detalle_OC[[#This Row],[Posicion]]</f>
        <v>Bioenergía del Chira PlantaMontelima70132715451156373710</v>
      </c>
      <c r="B2668" t="s">
        <v>151</v>
      </c>
      <c r="C2668" t="s">
        <v>319</v>
      </c>
      <c r="D2668" s="11">
        <v>45656</v>
      </c>
      <c r="E2668" t="s">
        <v>16</v>
      </c>
      <c r="F2668" t="s">
        <v>86</v>
      </c>
      <c r="G2668">
        <v>70132715</v>
      </c>
      <c r="H2668">
        <v>4511563737</v>
      </c>
      <c r="I2668">
        <v>10</v>
      </c>
      <c r="J2668" s="29">
        <v>1</v>
      </c>
      <c r="K2668" s="29" t="s">
        <v>273</v>
      </c>
      <c r="L2668" t="str">
        <f>IFERROR(VLOOKUP(Detalle_OC[[#This Row],[Centro]]&amp;Detalle_OC[[#This Row],[Nro Almacen]],Almacen!A:D,4,FALSE),"")</f>
        <v>Montelima</v>
      </c>
    </row>
    <row r="2669" spans="1:12" x14ac:dyDescent="0.3">
      <c r="A2669" s="29" t="str">
        <f>Detalle_OC[[#This Row],[Centro]]&amp;Detalle_OC[[#This Row],[Nom Almacen]]&amp;Detalle_OC[[#This Row],[Material]]&amp;Detalle_OC[[#This Row],[Pedido]]&amp;Detalle_OC[[#This Row],[Posicion]]</f>
        <v>Agricola del Chira PlantaSan Vicente70100922451156374010</v>
      </c>
      <c r="B2669" t="s">
        <v>26</v>
      </c>
      <c r="C2669" t="s">
        <v>285</v>
      </c>
      <c r="D2669" s="11">
        <v>45632</v>
      </c>
      <c r="E2669" t="s">
        <v>16</v>
      </c>
      <c r="F2669" t="s">
        <v>12</v>
      </c>
      <c r="G2669">
        <v>70100922</v>
      </c>
      <c r="H2669">
        <v>4511563740</v>
      </c>
      <c r="I2669">
        <v>10</v>
      </c>
      <c r="J2669" s="29">
        <v>3</v>
      </c>
      <c r="K2669" s="29" t="s">
        <v>273</v>
      </c>
      <c r="L2669" t="str">
        <f>IFERROR(VLOOKUP(Detalle_OC[[#This Row],[Centro]]&amp;Detalle_OC[[#This Row],[Nro Almacen]],Almacen!A:D,4,FALSE),"")</f>
        <v>San Vicente</v>
      </c>
    </row>
    <row r="2670" spans="1:12" x14ac:dyDescent="0.3">
      <c r="A2670" s="29" t="str">
        <f>Detalle_OC[[#This Row],[Centro]]&amp;Detalle_OC[[#This Row],[Nom Almacen]]&amp;Detalle_OC[[#This Row],[Material]]&amp;Detalle_OC[[#This Row],[Pedido]]&amp;Detalle_OC[[#This Row],[Posicion]]</f>
        <v>Agricola del Chira PlantaAlmacen Lobo70100922451156374020</v>
      </c>
      <c r="B2670" t="s">
        <v>26</v>
      </c>
      <c r="C2670" t="s">
        <v>285</v>
      </c>
      <c r="D2670" s="11">
        <v>45632</v>
      </c>
      <c r="E2670" t="s">
        <v>16</v>
      </c>
      <c r="F2670" t="s">
        <v>12</v>
      </c>
      <c r="G2670">
        <v>70100922</v>
      </c>
      <c r="H2670">
        <v>4511563740</v>
      </c>
      <c r="I2670">
        <v>20</v>
      </c>
      <c r="J2670" s="29">
        <v>7</v>
      </c>
      <c r="K2670" s="29" t="s">
        <v>273</v>
      </c>
      <c r="L2670" t="str">
        <f>IFERROR(VLOOKUP(Detalle_OC[[#This Row],[Centro]]&amp;Detalle_OC[[#This Row],[Nro Almacen]],Almacen!A:D,4,FALSE),"")</f>
        <v>Almacen Lobo</v>
      </c>
    </row>
    <row r="2671" spans="1:12" x14ac:dyDescent="0.3">
      <c r="A2671" s="29" t="str">
        <f>Detalle_OC[[#This Row],[Centro]]&amp;Detalle_OC[[#This Row],[Nom Almacen]]&amp;Detalle_OC[[#This Row],[Material]]&amp;Detalle_OC[[#This Row],[Pedido]]&amp;Detalle_OC[[#This Row],[Posicion]]</f>
        <v>Agricola del Chira PlantaMontelima70100922451156374030</v>
      </c>
      <c r="B2671" t="s">
        <v>26</v>
      </c>
      <c r="C2671" t="s">
        <v>285</v>
      </c>
      <c r="D2671" s="11">
        <v>45632</v>
      </c>
      <c r="E2671" t="s">
        <v>16</v>
      </c>
      <c r="F2671" t="s">
        <v>12</v>
      </c>
      <c r="G2671">
        <v>70100922</v>
      </c>
      <c r="H2671">
        <v>4511563740</v>
      </c>
      <c r="I2671">
        <v>30</v>
      </c>
      <c r="J2671" s="29">
        <v>1</v>
      </c>
      <c r="K2671" s="29" t="s">
        <v>273</v>
      </c>
      <c r="L2671" t="str">
        <f>IFERROR(VLOOKUP(Detalle_OC[[#This Row],[Centro]]&amp;Detalle_OC[[#This Row],[Nro Almacen]],Almacen!A:D,4,FALSE),"")</f>
        <v>Montelima</v>
      </c>
    </row>
    <row r="2672" spans="1:12" x14ac:dyDescent="0.3">
      <c r="A2672" s="29" t="str">
        <f>Detalle_OC[[#This Row],[Centro]]&amp;Detalle_OC[[#This Row],[Nom Almacen]]&amp;Detalle_OC[[#This Row],[Material]]&amp;Detalle_OC[[#This Row],[Pedido]]&amp;Detalle_OC[[#This Row],[Posicion]]</f>
        <v>Sucroalcolera del Chira PlantaMontelima70091934452009488710</v>
      </c>
      <c r="B2672" t="s">
        <v>138</v>
      </c>
      <c r="C2672" t="s">
        <v>1218</v>
      </c>
      <c r="D2672" s="11">
        <v>45632</v>
      </c>
      <c r="E2672" t="s">
        <v>16</v>
      </c>
      <c r="F2672" t="s">
        <v>85</v>
      </c>
      <c r="G2672">
        <v>70091934</v>
      </c>
      <c r="H2672">
        <v>4520094887</v>
      </c>
      <c r="I2672">
        <v>10</v>
      </c>
      <c r="J2672" s="29">
        <v>1</v>
      </c>
      <c r="K2672" s="29" t="s">
        <v>273</v>
      </c>
      <c r="L2672" t="str">
        <f>IFERROR(VLOOKUP(Detalle_OC[[#This Row],[Centro]]&amp;Detalle_OC[[#This Row],[Nro Almacen]],Almacen!A:D,4,FALSE),"")</f>
        <v>Montelima</v>
      </c>
    </row>
    <row r="2673" spans="1:12" x14ac:dyDescent="0.3">
      <c r="A2673" s="29" t="str">
        <f>Detalle_OC[[#This Row],[Centro]]&amp;Detalle_OC[[#This Row],[Nom Almacen]]&amp;Detalle_OC[[#This Row],[Material]]&amp;Detalle_OC[[#This Row],[Pedido]]&amp;Detalle_OC[[#This Row],[Posicion]]</f>
        <v>Agricola del Chira PlantaSan Vicente70100392550002475130</v>
      </c>
      <c r="B2673" t="s">
        <v>28</v>
      </c>
      <c r="C2673" t="s">
        <v>54</v>
      </c>
      <c r="D2673" s="11">
        <v>45542</v>
      </c>
      <c r="E2673" t="s">
        <v>16</v>
      </c>
      <c r="F2673" t="s">
        <v>12</v>
      </c>
      <c r="G2673">
        <v>70100392</v>
      </c>
      <c r="H2673">
        <v>5500024751</v>
      </c>
      <c r="I2673">
        <v>30</v>
      </c>
      <c r="J2673" s="29">
        <v>3</v>
      </c>
      <c r="K2673" s="29" t="s">
        <v>282</v>
      </c>
      <c r="L2673" t="str">
        <f>IFERROR(VLOOKUP(Detalle_OC[[#This Row],[Centro]]&amp;Detalle_OC[[#This Row],[Nro Almacen]],Almacen!A:D,4,FALSE),"")</f>
        <v>San Vicente</v>
      </c>
    </row>
    <row r="2674" spans="1:12" x14ac:dyDescent="0.3">
      <c r="A2674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2674" t="s">
        <v>28</v>
      </c>
      <c r="C2674" t="s">
        <v>54</v>
      </c>
      <c r="D2674" s="11">
        <v>45542</v>
      </c>
      <c r="E2674" t="s">
        <v>16</v>
      </c>
      <c r="F2674" t="s">
        <v>12</v>
      </c>
      <c r="G2674">
        <v>70100392</v>
      </c>
      <c r="H2674">
        <v>5500024751</v>
      </c>
      <c r="I2674">
        <v>40</v>
      </c>
      <c r="J2674" s="29">
        <v>7</v>
      </c>
      <c r="K2674" s="29" t="s">
        <v>282</v>
      </c>
      <c r="L2674" t="str">
        <f>IFERROR(VLOOKUP(Detalle_OC[[#This Row],[Centro]]&amp;Detalle_OC[[#This Row],[Nro Almacen]],Almacen!A:D,4,FALSE),"")</f>
        <v>Almacen Lobo</v>
      </c>
    </row>
    <row r="2675" spans="1:12" x14ac:dyDescent="0.3">
      <c r="A2675" s="29" t="str">
        <f>Detalle_OC[[#This Row],[Centro]]&amp;Detalle_OC[[#This Row],[Nom Almacen]]&amp;Detalle_OC[[#This Row],[Material]]&amp;Detalle_OC[[#This Row],[Pedido]]&amp;Detalle_OC[[#This Row],[Posicion]]</f>
        <v>Sucroalcolera del Chira PlantaMontelimaMWSODACAUSTICA    550002478020</v>
      </c>
      <c r="B2675" t="s">
        <v>28</v>
      </c>
      <c r="C2675" t="s">
        <v>94</v>
      </c>
      <c r="D2675" s="11">
        <v>45539</v>
      </c>
      <c r="E2675" t="s">
        <v>16</v>
      </c>
      <c r="F2675" t="s">
        <v>85</v>
      </c>
      <c r="G2675" t="s">
        <v>1010</v>
      </c>
      <c r="H2675">
        <v>5500024780</v>
      </c>
      <c r="I2675">
        <v>20</v>
      </c>
      <c r="J2675" s="29">
        <v>1</v>
      </c>
      <c r="K2675" s="29" t="s">
        <v>282</v>
      </c>
      <c r="L2675" t="str">
        <f>IFERROR(VLOOKUP(Detalle_OC[[#This Row],[Centro]]&amp;Detalle_OC[[#This Row],[Nro Almacen]],Almacen!A:D,4,FALSE),"")</f>
        <v>Montelima</v>
      </c>
    </row>
    <row r="2676" spans="1:12" x14ac:dyDescent="0.3">
      <c r="A2676" s="29" t="str">
        <f>Detalle_OC[[#This Row],[Centro]]&amp;Detalle_OC[[#This Row],[Nom Almacen]]&amp;Detalle_OC[[#This Row],[Material]]&amp;Detalle_OC[[#This Row],[Pedido]]&amp;Detalle_OC[[#This Row],[Posicion]]</f>
        <v>Agricola del Chira PlantaFERTI LOBO 2721426550002484430</v>
      </c>
      <c r="B2676" t="s">
        <v>28</v>
      </c>
      <c r="C2676" t="s">
        <v>88</v>
      </c>
      <c r="D2676" s="11">
        <v>45541</v>
      </c>
      <c r="E2676" t="s">
        <v>16</v>
      </c>
      <c r="F2676" t="s">
        <v>12</v>
      </c>
      <c r="G2676">
        <v>721426</v>
      </c>
      <c r="H2676">
        <v>5500024844</v>
      </c>
      <c r="I2676">
        <v>30</v>
      </c>
      <c r="J2676" s="29">
        <v>23</v>
      </c>
      <c r="K2676" s="29" t="s">
        <v>283</v>
      </c>
      <c r="L2676" t="str">
        <f>IFERROR(VLOOKUP(Detalle_OC[[#This Row],[Centro]]&amp;Detalle_OC[[#This Row],[Nro Almacen]],Almacen!A:D,4,FALSE),"")</f>
        <v>FERTI LOBO 2</v>
      </c>
    </row>
    <row r="2677" spans="1:12" x14ac:dyDescent="0.3">
      <c r="A2677" s="29" t="str">
        <f>Detalle_OC[[#This Row],[Centro]]&amp;Detalle_OC[[#This Row],[Nom Almacen]]&amp;Detalle_OC[[#This Row],[Material]]&amp;Detalle_OC[[#This Row],[Pedido]]&amp;Detalle_OC[[#This Row],[Posicion]]</f>
        <v>Agricola del Chira PlantaFERTI LOBO 3721426550002484440</v>
      </c>
      <c r="B2677" t="s">
        <v>28</v>
      </c>
      <c r="C2677" t="s">
        <v>88</v>
      </c>
      <c r="D2677" s="11">
        <v>45541</v>
      </c>
      <c r="E2677" t="s">
        <v>16</v>
      </c>
      <c r="F2677" t="s">
        <v>12</v>
      </c>
      <c r="G2677">
        <v>721426</v>
      </c>
      <c r="H2677">
        <v>5500024844</v>
      </c>
      <c r="I2677">
        <v>40</v>
      </c>
      <c r="J2677" s="29">
        <v>24</v>
      </c>
      <c r="K2677" s="29" t="s">
        <v>283</v>
      </c>
      <c r="L2677" t="str">
        <f>IFERROR(VLOOKUP(Detalle_OC[[#This Row],[Centro]]&amp;Detalle_OC[[#This Row],[Nro Almacen]],Almacen!A:D,4,FALSE),"")</f>
        <v>FERTI LOBO 3</v>
      </c>
    </row>
    <row r="2678" spans="1:12" x14ac:dyDescent="0.3">
      <c r="A2678" s="29" t="str">
        <f>Detalle_OC[[#This Row],[Centro]]&amp;Detalle_OC[[#This Row],[Nom Almacen]]&amp;Detalle_OC[[#This Row],[Material]]&amp;Detalle_OC[[#This Row],[Pedido]]&amp;Detalle_OC[[#This Row],[Posicion]]</f>
        <v>Agricola del Chira PlantaMontelima70084367550002468170</v>
      </c>
      <c r="B2678" t="s">
        <v>28</v>
      </c>
      <c r="C2678" t="s">
        <v>84</v>
      </c>
      <c r="D2678" s="11">
        <v>45540</v>
      </c>
      <c r="E2678" t="s">
        <v>16</v>
      </c>
      <c r="F2678" t="s">
        <v>12</v>
      </c>
      <c r="G2678">
        <v>70084367</v>
      </c>
      <c r="H2678">
        <v>5500024681</v>
      </c>
      <c r="I2678">
        <v>70</v>
      </c>
      <c r="J2678" s="29">
        <v>1</v>
      </c>
      <c r="K2678" s="29" t="s">
        <v>286</v>
      </c>
      <c r="L2678" t="str">
        <f>IFERROR(VLOOKUP(Detalle_OC[[#This Row],[Centro]]&amp;Detalle_OC[[#This Row],[Nro Almacen]],Almacen!A:D,4,FALSE),"")</f>
        <v>Montelima</v>
      </c>
    </row>
    <row r="2679" spans="1:12" x14ac:dyDescent="0.3">
      <c r="A2679" s="29" t="str">
        <f>Detalle_OC[[#This Row],[Centro]]&amp;Detalle_OC[[#This Row],[Nom Almacen]]&amp;Detalle_OC[[#This Row],[Material]]&amp;Detalle_OC[[#This Row],[Pedido]]&amp;Detalle_OC[[#This Row],[Posicion]]</f>
        <v>Agricola del Chira PlantaSan Vicente721426550002484460</v>
      </c>
      <c r="B2679" t="s">
        <v>28</v>
      </c>
      <c r="C2679" t="s">
        <v>88</v>
      </c>
      <c r="D2679" s="11">
        <v>45540</v>
      </c>
      <c r="E2679" t="s">
        <v>16</v>
      </c>
      <c r="F2679" t="s">
        <v>12</v>
      </c>
      <c r="G2679">
        <v>721426</v>
      </c>
      <c r="H2679">
        <v>5500024844</v>
      </c>
      <c r="I2679">
        <v>60</v>
      </c>
      <c r="J2679" s="29">
        <v>3</v>
      </c>
      <c r="K2679" s="29" t="s">
        <v>286</v>
      </c>
      <c r="L2679" t="str">
        <f>IFERROR(VLOOKUP(Detalle_OC[[#This Row],[Centro]]&amp;Detalle_OC[[#This Row],[Nro Almacen]],Almacen!A:D,4,FALSE),"")</f>
        <v>San Vicente</v>
      </c>
    </row>
    <row r="2680" spans="1:12" x14ac:dyDescent="0.3">
      <c r="A2680" s="29" t="str">
        <f>Detalle_OC[[#This Row],[Centro]]&amp;Detalle_OC[[#This Row],[Nom Almacen]]&amp;Detalle_OC[[#This Row],[Material]]&amp;Detalle_OC[[#This Row],[Pedido]]&amp;Detalle_OC[[#This Row],[Posicion]]</f>
        <v>Agricola del Chira PlantaLa Huaca700691795500024855160</v>
      </c>
      <c r="B2680" t="s">
        <v>28</v>
      </c>
      <c r="C2680" t="s">
        <v>96</v>
      </c>
      <c r="D2680" s="11">
        <v>45574</v>
      </c>
      <c r="E2680" t="s">
        <v>16</v>
      </c>
      <c r="F2680" t="s">
        <v>12</v>
      </c>
      <c r="G2680">
        <v>70069179</v>
      </c>
      <c r="H2680">
        <v>5500024855</v>
      </c>
      <c r="I2680">
        <v>160</v>
      </c>
      <c r="J2680" s="29">
        <v>2</v>
      </c>
      <c r="K2680" s="29" t="s">
        <v>286</v>
      </c>
      <c r="L2680" t="str">
        <f>IFERROR(VLOOKUP(Detalle_OC[[#This Row],[Centro]]&amp;Detalle_OC[[#This Row],[Nro Almacen]],Almacen!A:D,4,FALSE),"")</f>
        <v>La Huaca</v>
      </c>
    </row>
    <row r="2681" spans="1:12" x14ac:dyDescent="0.3">
      <c r="A2681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2681" t="s">
        <v>28</v>
      </c>
      <c r="C2681" t="s">
        <v>94</v>
      </c>
      <c r="D2681" s="11">
        <v>45539</v>
      </c>
      <c r="E2681" t="s">
        <v>16</v>
      </c>
      <c r="F2681" t="s">
        <v>85</v>
      </c>
      <c r="G2681" t="s">
        <v>95</v>
      </c>
      <c r="H2681">
        <v>5500024746</v>
      </c>
      <c r="I2681">
        <v>10</v>
      </c>
      <c r="J2681" s="29">
        <v>1</v>
      </c>
      <c r="K2681" s="29" t="s">
        <v>291</v>
      </c>
      <c r="L2681" t="str">
        <f>IFERROR(VLOOKUP(Detalle_OC[[#This Row],[Centro]]&amp;Detalle_OC[[#This Row],[Nro Almacen]],Almacen!A:D,4,FALSE),"")</f>
        <v>Montelima</v>
      </c>
    </row>
    <row r="2682" spans="1:12" x14ac:dyDescent="0.3">
      <c r="A2682" s="29" t="str">
        <f>Detalle_OC[[#This Row],[Centro]]&amp;Detalle_OC[[#This Row],[Nom Almacen]]&amp;Detalle_OC[[#This Row],[Material]]&amp;Detalle_OC[[#This Row],[Pedido]]&amp;Detalle_OC[[#This Row],[Posicion]]</f>
        <v>Agricola del Chira PlantaAlmacen Lobo700691795500024855200</v>
      </c>
      <c r="B2682" t="s">
        <v>28</v>
      </c>
      <c r="C2682" t="s">
        <v>96</v>
      </c>
      <c r="D2682" s="11">
        <v>45569</v>
      </c>
      <c r="E2682" t="s">
        <v>16</v>
      </c>
      <c r="F2682" t="s">
        <v>12</v>
      </c>
      <c r="G2682">
        <v>70069179</v>
      </c>
      <c r="H2682">
        <v>5500024855</v>
      </c>
      <c r="I2682">
        <v>200</v>
      </c>
      <c r="J2682" s="29">
        <v>7</v>
      </c>
      <c r="K2682" s="29" t="s">
        <v>291</v>
      </c>
      <c r="L2682" t="str">
        <f>IFERROR(VLOOKUP(Detalle_OC[[#This Row],[Centro]]&amp;Detalle_OC[[#This Row],[Nro Almacen]],Almacen!A:D,4,FALSE),"")</f>
        <v>Almacen Lobo</v>
      </c>
    </row>
    <row r="2683" spans="1:12" x14ac:dyDescent="0.3">
      <c r="A2683" s="29" t="str">
        <f>Detalle_OC[[#This Row],[Centro]]&amp;Detalle_OC[[#This Row],[Nom Almacen]]&amp;Detalle_OC[[#This Row],[Material]]&amp;Detalle_OC[[#This Row],[Pedido]]&amp;Detalle_OC[[#This Row],[Posicion]]</f>
        <v>Agricola del Chira PlantaMontelima700580015500024881160</v>
      </c>
      <c r="B2683" t="s">
        <v>28</v>
      </c>
      <c r="C2683" t="s">
        <v>52</v>
      </c>
      <c r="D2683" s="11">
        <v>45539</v>
      </c>
      <c r="E2683" t="s">
        <v>16</v>
      </c>
      <c r="F2683" t="s">
        <v>12</v>
      </c>
      <c r="G2683">
        <v>70058001</v>
      </c>
      <c r="H2683">
        <v>5500024881</v>
      </c>
      <c r="I2683">
        <v>160</v>
      </c>
      <c r="J2683" s="29">
        <v>1</v>
      </c>
      <c r="K2683" s="29" t="s">
        <v>291</v>
      </c>
      <c r="L2683" t="str">
        <f>IFERROR(VLOOKUP(Detalle_OC[[#This Row],[Centro]]&amp;Detalle_OC[[#This Row],[Nro Almacen]],Almacen!A:D,4,FALSE),"")</f>
        <v>Montelima</v>
      </c>
    </row>
    <row r="2684" spans="1:12" x14ac:dyDescent="0.3">
      <c r="A2684" s="29" t="str">
        <f>Detalle_OC[[#This Row],[Centro]]&amp;Detalle_OC[[#This Row],[Nom Almacen]]&amp;Detalle_OC[[#This Row],[Material]]&amp;Detalle_OC[[#This Row],[Pedido]]&amp;Detalle_OC[[#This Row],[Posicion]]</f>
        <v>Agricola del Chira PlantaMontelima70036719451156318210</v>
      </c>
      <c r="B2684" t="s">
        <v>149</v>
      </c>
      <c r="C2684" t="s">
        <v>216</v>
      </c>
      <c r="D2684" s="11">
        <v>45609</v>
      </c>
      <c r="E2684" t="s">
        <v>16</v>
      </c>
      <c r="F2684" t="s">
        <v>12</v>
      </c>
      <c r="G2684">
        <v>70036719</v>
      </c>
      <c r="H2684">
        <v>4511563182</v>
      </c>
      <c r="I2684">
        <v>10</v>
      </c>
      <c r="J2684" s="29">
        <v>1</v>
      </c>
      <c r="K2684" s="29" t="s">
        <v>296</v>
      </c>
      <c r="L2684" t="str">
        <f>IFERROR(VLOOKUP(Detalle_OC[[#This Row],[Centro]]&amp;Detalle_OC[[#This Row],[Nro Almacen]],Almacen!A:D,4,FALSE),"")</f>
        <v>Montelima</v>
      </c>
    </row>
    <row r="2685" spans="1:12" x14ac:dyDescent="0.3">
      <c r="A2685" s="29" t="str">
        <f>Detalle_OC[[#This Row],[Centro]]&amp;Detalle_OC[[#This Row],[Nom Almacen]]&amp;Detalle_OC[[#This Row],[Material]]&amp;Detalle_OC[[#This Row],[Pedido]]&amp;Detalle_OC[[#This Row],[Posicion]]</f>
        <v>Agricola del Chira PlantaMontelima70031418451156318230</v>
      </c>
      <c r="B2685" t="s">
        <v>225</v>
      </c>
      <c r="C2685" t="s">
        <v>216</v>
      </c>
      <c r="D2685" s="11">
        <v>45639</v>
      </c>
      <c r="E2685" t="s">
        <v>16</v>
      </c>
      <c r="F2685" t="s">
        <v>12</v>
      </c>
      <c r="G2685">
        <v>70031418</v>
      </c>
      <c r="H2685">
        <v>4511563182</v>
      </c>
      <c r="I2685">
        <v>30</v>
      </c>
      <c r="J2685" s="29">
        <v>1</v>
      </c>
      <c r="K2685" s="29" t="s">
        <v>296</v>
      </c>
      <c r="L2685" t="str">
        <f>IFERROR(VLOOKUP(Detalle_OC[[#This Row],[Centro]]&amp;Detalle_OC[[#This Row],[Nro Almacen]],Almacen!A:D,4,FALSE),"")</f>
        <v>Montelima</v>
      </c>
    </row>
    <row r="2686" spans="1:12" x14ac:dyDescent="0.3">
      <c r="A2686" s="29" t="str">
        <f>Detalle_OC[[#This Row],[Centro]]&amp;Detalle_OC[[#This Row],[Nom Almacen]]&amp;Detalle_OC[[#This Row],[Material]]&amp;Detalle_OC[[#This Row],[Pedido]]&amp;Detalle_OC[[#This Row],[Posicion]]</f>
        <v>Agricola del Chira PlantaFERTI LOBO 2MWAGR000058       550002481530</v>
      </c>
      <c r="B2686" t="s">
        <v>28</v>
      </c>
      <c r="C2686" t="s">
        <v>112</v>
      </c>
      <c r="D2686" s="11">
        <v>45506</v>
      </c>
      <c r="E2686" t="s">
        <v>16</v>
      </c>
      <c r="F2686" t="s">
        <v>12</v>
      </c>
      <c r="G2686" t="s">
        <v>113</v>
      </c>
      <c r="H2686">
        <v>5500024815</v>
      </c>
      <c r="I2686">
        <v>30</v>
      </c>
      <c r="J2686" s="29">
        <v>23</v>
      </c>
      <c r="K2686" s="29" t="s">
        <v>296</v>
      </c>
      <c r="L2686" t="str">
        <f>IFERROR(VLOOKUP(Detalle_OC[[#This Row],[Centro]]&amp;Detalle_OC[[#This Row],[Nro Almacen]],Almacen!A:D,4,FALSE),"")</f>
        <v>FERTI LOBO 2</v>
      </c>
    </row>
    <row r="2687" spans="1:12" x14ac:dyDescent="0.3">
      <c r="A2687" s="29" t="str">
        <f>Detalle_OC[[#This Row],[Centro]]&amp;Detalle_OC[[#This Row],[Nom Almacen]]&amp;Detalle_OC[[#This Row],[Material]]&amp;Detalle_OC[[#This Row],[Pedido]]&amp;Detalle_OC[[#This Row],[Posicion]]</f>
        <v>Agricola del Chira PlantaFERTI LOBO 3MWAGR000058       550002481540</v>
      </c>
      <c r="B2687" t="s">
        <v>28</v>
      </c>
      <c r="C2687" t="s">
        <v>112</v>
      </c>
      <c r="D2687" s="11">
        <v>45537</v>
      </c>
      <c r="E2687" t="s">
        <v>16</v>
      </c>
      <c r="F2687" t="s">
        <v>12</v>
      </c>
      <c r="G2687" t="s">
        <v>113</v>
      </c>
      <c r="H2687">
        <v>5500024815</v>
      </c>
      <c r="I2687">
        <v>40</v>
      </c>
      <c r="J2687" s="29">
        <v>24</v>
      </c>
      <c r="K2687" s="29" t="s">
        <v>296</v>
      </c>
      <c r="L2687" t="str">
        <f>IFERROR(VLOOKUP(Detalle_OC[[#This Row],[Centro]]&amp;Detalle_OC[[#This Row],[Nro Almacen]],Almacen!A:D,4,FALSE),"")</f>
        <v>FERTI LOBO 3</v>
      </c>
    </row>
    <row r="2688" spans="1:12" x14ac:dyDescent="0.3">
      <c r="A2688" s="29" t="str">
        <f>Detalle_OC[[#This Row],[Centro]]&amp;Detalle_OC[[#This Row],[Nom Almacen]]&amp;Detalle_OC[[#This Row],[Material]]&amp;Detalle_OC[[#This Row],[Pedido]]&amp;Detalle_OC[[#This Row],[Posicion]]</f>
        <v>Agricola del Chira PlantaMontelima721426550002484450</v>
      </c>
      <c r="B2688" t="s">
        <v>28</v>
      </c>
      <c r="C2688" t="s">
        <v>88</v>
      </c>
      <c r="D2688" s="11">
        <v>45538</v>
      </c>
      <c r="E2688" t="s">
        <v>16</v>
      </c>
      <c r="F2688" t="s">
        <v>12</v>
      </c>
      <c r="G2688">
        <v>721426</v>
      </c>
      <c r="H2688">
        <v>5500024844</v>
      </c>
      <c r="I2688">
        <v>50</v>
      </c>
      <c r="J2688" s="29">
        <v>1</v>
      </c>
      <c r="K2688" s="29" t="s">
        <v>296</v>
      </c>
      <c r="L2688" t="str">
        <f>IFERROR(VLOOKUP(Detalle_OC[[#This Row],[Centro]]&amp;Detalle_OC[[#This Row],[Nro Almacen]],Almacen!A:D,4,FALSE),"")</f>
        <v>Montelima</v>
      </c>
    </row>
    <row r="2689" spans="1:12" x14ac:dyDescent="0.3">
      <c r="A2689" s="29" t="str">
        <f>Detalle_OC[[#This Row],[Centro]]&amp;Detalle_OC[[#This Row],[Nom Almacen]]&amp;Detalle_OC[[#This Row],[Material]]&amp;Detalle_OC[[#This Row],[Pedido]]&amp;Detalle_OC[[#This Row],[Posicion]]</f>
        <v>Agricola del Chira PlantaMontelima70100392550002475110</v>
      </c>
      <c r="B2689" t="s">
        <v>28</v>
      </c>
      <c r="C2689" t="s">
        <v>54</v>
      </c>
      <c r="D2689" s="11">
        <v>45537</v>
      </c>
      <c r="E2689" t="s">
        <v>16</v>
      </c>
      <c r="F2689" t="s">
        <v>12</v>
      </c>
      <c r="G2689">
        <v>70100392</v>
      </c>
      <c r="H2689">
        <v>5500024751</v>
      </c>
      <c r="I2689">
        <v>10</v>
      </c>
      <c r="J2689" s="29">
        <v>1</v>
      </c>
      <c r="K2689" s="29" t="s">
        <v>301</v>
      </c>
      <c r="L2689" t="str">
        <f>IFERROR(VLOOKUP(Detalle_OC[[#This Row],[Centro]]&amp;Detalle_OC[[#This Row],[Nro Almacen]],Almacen!A:D,4,FALSE),"")</f>
        <v>Montelima</v>
      </c>
    </row>
    <row r="2690" spans="1:12" x14ac:dyDescent="0.3">
      <c r="A2690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2690" t="s">
        <v>28</v>
      </c>
      <c r="C2690" t="s">
        <v>54</v>
      </c>
      <c r="D2690" s="11">
        <v>45537</v>
      </c>
      <c r="E2690" t="s">
        <v>16</v>
      </c>
      <c r="F2690" t="s">
        <v>12</v>
      </c>
      <c r="G2690">
        <v>70100392</v>
      </c>
      <c r="H2690">
        <v>5500024751</v>
      </c>
      <c r="I2690">
        <v>20</v>
      </c>
      <c r="J2690" s="29">
        <v>2</v>
      </c>
      <c r="K2690" s="29" t="s">
        <v>301</v>
      </c>
      <c r="L2690" t="str">
        <f>IFERROR(VLOOKUP(Detalle_OC[[#This Row],[Centro]]&amp;Detalle_OC[[#This Row],[Nro Almacen]],Almacen!A:D,4,FALSE),"")</f>
        <v>La Huaca</v>
      </c>
    </row>
    <row r="2691" spans="1:12" x14ac:dyDescent="0.3">
      <c r="A2691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2691" t="s">
        <v>28</v>
      </c>
      <c r="C2691" t="s">
        <v>54</v>
      </c>
      <c r="D2691" s="11">
        <v>45506</v>
      </c>
      <c r="E2691" t="s">
        <v>16</v>
      </c>
      <c r="F2691" t="s">
        <v>12</v>
      </c>
      <c r="G2691">
        <v>70100392</v>
      </c>
      <c r="H2691">
        <v>5500024751</v>
      </c>
      <c r="I2691">
        <v>40</v>
      </c>
      <c r="J2691" s="29">
        <v>7</v>
      </c>
      <c r="K2691" s="29" t="s">
        <v>301</v>
      </c>
      <c r="L2691" t="str">
        <f>IFERROR(VLOOKUP(Detalle_OC[[#This Row],[Centro]]&amp;Detalle_OC[[#This Row],[Nro Almacen]],Almacen!A:D,4,FALSE),"")</f>
        <v>Almacen Lobo</v>
      </c>
    </row>
    <row r="2692" spans="1:12" x14ac:dyDescent="0.3">
      <c r="A2692" s="29" t="str">
        <f>Detalle_OC[[#This Row],[Centro]]&amp;Detalle_OC[[#This Row],[Nom Almacen]]&amp;Detalle_OC[[#This Row],[Material]]&amp;Detalle_OC[[#This Row],[Pedido]]&amp;Detalle_OC[[#This Row],[Posicion]]</f>
        <v>Sucroalcolera del Chira PlantaMontelima70069183550002485660</v>
      </c>
      <c r="B2692" t="s">
        <v>28</v>
      </c>
      <c r="C2692" t="s">
        <v>96</v>
      </c>
      <c r="D2692" s="11">
        <v>45580</v>
      </c>
      <c r="E2692" t="s">
        <v>16</v>
      </c>
      <c r="F2692" t="s">
        <v>85</v>
      </c>
      <c r="G2692">
        <v>70069183</v>
      </c>
      <c r="H2692">
        <v>5500024856</v>
      </c>
      <c r="I2692">
        <v>60</v>
      </c>
      <c r="J2692" s="29">
        <v>1</v>
      </c>
      <c r="K2692" s="29" t="s">
        <v>307</v>
      </c>
      <c r="L2692" t="str">
        <f>IFERROR(VLOOKUP(Detalle_OC[[#This Row],[Centro]]&amp;Detalle_OC[[#This Row],[Nro Almacen]],Almacen!A:D,4,FALSE),"")</f>
        <v>Montelima</v>
      </c>
    </row>
    <row r="2693" spans="1:12" x14ac:dyDescent="0.3">
      <c r="A2693" s="29" t="str">
        <f>Detalle_OC[[#This Row],[Centro]]&amp;Detalle_OC[[#This Row],[Nom Almacen]]&amp;Detalle_OC[[#This Row],[Material]]&amp;Detalle_OC[[#This Row],[Pedido]]&amp;Detalle_OC[[#This Row],[Posicion]]</f>
        <v>Agricola del Chira PlantaAlmacen Lobo701021385500024881150</v>
      </c>
      <c r="B2693" t="s">
        <v>28</v>
      </c>
      <c r="C2693" t="s">
        <v>52</v>
      </c>
      <c r="D2693" s="11">
        <v>45535</v>
      </c>
      <c r="E2693" t="s">
        <v>16</v>
      </c>
      <c r="F2693" t="s">
        <v>12</v>
      </c>
      <c r="G2693">
        <v>70102138</v>
      </c>
      <c r="H2693">
        <v>5500024881</v>
      </c>
      <c r="I2693">
        <v>150</v>
      </c>
      <c r="J2693" s="29">
        <v>7</v>
      </c>
      <c r="K2693" s="29" t="s">
        <v>307</v>
      </c>
      <c r="L2693" t="str">
        <f>IFERROR(VLOOKUP(Detalle_OC[[#This Row],[Centro]]&amp;Detalle_OC[[#This Row],[Nro Almacen]],Almacen!A:D,4,FALSE),"")</f>
        <v>Almacen Lobo</v>
      </c>
    </row>
    <row r="2694" spans="1:12" x14ac:dyDescent="0.3">
      <c r="A2694" s="29" t="str">
        <f>Detalle_OC[[#This Row],[Centro]]&amp;Detalle_OC[[#This Row],[Nom Almacen]]&amp;Detalle_OC[[#This Row],[Material]]&amp;Detalle_OC[[#This Row],[Pedido]]&amp;Detalle_OC[[#This Row],[Posicion]]</f>
        <v>Agricola del Chira PlantaAlmacen Lobo700580015500024881180</v>
      </c>
      <c r="B2694" t="s">
        <v>28</v>
      </c>
      <c r="C2694" t="s">
        <v>52</v>
      </c>
      <c r="D2694" s="11">
        <v>45535</v>
      </c>
      <c r="E2694" t="s">
        <v>16</v>
      </c>
      <c r="F2694" t="s">
        <v>12</v>
      </c>
      <c r="G2694">
        <v>70058001</v>
      </c>
      <c r="H2694">
        <v>5500024881</v>
      </c>
      <c r="I2694">
        <v>180</v>
      </c>
      <c r="J2694" s="29">
        <v>7</v>
      </c>
      <c r="K2694" s="29" t="s">
        <v>307</v>
      </c>
      <c r="L2694" t="str">
        <f>IFERROR(VLOOKUP(Detalle_OC[[#This Row],[Centro]]&amp;Detalle_OC[[#This Row],[Nro Almacen]],Almacen!A:D,4,FALSE),"")</f>
        <v>Almacen Lobo</v>
      </c>
    </row>
    <row r="2695" spans="1:12" x14ac:dyDescent="0.3">
      <c r="A2695" s="29" t="str">
        <f>Detalle_OC[[#This Row],[Centro]]&amp;Detalle_OC[[#This Row],[Nom Almacen]]&amp;Detalle_OC[[#This Row],[Material]]&amp;Detalle_OC[[#This Row],[Pedido]]&amp;Detalle_OC[[#This Row],[Posicion]]</f>
        <v>Agricola del Chira PlantaMontelima701021385500024881130</v>
      </c>
      <c r="B2695" t="s">
        <v>28</v>
      </c>
      <c r="C2695" t="s">
        <v>52</v>
      </c>
      <c r="D2695" s="11">
        <v>45533</v>
      </c>
      <c r="E2695" t="s">
        <v>16</v>
      </c>
      <c r="F2695" t="s">
        <v>12</v>
      </c>
      <c r="G2695">
        <v>70102138</v>
      </c>
      <c r="H2695">
        <v>5500024881</v>
      </c>
      <c r="I2695">
        <v>130</v>
      </c>
      <c r="J2695" s="29">
        <v>1</v>
      </c>
      <c r="K2695" s="29" t="s">
        <v>308</v>
      </c>
      <c r="L2695" t="str">
        <f>IFERROR(VLOOKUP(Detalle_OC[[#This Row],[Centro]]&amp;Detalle_OC[[#This Row],[Nro Almacen]],Almacen!A:D,4,FALSE),"")</f>
        <v>Montelima</v>
      </c>
    </row>
    <row r="2696" spans="1:12" x14ac:dyDescent="0.3">
      <c r="A2696" s="29" t="str">
        <f>Detalle_OC[[#This Row],[Centro]]&amp;Detalle_OC[[#This Row],[Nom Almacen]]&amp;Detalle_OC[[#This Row],[Material]]&amp;Detalle_OC[[#This Row],[Pedido]]&amp;Detalle_OC[[#This Row],[Posicion]]</f>
        <v>Agricola del Chira PlantaMontelima700580015500024881160</v>
      </c>
      <c r="B2696" t="s">
        <v>28</v>
      </c>
      <c r="C2696" t="s">
        <v>52</v>
      </c>
      <c r="D2696" s="11">
        <v>45533</v>
      </c>
      <c r="E2696" t="s">
        <v>16</v>
      </c>
      <c r="F2696" t="s">
        <v>12</v>
      </c>
      <c r="G2696">
        <v>70058001</v>
      </c>
      <c r="H2696">
        <v>5500024881</v>
      </c>
      <c r="I2696">
        <v>160</v>
      </c>
      <c r="J2696" s="29">
        <v>1</v>
      </c>
      <c r="K2696" s="29" t="s">
        <v>308</v>
      </c>
      <c r="L2696" t="str">
        <f>IFERROR(VLOOKUP(Detalle_OC[[#This Row],[Centro]]&amp;Detalle_OC[[#This Row],[Nro Almacen]],Almacen!A:D,4,FALSE),"")</f>
        <v>Montelima</v>
      </c>
    </row>
    <row r="2697" spans="1:12" x14ac:dyDescent="0.3">
      <c r="A2697" s="29" t="str">
        <f>Detalle_OC[[#This Row],[Centro]]&amp;Detalle_OC[[#This Row],[Nom Almacen]]&amp;Detalle_OC[[#This Row],[Material]]&amp;Detalle_OC[[#This Row],[Pedido]]&amp;Detalle_OC[[#This Row],[Posicion]]</f>
        <v>Agricola del Chira PlantaMontelima700657865500024881200</v>
      </c>
      <c r="B2697" t="s">
        <v>28</v>
      </c>
      <c r="C2697" t="s">
        <v>52</v>
      </c>
      <c r="D2697" s="11">
        <v>45533</v>
      </c>
      <c r="E2697" t="s">
        <v>16</v>
      </c>
      <c r="F2697" t="s">
        <v>12</v>
      </c>
      <c r="G2697">
        <v>70065786</v>
      </c>
      <c r="H2697">
        <v>5500024881</v>
      </c>
      <c r="I2697">
        <v>200</v>
      </c>
      <c r="J2697" s="29">
        <v>1</v>
      </c>
      <c r="K2697" s="29" t="s">
        <v>308</v>
      </c>
      <c r="L2697" t="str">
        <f>IFERROR(VLOOKUP(Detalle_OC[[#This Row],[Centro]]&amp;Detalle_OC[[#This Row],[Nro Almacen]],Almacen!A:D,4,FALSE),"")</f>
        <v>Montelima</v>
      </c>
    </row>
    <row r="2698" spans="1:12" x14ac:dyDescent="0.3">
      <c r="A2698" s="29" t="str">
        <f>Detalle_OC[[#This Row],[Centro]]&amp;Detalle_OC[[#This Row],[Nom Almacen]]&amp;Detalle_OC[[#This Row],[Material]]&amp;Detalle_OC[[#This Row],[Pedido]]&amp;Detalle_OC[[#This Row],[Posicion]]</f>
        <v>Agricola del Chira PlantaMontelima808069550002233830</v>
      </c>
      <c r="B2698" t="s">
        <v>28</v>
      </c>
      <c r="C2698" t="s">
        <v>84</v>
      </c>
      <c r="D2698" s="11">
        <v>45532</v>
      </c>
      <c r="E2698" t="s">
        <v>16</v>
      </c>
      <c r="F2698" t="s">
        <v>12</v>
      </c>
      <c r="G2698">
        <v>808069</v>
      </c>
      <c r="H2698">
        <v>5500022338</v>
      </c>
      <c r="I2698">
        <v>30</v>
      </c>
      <c r="J2698" s="29">
        <v>1</v>
      </c>
      <c r="K2698" s="29" t="s">
        <v>311</v>
      </c>
      <c r="L2698" t="str">
        <f>IFERROR(VLOOKUP(Detalle_OC[[#This Row],[Centro]]&amp;Detalle_OC[[#This Row],[Nro Almacen]],Almacen!A:D,4,FALSE),"")</f>
        <v>Montelima</v>
      </c>
    </row>
    <row r="2699" spans="1:12" x14ac:dyDescent="0.3">
      <c r="A2699" s="29" t="str">
        <f>Detalle_OC[[#This Row],[Centro]]&amp;Detalle_OC[[#This Row],[Nom Almacen]]&amp;Detalle_OC[[#This Row],[Material]]&amp;Detalle_OC[[#This Row],[Pedido]]&amp;Detalle_OC[[#This Row],[Posicion]]</f>
        <v>Agricola del Chira PlantaMontelima708707550002233850</v>
      </c>
      <c r="B2699" t="s">
        <v>28</v>
      </c>
      <c r="C2699" t="s">
        <v>84</v>
      </c>
      <c r="D2699" s="11">
        <v>45532</v>
      </c>
      <c r="E2699" t="s">
        <v>16</v>
      </c>
      <c r="F2699" t="s">
        <v>12</v>
      </c>
      <c r="G2699">
        <v>708707</v>
      </c>
      <c r="H2699">
        <v>5500022338</v>
      </c>
      <c r="I2699">
        <v>50</v>
      </c>
      <c r="J2699" s="29">
        <v>1</v>
      </c>
      <c r="K2699" s="29" t="s">
        <v>311</v>
      </c>
      <c r="L2699" t="str">
        <f>IFERROR(VLOOKUP(Detalle_OC[[#This Row],[Centro]]&amp;Detalle_OC[[#This Row],[Nro Almacen]],Almacen!A:D,4,FALSE),"")</f>
        <v>Montelima</v>
      </c>
    </row>
    <row r="2700" spans="1:12" x14ac:dyDescent="0.3">
      <c r="A2700" s="29" t="str">
        <f>Detalle_OC[[#This Row],[Centro]]&amp;Detalle_OC[[#This Row],[Nom Almacen]]&amp;Detalle_OC[[#This Row],[Material]]&amp;Detalle_OC[[#This Row],[Pedido]]&amp;Detalle_OC[[#This Row],[Posicion]]</f>
        <v>Agricola del Chira PlantaMontelima70084356550002468130</v>
      </c>
      <c r="B2700" t="s">
        <v>28</v>
      </c>
      <c r="C2700" t="s">
        <v>84</v>
      </c>
      <c r="D2700" s="11">
        <v>45532</v>
      </c>
      <c r="E2700" t="s">
        <v>16</v>
      </c>
      <c r="F2700" t="s">
        <v>12</v>
      </c>
      <c r="G2700">
        <v>70084356</v>
      </c>
      <c r="H2700">
        <v>5500024681</v>
      </c>
      <c r="I2700">
        <v>30</v>
      </c>
      <c r="J2700" s="29">
        <v>1</v>
      </c>
      <c r="K2700" s="29" t="s">
        <v>311</v>
      </c>
      <c r="L2700" t="str">
        <f>IFERROR(VLOOKUP(Detalle_OC[[#This Row],[Centro]]&amp;Detalle_OC[[#This Row],[Nro Almacen]],Almacen!A:D,4,FALSE),"")</f>
        <v>Montelima</v>
      </c>
    </row>
    <row r="2701" spans="1:12" x14ac:dyDescent="0.3">
      <c r="A2701" s="29" t="str">
        <f>Detalle_OC[[#This Row],[Centro]]&amp;Detalle_OC[[#This Row],[Nom Almacen]]&amp;Detalle_OC[[#This Row],[Material]]&amp;Detalle_OC[[#This Row],[Pedido]]&amp;Detalle_OC[[#This Row],[Posicion]]</f>
        <v>Agricola del Chira PlantaMontelima70084357550002468140</v>
      </c>
      <c r="B2701" t="s">
        <v>28</v>
      </c>
      <c r="C2701" t="s">
        <v>84</v>
      </c>
      <c r="D2701" s="11">
        <v>45532</v>
      </c>
      <c r="E2701" t="s">
        <v>16</v>
      </c>
      <c r="F2701" t="s">
        <v>12</v>
      </c>
      <c r="G2701">
        <v>70084357</v>
      </c>
      <c r="H2701">
        <v>5500024681</v>
      </c>
      <c r="I2701">
        <v>40</v>
      </c>
      <c r="J2701" s="29">
        <v>1</v>
      </c>
      <c r="K2701" s="29" t="s">
        <v>311</v>
      </c>
      <c r="L2701" t="str">
        <f>IFERROR(VLOOKUP(Detalle_OC[[#This Row],[Centro]]&amp;Detalle_OC[[#This Row],[Nro Almacen]],Almacen!A:D,4,FALSE),"")</f>
        <v>Montelima</v>
      </c>
    </row>
    <row r="2702" spans="1:12" x14ac:dyDescent="0.3">
      <c r="A2702" s="29" t="str">
        <f>Detalle_OC[[#This Row],[Centro]]&amp;Detalle_OC[[#This Row],[Nom Almacen]]&amp;Detalle_OC[[#This Row],[Material]]&amp;Detalle_OC[[#This Row],[Pedido]]&amp;Detalle_OC[[#This Row],[Posicion]]</f>
        <v>Agricola del Chira PlantaMontelima70084360550002468150</v>
      </c>
      <c r="B2702" t="s">
        <v>28</v>
      </c>
      <c r="C2702" t="s">
        <v>84</v>
      </c>
      <c r="D2702" s="11">
        <v>45532</v>
      </c>
      <c r="E2702" t="s">
        <v>16</v>
      </c>
      <c r="F2702" t="s">
        <v>12</v>
      </c>
      <c r="G2702">
        <v>70084360</v>
      </c>
      <c r="H2702">
        <v>5500024681</v>
      </c>
      <c r="I2702">
        <v>50</v>
      </c>
      <c r="J2702" s="29">
        <v>1</v>
      </c>
      <c r="K2702" s="29" t="s">
        <v>311</v>
      </c>
      <c r="L2702" t="str">
        <f>IFERROR(VLOOKUP(Detalle_OC[[#This Row],[Centro]]&amp;Detalle_OC[[#This Row],[Nro Almacen]],Almacen!A:D,4,FALSE),"")</f>
        <v>Montelima</v>
      </c>
    </row>
    <row r="2703" spans="1:12" x14ac:dyDescent="0.3">
      <c r="A2703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2703" t="s">
        <v>28</v>
      </c>
      <c r="C2703" t="s">
        <v>94</v>
      </c>
      <c r="D2703" s="11">
        <v>45532</v>
      </c>
      <c r="E2703" t="s">
        <v>16</v>
      </c>
      <c r="F2703" t="s">
        <v>85</v>
      </c>
      <c r="G2703" t="s">
        <v>95</v>
      </c>
      <c r="H2703">
        <v>5500024746</v>
      </c>
      <c r="I2703">
        <v>10</v>
      </c>
      <c r="J2703" s="29">
        <v>1</v>
      </c>
      <c r="K2703" s="29" t="s">
        <v>311</v>
      </c>
      <c r="L2703" t="str">
        <f>IFERROR(VLOOKUP(Detalle_OC[[#This Row],[Centro]]&amp;Detalle_OC[[#This Row],[Nro Almacen]],Almacen!A:D,4,FALSE),"")</f>
        <v>Montelima</v>
      </c>
    </row>
    <row r="2704" spans="1:12" x14ac:dyDescent="0.3">
      <c r="A2704" s="29" t="str">
        <f>Detalle_OC[[#This Row],[Centro]]&amp;Detalle_OC[[#This Row],[Nom Almacen]]&amp;Detalle_OC[[#This Row],[Material]]&amp;Detalle_OC[[#This Row],[Pedido]]&amp;Detalle_OC[[#This Row],[Posicion]]</f>
        <v>Agricola del Chira PlantaMontelima70100392550002475110</v>
      </c>
      <c r="B2704" t="s">
        <v>28</v>
      </c>
      <c r="C2704" t="s">
        <v>54</v>
      </c>
      <c r="D2704" s="11">
        <v>45532</v>
      </c>
      <c r="E2704" t="s">
        <v>16</v>
      </c>
      <c r="F2704" t="s">
        <v>12</v>
      </c>
      <c r="G2704">
        <v>70100392</v>
      </c>
      <c r="H2704">
        <v>5500024751</v>
      </c>
      <c r="I2704">
        <v>10</v>
      </c>
      <c r="J2704" s="29">
        <v>1</v>
      </c>
      <c r="K2704" s="29" t="s">
        <v>311</v>
      </c>
      <c r="L2704" t="str">
        <f>IFERROR(VLOOKUP(Detalle_OC[[#This Row],[Centro]]&amp;Detalle_OC[[#This Row],[Nro Almacen]],Almacen!A:D,4,FALSE),"")</f>
        <v>Montelima</v>
      </c>
    </row>
    <row r="2705" spans="1:12" x14ac:dyDescent="0.3">
      <c r="A2705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2705" t="s">
        <v>28</v>
      </c>
      <c r="C2705" t="s">
        <v>54</v>
      </c>
      <c r="D2705" s="11">
        <v>45531</v>
      </c>
      <c r="E2705" t="s">
        <v>16</v>
      </c>
      <c r="F2705" t="s">
        <v>12</v>
      </c>
      <c r="G2705">
        <v>70100392</v>
      </c>
      <c r="H2705">
        <v>5500024751</v>
      </c>
      <c r="I2705">
        <v>20</v>
      </c>
      <c r="J2705" s="29">
        <v>2</v>
      </c>
      <c r="K2705" s="29" t="s">
        <v>311</v>
      </c>
      <c r="L2705" t="str">
        <f>IFERROR(VLOOKUP(Detalle_OC[[#This Row],[Centro]]&amp;Detalle_OC[[#This Row],[Nro Almacen]],Almacen!A:D,4,FALSE),"")</f>
        <v>La Huaca</v>
      </c>
    </row>
    <row r="2706" spans="1:12" x14ac:dyDescent="0.3">
      <c r="A2706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2706" t="s">
        <v>28</v>
      </c>
      <c r="C2706" t="s">
        <v>54</v>
      </c>
      <c r="D2706" s="11">
        <v>45531</v>
      </c>
      <c r="E2706" t="s">
        <v>16</v>
      </c>
      <c r="F2706" t="s">
        <v>12</v>
      </c>
      <c r="G2706">
        <v>70100392</v>
      </c>
      <c r="H2706">
        <v>5500024751</v>
      </c>
      <c r="I2706">
        <v>40</v>
      </c>
      <c r="J2706" s="29">
        <v>7</v>
      </c>
      <c r="K2706" s="29" t="s">
        <v>311</v>
      </c>
      <c r="L2706" t="str">
        <f>IFERROR(VLOOKUP(Detalle_OC[[#This Row],[Centro]]&amp;Detalle_OC[[#This Row],[Nro Almacen]],Almacen!A:D,4,FALSE),"")</f>
        <v>Almacen Lobo</v>
      </c>
    </row>
    <row r="2707" spans="1:12" x14ac:dyDescent="0.3">
      <c r="A2707" s="29" t="str">
        <f>Detalle_OC[[#This Row],[Centro]]&amp;Detalle_OC[[#This Row],[Nom Almacen]]&amp;Detalle_OC[[#This Row],[Material]]&amp;Detalle_OC[[#This Row],[Pedido]]&amp;Detalle_OC[[#This Row],[Posicion]]</f>
        <v>Agricola del Chira PlantaLa Huaca810481550002485570</v>
      </c>
      <c r="B2707" t="s">
        <v>28</v>
      </c>
      <c r="C2707" t="s">
        <v>96</v>
      </c>
      <c r="D2707" s="11">
        <v>45574</v>
      </c>
      <c r="E2707" t="s">
        <v>16</v>
      </c>
      <c r="F2707" t="s">
        <v>12</v>
      </c>
      <c r="G2707">
        <v>810481</v>
      </c>
      <c r="H2707">
        <v>5500024855</v>
      </c>
      <c r="I2707">
        <v>70</v>
      </c>
      <c r="J2707" s="29">
        <v>2</v>
      </c>
      <c r="K2707" s="29" t="s">
        <v>311</v>
      </c>
      <c r="L2707" t="str">
        <f>IFERROR(VLOOKUP(Detalle_OC[[#This Row],[Centro]]&amp;Detalle_OC[[#This Row],[Nro Almacen]],Almacen!A:D,4,FALSE),"")</f>
        <v>La Huaca</v>
      </c>
    </row>
    <row r="2708" spans="1:12" x14ac:dyDescent="0.3">
      <c r="A2708" s="29" t="str">
        <f>Detalle_OC[[#This Row],[Centro]]&amp;Detalle_OC[[#This Row],[Nom Almacen]]&amp;Detalle_OC[[#This Row],[Material]]&amp;Detalle_OC[[#This Row],[Pedido]]&amp;Detalle_OC[[#This Row],[Posicion]]</f>
        <v>Sucroalcolera del Chira PlantaMontelima70043991550002485670</v>
      </c>
      <c r="B2708" t="s">
        <v>28</v>
      </c>
      <c r="C2708" t="s">
        <v>96</v>
      </c>
      <c r="D2708" s="11">
        <v>45588</v>
      </c>
      <c r="E2708" t="s">
        <v>16</v>
      </c>
      <c r="F2708" t="s">
        <v>85</v>
      </c>
      <c r="G2708">
        <v>70043991</v>
      </c>
      <c r="H2708">
        <v>5500024856</v>
      </c>
      <c r="I2708">
        <v>70</v>
      </c>
      <c r="J2708" s="29">
        <v>1</v>
      </c>
      <c r="K2708" s="29" t="s">
        <v>311</v>
      </c>
      <c r="L2708" t="str">
        <f>IFERROR(VLOOKUP(Detalle_OC[[#This Row],[Centro]]&amp;Detalle_OC[[#This Row],[Nro Almacen]],Almacen!A:D,4,FALSE),"")</f>
        <v>Montelima</v>
      </c>
    </row>
    <row r="2709" spans="1:12" x14ac:dyDescent="0.3">
      <c r="A2709" s="29" t="str">
        <f>Detalle_OC[[#This Row],[Centro]]&amp;Detalle_OC[[#This Row],[Nom Almacen]]&amp;Detalle_OC[[#This Row],[Material]]&amp;Detalle_OC[[#This Row],[Pedido]]&amp;Detalle_OC[[#This Row],[Posicion]]</f>
        <v>Agricola del Chira PlantaSan Vicente70100392550002475130</v>
      </c>
      <c r="B2709" t="s">
        <v>28</v>
      </c>
      <c r="C2709" t="s">
        <v>54</v>
      </c>
      <c r="D2709" s="11">
        <v>45531</v>
      </c>
      <c r="E2709" t="s">
        <v>16</v>
      </c>
      <c r="F2709" t="s">
        <v>12</v>
      </c>
      <c r="G2709">
        <v>70100392</v>
      </c>
      <c r="H2709">
        <v>5500024751</v>
      </c>
      <c r="I2709">
        <v>30</v>
      </c>
      <c r="J2709" s="29">
        <v>3</v>
      </c>
      <c r="K2709" s="29" t="s">
        <v>314</v>
      </c>
      <c r="L2709" t="str">
        <f>IFERROR(VLOOKUP(Detalle_OC[[#This Row],[Centro]]&amp;Detalle_OC[[#This Row],[Nro Almacen]],Almacen!A:D,4,FALSE),"")</f>
        <v>San Vicente</v>
      </c>
    </row>
    <row r="2710" spans="1:12" x14ac:dyDescent="0.3">
      <c r="A2710" s="29" t="str">
        <f>Detalle_OC[[#This Row],[Centro]]&amp;Detalle_OC[[#This Row],[Nom Almacen]]&amp;Detalle_OC[[#This Row],[Material]]&amp;Detalle_OC[[#This Row],[Pedido]]&amp;Detalle_OC[[#This Row],[Posicion]]</f>
        <v>Sucroalcolera del Chira PlantaMontelimaMWSODACAUSTICA    550002478020</v>
      </c>
      <c r="B2710" t="s">
        <v>28</v>
      </c>
      <c r="C2710" t="s">
        <v>94</v>
      </c>
      <c r="D2710" s="11">
        <v>45530</v>
      </c>
      <c r="E2710" t="s">
        <v>16</v>
      </c>
      <c r="F2710" t="s">
        <v>85</v>
      </c>
      <c r="G2710" t="s">
        <v>1010</v>
      </c>
      <c r="H2710">
        <v>5500024780</v>
      </c>
      <c r="I2710">
        <v>20</v>
      </c>
      <c r="J2710" s="29">
        <v>1</v>
      </c>
      <c r="K2710" s="29" t="s">
        <v>314</v>
      </c>
      <c r="L2710" t="str">
        <f>IFERROR(VLOOKUP(Detalle_OC[[#This Row],[Centro]]&amp;Detalle_OC[[#This Row],[Nro Almacen]],Almacen!A:D,4,FALSE),"")</f>
        <v>Montelima</v>
      </c>
    </row>
    <row r="2711" spans="1:12" x14ac:dyDescent="0.3">
      <c r="A2711" s="29" t="str">
        <f>Detalle_OC[[#This Row],[Centro]]&amp;Detalle_OC[[#This Row],[Nom Almacen]]&amp;Detalle_OC[[#This Row],[Material]]&amp;Detalle_OC[[#This Row],[Pedido]]&amp;Detalle_OC[[#This Row],[Posicion]]</f>
        <v>Agricola del Chira PlantaAlmacen Lobo721426550002484420</v>
      </c>
      <c r="B2711" t="s">
        <v>28</v>
      </c>
      <c r="C2711" t="s">
        <v>88</v>
      </c>
      <c r="D2711" s="11">
        <v>45530</v>
      </c>
      <c r="E2711" t="s">
        <v>16</v>
      </c>
      <c r="F2711" t="s">
        <v>12</v>
      </c>
      <c r="G2711">
        <v>721426</v>
      </c>
      <c r="H2711">
        <v>5500024844</v>
      </c>
      <c r="I2711">
        <v>20</v>
      </c>
      <c r="J2711" s="29">
        <v>7</v>
      </c>
      <c r="K2711" s="29" t="s">
        <v>315</v>
      </c>
      <c r="L2711" t="str">
        <f>IFERROR(VLOOKUP(Detalle_OC[[#This Row],[Centro]]&amp;Detalle_OC[[#This Row],[Nro Almacen]],Almacen!A:D,4,FALSE),"")</f>
        <v>Almacen Lobo</v>
      </c>
    </row>
    <row r="2712" spans="1:12" x14ac:dyDescent="0.3">
      <c r="A2712" s="29" t="str">
        <f>Detalle_OC[[#This Row],[Centro]]&amp;Detalle_OC[[#This Row],[Nom Almacen]]&amp;Detalle_OC[[#This Row],[Material]]&amp;Detalle_OC[[#This Row],[Pedido]]&amp;Detalle_OC[[#This Row],[Posicion]]</f>
        <v>Agricola del Chira PlantaMontelima70069183550002485520</v>
      </c>
      <c r="B2712" t="s">
        <v>28</v>
      </c>
      <c r="C2712" t="s">
        <v>96</v>
      </c>
      <c r="D2712" s="11">
        <v>45530</v>
      </c>
      <c r="E2712" t="s">
        <v>16</v>
      </c>
      <c r="F2712" t="s">
        <v>12</v>
      </c>
      <c r="G2712">
        <v>70069183</v>
      </c>
      <c r="H2712">
        <v>5500024855</v>
      </c>
      <c r="I2712">
        <v>20</v>
      </c>
      <c r="J2712" s="29">
        <v>1</v>
      </c>
      <c r="K2712" s="29" t="s">
        <v>315</v>
      </c>
      <c r="L2712" t="str">
        <f>IFERROR(VLOOKUP(Detalle_OC[[#This Row],[Centro]]&amp;Detalle_OC[[#This Row],[Nro Almacen]],Almacen!A:D,4,FALSE),"")</f>
        <v>Montelima</v>
      </c>
    </row>
    <row r="2713" spans="1:12" x14ac:dyDescent="0.3">
      <c r="A2713" s="29" t="str">
        <f>Detalle_OC[[#This Row],[Centro]]&amp;Detalle_OC[[#This Row],[Nom Almacen]]&amp;Detalle_OC[[#This Row],[Material]]&amp;Detalle_OC[[#This Row],[Pedido]]&amp;Detalle_OC[[#This Row],[Posicion]]</f>
        <v>Sucroalcolera del Chira PlantaMontelima70069183550002485660</v>
      </c>
      <c r="B2713" t="s">
        <v>28</v>
      </c>
      <c r="C2713" t="s">
        <v>96</v>
      </c>
      <c r="D2713" s="11">
        <v>45530</v>
      </c>
      <c r="E2713" t="s">
        <v>16</v>
      </c>
      <c r="F2713" t="s">
        <v>85</v>
      </c>
      <c r="G2713">
        <v>70069183</v>
      </c>
      <c r="H2713">
        <v>5500024856</v>
      </c>
      <c r="I2713">
        <v>60</v>
      </c>
      <c r="J2713" s="29">
        <v>1</v>
      </c>
      <c r="K2713" s="29" t="s">
        <v>315</v>
      </c>
      <c r="L2713" t="str">
        <f>IFERROR(VLOOKUP(Detalle_OC[[#This Row],[Centro]]&amp;Detalle_OC[[#This Row],[Nro Almacen]],Almacen!A:D,4,FALSE),"")</f>
        <v>Montelima</v>
      </c>
    </row>
    <row r="2714" spans="1:12" x14ac:dyDescent="0.3">
      <c r="A2714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2714" t="s">
        <v>28</v>
      </c>
      <c r="C2714" t="s">
        <v>94</v>
      </c>
      <c r="D2714" s="11">
        <v>45527</v>
      </c>
      <c r="E2714" t="s">
        <v>16</v>
      </c>
      <c r="F2714" t="s">
        <v>85</v>
      </c>
      <c r="G2714" t="s">
        <v>95</v>
      </c>
      <c r="H2714">
        <v>5500024746</v>
      </c>
      <c r="I2714">
        <v>10</v>
      </c>
      <c r="J2714" s="29">
        <v>1</v>
      </c>
      <c r="K2714" s="29" t="s">
        <v>321</v>
      </c>
      <c r="L2714" t="str">
        <f>IFERROR(VLOOKUP(Detalle_OC[[#This Row],[Centro]]&amp;Detalle_OC[[#This Row],[Nro Almacen]],Almacen!A:D,4,FALSE),"")</f>
        <v>Montelima</v>
      </c>
    </row>
    <row r="2715" spans="1:12" x14ac:dyDescent="0.3">
      <c r="A2715" s="29" t="str">
        <f>Detalle_OC[[#This Row],[Centro]]&amp;Detalle_OC[[#This Row],[Nom Almacen]]&amp;Detalle_OC[[#This Row],[Material]]&amp;Detalle_OC[[#This Row],[Pedido]]&amp;Detalle_OC[[#This Row],[Posicion]]</f>
        <v>Agricola del Chira PlantaMontelima70100392550002475110</v>
      </c>
      <c r="B2715" t="s">
        <v>28</v>
      </c>
      <c r="C2715" t="s">
        <v>54</v>
      </c>
      <c r="D2715" s="11">
        <v>45528</v>
      </c>
      <c r="E2715" t="s">
        <v>16</v>
      </c>
      <c r="F2715" t="s">
        <v>12</v>
      </c>
      <c r="G2715">
        <v>70100392</v>
      </c>
      <c r="H2715">
        <v>5500024751</v>
      </c>
      <c r="I2715">
        <v>10</v>
      </c>
      <c r="J2715" s="29">
        <v>1</v>
      </c>
      <c r="K2715" s="29" t="s">
        <v>321</v>
      </c>
      <c r="L2715" t="str">
        <f>IFERROR(VLOOKUP(Detalle_OC[[#This Row],[Centro]]&amp;Detalle_OC[[#This Row],[Nro Almacen]],Almacen!A:D,4,FALSE),"")</f>
        <v>Montelima</v>
      </c>
    </row>
    <row r="2716" spans="1:12" x14ac:dyDescent="0.3">
      <c r="A2716" s="29" t="str">
        <f>Detalle_OC[[#This Row],[Centro]]&amp;Detalle_OC[[#This Row],[Nom Almacen]]&amp;Detalle_OC[[#This Row],[Material]]&amp;Detalle_OC[[#This Row],[Pedido]]&amp;Detalle_OC[[#This Row],[Posicion]]</f>
        <v>Agricola del Chira PlantaSan Vicente721426550002484460</v>
      </c>
      <c r="B2716" t="s">
        <v>28</v>
      </c>
      <c r="C2716" t="s">
        <v>88</v>
      </c>
      <c r="D2716" s="11">
        <v>45528</v>
      </c>
      <c r="E2716" t="s">
        <v>16</v>
      </c>
      <c r="F2716" t="s">
        <v>12</v>
      </c>
      <c r="G2716">
        <v>721426</v>
      </c>
      <c r="H2716">
        <v>5500024844</v>
      </c>
      <c r="I2716">
        <v>60</v>
      </c>
      <c r="J2716" s="29">
        <v>3</v>
      </c>
      <c r="K2716" s="29" t="s">
        <v>321</v>
      </c>
      <c r="L2716" t="str">
        <f>IFERROR(VLOOKUP(Detalle_OC[[#This Row],[Centro]]&amp;Detalle_OC[[#This Row],[Nro Almacen]],Almacen!A:D,4,FALSE),"")</f>
        <v>San Vicente</v>
      </c>
    </row>
    <row r="2717" spans="1:12" x14ac:dyDescent="0.3">
      <c r="A2717" s="29" t="str">
        <f>Detalle_OC[[#This Row],[Centro]]&amp;Detalle_OC[[#This Row],[Nom Almacen]]&amp;Detalle_OC[[#This Row],[Material]]&amp;Detalle_OC[[#This Row],[Pedido]]&amp;Detalle_OC[[#This Row],[Posicion]]</f>
        <v>Sucroalcolera del Chira PlantaMontelima700691885500024856100</v>
      </c>
      <c r="B2717" t="s">
        <v>28</v>
      </c>
      <c r="C2717" t="s">
        <v>96</v>
      </c>
      <c r="D2717" s="11">
        <v>45579</v>
      </c>
      <c r="E2717" t="s">
        <v>16</v>
      </c>
      <c r="F2717" t="s">
        <v>85</v>
      </c>
      <c r="G2717">
        <v>70069188</v>
      </c>
      <c r="H2717">
        <v>5500024856</v>
      </c>
      <c r="I2717">
        <v>100</v>
      </c>
      <c r="J2717" s="29">
        <v>1</v>
      </c>
      <c r="K2717" s="29" t="s">
        <v>322</v>
      </c>
      <c r="L2717" t="str">
        <f>IFERROR(VLOOKUP(Detalle_OC[[#This Row],[Centro]]&amp;Detalle_OC[[#This Row],[Nro Almacen]],Almacen!A:D,4,FALSE),"")</f>
        <v>Montelima</v>
      </c>
    </row>
    <row r="2718" spans="1:12" x14ac:dyDescent="0.3">
      <c r="A2718" s="29" t="str">
        <f>Detalle_OC[[#This Row],[Centro]]&amp;Detalle_OC[[#This Row],[Nom Almacen]]&amp;Detalle_OC[[#This Row],[Material]]&amp;Detalle_OC[[#This Row],[Pedido]]&amp;Detalle_OC[[#This Row],[Posicion]]</f>
        <v>Sucroalcolera del Chira PlantaMontelima807360451156214810</v>
      </c>
      <c r="B2718" t="s">
        <v>156</v>
      </c>
      <c r="C2718" t="s">
        <v>347</v>
      </c>
      <c r="D2718" s="11">
        <v>45625</v>
      </c>
      <c r="E2718" t="s">
        <v>16</v>
      </c>
      <c r="F2718" t="s">
        <v>85</v>
      </c>
      <c r="G2718">
        <v>807360</v>
      </c>
      <c r="H2718">
        <v>4511562148</v>
      </c>
      <c r="I2718">
        <v>10</v>
      </c>
      <c r="J2718" s="29">
        <v>1</v>
      </c>
      <c r="K2718" s="29" t="s">
        <v>324</v>
      </c>
      <c r="L2718" t="str">
        <f>IFERROR(VLOOKUP(Detalle_OC[[#This Row],[Centro]]&amp;Detalle_OC[[#This Row],[Nro Almacen]],Almacen!A:D,4,FALSE),"")</f>
        <v>Montelima</v>
      </c>
    </row>
    <row r="2719" spans="1:12" x14ac:dyDescent="0.3">
      <c r="A2719" s="29" t="str">
        <f>Detalle_OC[[#This Row],[Centro]]&amp;Detalle_OC[[#This Row],[Nom Almacen]]&amp;Detalle_OC[[#This Row],[Material]]&amp;Detalle_OC[[#This Row],[Pedido]]&amp;Detalle_OC[[#This Row],[Posicion]]</f>
        <v>Agricola del Chira PlantaFERTI LOBO 2721426550002484430</v>
      </c>
      <c r="B2719" t="s">
        <v>28</v>
      </c>
      <c r="C2719" t="s">
        <v>88</v>
      </c>
      <c r="D2719" s="11">
        <v>45526</v>
      </c>
      <c r="E2719" t="s">
        <v>16</v>
      </c>
      <c r="F2719" t="s">
        <v>12</v>
      </c>
      <c r="G2719">
        <v>721426</v>
      </c>
      <c r="H2719">
        <v>5500024844</v>
      </c>
      <c r="I2719">
        <v>30</v>
      </c>
      <c r="J2719" s="29">
        <v>23</v>
      </c>
      <c r="K2719" s="29" t="s">
        <v>324</v>
      </c>
      <c r="L2719" t="str">
        <f>IFERROR(VLOOKUP(Detalle_OC[[#This Row],[Centro]]&amp;Detalle_OC[[#This Row],[Nro Almacen]],Almacen!A:D,4,FALSE),"")</f>
        <v>FERTI LOBO 2</v>
      </c>
    </row>
    <row r="2720" spans="1:12" x14ac:dyDescent="0.3">
      <c r="A2720" s="29" t="str">
        <f>Detalle_OC[[#This Row],[Centro]]&amp;Detalle_OC[[#This Row],[Nom Almacen]]&amp;Detalle_OC[[#This Row],[Material]]&amp;Detalle_OC[[#This Row],[Pedido]]&amp;Detalle_OC[[#This Row],[Posicion]]</f>
        <v>Agricola del Chira PlantaMontelima810189451156206010</v>
      </c>
      <c r="B2720" t="s">
        <v>149</v>
      </c>
      <c r="C2720" t="s">
        <v>166</v>
      </c>
      <c r="D2720" s="11">
        <v>45539</v>
      </c>
      <c r="E2720" t="s">
        <v>16</v>
      </c>
      <c r="F2720" t="s">
        <v>12</v>
      </c>
      <c r="G2720">
        <v>810189</v>
      </c>
      <c r="H2720">
        <v>4511562060</v>
      </c>
      <c r="I2720">
        <v>10</v>
      </c>
      <c r="J2720" s="29">
        <v>1</v>
      </c>
      <c r="K2720" s="29" t="s">
        <v>325</v>
      </c>
      <c r="L2720" t="str">
        <f>IFERROR(VLOOKUP(Detalle_OC[[#This Row],[Centro]]&amp;Detalle_OC[[#This Row],[Nro Almacen]],Almacen!A:D,4,FALSE),"")</f>
        <v>Montelima</v>
      </c>
    </row>
    <row r="2721" spans="1:12" x14ac:dyDescent="0.3">
      <c r="A2721" s="29" t="str">
        <f>Detalle_OC[[#This Row],[Centro]]&amp;Detalle_OC[[#This Row],[Nom Almacen]]&amp;Detalle_OC[[#This Row],[Material]]&amp;Detalle_OC[[#This Row],[Pedido]]&amp;Detalle_OC[[#This Row],[Posicion]]</f>
        <v>Agricola del Chira PlantaAlmacen Lobo839408451156206020</v>
      </c>
      <c r="B2721" t="s">
        <v>149</v>
      </c>
      <c r="C2721" t="s">
        <v>166</v>
      </c>
      <c r="D2721" s="11">
        <v>45635</v>
      </c>
      <c r="E2721" t="s">
        <v>16</v>
      </c>
      <c r="F2721" t="s">
        <v>12</v>
      </c>
      <c r="G2721">
        <v>839408</v>
      </c>
      <c r="H2721">
        <v>4511562060</v>
      </c>
      <c r="I2721">
        <v>20</v>
      </c>
      <c r="J2721" s="29">
        <v>7</v>
      </c>
      <c r="K2721" s="29" t="s">
        <v>325</v>
      </c>
      <c r="L2721" t="str">
        <f>IFERROR(VLOOKUP(Detalle_OC[[#This Row],[Centro]]&amp;Detalle_OC[[#This Row],[Nro Almacen]],Almacen!A:D,4,FALSE),"")</f>
        <v>Almacen Lobo</v>
      </c>
    </row>
    <row r="2722" spans="1:12" x14ac:dyDescent="0.3">
      <c r="A2722" s="29" t="str">
        <f>Detalle_OC[[#This Row],[Centro]]&amp;Detalle_OC[[#This Row],[Nom Almacen]]&amp;Detalle_OC[[#This Row],[Material]]&amp;Detalle_OC[[#This Row],[Pedido]]&amp;Detalle_OC[[#This Row],[Posicion]]</f>
        <v>Agricola del Chira PlantaAlmacen Lobo851187451156206030</v>
      </c>
      <c r="B2722" t="s">
        <v>149</v>
      </c>
      <c r="C2722" t="s">
        <v>166</v>
      </c>
      <c r="D2722" s="11">
        <v>45539</v>
      </c>
      <c r="E2722" t="s">
        <v>16</v>
      </c>
      <c r="F2722" t="s">
        <v>12</v>
      </c>
      <c r="G2722">
        <v>851187</v>
      </c>
      <c r="H2722">
        <v>4511562060</v>
      </c>
      <c r="I2722">
        <v>30</v>
      </c>
      <c r="J2722" s="29">
        <v>7</v>
      </c>
      <c r="K2722" s="29" t="s">
        <v>325</v>
      </c>
      <c r="L2722" t="str">
        <f>IFERROR(VLOOKUP(Detalle_OC[[#This Row],[Centro]]&amp;Detalle_OC[[#This Row],[Nro Almacen]],Almacen!A:D,4,FALSE),"")</f>
        <v>Almacen Lobo</v>
      </c>
    </row>
    <row r="2723" spans="1:12" x14ac:dyDescent="0.3">
      <c r="A2723" s="29" t="str">
        <f>Detalle_OC[[#This Row],[Centro]]&amp;Detalle_OC[[#This Row],[Nom Almacen]]&amp;Detalle_OC[[#This Row],[Material]]&amp;Detalle_OC[[#This Row],[Pedido]]&amp;Detalle_OC[[#This Row],[Posicion]]</f>
        <v>Agricola del Chira PlantaMontelima890212451156206040</v>
      </c>
      <c r="B2723" t="s">
        <v>149</v>
      </c>
      <c r="C2723" t="s">
        <v>166</v>
      </c>
      <c r="D2723" s="11">
        <v>45539</v>
      </c>
      <c r="E2723" t="s">
        <v>16</v>
      </c>
      <c r="F2723" t="s">
        <v>12</v>
      </c>
      <c r="G2723">
        <v>890212</v>
      </c>
      <c r="H2723">
        <v>4511562060</v>
      </c>
      <c r="I2723">
        <v>40</v>
      </c>
      <c r="J2723" s="29">
        <v>1</v>
      </c>
      <c r="K2723" s="29" t="s">
        <v>325</v>
      </c>
      <c r="L2723" t="str">
        <f>IFERROR(VLOOKUP(Detalle_OC[[#This Row],[Centro]]&amp;Detalle_OC[[#This Row],[Nro Almacen]],Almacen!A:D,4,FALSE),"")</f>
        <v>Montelima</v>
      </c>
    </row>
    <row r="2724" spans="1:12" x14ac:dyDescent="0.3">
      <c r="A2724" s="29" t="str">
        <f>Detalle_OC[[#This Row],[Centro]]&amp;Detalle_OC[[#This Row],[Nom Almacen]]&amp;Detalle_OC[[#This Row],[Material]]&amp;Detalle_OC[[#This Row],[Pedido]]&amp;Detalle_OC[[#This Row],[Posicion]]</f>
        <v>Agricola del Chira PlantaMontelima891125451156206050</v>
      </c>
      <c r="B2724" t="s">
        <v>149</v>
      </c>
      <c r="C2724" t="s">
        <v>166</v>
      </c>
      <c r="D2724" s="11">
        <v>45539</v>
      </c>
      <c r="E2724" t="s">
        <v>16</v>
      </c>
      <c r="F2724" t="s">
        <v>12</v>
      </c>
      <c r="G2724">
        <v>891125</v>
      </c>
      <c r="H2724">
        <v>4511562060</v>
      </c>
      <c r="I2724">
        <v>50</v>
      </c>
      <c r="J2724" s="29">
        <v>1</v>
      </c>
      <c r="K2724" s="29" t="s">
        <v>325</v>
      </c>
      <c r="L2724" t="str">
        <f>IFERROR(VLOOKUP(Detalle_OC[[#This Row],[Centro]]&amp;Detalle_OC[[#This Row],[Nro Almacen]],Almacen!A:D,4,FALSE),"")</f>
        <v>Montelima</v>
      </c>
    </row>
    <row r="2725" spans="1:12" x14ac:dyDescent="0.3">
      <c r="A2725" s="29" t="str">
        <f>Detalle_OC[[#This Row],[Centro]]&amp;Detalle_OC[[#This Row],[Nom Almacen]]&amp;Detalle_OC[[#This Row],[Material]]&amp;Detalle_OC[[#This Row],[Pedido]]&amp;Detalle_OC[[#This Row],[Posicion]]</f>
        <v>Agricola del Chira PlantaMontelima897934451156206060</v>
      </c>
      <c r="B2725" t="s">
        <v>149</v>
      </c>
      <c r="C2725" t="s">
        <v>166</v>
      </c>
      <c r="D2725" s="11">
        <v>45539</v>
      </c>
      <c r="E2725" t="s">
        <v>16</v>
      </c>
      <c r="F2725" t="s">
        <v>12</v>
      </c>
      <c r="G2725">
        <v>897934</v>
      </c>
      <c r="H2725">
        <v>4511562060</v>
      </c>
      <c r="I2725">
        <v>60</v>
      </c>
      <c r="J2725" s="29">
        <v>1</v>
      </c>
      <c r="K2725" s="29" t="s">
        <v>325</v>
      </c>
      <c r="L2725" t="str">
        <f>IFERROR(VLOOKUP(Detalle_OC[[#This Row],[Centro]]&amp;Detalle_OC[[#This Row],[Nro Almacen]],Almacen!A:D,4,FALSE),"")</f>
        <v>Montelima</v>
      </c>
    </row>
    <row r="2726" spans="1:12" x14ac:dyDescent="0.3">
      <c r="A2726" s="29" t="str">
        <f>Detalle_OC[[#This Row],[Centro]]&amp;Detalle_OC[[#This Row],[Nom Almacen]]&amp;Detalle_OC[[#This Row],[Material]]&amp;Detalle_OC[[#This Row],[Pedido]]&amp;Detalle_OC[[#This Row],[Posicion]]</f>
        <v>Agricola del Chira PlantaMontelima70003387451156206070</v>
      </c>
      <c r="B2726" t="s">
        <v>149</v>
      </c>
      <c r="C2726" t="s">
        <v>166</v>
      </c>
      <c r="D2726" s="11">
        <v>45539</v>
      </c>
      <c r="E2726" t="s">
        <v>16</v>
      </c>
      <c r="F2726" t="s">
        <v>12</v>
      </c>
      <c r="G2726">
        <v>70003387</v>
      </c>
      <c r="H2726">
        <v>4511562060</v>
      </c>
      <c r="I2726">
        <v>70</v>
      </c>
      <c r="J2726" s="29">
        <v>1</v>
      </c>
      <c r="K2726" s="29" t="s">
        <v>325</v>
      </c>
      <c r="L2726" t="str">
        <f>IFERROR(VLOOKUP(Detalle_OC[[#This Row],[Centro]]&amp;Detalle_OC[[#This Row],[Nro Almacen]],Almacen!A:D,4,FALSE),"")</f>
        <v>Montelima</v>
      </c>
    </row>
    <row r="2727" spans="1:12" x14ac:dyDescent="0.3">
      <c r="A2727" s="29" t="str">
        <f>Detalle_OC[[#This Row],[Centro]]&amp;Detalle_OC[[#This Row],[Nom Almacen]]&amp;Detalle_OC[[#This Row],[Material]]&amp;Detalle_OC[[#This Row],[Pedido]]&amp;Detalle_OC[[#This Row],[Posicion]]</f>
        <v>Agricola del Chira PlantaAlmacen Lobo70006292451156206080</v>
      </c>
      <c r="B2727" t="s">
        <v>149</v>
      </c>
      <c r="C2727" t="s">
        <v>166</v>
      </c>
      <c r="D2727" s="11">
        <v>45539</v>
      </c>
      <c r="E2727" t="s">
        <v>16</v>
      </c>
      <c r="F2727" t="s">
        <v>12</v>
      </c>
      <c r="G2727">
        <v>70006292</v>
      </c>
      <c r="H2727">
        <v>4511562060</v>
      </c>
      <c r="I2727">
        <v>80</v>
      </c>
      <c r="J2727" s="29">
        <v>7</v>
      </c>
      <c r="K2727" s="29" t="s">
        <v>325</v>
      </c>
      <c r="L2727" t="str">
        <f>IFERROR(VLOOKUP(Detalle_OC[[#This Row],[Centro]]&amp;Detalle_OC[[#This Row],[Nro Almacen]],Almacen!A:D,4,FALSE),"")</f>
        <v>Almacen Lobo</v>
      </c>
    </row>
    <row r="2728" spans="1:12" x14ac:dyDescent="0.3">
      <c r="A2728" s="29" t="str">
        <f>Detalle_OC[[#This Row],[Centro]]&amp;Detalle_OC[[#This Row],[Nom Almacen]]&amp;Detalle_OC[[#This Row],[Material]]&amp;Detalle_OC[[#This Row],[Pedido]]&amp;Detalle_OC[[#This Row],[Posicion]]</f>
        <v>Agricola del Chira PlantaMontelima70006613451156206090</v>
      </c>
      <c r="B2728" t="s">
        <v>149</v>
      </c>
      <c r="C2728" t="s">
        <v>166</v>
      </c>
      <c r="D2728" s="11">
        <v>45539</v>
      </c>
      <c r="E2728" t="s">
        <v>16</v>
      </c>
      <c r="F2728" t="s">
        <v>12</v>
      </c>
      <c r="G2728">
        <v>70006613</v>
      </c>
      <c r="H2728">
        <v>4511562060</v>
      </c>
      <c r="I2728">
        <v>90</v>
      </c>
      <c r="J2728" s="29">
        <v>1</v>
      </c>
      <c r="K2728" s="29" t="s">
        <v>325</v>
      </c>
      <c r="L2728" t="str">
        <f>IFERROR(VLOOKUP(Detalle_OC[[#This Row],[Centro]]&amp;Detalle_OC[[#This Row],[Nro Almacen]],Almacen!A:D,4,FALSE),"")</f>
        <v>Montelima</v>
      </c>
    </row>
    <row r="2729" spans="1:12" x14ac:dyDescent="0.3">
      <c r="A2729" s="29" t="str">
        <f>Detalle_OC[[#This Row],[Centro]]&amp;Detalle_OC[[#This Row],[Nom Almacen]]&amp;Detalle_OC[[#This Row],[Material]]&amp;Detalle_OC[[#This Row],[Pedido]]&amp;Detalle_OC[[#This Row],[Posicion]]</f>
        <v>Agricola del Chira PlantaMontelima700319684511562060100</v>
      </c>
      <c r="B2729" t="s">
        <v>149</v>
      </c>
      <c r="C2729" t="s">
        <v>166</v>
      </c>
      <c r="D2729" s="11">
        <v>45539</v>
      </c>
      <c r="E2729" t="s">
        <v>16</v>
      </c>
      <c r="F2729" t="s">
        <v>12</v>
      </c>
      <c r="G2729">
        <v>70031968</v>
      </c>
      <c r="H2729">
        <v>4511562060</v>
      </c>
      <c r="I2729">
        <v>100</v>
      </c>
      <c r="J2729" s="29">
        <v>1</v>
      </c>
      <c r="K2729" s="29" t="s">
        <v>325</v>
      </c>
      <c r="L2729" t="str">
        <f>IFERROR(VLOOKUP(Detalle_OC[[#This Row],[Centro]]&amp;Detalle_OC[[#This Row],[Nro Almacen]],Almacen!A:D,4,FALSE),"")</f>
        <v>Montelima</v>
      </c>
    </row>
    <row r="2730" spans="1:12" x14ac:dyDescent="0.3">
      <c r="A2730" s="29" t="str">
        <f>Detalle_OC[[#This Row],[Centro]]&amp;Detalle_OC[[#This Row],[Nom Almacen]]&amp;Detalle_OC[[#This Row],[Material]]&amp;Detalle_OC[[#This Row],[Pedido]]&amp;Detalle_OC[[#This Row],[Posicion]]</f>
        <v>Agricola del Chira PlantaMontelima701330854511562060110</v>
      </c>
      <c r="B2730" t="s">
        <v>188</v>
      </c>
      <c r="C2730" t="s">
        <v>166</v>
      </c>
      <c r="D2730" s="11">
        <v>45555</v>
      </c>
      <c r="E2730" t="s">
        <v>16</v>
      </c>
      <c r="F2730" t="s">
        <v>12</v>
      </c>
      <c r="G2730">
        <v>70133085</v>
      </c>
      <c r="H2730">
        <v>4511562060</v>
      </c>
      <c r="I2730">
        <v>110</v>
      </c>
      <c r="J2730" s="29">
        <v>1</v>
      </c>
      <c r="K2730" s="29" t="s">
        <v>325</v>
      </c>
      <c r="L2730" t="str">
        <f>IFERROR(VLOOKUP(Detalle_OC[[#This Row],[Centro]]&amp;Detalle_OC[[#This Row],[Nro Almacen]],Almacen!A:D,4,FALSE),"")</f>
        <v>Montelima</v>
      </c>
    </row>
    <row r="2731" spans="1:12" x14ac:dyDescent="0.3">
      <c r="A2731" s="29" t="str">
        <f>Detalle_OC[[#This Row],[Centro]]&amp;Detalle_OC[[#This Row],[Nom Almacen]]&amp;Detalle_OC[[#This Row],[Material]]&amp;Detalle_OC[[#This Row],[Pedido]]&amp;Detalle_OC[[#This Row],[Posicion]]</f>
        <v>Agricola del Chira PlantaMontelima709179550002233820</v>
      </c>
      <c r="B2731" t="s">
        <v>28</v>
      </c>
      <c r="C2731" t="s">
        <v>84</v>
      </c>
      <c r="D2731" s="11">
        <v>45525</v>
      </c>
      <c r="E2731" t="s">
        <v>16</v>
      </c>
      <c r="F2731" t="s">
        <v>12</v>
      </c>
      <c r="G2731">
        <v>709179</v>
      </c>
      <c r="H2731">
        <v>5500022338</v>
      </c>
      <c r="I2731">
        <v>20</v>
      </c>
      <c r="J2731" s="29">
        <v>1</v>
      </c>
      <c r="K2731" s="29" t="s">
        <v>325</v>
      </c>
      <c r="L2731" t="str">
        <f>IFERROR(VLOOKUP(Detalle_OC[[#This Row],[Centro]]&amp;Detalle_OC[[#This Row],[Nro Almacen]],Almacen!A:D,4,FALSE),"")</f>
        <v>Montelima</v>
      </c>
    </row>
    <row r="2732" spans="1:12" x14ac:dyDescent="0.3">
      <c r="A2732" s="29" t="str">
        <f>Detalle_OC[[#This Row],[Centro]]&amp;Detalle_OC[[#This Row],[Nom Almacen]]&amp;Detalle_OC[[#This Row],[Material]]&amp;Detalle_OC[[#This Row],[Pedido]]&amp;Detalle_OC[[#This Row],[Posicion]]</f>
        <v>Agricola del Chira PlantaMontelima70032053550002233880</v>
      </c>
      <c r="B2732" t="s">
        <v>28</v>
      </c>
      <c r="C2732" t="s">
        <v>84</v>
      </c>
      <c r="D2732" s="11">
        <v>45525</v>
      </c>
      <c r="E2732" t="s">
        <v>16</v>
      </c>
      <c r="F2732" t="s">
        <v>12</v>
      </c>
      <c r="G2732">
        <v>70032053</v>
      </c>
      <c r="H2732">
        <v>5500022338</v>
      </c>
      <c r="I2732">
        <v>80</v>
      </c>
      <c r="J2732" s="29">
        <v>1</v>
      </c>
      <c r="K2732" s="29" t="s">
        <v>325</v>
      </c>
      <c r="L2732" t="str">
        <f>IFERROR(VLOOKUP(Detalle_OC[[#This Row],[Centro]]&amp;Detalle_OC[[#This Row],[Nro Almacen]],Almacen!A:D,4,FALSE),"")</f>
        <v>Montelima</v>
      </c>
    </row>
    <row r="2733" spans="1:12" x14ac:dyDescent="0.3">
      <c r="A2733" s="29" t="str">
        <f>Detalle_OC[[#This Row],[Centro]]&amp;Detalle_OC[[#This Row],[Nom Almacen]]&amp;Detalle_OC[[#This Row],[Material]]&amp;Detalle_OC[[#This Row],[Pedido]]&amp;Detalle_OC[[#This Row],[Posicion]]</f>
        <v>Sucroalcolera del Chira PlantaMontelima70084356550002468210</v>
      </c>
      <c r="B2733" t="s">
        <v>28</v>
      </c>
      <c r="C2733" t="s">
        <v>84</v>
      </c>
      <c r="D2733" s="11">
        <v>45525</v>
      </c>
      <c r="E2733" t="s">
        <v>16</v>
      </c>
      <c r="F2733" t="s">
        <v>85</v>
      </c>
      <c r="G2733">
        <v>70084356</v>
      </c>
      <c r="H2733">
        <v>5500024682</v>
      </c>
      <c r="I2733">
        <v>10</v>
      </c>
      <c r="J2733" s="29">
        <v>1</v>
      </c>
      <c r="K2733" s="29" t="s">
        <v>325</v>
      </c>
      <c r="L2733" t="str">
        <f>IFERROR(VLOOKUP(Detalle_OC[[#This Row],[Centro]]&amp;Detalle_OC[[#This Row],[Nro Almacen]],Almacen!A:D,4,FALSE),"")</f>
        <v>Montelima</v>
      </c>
    </row>
    <row r="2734" spans="1:12" x14ac:dyDescent="0.3">
      <c r="A2734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2734" t="s">
        <v>28</v>
      </c>
      <c r="C2734" t="s">
        <v>54</v>
      </c>
      <c r="D2734" s="11">
        <v>45524</v>
      </c>
      <c r="E2734" t="s">
        <v>16</v>
      </c>
      <c r="F2734" t="s">
        <v>12</v>
      </c>
      <c r="G2734">
        <v>70100392</v>
      </c>
      <c r="H2734">
        <v>5500024751</v>
      </c>
      <c r="I2734">
        <v>20</v>
      </c>
      <c r="J2734" s="29">
        <v>2</v>
      </c>
      <c r="K2734" s="29" t="s">
        <v>325</v>
      </c>
      <c r="L2734" t="str">
        <f>IFERROR(VLOOKUP(Detalle_OC[[#This Row],[Centro]]&amp;Detalle_OC[[#This Row],[Nro Almacen]],Almacen!A:D,4,FALSE),"")</f>
        <v>La Huaca</v>
      </c>
    </row>
    <row r="2735" spans="1:12" x14ac:dyDescent="0.3">
      <c r="A2735" s="29" t="str">
        <f>Detalle_OC[[#This Row],[Centro]]&amp;Detalle_OC[[#This Row],[Nom Almacen]]&amp;Detalle_OC[[#This Row],[Material]]&amp;Detalle_OC[[#This Row],[Pedido]]&amp;Detalle_OC[[#This Row],[Posicion]]</f>
        <v>Agricola del Chira PlantaSan Vicente70100392550002475130</v>
      </c>
      <c r="B2735" t="s">
        <v>28</v>
      </c>
      <c r="C2735" t="s">
        <v>54</v>
      </c>
      <c r="D2735" s="11">
        <v>45525</v>
      </c>
      <c r="E2735" t="s">
        <v>16</v>
      </c>
      <c r="F2735" t="s">
        <v>12</v>
      </c>
      <c r="G2735">
        <v>70100392</v>
      </c>
      <c r="H2735">
        <v>5500024751</v>
      </c>
      <c r="I2735">
        <v>30</v>
      </c>
      <c r="J2735" s="29">
        <v>3</v>
      </c>
      <c r="K2735" s="29" t="s">
        <v>325</v>
      </c>
      <c r="L2735" t="str">
        <f>IFERROR(VLOOKUP(Detalle_OC[[#This Row],[Centro]]&amp;Detalle_OC[[#This Row],[Nro Almacen]],Almacen!A:D,4,FALSE),"")</f>
        <v>San Vicente</v>
      </c>
    </row>
    <row r="2736" spans="1:12" x14ac:dyDescent="0.3">
      <c r="A2736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2736" t="s">
        <v>28</v>
      </c>
      <c r="C2736" t="s">
        <v>54</v>
      </c>
      <c r="D2736" s="11">
        <v>45525</v>
      </c>
      <c r="E2736" t="s">
        <v>16</v>
      </c>
      <c r="F2736" t="s">
        <v>12</v>
      </c>
      <c r="G2736">
        <v>70100392</v>
      </c>
      <c r="H2736">
        <v>5500024751</v>
      </c>
      <c r="I2736">
        <v>40</v>
      </c>
      <c r="J2736" s="29">
        <v>7</v>
      </c>
      <c r="K2736" s="29" t="s">
        <v>325</v>
      </c>
      <c r="L2736" t="str">
        <f>IFERROR(VLOOKUP(Detalle_OC[[#This Row],[Centro]]&amp;Detalle_OC[[#This Row],[Nro Almacen]],Almacen!A:D,4,FALSE),"")</f>
        <v>Almacen Lobo</v>
      </c>
    </row>
    <row r="2737" spans="1:12" x14ac:dyDescent="0.3">
      <c r="A2737" s="29" t="str">
        <f>Detalle_OC[[#This Row],[Centro]]&amp;Detalle_OC[[#This Row],[Nom Almacen]]&amp;Detalle_OC[[#This Row],[Material]]&amp;Detalle_OC[[#This Row],[Pedido]]&amp;Detalle_OC[[#This Row],[Posicion]]</f>
        <v>Agricola del Chira PlantaLa Huaca721426550002484410</v>
      </c>
      <c r="B2737" t="s">
        <v>28</v>
      </c>
      <c r="C2737" t="s">
        <v>88</v>
      </c>
      <c r="D2737" s="11">
        <v>45524</v>
      </c>
      <c r="E2737" t="s">
        <v>16</v>
      </c>
      <c r="F2737" t="s">
        <v>12</v>
      </c>
      <c r="G2737">
        <v>721426</v>
      </c>
      <c r="H2737">
        <v>5500024844</v>
      </c>
      <c r="I2737">
        <v>10</v>
      </c>
      <c r="J2737" s="29">
        <v>2</v>
      </c>
      <c r="K2737" s="29" t="s">
        <v>325</v>
      </c>
      <c r="L2737" t="str">
        <f>IFERROR(VLOOKUP(Detalle_OC[[#This Row],[Centro]]&amp;Detalle_OC[[#This Row],[Nro Almacen]],Almacen!A:D,4,FALSE),"")</f>
        <v>La Huaca</v>
      </c>
    </row>
    <row r="2738" spans="1:12" x14ac:dyDescent="0.3">
      <c r="A2738" s="29" t="str">
        <f>Detalle_OC[[#This Row],[Centro]]&amp;Detalle_OC[[#This Row],[Nom Almacen]]&amp;Detalle_OC[[#This Row],[Material]]&amp;Detalle_OC[[#This Row],[Pedido]]&amp;Detalle_OC[[#This Row],[Posicion]]</f>
        <v>Agricola del Chira PlantaMontelima70100392550002475110</v>
      </c>
      <c r="B2738" t="s">
        <v>28</v>
      </c>
      <c r="C2738" t="s">
        <v>54</v>
      </c>
      <c r="D2738" s="11">
        <v>45524</v>
      </c>
      <c r="E2738" t="s">
        <v>16</v>
      </c>
      <c r="F2738" t="s">
        <v>12</v>
      </c>
      <c r="G2738">
        <v>70100392</v>
      </c>
      <c r="H2738">
        <v>5500024751</v>
      </c>
      <c r="I2738">
        <v>10</v>
      </c>
      <c r="J2738" s="29">
        <v>1</v>
      </c>
      <c r="K2738" s="29" t="s">
        <v>327</v>
      </c>
      <c r="L2738" t="str">
        <f>IFERROR(VLOOKUP(Detalle_OC[[#This Row],[Centro]]&amp;Detalle_OC[[#This Row],[Nro Almacen]],Almacen!A:D,4,FALSE),"")</f>
        <v>Montelima</v>
      </c>
    </row>
    <row r="2739" spans="1:12" x14ac:dyDescent="0.3">
      <c r="A2739" s="29" t="str">
        <f>Detalle_OC[[#This Row],[Centro]]&amp;Detalle_OC[[#This Row],[Nom Almacen]]&amp;Detalle_OC[[#This Row],[Material]]&amp;Detalle_OC[[#This Row],[Pedido]]&amp;Detalle_OC[[#This Row],[Posicion]]</f>
        <v>Agricola del Chira PlantaFERTI LOBO 2701226550002476620</v>
      </c>
      <c r="B2739" t="s">
        <v>28</v>
      </c>
      <c r="C2739" t="s">
        <v>112</v>
      </c>
      <c r="D2739" s="11">
        <v>45524</v>
      </c>
      <c r="E2739" t="s">
        <v>16</v>
      </c>
      <c r="F2739" t="s">
        <v>12</v>
      </c>
      <c r="G2739">
        <v>701226</v>
      </c>
      <c r="H2739">
        <v>5500024766</v>
      </c>
      <c r="I2739">
        <v>20</v>
      </c>
      <c r="J2739" s="29">
        <v>23</v>
      </c>
      <c r="K2739" s="29" t="s">
        <v>327</v>
      </c>
      <c r="L2739" t="str">
        <f>IFERROR(VLOOKUP(Detalle_OC[[#This Row],[Centro]]&amp;Detalle_OC[[#This Row],[Nro Almacen]],Almacen!A:D,4,FALSE),"")</f>
        <v>FERTI LOBO 2</v>
      </c>
    </row>
    <row r="2740" spans="1:12" x14ac:dyDescent="0.3">
      <c r="A2740" s="29" t="str">
        <f>Detalle_OC[[#This Row],[Centro]]&amp;Detalle_OC[[#This Row],[Nom Almacen]]&amp;Detalle_OC[[#This Row],[Material]]&amp;Detalle_OC[[#This Row],[Pedido]]&amp;Detalle_OC[[#This Row],[Posicion]]</f>
        <v>Agricola del Chira PlantaMontelima700691795500024855110</v>
      </c>
      <c r="B2740" t="s">
        <v>28</v>
      </c>
      <c r="C2740" t="s">
        <v>96</v>
      </c>
      <c r="D2740" s="11">
        <v>45524</v>
      </c>
      <c r="E2740" t="s">
        <v>16</v>
      </c>
      <c r="F2740" t="s">
        <v>12</v>
      </c>
      <c r="G2740">
        <v>70069179</v>
      </c>
      <c r="H2740">
        <v>5500024855</v>
      </c>
      <c r="I2740">
        <v>110</v>
      </c>
      <c r="J2740" s="29">
        <v>1</v>
      </c>
      <c r="K2740" s="29" t="s">
        <v>327</v>
      </c>
      <c r="L2740" t="str">
        <f>IFERROR(VLOOKUP(Detalle_OC[[#This Row],[Centro]]&amp;Detalle_OC[[#This Row],[Nro Almacen]],Almacen!A:D,4,FALSE),"")</f>
        <v>Montelima</v>
      </c>
    </row>
    <row r="2741" spans="1:12" x14ac:dyDescent="0.3">
      <c r="A2741" s="29" t="str">
        <f>Detalle_OC[[#This Row],[Centro]]&amp;Detalle_OC[[#This Row],[Nom Almacen]]&amp;Detalle_OC[[#This Row],[Material]]&amp;Detalle_OC[[#This Row],[Pedido]]&amp;Detalle_OC[[#This Row],[Posicion]]</f>
        <v>Agricola del Chira PlantaMontelima777662451156166320</v>
      </c>
      <c r="B2741" t="s">
        <v>329</v>
      </c>
      <c r="C2741" t="s">
        <v>241</v>
      </c>
      <c r="D2741" s="11">
        <v>45641</v>
      </c>
      <c r="E2741" t="b">
        <v>0</v>
      </c>
      <c r="F2741" t="s">
        <v>12</v>
      </c>
      <c r="G2741">
        <v>777662</v>
      </c>
      <c r="H2741">
        <v>4511561663</v>
      </c>
      <c r="I2741">
        <v>20</v>
      </c>
      <c r="J2741" s="29">
        <v>1</v>
      </c>
      <c r="K2741" s="29" t="s">
        <v>330</v>
      </c>
      <c r="L2741" t="str">
        <f>IFERROR(VLOOKUP(Detalle_OC[[#This Row],[Centro]]&amp;Detalle_OC[[#This Row],[Nro Almacen]],Almacen!A:D,4,FALSE),"")</f>
        <v>Montelima</v>
      </c>
    </row>
    <row r="2742" spans="1:12" x14ac:dyDescent="0.3">
      <c r="A2742" s="29" t="str">
        <f>Detalle_OC[[#This Row],[Centro]]&amp;Detalle_OC[[#This Row],[Nom Almacen]]&amp;Detalle_OC[[#This Row],[Material]]&amp;Detalle_OC[[#This Row],[Pedido]]&amp;Detalle_OC[[#This Row],[Posicion]]</f>
        <v>Agricola del Chira PlantaAlmacen Lobo752729451156166330</v>
      </c>
      <c r="B2742" t="s">
        <v>15</v>
      </c>
      <c r="C2742" t="s">
        <v>241</v>
      </c>
      <c r="D2742" s="11">
        <v>45641</v>
      </c>
      <c r="E2742" t="s">
        <v>16</v>
      </c>
      <c r="F2742" t="s">
        <v>12</v>
      </c>
      <c r="G2742">
        <v>752729</v>
      </c>
      <c r="H2742">
        <v>4511561663</v>
      </c>
      <c r="I2742">
        <v>30</v>
      </c>
      <c r="J2742" s="29">
        <v>7</v>
      </c>
      <c r="K2742" s="29" t="s">
        <v>330</v>
      </c>
      <c r="L2742" t="str">
        <f>IFERROR(VLOOKUP(Detalle_OC[[#This Row],[Centro]]&amp;Detalle_OC[[#This Row],[Nro Almacen]],Almacen!A:D,4,FALSE),"")</f>
        <v>Almacen Lobo</v>
      </c>
    </row>
    <row r="2743" spans="1:12" x14ac:dyDescent="0.3">
      <c r="A2743" s="29" t="str">
        <f>Detalle_OC[[#This Row],[Centro]]&amp;Detalle_OC[[#This Row],[Nom Almacen]]&amp;Detalle_OC[[#This Row],[Material]]&amp;Detalle_OC[[#This Row],[Pedido]]&amp;Detalle_OC[[#This Row],[Posicion]]</f>
        <v>Agricola del Chira PlantaMontelima761645451156166350</v>
      </c>
      <c r="B2743" t="s">
        <v>145</v>
      </c>
      <c r="C2743" t="s">
        <v>241</v>
      </c>
      <c r="D2743" s="11">
        <v>45641</v>
      </c>
      <c r="E2743" t="s">
        <v>16</v>
      </c>
      <c r="F2743" t="s">
        <v>12</v>
      </c>
      <c r="G2743">
        <v>761645</v>
      </c>
      <c r="H2743">
        <v>4511561663</v>
      </c>
      <c r="I2743">
        <v>50</v>
      </c>
      <c r="J2743" s="29">
        <v>1</v>
      </c>
      <c r="K2743" s="29" t="s">
        <v>330</v>
      </c>
      <c r="L2743" t="str">
        <f>IFERROR(VLOOKUP(Detalle_OC[[#This Row],[Centro]]&amp;Detalle_OC[[#This Row],[Nro Almacen]],Almacen!A:D,4,FALSE),"")</f>
        <v>Montelima</v>
      </c>
    </row>
    <row r="2744" spans="1:12" x14ac:dyDescent="0.3">
      <c r="A2744" s="29" t="str">
        <f>Detalle_OC[[#This Row],[Centro]]&amp;Detalle_OC[[#This Row],[Nom Almacen]]&amp;Detalle_OC[[#This Row],[Material]]&amp;Detalle_OC[[#This Row],[Pedido]]&amp;Detalle_OC[[#This Row],[Posicion]]</f>
        <v>Agricola del Chira PlantaSan Vicente70015495451156166360</v>
      </c>
      <c r="B2744" t="s">
        <v>280</v>
      </c>
      <c r="C2744" t="s">
        <v>241</v>
      </c>
      <c r="D2744" s="11">
        <v>45641</v>
      </c>
      <c r="E2744" t="s">
        <v>16</v>
      </c>
      <c r="F2744" t="s">
        <v>12</v>
      </c>
      <c r="G2744">
        <v>70015495</v>
      </c>
      <c r="H2744">
        <v>4511561663</v>
      </c>
      <c r="I2744">
        <v>60</v>
      </c>
      <c r="J2744" s="29">
        <v>3</v>
      </c>
      <c r="K2744" s="29" t="s">
        <v>330</v>
      </c>
      <c r="L2744" t="str">
        <f>IFERROR(VLOOKUP(Detalle_OC[[#This Row],[Centro]]&amp;Detalle_OC[[#This Row],[Nro Almacen]],Almacen!A:D,4,FALSE),"")</f>
        <v>San Vicente</v>
      </c>
    </row>
    <row r="2745" spans="1:12" x14ac:dyDescent="0.3">
      <c r="A2745" s="29" t="str">
        <f>Detalle_OC[[#This Row],[Centro]]&amp;Detalle_OC[[#This Row],[Nom Almacen]]&amp;Detalle_OC[[#This Row],[Material]]&amp;Detalle_OC[[#This Row],[Pedido]]&amp;Detalle_OC[[#This Row],[Posicion]]</f>
        <v>Agricola del Chira PlantaMontelima721426550002484450</v>
      </c>
      <c r="B2745" t="s">
        <v>28</v>
      </c>
      <c r="C2745" t="s">
        <v>88</v>
      </c>
      <c r="D2745" s="11">
        <v>45523</v>
      </c>
      <c r="E2745" t="s">
        <v>16</v>
      </c>
      <c r="F2745" t="s">
        <v>12</v>
      </c>
      <c r="G2745">
        <v>721426</v>
      </c>
      <c r="H2745">
        <v>5500024844</v>
      </c>
      <c r="I2745">
        <v>50</v>
      </c>
      <c r="J2745" s="29">
        <v>1</v>
      </c>
      <c r="K2745" s="29" t="s">
        <v>330</v>
      </c>
      <c r="L2745" t="str">
        <f>IFERROR(VLOOKUP(Detalle_OC[[#This Row],[Centro]]&amp;Detalle_OC[[#This Row],[Nro Almacen]],Almacen!A:D,4,FALSE),"")</f>
        <v>Montelima</v>
      </c>
    </row>
    <row r="2746" spans="1:12" x14ac:dyDescent="0.3">
      <c r="A2746" s="29" t="str">
        <f>Detalle_OC[[#This Row],[Centro]]&amp;Detalle_OC[[#This Row],[Nom Almacen]]&amp;Detalle_OC[[#This Row],[Material]]&amp;Detalle_OC[[#This Row],[Pedido]]&amp;Detalle_OC[[#This Row],[Posicion]]</f>
        <v>Agricola del Chira PlantaMontelima70069181550002485510</v>
      </c>
      <c r="B2746" t="s">
        <v>28</v>
      </c>
      <c r="C2746" t="s">
        <v>96</v>
      </c>
      <c r="D2746" s="11">
        <v>45580</v>
      </c>
      <c r="E2746" t="s">
        <v>16</v>
      </c>
      <c r="F2746" t="s">
        <v>12</v>
      </c>
      <c r="G2746">
        <v>70069181</v>
      </c>
      <c r="H2746">
        <v>5500024855</v>
      </c>
      <c r="I2746">
        <v>10</v>
      </c>
      <c r="J2746" s="29">
        <v>1</v>
      </c>
      <c r="K2746" s="29" t="s">
        <v>330</v>
      </c>
      <c r="L2746" t="str">
        <f>IFERROR(VLOOKUP(Detalle_OC[[#This Row],[Centro]]&amp;Detalle_OC[[#This Row],[Nro Almacen]],Almacen!A:D,4,FALSE),"")</f>
        <v>Montelima</v>
      </c>
    </row>
    <row r="2747" spans="1:12" x14ac:dyDescent="0.3">
      <c r="A2747" s="29" t="str">
        <f>Detalle_OC[[#This Row],[Centro]]&amp;Detalle_OC[[#This Row],[Nom Almacen]]&amp;Detalle_OC[[#This Row],[Material]]&amp;Detalle_OC[[#This Row],[Pedido]]&amp;Detalle_OC[[#This Row],[Posicion]]</f>
        <v>Agricola del Chira PlantaMontelima70057749550002488170</v>
      </c>
      <c r="B2747" t="s">
        <v>28</v>
      </c>
      <c r="C2747" t="s">
        <v>52</v>
      </c>
      <c r="D2747" s="11">
        <v>45523</v>
      </c>
      <c r="E2747" t="s">
        <v>16</v>
      </c>
      <c r="F2747" t="s">
        <v>12</v>
      </c>
      <c r="G2747">
        <v>70057749</v>
      </c>
      <c r="H2747">
        <v>5500024881</v>
      </c>
      <c r="I2747">
        <v>70</v>
      </c>
      <c r="J2747" s="29">
        <v>1</v>
      </c>
      <c r="K2747" s="29" t="s">
        <v>330</v>
      </c>
      <c r="L2747" t="str">
        <f>IFERROR(VLOOKUP(Detalle_OC[[#This Row],[Centro]]&amp;Detalle_OC[[#This Row],[Nro Almacen]],Almacen!A:D,4,FALSE),"")</f>
        <v>Montelima</v>
      </c>
    </row>
    <row r="2748" spans="1:12" x14ac:dyDescent="0.3">
      <c r="A2748" s="29" t="str">
        <f>Detalle_OC[[#This Row],[Centro]]&amp;Detalle_OC[[#This Row],[Nom Almacen]]&amp;Detalle_OC[[#This Row],[Material]]&amp;Detalle_OC[[#This Row],[Pedido]]&amp;Detalle_OC[[#This Row],[Posicion]]</f>
        <v>Agricola del Chira PlantaMontelima700580015500024881160</v>
      </c>
      <c r="B2748" t="s">
        <v>28</v>
      </c>
      <c r="C2748" t="s">
        <v>52</v>
      </c>
      <c r="D2748" s="11">
        <v>45523</v>
      </c>
      <c r="E2748" t="s">
        <v>16</v>
      </c>
      <c r="F2748" t="s">
        <v>12</v>
      </c>
      <c r="G2748">
        <v>70058001</v>
      </c>
      <c r="H2748">
        <v>5500024881</v>
      </c>
      <c r="I2748">
        <v>160</v>
      </c>
      <c r="J2748" s="29">
        <v>1</v>
      </c>
      <c r="K2748" s="29" t="s">
        <v>330</v>
      </c>
      <c r="L2748" t="str">
        <f>IFERROR(VLOOKUP(Detalle_OC[[#This Row],[Centro]]&amp;Detalle_OC[[#This Row],[Nro Almacen]],Almacen!A:D,4,FALSE),"")</f>
        <v>Montelima</v>
      </c>
    </row>
    <row r="2749" spans="1:12" x14ac:dyDescent="0.3">
      <c r="A2749" s="29" t="str">
        <f>Detalle_OC[[#This Row],[Centro]]&amp;Detalle_OC[[#This Row],[Nom Almacen]]&amp;Detalle_OC[[#This Row],[Material]]&amp;Detalle_OC[[#This Row],[Pedido]]&amp;Detalle_OC[[#This Row],[Posicion]]</f>
        <v>Agricola del Chira PlantaMontelima700657865500024881200</v>
      </c>
      <c r="B2749" t="s">
        <v>28</v>
      </c>
      <c r="C2749" t="s">
        <v>52</v>
      </c>
      <c r="D2749" s="11">
        <v>45523</v>
      </c>
      <c r="E2749" t="s">
        <v>16</v>
      </c>
      <c r="F2749" t="s">
        <v>12</v>
      </c>
      <c r="G2749">
        <v>70065786</v>
      </c>
      <c r="H2749">
        <v>5500024881</v>
      </c>
      <c r="I2749">
        <v>200</v>
      </c>
      <c r="J2749" s="29">
        <v>1</v>
      </c>
      <c r="K2749" s="29" t="s">
        <v>330</v>
      </c>
      <c r="L2749" t="str">
        <f>IFERROR(VLOOKUP(Detalle_OC[[#This Row],[Centro]]&amp;Detalle_OC[[#This Row],[Nro Almacen]],Almacen!A:D,4,FALSE),"")</f>
        <v>Montelima</v>
      </c>
    </row>
    <row r="2750" spans="1:12" x14ac:dyDescent="0.3">
      <c r="A2750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2750" t="s">
        <v>28</v>
      </c>
      <c r="C2750" t="s">
        <v>84</v>
      </c>
      <c r="D2750" s="11">
        <v>45533</v>
      </c>
      <c r="E2750" t="s">
        <v>16</v>
      </c>
      <c r="F2750" t="s">
        <v>85</v>
      </c>
      <c r="G2750">
        <v>801846</v>
      </c>
      <c r="H2750">
        <v>5500022336</v>
      </c>
      <c r="I2750">
        <v>10</v>
      </c>
      <c r="J2750" s="29">
        <v>1</v>
      </c>
      <c r="K2750" s="29" t="s">
        <v>332</v>
      </c>
      <c r="L2750" t="str">
        <f>IFERROR(VLOOKUP(Detalle_OC[[#This Row],[Centro]]&amp;Detalle_OC[[#This Row],[Nro Almacen]],Almacen!A:D,4,FALSE),"")</f>
        <v>Montelima</v>
      </c>
    </row>
    <row r="2751" spans="1:12" x14ac:dyDescent="0.3">
      <c r="A2751" s="29" t="str">
        <f>Detalle_OC[[#This Row],[Centro]]&amp;Detalle_OC[[#This Row],[Nom Almacen]]&amp;Detalle_OC[[#This Row],[Material]]&amp;Detalle_OC[[#This Row],[Pedido]]&amp;Detalle_OC[[#This Row],[Posicion]]</f>
        <v>Agricola del Chira PlantaSan Vicente721426550002484460</v>
      </c>
      <c r="B2751" t="s">
        <v>28</v>
      </c>
      <c r="C2751" t="s">
        <v>88</v>
      </c>
      <c r="D2751" s="11">
        <v>45521</v>
      </c>
      <c r="E2751" t="s">
        <v>16</v>
      </c>
      <c r="F2751" t="s">
        <v>12</v>
      </c>
      <c r="G2751">
        <v>721426</v>
      </c>
      <c r="H2751">
        <v>5500024844</v>
      </c>
      <c r="I2751">
        <v>60</v>
      </c>
      <c r="J2751" s="29">
        <v>3</v>
      </c>
      <c r="K2751" s="29" t="s">
        <v>333</v>
      </c>
      <c r="L2751" t="str">
        <f>IFERROR(VLOOKUP(Detalle_OC[[#This Row],[Centro]]&amp;Detalle_OC[[#This Row],[Nro Almacen]],Almacen!A:D,4,FALSE),"")</f>
        <v>San Vicente</v>
      </c>
    </row>
    <row r="2752" spans="1:12" x14ac:dyDescent="0.3">
      <c r="A2752" s="29" t="str">
        <f>Detalle_OC[[#This Row],[Centro]]&amp;Detalle_OC[[#This Row],[Nom Almacen]]&amp;Detalle_OC[[#This Row],[Material]]&amp;Detalle_OC[[#This Row],[Pedido]]&amp;Detalle_OC[[#This Row],[Posicion]]</f>
        <v>Agricola del Chira PlantaSan Vicente70058000550002488120</v>
      </c>
      <c r="B2752" t="s">
        <v>28</v>
      </c>
      <c r="C2752" t="s">
        <v>52</v>
      </c>
      <c r="D2752" s="11">
        <v>45521</v>
      </c>
      <c r="E2752" t="s">
        <v>16</v>
      </c>
      <c r="F2752" t="s">
        <v>12</v>
      </c>
      <c r="G2752">
        <v>70058000</v>
      </c>
      <c r="H2752">
        <v>5500024881</v>
      </c>
      <c r="I2752">
        <v>20</v>
      </c>
      <c r="J2752" s="29">
        <v>3</v>
      </c>
      <c r="K2752" s="29" t="s">
        <v>333</v>
      </c>
      <c r="L2752" t="str">
        <f>IFERROR(VLOOKUP(Detalle_OC[[#This Row],[Centro]]&amp;Detalle_OC[[#This Row],[Nro Almacen]],Almacen!A:D,4,FALSE),"")</f>
        <v>San Vicente</v>
      </c>
    </row>
    <row r="2753" spans="1:12" x14ac:dyDescent="0.3">
      <c r="A2753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2753" t="s">
        <v>28</v>
      </c>
      <c r="C2753" t="s">
        <v>54</v>
      </c>
      <c r="D2753" s="11">
        <v>45519</v>
      </c>
      <c r="E2753" t="s">
        <v>16</v>
      </c>
      <c r="F2753" t="s">
        <v>12</v>
      </c>
      <c r="G2753">
        <v>70100392</v>
      </c>
      <c r="H2753">
        <v>5500024751</v>
      </c>
      <c r="I2753">
        <v>20</v>
      </c>
      <c r="J2753" s="29">
        <v>2</v>
      </c>
      <c r="K2753" s="29" t="s">
        <v>334</v>
      </c>
      <c r="L2753" t="str">
        <f>IFERROR(VLOOKUP(Detalle_OC[[#This Row],[Centro]]&amp;Detalle_OC[[#This Row],[Nro Almacen]],Almacen!A:D,4,FALSE),"")</f>
        <v>La Huaca</v>
      </c>
    </row>
    <row r="2754" spans="1:12" x14ac:dyDescent="0.3">
      <c r="A2754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2754" t="s">
        <v>28</v>
      </c>
      <c r="C2754" t="s">
        <v>54</v>
      </c>
      <c r="D2754" s="11">
        <v>45519</v>
      </c>
      <c r="E2754" t="s">
        <v>16</v>
      </c>
      <c r="F2754" t="s">
        <v>12</v>
      </c>
      <c r="G2754">
        <v>70100392</v>
      </c>
      <c r="H2754">
        <v>5500024751</v>
      </c>
      <c r="I2754">
        <v>40</v>
      </c>
      <c r="J2754" s="29">
        <v>7</v>
      </c>
      <c r="K2754" s="29" t="s">
        <v>334</v>
      </c>
      <c r="L2754" t="str">
        <f>IFERROR(VLOOKUP(Detalle_OC[[#This Row],[Centro]]&amp;Detalle_OC[[#This Row],[Nro Almacen]],Almacen!A:D,4,FALSE),"")</f>
        <v>Almacen Lobo</v>
      </c>
    </row>
    <row r="2755" spans="1:12" x14ac:dyDescent="0.3">
      <c r="A2755" s="29" t="str">
        <f>Detalle_OC[[#This Row],[Centro]]&amp;Detalle_OC[[#This Row],[Nom Almacen]]&amp;Detalle_OC[[#This Row],[Material]]&amp;Detalle_OC[[#This Row],[Pedido]]&amp;Detalle_OC[[#This Row],[Posicion]]</f>
        <v>Agricola del Chira PlantaMontelima721556550002485560</v>
      </c>
      <c r="B2755" t="s">
        <v>28</v>
      </c>
      <c r="C2755" t="s">
        <v>96</v>
      </c>
      <c r="D2755" s="11">
        <v>45520</v>
      </c>
      <c r="E2755" t="s">
        <v>16</v>
      </c>
      <c r="F2755" t="s">
        <v>12</v>
      </c>
      <c r="G2755">
        <v>721556</v>
      </c>
      <c r="H2755">
        <v>5500024855</v>
      </c>
      <c r="I2755">
        <v>60</v>
      </c>
      <c r="J2755" s="29">
        <v>1</v>
      </c>
      <c r="K2755" s="29" t="s">
        <v>334</v>
      </c>
      <c r="L2755" t="str">
        <f>IFERROR(VLOOKUP(Detalle_OC[[#This Row],[Centro]]&amp;Detalle_OC[[#This Row],[Nro Almacen]],Almacen!A:D,4,FALSE),"")</f>
        <v>Montelima</v>
      </c>
    </row>
    <row r="2756" spans="1:12" x14ac:dyDescent="0.3">
      <c r="A2756" s="29" t="str">
        <f>Detalle_OC[[#This Row],[Centro]]&amp;Detalle_OC[[#This Row],[Nom Almacen]]&amp;Detalle_OC[[#This Row],[Material]]&amp;Detalle_OC[[#This Row],[Pedido]]&amp;Detalle_OC[[#This Row],[Posicion]]</f>
        <v>Agricola del Chira PlantaMontelima8104815500024855100</v>
      </c>
      <c r="B2756" t="s">
        <v>28</v>
      </c>
      <c r="C2756" t="s">
        <v>96</v>
      </c>
      <c r="D2756" s="11">
        <v>45527</v>
      </c>
      <c r="E2756" t="s">
        <v>16</v>
      </c>
      <c r="F2756" t="s">
        <v>12</v>
      </c>
      <c r="G2756">
        <v>810481</v>
      </c>
      <c r="H2756">
        <v>5500024855</v>
      </c>
      <c r="I2756">
        <v>100</v>
      </c>
      <c r="J2756" s="29">
        <v>1</v>
      </c>
      <c r="K2756" s="29" t="s">
        <v>334</v>
      </c>
      <c r="L2756" t="str">
        <f>IFERROR(VLOOKUP(Detalle_OC[[#This Row],[Centro]]&amp;Detalle_OC[[#This Row],[Nro Almacen]],Almacen!A:D,4,FALSE),"")</f>
        <v>Montelima</v>
      </c>
    </row>
    <row r="2757" spans="1:12" x14ac:dyDescent="0.3">
      <c r="A2757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2757" t="s">
        <v>28</v>
      </c>
      <c r="C2757" t="s">
        <v>94</v>
      </c>
      <c r="D2757" s="11">
        <v>45519</v>
      </c>
      <c r="E2757" t="s">
        <v>16</v>
      </c>
      <c r="F2757" t="s">
        <v>85</v>
      </c>
      <c r="G2757" t="s">
        <v>95</v>
      </c>
      <c r="H2757">
        <v>5500024746</v>
      </c>
      <c r="I2757">
        <v>10</v>
      </c>
      <c r="J2757" s="29">
        <v>1</v>
      </c>
      <c r="K2757" s="29" t="s">
        <v>335</v>
      </c>
      <c r="L2757" t="str">
        <f>IFERROR(VLOOKUP(Detalle_OC[[#This Row],[Centro]]&amp;Detalle_OC[[#This Row],[Nro Almacen]],Almacen!A:D,4,FALSE),"")</f>
        <v>Montelima</v>
      </c>
    </row>
    <row r="2758" spans="1:12" x14ac:dyDescent="0.3">
      <c r="A2758" s="29" t="str">
        <f>Detalle_OC[[#This Row],[Centro]]&amp;Detalle_OC[[#This Row],[Nom Almacen]]&amp;Detalle_OC[[#This Row],[Material]]&amp;Detalle_OC[[#This Row],[Pedido]]&amp;Detalle_OC[[#This Row],[Posicion]]</f>
        <v>Agricola del Chira PlantaMontelima70100392550002475110</v>
      </c>
      <c r="B2758" t="s">
        <v>28</v>
      </c>
      <c r="C2758" t="s">
        <v>54</v>
      </c>
      <c r="D2758" s="11">
        <v>45519</v>
      </c>
      <c r="E2758" t="s">
        <v>16</v>
      </c>
      <c r="F2758" t="s">
        <v>12</v>
      </c>
      <c r="G2758">
        <v>70100392</v>
      </c>
      <c r="H2758">
        <v>5500024751</v>
      </c>
      <c r="I2758">
        <v>10</v>
      </c>
      <c r="J2758" s="29">
        <v>1</v>
      </c>
      <c r="K2758" s="29" t="s">
        <v>335</v>
      </c>
      <c r="L2758" t="str">
        <f>IFERROR(VLOOKUP(Detalle_OC[[#This Row],[Centro]]&amp;Detalle_OC[[#This Row],[Nro Almacen]],Almacen!A:D,4,FALSE),"")</f>
        <v>Montelima</v>
      </c>
    </row>
    <row r="2759" spans="1:12" x14ac:dyDescent="0.3">
      <c r="A2759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2759" t="s">
        <v>28</v>
      </c>
      <c r="C2759" t="s">
        <v>84</v>
      </c>
      <c r="D2759" s="11">
        <v>45518</v>
      </c>
      <c r="E2759" t="s">
        <v>16</v>
      </c>
      <c r="F2759" t="s">
        <v>85</v>
      </c>
      <c r="G2759">
        <v>801846</v>
      </c>
      <c r="H2759">
        <v>5500022336</v>
      </c>
      <c r="I2759">
        <v>10</v>
      </c>
      <c r="J2759" s="29">
        <v>1</v>
      </c>
      <c r="K2759" s="29" t="s">
        <v>336</v>
      </c>
      <c r="L2759" t="str">
        <f>IFERROR(VLOOKUP(Detalle_OC[[#This Row],[Centro]]&amp;Detalle_OC[[#This Row],[Nro Almacen]],Almacen!A:D,4,FALSE),"")</f>
        <v>Montelima</v>
      </c>
    </row>
    <row r="2760" spans="1:12" x14ac:dyDescent="0.3">
      <c r="A2760" s="29" t="str">
        <f>Detalle_OC[[#This Row],[Centro]]&amp;Detalle_OC[[#This Row],[Nom Almacen]]&amp;Detalle_OC[[#This Row],[Material]]&amp;Detalle_OC[[#This Row],[Pedido]]&amp;Detalle_OC[[#This Row],[Posicion]]</f>
        <v>Sucroalcolera del Chira PlantaMontelima709179550002233630</v>
      </c>
      <c r="B2760" t="s">
        <v>28</v>
      </c>
      <c r="C2760" t="s">
        <v>84</v>
      </c>
      <c r="D2760" s="11">
        <v>45518</v>
      </c>
      <c r="E2760" t="s">
        <v>16</v>
      </c>
      <c r="F2760" t="s">
        <v>85</v>
      </c>
      <c r="G2760">
        <v>709179</v>
      </c>
      <c r="H2760">
        <v>5500022336</v>
      </c>
      <c r="I2760">
        <v>30</v>
      </c>
      <c r="J2760" s="29">
        <v>1</v>
      </c>
      <c r="K2760" s="29" t="s">
        <v>336</v>
      </c>
      <c r="L2760" t="str">
        <f>IFERROR(VLOOKUP(Detalle_OC[[#This Row],[Centro]]&amp;Detalle_OC[[#This Row],[Nro Almacen]],Almacen!A:D,4,FALSE),"")</f>
        <v>Montelima</v>
      </c>
    </row>
    <row r="2761" spans="1:12" x14ac:dyDescent="0.3">
      <c r="A2761" s="29" t="str">
        <f>Detalle_OC[[#This Row],[Centro]]&amp;Detalle_OC[[#This Row],[Nom Almacen]]&amp;Detalle_OC[[#This Row],[Material]]&amp;Detalle_OC[[#This Row],[Pedido]]&amp;Detalle_OC[[#This Row],[Posicion]]</f>
        <v>Sucroalcolera del Chira PlantaMontelima708707550002233640</v>
      </c>
      <c r="B2761" t="s">
        <v>28</v>
      </c>
      <c r="C2761" t="s">
        <v>84</v>
      </c>
      <c r="D2761" s="11">
        <v>45518</v>
      </c>
      <c r="E2761" t="s">
        <v>16</v>
      </c>
      <c r="F2761" t="s">
        <v>85</v>
      </c>
      <c r="G2761">
        <v>708707</v>
      </c>
      <c r="H2761">
        <v>5500022336</v>
      </c>
      <c r="I2761">
        <v>40</v>
      </c>
      <c r="J2761" s="29">
        <v>1</v>
      </c>
      <c r="K2761" s="29" t="s">
        <v>336</v>
      </c>
      <c r="L2761" t="str">
        <f>IFERROR(VLOOKUP(Detalle_OC[[#This Row],[Centro]]&amp;Detalle_OC[[#This Row],[Nro Almacen]],Almacen!A:D,4,FALSE),"")</f>
        <v>Montelima</v>
      </c>
    </row>
    <row r="2762" spans="1:12" x14ac:dyDescent="0.3">
      <c r="A2762" s="29" t="str">
        <f>Detalle_OC[[#This Row],[Centro]]&amp;Detalle_OC[[#This Row],[Nom Almacen]]&amp;Detalle_OC[[#This Row],[Material]]&amp;Detalle_OC[[#This Row],[Pedido]]&amp;Detalle_OC[[#This Row],[Posicion]]</f>
        <v>Agricola del Chira PlantaMontelima709179550002233820</v>
      </c>
      <c r="B2762" t="s">
        <v>28</v>
      </c>
      <c r="C2762" t="s">
        <v>84</v>
      </c>
      <c r="D2762" s="11">
        <v>45518</v>
      </c>
      <c r="E2762" t="s">
        <v>16</v>
      </c>
      <c r="F2762" t="s">
        <v>12</v>
      </c>
      <c r="G2762">
        <v>709179</v>
      </c>
      <c r="H2762">
        <v>5500022338</v>
      </c>
      <c r="I2762">
        <v>20</v>
      </c>
      <c r="J2762" s="29">
        <v>1</v>
      </c>
      <c r="K2762" s="29" t="s">
        <v>336</v>
      </c>
      <c r="L2762" t="str">
        <f>IFERROR(VLOOKUP(Detalle_OC[[#This Row],[Centro]]&amp;Detalle_OC[[#This Row],[Nro Almacen]],Almacen!A:D,4,FALSE),"")</f>
        <v>Montelima</v>
      </c>
    </row>
    <row r="2763" spans="1:12" x14ac:dyDescent="0.3">
      <c r="A2763" s="29" t="str">
        <f>Detalle_OC[[#This Row],[Centro]]&amp;Detalle_OC[[#This Row],[Nom Almacen]]&amp;Detalle_OC[[#This Row],[Material]]&amp;Detalle_OC[[#This Row],[Pedido]]&amp;Detalle_OC[[#This Row],[Posicion]]</f>
        <v>Agricola del Chira PlantaMontelima808069550002233830</v>
      </c>
      <c r="B2763" t="s">
        <v>28</v>
      </c>
      <c r="C2763" t="s">
        <v>84</v>
      </c>
      <c r="D2763" s="11">
        <v>45518</v>
      </c>
      <c r="E2763" t="s">
        <v>16</v>
      </c>
      <c r="F2763" t="s">
        <v>12</v>
      </c>
      <c r="G2763">
        <v>808069</v>
      </c>
      <c r="H2763">
        <v>5500022338</v>
      </c>
      <c r="I2763">
        <v>30</v>
      </c>
      <c r="J2763" s="29">
        <v>1</v>
      </c>
      <c r="K2763" s="29" t="s">
        <v>336</v>
      </c>
      <c r="L2763" t="str">
        <f>IFERROR(VLOOKUP(Detalle_OC[[#This Row],[Centro]]&amp;Detalle_OC[[#This Row],[Nro Almacen]],Almacen!A:D,4,FALSE),"")</f>
        <v>Montelima</v>
      </c>
    </row>
    <row r="2764" spans="1:12" x14ac:dyDescent="0.3">
      <c r="A2764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2764" t="s">
        <v>28</v>
      </c>
      <c r="C2764" t="s">
        <v>84</v>
      </c>
      <c r="D2764" s="11">
        <v>45518</v>
      </c>
      <c r="E2764" t="s">
        <v>16</v>
      </c>
      <c r="F2764" t="s">
        <v>12</v>
      </c>
      <c r="G2764">
        <v>801846</v>
      </c>
      <c r="H2764">
        <v>5500022338</v>
      </c>
      <c r="I2764">
        <v>40</v>
      </c>
      <c r="J2764" s="29">
        <v>1</v>
      </c>
      <c r="K2764" s="29" t="s">
        <v>336</v>
      </c>
      <c r="L2764" t="str">
        <f>IFERROR(VLOOKUP(Detalle_OC[[#This Row],[Centro]]&amp;Detalle_OC[[#This Row],[Nro Almacen]],Almacen!A:D,4,FALSE),"")</f>
        <v>Montelima</v>
      </c>
    </row>
    <row r="2765" spans="1:12" x14ac:dyDescent="0.3">
      <c r="A2765" s="29" t="str">
        <f>Detalle_OC[[#This Row],[Centro]]&amp;Detalle_OC[[#This Row],[Nom Almacen]]&amp;Detalle_OC[[#This Row],[Material]]&amp;Detalle_OC[[#This Row],[Pedido]]&amp;Detalle_OC[[#This Row],[Posicion]]</f>
        <v>Agricola del Chira PlantaMontelima708707550002233850</v>
      </c>
      <c r="B2765" t="s">
        <v>28</v>
      </c>
      <c r="C2765" t="s">
        <v>84</v>
      </c>
      <c r="D2765" s="11">
        <v>45518</v>
      </c>
      <c r="E2765" t="s">
        <v>16</v>
      </c>
      <c r="F2765" t="s">
        <v>12</v>
      </c>
      <c r="G2765">
        <v>708707</v>
      </c>
      <c r="H2765">
        <v>5500022338</v>
      </c>
      <c r="I2765">
        <v>50</v>
      </c>
      <c r="J2765" s="29">
        <v>1</v>
      </c>
      <c r="K2765" s="29" t="s">
        <v>336</v>
      </c>
      <c r="L2765" t="str">
        <f>IFERROR(VLOOKUP(Detalle_OC[[#This Row],[Centro]]&amp;Detalle_OC[[#This Row],[Nro Almacen]],Almacen!A:D,4,FALSE),"")</f>
        <v>Montelima</v>
      </c>
    </row>
    <row r="2766" spans="1:12" x14ac:dyDescent="0.3">
      <c r="A2766" s="29" t="str">
        <f>Detalle_OC[[#This Row],[Centro]]&amp;Detalle_OC[[#This Row],[Nom Almacen]]&amp;Detalle_OC[[#This Row],[Material]]&amp;Detalle_OC[[#This Row],[Pedido]]&amp;Detalle_OC[[#This Row],[Posicion]]</f>
        <v>Agricola del Chira PlantaMontelima70032053550002233880</v>
      </c>
      <c r="B2766" t="s">
        <v>28</v>
      </c>
      <c r="C2766" t="s">
        <v>84</v>
      </c>
      <c r="D2766" s="11">
        <v>45518</v>
      </c>
      <c r="E2766" t="s">
        <v>16</v>
      </c>
      <c r="F2766" t="s">
        <v>12</v>
      </c>
      <c r="G2766">
        <v>70032053</v>
      </c>
      <c r="H2766">
        <v>5500022338</v>
      </c>
      <c r="I2766">
        <v>80</v>
      </c>
      <c r="J2766" s="29">
        <v>1</v>
      </c>
      <c r="K2766" s="29" t="s">
        <v>336</v>
      </c>
      <c r="L2766" t="str">
        <f>IFERROR(VLOOKUP(Detalle_OC[[#This Row],[Centro]]&amp;Detalle_OC[[#This Row],[Nro Almacen]],Almacen!A:D,4,FALSE),"")</f>
        <v>Montelima</v>
      </c>
    </row>
    <row r="2767" spans="1:12" x14ac:dyDescent="0.3">
      <c r="A2767" s="29" t="str">
        <f>Detalle_OC[[#This Row],[Centro]]&amp;Detalle_OC[[#This Row],[Nom Almacen]]&amp;Detalle_OC[[#This Row],[Material]]&amp;Detalle_OC[[#This Row],[Pedido]]&amp;Detalle_OC[[#This Row],[Posicion]]</f>
        <v>Agricola del Chira PlantaMontelima70084357550002468140</v>
      </c>
      <c r="B2767" t="s">
        <v>28</v>
      </c>
      <c r="C2767" t="s">
        <v>84</v>
      </c>
      <c r="D2767" s="11">
        <v>45518</v>
      </c>
      <c r="E2767" t="s">
        <v>16</v>
      </c>
      <c r="F2767" t="s">
        <v>12</v>
      </c>
      <c r="G2767">
        <v>70084357</v>
      </c>
      <c r="H2767">
        <v>5500024681</v>
      </c>
      <c r="I2767">
        <v>40</v>
      </c>
      <c r="J2767" s="29">
        <v>1</v>
      </c>
      <c r="K2767" s="29" t="s">
        <v>336</v>
      </c>
      <c r="L2767" t="str">
        <f>IFERROR(VLOOKUP(Detalle_OC[[#This Row],[Centro]]&amp;Detalle_OC[[#This Row],[Nro Almacen]],Almacen!A:D,4,FALSE),"")</f>
        <v>Montelima</v>
      </c>
    </row>
    <row r="2768" spans="1:12" x14ac:dyDescent="0.3">
      <c r="A2768" s="29" t="str">
        <f>Detalle_OC[[#This Row],[Centro]]&amp;Detalle_OC[[#This Row],[Nom Almacen]]&amp;Detalle_OC[[#This Row],[Material]]&amp;Detalle_OC[[#This Row],[Pedido]]&amp;Detalle_OC[[#This Row],[Posicion]]</f>
        <v>Agricola del Chira PlantaMontelima70084371550002468180</v>
      </c>
      <c r="B2768" t="s">
        <v>28</v>
      </c>
      <c r="C2768" t="s">
        <v>84</v>
      </c>
      <c r="D2768" s="11">
        <v>45518</v>
      </c>
      <c r="E2768" t="s">
        <v>16</v>
      </c>
      <c r="F2768" t="s">
        <v>12</v>
      </c>
      <c r="G2768">
        <v>70084371</v>
      </c>
      <c r="H2768">
        <v>5500024681</v>
      </c>
      <c r="I2768">
        <v>80</v>
      </c>
      <c r="J2768" s="29">
        <v>1</v>
      </c>
      <c r="K2768" s="29" t="s">
        <v>336</v>
      </c>
      <c r="L2768" t="str">
        <f>IFERROR(VLOOKUP(Detalle_OC[[#This Row],[Centro]]&amp;Detalle_OC[[#This Row],[Nro Almacen]],Almacen!A:D,4,FALSE),"")</f>
        <v>Montelima</v>
      </c>
    </row>
    <row r="2769" spans="1:12" x14ac:dyDescent="0.3">
      <c r="A2769" s="29" t="str">
        <f>Detalle_OC[[#This Row],[Centro]]&amp;Detalle_OC[[#This Row],[Nom Almacen]]&amp;Detalle_OC[[#This Row],[Material]]&amp;Detalle_OC[[#This Row],[Pedido]]&amp;Detalle_OC[[#This Row],[Posicion]]</f>
        <v>Sucroalcolera del Chira PlantaMontelima70084359550002468230</v>
      </c>
      <c r="B2769" t="s">
        <v>28</v>
      </c>
      <c r="C2769" t="s">
        <v>84</v>
      </c>
      <c r="D2769" s="11">
        <v>45518</v>
      </c>
      <c r="E2769" t="s">
        <v>16</v>
      </c>
      <c r="F2769" t="s">
        <v>85</v>
      </c>
      <c r="G2769">
        <v>70084359</v>
      </c>
      <c r="H2769">
        <v>5500024682</v>
      </c>
      <c r="I2769">
        <v>30</v>
      </c>
      <c r="J2769" s="29">
        <v>1</v>
      </c>
      <c r="K2769" s="29" t="s">
        <v>336</v>
      </c>
      <c r="L2769" t="str">
        <f>IFERROR(VLOOKUP(Detalle_OC[[#This Row],[Centro]]&amp;Detalle_OC[[#This Row],[Nro Almacen]],Almacen!A:D,4,FALSE),"")</f>
        <v>Montelima</v>
      </c>
    </row>
    <row r="2770" spans="1:12" x14ac:dyDescent="0.3">
      <c r="A2770" s="29" t="str">
        <f>Detalle_OC[[#This Row],[Centro]]&amp;Detalle_OC[[#This Row],[Nom Almacen]]&amp;Detalle_OC[[#This Row],[Material]]&amp;Detalle_OC[[#This Row],[Pedido]]&amp;Detalle_OC[[#This Row],[Posicion]]</f>
        <v>Sucroalcolera del Chira PlantaMontelima700843695500024682100</v>
      </c>
      <c r="B2770" t="s">
        <v>28</v>
      </c>
      <c r="C2770" t="s">
        <v>84</v>
      </c>
      <c r="D2770" s="11">
        <v>45518</v>
      </c>
      <c r="E2770" t="s">
        <v>16</v>
      </c>
      <c r="F2770" t="s">
        <v>85</v>
      </c>
      <c r="G2770">
        <v>70084369</v>
      </c>
      <c r="H2770">
        <v>5500024682</v>
      </c>
      <c r="I2770">
        <v>100</v>
      </c>
      <c r="J2770" s="29">
        <v>1</v>
      </c>
      <c r="K2770" s="29" t="s">
        <v>336</v>
      </c>
      <c r="L2770" t="str">
        <f>IFERROR(VLOOKUP(Detalle_OC[[#This Row],[Centro]]&amp;Detalle_OC[[#This Row],[Nro Almacen]],Almacen!A:D,4,FALSE),"")</f>
        <v>Montelima</v>
      </c>
    </row>
    <row r="2771" spans="1:12" x14ac:dyDescent="0.3">
      <c r="A2771" s="29" t="str">
        <f>Detalle_OC[[#This Row],[Centro]]&amp;Detalle_OC[[#This Row],[Nom Almacen]]&amp;Detalle_OC[[#This Row],[Material]]&amp;Detalle_OC[[#This Row],[Pedido]]&amp;Detalle_OC[[#This Row],[Posicion]]</f>
        <v>Agricola del Chira PlantaSan Vicente70100392550002475130</v>
      </c>
      <c r="B2771" t="s">
        <v>28</v>
      </c>
      <c r="C2771" t="s">
        <v>54</v>
      </c>
      <c r="D2771" s="11">
        <v>45518</v>
      </c>
      <c r="E2771" t="s">
        <v>16</v>
      </c>
      <c r="F2771" t="s">
        <v>12</v>
      </c>
      <c r="G2771">
        <v>70100392</v>
      </c>
      <c r="H2771">
        <v>5500024751</v>
      </c>
      <c r="I2771">
        <v>30</v>
      </c>
      <c r="J2771" s="29">
        <v>3</v>
      </c>
      <c r="K2771" s="29" t="s">
        <v>336</v>
      </c>
      <c r="L2771" t="str">
        <f>IFERROR(VLOOKUP(Detalle_OC[[#This Row],[Centro]]&amp;Detalle_OC[[#This Row],[Nro Almacen]],Almacen!A:D,4,FALSE),"")</f>
        <v>San Vicente</v>
      </c>
    </row>
    <row r="2772" spans="1:12" x14ac:dyDescent="0.3">
      <c r="A2772" s="29" t="str">
        <f>Detalle_OC[[#This Row],[Centro]]&amp;Detalle_OC[[#This Row],[Nom Almacen]]&amp;Detalle_OC[[#This Row],[Material]]&amp;Detalle_OC[[#This Row],[Pedido]]&amp;Detalle_OC[[#This Row],[Posicion]]</f>
        <v>Agricola del Chira PlantaAlmacen Lobo700440065500024855260</v>
      </c>
      <c r="B2772" t="s">
        <v>28</v>
      </c>
      <c r="C2772" t="s">
        <v>96</v>
      </c>
      <c r="D2772" s="11">
        <v>45518</v>
      </c>
      <c r="E2772" t="s">
        <v>16</v>
      </c>
      <c r="F2772" t="s">
        <v>12</v>
      </c>
      <c r="G2772">
        <v>70044006</v>
      </c>
      <c r="H2772">
        <v>5500024855</v>
      </c>
      <c r="I2772">
        <v>260</v>
      </c>
      <c r="J2772" s="29">
        <v>7</v>
      </c>
      <c r="K2772" s="29" t="s">
        <v>336</v>
      </c>
      <c r="L2772" t="str">
        <f>IFERROR(VLOOKUP(Detalle_OC[[#This Row],[Centro]]&amp;Detalle_OC[[#This Row],[Nro Almacen]],Almacen!A:D,4,FALSE),"")</f>
        <v>Almacen Lobo</v>
      </c>
    </row>
    <row r="2773" spans="1:12" x14ac:dyDescent="0.3">
      <c r="A2773" s="29" t="str">
        <f>Detalle_OC[[#This Row],[Centro]]&amp;Detalle_OC[[#This Row],[Nom Almacen]]&amp;Detalle_OC[[#This Row],[Material]]&amp;Detalle_OC[[#This Row],[Pedido]]&amp;Detalle_OC[[#This Row],[Posicion]]</f>
        <v>Agricola del Chira PlantaAlmacen Lobo700580015500024881180</v>
      </c>
      <c r="B2773" t="s">
        <v>28</v>
      </c>
      <c r="C2773" t="s">
        <v>52</v>
      </c>
      <c r="D2773" s="11">
        <v>45518</v>
      </c>
      <c r="E2773" t="s">
        <v>16</v>
      </c>
      <c r="F2773" t="s">
        <v>12</v>
      </c>
      <c r="G2773">
        <v>70058001</v>
      </c>
      <c r="H2773">
        <v>5500024881</v>
      </c>
      <c r="I2773">
        <v>180</v>
      </c>
      <c r="J2773" s="29">
        <v>7</v>
      </c>
      <c r="K2773" s="29" t="s">
        <v>336</v>
      </c>
      <c r="L2773" t="str">
        <f>IFERROR(VLOOKUP(Detalle_OC[[#This Row],[Centro]]&amp;Detalle_OC[[#This Row],[Nro Almacen]],Almacen!A:D,4,FALSE),"")</f>
        <v>Almacen Lobo</v>
      </c>
    </row>
    <row r="2774" spans="1:12" x14ac:dyDescent="0.3">
      <c r="A2774" s="29" t="str">
        <f>Detalle_OC[[#This Row],[Centro]]&amp;Detalle_OC[[#This Row],[Nom Almacen]]&amp;Detalle_OC[[#This Row],[Material]]&amp;Detalle_OC[[#This Row],[Pedido]]&amp;Detalle_OC[[#This Row],[Posicion]]</f>
        <v>Sucroalcolera del Chira PlantaMontelima828409451156137410</v>
      </c>
      <c r="B2774" t="s">
        <v>191</v>
      </c>
      <c r="C2774" t="s">
        <v>275</v>
      </c>
      <c r="D2774" s="11">
        <v>45635</v>
      </c>
      <c r="E2774" t="s">
        <v>16</v>
      </c>
      <c r="F2774" t="s">
        <v>85</v>
      </c>
      <c r="G2774">
        <v>828409</v>
      </c>
      <c r="H2774">
        <v>4511561374</v>
      </c>
      <c r="I2774">
        <v>10</v>
      </c>
      <c r="J2774" s="29">
        <v>1</v>
      </c>
      <c r="K2774" s="29" t="s">
        <v>337</v>
      </c>
      <c r="L2774" t="str">
        <f>IFERROR(VLOOKUP(Detalle_OC[[#This Row],[Centro]]&amp;Detalle_OC[[#This Row],[Nro Almacen]],Almacen!A:D,4,FALSE),"")</f>
        <v>Montelima</v>
      </c>
    </row>
    <row r="2775" spans="1:12" x14ac:dyDescent="0.3">
      <c r="A2775" s="29" t="str">
        <f>Detalle_OC[[#This Row],[Centro]]&amp;Detalle_OC[[#This Row],[Nom Almacen]]&amp;Detalle_OC[[#This Row],[Material]]&amp;Detalle_OC[[#This Row],[Pedido]]&amp;Detalle_OC[[#This Row],[Posicion]]</f>
        <v>Agricola del Chira PlantaAlmacen LoboMWAGR000058       550002481520</v>
      </c>
      <c r="B2775" t="s">
        <v>28</v>
      </c>
      <c r="C2775" t="s">
        <v>112</v>
      </c>
      <c r="D2775" s="11">
        <v>45516</v>
      </c>
      <c r="E2775" t="s">
        <v>16</v>
      </c>
      <c r="F2775" t="s">
        <v>12</v>
      </c>
      <c r="G2775" t="s">
        <v>113</v>
      </c>
      <c r="H2775">
        <v>5500024815</v>
      </c>
      <c r="I2775">
        <v>20</v>
      </c>
      <c r="J2775" s="29">
        <v>7</v>
      </c>
      <c r="K2775" s="29" t="s">
        <v>337</v>
      </c>
      <c r="L2775" t="str">
        <f>IFERROR(VLOOKUP(Detalle_OC[[#This Row],[Centro]]&amp;Detalle_OC[[#This Row],[Nro Almacen]],Almacen!A:D,4,FALSE),"")</f>
        <v>Almacen Lobo</v>
      </c>
    </row>
    <row r="2776" spans="1:12" x14ac:dyDescent="0.3">
      <c r="A2776" s="29" t="str">
        <f>Detalle_OC[[#This Row],[Centro]]&amp;Detalle_OC[[#This Row],[Nom Almacen]]&amp;Detalle_OC[[#This Row],[Material]]&amp;Detalle_OC[[#This Row],[Pedido]]&amp;Detalle_OC[[#This Row],[Posicion]]</f>
        <v>Agricola del Chira PlantaFERTI LOBO 2MWAGR000058       550002481530</v>
      </c>
      <c r="B2776" t="s">
        <v>28</v>
      </c>
      <c r="C2776" t="s">
        <v>112</v>
      </c>
      <c r="D2776" s="11">
        <v>45516</v>
      </c>
      <c r="E2776" t="s">
        <v>16</v>
      </c>
      <c r="F2776" t="s">
        <v>12</v>
      </c>
      <c r="G2776" t="s">
        <v>113</v>
      </c>
      <c r="H2776">
        <v>5500024815</v>
      </c>
      <c r="I2776">
        <v>30</v>
      </c>
      <c r="J2776" s="29">
        <v>23</v>
      </c>
      <c r="K2776" s="29" t="s">
        <v>337</v>
      </c>
      <c r="L2776" t="str">
        <f>IFERROR(VLOOKUP(Detalle_OC[[#This Row],[Centro]]&amp;Detalle_OC[[#This Row],[Nro Almacen]],Almacen!A:D,4,FALSE),"")</f>
        <v>FERTI LOBO 2</v>
      </c>
    </row>
    <row r="2777" spans="1:12" x14ac:dyDescent="0.3">
      <c r="A2777" s="29" t="str">
        <f>Detalle_OC[[#This Row],[Centro]]&amp;Detalle_OC[[#This Row],[Nom Almacen]]&amp;Detalle_OC[[#This Row],[Material]]&amp;Detalle_OC[[#This Row],[Pedido]]&amp;Detalle_OC[[#This Row],[Posicion]]</f>
        <v>Agricola del Chira PlantaMontelima721669550002485530</v>
      </c>
      <c r="B2777" t="s">
        <v>28</v>
      </c>
      <c r="C2777" t="s">
        <v>96</v>
      </c>
      <c r="D2777" s="11">
        <v>45517</v>
      </c>
      <c r="E2777" t="s">
        <v>16</v>
      </c>
      <c r="F2777" t="s">
        <v>12</v>
      </c>
      <c r="G2777">
        <v>721669</v>
      </c>
      <c r="H2777">
        <v>5500024855</v>
      </c>
      <c r="I2777">
        <v>30</v>
      </c>
      <c r="J2777" s="29">
        <v>1</v>
      </c>
      <c r="K2777" s="29" t="s">
        <v>337</v>
      </c>
      <c r="L2777" t="str">
        <f>IFERROR(VLOOKUP(Detalle_OC[[#This Row],[Centro]]&amp;Detalle_OC[[#This Row],[Nro Almacen]],Almacen!A:D,4,FALSE),"")</f>
        <v>Montelima</v>
      </c>
    </row>
    <row r="2778" spans="1:12" x14ac:dyDescent="0.3">
      <c r="A2778" s="29" t="str">
        <f>Detalle_OC[[#This Row],[Centro]]&amp;Detalle_OC[[#This Row],[Nom Almacen]]&amp;Detalle_OC[[#This Row],[Material]]&amp;Detalle_OC[[#This Row],[Pedido]]&amp;Detalle_OC[[#This Row],[Posicion]]</f>
        <v>Agricola del Chira PlantaMontelima7773055500024855280</v>
      </c>
      <c r="B2778" t="s">
        <v>28</v>
      </c>
      <c r="C2778" t="s">
        <v>96</v>
      </c>
      <c r="D2778" s="11">
        <v>45517</v>
      </c>
      <c r="E2778" t="s">
        <v>16</v>
      </c>
      <c r="F2778" t="s">
        <v>12</v>
      </c>
      <c r="G2778">
        <v>777305</v>
      </c>
      <c r="H2778">
        <v>5500024855</v>
      </c>
      <c r="I2778">
        <v>280</v>
      </c>
      <c r="J2778" s="29">
        <v>1</v>
      </c>
      <c r="K2778" s="29" t="s">
        <v>337</v>
      </c>
      <c r="L2778" t="str">
        <f>IFERROR(VLOOKUP(Detalle_OC[[#This Row],[Centro]]&amp;Detalle_OC[[#This Row],[Nro Almacen]],Almacen!A:D,4,FALSE),"")</f>
        <v>Montelima</v>
      </c>
    </row>
    <row r="2779" spans="1:12" x14ac:dyDescent="0.3">
      <c r="A2779" s="29" t="str">
        <f>Detalle_OC[[#This Row],[Centro]]&amp;Detalle_OC[[#This Row],[Nom Almacen]]&amp;Detalle_OC[[#This Row],[Material]]&amp;Detalle_OC[[#This Row],[Pedido]]&amp;Detalle_OC[[#This Row],[Posicion]]</f>
        <v>Sucroalcolera del Chira PlantaMontelimaMWSODACAUSTICA    550002478020</v>
      </c>
      <c r="B2779" t="s">
        <v>28</v>
      </c>
      <c r="C2779" t="s">
        <v>94</v>
      </c>
      <c r="D2779" s="11">
        <v>45514</v>
      </c>
      <c r="E2779" t="s">
        <v>16</v>
      </c>
      <c r="F2779" t="s">
        <v>85</v>
      </c>
      <c r="G2779" t="s">
        <v>1010</v>
      </c>
      <c r="H2779">
        <v>5500024780</v>
      </c>
      <c r="I2779">
        <v>20</v>
      </c>
      <c r="J2779" s="29">
        <v>1</v>
      </c>
      <c r="K2779" s="29" t="s">
        <v>338</v>
      </c>
      <c r="L2779" t="str">
        <f>IFERROR(VLOOKUP(Detalle_OC[[#This Row],[Centro]]&amp;Detalle_OC[[#This Row],[Nro Almacen]],Almacen!A:D,4,FALSE),"")</f>
        <v>Montelima</v>
      </c>
    </row>
    <row r="2780" spans="1:12" x14ac:dyDescent="0.3">
      <c r="A2780" s="29" t="str">
        <f>Detalle_OC[[#This Row],[Centro]]&amp;Detalle_OC[[#This Row],[Nom Almacen]]&amp;Detalle_OC[[#This Row],[Material]]&amp;Detalle_OC[[#This Row],[Pedido]]&amp;Detalle_OC[[#This Row],[Posicion]]</f>
        <v>Agricola del Chira PlantaMontelima721426550002484450</v>
      </c>
      <c r="B2780" t="s">
        <v>28</v>
      </c>
      <c r="C2780" t="s">
        <v>88</v>
      </c>
      <c r="D2780" s="11">
        <v>45516</v>
      </c>
      <c r="E2780" t="s">
        <v>16</v>
      </c>
      <c r="F2780" t="s">
        <v>12</v>
      </c>
      <c r="G2780">
        <v>721426</v>
      </c>
      <c r="H2780">
        <v>5500024844</v>
      </c>
      <c r="I2780">
        <v>50</v>
      </c>
      <c r="J2780" s="29">
        <v>1</v>
      </c>
      <c r="K2780" s="29" t="s">
        <v>338</v>
      </c>
      <c r="L2780" t="str">
        <f>IFERROR(VLOOKUP(Detalle_OC[[#This Row],[Centro]]&amp;Detalle_OC[[#This Row],[Nro Almacen]],Almacen!A:D,4,FALSE),"")</f>
        <v>Montelima</v>
      </c>
    </row>
    <row r="2781" spans="1:12" x14ac:dyDescent="0.3">
      <c r="A2781" s="29" t="str">
        <f>Detalle_OC[[#This Row],[Centro]]&amp;Detalle_OC[[#This Row],[Nom Almacen]]&amp;Detalle_OC[[#This Row],[Material]]&amp;Detalle_OC[[#This Row],[Pedido]]&amp;Detalle_OC[[#This Row],[Posicion]]</f>
        <v>Agricola del Chira PlantaSan Vicente721426550002484460</v>
      </c>
      <c r="B2781" t="s">
        <v>28</v>
      </c>
      <c r="C2781" t="s">
        <v>88</v>
      </c>
      <c r="D2781" s="11">
        <v>45514</v>
      </c>
      <c r="E2781" t="s">
        <v>16</v>
      </c>
      <c r="F2781" t="s">
        <v>12</v>
      </c>
      <c r="G2781">
        <v>721426</v>
      </c>
      <c r="H2781">
        <v>5500024844</v>
      </c>
      <c r="I2781">
        <v>60</v>
      </c>
      <c r="J2781" s="29">
        <v>3</v>
      </c>
      <c r="K2781" s="29" t="s">
        <v>339</v>
      </c>
      <c r="L2781" t="str">
        <f>IFERROR(VLOOKUP(Detalle_OC[[#This Row],[Centro]]&amp;Detalle_OC[[#This Row],[Nro Almacen]],Almacen!A:D,4,FALSE),"")</f>
        <v>San Vicente</v>
      </c>
    </row>
    <row r="2782" spans="1:12" x14ac:dyDescent="0.3">
      <c r="A2782" s="29" t="str">
        <f>Detalle_OC[[#This Row],[Centro]]&amp;Detalle_OC[[#This Row],[Nom Almacen]]&amp;Detalle_OC[[#This Row],[Material]]&amp;Detalle_OC[[#This Row],[Pedido]]&amp;Detalle_OC[[#This Row],[Posicion]]</f>
        <v>Agricola del Chira PlantaLa Huaca70097146451156115310</v>
      </c>
      <c r="B2782" t="s">
        <v>181</v>
      </c>
      <c r="C2782" t="s">
        <v>312</v>
      </c>
      <c r="D2782" s="11">
        <v>45616</v>
      </c>
      <c r="E2782" t="s">
        <v>16</v>
      </c>
      <c r="F2782" t="s">
        <v>12</v>
      </c>
      <c r="G2782">
        <v>70097146</v>
      </c>
      <c r="H2782">
        <v>4511561153</v>
      </c>
      <c r="I2782">
        <v>10</v>
      </c>
      <c r="J2782" s="29">
        <v>2</v>
      </c>
      <c r="K2782" s="29" t="s">
        <v>340</v>
      </c>
      <c r="L2782" t="str">
        <f>IFERROR(VLOOKUP(Detalle_OC[[#This Row],[Centro]]&amp;Detalle_OC[[#This Row],[Nro Almacen]],Almacen!A:D,4,FALSE),"")</f>
        <v>La Huaca</v>
      </c>
    </row>
    <row r="2783" spans="1:12" x14ac:dyDescent="0.3">
      <c r="A2783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2783" t="s">
        <v>28</v>
      </c>
      <c r="C2783" t="s">
        <v>82</v>
      </c>
      <c r="D2783" s="11">
        <v>45513</v>
      </c>
      <c r="E2783" t="s">
        <v>16</v>
      </c>
      <c r="F2783" t="s">
        <v>12</v>
      </c>
      <c r="G2783">
        <v>844515</v>
      </c>
      <c r="H2783">
        <v>5500019188</v>
      </c>
      <c r="I2783">
        <v>200</v>
      </c>
      <c r="J2783" s="29">
        <v>1</v>
      </c>
      <c r="K2783" s="29" t="s">
        <v>340</v>
      </c>
      <c r="L2783" t="str">
        <f>IFERROR(VLOOKUP(Detalle_OC[[#This Row],[Centro]]&amp;Detalle_OC[[#This Row],[Nro Almacen]],Almacen!A:D,4,FALSE),"")</f>
        <v>Montelima</v>
      </c>
    </row>
    <row r="2784" spans="1:12" x14ac:dyDescent="0.3">
      <c r="A2784" s="29" t="str">
        <f>Detalle_OC[[#This Row],[Centro]]&amp;Detalle_OC[[#This Row],[Nom Almacen]]&amp;Detalle_OC[[#This Row],[Material]]&amp;Detalle_OC[[#This Row],[Pedido]]&amp;Detalle_OC[[#This Row],[Posicion]]</f>
        <v>Agricola del Chira PlantaMontelima8445515500019188320</v>
      </c>
      <c r="B2784" t="s">
        <v>28</v>
      </c>
      <c r="C2784" t="s">
        <v>82</v>
      </c>
      <c r="D2784" s="11">
        <v>45513</v>
      </c>
      <c r="E2784" t="s">
        <v>16</v>
      </c>
      <c r="F2784" t="s">
        <v>12</v>
      </c>
      <c r="G2784">
        <v>844551</v>
      </c>
      <c r="H2784">
        <v>5500019188</v>
      </c>
      <c r="I2784">
        <v>320</v>
      </c>
      <c r="J2784" s="29">
        <v>1</v>
      </c>
      <c r="K2784" s="29" t="s">
        <v>340</v>
      </c>
      <c r="L2784" t="str">
        <f>IFERROR(VLOOKUP(Detalle_OC[[#This Row],[Centro]]&amp;Detalle_OC[[#This Row],[Nro Almacen]],Almacen!A:D,4,FALSE),"")</f>
        <v>Montelima</v>
      </c>
    </row>
    <row r="2785" spans="1:12" x14ac:dyDescent="0.3">
      <c r="A2785" s="29" t="str">
        <f>Detalle_OC[[#This Row],[Centro]]&amp;Detalle_OC[[#This Row],[Nom Almacen]]&amp;Detalle_OC[[#This Row],[Material]]&amp;Detalle_OC[[#This Row],[Pedido]]&amp;Detalle_OC[[#This Row],[Posicion]]</f>
        <v>Agricola del Chira PlantaMontelima8445265500019188390</v>
      </c>
      <c r="B2785" t="s">
        <v>28</v>
      </c>
      <c r="C2785" t="s">
        <v>82</v>
      </c>
      <c r="D2785" s="11">
        <v>45513</v>
      </c>
      <c r="E2785" t="s">
        <v>16</v>
      </c>
      <c r="F2785" t="s">
        <v>12</v>
      </c>
      <c r="G2785">
        <v>844526</v>
      </c>
      <c r="H2785">
        <v>5500019188</v>
      </c>
      <c r="I2785">
        <v>390</v>
      </c>
      <c r="J2785" s="29">
        <v>1</v>
      </c>
      <c r="K2785" s="29" t="s">
        <v>340</v>
      </c>
      <c r="L2785" t="str">
        <f>IFERROR(VLOOKUP(Detalle_OC[[#This Row],[Centro]]&amp;Detalle_OC[[#This Row],[Nro Almacen]],Almacen!A:D,4,FALSE),"")</f>
        <v>Montelima</v>
      </c>
    </row>
    <row r="2786" spans="1:12" x14ac:dyDescent="0.3">
      <c r="A2786" s="29" t="str">
        <f>Detalle_OC[[#This Row],[Centro]]&amp;Detalle_OC[[#This Row],[Nom Almacen]]&amp;Detalle_OC[[#This Row],[Material]]&amp;Detalle_OC[[#This Row],[Pedido]]&amp;Detalle_OC[[#This Row],[Posicion]]</f>
        <v>Agricola del Chira PlantaMontelima8445305500019188490</v>
      </c>
      <c r="B2786" t="s">
        <v>28</v>
      </c>
      <c r="C2786" t="s">
        <v>82</v>
      </c>
      <c r="D2786" s="11">
        <v>45513</v>
      </c>
      <c r="E2786" t="s">
        <v>16</v>
      </c>
      <c r="F2786" t="s">
        <v>12</v>
      </c>
      <c r="G2786">
        <v>844530</v>
      </c>
      <c r="H2786">
        <v>5500019188</v>
      </c>
      <c r="I2786">
        <v>490</v>
      </c>
      <c r="J2786" s="29">
        <v>1</v>
      </c>
      <c r="K2786" s="29" t="s">
        <v>340</v>
      </c>
      <c r="L2786" t="str">
        <f>IFERROR(VLOOKUP(Detalle_OC[[#This Row],[Centro]]&amp;Detalle_OC[[#This Row],[Nro Almacen]],Almacen!A:D,4,FALSE),"")</f>
        <v>Montelima</v>
      </c>
    </row>
    <row r="2787" spans="1:12" x14ac:dyDescent="0.3">
      <c r="A2787" s="29" t="str">
        <f>Detalle_OC[[#This Row],[Centro]]&amp;Detalle_OC[[#This Row],[Nom Almacen]]&amp;Detalle_OC[[#This Row],[Material]]&amp;Detalle_OC[[#This Row],[Pedido]]&amp;Detalle_OC[[#This Row],[Posicion]]</f>
        <v>Agricola del Chira PlantaMontelima8445465500019188890</v>
      </c>
      <c r="B2787" t="s">
        <v>28</v>
      </c>
      <c r="C2787" t="s">
        <v>82</v>
      </c>
      <c r="D2787" s="11">
        <v>45513</v>
      </c>
      <c r="E2787" t="s">
        <v>16</v>
      </c>
      <c r="F2787" t="s">
        <v>12</v>
      </c>
      <c r="G2787">
        <v>844546</v>
      </c>
      <c r="H2787">
        <v>5500019188</v>
      </c>
      <c r="I2787">
        <v>890</v>
      </c>
      <c r="J2787" s="29">
        <v>1</v>
      </c>
      <c r="K2787" s="29" t="s">
        <v>340</v>
      </c>
      <c r="L2787" t="str">
        <f>IFERROR(VLOOKUP(Detalle_OC[[#This Row],[Centro]]&amp;Detalle_OC[[#This Row],[Nro Almacen]],Almacen!A:D,4,FALSE),"")</f>
        <v>Montelima</v>
      </c>
    </row>
    <row r="2788" spans="1:12" x14ac:dyDescent="0.3">
      <c r="A2788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2788" t="s">
        <v>28</v>
      </c>
      <c r="C2788" t="s">
        <v>54</v>
      </c>
      <c r="D2788" s="11">
        <v>45513</v>
      </c>
      <c r="E2788" t="s">
        <v>16</v>
      </c>
      <c r="F2788" t="s">
        <v>12</v>
      </c>
      <c r="G2788">
        <v>70100392</v>
      </c>
      <c r="H2788">
        <v>5500024751</v>
      </c>
      <c r="I2788">
        <v>20</v>
      </c>
      <c r="J2788" s="29">
        <v>2</v>
      </c>
      <c r="K2788" s="29" t="s">
        <v>340</v>
      </c>
      <c r="L2788" t="str">
        <f>IFERROR(VLOOKUP(Detalle_OC[[#This Row],[Centro]]&amp;Detalle_OC[[#This Row],[Nro Almacen]],Almacen!A:D,4,FALSE),"")</f>
        <v>La Huaca</v>
      </c>
    </row>
    <row r="2789" spans="1:12" x14ac:dyDescent="0.3">
      <c r="A2789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2789" t="s">
        <v>28</v>
      </c>
      <c r="C2789" t="s">
        <v>54</v>
      </c>
      <c r="D2789" s="11">
        <v>45513</v>
      </c>
      <c r="E2789" t="s">
        <v>16</v>
      </c>
      <c r="F2789" t="s">
        <v>12</v>
      </c>
      <c r="G2789">
        <v>70100392</v>
      </c>
      <c r="H2789">
        <v>5500024751</v>
      </c>
      <c r="I2789">
        <v>40</v>
      </c>
      <c r="J2789" s="29">
        <v>7</v>
      </c>
      <c r="K2789" s="29" t="s">
        <v>340</v>
      </c>
      <c r="L2789" t="str">
        <f>IFERROR(VLOOKUP(Detalle_OC[[#This Row],[Centro]]&amp;Detalle_OC[[#This Row],[Nro Almacen]],Almacen!A:D,4,FALSE),"")</f>
        <v>Almacen Lobo</v>
      </c>
    </row>
    <row r="2790" spans="1:12" x14ac:dyDescent="0.3">
      <c r="A2790" s="29" t="str">
        <f>Detalle_OC[[#This Row],[Centro]]&amp;Detalle_OC[[#This Row],[Nom Almacen]]&amp;Detalle_OC[[#This Row],[Material]]&amp;Detalle_OC[[#This Row],[Pedido]]&amp;Detalle_OC[[#This Row],[Posicion]]</f>
        <v>Agricola del Chira PlantaFERTI LOBO 2701226550002476620</v>
      </c>
      <c r="B2790" t="s">
        <v>28</v>
      </c>
      <c r="C2790" t="s">
        <v>112</v>
      </c>
      <c r="D2790" s="11">
        <v>45512</v>
      </c>
      <c r="E2790" t="s">
        <v>16</v>
      </c>
      <c r="F2790" t="s">
        <v>12</v>
      </c>
      <c r="G2790">
        <v>701226</v>
      </c>
      <c r="H2790">
        <v>5500024766</v>
      </c>
      <c r="I2790">
        <v>20</v>
      </c>
      <c r="J2790" s="29">
        <v>23</v>
      </c>
      <c r="K2790" s="29" t="s">
        <v>340</v>
      </c>
      <c r="L2790" t="str">
        <f>IFERROR(VLOOKUP(Detalle_OC[[#This Row],[Centro]]&amp;Detalle_OC[[#This Row],[Nro Almacen]],Almacen!A:D,4,FALSE),"")</f>
        <v>FERTI LOBO 2</v>
      </c>
    </row>
    <row r="2791" spans="1:12" x14ac:dyDescent="0.3">
      <c r="A2791" s="29" t="str">
        <f>Detalle_OC[[#This Row],[Centro]]&amp;Detalle_OC[[#This Row],[Nom Almacen]]&amp;Detalle_OC[[#This Row],[Material]]&amp;Detalle_OC[[#This Row],[Pedido]]&amp;Detalle_OC[[#This Row],[Posicion]]</f>
        <v>Agricola del Chira PlantaMontelima721426550002484450</v>
      </c>
      <c r="B2791" t="s">
        <v>28</v>
      </c>
      <c r="C2791" t="s">
        <v>88</v>
      </c>
      <c r="D2791" s="11">
        <v>45513</v>
      </c>
      <c r="E2791" t="s">
        <v>16</v>
      </c>
      <c r="F2791" t="s">
        <v>12</v>
      </c>
      <c r="G2791">
        <v>721426</v>
      </c>
      <c r="H2791">
        <v>5500024844</v>
      </c>
      <c r="I2791">
        <v>50</v>
      </c>
      <c r="J2791" s="29">
        <v>1</v>
      </c>
      <c r="K2791" s="29" t="s">
        <v>340</v>
      </c>
      <c r="L2791" t="str">
        <f>IFERROR(VLOOKUP(Detalle_OC[[#This Row],[Centro]]&amp;Detalle_OC[[#This Row],[Nro Almacen]],Almacen!A:D,4,FALSE),"")</f>
        <v>Montelima</v>
      </c>
    </row>
    <row r="2792" spans="1:12" x14ac:dyDescent="0.3">
      <c r="A2792" s="29" t="str">
        <f>Detalle_OC[[#This Row],[Centro]]&amp;Detalle_OC[[#This Row],[Nom Almacen]]&amp;Detalle_OC[[#This Row],[Material]]&amp;Detalle_OC[[#This Row],[Pedido]]&amp;Detalle_OC[[#This Row],[Posicion]]</f>
        <v>Agricola del Chira PlantaMontelima700580015500024881160</v>
      </c>
      <c r="B2792" t="s">
        <v>28</v>
      </c>
      <c r="C2792" t="s">
        <v>52</v>
      </c>
      <c r="D2792" s="11">
        <v>45513</v>
      </c>
      <c r="E2792" t="s">
        <v>16</v>
      </c>
      <c r="F2792" t="s">
        <v>12</v>
      </c>
      <c r="G2792">
        <v>70058001</v>
      </c>
      <c r="H2792">
        <v>5500024881</v>
      </c>
      <c r="I2792">
        <v>160</v>
      </c>
      <c r="J2792" s="29">
        <v>1</v>
      </c>
      <c r="K2792" s="29" t="s">
        <v>340</v>
      </c>
      <c r="L2792" t="str">
        <f>IFERROR(VLOOKUP(Detalle_OC[[#This Row],[Centro]]&amp;Detalle_OC[[#This Row],[Nro Almacen]],Almacen!A:D,4,FALSE),"")</f>
        <v>Montelima</v>
      </c>
    </row>
    <row r="2793" spans="1:12" x14ac:dyDescent="0.3">
      <c r="A2793" s="29" t="str">
        <f>Detalle_OC[[#This Row],[Centro]]&amp;Detalle_OC[[#This Row],[Nom Almacen]]&amp;Detalle_OC[[#This Row],[Material]]&amp;Detalle_OC[[#This Row],[Pedido]]&amp;Detalle_OC[[#This Row],[Posicion]]</f>
        <v>Agricola del Chira PlantaAlmacen Lobo700580015500024881180</v>
      </c>
      <c r="B2793" t="s">
        <v>28</v>
      </c>
      <c r="C2793" t="s">
        <v>52</v>
      </c>
      <c r="D2793" s="11">
        <v>45512</v>
      </c>
      <c r="E2793" t="s">
        <v>16</v>
      </c>
      <c r="F2793" t="s">
        <v>12</v>
      </c>
      <c r="G2793">
        <v>70058001</v>
      </c>
      <c r="H2793">
        <v>5500024881</v>
      </c>
      <c r="I2793">
        <v>180</v>
      </c>
      <c r="J2793" s="29">
        <v>7</v>
      </c>
      <c r="K2793" s="29" t="s">
        <v>342</v>
      </c>
      <c r="L2793" t="str">
        <f>IFERROR(VLOOKUP(Detalle_OC[[#This Row],[Centro]]&amp;Detalle_OC[[#This Row],[Nro Almacen]],Almacen!A:D,4,FALSE),"")</f>
        <v>Almacen Lobo</v>
      </c>
    </row>
    <row r="2794" spans="1:12" x14ac:dyDescent="0.3">
      <c r="A2794" s="29" t="str">
        <f>Detalle_OC[[#This Row],[Centro]]&amp;Detalle_OC[[#This Row],[Nom Almacen]]&amp;Detalle_OC[[#This Row],[Material]]&amp;Detalle_OC[[#This Row],[Pedido]]&amp;Detalle_OC[[#This Row],[Posicion]]</f>
        <v>FALSO</v>
      </c>
      <c r="B2794" t="s">
        <v>163</v>
      </c>
      <c r="D2794" s="11" t="s">
        <v>164</v>
      </c>
      <c r="E2794" t="b">
        <v>0</v>
      </c>
      <c r="F2794" t="b">
        <v>0</v>
      </c>
      <c r="J2794" s="29"/>
      <c r="K2794" s="29"/>
      <c r="L2794" t="str">
        <f>IFERROR(VLOOKUP(Detalle_OC[[#This Row],[Centro]]&amp;Detalle_OC[[#This Row],[Nro Almacen]],Almacen!A:D,4,FALSE),"")</f>
        <v/>
      </c>
    </row>
    <row r="2795" spans="1:12" x14ac:dyDescent="0.3">
      <c r="A2795" s="29" t="str">
        <f>Detalle_OC[[#This Row],[Centro]]&amp;Detalle_OC[[#This Row],[Nom Almacen]]&amp;Detalle_OC[[#This Row],[Material]]&amp;Detalle_OC[[#This Row],[Pedido]]&amp;Detalle_OC[[#This Row],[Posicion]]</f>
        <v>FALSO4511560710101</v>
      </c>
      <c r="B2795" t="s">
        <v>22</v>
      </c>
      <c r="C2795" t="s">
        <v>958</v>
      </c>
      <c r="D2795" s="11" t="s">
        <v>165</v>
      </c>
      <c r="E2795" t="b">
        <v>0</v>
      </c>
      <c r="F2795" t="b">
        <v>0</v>
      </c>
      <c r="G2795">
        <v>4511560710</v>
      </c>
      <c r="H2795">
        <v>10</v>
      </c>
      <c r="I2795">
        <v>1</v>
      </c>
      <c r="J2795" s="29" t="s">
        <v>344</v>
      </c>
      <c r="K2795" s="29"/>
      <c r="L2795" t="str">
        <f>IFERROR(VLOOKUP(Detalle_OC[[#This Row],[Centro]]&amp;Detalle_OC[[#This Row],[Nro Almacen]],Almacen!A:D,4,FALSE),"")</f>
        <v/>
      </c>
    </row>
    <row r="2796" spans="1:12" x14ac:dyDescent="0.3">
      <c r="A2796" s="29" t="str">
        <f>Detalle_OC[[#This Row],[Centro]]&amp;Detalle_OC[[#This Row],[Nom Almacen]]&amp;Detalle_OC[[#This Row],[Material]]&amp;Detalle_OC[[#This Row],[Pedido]]&amp;Detalle_OC[[#This Row],[Posicion]]</f>
        <v>Sucroalcolera del Chira PlantaMontelima842443451156073010</v>
      </c>
      <c r="B2796" t="s">
        <v>138</v>
      </c>
      <c r="C2796" t="s">
        <v>22</v>
      </c>
      <c r="D2796" s="11">
        <v>45625</v>
      </c>
      <c r="E2796" t="s">
        <v>16</v>
      </c>
      <c r="F2796" t="s">
        <v>85</v>
      </c>
      <c r="G2796">
        <v>842443</v>
      </c>
      <c r="H2796">
        <v>4511560730</v>
      </c>
      <c r="I2796">
        <v>10</v>
      </c>
      <c r="J2796" s="29">
        <v>1</v>
      </c>
      <c r="K2796" s="29" t="s">
        <v>344</v>
      </c>
      <c r="L2796" t="str">
        <f>IFERROR(VLOOKUP(Detalle_OC[[#This Row],[Centro]]&amp;Detalle_OC[[#This Row],[Nro Almacen]],Almacen!A:D,4,FALSE),"")</f>
        <v>Montelima</v>
      </c>
    </row>
    <row r="2797" spans="1:12" x14ac:dyDescent="0.3">
      <c r="A2797" s="29" t="str">
        <f>Detalle_OC[[#This Row],[Centro]]&amp;Detalle_OC[[#This Row],[Nom Almacen]]&amp;Detalle_OC[[#This Row],[Material]]&amp;Detalle_OC[[#This Row],[Pedido]]&amp;Detalle_OC[[#This Row],[Posicion]]</f>
        <v>Sucroalcolera del Chira PlantaMontelima842444451156073020</v>
      </c>
      <c r="B2797" t="s">
        <v>138</v>
      </c>
      <c r="C2797" t="s">
        <v>22</v>
      </c>
      <c r="D2797" s="11">
        <v>45625</v>
      </c>
      <c r="E2797" t="s">
        <v>16</v>
      </c>
      <c r="F2797" t="s">
        <v>85</v>
      </c>
      <c r="G2797">
        <v>842444</v>
      </c>
      <c r="H2797">
        <v>4511560730</v>
      </c>
      <c r="I2797">
        <v>20</v>
      </c>
      <c r="J2797" s="29">
        <v>1</v>
      </c>
      <c r="K2797" s="29" t="s">
        <v>344</v>
      </c>
      <c r="L2797" t="str">
        <f>IFERROR(VLOOKUP(Detalle_OC[[#This Row],[Centro]]&amp;Detalle_OC[[#This Row],[Nro Almacen]],Almacen!A:D,4,FALSE),"")</f>
        <v>Montelima</v>
      </c>
    </row>
    <row r="2798" spans="1:12" x14ac:dyDescent="0.3">
      <c r="A2798" s="29" t="str">
        <f>Detalle_OC[[#This Row],[Centro]]&amp;Detalle_OC[[#This Row],[Nom Almacen]]&amp;Detalle_OC[[#This Row],[Material]]&amp;Detalle_OC[[#This Row],[Pedido]]&amp;Detalle_OC[[#This Row],[Posicion]]</f>
        <v>Sucroalcolera del Chira PlantaMontelima805076451156080510</v>
      </c>
      <c r="B2798" t="s">
        <v>15</v>
      </c>
      <c r="C2798" t="s">
        <v>1135</v>
      </c>
      <c r="D2798" s="11">
        <v>45635</v>
      </c>
      <c r="E2798" t="s">
        <v>16</v>
      </c>
      <c r="F2798" t="s">
        <v>85</v>
      </c>
      <c r="G2798">
        <v>805076</v>
      </c>
      <c r="H2798">
        <v>4511560805</v>
      </c>
      <c r="I2798">
        <v>10</v>
      </c>
      <c r="J2798" s="29">
        <v>1</v>
      </c>
      <c r="K2798" s="29" t="s">
        <v>344</v>
      </c>
      <c r="L2798" t="str">
        <f>IFERROR(VLOOKUP(Detalle_OC[[#This Row],[Centro]]&amp;Detalle_OC[[#This Row],[Nro Almacen]],Almacen!A:D,4,FALSE),"")</f>
        <v>Montelima</v>
      </c>
    </row>
    <row r="2799" spans="1:12" x14ac:dyDescent="0.3">
      <c r="A2799" s="29" t="str">
        <f>Detalle_OC[[#This Row],[Centro]]&amp;Detalle_OC[[#This Row],[Nom Almacen]]&amp;Detalle_OC[[#This Row],[Material]]&amp;Detalle_OC[[#This Row],[Pedido]]&amp;Detalle_OC[[#This Row],[Posicion]]</f>
        <v>Agricola del Chira PlantaMontelima702208451156081610</v>
      </c>
      <c r="B2799" t="s">
        <v>159</v>
      </c>
      <c r="C2799" t="s">
        <v>22</v>
      </c>
      <c r="D2799" s="11">
        <v>45625</v>
      </c>
      <c r="E2799" t="s">
        <v>16</v>
      </c>
      <c r="F2799" t="s">
        <v>12</v>
      </c>
      <c r="G2799">
        <v>702208</v>
      </c>
      <c r="H2799">
        <v>4511560816</v>
      </c>
      <c r="I2799">
        <v>10</v>
      </c>
      <c r="J2799" s="29">
        <v>1</v>
      </c>
      <c r="K2799" s="29" t="s">
        <v>344</v>
      </c>
      <c r="L2799" t="str">
        <f>IFERROR(VLOOKUP(Detalle_OC[[#This Row],[Centro]]&amp;Detalle_OC[[#This Row],[Nro Almacen]],Almacen!A:D,4,FALSE),"")</f>
        <v>Montelima</v>
      </c>
    </row>
    <row r="2800" spans="1:12" x14ac:dyDescent="0.3">
      <c r="A2800" s="29" t="str">
        <f>Detalle_OC[[#This Row],[Centro]]&amp;Detalle_OC[[#This Row],[Nom Almacen]]&amp;Detalle_OC[[#This Row],[Material]]&amp;Detalle_OC[[#This Row],[Pedido]]&amp;Detalle_OC[[#This Row],[Posicion]]</f>
        <v>Agricola del Chira PlantaMontelima727376451156083110</v>
      </c>
      <c r="B2800" t="s">
        <v>149</v>
      </c>
      <c r="C2800" t="s">
        <v>216</v>
      </c>
      <c r="D2800" s="11">
        <v>45544</v>
      </c>
      <c r="E2800" t="s">
        <v>16</v>
      </c>
      <c r="F2800" t="s">
        <v>12</v>
      </c>
      <c r="G2800">
        <v>727376</v>
      </c>
      <c r="H2800">
        <v>4511560831</v>
      </c>
      <c r="I2800">
        <v>10</v>
      </c>
      <c r="J2800" s="29">
        <v>1</v>
      </c>
      <c r="K2800" s="29" t="s">
        <v>344</v>
      </c>
      <c r="L2800" t="str">
        <f>IFERROR(VLOOKUP(Detalle_OC[[#This Row],[Centro]]&amp;Detalle_OC[[#This Row],[Nro Almacen]],Almacen!A:D,4,FALSE),"")</f>
        <v>Montelima</v>
      </c>
    </row>
    <row r="2801" spans="1:12" x14ac:dyDescent="0.3">
      <c r="A2801" s="29" t="str">
        <f>Detalle_OC[[#This Row],[Centro]]&amp;Detalle_OC[[#This Row],[Nom Almacen]]&amp;Detalle_OC[[#This Row],[Material]]&amp;Detalle_OC[[#This Row],[Pedido]]&amp;Detalle_OC[[#This Row],[Posicion]]</f>
        <v>Agricola del Chira PlantaMontelima800576451156083130</v>
      </c>
      <c r="B2801" t="s">
        <v>149</v>
      </c>
      <c r="C2801" t="s">
        <v>216</v>
      </c>
      <c r="D2801" s="11">
        <v>45544</v>
      </c>
      <c r="E2801" t="s">
        <v>16</v>
      </c>
      <c r="F2801" t="s">
        <v>12</v>
      </c>
      <c r="G2801">
        <v>800576</v>
      </c>
      <c r="H2801">
        <v>4511560831</v>
      </c>
      <c r="I2801">
        <v>30</v>
      </c>
      <c r="J2801" s="29">
        <v>1</v>
      </c>
      <c r="K2801" s="29" t="s">
        <v>344</v>
      </c>
      <c r="L2801" t="str">
        <f>IFERROR(VLOOKUP(Detalle_OC[[#This Row],[Centro]]&amp;Detalle_OC[[#This Row],[Nro Almacen]],Almacen!A:D,4,FALSE),"")</f>
        <v>Montelima</v>
      </c>
    </row>
    <row r="2802" spans="1:12" x14ac:dyDescent="0.3">
      <c r="A2802" s="29" t="str">
        <f>Detalle_OC[[#This Row],[Centro]]&amp;Detalle_OC[[#This Row],[Nom Almacen]]&amp;Detalle_OC[[#This Row],[Material]]&amp;Detalle_OC[[#This Row],[Pedido]]&amp;Detalle_OC[[#This Row],[Posicion]]</f>
        <v>Agricola del Chira PlantaMontelima809033451156083150</v>
      </c>
      <c r="B2802" t="s">
        <v>149</v>
      </c>
      <c r="C2802" t="s">
        <v>216</v>
      </c>
      <c r="D2802" s="11">
        <v>45625</v>
      </c>
      <c r="E2802" t="s">
        <v>16</v>
      </c>
      <c r="F2802" t="s">
        <v>12</v>
      </c>
      <c r="G2802">
        <v>809033</v>
      </c>
      <c r="H2802">
        <v>4511560831</v>
      </c>
      <c r="I2802">
        <v>50</v>
      </c>
      <c r="J2802" s="29">
        <v>1</v>
      </c>
      <c r="K2802" s="29" t="s">
        <v>344</v>
      </c>
      <c r="L2802" t="str">
        <f>IFERROR(VLOOKUP(Detalle_OC[[#This Row],[Centro]]&amp;Detalle_OC[[#This Row],[Nro Almacen]],Almacen!A:D,4,FALSE),"")</f>
        <v>Montelima</v>
      </c>
    </row>
    <row r="2803" spans="1:12" x14ac:dyDescent="0.3">
      <c r="A2803" s="29" t="str">
        <f>Detalle_OC[[#This Row],[Centro]]&amp;Detalle_OC[[#This Row],[Nom Almacen]]&amp;Detalle_OC[[#This Row],[Material]]&amp;Detalle_OC[[#This Row],[Pedido]]&amp;Detalle_OC[[#This Row],[Posicion]]</f>
        <v>Agricola del Chira PlantaMontelima809034451156083160</v>
      </c>
      <c r="B2803" t="s">
        <v>149</v>
      </c>
      <c r="C2803" t="s">
        <v>216</v>
      </c>
      <c r="D2803" s="11">
        <v>45625</v>
      </c>
      <c r="E2803" t="s">
        <v>16</v>
      </c>
      <c r="F2803" t="s">
        <v>12</v>
      </c>
      <c r="G2803">
        <v>809034</v>
      </c>
      <c r="H2803">
        <v>4511560831</v>
      </c>
      <c r="I2803">
        <v>60</v>
      </c>
      <c r="J2803" s="29">
        <v>1</v>
      </c>
      <c r="K2803" s="29" t="s">
        <v>344</v>
      </c>
      <c r="L2803" t="str">
        <f>IFERROR(VLOOKUP(Detalle_OC[[#This Row],[Centro]]&amp;Detalle_OC[[#This Row],[Nro Almacen]],Almacen!A:D,4,FALSE),"")</f>
        <v>Montelima</v>
      </c>
    </row>
    <row r="2804" spans="1:12" x14ac:dyDescent="0.3">
      <c r="A2804" s="29" t="str">
        <f>Detalle_OC[[#This Row],[Centro]]&amp;Detalle_OC[[#This Row],[Nom Almacen]]&amp;Detalle_OC[[#This Row],[Material]]&amp;Detalle_OC[[#This Row],[Pedido]]&amp;Detalle_OC[[#This Row],[Posicion]]</f>
        <v>Agricola del Chira PlantaMontelima818063451156083170</v>
      </c>
      <c r="B2804" t="s">
        <v>149</v>
      </c>
      <c r="C2804" t="s">
        <v>216</v>
      </c>
      <c r="D2804" s="11">
        <v>45544</v>
      </c>
      <c r="E2804" t="s">
        <v>16</v>
      </c>
      <c r="F2804" t="s">
        <v>12</v>
      </c>
      <c r="G2804">
        <v>818063</v>
      </c>
      <c r="H2804">
        <v>4511560831</v>
      </c>
      <c r="I2804">
        <v>70</v>
      </c>
      <c r="J2804" s="29">
        <v>1</v>
      </c>
      <c r="K2804" s="29" t="s">
        <v>344</v>
      </c>
      <c r="L2804" t="str">
        <f>IFERROR(VLOOKUP(Detalle_OC[[#This Row],[Centro]]&amp;Detalle_OC[[#This Row],[Nro Almacen]],Almacen!A:D,4,FALSE),"")</f>
        <v>Montelima</v>
      </c>
    </row>
    <row r="2805" spans="1:12" x14ac:dyDescent="0.3">
      <c r="A2805" s="29" t="str">
        <f>Detalle_OC[[#This Row],[Centro]]&amp;Detalle_OC[[#This Row],[Nom Almacen]]&amp;Detalle_OC[[#This Row],[Material]]&amp;Detalle_OC[[#This Row],[Pedido]]&amp;Detalle_OC[[#This Row],[Posicion]]</f>
        <v>Agricola del Chira PlantaMontelima841652451156083190</v>
      </c>
      <c r="B2805" t="s">
        <v>149</v>
      </c>
      <c r="C2805" t="s">
        <v>216</v>
      </c>
      <c r="D2805" s="11">
        <v>45544</v>
      </c>
      <c r="E2805" t="s">
        <v>16</v>
      </c>
      <c r="F2805" t="s">
        <v>12</v>
      </c>
      <c r="G2805">
        <v>841652</v>
      </c>
      <c r="H2805">
        <v>4511560831</v>
      </c>
      <c r="I2805">
        <v>90</v>
      </c>
      <c r="J2805" s="29">
        <v>1</v>
      </c>
      <c r="K2805" s="29" t="s">
        <v>344</v>
      </c>
      <c r="L2805" t="str">
        <f>IFERROR(VLOOKUP(Detalle_OC[[#This Row],[Centro]]&amp;Detalle_OC[[#This Row],[Nro Almacen]],Almacen!A:D,4,FALSE),"")</f>
        <v>Montelima</v>
      </c>
    </row>
    <row r="2806" spans="1:12" x14ac:dyDescent="0.3">
      <c r="A2806" s="29" t="str">
        <f>Detalle_OC[[#This Row],[Centro]]&amp;Detalle_OC[[#This Row],[Nom Almacen]]&amp;Detalle_OC[[#This Row],[Material]]&amp;Detalle_OC[[#This Row],[Pedido]]&amp;Detalle_OC[[#This Row],[Posicion]]</f>
        <v>Agricola del Chira PlantaMontelima8417924511560831100</v>
      </c>
      <c r="B2806" t="s">
        <v>149</v>
      </c>
      <c r="C2806" t="s">
        <v>216</v>
      </c>
      <c r="D2806" s="11">
        <v>45544</v>
      </c>
      <c r="E2806" t="s">
        <v>16</v>
      </c>
      <c r="F2806" t="s">
        <v>12</v>
      </c>
      <c r="G2806">
        <v>841792</v>
      </c>
      <c r="H2806">
        <v>4511560831</v>
      </c>
      <c r="I2806">
        <v>100</v>
      </c>
      <c r="J2806" s="29">
        <v>1</v>
      </c>
      <c r="K2806" s="29" t="s">
        <v>344</v>
      </c>
      <c r="L2806" t="str">
        <f>IFERROR(VLOOKUP(Detalle_OC[[#This Row],[Centro]]&amp;Detalle_OC[[#This Row],[Nro Almacen]],Almacen!A:D,4,FALSE),"")</f>
        <v>Montelima</v>
      </c>
    </row>
    <row r="2807" spans="1:12" x14ac:dyDescent="0.3">
      <c r="A2807" s="29" t="str">
        <f>Detalle_OC[[#This Row],[Centro]]&amp;Detalle_OC[[#This Row],[Nom Almacen]]&amp;Detalle_OC[[#This Row],[Material]]&amp;Detalle_OC[[#This Row],[Pedido]]&amp;Detalle_OC[[#This Row],[Posicion]]</f>
        <v>Agricola del Chira PlantaMontelima8418024511560831110</v>
      </c>
      <c r="B2807" t="s">
        <v>149</v>
      </c>
      <c r="C2807" t="s">
        <v>216</v>
      </c>
      <c r="D2807" s="11">
        <v>45544</v>
      </c>
      <c r="E2807" t="s">
        <v>16</v>
      </c>
      <c r="F2807" t="s">
        <v>12</v>
      </c>
      <c r="G2807">
        <v>841802</v>
      </c>
      <c r="H2807">
        <v>4511560831</v>
      </c>
      <c r="I2807">
        <v>110</v>
      </c>
      <c r="J2807" s="29">
        <v>1</v>
      </c>
      <c r="K2807" s="29" t="s">
        <v>344</v>
      </c>
      <c r="L2807" t="str">
        <f>IFERROR(VLOOKUP(Detalle_OC[[#This Row],[Centro]]&amp;Detalle_OC[[#This Row],[Nro Almacen]],Almacen!A:D,4,FALSE),"")</f>
        <v>Montelima</v>
      </c>
    </row>
    <row r="2808" spans="1:12" x14ac:dyDescent="0.3">
      <c r="A2808" s="29" t="str">
        <f>Detalle_OC[[#This Row],[Centro]]&amp;Detalle_OC[[#This Row],[Nom Almacen]]&amp;Detalle_OC[[#This Row],[Material]]&amp;Detalle_OC[[#This Row],[Pedido]]&amp;Detalle_OC[[#This Row],[Posicion]]</f>
        <v>Agricola del Chira PlantaMontelima8658694511560831120</v>
      </c>
      <c r="B2808" t="s">
        <v>149</v>
      </c>
      <c r="C2808" t="s">
        <v>216</v>
      </c>
      <c r="D2808" s="11">
        <v>45544</v>
      </c>
      <c r="E2808" t="s">
        <v>16</v>
      </c>
      <c r="F2808" t="s">
        <v>12</v>
      </c>
      <c r="G2808">
        <v>865869</v>
      </c>
      <c r="H2808">
        <v>4511560831</v>
      </c>
      <c r="I2808">
        <v>120</v>
      </c>
      <c r="J2808" s="29">
        <v>1</v>
      </c>
      <c r="K2808" s="29" t="s">
        <v>344</v>
      </c>
      <c r="L2808" t="str">
        <f>IFERROR(VLOOKUP(Detalle_OC[[#This Row],[Centro]]&amp;Detalle_OC[[#This Row],[Nro Almacen]],Almacen!A:D,4,FALSE),"")</f>
        <v>Montelima</v>
      </c>
    </row>
    <row r="2809" spans="1:12" x14ac:dyDescent="0.3">
      <c r="A2809" s="29" t="str">
        <f>Detalle_OC[[#This Row],[Centro]]&amp;Detalle_OC[[#This Row],[Nom Almacen]]&amp;Detalle_OC[[#This Row],[Material]]&amp;Detalle_OC[[#This Row],[Pedido]]&amp;Detalle_OC[[#This Row],[Posicion]]</f>
        <v>Agricola del Chira PlantaMontelima761905550001918810</v>
      </c>
      <c r="B2809" t="s">
        <v>28</v>
      </c>
      <c r="C2809" t="s">
        <v>82</v>
      </c>
      <c r="D2809" s="11">
        <v>45513</v>
      </c>
      <c r="E2809" t="s">
        <v>16</v>
      </c>
      <c r="F2809" t="s">
        <v>12</v>
      </c>
      <c r="G2809">
        <v>761905</v>
      </c>
      <c r="H2809">
        <v>5500019188</v>
      </c>
      <c r="I2809">
        <v>10</v>
      </c>
      <c r="J2809" s="29">
        <v>1</v>
      </c>
      <c r="K2809" s="29" t="s">
        <v>344</v>
      </c>
      <c r="L2809" t="str">
        <f>IFERROR(VLOOKUP(Detalle_OC[[#This Row],[Centro]]&amp;Detalle_OC[[#This Row],[Nro Almacen]],Almacen!A:D,4,FALSE),"")</f>
        <v>Montelima</v>
      </c>
    </row>
    <row r="2810" spans="1:12" x14ac:dyDescent="0.3">
      <c r="A2810" s="29" t="str">
        <f>Detalle_OC[[#This Row],[Centro]]&amp;Detalle_OC[[#This Row],[Nom Almacen]]&amp;Detalle_OC[[#This Row],[Material]]&amp;Detalle_OC[[#This Row],[Pedido]]&amp;Detalle_OC[[#This Row],[Posicion]]</f>
        <v>Agricola del Chira PlantaMontelima762202550001918850</v>
      </c>
      <c r="B2810" t="s">
        <v>28</v>
      </c>
      <c r="C2810" t="s">
        <v>82</v>
      </c>
      <c r="D2810" s="11">
        <v>45513</v>
      </c>
      <c r="E2810" t="s">
        <v>16</v>
      </c>
      <c r="F2810" t="s">
        <v>12</v>
      </c>
      <c r="G2810">
        <v>762202</v>
      </c>
      <c r="H2810">
        <v>5500019188</v>
      </c>
      <c r="I2810">
        <v>50</v>
      </c>
      <c r="J2810" s="29">
        <v>1</v>
      </c>
      <c r="K2810" s="29" t="s">
        <v>344</v>
      </c>
      <c r="L2810" t="str">
        <f>IFERROR(VLOOKUP(Detalle_OC[[#This Row],[Centro]]&amp;Detalle_OC[[#This Row],[Nro Almacen]],Almacen!A:D,4,FALSE),"")</f>
        <v>Montelima</v>
      </c>
    </row>
    <row r="2811" spans="1:12" x14ac:dyDescent="0.3">
      <c r="A2811" s="29" t="str">
        <f>Detalle_OC[[#This Row],[Centro]]&amp;Detalle_OC[[#This Row],[Nom Almacen]]&amp;Detalle_OC[[#This Row],[Material]]&amp;Detalle_OC[[#This Row],[Pedido]]&amp;Detalle_OC[[#This Row],[Posicion]]</f>
        <v>Agricola del Chira PlantaMontelima7382475500019188100</v>
      </c>
      <c r="B2811" t="s">
        <v>28</v>
      </c>
      <c r="C2811" t="s">
        <v>82</v>
      </c>
      <c r="D2811" s="11">
        <v>45513</v>
      </c>
      <c r="E2811" t="s">
        <v>16</v>
      </c>
      <c r="F2811" t="s">
        <v>12</v>
      </c>
      <c r="G2811">
        <v>738247</v>
      </c>
      <c r="H2811">
        <v>5500019188</v>
      </c>
      <c r="I2811">
        <v>100</v>
      </c>
      <c r="J2811" s="29">
        <v>1</v>
      </c>
      <c r="K2811" s="29" t="s">
        <v>344</v>
      </c>
      <c r="L2811" t="str">
        <f>IFERROR(VLOOKUP(Detalle_OC[[#This Row],[Centro]]&amp;Detalle_OC[[#This Row],[Nro Almacen]],Almacen!A:D,4,FALSE),"")</f>
        <v>Montelima</v>
      </c>
    </row>
    <row r="2812" spans="1:12" x14ac:dyDescent="0.3">
      <c r="A2812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2812" t="s">
        <v>28</v>
      </c>
      <c r="C2812" t="s">
        <v>82</v>
      </c>
      <c r="D2812" s="11">
        <v>45513</v>
      </c>
      <c r="E2812" t="s">
        <v>16</v>
      </c>
      <c r="F2812" t="s">
        <v>12</v>
      </c>
      <c r="G2812">
        <v>844522</v>
      </c>
      <c r="H2812">
        <v>5500019188</v>
      </c>
      <c r="I2812">
        <v>150</v>
      </c>
      <c r="J2812" s="29">
        <v>1</v>
      </c>
      <c r="K2812" s="29" t="s">
        <v>344</v>
      </c>
      <c r="L2812" t="str">
        <f>IFERROR(VLOOKUP(Detalle_OC[[#This Row],[Centro]]&amp;Detalle_OC[[#This Row],[Nro Almacen]],Almacen!A:D,4,FALSE),"")</f>
        <v>Montelima</v>
      </c>
    </row>
    <row r="2813" spans="1:12" x14ac:dyDescent="0.3">
      <c r="A2813" s="29" t="str">
        <f>Detalle_OC[[#This Row],[Centro]]&amp;Detalle_OC[[#This Row],[Nom Almacen]]&amp;Detalle_OC[[#This Row],[Material]]&amp;Detalle_OC[[#This Row],[Pedido]]&amp;Detalle_OC[[#This Row],[Posicion]]</f>
        <v>Agricola del Chira PlantaMontelima8445335500019188170</v>
      </c>
      <c r="B2813" t="s">
        <v>28</v>
      </c>
      <c r="C2813" t="s">
        <v>82</v>
      </c>
      <c r="D2813" s="11">
        <v>45513</v>
      </c>
      <c r="E2813" t="s">
        <v>16</v>
      </c>
      <c r="F2813" t="s">
        <v>12</v>
      </c>
      <c r="G2813">
        <v>844533</v>
      </c>
      <c r="H2813">
        <v>5500019188</v>
      </c>
      <c r="I2813">
        <v>170</v>
      </c>
      <c r="J2813" s="29">
        <v>1</v>
      </c>
      <c r="K2813" s="29" t="s">
        <v>344</v>
      </c>
      <c r="L2813" t="str">
        <f>IFERROR(VLOOKUP(Detalle_OC[[#This Row],[Centro]]&amp;Detalle_OC[[#This Row],[Nro Almacen]],Almacen!A:D,4,FALSE),"")</f>
        <v>Montelima</v>
      </c>
    </row>
    <row r="2814" spans="1:12" x14ac:dyDescent="0.3">
      <c r="A2814" s="29" t="str">
        <f>Detalle_OC[[#This Row],[Centro]]&amp;Detalle_OC[[#This Row],[Nom Almacen]]&amp;Detalle_OC[[#This Row],[Material]]&amp;Detalle_OC[[#This Row],[Pedido]]&amp;Detalle_OC[[#This Row],[Posicion]]</f>
        <v>Agricola del Chira PlantaMontelima8445115500019188180</v>
      </c>
      <c r="B2814" t="s">
        <v>28</v>
      </c>
      <c r="C2814" t="s">
        <v>82</v>
      </c>
      <c r="D2814" s="11">
        <v>45513</v>
      </c>
      <c r="E2814" t="s">
        <v>16</v>
      </c>
      <c r="F2814" t="s">
        <v>12</v>
      </c>
      <c r="G2814">
        <v>844511</v>
      </c>
      <c r="H2814">
        <v>5500019188</v>
      </c>
      <c r="I2814">
        <v>180</v>
      </c>
      <c r="J2814" s="29">
        <v>1</v>
      </c>
      <c r="K2814" s="29" t="s">
        <v>344</v>
      </c>
      <c r="L2814" t="str">
        <f>IFERROR(VLOOKUP(Detalle_OC[[#This Row],[Centro]]&amp;Detalle_OC[[#This Row],[Nro Almacen]],Almacen!A:D,4,FALSE),"")</f>
        <v>Montelima</v>
      </c>
    </row>
    <row r="2815" spans="1:12" x14ac:dyDescent="0.3">
      <c r="A2815" s="29" t="str">
        <f>Detalle_OC[[#This Row],[Centro]]&amp;Detalle_OC[[#This Row],[Nom Almacen]]&amp;Detalle_OC[[#This Row],[Material]]&amp;Detalle_OC[[#This Row],[Pedido]]&amp;Detalle_OC[[#This Row],[Posicion]]</f>
        <v>Agricola del Chira PlantaSan Vicente70100392550002475130</v>
      </c>
      <c r="B2815" t="s">
        <v>28</v>
      </c>
      <c r="C2815" t="s">
        <v>54</v>
      </c>
      <c r="D2815" s="11">
        <v>45511</v>
      </c>
      <c r="E2815" t="s">
        <v>16</v>
      </c>
      <c r="F2815" t="s">
        <v>12</v>
      </c>
      <c r="G2815">
        <v>70100392</v>
      </c>
      <c r="H2815">
        <v>5500024751</v>
      </c>
      <c r="I2815">
        <v>30</v>
      </c>
      <c r="J2815" s="29">
        <v>3</v>
      </c>
      <c r="K2815" s="29" t="s">
        <v>344</v>
      </c>
      <c r="L2815" t="str">
        <f>IFERROR(VLOOKUP(Detalle_OC[[#This Row],[Centro]]&amp;Detalle_OC[[#This Row],[Nro Almacen]],Almacen!A:D,4,FALSE),"")</f>
        <v>San Vicente</v>
      </c>
    </row>
    <row r="2816" spans="1:12" x14ac:dyDescent="0.3">
      <c r="A2816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2816" t="s">
        <v>28</v>
      </c>
      <c r="C2816" t="s">
        <v>94</v>
      </c>
      <c r="D2816" s="11">
        <v>45505</v>
      </c>
      <c r="E2816" t="s">
        <v>16</v>
      </c>
      <c r="F2816" t="s">
        <v>85</v>
      </c>
      <c r="G2816" t="s">
        <v>95</v>
      </c>
      <c r="H2816">
        <v>5500024746</v>
      </c>
      <c r="I2816">
        <v>10</v>
      </c>
      <c r="J2816" s="29">
        <v>1</v>
      </c>
      <c r="K2816" s="29" t="s">
        <v>345</v>
      </c>
      <c r="L2816" t="str">
        <f>IFERROR(VLOOKUP(Detalle_OC[[#This Row],[Centro]]&amp;Detalle_OC[[#This Row],[Nro Almacen]],Almacen!A:D,4,FALSE),"")</f>
        <v>Montelima</v>
      </c>
    </row>
    <row r="2817" spans="1:12" x14ac:dyDescent="0.3">
      <c r="A2817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2817" t="s">
        <v>28</v>
      </c>
      <c r="C2817" t="s">
        <v>94</v>
      </c>
      <c r="D2817" s="11">
        <v>45509</v>
      </c>
      <c r="E2817" t="s">
        <v>16</v>
      </c>
      <c r="F2817" t="s">
        <v>85</v>
      </c>
      <c r="G2817" t="s">
        <v>95</v>
      </c>
      <c r="H2817">
        <v>5500024746</v>
      </c>
      <c r="I2817">
        <v>10</v>
      </c>
      <c r="J2817" s="29">
        <v>1</v>
      </c>
      <c r="K2817" s="29" t="s">
        <v>345</v>
      </c>
      <c r="L2817" t="str">
        <f>IFERROR(VLOOKUP(Detalle_OC[[#This Row],[Centro]]&amp;Detalle_OC[[#This Row],[Nro Almacen]],Almacen!A:D,4,FALSE),"")</f>
        <v>Montelima</v>
      </c>
    </row>
    <row r="2818" spans="1:12" x14ac:dyDescent="0.3">
      <c r="A2818" s="29" t="str">
        <f>Detalle_OC[[#This Row],[Centro]]&amp;Detalle_OC[[#This Row],[Nom Almacen]]&amp;Detalle_OC[[#This Row],[Material]]&amp;Detalle_OC[[#This Row],[Pedido]]&amp;Detalle_OC[[#This Row],[Posicion]]</f>
        <v>Sucroalcolera del Chira PlantaMontelima721669550002485620</v>
      </c>
      <c r="B2818" t="s">
        <v>28</v>
      </c>
      <c r="C2818" t="s">
        <v>96</v>
      </c>
      <c r="D2818" s="11">
        <v>45520</v>
      </c>
      <c r="E2818" t="s">
        <v>16</v>
      </c>
      <c r="F2818" t="s">
        <v>85</v>
      </c>
      <c r="G2818">
        <v>721669</v>
      </c>
      <c r="H2818">
        <v>5500024856</v>
      </c>
      <c r="I2818">
        <v>20</v>
      </c>
      <c r="J2818" s="29">
        <v>1</v>
      </c>
      <c r="K2818" s="29" t="s">
        <v>345</v>
      </c>
      <c r="L2818" t="str">
        <f>IFERROR(VLOOKUP(Detalle_OC[[#This Row],[Centro]]&amp;Detalle_OC[[#This Row],[Nro Almacen]],Almacen!A:D,4,FALSE),"")</f>
        <v>Montelima</v>
      </c>
    </row>
    <row r="2819" spans="1:12" x14ac:dyDescent="0.3">
      <c r="A2819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2819" t="s">
        <v>28</v>
      </c>
      <c r="C2819" t="s">
        <v>54</v>
      </c>
      <c r="D2819" s="11">
        <v>45506</v>
      </c>
      <c r="E2819" t="s">
        <v>16</v>
      </c>
      <c r="F2819" t="s">
        <v>12</v>
      </c>
      <c r="G2819">
        <v>70100392</v>
      </c>
      <c r="H2819">
        <v>5500024751</v>
      </c>
      <c r="I2819">
        <v>20</v>
      </c>
      <c r="J2819" s="29">
        <v>2</v>
      </c>
      <c r="K2819" s="29" t="s">
        <v>346</v>
      </c>
      <c r="L2819" t="str">
        <f>IFERROR(VLOOKUP(Detalle_OC[[#This Row],[Centro]]&amp;Detalle_OC[[#This Row],[Nro Almacen]],Almacen!A:D,4,FALSE),"")</f>
        <v>La Huaca</v>
      </c>
    </row>
    <row r="2820" spans="1:12" x14ac:dyDescent="0.3">
      <c r="A2820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2820" t="s">
        <v>28</v>
      </c>
      <c r="C2820" t="s">
        <v>54</v>
      </c>
      <c r="D2820" s="11">
        <v>45506</v>
      </c>
      <c r="E2820" t="s">
        <v>16</v>
      </c>
      <c r="F2820" t="s">
        <v>12</v>
      </c>
      <c r="G2820">
        <v>70100392</v>
      </c>
      <c r="H2820">
        <v>5500024751</v>
      </c>
      <c r="I2820">
        <v>40</v>
      </c>
      <c r="J2820" s="29">
        <v>7</v>
      </c>
      <c r="K2820" s="29" t="s">
        <v>346</v>
      </c>
      <c r="L2820" t="str">
        <f>IFERROR(VLOOKUP(Detalle_OC[[#This Row],[Centro]]&amp;Detalle_OC[[#This Row],[Nro Almacen]],Almacen!A:D,4,FALSE),"")</f>
        <v>Almacen Lobo</v>
      </c>
    </row>
    <row r="2821" spans="1:12" x14ac:dyDescent="0.3">
      <c r="A2821" s="29" t="str">
        <f>Detalle_OC[[#This Row],[Centro]]&amp;Detalle_OC[[#This Row],[Nom Almacen]]&amp;Detalle_OC[[#This Row],[Material]]&amp;Detalle_OC[[#This Row],[Pedido]]&amp;Detalle_OC[[#This Row],[Posicion]]</f>
        <v>Agricola del Chira PlantaMontelima70100392550002475110</v>
      </c>
      <c r="B2821" t="s">
        <v>28</v>
      </c>
      <c r="C2821" t="s">
        <v>54</v>
      </c>
      <c r="D2821" s="11">
        <v>45505</v>
      </c>
      <c r="E2821" t="s">
        <v>16</v>
      </c>
      <c r="F2821" t="s">
        <v>12</v>
      </c>
      <c r="G2821">
        <v>70100392</v>
      </c>
      <c r="H2821">
        <v>5500024751</v>
      </c>
      <c r="I2821">
        <v>10</v>
      </c>
      <c r="J2821" s="29">
        <v>1</v>
      </c>
      <c r="K2821" s="29" t="s">
        <v>348</v>
      </c>
      <c r="L2821" t="str">
        <f>IFERROR(VLOOKUP(Detalle_OC[[#This Row],[Centro]]&amp;Detalle_OC[[#This Row],[Nro Almacen]],Almacen!A:D,4,FALSE),"")</f>
        <v>Montelima</v>
      </c>
    </row>
    <row r="2822" spans="1:12" x14ac:dyDescent="0.3">
      <c r="A2822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2822" t="s">
        <v>28</v>
      </c>
      <c r="C2822" t="s">
        <v>94</v>
      </c>
      <c r="D2822" s="11">
        <v>45504</v>
      </c>
      <c r="E2822" t="s">
        <v>16</v>
      </c>
      <c r="F2822" t="s">
        <v>85</v>
      </c>
      <c r="G2822" t="s">
        <v>95</v>
      </c>
      <c r="H2822">
        <v>5500024746</v>
      </c>
      <c r="I2822">
        <v>10</v>
      </c>
      <c r="J2822" s="29">
        <v>1</v>
      </c>
      <c r="K2822" s="29" t="s">
        <v>349</v>
      </c>
      <c r="L2822" t="str">
        <f>IFERROR(VLOOKUP(Detalle_OC[[#This Row],[Centro]]&amp;Detalle_OC[[#This Row],[Nro Almacen]],Almacen!A:D,4,FALSE),"")</f>
        <v>Montelima</v>
      </c>
    </row>
    <row r="2823" spans="1:12" x14ac:dyDescent="0.3">
      <c r="A2823" s="29" t="str">
        <f>Detalle_OC[[#This Row],[Centro]]&amp;Detalle_OC[[#This Row],[Nom Almacen]]&amp;Detalle_OC[[#This Row],[Material]]&amp;Detalle_OC[[#This Row],[Pedido]]&amp;Detalle_OC[[#This Row],[Posicion]]</f>
        <v>Agricola del Chira PlantaMontelima70050498550002488140</v>
      </c>
      <c r="B2823" t="s">
        <v>28</v>
      </c>
      <c r="C2823" t="s">
        <v>52</v>
      </c>
      <c r="D2823" s="11">
        <v>45561</v>
      </c>
      <c r="E2823" t="s">
        <v>16</v>
      </c>
      <c r="F2823" t="s">
        <v>12</v>
      </c>
      <c r="G2823">
        <v>70050498</v>
      </c>
      <c r="H2823">
        <v>5500024881</v>
      </c>
      <c r="I2823">
        <v>40</v>
      </c>
      <c r="J2823" s="29">
        <v>1</v>
      </c>
      <c r="K2823" s="29" t="s">
        <v>349</v>
      </c>
      <c r="L2823" t="str">
        <f>IFERROR(VLOOKUP(Detalle_OC[[#This Row],[Centro]]&amp;Detalle_OC[[#This Row],[Nro Almacen]],Almacen!A:D,4,FALSE),"")</f>
        <v>Montelima</v>
      </c>
    </row>
    <row r="2824" spans="1:12" x14ac:dyDescent="0.3">
      <c r="A2824" s="29" t="str">
        <f>Detalle_OC[[#This Row],[Centro]]&amp;Detalle_OC[[#This Row],[Nom Almacen]]&amp;Detalle_OC[[#This Row],[Material]]&amp;Detalle_OC[[#This Row],[Pedido]]&amp;Detalle_OC[[#This Row],[Posicion]]</f>
        <v>Agricola del Chira PlantaSan Vicente70050498550002488150</v>
      </c>
      <c r="B2824" t="s">
        <v>28</v>
      </c>
      <c r="C2824" t="s">
        <v>52</v>
      </c>
      <c r="D2824" s="11">
        <v>45521</v>
      </c>
      <c r="E2824" t="s">
        <v>16</v>
      </c>
      <c r="F2824" t="s">
        <v>12</v>
      </c>
      <c r="G2824">
        <v>70050498</v>
      </c>
      <c r="H2824">
        <v>5500024881</v>
      </c>
      <c r="I2824">
        <v>50</v>
      </c>
      <c r="J2824" s="29">
        <v>3</v>
      </c>
      <c r="K2824" s="29" t="s">
        <v>349</v>
      </c>
      <c r="L2824" t="str">
        <f>IFERROR(VLOOKUP(Detalle_OC[[#This Row],[Centro]]&amp;Detalle_OC[[#This Row],[Nro Almacen]],Almacen!A:D,4,FALSE),"")</f>
        <v>San Vicente</v>
      </c>
    </row>
    <row r="2825" spans="1:12" x14ac:dyDescent="0.3">
      <c r="A2825" s="29" t="str">
        <f>Detalle_OC[[#This Row],[Centro]]&amp;Detalle_OC[[#This Row],[Nom Almacen]]&amp;Detalle_OC[[#This Row],[Material]]&amp;Detalle_OC[[#This Row],[Pedido]]&amp;Detalle_OC[[#This Row],[Posicion]]</f>
        <v>Agricola del Chira PlantaAlmacen Lobo70050498550002488160</v>
      </c>
      <c r="B2825" t="s">
        <v>28</v>
      </c>
      <c r="C2825" t="s">
        <v>52</v>
      </c>
      <c r="D2825" s="11">
        <v>45512</v>
      </c>
      <c r="E2825" t="s">
        <v>16</v>
      </c>
      <c r="F2825" t="s">
        <v>12</v>
      </c>
      <c r="G2825">
        <v>70050498</v>
      </c>
      <c r="H2825">
        <v>5500024881</v>
      </c>
      <c r="I2825">
        <v>60</v>
      </c>
      <c r="J2825" s="29">
        <v>7</v>
      </c>
      <c r="K2825" s="29" t="s">
        <v>349</v>
      </c>
      <c r="L2825" t="str">
        <f>IFERROR(VLOOKUP(Detalle_OC[[#This Row],[Centro]]&amp;Detalle_OC[[#This Row],[Nro Almacen]],Almacen!A:D,4,FALSE),"")</f>
        <v>Almacen Lobo</v>
      </c>
    </row>
    <row r="2826" spans="1:12" x14ac:dyDescent="0.3">
      <c r="A2826" s="29" t="str">
        <f>Detalle_OC[[#This Row],[Centro]]&amp;Detalle_OC[[#This Row],[Nom Almacen]]&amp;Detalle_OC[[#This Row],[Material]]&amp;Detalle_OC[[#This Row],[Pedido]]&amp;Detalle_OC[[#This Row],[Posicion]]</f>
        <v>Agricola del Chira PlantaMontelima70101758451156035710</v>
      </c>
      <c r="B2826" t="s">
        <v>145</v>
      </c>
      <c r="C2826" t="s">
        <v>255</v>
      </c>
      <c r="D2826" s="11">
        <v>45635</v>
      </c>
      <c r="E2826" t="s">
        <v>16</v>
      </c>
      <c r="F2826" t="s">
        <v>12</v>
      </c>
      <c r="G2826">
        <v>70101758</v>
      </c>
      <c r="H2826">
        <v>4511560357</v>
      </c>
      <c r="I2826">
        <v>10</v>
      </c>
      <c r="J2826" s="29">
        <v>1</v>
      </c>
      <c r="K2826" s="29" t="s">
        <v>350</v>
      </c>
      <c r="L2826" t="str">
        <f>IFERROR(VLOOKUP(Detalle_OC[[#This Row],[Centro]]&amp;Detalle_OC[[#This Row],[Nro Almacen]],Almacen!A:D,4,FALSE),"")</f>
        <v>Montelima</v>
      </c>
    </row>
    <row r="2827" spans="1:12" x14ac:dyDescent="0.3">
      <c r="A2827" s="29" t="str">
        <f>Detalle_OC[[#This Row],[Centro]]&amp;Detalle_OC[[#This Row],[Nom Almacen]]&amp;Detalle_OC[[#This Row],[Material]]&amp;Detalle_OC[[#This Row],[Pedido]]&amp;Detalle_OC[[#This Row],[Posicion]]</f>
        <v>Agricola del Chira PlantaMontelima70084371550002468180</v>
      </c>
      <c r="B2827" t="s">
        <v>28</v>
      </c>
      <c r="C2827" t="s">
        <v>84</v>
      </c>
      <c r="D2827" s="11">
        <v>45504</v>
      </c>
      <c r="E2827" t="s">
        <v>16</v>
      </c>
      <c r="F2827" t="s">
        <v>12</v>
      </c>
      <c r="G2827">
        <v>70084371</v>
      </c>
      <c r="H2827">
        <v>5500024681</v>
      </c>
      <c r="I2827">
        <v>80</v>
      </c>
      <c r="J2827" s="29">
        <v>1</v>
      </c>
      <c r="K2827" s="29" t="s">
        <v>350</v>
      </c>
      <c r="L2827" t="str">
        <f>IFERROR(VLOOKUP(Detalle_OC[[#This Row],[Centro]]&amp;Detalle_OC[[#This Row],[Nro Almacen]],Almacen!A:D,4,FALSE),"")</f>
        <v>Montelima</v>
      </c>
    </row>
    <row r="2828" spans="1:12" x14ac:dyDescent="0.3">
      <c r="A2828" s="29" t="str">
        <f>Detalle_OC[[#This Row],[Centro]]&amp;Detalle_OC[[#This Row],[Nom Almacen]]&amp;Detalle_OC[[#This Row],[Material]]&amp;Detalle_OC[[#This Row],[Pedido]]&amp;Detalle_OC[[#This Row],[Posicion]]</f>
        <v>Agricola del Chira PlantaFERTI LOBO 2701226550002476620</v>
      </c>
      <c r="B2828" t="s">
        <v>28</v>
      </c>
      <c r="C2828" t="s">
        <v>112</v>
      </c>
      <c r="D2828" s="11">
        <v>45470</v>
      </c>
      <c r="E2828" t="s">
        <v>16</v>
      </c>
      <c r="F2828" t="s">
        <v>12</v>
      </c>
      <c r="G2828">
        <v>701226</v>
      </c>
      <c r="H2828">
        <v>5500024766</v>
      </c>
      <c r="I2828">
        <v>20</v>
      </c>
      <c r="J2828" s="29">
        <v>23</v>
      </c>
      <c r="K2828" s="29" t="s">
        <v>351</v>
      </c>
      <c r="L2828" t="str">
        <f>IFERROR(VLOOKUP(Detalle_OC[[#This Row],[Centro]]&amp;Detalle_OC[[#This Row],[Nro Almacen]],Almacen!A:D,4,FALSE),"")</f>
        <v>FERTI LOBO 2</v>
      </c>
    </row>
    <row r="2829" spans="1:12" x14ac:dyDescent="0.3">
      <c r="A2829" s="29" t="str">
        <f>Detalle_OC[[#This Row],[Centro]]&amp;Detalle_OC[[#This Row],[Nom Almacen]]&amp;Detalle_OC[[#This Row],[Material]]&amp;Detalle_OC[[#This Row],[Pedido]]&amp;Detalle_OC[[#This Row],[Posicion]]</f>
        <v>Agricola del Chira PlantaSan Vicente70069183550002485540</v>
      </c>
      <c r="B2829" t="s">
        <v>28</v>
      </c>
      <c r="C2829" t="s">
        <v>96</v>
      </c>
      <c r="D2829" s="11">
        <v>45503</v>
      </c>
      <c r="E2829" t="s">
        <v>16</v>
      </c>
      <c r="F2829" t="s">
        <v>12</v>
      </c>
      <c r="G2829">
        <v>70069183</v>
      </c>
      <c r="H2829">
        <v>5500024855</v>
      </c>
      <c r="I2829">
        <v>40</v>
      </c>
      <c r="J2829" s="29">
        <v>3</v>
      </c>
      <c r="K2829" s="29" t="s">
        <v>351</v>
      </c>
      <c r="L2829" t="str">
        <f>IFERROR(VLOOKUP(Detalle_OC[[#This Row],[Centro]]&amp;Detalle_OC[[#This Row],[Nro Almacen]],Almacen!A:D,4,FALSE),"")</f>
        <v>San Vicente</v>
      </c>
    </row>
    <row r="2830" spans="1:12" x14ac:dyDescent="0.3">
      <c r="A2830" s="29" t="str">
        <f>Detalle_OC[[#This Row],[Centro]]&amp;Detalle_OC[[#This Row],[Nom Almacen]]&amp;Detalle_OC[[#This Row],[Material]]&amp;Detalle_OC[[#This Row],[Pedido]]&amp;Detalle_OC[[#This Row],[Posicion]]</f>
        <v>Agricola del Chira PlantaSan Vicente70069179550002485590</v>
      </c>
      <c r="B2830" t="s">
        <v>28</v>
      </c>
      <c r="C2830" t="s">
        <v>96</v>
      </c>
      <c r="D2830" s="11">
        <v>45503</v>
      </c>
      <c r="E2830" t="s">
        <v>16</v>
      </c>
      <c r="F2830" t="s">
        <v>12</v>
      </c>
      <c r="G2830">
        <v>70069179</v>
      </c>
      <c r="H2830">
        <v>5500024855</v>
      </c>
      <c r="I2830">
        <v>90</v>
      </c>
      <c r="J2830" s="29">
        <v>3</v>
      </c>
      <c r="K2830" s="29" t="s">
        <v>351</v>
      </c>
      <c r="L2830" t="str">
        <f>IFERROR(VLOOKUP(Detalle_OC[[#This Row],[Centro]]&amp;Detalle_OC[[#This Row],[Nro Almacen]],Almacen!A:D,4,FALSE),"")</f>
        <v>San Vicente</v>
      </c>
    </row>
    <row r="2831" spans="1:12" x14ac:dyDescent="0.3">
      <c r="A2831" s="29" t="str">
        <f>Detalle_OC[[#This Row],[Centro]]&amp;Detalle_OC[[#This Row],[Nom Almacen]]&amp;Detalle_OC[[#This Row],[Material]]&amp;Detalle_OC[[#This Row],[Pedido]]&amp;Detalle_OC[[#This Row],[Posicion]]</f>
        <v>Agricola del Chira PlantaSan Vicente7216695500024855240</v>
      </c>
      <c r="B2831" t="s">
        <v>28</v>
      </c>
      <c r="C2831" t="s">
        <v>96</v>
      </c>
      <c r="D2831" s="11">
        <v>45503</v>
      </c>
      <c r="E2831" t="s">
        <v>16</v>
      </c>
      <c r="F2831" t="s">
        <v>12</v>
      </c>
      <c r="G2831">
        <v>721669</v>
      </c>
      <c r="H2831">
        <v>5500024855</v>
      </c>
      <c r="I2831">
        <v>240</v>
      </c>
      <c r="J2831" s="29">
        <v>3</v>
      </c>
      <c r="K2831" s="29" t="s">
        <v>351</v>
      </c>
      <c r="L2831" t="str">
        <f>IFERROR(VLOOKUP(Detalle_OC[[#This Row],[Centro]]&amp;Detalle_OC[[#This Row],[Nro Almacen]],Almacen!A:D,4,FALSE),"")</f>
        <v>San Vicente</v>
      </c>
    </row>
    <row r="2832" spans="1:12" x14ac:dyDescent="0.3">
      <c r="A2832" s="29" t="str">
        <f>Detalle_OC[[#This Row],[Centro]]&amp;Detalle_OC[[#This Row],[Nom Almacen]]&amp;Detalle_OC[[#This Row],[Material]]&amp;Detalle_OC[[#This Row],[Pedido]]&amp;Detalle_OC[[#This Row],[Posicion]]</f>
        <v>Agricola del Chira PlantaSan Vicente7773055500024855270</v>
      </c>
      <c r="B2832" t="s">
        <v>28</v>
      </c>
      <c r="C2832" t="s">
        <v>96</v>
      </c>
      <c r="D2832" s="11">
        <v>45503</v>
      </c>
      <c r="E2832" t="s">
        <v>16</v>
      </c>
      <c r="F2832" t="s">
        <v>12</v>
      </c>
      <c r="G2832">
        <v>777305</v>
      </c>
      <c r="H2832">
        <v>5500024855</v>
      </c>
      <c r="I2832">
        <v>270</v>
      </c>
      <c r="J2832" s="29">
        <v>3</v>
      </c>
      <c r="K2832" s="29" t="s">
        <v>351</v>
      </c>
      <c r="L2832" t="str">
        <f>IFERROR(VLOOKUP(Detalle_OC[[#This Row],[Centro]]&amp;Detalle_OC[[#This Row],[Nro Almacen]],Almacen!A:D,4,FALSE),"")</f>
        <v>San Vicente</v>
      </c>
    </row>
    <row r="2833" spans="1:12" x14ac:dyDescent="0.3">
      <c r="A2833" s="29" t="str">
        <f>Detalle_OC[[#This Row],[Centro]]&amp;Detalle_OC[[#This Row],[Nom Almacen]]&amp;Detalle_OC[[#This Row],[Material]]&amp;Detalle_OC[[#This Row],[Pedido]]&amp;Detalle_OC[[#This Row],[Posicion]]</f>
        <v>Agricola del Chira PlantaMontelima70100392550002475110</v>
      </c>
      <c r="B2833" t="s">
        <v>28</v>
      </c>
      <c r="C2833" t="s">
        <v>54</v>
      </c>
      <c r="D2833" s="11">
        <v>45500</v>
      </c>
      <c r="E2833" t="s">
        <v>16</v>
      </c>
      <c r="F2833" t="s">
        <v>12</v>
      </c>
      <c r="G2833">
        <v>70100392</v>
      </c>
      <c r="H2833">
        <v>5500024751</v>
      </c>
      <c r="I2833">
        <v>10</v>
      </c>
      <c r="J2833" s="29">
        <v>1</v>
      </c>
      <c r="K2833" s="29" t="s">
        <v>352</v>
      </c>
      <c r="L2833" t="str">
        <f>IFERROR(VLOOKUP(Detalle_OC[[#This Row],[Centro]]&amp;Detalle_OC[[#This Row],[Nro Almacen]],Almacen!A:D,4,FALSE),"")</f>
        <v>Montelima</v>
      </c>
    </row>
    <row r="2834" spans="1:12" x14ac:dyDescent="0.3">
      <c r="A2834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2834" t="s">
        <v>28</v>
      </c>
      <c r="C2834" t="s">
        <v>54</v>
      </c>
      <c r="D2834" s="11">
        <v>45500</v>
      </c>
      <c r="E2834" t="s">
        <v>16</v>
      </c>
      <c r="F2834" t="s">
        <v>12</v>
      </c>
      <c r="G2834">
        <v>70100392</v>
      </c>
      <c r="H2834">
        <v>5500024751</v>
      </c>
      <c r="I2834">
        <v>20</v>
      </c>
      <c r="J2834" s="29">
        <v>2</v>
      </c>
      <c r="K2834" s="29" t="s">
        <v>352</v>
      </c>
      <c r="L2834" t="str">
        <f>IFERROR(VLOOKUP(Detalle_OC[[#This Row],[Centro]]&amp;Detalle_OC[[#This Row],[Nro Almacen]],Almacen!A:D,4,FALSE),"")</f>
        <v>La Huaca</v>
      </c>
    </row>
    <row r="2835" spans="1:12" x14ac:dyDescent="0.3">
      <c r="A2835" s="29" t="str">
        <f>Detalle_OC[[#This Row],[Centro]]&amp;Detalle_OC[[#This Row],[Nom Almacen]]&amp;Detalle_OC[[#This Row],[Material]]&amp;Detalle_OC[[#This Row],[Pedido]]&amp;Detalle_OC[[#This Row],[Posicion]]</f>
        <v>Agricola del Chira PlantaSan Vicente70100392550002475130</v>
      </c>
      <c r="B2835" t="s">
        <v>28</v>
      </c>
      <c r="C2835" t="s">
        <v>54</v>
      </c>
      <c r="D2835" s="11">
        <v>45500</v>
      </c>
      <c r="E2835" t="s">
        <v>16</v>
      </c>
      <c r="F2835" t="s">
        <v>12</v>
      </c>
      <c r="G2835">
        <v>70100392</v>
      </c>
      <c r="H2835">
        <v>5500024751</v>
      </c>
      <c r="I2835">
        <v>30</v>
      </c>
      <c r="J2835" s="29">
        <v>3</v>
      </c>
      <c r="K2835" s="29" t="s">
        <v>352</v>
      </c>
      <c r="L2835" t="str">
        <f>IFERROR(VLOOKUP(Detalle_OC[[#This Row],[Centro]]&amp;Detalle_OC[[#This Row],[Nro Almacen]],Almacen!A:D,4,FALSE),"")</f>
        <v>San Vicente</v>
      </c>
    </row>
    <row r="2836" spans="1:12" x14ac:dyDescent="0.3">
      <c r="A2836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2836" t="s">
        <v>28</v>
      </c>
      <c r="C2836" t="s">
        <v>54</v>
      </c>
      <c r="D2836" s="11">
        <v>45500</v>
      </c>
      <c r="E2836" t="s">
        <v>16</v>
      </c>
      <c r="F2836" t="s">
        <v>12</v>
      </c>
      <c r="G2836">
        <v>70100392</v>
      </c>
      <c r="H2836">
        <v>5500024751</v>
      </c>
      <c r="I2836">
        <v>40</v>
      </c>
      <c r="J2836" s="29">
        <v>7</v>
      </c>
      <c r="K2836" s="29" t="s">
        <v>352</v>
      </c>
      <c r="L2836" t="str">
        <f>IFERROR(VLOOKUP(Detalle_OC[[#This Row],[Centro]]&amp;Detalle_OC[[#This Row],[Nro Almacen]],Almacen!A:D,4,FALSE),"")</f>
        <v>Almacen Lobo</v>
      </c>
    </row>
    <row r="2837" spans="1:12" x14ac:dyDescent="0.3">
      <c r="A2837" s="29" t="str">
        <f>Detalle_OC[[#This Row],[Centro]]&amp;Detalle_OC[[#This Row],[Nom Almacen]]&amp;Detalle_OC[[#This Row],[Material]]&amp;Detalle_OC[[#This Row],[Pedido]]&amp;Detalle_OC[[#This Row],[Posicion]]</f>
        <v>Sucroalcolera del Chira PlantaMontelimaMWSODACAUSTICA    550002478010</v>
      </c>
      <c r="B2837" t="s">
        <v>28</v>
      </c>
      <c r="C2837" t="s">
        <v>94</v>
      </c>
      <c r="D2837" s="11">
        <v>45493</v>
      </c>
      <c r="E2837" t="s">
        <v>16</v>
      </c>
      <c r="F2837" t="s">
        <v>85</v>
      </c>
      <c r="G2837" t="s">
        <v>1010</v>
      </c>
      <c r="H2837">
        <v>5500024780</v>
      </c>
      <c r="I2837">
        <v>10</v>
      </c>
      <c r="J2837" s="29">
        <v>1</v>
      </c>
      <c r="K2837" s="29" t="s">
        <v>352</v>
      </c>
      <c r="L2837" t="str">
        <f>IFERROR(VLOOKUP(Detalle_OC[[#This Row],[Centro]]&amp;Detalle_OC[[#This Row],[Nro Almacen]],Almacen!A:D,4,FALSE),"")</f>
        <v>Montelima</v>
      </c>
    </row>
    <row r="2838" spans="1:12" x14ac:dyDescent="0.3">
      <c r="A2838" s="29" t="str">
        <f>Detalle_OC[[#This Row],[Centro]]&amp;Detalle_OC[[#This Row],[Nom Almacen]]&amp;Detalle_OC[[#This Row],[Material]]&amp;Detalle_OC[[#This Row],[Pedido]]&amp;Detalle_OC[[#This Row],[Posicion]]</f>
        <v>Agricola del Chira PlantaMontelima70069181550002485510</v>
      </c>
      <c r="B2838" t="s">
        <v>28</v>
      </c>
      <c r="C2838" t="s">
        <v>96</v>
      </c>
      <c r="D2838" s="11">
        <v>45509</v>
      </c>
      <c r="E2838" t="s">
        <v>16</v>
      </c>
      <c r="F2838" t="s">
        <v>12</v>
      </c>
      <c r="G2838">
        <v>70069181</v>
      </c>
      <c r="H2838">
        <v>5500024855</v>
      </c>
      <c r="I2838">
        <v>10</v>
      </c>
      <c r="J2838" s="29">
        <v>1</v>
      </c>
      <c r="K2838" s="29" t="s">
        <v>352</v>
      </c>
      <c r="L2838" t="str">
        <f>IFERROR(VLOOKUP(Detalle_OC[[#This Row],[Centro]]&amp;Detalle_OC[[#This Row],[Nro Almacen]],Almacen!A:D,4,FALSE),"")</f>
        <v>Montelima</v>
      </c>
    </row>
    <row r="2839" spans="1:12" x14ac:dyDescent="0.3">
      <c r="A2839" s="29" t="str">
        <f>Detalle_OC[[#This Row],[Centro]]&amp;Detalle_OC[[#This Row],[Nom Almacen]]&amp;Detalle_OC[[#This Row],[Material]]&amp;Detalle_OC[[#This Row],[Pedido]]&amp;Detalle_OC[[#This Row],[Posicion]]</f>
        <v>Agricola del Chira PlantaMontelima867291451156005010</v>
      </c>
      <c r="B2839" t="s">
        <v>149</v>
      </c>
      <c r="C2839" t="s">
        <v>238</v>
      </c>
      <c r="D2839" s="11">
        <v>45625</v>
      </c>
      <c r="E2839" t="s">
        <v>16</v>
      </c>
      <c r="F2839" t="s">
        <v>12</v>
      </c>
      <c r="G2839">
        <v>867291</v>
      </c>
      <c r="H2839">
        <v>4511560050</v>
      </c>
      <c r="I2839">
        <v>10</v>
      </c>
      <c r="J2839" s="29">
        <v>1</v>
      </c>
      <c r="K2839" s="29" t="s">
        <v>353</v>
      </c>
      <c r="L2839" t="str">
        <f>IFERROR(VLOOKUP(Detalle_OC[[#This Row],[Centro]]&amp;Detalle_OC[[#This Row],[Nro Almacen]],Almacen!A:D,4,FALSE),"")</f>
        <v>Montelima</v>
      </c>
    </row>
    <row r="2840" spans="1:12" x14ac:dyDescent="0.3">
      <c r="A2840" s="29" t="str">
        <f>Detalle_OC[[#This Row],[Centro]]&amp;Detalle_OC[[#This Row],[Nom Almacen]]&amp;Detalle_OC[[#This Row],[Material]]&amp;Detalle_OC[[#This Row],[Pedido]]&amp;Detalle_OC[[#This Row],[Posicion]]</f>
        <v>Agricola del Chira PlantaMontelima70084356550002468130</v>
      </c>
      <c r="B2840" t="s">
        <v>28</v>
      </c>
      <c r="C2840" t="s">
        <v>84</v>
      </c>
      <c r="D2840" s="11">
        <v>45499</v>
      </c>
      <c r="E2840" t="s">
        <v>16</v>
      </c>
      <c r="F2840" t="s">
        <v>12</v>
      </c>
      <c r="G2840">
        <v>70084356</v>
      </c>
      <c r="H2840">
        <v>5500024681</v>
      </c>
      <c r="I2840">
        <v>30</v>
      </c>
      <c r="J2840" s="29">
        <v>1</v>
      </c>
      <c r="K2840" s="29" t="s">
        <v>353</v>
      </c>
      <c r="L2840" t="str">
        <f>IFERROR(VLOOKUP(Detalle_OC[[#This Row],[Centro]]&amp;Detalle_OC[[#This Row],[Nro Almacen]],Almacen!A:D,4,FALSE),"")</f>
        <v>Montelima</v>
      </c>
    </row>
    <row r="2841" spans="1:12" x14ac:dyDescent="0.3">
      <c r="A2841" s="29" t="str">
        <f>Detalle_OC[[#This Row],[Centro]]&amp;Detalle_OC[[#This Row],[Nom Almacen]]&amp;Detalle_OC[[#This Row],[Material]]&amp;Detalle_OC[[#This Row],[Pedido]]&amp;Detalle_OC[[#This Row],[Posicion]]</f>
        <v>Agricola del Chira PlantaMontelima70084357550002468140</v>
      </c>
      <c r="B2841" t="s">
        <v>28</v>
      </c>
      <c r="C2841" t="s">
        <v>84</v>
      </c>
      <c r="D2841" s="11">
        <v>45499</v>
      </c>
      <c r="E2841" t="s">
        <v>16</v>
      </c>
      <c r="F2841" t="s">
        <v>12</v>
      </c>
      <c r="G2841">
        <v>70084357</v>
      </c>
      <c r="H2841">
        <v>5500024681</v>
      </c>
      <c r="I2841">
        <v>40</v>
      </c>
      <c r="J2841" s="29">
        <v>1</v>
      </c>
      <c r="K2841" s="29" t="s">
        <v>353</v>
      </c>
      <c r="L2841" t="str">
        <f>IFERROR(VLOOKUP(Detalle_OC[[#This Row],[Centro]]&amp;Detalle_OC[[#This Row],[Nro Almacen]],Almacen!A:D,4,FALSE),"")</f>
        <v>Montelima</v>
      </c>
    </row>
    <row r="2842" spans="1:12" x14ac:dyDescent="0.3">
      <c r="A2842" s="29" t="str">
        <f>Detalle_OC[[#This Row],[Centro]]&amp;Detalle_OC[[#This Row],[Nom Almacen]]&amp;Detalle_OC[[#This Row],[Material]]&amp;Detalle_OC[[#This Row],[Pedido]]&amp;Detalle_OC[[#This Row],[Posicion]]</f>
        <v>Agricola del Chira PlantaMontelima70084360550002468150</v>
      </c>
      <c r="B2842" t="s">
        <v>28</v>
      </c>
      <c r="C2842" t="s">
        <v>84</v>
      </c>
      <c r="D2842" s="11">
        <v>45499</v>
      </c>
      <c r="E2842" t="s">
        <v>16</v>
      </c>
      <c r="F2842" t="s">
        <v>12</v>
      </c>
      <c r="G2842">
        <v>70084360</v>
      </c>
      <c r="H2842">
        <v>5500024681</v>
      </c>
      <c r="I2842">
        <v>50</v>
      </c>
      <c r="J2842" s="29">
        <v>1</v>
      </c>
      <c r="K2842" s="29" t="s">
        <v>353</v>
      </c>
      <c r="L2842" t="str">
        <f>IFERROR(VLOOKUP(Detalle_OC[[#This Row],[Centro]]&amp;Detalle_OC[[#This Row],[Nro Almacen]],Almacen!A:D,4,FALSE),"")</f>
        <v>Montelima</v>
      </c>
    </row>
    <row r="2843" spans="1:12" x14ac:dyDescent="0.3">
      <c r="A2843" s="29" t="str">
        <f>Detalle_OC[[#This Row],[Centro]]&amp;Detalle_OC[[#This Row],[Nom Almacen]]&amp;Detalle_OC[[#This Row],[Material]]&amp;Detalle_OC[[#This Row],[Pedido]]&amp;Detalle_OC[[#This Row],[Posicion]]</f>
        <v>Sucroalcolera del Chira PlantaMontelima70084356550002468210</v>
      </c>
      <c r="B2843" t="s">
        <v>28</v>
      </c>
      <c r="C2843" t="s">
        <v>84</v>
      </c>
      <c r="D2843" s="11">
        <v>45499</v>
      </c>
      <c r="E2843" t="s">
        <v>16</v>
      </c>
      <c r="F2843" t="s">
        <v>85</v>
      </c>
      <c r="G2843">
        <v>70084356</v>
      </c>
      <c r="H2843">
        <v>5500024682</v>
      </c>
      <c r="I2843">
        <v>10</v>
      </c>
      <c r="J2843" s="29">
        <v>1</v>
      </c>
      <c r="K2843" s="29" t="s">
        <v>353</v>
      </c>
      <c r="L2843" t="str">
        <f>IFERROR(VLOOKUP(Detalle_OC[[#This Row],[Centro]]&amp;Detalle_OC[[#This Row],[Nro Almacen]],Almacen!A:D,4,FALSE),"")</f>
        <v>Montelima</v>
      </c>
    </row>
    <row r="2844" spans="1:12" x14ac:dyDescent="0.3">
      <c r="A2844" s="29" t="str">
        <f>Detalle_OC[[#This Row],[Centro]]&amp;Detalle_OC[[#This Row],[Nom Almacen]]&amp;Detalle_OC[[#This Row],[Material]]&amp;Detalle_OC[[#This Row],[Pedido]]&amp;Detalle_OC[[#This Row],[Posicion]]</f>
        <v>Agricola del Chira PlantaFERTI LOBO 2721426550002484430</v>
      </c>
      <c r="B2844" t="s">
        <v>28</v>
      </c>
      <c r="C2844" t="s">
        <v>88</v>
      </c>
      <c r="D2844" s="11">
        <v>45498</v>
      </c>
      <c r="E2844" t="s">
        <v>16</v>
      </c>
      <c r="F2844" t="s">
        <v>12</v>
      </c>
      <c r="G2844">
        <v>721426</v>
      </c>
      <c r="H2844">
        <v>5500024844</v>
      </c>
      <c r="I2844">
        <v>30</v>
      </c>
      <c r="J2844" s="29">
        <v>23</v>
      </c>
      <c r="K2844" s="29" t="s">
        <v>353</v>
      </c>
      <c r="L2844" t="str">
        <f>IFERROR(VLOOKUP(Detalle_OC[[#This Row],[Centro]]&amp;Detalle_OC[[#This Row],[Nro Almacen]],Almacen!A:D,4,FALSE),"")</f>
        <v>FERTI LOBO 2</v>
      </c>
    </row>
    <row r="2845" spans="1:12" x14ac:dyDescent="0.3">
      <c r="A2845" s="29" t="str">
        <f>Detalle_OC[[#This Row],[Centro]]&amp;Detalle_OC[[#This Row],[Nom Almacen]]&amp;Detalle_OC[[#This Row],[Material]]&amp;Detalle_OC[[#This Row],[Pedido]]&amp;Detalle_OC[[#This Row],[Posicion]]</f>
        <v>Agricola del Chira PlantaMontelima721426550002484450</v>
      </c>
      <c r="B2845" t="s">
        <v>28</v>
      </c>
      <c r="C2845" t="s">
        <v>88</v>
      </c>
      <c r="D2845" s="11">
        <v>45499</v>
      </c>
      <c r="E2845" t="s">
        <v>16</v>
      </c>
      <c r="F2845" t="s">
        <v>12</v>
      </c>
      <c r="G2845">
        <v>721426</v>
      </c>
      <c r="H2845">
        <v>5500024844</v>
      </c>
      <c r="I2845">
        <v>50</v>
      </c>
      <c r="J2845" s="29">
        <v>1</v>
      </c>
      <c r="K2845" s="29" t="s">
        <v>353</v>
      </c>
      <c r="L2845" t="str">
        <f>IFERROR(VLOOKUP(Detalle_OC[[#This Row],[Centro]]&amp;Detalle_OC[[#This Row],[Nro Almacen]],Almacen!A:D,4,FALSE),"")</f>
        <v>Montelima</v>
      </c>
    </row>
    <row r="2846" spans="1:12" x14ac:dyDescent="0.3">
      <c r="A2846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2846" t="s">
        <v>28</v>
      </c>
      <c r="C2846" t="s">
        <v>94</v>
      </c>
      <c r="D2846" s="11">
        <v>45490</v>
      </c>
      <c r="E2846" t="s">
        <v>16</v>
      </c>
      <c r="F2846" t="s">
        <v>85</v>
      </c>
      <c r="G2846" t="s">
        <v>95</v>
      </c>
      <c r="H2846">
        <v>5500024746</v>
      </c>
      <c r="I2846">
        <v>10</v>
      </c>
      <c r="J2846" s="29">
        <v>1</v>
      </c>
      <c r="K2846" s="29" t="s">
        <v>354</v>
      </c>
      <c r="L2846" t="str">
        <f>IFERROR(VLOOKUP(Detalle_OC[[#This Row],[Centro]]&amp;Detalle_OC[[#This Row],[Nro Almacen]],Almacen!A:D,4,FALSE),"")</f>
        <v>Montelima</v>
      </c>
    </row>
    <row r="2847" spans="1:12" x14ac:dyDescent="0.3">
      <c r="A2847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2847" t="s">
        <v>28</v>
      </c>
      <c r="C2847" t="s">
        <v>54</v>
      </c>
      <c r="D2847" s="11">
        <v>45493</v>
      </c>
      <c r="E2847" t="s">
        <v>16</v>
      </c>
      <c r="F2847" t="s">
        <v>12</v>
      </c>
      <c r="G2847">
        <v>70100392</v>
      </c>
      <c r="H2847">
        <v>5500024751</v>
      </c>
      <c r="I2847">
        <v>20</v>
      </c>
      <c r="J2847" s="29">
        <v>2</v>
      </c>
      <c r="K2847" s="29" t="s">
        <v>354</v>
      </c>
      <c r="L2847" t="str">
        <f>IFERROR(VLOOKUP(Detalle_OC[[#This Row],[Centro]]&amp;Detalle_OC[[#This Row],[Nro Almacen]],Almacen!A:D,4,FALSE),"")</f>
        <v>La Huaca</v>
      </c>
    </row>
    <row r="2848" spans="1:12" x14ac:dyDescent="0.3">
      <c r="A2848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2848" t="s">
        <v>28</v>
      </c>
      <c r="C2848" t="s">
        <v>54</v>
      </c>
      <c r="D2848" s="11">
        <v>45493</v>
      </c>
      <c r="E2848" t="s">
        <v>16</v>
      </c>
      <c r="F2848" t="s">
        <v>12</v>
      </c>
      <c r="G2848">
        <v>70100392</v>
      </c>
      <c r="H2848">
        <v>5500024751</v>
      </c>
      <c r="I2848">
        <v>40</v>
      </c>
      <c r="J2848" s="29">
        <v>7</v>
      </c>
      <c r="K2848" s="29" t="s">
        <v>354</v>
      </c>
      <c r="L2848" t="str">
        <f>IFERROR(VLOOKUP(Detalle_OC[[#This Row],[Centro]]&amp;Detalle_OC[[#This Row],[Nro Almacen]],Almacen!A:D,4,FALSE),"")</f>
        <v>Almacen Lobo</v>
      </c>
    </row>
    <row r="2849" spans="1:12" x14ac:dyDescent="0.3">
      <c r="A2849" s="29" t="str">
        <f>Detalle_OC[[#This Row],[Centro]]&amp;Detalle_OC[[#This Row],[Nom Almacen]]&amp;Detalle_OC[[#This Row],[Material]]&amp;Detalle_OC[[#This Row],[Pedido]]&amp;Detalle_OC[[#This Row],[Posicion]]</f>
        <v>Agricola del Chira PlantaAlmacen Lobo721426550002484420</v>
      </c>
      <c r="B2849" t="s">
        <v>28</v>
      </c>
      <c r="C2849" t="s">
        <v>88</v>
      </c>
      <c r="D2849" s="11">
        <v>45495</v>
      </c>
      <c r="E2849" t="s">
        <v>16</v>
      </c>
      <c r="F2849" t="s">
        <v>12</v>
      </c>
      <c r="G2849">
        <v>721426</v>
      </c>
      <c r="H2849">
        <v>5500024844</v>
      </c>
      <c r="I2849">
        <v>20</v>
      </c>
      <c r="J2849" s="29">
        <v>7</v>
      </c>
      <c r="K2849" s="29" t="s">
        <v>354</v>
      </c>
      <c r="L2849" t="str">
        <f>IFERROR(VLOOKUP(Detalle_OC[[#This Row],[Centro]]&amp;Detalle_OC[[#This Row],[Nro Almacen]],Almacen!A:D,4,FALSE),"")</f>
        <v>Almacen Lobo</v>
      </c>
    </row>
    <row r="2850" spans="1:12" x14ac:dyDescent="0.3">
      <c r="A2850" s="29" t="str">
        <f>Detalle_OC[[#This Row],[Centro]]&amp;Detalle_OC[[#This Row],[Nom Almacen]]&amp;Detalle_OC[[#This Row],[Material]]&amp;Detalle_OC[[#This Row],[Pedido]]&amp;Detalle_OC[[#This Row],[Posicion]]</f>
        <v>Agricola del Chira PlantaMontelima70100392550002475110</v>
      </c>
      <c r="B2850" t="s">
        <v>28</v>
      </c>
      <c r="C2850" t="s">
        <v>54</v>
      </c>
      <c r="D2850" s="11">
        <v>45493</v>
      </c>
      <c r="E2850" t="s">
        <v>16</v>
      </c>
      <c r="F2850" t="s">
        <v>12</v>
      </c>
      <c r="G2850">
        <v>70100392</v>
      </c>
      <c r="H2850">
        <v>5500024751</v>
      </c>
      <c r="I2850">
        <v>10</v>
      </c>
      <c r="J2850" s="29">
        <v>1</v>
      </c>
      <c r="K2850" s="29" t="s">
        <v>355</v>
      </c>
      <c r="L2850" t="str">
        <f>IFERROR(VLOOKUP(Detalle_OC[[#This Row],[Centro]]&amp;Detalle_OC[[#This Row],[Nro Almacen]],Almacen!A:D,4,FALSE),"")</f>
        <v>Montelima</v>
      </c>
    </row>
    <row r="2851" spans="1:12" x14ac:dyDescent="0.3">
      <c r="A2851" s="29" t="str">
        <f>Detalle_OC[[#This Row],[Centro]]&amp;Detalle_OC[[#This Row],[Nom Almacen]]&amp;Detalle_OC[[#This Row],[Material]]&amp;Detalle_OC[[#This Row],[Pedido]]&amp;Detalle_OC[[#This Row],[Posicion]]</f>
        <v>Agricola del Chira PlantaFERTI LOBO 2701226550002476620</v>
      </c>
      <c r="B2851" t="s">
        <v>28</v>
      </c>
      <c r="C2851" t="s">
        <v>112</v>
      </c>
      <c r="D2851" s="11">
        <v>45493</v>
      </c>
      <c r="E2851" t="s">
        <v>16</v>
      </c>
      <c r="F2851" t="s">
        <v>12</v>
      </c>
      <c r="G2851">
        <v>701226</v>
      </c>
      <c r="H2851">
        <v>5500024766</v>
      </c>
      <c r="I2851">
        <v>20</v>
      </c>
      <c r="J2851" s="29">
        <v>23</v>
      </c>
      <c r="K2851" s="29" t="s">
        <v>355</v>
      </c>
      <c r="L2851" t="str">
        <f>IFERROR(VLOOKUP(Detalle_OC[[#This Row],[Centro]]&amp;Detalle_OC[[#This Row],[Nro Almacen]],Almacen!A:D,4,FALSE),"")</f>
        <v>FERTI LOBO 2</v>
      </c>
    </row>
    <row r="2852" spans="1:12" x14ac:dyDescent="0.3">
      <c r="A2852" s="29" t="str">
        <f>Detalle_OC[[#This Row],[Centro]]&amp;Detalle_OC[[#This Row],[Nom Almacen]]&amp;Detalle_OC[[#This Row],[Material]]&amp;Detalle_OC[[#This Row],[Pedido]]&amp;Detalle_OC[[#This Row],[Posicion]]</f>
        <v>Agricola del Chira PlantaSan Vicente721426550002484460</v>
      </c>
      <c r="B2852" t="s">
        <v>28</v>
      </c>
      <c r="C2852" t="s">
        <v>88</v>
      </c>
      <c r="D2852" s="11">
        <v>45493</v>
      </c>
      <c r="E2852" t="s">
        <v>16</v>
      </c>
      <c r="F2852" t="s">
        <v>12</v>
      </c>
      <c r="G2852">
        <v>721426</v>
      </c>
      <c r="H2852">
        <v>5500024844</v>
      </c>
      <c r="I2852">
        <v>60</v>
      </c>
      <c r="J2852" s="29">
        <v>3</v>
      </c>
      <c r="K2852" s="29" t="s">
        <v>355</v>
      </c>
      <c r="L2852" t="str">
        <f>IFERROR(VLOOKUP(Detalle_OC[[#This Row],[Centro]]&amp;Detalle_OC[[#This Row],[Nro Almacen]],Almacen!A:D,4,FALSE),"")</f>
        <v>San Vicente</v>
      </c>
    </row>
    <row r="2853" spans="1:12" x14ac:dyDescent="0.3">
      <c r="A2853" s="29" t="str">
        <f>Detalle_OC[[#This Row],[Centro]]&amp;Detalle_OC[[#This Row],[Nom Almacen]]&amp;Detalle_OC[[#This Row],[Material]]&amp;Detalle_OC[[#This Row],[Pedido]]&amp;Detalle_OC[[#This Row],[Posicion]]</f>
        <v>Agricola del Chira PlantaMontelima8445285500019188360</v>
      </c>
      <c r="B2853" t="s">
        <v>28</v>
      </c>
      <c r="C2853" t="s">
        <v>82</v>
      </c>
      <c r="D2853" s="11">
        <v>45491</v>
      </c>
      <c r="E2853" t="s">
        <v>16</v>
      </c>
      <c r="F2853" t="s">
        <v>12</v>
      </c>
      <c r="G2853">
        <v>844528</v>
      </c>
      <c r="H2853">
        <v>5500019188</v>
      </c>
      <c r="I2853">
        <v>360</v>
      </c>
      <c r="J2853" s="29">
        <v>1</v>
      </c>
      <c r="K2853" s="29" t="s">
        <v>356</v>
      </c>
      <c r="L2853" t="str">
        <f>IFERROR(VLOOKUP(Detalle_OC[[#This Row],[Centro]]&amp;Detalle_OC[[#This Row],[Nro Almacen]],Almacen!A:D,4,FALSE),"")</f>
        <v>Montelima</v>
      </c>
    </row>
    <row r="2854" spans="1:12" x14ac:dyDescent="0.3">
      <c r="A2854" s="29" t="str">
        <f>Detalle_OC[[#This Row],[Centro]]&amp;Detalle_OC[[#This Row],[Nom Almacen]]&amp;Detalle_OC[[#This Row],[Material]]&amp;Detalle_OC[[#This Row],[Pedido]]&amp;Detalle_OC[[#This Row],[Posicion]]</f>
        <v>Sucroalcolera del Chira PlantaMontelima700843695500024682100</v>
      </c>
      <c r="B2854" t="s">
        <v>28</v>
      </c>
      <c r="C2854" t="s">
        <v>84</v>
      </c>
      <c r="D2854" s="11">
        <v>45492</v>
      </c>
      <c r="E2854" t="s">
        <v>16</v>
      </c>
      <c r="F2854" t="s">
        <v>85</v>
      </c>
      <c r="G2854">
        <v>70084369</v>
      </c>
      <c r="H2854">
        <v>5500024682</v>
      </c>
      <c r="I2854">
        <v>100</v>
      </c>
      <c r="J2854" s="29">
        <v>1</v>
      </c>
      <c r="K2854" s="29" t="s">
        <v>356</v>
      </c>
      <c r="L2854" t="str">
        <f>IFERROR(VLOOKUP(Detalle_OC[[#This Row],[Centro]]&amp;Detalle_OC[[#This Row],[Nro Almacen]],Almacen!A:D,4,FALSE),"")</f>
        <v>Montelima</v>
      </c>
    </row>
    <row r="2855" spans="1:12" x14ac:dyDescent="0.3">
      <c r="A2855" s="29" t="str">
        <f>Detalle_OC[[#This Row],[Centro]]&amp;Detalle_OC[[#This Row],[Nom Almacen]]&amp;Detalle_OC[[#This Row],[Material]]&amp;Detalle_OC[[#This Row],[Pedido]]&amp;Detalle_OC[[#This Row],[Posicion]]</f>
        <v>Agricola del Chira PlantaMontelima762202550001918850</v>
      </c>
      <c r="B2855" t="s">
        <v>28</v>
      </c>
      <c r="C2855" t="s">
        <v>82</v>
      </c>
      <c r="D2855" s="11">
        <v>45491</v>
      </c>
      <c r="E2855" t="s">
        <v>16</v>
      </c>
      <c r="F2855" t="s">
        <v>12</v>
      </c>
      <c r="G2855">
        <v>762202</v>
      </c>
      <c r="H2855">
        <v>5500019188</v>
      </c>
      <c r="I2855">
        <v>50</v>
      </c>
      <c r="J2855" s="29">
        <v>1</v>
      </c>
      <c r="K2855" s="29" t="s">
        <v>357</v>
      </c>
      <c r="L2855" t="str">
        <f>IFERROR(VLOOKUP(Detalle_OC[[#This Row],[Centro]]&amp;Detalle_OC[[#This Row],[Nro Almacen]],Almacen!A:D,4,FALSE),"")</f>
        <v>Montelima</v>
      </c>
    </row>
    <row r="2856" spans="1:12" x14ac:dyDescent="0.3">
      <c r="A2856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2856" t="s">
        <v>28</v>
      </c>
      <c r="C2856" t="s">
        <v>82</v>
      </c>
      <c r="D2856" s="11">
        <v>45491</v>
      </c>
      <c r="E2856" t="s">
        <v>16</v>
      </c>
      <c r="F2856" t="s">
        <v>12</v>
      </c>
      <c r="G2856">
        <v>844523</v>
      </c>
      <c r="H2856">
        <v>5500019188</v>
      </c>
      <c r="I2856">
        <v>140</v>
      </c>
      <c r="J2856" s="29">
        <v>1</v>
      </c>
      <c r="K2856" s="29" t="s">
        <v>357</v>
      </c>
      <c r="L2856" t="str">
        <f>IFERROR(VLOOKUP(Detalle_OC[[#This Row],[Centro]]&amp;Detalle_OC[[#This Row],[Nro Almacen]],Almacen!A:D,4,FALSE),"")</f>
        <v>Montelima</v>
      </c>
    </row>
    <row r="2857" spans="1:12" x14ac:dyDescent="0.3">
      <c r="A2857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2857" t="s">
        <v>28</v>
      </c>
      <c r="C2857" t="s">
        <v>82</v>
      </c>
      <c r="D2857" s="11">
        <v>45491</v>
      </c>
      <c r="E2857" t="s">
        <v>16</v>
      </c>
      <c r="F2857" t="s">
        <v>12</v>
      </c>
      <c r="G2857">
        <v>844522</v>
      </c>
      <c r="H2857">
        <v>5500019188</v>
      </c>
      <c r="I2857">
        <v>150</v>
      </c>
      <c r="J2857" s="29">
        <v>1</v>
      </c>
      <c r="K2857" s="29" t="s">
        <v>357</v>
      </c>
      <c r="L2857" t="str">
        <f>IFERROR(VLOOKUP(Detalle_OC[[#This Row],[Centro]]&amp;Detalle_OC[[#This Row],[Nro Almacen]],Almacen!A:D,4,FALSE),"")</f>
        <v>Montelima</v>
      </c>
    </row>
    <row r="2858" spans="1:12" x14ac:dyDescent="0.3">
      <c r="A2858" s="29" t="str">
        <f>Detalle_OC[[#This Row],[Centro]]&amp;Detalle_OC[[#This Row],[Nom Almacen]]&amp;Detalle_OC[[#This Row],[Material]]&amp;Detalle_OC[[#This Row],[Pedido]]&amp;Detalle_OC[[#This Row],[Posicion]]</f>
        <v>Agricola del Chira PlantaMontelima8445335500019188170</v>
      </c>
      <c r="B2858" t="s">
        <v>28</v>
      </c>
      <c r="C2858" t="s">
        <v>82</v>
      </c>
      <c r="D2858" s="11">
        <v>45491</v>
      </c>
      <c r="E2858" t="s">
        <v>16</v>
      </c>
      <c r="F2858" t="s">
        <v>12</v>
      </c>
      <c r="G2858">
        <v>844533</v>
      </c>
      <c r="H2858">
        <v>5500019188</v>
      </c>
      <c r="I2858">
        <v>170</v>
      </c>
      <c r="J2858" s="29">
        <v>1</v>
      </c>
      <c r="K2858" s="29" t="s">
        <v>357</v>
      </c>
      <c r="L2858" t="str">
        <f>IFERROR(VLOOKUP(Detalle_OC[[#This Row],[Centro]]&amp;Detalle_OC[[#This Row],[Nro Almacen]],Almacen!A:D,4,FALSE),"")</f>
        <v>Montelima</v>
      </c>
    </row>
    <row r="2859" spans="1:12" x14ac:dyDescent="0.3">
      <c r="A2859" s="29" t="str">
        <f>Detalle_OC[[#This Row],[Centro]]&amp;Detalle_OC[[#This Row],[Nom Almacen]]&amp;Detalle_OC[[#This Row],[Material]]&amp;Detalle_OC[[#This Row],[Pedido]]&amp;Detalle_OC[[#This Row],[Posicion]]</f>
        <v>Agricola del Chira PlantaMontelima8445115500019188180</v>
      </c>
      <c r="B2859" t="s">
        <v>28</v>
      </c>
      <c r="C2859" t="s">
        <v>82</v>
      </c>
      <c r="D2859" s="11">
        <v>45491</v>
      </c>
      <c r="E2859" t="s">
        <v>16</v>
      </c>
      <c r="F2859" t="s">
        <v>12</v>
      </c>
      <c r="G2859">
        <v>844511</v>
      </c>
      <c r="H2859">
        <v>5500019188</v>
      </c>
      <c r="I2859">
        <v>180</v>
      </c>
      <c r="J2859" s="29">
        <v>1</v>
      </c>
      <c r="K2859" s="29" t="s">
        <v>357</v>
      </c>
      <c r="L2859" t="str">
        <f>IFERROR(VLOOKUP(Detalle_OC[[#This Row],[Centro]]&amp;Detalle_OC[[#This Row],[Nro Almacen]],Almacen!A:D,4,FALSE),"")</f>
        <v>Montelima</v>
      </c>
    </row>
    <row r="2860" spans="1:12" x14ac:dyDescent="0.3">
      <c r="A2860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2860" t="s">
        <v>28</v>
      </c>
      <c r="C2860" t="s">
        <v>82</v>
      </c>
      <c r="D2860" s="11">
        <v>45491</v>
      </c>
      <c r="E2860" t="s">
        <v>16</v>
      </c>
      <c r="F2860" t="s">
        <v>12</v>
      </c>
      <c r="G2860">
        <v>844516</v>
      </c>
      <c r="H2860">
        <v>5500019188</v>
      </c>
      <c r="I2860">
        <v>190</v>
      </c>
      <c r="J2860" s="29">
        <v>1</v>
      </c>
      <c r="K2860" s="29" t="s">
        <v>357</v>
      </c>
      <c r="L2860" t="str">
        <f>IFERROR(VLOOKUP(Detalle_OC[[#This Row],[Centro]]&amp;Detalle_OC[[#This Row],[Nro Almacen]],Almacen!A:D,4,FALSE),"")</f>
        <v>Montelima</v>
      </c>
    </row>
    <row r="2861" spans="1:12" x14ac:dyDescent="0.3">
      <c r="A2861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2861" t="s">
        <v>28</v>
      </c>
      <c r="C2861" t="s">
        <v>82</v>
      </c>
      <c r="D2861" s="11">
        <v>45491</v>
      </c>
      <c r="E2861" t="s">
        <v>16</v>
      </c>
      <c r="F2861" t="s">
        <v>12</v>
      </c>
      <c r="G2861">
        <v>844508</v>
      </c>
      <c r="H2861">
        <v>5500019188</v>
      </c>
      <c r="I2861">
        <v>220</v>
      </c>
      <c r="J2861" s="29">
        <v>1</v>
      </c>
      <c r="K2861" s="29" t="s">
        <v>357</v>
      </c>
      <c r="L2861" t="str">
        <f>IFERROR(VLOOKUP(Detalle_OC[[#This Row],[Centro]]&amp;Detalle_OC[[#This Row],[Nro Almacen]],Almacen!A:D,4,FALSE),"")</f>
        <v>Montelima</v>
      </c>
    </row>
    <row r="2862" spans="1:12" x14ac:dyDescent="0.3">
      <c r="A2862" s="29" t="str">
        <f>Detalle_OC[[#This Row],[Centro]]&amp;Detalle_OC[[#This Row],[Nom Almacen]]&amp;Detalle_OC[[#This Row],[Material]]&amp;Detalle_OC[[#This Row],[Pedido]]&amp;Detalle_OC[[#This Row],[Posicion]]</f>
        <v>Agricola del Chira PlantaMontelima8443975500019188280</v>
      </c>
      <c r="B2862" t="s">
        <v>28</v>
      </c>
      <c r="C2862" t="s">
        <v>82</v>
      </c>
      <c r="D2862" s="11">
        <v>45491</v>
      </c>
      <c r="E2862" t="s">
        <v>16</v>
      </c>
      <c r="F2862" t="s">
        <v>12</v>
      </c>
      <c r="G2862">
        <v>844397</v>
      </c>
      <c r="H2862">
        <v>5500019188</v>
      </c>
      <c r="I2862">
        <v>280</v>
      </c>
      <c r="J2862" s="29">
        <v>1</v>
      </c>
      <c r="K2862" s="29" t="s">
        <v>357</v>
      </c>
      <c r="L2862" t="str">
        <f>IFERROR(VLOOKUP(Detalle_OC[[#This Row],[Centro]]&amp;Detalle_OC[[#This Row],[Nro Almacen]],Almacen!A:D,4,FALSE),"")</f>
        <v>Montelima</v>
      </c>
    </row>
    <row r="2863" spans="1:12" x14ac:dyDescent="0.3">
      <c r="A2863" s="29" t="str">
        <f>Detalle_OC[[#This Row],[Centro]]&amp;Detalle_OC[[#This Row],[Nom Almacen]]&amp;Detalle_OC[[#This Row],[Material]]&amp;Detalle_OC[[#This Row],[Pedido]]&amp;Detalle_OC[[#This Row],[Posicion]]</f>
        <v>Agricola del Chira PlantaMontelima8445395500019188300</v>
      </c>
      <c r="B2863" t="s">
        <v>28</v>
      </c>
      <c r="C2863" t="s">
        <v>82</v>
      </c>
      <c r="D2863" s="11">
        <v>45491</v>
      </c>
      <c r="E2863" t="s">
        <v>16</v>
      </c>
      <c r="F2863" t="s">
        <v>12</v>
      </c>
      <c r="G2863">
        <v>844539</v>
      </c>
      <c r="H2863">
        <v>5500019188</v>
      </c>
      <c r="I2863">
        <v>300</v>
      </c>
      <c r="J2863" s="29">
        <v>1</v>
      </c>
      <c r="K2863" s="29" t="s">
        <v>357</v>
      </c>
      <c r="L2863" t="str">
        <f>IFERROR(VLOOKUP(Detalle_OC[[#This Row],[Centro]]&amp;Detalle_OC[[#This Row],[Nro Almacen]],Almacen!A:D,4,FALSE),"")</f>
        <v>Montelima</v>
      </c>
    </row>
    <row r="2864" spans="1:12" x14ac:dyDescent="0.3">
      <c r="A2864" s="29" t="str">
        <f>Detalle_OC[[#This Row],[Centro]]&amp;Detalle_OC[[#This Row],[Nom Almacen]]&amp;Detalle_OC[[#This Row],[Material]]&amp;Detalle_OC[[#This Row],[Pedido]]&amp;Detalle_OC[[#This Row],[Posicion]]</f>
        <v>Agricola del Chira PlantaMontelima8445515500019188320</v>
      </c>
      <c r="B2864" t="s">
        <v>28</v>
      </c>
      <c r="C2864" t="s">
        <v>82</v>
      </c>
      <c r="D2864" s="11">
        <v>45491</v>
      </c>
      <c r="E2864" t="s">
        <v>16</v>
      </c>
      <c r="F2864" t="s">
        <v>12</v>
      </c>
      <c r="G2864">
        <v>844551</v>
      </c>
      <c r="H2864">
        <v>5500019188</v>
      </c>
      <c r="I2864">
        <v>320</v>
      </c>
      <c r="J2864" s="29">
        <v>1</v>
      </c>
      <c r="K2864" s="29" t="s">
        <v>357</v>
      </c>
      <c r="L2864" t="str">
        <f>IFERROR(VLOOKUP(Detalle_OC[[#This Row],[Centro]]&amp;Detalle_OC[[#This Row],[Nro Almacen]],Almacen!A:D,4,FALSE),"")</f>
        <v>Montelima</v>
      </c>
    </row>
    <row r="2865" spans="1:12" x14ac:dyDescent="0.3">
      <c r="A2865" s="29" t="str">
        <f>Detalle_OC[[#This Row],[Centro]]&amp;Detalle_OC[[#This Row],[Nom Almacen]]&amp;Detalle_OC[[#This Row],[Material]]&amp;Detalle_OC[[#This Row],[Pedido]]&amp;Detalle_OC[[#This Row],[Posicion]]</f>
        <v>Agricola del Chira PlantaMontelima8445265500019188390</v>
      </c>
      <c r="B2865" t="s">
        <v>28</v>
      </c>
      <c r="C2865" t="s">
        <v>82</v>
      </c>
      <c r="D2865" s="11">
        <v>45491</v>
      </c>
      <c r="E2865" t="s">
        <v>16</v>
      </c>
      <c r="F2865" t="s">
        <v>12</v>
      </c>
      <c r="G2865">
        <v>844526</v>
      </c>
      <c r="H2865">
        <v>5500019188</v>
      </c>
      <c r="I2865">
        <v>390</v>
      </c>
      <c r="J2865" s="29">
        <v>1</v>
      </c>
      <c r="K2865" s="29" t="s">
        <v>357</v>
      </c>
      <c r="L2865" t="str">
        <f>IFERROR(VLOOKUP(Detalle_OC[[#This Row],[Centro]]&amp;Detalle_OC[[#This Row],[Nro Almacen]],Almacen!A:D,4,FALSE),"")</f>
        <v>Montelima</v>
      </c>
    </row>
    <row r="2866" spans="1:12" x14ac:dyDescent="0.3">
      <c r="A2866" s="29" t="str">
        <f>Detalle_OC[[#This Row],[Centro]]&amp;Detalle_OC[[#This Row],[Nom Almacen]]&amp;Detalle_OC[[#This Row],[Material]]&amp;Detalle_OC[[#This Row],[Pedido]]&amp;Detalle_OC[[#This Row],[Posicion]]</f>
        <v>Agricola del Chira PlantaMontelima8445205500019188520</v>
      </c>
      <c r="B2866" t="s">
        <v>28</v>
      </c>
      <c r="C2866" t="s">
        <v>82</v>
      </c>
      <c r="D2866" s="11">
        <v>45491</v>
      </c>
      <c r="E2866" t="s">
        <v>16</v>
      </c>
      <c r="F2866" t="s">
        <v>12</v>
      </c>
      <c r="G2866">
        <v>844520</v>
      </c>
      <c r="H2866">
        <v>5500019188</v>
      </c>
      <c r="I2866">
        <v>520</v>
      </c>
      <c r="J2866" s="29">
        <v>1</v>
      </c>
      <c r="K2866" s="29" t="s">
        <v>357</v>
      </c>
      <c r="L2866" t="str">
        <f>IFERROR(VLOOKUP(Detalle_OC[[#This Row],[Centro]]&amp;Detalle_OC[[#This Row],[Nro Almacen]],Almacen!A:D,4,FALSE),"")</f>
        <v>Montelima</v>
      </c>
    </row>
    <row r="2867" spans="1:12" x14ac:dyDescent="0.3">
      <c r="A2867" s="29" t="str">
        <f>Detalle_OC[[#This Row],[Centro]]&amp;Detalle_OC[[#This Row],[Nom Almacen]]&amp;Detalle_OC[[#This Row],[Material]]&amp;Detalle_OC[[#This Row],[Pedido]]&amp;Detalle_OC[[#This Row],[Posicion]]</f>
        <v>Agricola del Chira PlantaMontelima83106655000191881040</v>
      </c>
      <c r="B2867" t="s">
        <v>28</v>
      </c>
      <c r="C2867" t="s">
        <v>82</v>
      </c>
      <c r="D2867" s="11">
        <v>45491</v>
      </c>
      <c r="E2867" t="s">
        <v>16</v>
      </c>
      <c r="F2867" t="s">
        <v>12</v>
      </c>
      <c r="G2867">
        <v>831066</v>
      </c>
      <c r="H2867">
        <v>5500019188</v>
      </c>
      <c r="I2867">
        <v>1040</v>
      </c>
      <c r="J2867" s="29">
        <v>1</v>
      </c>
      <c r="K2867" s="29" t="s">
        <v>357</v>
      </c>
      <c r="L2867" t="str">
        <f>IFERROR(VLOOKUP(Detalle_OC[[#This Row],[Centro]]&amp;Detalle_OC[[#This Row],[Nro Almacen]],Almacen!A:D,4,FALSE),"")</f>
        <v>Montelima</v>
      </c>
    </row>
    <row r="2868" spans="1:12" x14ac:dyDescent="0.3">
      <c r="A2868" s="29" t="str">
        <f>Detalle_OC[[#This Row],[Centro]]&amp;Detalle_OC[[#This Row],[Nom Almacen]]&amp;Detalle_OC[[#This Row],[Material]]&amp;Detalle_OC[[#This Row],[Pedido]]&amp;Detalle_OC[[#This Row],[Posicion]]</f>
        <v>Agricola del Chira PlantaMontelima83106655000191881040</v>
      </c>
      <c r="B2868" t="s">
        <v>28</v>
      </c>
      <c r="C2868" t="s">
        <v>82</v>
      </c>
      <c r="D2868" s="11">
        <v>45491</v>
      </c>
      <c r="E2868" t="s">
        <v>16</v>
      </c>
      <c r="F2868" t="s">
        <v>12</v>
      </c>
      <c r="G2868">
        <v>831066</v>
      </c>
      <c r="H2868">
        <v>5500019188</v>
      </c>
      <c r="I2868">
        <v>1040</v>
      </c>
      <c r="J2868" s="29">
        <v>1</v>
      </c>
      <c r="K2868" s="29" t="s">
        <v>357</v>
      </c>
      <c r="L2868" t="str">
        <f>IFERROR(VLOOKUP(Detalle_OC[[#This Row],[Centro]]&amp;Detalle_OC[[#This Row],[Nro Almacen]],Almacen!A:D,4,FALSE),"")</f>
        <v>Montelima</v>
      </c>
    </row>
    <row r="2869" spans="1:12" x14ac:dyDescent="0.3">
      <c r="A2869" s="29" t="str">
        <f>Detalle_OC[[#This Row],[Centro]]&amp;Detalle_OC[[#This Row],[Nom Almacen]]&amp;Detalle_OC[[#This Row],[Material]]&amp;Detalle_OC[[#This Row],[Pedido]]&amp;Detalle_OC[[#This Row],[Posicion]]</f>
        <v>Agricola del Chira PlantaMontelima88882255000191881090</v>
      </c>
      <c r="B2869" t="s">
        <v>28</v>
      </c>
      <c r="C2869" t="s">
        <v>82</v>
      </c>
      <c r="D2869" s="11">
        <v>45491</v>
      </c>
      <c r="E2869" t="s">
        <v>16</v>
      </c>
      <c r="F2869" t="s">
        <v>12</v>
      </c>
      <c r="G2869">
        <v>888822</v>
      </c>
      <c r="H2869">
        <v>5500019188</v>
      </c>
      <c r="I2869">
        <v>1090</v>
      </c>
      <c r="J2869" s="29">
        <v>1</v>
      </c>
      <c r="K2869" s="29" t="s">
        <v>357</v>
      </c>
      <c r="L2869" t="str">
        <f>IFERROR(VLOOKUP(Detalle_OC[[#This Row],[Centro]]&amp;Detalle_OC[[#This Row],[Nro Almacen]],Almacen!A:D,4,FALSE),"")</f>
        <v>Montelima</v>
      </c>
    </row>
    <row r="2870" spans="1:12" x14ac:dyDescent="0.3">
      <c r="A2870" s="29" t="str">
        <f>Detalle_OC[[#This Row],[Centro]]&amp;Detalle_OC[[#This Row],[Nom Almacen]]&amp;Detalle_OC[[#This Row],[Material]]&amp;Detalle_OC[[#This Row],[Pedido]]&amp;Detalle_OC[[#This Row],[Posicion]]</f>
        <v>Agricola del Chira PlantaMontelima82638555000191881100</v>
      </c>
      <c r="B2870" t="s">
        <v>28</v>
      </c>
      <c r="C2870" t="s">
        <v>82</v>
      </c>
      <c r="D2870" s="11">
        <v>45491</v>
      </c>
      <c r="E2870" t="s">
        <v>16</v>
      </c>
      <c r="F2870" t="s">
        <v>12</v>
      </c>
      <c r="G2870">
        <v>826385</v>
      </c>
      <c r="H2870">
        <v>5500019188</v>
      </c>
      <c r="I2870">
        <v>1100</v>
      </c>
      <c r="J2870" s="29">
        <v>1</v>
      </c>
      <c r="K2870" s="29" t="s">
        <v>357</v>
      </c>
      <c r="L2870" t="str">
        <f>IFERROR(VLOOKUP(Detalle_OC[[#This Row],[Centro]]&amp;Detalle_OC[[#This Row],[Nro Almacen]],Almacen!A:D,4,FALSE),"")</f>
        <v>Montelima</v>
      </c>
    </row>
    <row r="2871" spans="1:12" x14ac:dyDescent="0.3">
      <c r="A2871" s="29" t="str">
        <f>Detalle_OC[[#This Row],[Centro]]&amp;Detalle_OC[[#This Row],[Nom Almacen]]&amp;Detalle_OC[[#This Row],[Material]]&amp;Detalle_OC[[#This Row],[Pedido]]&amp;Detalle_OC[[#This Row],[Posicion]]</f>
        <v>Agricola del Chira PlantaMontelima82639955000191881120</v>
      </c>
      <c r="B2871" t="s">
        <v>28</v>
      </c>
      <c r="C2871" t="s">
        <v>82</v>
      </c>
      <c r="D2871" s="11">
        <v>45491</v>
      </c>
      <c r="E2871" t="s">
        <v>16</v>
      </c>
      <c r="F2871" t="s">
        <v>12</v>
      </c>
      <c r="G2871">
        <v>826399</v>
      </c>
      <c r="H2871">
        <v>5500019188</v>
      </c>
      <c r="I2871">
        <v>1120</v>
      </c>
      <c r="J2871" s="29">
        <v>1</v>
      </c>
      <c r="K2871" s="29" t="s">
        <v>357</v>
      </c>
      <c r="L2871" t="str">
        <f>IFERROR(VLOOKUP(Detalle_OC[[#This Row],[Centro]]&amp;Detalle_OC[[#This Row],[Nro Almacen]],Almacen!A:D,4,FALSE),"")</f>
        <v>Montelima</v>
      </c>
    </row>
    <row r="2872" spans="1:12" x14ac:dyDescent="0.3">
      <c r="A2872" s="29" t="str">
        <f>Detalle_OC[[#This Row],[Centro]]&amp;Detalle_OC[[#This Row],[Nom Almacen]]&amp;Detalle_OC[[#This Row],[Material]]&amp;Detalle_OC[[#This Row],[Pedido]]&amp;Detalle_OC[[#This Row],[Posicion]]</f>
        <v>Agricola del Chira PlantaMontelima82720355000191881140</v>
      </c>
      <c r="B2872" t="s">
        <v>28</v>
      </c>
      <c r="C2872" t="s">
        <v>82</v>
      </c>
      <c r="D2872" s="11">
        <v>45491</v>
      </c>
      <c r="E2872" t="s">
        <v>16</v>
      </c>
      <c r="F2872" t="s">
        <v>12</v>
      </c>
      <c r="G2872">
        <v>827203</v>
      </c>
      <c r="H2872">
        <v>5500019188</v>
      </c>
      <c r="I2872">
        <v>1140</v>
      </c>
      <c r="J2872" s="29">
        <v>1</v>
      </c>
      <c r="K2872" s="29" t="s">
        <v>357</v>
      </c>
      <c r="L2872" t="str">
        <f>IFERROR(VLOOKUP(Detalle_OC[[#This Row],[Centro]]&amp;Detalle_OC[[#This Row],[Nro Almacen]],Almacen!A:D,4,FALSE),"")</f>
        <v>Montelima</v>
      </c>
    </row>
    <row r="2873" spans="1:12" x14ac:dyDescent="0.3">
      <c r="A2873" s="29" t="str">
        <f>Detalle_OC[[#This Row],[Centro]]&amp;Detalle_OC[[#This Row],[Nom Almacen]]&amp;Detalle_OC[[#This Row],[Material]]&amp;Detalle_OC[[#This Row],[Pedido]]&amp;Detalle_OC[[#This Row],[Posicion]]</f>
        <v>Agricola del Chira PlantaMontelima7002963055000191881640</v>
      </c>
      <c r="B2873" t="s">
        <v>28</v>
      </c>
      <c r="C2873" t="s">
        <v>82</v>
      </c>
      <c r="D2873" s="11">
        <v>45491</v>
      </c>
      <c r="E2873" t="s">
        <v>16</v>
      </c>
      <c r="F2873" t="s">
        <v>12</v>
      </c>
      <c r="G2873">
        <v>70029630</v>
      </c>
      <c r="H2873">
        <v>5500019188</v>
      </c>
      <c r="I2873">
        <v>1640</v>
      </c>
      <c r="J2873" s="29">
        <v>1</v>
      </c>
      <c r="K2873" s="29" t="s">
        <v>357</v>
      </c>
      <c r="L2873" t="str">
        <f>IFERROR(VLOOKUP(Detalle_OC[[#This Row],[Centro]]&amp;Detalle_OC[[#This Row],[Nro Almacen]],Almacen!A:D,4,FALSE),"")</f>
        <v>Montelima</v>
      </c>
    </row>
    <row r="2874" spans="1:12" x14ac:dyDescent="0.3">
      <c r="A2874" s="29" t="str">
        <f>Detalle_OC[[#This Row],[Centro]]&amp;Detalle_OC[[#This Row],[Nom Almacen]]&amp;Detalle_OC[[#This Row],[Material]]&amp;Detalle_OC[[#This Row],[Pedido]]&amp;Detalle_OC[[#This Row],[Posicion]]</f>
        <v>Agricola del Chira PlantaMontelima7003087855000191881730</v>
      </c>
      <c r="B2874" t="s">
        <v>28</v>
      </c>
      <c r="C2874" t="s">
        <v>82</v>
      </c>
      <c r="D2874" s="11">
        <v>45491</v>
      </c>
      <c r="E2874" t="s">
        <v>16</v>
      </c>
      <c r="F2874" t="s">
        <v>12</v>
      </c>
      <c r="G2874">
        <v>70030878</v>
      </c>
      <c r="H2874">
        <v>5500019188</v>
      </c>
      <c r="I2874">
        <v>1730</v>
      </c>
      <c r="J2874" s="29">
        <v>1</v>
      </c>
      <c r="K2874" s="29" t="s">
        <v>357</v>
      </c>
      <c r="L2874" t="str">
        <f>IFERROR(VLOOKUP(Detalle_OC[[#This Row],[Centro]]&amp;Detalle_OC[[#This Row],[Nro Almacen]],Almacen!A:D,4,FALSE),"")</f>
        <v>Montelima</v>
      </c>
    </row>
    <row r="2875" spans="1:12" x14ac:dyDescent="0.3">
      <c r="A2875" s="29" t="str">
        <f>Detalle_OC[[#This Row],[Centro]]&amp;Detalle_OC[[#This Row],[Nom Almacen]]&amp;Detalle_OC[[#This Row],[Material]]&amp;Detalle_OC[[#This Row],[Pedido]]&amp;Detalle_OC[[#This Row],[Posicion]]</f>
        <v>Agricola del Chira PlantaMontelima7003069455000191881790</v>
      </c>
      <c r="B2875" t="s">
        <v>28</v>
      </c>
      <c r="C2875" t="s">
        <v>82</v>
      </c>
      <c r="D2875" s="11">
        <v>45491</v>
      </c>
      <c r="E2875" t="s">
        <v>16</v>
      </c>
      <c r="F2875" t="s">
        <v>12</v>
      </c>
      <c r="G2875">
        <v>70030694</v>
      </c>
      <c r="H2875">
        <v>5500019188</v>
      </c>
      <c r="I2875">
        <v>1790</v>
      </c>
      <c r="J2875" s="29">
        <v>1</v>
      </c>
      <c r="K2875" s="29" t="s">
        <v>357</v>
      </c>
      <c r="L2875" t="str">
        <f>IFERROR(VLOOKUP(Detalle_OC[[#This Row],[Centro]]&amp;Detalle_OC[[#This Row],[Nro Almacen]],Almacen!A:D,4,FALSE),"")</f>
        <v>Montelima</v>
      </c>
    </row>
    <row r="2876" spans="1:12" x14ac:dyDescent="0.3">
      <c r="A2876" s="29" t="str">
        <f>Detalle_OC[[#This Row],[Centro]]&amp;Detalle_OC[[#This Row],[Nom Almacen]]&amp;Detalle_OC[[#This Row],[Material]]&amp;Detalle_OC[[#This Row],[Pedido]]&amp;Detalle_OC[[#This Row],[Posicion]]</f>
        <v>Agricola del Chira PlantaMontelima70084371550002468180</v>
      </c>
      <c r="B2876" t="s">
        <v>28</v>
      </c>
      <c r="C2876" t="s">
        <v>84</v>
      </c>
      <c r="D2876" s="11">
        <v>45491</v>
      </c>
      <c r="E2876" t="s">
        <v>16</v>
      </c>
      <c r="F2876" t="s">
        <v>12</v>
      </c>
      <c r="G2876">
        <v>70084371</v>
      </c>
      <c r="H2876">
        <v>5500024681</v>
      </c>
      <c r="I2876">
        <v>80</v>
      </c>
      <c r="J2876" s="29">
        <v>1</v>
      </c>
      <c r="K2876" s="29" t="s">
        <v>357</v>
      </c>
      <c r="L2876" t="str">
        <f>IFERROR(VLOOKUP(Detalle_OC[[#This Row],[Centro]]&amp;Detalle_OC[[#This Row],[Nro Almacen]],Almacen!A:D,4,FALSE),"")</f>
        <v>Montelima</v>
      </c>
    </row>
    <row r="2877" spans="1:12" x14ac:dyDescent="0.3">
      <c r="A2877" s="29" t="str">
        <f>Detalle_OC[[#This Row],[Centro]]&amp;Detalle_OC[[#This Row],[Nom Almacen]]&amp;Detalle_OC[[#This Row],[Material]]&amp;Detalle_OC[[#This Row],[Pedido]]&amp;Detalle_OC[[#This Row],[Posicion]]</f>
        <v>Agricola del Chira PlantaSan Vicente70100392550002475130</v>
      </c>
      <c r="B2877" t="s">
        <v>28</v>
      </c>
      <c r="C2877" t="s">
        <v>54</v>
      </c>
      <c r="D2877" s="11">
        <v>45491</v>
      </c>
      <c r="E2877" t="s">
        <v>16</v>
      </c>
      <c r="F2877" t="s">
        <v>12</v>
      </c>
      <c r="G2877">
        <v>70100392</v>
      </c>
      <c r="H2877">
        <v>5500024751</v>
      </c>
      <c r="I2877">
        <v>30</v>
      </c>
      <c r="J2877" s="29">
        <v>3</v>
      </c>
      <c r="K2877" s="29" t="s">
        <v>357</v>
      </c>
      <c r="L2877" t="str">
        <f>IFERROR(VLOOKUP(Detalle_OC[[#This Row],[Centro]]&amp;Detalle_OC[[#This Row],[Nro Almacen]],Almacen!A:D,4,FALSE),"")</f>
        <v>San Vicente</v>
      </c>
    </row>
    <row r="2878" spans="1:12" x14ac:dyDescent="0.3">
      <c r="A2878" s="29" t="str">
        <f>Detalle_OC[[#This Row],[Centro]]&amp;Detalle_OC[[#This Row],[Nom Almacen]]&amp;Detalle_OC[[#This Row],[Material]]&amp;Detalle_OC[[#This Row],[Pedido]]&amp;Detalle_OC[[#This Row],[Posicion]]</f>
        <v>Agricola del Chira PlantaMontelima70100392550002475110</v>
      </c>
      <c r="B2878" t="s">
        <v>28</v>
      </c>
      <c r="C2878" t="s">
        <v>54</v>
      </c>
      <c r="D2878" s="11">
        <v>45490</v>
      </c>
      <c r="E2878" t="s">
        <v>16</v>
      </c>
      <c r="F2878" t="s">
        <v>12</v>
      </c>
      <c r="G2878">
        <v>70100392</v>
      </c>
      <c r="H2878">
        <v>5500024751</v>
      </c>
      <c r="I2878">
        <v>10</v>
      </c>
      <c r="J2878" s="29">
        <v>1</v>
      </c>
      <c r="K2878" s="29" t="s">
        <v>358</v>
      </c>
      <c r="L2878" t="str">
        <f>IFERROR(VLOOKUP(Detalle_OC[[#This Row],[Centro]]&amp;Detalle_OC[[#This Row],[Nro Almacen]],Almacen!A:D,4,FALSE),"")</f>
        <v>Montelima</v>
      </c>
    </row>
    <row r="2879" spans="1:12" x14ac:dyDescent="0.3">
      <c r="A2879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2879" t="s">
        <v>28</v>
      </c>
      <c r="C2879" t="s">
        <v>54</v>
      </c>
      <c r="D2879" s="11">
        <v>45489</v>
      </c>
      <c r="E2879" t="s">
        <v>16</v>
      </c>
      <c r="F2879" t="s">
        <v>12</v>
      </c>
      <c r="G2879">
        <v>70100392</v>
      </c>
      <c r="H2879">
        <v>5500024751</v>
      </c>
      <c r="I2879">
        <v>20</v>
      </c>
      <c r="J2879" s="29">
        <v>2</v>
      </c>
      <c r="K2879" s="29" t="s">
        <v>358</v>
      </c>
      <c r="L2879" t="str">
        <f>IFERROR(VLOOKUP(Detalle_OC[[#This Row],[Centro]]&amp;Detalle_OC[[#This Row],[Nro Almacen]],Almacen!A:D,4,FALSE),"")</f>
        <v>La Huaca</v>
      </c>
    </row>
    <row r="2880" spans="1:12" x14ac:dyDescent="0.3">
      <c r="A2880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2880" t="s">
        <v>28</v>
      </c>
      <c r="C2880" t="s">
        <v>54</v>
      </c>
      <c r="D2880" s="11">
        <v>45489</v>
      </c>
      <c r="E2880" t="s">
        <v>16</v>
      </c>
      <c r="F2880" t="s">
        <v>12</v>
      </c>
      <c r="G2880">
        <v>70100392</v>
      </c>
      <c r="H2880">
        <v>5500024751</v>
      </c>
      <c r="I2880">
        <v>40</v>
      </c>
      <c r="J2880" s="29">
        <v>7</v>
      </c>
      <c r="K2880" s="29" t="s">
        <v>358</v>
      </c>
      <c r="L2880" t="str">
        <f>IFERROR(VLOOKUP(Detalle_OC[[#This Row],[Centro]]&amp;Detalle_OC[[#This Row],[Nro Almacen]],Almacen!A:D,4,FALSE),"")</f>
        <v>Almacen Lobo</v>
      </c>
    </row>
    <row r="2881" spans="1:12" x14ac:dyDescent="0.3">
      <c r="A2881" s="29" t="str">
        <f>Detalle_OC[[#This Row],[Centro]]&amp;Detalle_OC[[#This Row],[Nom Almacen]]&amp;Detalle_OC[[#This Row],[Material]]&amp;Detalle_OC[[#This Row],[Pedido]]&amp;Detalle_OC[[#This Row],[Posicion]]</f>
        <v>Agricola del Chira PlantaAlmacen LoboMWAGR000058       550002481520</v>
      </c>
      <c r="B2881" t="s">
        <v>28</v>
      </c>
      <c r="C2881" t="s">
        <v>112</v>
      </c>
      <c r="D2881" s="11">
        <v>45488</v>
      </c>
      <c r="E2881" t="s">
        <v>16</v>
      </c>
      <c r="F2881" t="s">
        <v>12</v>
      </c>
      <c r="G2881" t="s">
        <v>113</v>
      </c>
      <c r="H2881">
        <v>5500024815</v>
      </c>
      <c r="I2881">
        <v>20</v>
      </c>
      <c r="J2881" s="29">
        <v>7</v>
      </c>
      <c r="K2881" s="29" t="s">
        <v>358</v>
      </c>
      <c r="L2881" t="str">
        <f>IFERROR(VLOOKUP(Detalle_OC[[#This Row],[Centro]]&amp;Detalle_OC[[#This Row],[Nro Almacen]],Almacen!A:D,4,FALSE),"")</f>
        <v>Almacen Lobo</v>
      </c>
    </row>
    <row r="2882" spans="1:12" x14ac:dyDescent="0.3">
      <c r="A2882" s="29" t="str">
        <f>Detalle_OC[[#This Row],[Centro]]&amp;Detalle_OC[[#This Row],[Nom Almacen]]&amp;Detalle_OC[[#This Row],[Material]]&amp;Detalle_OC[[#This Row],[Pedido]]&amp;Detalle_OC[[#This Row],[Posicion]]</f>
        <v>Agricola del Chira PlantaFERTI LOBO 2MWAGR000058       550002481530</v>
      </c>
      <c r="B2882" t="s">
        <v>28</v>
      </c>
      <c r="C2882" t="s">
        <v>112</v>
      </c>
      <c r="D2882" s="11">
        <v>45488</v>
      </c>
      <c r="E2882" t="s">
        <v>16</v>
      </c>
      <c r="F2882" t="s">
        <v>12</v>
      </c>
      <c r="G2882" t="s">
        <v>113</v>
      </c>
      <c r="H2882">
        <v>5500024815</v>
      </c>
      <c r="I2882">
        <v>30</v>
      </c>
      <c r="J2882" s="29">
        <v>23</v>
      </c>
      <c r="K2882" s="29" t="s">
        <v>358</v>
      </c>
      <c r="L2882" t="str">
        <f>IFERROR(VLOOKUP(Detalle_OC[[#This Row],[Centro]]&amp;Detalle_OC[[#This Row],[Nro Almacen]],Almacen!A:D,4,FALSE),"")</f>
        <v>FERTI LOBO 2</v>
      </c>
    </row>
    <row r="2883" spans="1:12" x14ac:dyDescent="0.3">
      <c r="A2883" s="29" t="str">
        <f>Detalle_OC[[#This Row],[Centro]]&amp;Detalle_OC[[#This Row],[Nom Almacen]]&amp;Detalle_OC[[#This Row],[Material]]&amp;Detalle_OC[[#This Row],[Pedido]]&amp;Detalle_OC[[#This Row],[Posicion]]</f>
        <v>Agricola del Chira PlantaFERTI LOBO 3721426550002484440</v>
      </c>
      <c r="B2883" t="s">
        <v>28</v>
      </c>
      <c r="C2883" t="s">
        <v>88</v>
      </c>
      <c r="D2883" s="11">
        <v>45485</v>
      </c>
      <c r="E2883" t="s">
        <v>16</v>
      </c>
      <c r="F2883" t="s">
        <v>12</v>
      </c>
      <c r="G2883">
        <v>721426</v>
      </c>
      <c r="H2883">
        <v>5500024844</v>
      </c>
      <c r="I2883">
        <v>40</v>
      </c>
      <c r="J2883" s="29">
        <v>24</v>
      </c>
      <c r="K2883" s="29" t="s">
        <v>358</v>
      </c>
      <c r="L2883" t="str">
        <f>IFERROR(VLOOKUP(Detalle_OC[[#This Row],[Centro]]&amp;Detalle_OC[[#This Row],[Nro Almacen]],Almacen!A:D,4,FALSE),"")</f>
        <v>FERTI LOBO 3</v>
      </c>
    </row>
    <row r="2884" spans="1:12" x14ac:dyDescent="0.3">
      <c r="A2884" s="29" t="str">
        <f>Detalle_OC[[#This Row],[Centro]]&amp;Detalle_OC[[#This Row],[Nom Almacen]]&amp;Detalle_OC[[#This Row],[Material]]&amp;Detalle_OC[[#This Row],[Pedido]]&amp;Detalle_OC[[#This Row],[Posicion]]</f>
        <v>Agricola del Chira PlantaMontelima70069181550002485510</v>
      </c>
      <c r="B2884" t="s">
        <v>28</v>
      </c>
      <c r="C2884" t="s">
        <v>96</v>
      </c>
      <c r="D2884" s="11">
        <v>45490</v>
      </c>
      <c r="E2884" t="s">
        <v>16</v>
      </c>
      <c r="F2884" t="s">
        <v>12</v>
      </c>
      <c r="G2884">
        <v>70069181</v>
      </c>
      <c r="H2884">
        <v>5500024855</v>
      </c>
      <c r="I2884">
        <v>10</v>
      </c>
      <c r="J2884" s="29">
        <v>1</v>
      </c>
      <c r="K2884" s="29" t="s">
        <v>358</v>
      </c>
      <c r="L2884" t="str">
        <f>IFERROR(VLOOKUP(Detalle_OC[[#This Row],[Centro]]&amp;Detalle_OC[[#This Row],[Nro Almacen]],Almacen!A:D,4,FALSE),"")</f>
        <v>Montelima</v>
      </c>
    </row>
    <row r="2885" spans="1:12" x14ac:dyDescent="0.3">
      <c r="A2885" s="29" t="str">
        <f>Detalle_OC[[#This Row],[Centro]]&amp;Detalle_OC[[#This Row],[Nom Almacen]]&amp;Detalle_OC[[#This Row],[Material]]&amp;Detalle_OC[[#This Row],[Pedido]]&amp;Detalle_OC[[#This Row],[Posicion]]</f>
        <v>Agricola del Chira PlantaMontelima721669550002485530</v>
      </c>
      <c r="B2885" t="s">
        <v>28</v>
      </c>
      <c r="C2885" t="s">
        <v>96</v>
      </c>
      <c r="D2885" s="11">
        <v>45490</v>
      </c>
      <c r="E2885" t="s">
        <v>16</v>
      </c>
      <c r="F2885" t="s">
        <v>12</v>
      </c>
      <c r="G2885">
        <v>721669</v>
      </c>
      <c r="H2885">
        <v>5500024855</v>
      </c>
      <c r="I2885">
        <v>30</v>
      </c>
      <c r="J2885" s="29">
        <v>1</v>
      </c>
      <c r="K2885" s="29" t="s">
        <v>358</v>
      </c>
      <c r="L2885" t="str">
        <f>IFERROR(VLOOKUP(Detalle_OC[[#This Row],[Centro]]&amp;Detalle_OC[[#This Row],[Nro Almacen]],Almacen!A:D,4,FALSE),"")</f>
        <v>Montelima</v>
      </c>
    </row>
    <row r="2886" spans="1:12" x14ac:dyDescent="0.3">
      <c r="A2886" s="29" t="str">
        <f>Detalle_OC[[#This Row],[Centro]]&amp;Detalle_OC[[#This Row],[Nom Almacen]]&amp;Detalle_OC[[#This Row],[Material]]&amp;Detalle_OC[[#This Row],[Pedido]]&amp;Detalle_OC[[#This Row],[Posicion]]</f>
        <v>Agricola del Chira PlantaMontelima721556550002485560</v>
      </c>
      <c r="B2886" t="s">
        <v>28</v>
      </c>
      <c r="C2886" t="s">
        <v>96</v>
      </c>
      <c r="D2886" s="11">
        <v>45490</v>
      </c>
      <c r="E2886" t="s">
        <v>16</v>
      </c>
      <c r="F2886" t="s">
        <v>12</v>
      </c>
      <c r="G2886">
        <v>721556</v>
      </c>
      <c r="H2886">
        <v>5500024855</v>
      </c>
      <c r="I2886">
        <v>60</v>
      </c>
      <c r="J2886" s="29">
        <v>1</v>
      </c>
      <c r="K2886" s="29" t="s">
        <v>358</v>
      </c>
      <c r="L2886" t="str">
        <f>IFERROR(VLOOKUP(Detalle_OC[[#This Row],[Centro]]&amp;Detalle_OC[[#This Row],[Nro Almacen]],Almacen!A:D,4,FALSE),"")</f>
        <v>Montelima</v>
      </c>
    </row>
    <row r="2887" spans="1:12" x14ac:dyDescent="0.3">
      <c r="A2887" s="29" t="str">
        <f>Detalle_OC[[#This Row],[Centro]]&amp;Detalle_OC[[#This Row],[Nom Almacen]]&amp;Detalle_OC[[#This Row],[Material]]&amp;Detalle_OC[[#This Row],[Pedido]]&amp;Detalle_OC[[#This Row],[Posicion]]</f>
        <v>Agricola del Chira PlantaLa Huaca810481550002485570</v>
      </c>
      <c r="B2887" t="s">
        <v>28</v>
      </c>
      <c r="C2887" t="s">
        <v>96</v>
      </c>
      <c r="D2887" s="11">
        <v>45518</v>
      </c>
      <c r="E2887" t="s">
        <v>16</v>
      </c>
      <c r="F2887" t="s">
        <v>12</v>
      </c>
      <c r="G2887">
        <v>810481</v>
      </c>
      <c r="H2887">
        <v>5500024855</v>
      </c>
      <c r="I2887">
        <v>70</v>
      </c>
      <c r="J2887" s="29">
        <v>2</v>
      </c>
      <c r="K2887" s="29" t="s">
        <v>358</v>
      </c>
      <c r="L2887" t="str">
        <f>IFERROR(VLOOKUP(Detalle_OC[[#This Row],[Centro]]&amp;Detalle_OC[[#This Row],[Nro Almacen]],Almacen!A:D,4,FALSE),"")</f>
        <v>La Huaca</v>
      </c>
    </row>
    <row r="2888" spans="1:12" x14ac:dyDescent="0.3">
      <c r="A2888" s="29" t="str">
        <f>Detalle_OC[[#This Row],[Centro]]&amp;Detalle_OC[[#This Row],[Nom Almacen]]&amp;Detalle_OC[[#This Row],[Material]]&amp;Detalle_OC[[#This Row],[Pedido]]&amp;Detalle_OC[[#This Row],[Posicion]]</f>
        <v>Agricola del Chira PlantaMontelima700691795500024855110</v>
      </c>
      <c r="B2888" t="s">
        <v>28</v>
      </c>
      <c r="C2888" t="s">
        <v>96</v>
      </c>
      <c r="D2888" s="11">
        <v>45498</v>
      </c>
      <c r="E2888" t="s">
        <v>16</v>
      </c>
      <c r="F2888" t="s">
        <v>12</v>
      </c>
      <c r="G2888">
        <v>70069179</v>
      </c>
      <c r="H2888">
        <v>5500024855</v>
      </c>
      <c r="I2888">
        <v>110</v>
      </c>
      <c r="J2888" s="29">
        <v>1</v>
      </c>
      <c r="K2888" s="29" t="s">
        <v>358</v>
      </c>
      <c r="L2888" t="str">
        <f>IFERROR(VLOOKUP(Detalle_OC[[#This Row],[Centro]]&amp;Detalle_OC[[#This Row],[Nro Almacen]],Almacen!A:D,4,FALSE),"")</f>
        <v>Montelima</v>
      </c>
    </row>
    <row r="2889" spans="1:12" x14ac:dyDescent="0.3">
      <c r="A2889" s="29" t="str">
        <f>Detalle_OC[[#This Row],[Centro]]&amp;Detalle_OC[[#This Row],[Nom Almacen]]&amp;Detalle_OC[[#This Row],[Material]]&amp;Detalle_OC[[#This Row],[Pedido]]&amp;Detalle_OC[[#This Row],[Posicion]]</f>
        <v>Agricola del Chira PlantaAlmacen Lobo700691795500024855200</v>
      </c>
      <c r="B2889" t="s">
        <v>28</v>
      </c>
      <c r="C2889" t="s">
        <v>96</v>
      </c>
      <c r="D2889" s="11">
        <v>45518</v>
      </c>
      <c r="E2889" t="s">
        <v>16</v>
      </c>
      <c r="F2889" t="s">
        <v>12</v>
      </c>
      <c r="G2889">
        <v>70069179</v>
      </c>
      <c r="H2889">
        <v>5500024855</v>
      </c>
      <c r="I2889">
        <v>200</v>
      </c>
      <c r="J2889" s="29">
        <v>7</v>
      </c>
      <c r="K2889" s="29" t="s">
        <v>358</v>
      </c>
      <c r="L2889" t="str">
        <f>IFERROR(VLOOKUP(Detalle_OC[[#This Row],[Centro]]&amp;Detalle_OC[[#This Row],[Nro Almacen]],Almacen!A:D,4,FALSE),"")</f>
        <v>Almacen Lobo</v>
      </c>
    </row>
    <row r="2890" spans="1:12" x14ac:dyDescent="0.3">
      <c r="A2890" s="29" t="str">
        <f>Detalle_OC[[#This Row],[Centro]]&amp;Detalle_OC[[#This Row],[Nom Almacen]]&amp;Detalle_OC[[#This Row],[Material]]&amp;Detalle_OC[[#This Row],[Pedido]]&amp;Detalle_OC[[#This Row],[Posicion]]</f>
        <v>Sucroalcolera del Chira PlantaMontelima721669550002485620</v>
      </c>
      <c r="B2890" t="s">
        <v>28</v>
      </c>
      <c r="C2890" t="s">
        <v>96</v>
      </c>
      <c r="D2890" s="11">
        <v>45497</v>
      </c>
      <c r="E2890" t="s">
        <v>16</v>
      </c>
      <c r="F2890" t="s">
        <v>85</v>
      </c>
      <c r="G2890">
        <v>721669</v>
      </c>
      <c r="H2890">
        <v>5500024856</v>
      </c>
      <c r="I2890">
        <v>20</v>
      </c>
      <c r="J2890" s="29">
        <v>1</v>
      </c>
      <c r="K2890" s="29" t="s">
        <v>358</v>
      </c>
      <c r="L2890" t="str">
        <f>IFERROR(VLOOKUP(Detalle_OC[[#This Row],[Centro]]&amp;Detalle_OC[[#This Row],[Nro Almacen]],Almacen!A:D,4,FALSE),"")</f>
        <v>Montelima</v>
      </c>
    </row>
    <row r="2891" spans="1:12" x14ac:dyDescent="0.3">
      <c r="A2891" s="29" t="str">
        <f>Detalle_OC[[#This Row],[Centro]]&amp;Detalle_OC[[#This Row],[Nom Almacen]]&amp;Detalle_OC[[#This Row],[Material]]&amp;Detalle_OC[[#This Row],[Pedido]]&amp;Detalle_OC[[#This Row],[Posicion]]</f>
        <v>Sucroalcolera del Chira PlantaMontelima700440065500024856140</v>
      </c>
      <c r="B2891" t="s">
        <v>28</v>
      </c>
      <c r="C2891" t="s">
        <v>96</v>
      </c>
      <c r="D2891" s="11">
        <v>45495</v>
      </c>
      <c r="E2891" t="s">
        <v>16</v>
      </c>
      <c r="F2891" t="s">
        <v>85</v>
      </c>
      <c r="G2891">
        <v>70044006</v>
      </c>
      <c r="H2891">
        <v>5500024856</v>
      </c>
      <c r="I2891">
        <v>140</v>
      </c>
      <c r="J2891" s="29">
        <v>1</v>
      </c>
      <c r="K2891" s="29" t="s">
        <v>358</v>
      </c>
      <c r="L2891" t="str">
        <f>IFERROR(VLOOKUP(Detalle_OC[[#This Row],[Centro]]&amp;Detalle_OC[[#This Row],[Nro Almacen]],Almacen!A:D,4,FALSE),"")</f>
        <v>Montelima</v>
      </c>
    </row>
    <row r="2892" spans="1:12" x14ac:dyDescent="0.3">
      <c r="A2892" s="29" t="str">
        <f>Detalle_OC[[#This Row],[Centro]]&amp;Detalle_OC[[#This Row],[Nom Almacen]]&amp;Detalle_OC[[#This Row],[Material]]&amp;Detalle_OC[[#This Row],[Pedido]]&amp;Detalle_OC[[#This Row],[Posicion]]</f>
        <v>Agricola del Chira PlantaMontelima897892451155925510</v>
      </c>
      <c r="B2892" t="s">
        <v>182</v>
      </c>
      <c r="C2892" t="s">
        <v>1216</v>
      </c>
      <c r="D2892" s="11">
        <v>45625</v>
      </c>
      <c r="E2892" t="s">
        <v>16</v>
      </c>
      <c r="F2892" t="s">
        <v>12</v>
      </c>
      <c r="G2892">
        <v>897892</v>
      </c>
      <c r="H2892">
        <v>4511559255</v>
      </c>
      <c r="I2892">
        <v>10</v>
      </c>
      <c r="J2892" s="29">
        <v>1</v>
      </c>
      <c r="K2892" s="29" t="s">
        <v>359</v>
      </c>
      <c r="L2892" t="str">
        <f>IFERROR(VLOOKUP(Detalle_OC[[#This Row],[Centro]]&amp;Detalle_OC[[#This Row],[Nro Almacen]],Almacen!A:D,4,FALSE),"")</f>
        <v>Montelima</v>
      </c>
    </row>
    <row r="2893" spans="1:12" x14ac:dyDescent="0.3">
      <c r="A2893" s="29" t="str">
        <f>Detalle_OC[[#This Row],[Centro]]&amp;Detalle_OC[[#This Row],[Nom Almacen]]&amp;Detalle_OC[[#This Row],[Material]]&amp;Detalle_OC[[#This Row],[Pedido]]&amp;Detalle_OC[[#This Row],[Posicion]]</f>
        <v>Sucroalcolera del Chira PlantaMontelima70084357550002468220</v>
      </c>
      <c r="B2893" t="s">
        <v>28</v>
      </c>
      <c r="C2893" t="s">
        <v>84</v>
      </c>
      <c r="D2893" s="11">
        <v>45499</v>
      </c>
      <c r="E2893" t="s">
        <v>16</v>
      </c>
      <c r="F2893" t="s">
        <v>85</v>
      </c>
      <c r="G2893">
        <v>70084357</v>
      </c>
      <c r="H2893">
        <v>5500024682</v>
      </c>
      <c r="I2893">
        <v>20</v>
      </c>
      <c r="J2893" s="29">
        <v>1</v>
      </c>
      <c r="K2893" s="29" t="s">
        <v>360</v>
      </c>
      <c r="L2893" t="str">
        <f>IFERROR(VLOOKUP(Detalle_OC[[#This Row],[Centro]]&amp;Detalle_OC[[#This Row],[Nro Almacen]],Almacen!A:D,4,FALSE),"")</f>
        <v>Montelima</v>
      </c>
    </row>
    <row r="2894" spans="1:12" x14ac:dyDescent="0.3">
      <c r="A2894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2894" t="s">
        <v>28</v>
      </c>
      <c r="C2894" t="s">
        <v>94</v>
      </c>
      <c r="D2894" s="11">
        <v>45485</v>
      </c>
      <c r="E2894" t="s">
        <v>16</v>
      </c>
      <c r="F2894" t="s">
        <v>85</v>
      </c>
      <c r="G2894" t="s">
        <v>95</v>
      </c>
      <c r="H2894">
        <v>5500024746</v>
      </c>
      <c r="I2894">
        <v>10</v>
      </c>
      <c r="J2894" s="29">
        <v>1</v>
      </c>
      <c r="K2894" s="29" t="s">
        <v>360</v>
      </c>
      <c r="L2894" t="str">
        <f>IFERROR(VLOOKUP(Detalle_OC[[#This Row],[Centro]]&amp;Detalle_OC[[#This Row],[Nro Almacen]],Almacen!A:D,4,FALSE),"")</f>
        <v>Montelima</v>
      </c>
    </row>
    <row r="2895" spans="1:12" x14ac:dyDescent="0.3">
      <c r="A2895" s="29" t="str">
        <f>Detalle_OC[[#This Row],[Centro]]&amp;Detalle_OC[[#This Row],[Nom Almacen]]&amp;Detalle_OC[[#This Row],[Material]]&amp;Detalle_OC[[#This Row],[Pedido]]&amp;Detalle_OC[[#This Row],[Posicion]]</f>
        <v>Agricola del Chira PlantaLa HuacaMWAGR000058       550002481510</v>
      </c>
      <c r="B2895" t="s">
        <v>28</v>
      </c>
      <c r="C2895" t="s">
        <v>112</v>
      </c>
      <c r="D2895" s="11">
        <v>45488</v>
      </c>
      <c r="E2895" t="s">
        <v>16</v>
      </c>
      <c r="F2895" t="s">
        <v>12</v>
      </c>
      <c r="G2895" t="s">
        <v>113</v>
      </c>
      <c r="H2895">
        <v>5500024815</v>
      </c>
      <c r="I2895">
        <v>10</v>
      </c>
      <c r="J2895" s="29">
        <v>2</v>
      </c>
      <c r="K2895" s="29" t="s">
        <v>360</v>
      </c>
      <c r="L2895" t="str">
        <f>IFERROR(VLOOKUP(Detalle_OC[[#This Row],[Centro]]&amp;Detalle_OC[[#This Row],[Nro Almacen]],Almacen!A:D,4,FALSE),"")</f>
        <v>La Huaca</v>
      </c>
    </row>
    <row r="2896" spans="1:12" x14ac:dyDescent="0.3">
      <c r="A2896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2896" t="s">
        <v>28</v>
      </c>
      <c r="C2896" t="s">
        <v>84</v>
      </c>
      <c r="D2896" s="11">
        <v>45485</v>
      </c>
      <c r="E2896" t="s">
        <v>16</v>
      </c>
      <c r="F2896" t="s">
        <v>85</v>
      </c>
      <c r="G2896">
        <v>801846</v>
      </c>
      <c r="H2896">
        <v>5500022336</v>
      </c>
      <c r="I2896">
        <v>10</v>
      </c>
      <c r="J2896" s="29">
        <v>1</v>
      </c>
      <c r="K2896" s="29" t="s">
        <v>361</v>
      </c>
      <c r="L2896" t="str">
        <f>IFERROR(VLOOKUP(Detalle_OC[[#This Row],[Centro]]&amp;Detalle_OC[[#This Row],[Nro Almacen]],Almacen!A:D,4,FALSE),"")</f>
        <v>Montelima</v>
      </c>
    </row>
    <row r="2897" spans="1:12" x14ac:dyDescent="0.3">
      <c r="A2897" s="29" t="str">
        <f>Detalle_OC[[#This Row],[Centro]]&amp;Detalle_OC[[#This Row],[Nom Almacen]]&amp;Detalle_OC[[#This Row],[Material]]&amp;Detalle_OC[[#This Row],[Pedido]]&amp;Detalle_OC[[#This Row],[Posicion]]</f>
        <v>Sucroalcolera del Chira PlantaMontelima813224550002233650</v>
      </c>
      <c r="B2897" t="s">
        <v>28</v>
      </c>
      <c r="C2897" t="s">
        <v>84</v>
      </c>
      <c r="D2897" s="11">
        <v>45485</v>
      </c>
      <c r="E2897" t="s">
        <v>16</v>
      </c>
      <c r="F2897" t="s">
        <v>85</v>
      </c>
      <c r="G2897">
        <v>813224</v>
      </c>
      <c r="H2897">
        <v>5500022336</v>
      </c>
      <c r="I2897">
        <v>50</v>
      </c>
      <c r="J2897" s="29">
        <v>1</v>
      </c>
      <c r="K2897" s="29" t="s">
        <v>361</v>
      </c>
      <c r="L2897" t="str">
        <f>IFERROR(VLOOKUP(Detalle_OC[[#This Row],[Centro]]&amp;Detalle_OC[[#This Row],[Nro Almacen]],Almacen!A:D,4,FALSE),"")</f>
        <v>Montelima</v>
      </c>
    </row>
    <row r="2898" spans="1:12" x14ac:dyDescent="0.3">
      <c r="A2898" s="29" t="str">
        <f>Detalle_OC[[#This Row],[Centro]]&amp;Detalle_OC[[#This Row],[Nom Almacen]]&amp;Detalle_OC[[#This Row],[Material]]&amp;Detalle_OC[[#This Row],[Pedido]]&amp;Detalle_OC[[#This Row],[Posicion]]</f>
        <v>Sucroalcolera del Chira PlantaMontelima70084356550002468210</v>
      </c>
      <c r="B2898" t="s">
        <v>28</v>
      </c>
      <c r="C2898" t="s">
        <v>84</v>
      </c>
      <c r="D2898" s="11">
        <v>45485</v>
      </c>
      <c r="E2898" t="s">
        <v>16</v>
      </c>
      <c r="F2898" t="s">
        <v>85</v>
      </c>
      <c r="G2898">
        <v>70084356</v>
      </c>
      <c r="H2898">
        <v>5500024682</v>
      </c>
      <c r="I2898">
        <v>10</v>
      </c>
      <c r="J2898" s="29">
        <v>1</v>
      </c>
      <c r="K2898" s="29" t="s">
        <v>361</v>
      </c>
      <c r="L2898" t="str">
        <f>IFERROR(VLOOKUP(Detalle_OC[[#This Row],[Centro]]&amp;Detalle_OC[[#This Row],[Nro Almacen]],Almacen!A:D,4,FALSE),"")</f>
        <v>Montelima</v>
      </c>
    </row>
    <row r="2899" spans="1:12" x14ac:dyDescent="0.3">
      <c r="A2899" s="29" t="str">
        <f>Detalle_OC[[#This Row],[Centro]]&amp;Detalle_OC[[#This Row],[Nom Almacen]]&amp;Detalle_OC[[#This Row],[Material]]&amp;Detalle_OC[[#This Row],[Pedido]]&amp;Detalle_OC[[#This Row],[Posicion]]</f>
        <v>Agricola del Chira PlantaSan Vicente70100392550002475130</v>
      </c>
      <c r="B2899" t="s">
        <v>28</v>
      </c>
      <c r="C2899" t="s">
        <v>54</v>
      </c>
      <c r="D2899" s="11">
        <v>45485</v>
      </c>
      <c r="E2899" t="s">
        <v>16</v>
      </c>
      <c r="F2899" t="s">
        <v>12</v>
      </c>
      <c r="G2899">
        <v>70100392</v>
      </c>
      <c r="H2899">
        <v>5500024751</v>
      </c>
      <c r="I2899">
        <v>30</v>
      </c>
      <c r="J2899" s="29">
        <v>3</v>
      </c>
      <c r="K2899" s="29" t="s">
        <v>361</v>
      </c>
      <c r="L2899" t="str">
        <f>IFERROR(VLOOKUP(Detalle_OC[[#This Row],[Centro]]&amp;Detalle_OC[[#This Row],[Nro Almacen]],Almacen!A:D,4,FALSE),"")</f>
        <v>San Vicente</v>
      </c>
    </row>
    <row r="2900" spans="1:12" x14ac:dyDescent="0.3">
      <c r="A2900" s="29" t="str">
        <f>Detalle_OC[[#This Row],[Centro]]&amp;Detalle_OC[[#This Row],[Nom Almacen]]&amp;Detalle_OC[[#This Row],[Material]]&amp;Detalle_OC[[#This Row],[Pedido]]&amp;Detalle_OC[[#This Row],[Posicion]]</f>
        <v>Sucroalcolera del Chira PlantaMontelima708707550002233640</v>
      </c>
      <c r="B2900" t="s">
        <v>28</v>
      </c>
      <c r="C2900" t="s">
        <v>84</v>
      </c>
      <c r="D2900" s="11">
        <v>45484</v>
      </c>
      <c r="E2900" t="s">
        <v>16</v>
      </c>
      <c r="F2900" t="s">
        <v>85</v>
      </c>
      <c r="G2900">
        <v>708707</v>
      </c>
      <c r="H2900">
        <v>5500022336</v>
      </c>
      <c r="I2900">
        <v>40</v>
      </c>
      <c r="J2900" s="29">
        <v>1</v>
      </c>
      <c r="K2900" s="29" t="s">
        <v>362</v>
      </c>
      <c r="L2900" t="str">
        <f>IFERROR(VLOOKUP(Detalle_OC[[#This Row],[Centro]]&amp;Detalle_OC[[#This Row],[Nro Almacen]],Almacen!A:D,4,FALSE),"")</f>
        <v>Montelima</v>
      </c>
    </row>
    <row r="2901" spans="1:12" x14ac:dyDescent="0.3">
      <c r="A2901" s="29" t="str">
        <f>Detalle_OC[[#This Row],[Centro]]&amp;Detalle_OC[[#This Row],[Nom Almacen]]&amp;Detalle_OC[[#This Row],[Material]]&amp;Detalle_OC[[#This Row],[Pedido]]&amp;Detalle_OC[[#This Row],[Posicion]]</f>
        <v>Agricola del Chira PlantaMontelima70100392550002475110</v>
      </c>
      <c r="B2901" t="s">
        <v>28</v>
      </c>
      <c r="C2901" t="s">
        <v>54</v>
      </c>
      <c r="D2901" s="11">
        <v>45484</v>
      </c>
      <c r="E2901" t="s">
        <v>16</v>
      </c>
      <c r="F2901" t="s">
        <v>12</v>
      </c>
      <c r="G2901">
        <v>70100392</v>
      </c>
      <c r="H2901">
        <v>5500024751</v>
      </c>
      <c r="I2901">
        <v>10</v>
      </c>
      <c r="J2901" s="29">
        <v>1</v>
      </c>
      <c r="K2901" s="29" t="s">
        <v>362</v>
      </c>
      <c r="L2901" t="str">
        <f>IFERROR(VLOOKUP(Detalle_OC[[#This Row],[Centro]]&amp;Detalle_OC[[#This Row],[Nro Almacen]],Almacen!A:D,4,FALSE),"")</f>
        <v>Montelima</v>
      </c>
    </row>
    <row r="2902" spans="1:12" x14ac:dyDescent="0.3">
      <c r="A2902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2902" t="s">
        <v>28</v>
      </c>
      <c r="C2902" t="s">
        <v>54</v>
      </c>
      <c r="D2902" s="11">
        <v>45484</v>
      </c>
      <c r="E2902" t="s">
        <v>16</v>
      </c>
      <c r="F2902" t="s">
        <v>12</v>
      </c>
      <c r="G2902">
        <v>70100392</v>
      </c>
      <c r="H2902">
        <v>5500024751</v>
      </c>
      <c r="I2902">
        <v>20</v>
      </c>
      <c r="J2902" s="29">
        <v>2</v>
      </c>
      <c r="K2902" s="29" t="s">
        <v>362</v>
      </c>
      <c r="L2902" t="str">
        <f>IFERROR(VLOOKUP(Detalle_OC[[#This Row],[Centro]]&amp;Detalle_OC[[#This Row],[Nro Almacen]],Almacen!A:D,4,FALSE),"")</f>
        <v>La Huaca</v>
      </c>
    </row>
    <row r="2903" spans="1:12" x14ac:dyDescent="0.3">
      <c r="A2903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2903" t="s">
        <v>28</v>
      </c>
      <c r="C2903" t="s">
        <v>54</v>
      </c>
      <c r="D2903" s="11">
        <v>45484</v>
      </c>
      <c r="E2903" t="s">
        <v>16</v>
      </c>
      <c r="F2903" t="s">
        <v>12</v>
      </c>
      <c r="G2903">
        <v>70100392</v>
      </c>
      <c r="H2903">
        <v>5500024751</v>
      </c>
      <c r="I2903">
        <v>40</v>
      </c>
      <c r="J2903" s="29">
        <v>7</v>
      </c>
      <c r="K2903" s="29" t="s">
        <v>362</v>
      </c>
      <c r="L2903" t="str">
        <f>IFERROR(VLOOKUP(Detalle_OC[[#This Row],[Centro]]&amp;Detalle_OC[[#This Row],[Nro Almacen]],Almacen!A:D,4,FALSE),"")</f>
        <v>Almacen Lobo</v>
      </c>
    </row>
    <row r="2904" spans="1:12" x14ac:dyDescent="0.3">
      <c r="A2904" s="29" t="str">
        <f>Detalle_OC[[#This Row],[Centro]]&amp;Detalle_OC[[#This Row],[Nom Almacen]]&amp;Detalle_OC[[#This Row],[Material]]&amp;Detalle_OC[[#This Row],[Pedido]]&amp;Detalle_OC[[#This Row],[Posicion]]</f>
        <v>Sucroalcolera del Chira PlantaMontelima708707550002233640</v>
      </c>
      <c r="B2904" t="s">
        <v>28</v>
      </c>
      <c r="C2904" t="s">
        <v>84</v>
      </c>
      <c r="D2904" s="11">
        <v>45499</v>
      </c>
      <c r="E2904" t="s">
        <v>16</v>
      </c>
      <c r="F2904" t="s">
        <v>85</v>
      </c>
      <c r="G2904">
        <v>708707</v>
      </c>
      <c r="H2904">
        <v>5500022336</v>
      </c>
      <c r="I2904">
        <v>40</v>
      </c>
      <c r="J2904" s="29">
        <v>1</v>
      </c>
      <c r="K2904" s="29" t="s">
        <v>363</v>
      </c>
      <c r="L2904" t="str">
        <f>IFERROR(VLOOKUP(Detalle_OC[[#This Row],[Centro]]&amp;Detalle_OC[[#This Row],[Nro Almacen]],Almacen!A:D,4,FALSE),"")</f>
        <v>Montelima</v>
      </c>
    </row>
    <row r="2905" spans="1:12" x14ac:dyDescent="0.3">
      <c r="A2905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2905" t="s">
        <v>28</v>
      </c>
      <c r="C2905" t="s">
        <v>94</v>
      </c>
      <c r="D2905" s="11">
        <v>45479</v>
      </c>
      <c r="E2905" t="s">
        <v>16</v>
      </c>
      <c r="F2905" t="s">
        <v>85</v>
      </c>
      <c r="G2905" t="s">
        <v>95</v>
      </c>
      <c r="H2905">
        <v>5500024746</v>
      </c>
      <c r="I2905">
        <v>10</v>
      </c>
      <c r="J2905" s="29">
        <v>1</v>
      </c>
      <c r="K2905" s="29" t="s">
        <v>363</v>
      </c>
      <c r="L2905" t="str">
        <f>IFERROR(VLOOKUP(Detalle_OC[[#This Row],[Centro]]&amp;Detalle_OC[[#This Row],[Nro Almacen]],Almacen!A:D,4,FALSE),"")</f>
        <v>Montelima</v>
      </c>
    </row>
    <row r="2906" spans="1:12" x14ac:dyDescent="0.3">
      <c r="A2906" s="29" t="str">
        <f>Detalle_OC[[#This Row],[Centro]]&amp;Detalle_OC[[#This Row],[Nom Almacen]]&amp;Detalle_OC[[#This Row],[Material]]&amp;Detalle_OC[[#This Row],[Pedido]]&amp;Detalle_OC[[#This Row],[Posicion]]</f>
        <v>Sucroalcolera del Chira PlantaMontelimaMWSODACAUSTICA    550002478010</v>
      </c>
      <c r="B2906" t="s">
        <v>28</v>
      </c>
      <c r="C2906" t="s">
        <v>94</v>
      </c>
      <c r="D2906" s="11">
        <v>45478</v>
      </c>
      <c r="E2906" t="s">
        <v>16</v>
      </c>
      <c r="F2906" t="s">
        <v>85</v>
      </c>
      <c r="G2906" t="s">
        <v>1010</v>
      </c>
      <c r="H2906">
        <v>5500024780</v>
      </c>
      <c r="I2906">
        <v>10</v>
      </c>
      <c r="J2906" s="29">
        <v>1</v>
      </c>
      <c r="K2906" s="29" t="s">
        <v>363</v>
      </c>
      <c r="L2906" t="str">
        <f>IFERROR(VLOOKUP(Detalle_OC[[#This Row],[Centro]]&amp;Detalle_OC[[#This Row],[Nro Almacen]],Almacen!A:D,4,FALSE),"")</f>
        <v>Montelima</v>
      </c>
    </row>
    <row r="2907" spans="1:12" x14ac:dyDescent="0.3">
      <c r="A2907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2907" t="s">
        <v>28</v>
      </c>
      <c r="C2907" t="s">
        <v>54</v>
      </c>
      <c r="D2907" s="11">
        <v>45479</v>
      </c>
      <c r="E2907" t="s">
        <v>16</v>
      </c>
      <c r="F2907" t="s">
        <v>12</v>
      </c>
      <c r="G2907">
        <v>70100392</v>
      </c>
      <c r="H2907">
        <v>5500024751</v>
      </c>
      <c r="I2907">
        <v>20</v>
      </c>
      <c r="J2907" s="29">
        <v>2</v>
      </c>
      <c r="K2907" s="29" t="s">
        <v>364</v>
      </c>
      <c r="L2907" t="str">
        <f>IFERROR(VLOOKUP(Detalle_OC[[#This Row],[Centro]]&amp;Detalle_OC[[#This Row],[Nro Almacen]],Almacen!A:D,4,FALSE),"")</f>
        <v>La Huaca</v>
      </c>
    </row>
    <row r="2908" spans="1:12" x14ac:dyDescent="0.3">
      <c r="A2908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2908" t="s">
        <v>28</v>
      </c>
      <c r="C2908" t="s">
        <v>54</v>
      </c>
      <c r="D2908" s="11">
        <v>45479</v>
      </c>
      <c r="E2908" t="s">
        <v>16</v>
      </c>
      <c r="F2908" t="s">
        <v>12</v>
      </c>
      <c r="G2908">
        <v>70100392</v>
      </c>
      <c r="H2908">
        <v>5500024751</v>
      </c>
      <c r="I2908">
        <v>40</v>
      </c>
      <c r="J2908" s="29">
        <v>7</v>
      </c>
      <c r="K2908" s="29" t="s">
        <v>364</v>
      </c>
      <c r="L2908" t="str">
        <f>IFERROR(VLOOKUP(Detalle_OC[[#This Row],[Centro]]&amp;Detalle_OC[[#This Row],[Nro Almacen]],Almacen!A:D,4,FALSE),"")</f>
        <v>Almacen Lobo</v>
      </c>
    </row>
    <row r="2909" spans="1:12" x14ac:dyDescent="0.3">
      <c r="A2909" s="29" t="str">
        <f>Detalle_OC[[#This Row],[Centro]]&amp;Detalle_OC[[#This Row],[Nom Almacen]]&amp;Detalle_OC[[#This Row],[Material]]&amp;Detalle_OC[[#This Row],[Pedido]]&amp;Detalle_OC[[#This Row],[Posicion]]</f>
        <v>Agricola del Chira PlantaSan Vicente70100392550002475130</v>
      </c>
      <c r="B2909" t="s">
        <v>28</v>
      </c>
      <c r="C2909" t="s">
        <v>54</v>
      </c>
      <c r="D2909" s="11">
        <v>45477</v>
      </c>
      <c r="E2909" t="s">
        <v>16</v>
      </c>
      <c r="F2909" t="s">
        <v>12</v>
      </c>
      <c r="G2909">
        <v>70100392</v>
      </c>
      <c r="H2909">
        <v>5500024751</v>
      </c>
      <c r="I2909">
        <v>30</v>
      </c>
      <c r="J2909" s="29">
        <v>3</v>
      </c>
      <c r="K2909" s="29" t="s">
        <v>367</v>
      </c>
      <c r="L2909" t="str">
        <f>IFERROR(VLOOKUP(Detalle_OC[[#This Row],[Centro]]&amp;Detalle_OC[[#This Row],[Nro Almacen]],Almacen!A:D,4,FALSE),"")</f>
        <v>San Vicente</v>
      </c>
    </row>
    <row r="2910" spans="1:12" x14ac:dyDescent="0.3">
      <c r="A2910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2910" t="s">
        <v>28</v>
      </c>
      <c r="C2910" t="s">
        <v>54</v>
      </c>
      <c r="D2910" s="11">
        <v>45474</v>
      </c>
      <c r="E2910" t="s">
        <v>16</v>
      </c>
      <c r="F2910" t="s">
        <v>12</v>
      </c>
      <c r="G2910">
        <v>70100392</v>
      </c>
      <c r="H2910">
        <v>5500024751</v>
      </c>
      <c r="I2910">
        <v>20</v>
      </c>
      <c r="J2910" s="29">
        <v>2</v>
      </c>
      <c r="K2910" s="29" t="s">
        <v>369</v>
      </c>
      <c r="L2910" t="str">
        <f>IFERROR(VLOOKUP(Detalle_OC[[#This Row],[Centro]]&amp;Detalle_OC[[#This Row],[Nro Almacen]],Almacen!A:D,4,FALSE),"")</f>
        <v>La Huaca</v>
      </c>
    </row>
    <row r="2911" spans="1:12" x14ac:dyDescent="0.3">
      <c r="A2911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2911" t="s">
        <v>28</v>
      </c>
      <c r="C2911" t="s">
        <v>54</v>
      </c>
      <c r="D2911" s="11">
        <v>45474</v>
      </c>
      <c r="E2911" t="s">
        <v>16</v>
      </c>
      <c r="F2911" t="s">
        <v>12</v>
      </c>
      <c r="G2911">
        <v>70100392</v>
      </c>
      <c r="H2911">
        <v>5500024751</v>
      </c>
      <c r="I2911">
        <v>40</v>
      </c>
      <c r="J2911" s="29">
        <v>7</v>
      </c>
      <c r="K2911" s="29" t="s">
        <v>369</v>
      </c>
      <c r="L2911" t="str">
        <f>IFERROR(VLOOKUP(Detalle_OC[[#This Row],[Centro]]&amp;Detalle_OC[[#This Row],[Nro Almacen]],Almacen!A:D,4,FALSE),"")</f>
        <v>Almacen Lobo</v>
      </c>
    </row>
    <row r="2912" spans="1:12" x14ac:dyDescent="0.3">
      <c r="A2912" s="29" t="str">
        <f>Detalle_OC[[#This Row],[Centro]]&amp;Detalle_OC[[#This Row],[Nom Almacen]]&amp;Detalle_OC[[#This Row],[Material]]&amp;Detalle_OC[[#This Row],[Pedido]]&amp;Detalle_OC[[#This Row],[Posicion]]</f>
        <v>Agricola del Chira PlantaMontelima8443975500019188280</v>
      </c>
      <c r="B2912" t="s">
        <v>28</v>
      </c>
      <c r="C2912" t="s">
        <v>82</v>
      </c>
      <c r="D2912" s="11">
        <v>45471</v>
      </c>
      <c r="E2912" t="s">
        <v>16</v>
      </c>
      <c r="F2912" t="s">
        <v>12</v>
      </c>
      <c r="G2912">
        <v>844397</v>
      </c>
      <c r="H2912">
        <v>5500019188</v>
      </c>
      <c r="I2912">
        <v>280</v>
      </c>
      <c r="J2912" s="29">
        <v>1</v>
      </c>
      <c r="K2912" s="29" t="s">
        <v>370</v>
      </c>
      <c r="L2912" t="str">
        <f>IFERROR(VLOOKUP(Detalle_OC[[#This Row],[Centro]]&amp;Detalle_OC[[#This Row],[Nro Almacen]],Almacen!A:D,4,FALSE),"")</f>
        <v>Montelima</v>
      </c>
    </row>
    <row r="2913" spans="1:12" x14ac:dyDescent="0.3">
      <c r="A2913" s="29" t="str">
        <f>Detalle_OC[[#This Row],[Centro]]&amp;Detalle_OC[[#This Row],[Nom Almacen]]&amp;Detalle_OC[[#This Row],[Material]]&amp;Detalle_OC[[#This Row],[Pedido]]&amp;Detalle_OC[[#This Row],[Posicion]]</f>
        <v>Agricola del Chira PlantaSan Vicente70100392550002475130</v>
      </c>
      <c r="B2913" t="s">
        <v>28</v>
      </c>
      <c r="C2913" t="s">
        <v>54</v>
      </c>
      <c r="D2913" s="11">
        <v>45471</v>
      </c>
      <c r="E2913" t="s">
        <v>16</v>
      </c>
      <c r="F2913" t="s">
        <v>12</v>
      </c>
      <c r="G2913">
        <v>70100392</v>
      </c>
      <c r="H2913">
        <v>5500024751</v>
      </c>
      <c r="I2913">
        <v>30</v>
      </c>
      <c r="J2913" s="29">
        <v>3</v>
      </c>
      <c r="K2913" s="29" t="s">
        <v>370</v>
      </c>
      <c r="L2913" t="str">
        <f>IFERROR(VLOOKUP(Detalle_OC[[#This Row],[Centro]]&amp;Detalle_OC[[#This Row],[Nro Almacen]],Almacen!A:D,4,FALSE),"")</f>
        <v>San Vicente</v>
      </c>
    </row>
    <row r="2914" spans="1:12" x14ac:dyDescent="0.3">
      <c r="A2914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2914" t="s">
        <v>28</v>
      </c>
      <c r="C2914" t="s">
        <v>84</v>
      </c>
      <c r="D2914" s="11">
        <v>45469</v>
      </c>
      <c r="E2914" t="s">
        <v>16</v>
      </c>
      <c r="F2914" t="s">
        <v>85</v>
      </c>
      <c r="G2914">
        <v>801846</v>
      </c>
      <c r="H2914">
        <v>5500022336</v>
      </c>
      <c r="I2914">
        <v>10</v>
      </c>
      <c r="J2914" s="29">
        <v>1</v>
      </c>
      <c r="K2914" s="29" t="s">
        <v>371</v>
      </c>
      <c r="L2914" t="str">
        <f>IFERROR(VLOOKUP(Detalle_OC[[#This Row],[Centro]]&amp;Detalle_OC[[#This Row],[Nro Almacen]],Almacen!A:D,4,FALSE),"")</f>
        <v>Montelima</v>
      </c>
    </row>
    <row r="2915" spans="1:12" x14ac:dyDescent="0.3">
      <c r="A2915" s="29" t="str">
        <f>Detalle_OC[[#This Row],[Centro]]&amp;Detalle_OC[[#This Row],[Nom Almacen]]&amp;Detalle_OC[[#This Row],[Material]]&amp;Detalle_OC[[#This Row],[Pedido]]&amp;Detalle_OC[[#This Row],[Posicion]]</f>
        <v>Agricola del Chira PlantaMontelima709179550002233820</v>
      </c>
      <c r="B2915" t="s">
        <v>28</v>
      </c>
      <c r="C2915" t="s">
        <v>84</v>
      </c>
      <c r="D2915" s="11">
        <v>45469</v>
      </c>
      <c r="E2915" t="s">
        <v>16</v>
      </c>
      <c r="F2915" t="s">
        <v>12</v>
      </c>
      <c r="G2915">
        <v>709179</v>
      </c>
      <c r="H2915">
        <v>5500022338</v>
      </c>
      <c r="I2915">
        <v>20</v>
      </c>
      <c r="J2915" s="29">
        <v>1</v>
      </c>
      <c r="K2915" s="29" t="s">
        <v>371</v>
      </c>
      <c r="L2915" t="str">
        <f>IFERROR(VLOOKUP(Detalle_OC[[#This Row],[Centro]]&amp;Detalle_OC[[#This Row],[Nro Almacen]],Almacen!A:D,4,FALSE),"")</f>
        <v>Montelima</v>
      </c>
    </row>
    <row r="2916" spans="1:12" x14ac:dyDescent="0.3">
      <c r="A2916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2916" t="s">
        <v>28</v>
      </c>
      <c r="C2916" t="s">
        <v>82</v>
      </c>
      <c r="D2916" s="11">
        <v>45468</v>
      </c>
      <c r="E2916" t="s">
        <v>16</v>
      </c>
      <c r="F2916" t="s">
        <v>12</v>
      </c>
      <c r="G2916">
        <v>844523</v>
      </c>
      <c r="H2916">
        <v>5500019188</v>
      </c>
      <c r="I2916">
        <v>140</v>
      </c>
      <c r="J2916" s="29">
        <v>1</v>
      </c>
      <c r="K2916" s="29" t="s">
        <v>372</v>
      </c>
      <c r="L2916" t="str">
        <f>IFERROR(VLOOKUP(Detalle_OC[[#This Row],[Centro]]&amp;Detalle_OC[[#This Row],[Nro Almacen]],Almacen!A:D,4,FALSE),"")</f>
        <v>Montelima</v>
      </c>
    </row>
    <row r="2917" spans="1:12" x14ac:dyDescent="0.3">
      <c r="A2917" s="29" t="str">
        <f>Detalle_OC[[#This Row],[Centro]]&amp;Detalle_OC[[#This Row],[Nom Almacen]]&amp;Detalle_OC[[#This Row],[Material]]&amp;Detalle_OC[[#This Row],[Pedido]]&amp;Detalle_OC[[#This Row],[Posicion]]</f>
        <v>Agricola del Chira PlantaMontelima8445115500019188180</v>
      </c>
      <c r="B2917" t="s">
        <v>28</v>
      </c>
      <c r="C2917" t="s">
        <v>82</v>
      </c>
      <c r="D2917" s="11">
        <v>45468</v>
      </c>
      <c r="E2917" t="s">
        <v>16</v>
      </c>
      <c r="F2917" t="s">
        <v>12</v>
      </c>
      <c r="G2917">
        <v>844511</v>
      </c>
      <c r="H2917">
        <v>5500019188</v>
      </c>
      <c r="I2917">
        <v>180</v>
      </c>
      <c r="J2917" s="29">
        <v>1</v>
      </c>
      <c r="K2917" s="29" t="s">
        <v>372</v>
      </c>
      <c r="L2917" t="str">
        <f>IFERROR(VLOOKUP(Detalle_OC[[#This Row],[Centro]]&amp;Detalle_OC[[#This Row],[Nro Almacen]],Almacen!A:D,4,FALSE),"")</f>
        <v>Montelima</v>
      </c>
    </row>
    <row r="2918" spans="1:12" x14ac:dyDescent="0.3">
      <c r="A2918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2918" t="s">
        <v>28</v>
      </c>
      <c r="C2918" t="s">
        <v>82</v>
      </c>
      <c r="D2918" s="11">
        <v>45468</v>
      </c>
      <c r="E2918" t="s">
        <v>16</v>
      </c>
      <c r="F2918" t="s">
        <v>12</v>
      </c>
      <c r="G2918">
        <v>844516</v>
      </c>
      <c r="H2918">
        <v>5500019188</v>
      </c>
      <c r="I2918">
        <v>190</v>
      </c>
      <c r="J2918" s="29">
        <v>1</v>
      </c>
      <c r="K2918" s="29" t="s">
        <v>372</v>
      </c>
      <c r="L2918" t="str">
        <f>IFERROR(VLOOKUP(Detalle_OC[[#This Row],[Centro]]&amp;Detalle_OC[[#This Row],[Nro Almacen]],Almacen!A:D,4,FALSE),"")</f>
        <v>Montelima</v>
      </c>
    </row>
    <row r="2919" spans="1:12" x14ac:dyDescent="0.3">
      <c r="A2919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2919" t="s">
        <v>28</v>
      </c>
      <c r="C2919" t="s">
        <v>82</v>
      </c>
      <c r="D2919" s="11">
        <v>45468</v>
      </c>
      <c r="E2919" t="s">
        <v>16</v>
      </c>
      <c r="F2919" t="s">
        <v>12</v>
      </c>
      <c r="G2919">
        <v>844515</v>
      </c>
      <c r="H2919">
        <v>5500019188</v>
      </c>
      <c r="I2919">
        <v>200</v>
      </c>
      <c r="J2919" s="29">
        <v>1</v>
      </c>
      <c r="K2919" s="29" t="s">
        <v>372</v>
      </c>
      <c r="L2919" t="str">
        <f>IFERROR(VLOOKUP(Detalle_OC[[#This Row],[Centro]]&amp;Detalle_OC[[#This Row],[Nro Almacen]],Almacen!A:D,4,FALSE),"")</f>
        <v>Montelima</v>
      </c>
    </row>
    <row r="2920" spans="1:12" x14ac:dyDescent="0.3">
      <c r="A2920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2920" t="s">
        <v>28</v>
      </c>
      <c r="C2920" t="s">
        <v>82</v>
      </c>
      <c r="D2920" s="11">
        <v>45468</v>
      </c>
      <c r="E2920" t="s">
        <v>16</v>
      </c>
      <c r="F2920" t="s">
        <v>12</v>
      </c>
      <c r="G2920">
        <v>844508</v>
      </c>
      <c r="H2920">
        <v>5500019188</v>
      </c>
      <c r="I2920">
        <v>220</v>
      </c>
      <c r="J2920" s="29">
        <v>1</v>
      </c>
      <c r="K2920" s="29" t="s">
        <v>372</v>
      </c>
      <c r="L2920" t="str">
        <f>IFERROR(VLOOKUP(Detalle_OC[[#This Row],[Centro]]&amp;Detalle_OC[[#This Row],[Nro Almacen]],Almacen!A:D,4,FALSE),"")</f>
        <v>Montelima</v>
      </c>
    </row>
    <row r="2921" spans="1:12" x14ac:dyDescent="0.3">
      <c r="A2921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2921" t="s">
        <v>28</v>
      </c>
      <c r="C2921" t="s">
        <v>82</v>
      </c>
      <c r="D2921" s="11">
        <v>45468</v>
      </c>
      <c r="E2921" t="s">
        <v>16</v>
      </c>
      <c r="F2921" t="s">
        <v>12</v>
      </c>
      <c r="G2921">
        <v>844508</v>
      </c>
      <c r="H2921">
        <v>5500019188</v>
      </c>
      <c r="I2921">
        <v>220</v>
      </c>
      <c r="J2921" s="29">
        <v>1</v>
      </c>
      <c r="K2921" s="29" t="s">
        <v>372</v>
      </c>
      <c r="L2921" t="str">
        <f>IFERROR(VLOOKUP(Detalle_OC[[#This Row],[Centro]]&amp;Detalle_OC[[#This Row],[Nro Almacen]],Almacen!A:D,4,FALSE),"")</f>
        <v>Montelima</v>
      </c>
    </row>
    <row r="2922" spans="1:12" x14ac:dyDescent="0.3">
      <c r="A2922" s="29" t="str">
        <f>Detalle_OC[[#This Row],[Centro]]&amp;Detalle_OC[[#This Row],[Nom Almacen]]&amp;Detalle_OC[[#This Row],[Material]]&amp;Detalle_OC[[#This Row],[Pedido]]&amp;Detalle_OC[[#This Row],[Posicion]]</f>
        <v>Agricola del Chira PlantaMontelima8445365500019188330</v>
      </c>
      <c r="B2922" t="s">
        <v>28</v>
      </c>
      <c r="C2922" t="s">
        <v>82</v>
      </c>
      <c r="D2922" s="11">
        <v>45468</v>
      </c>
      <c r="E2922" t="s">
        <v>16</v>
      </c>
      <c r="F2922" t="s">
        <v>12</v>
      </c>
      <c r="G2922">
        <v>844536</v>
      </c>
      <c r="H2922">
        <v>5500019188</v>
      </c>
      <c r="I2922">
        <v>330</v>
      </c>
      <c r="J2922" s="29">
        <v>1</v>
      </c>
      <c r="K2922" s="29" t="s">
        <v>372</v>
      </c>
      <c r="L2922" t="str">
        <f>IFERROR(VLOOKUP(Detalle_OC[[#This Row],[Centro]]&amp;Detalle_OC[[#This Row],[Nro Almacen]],Almacen!A:D,4,FALSE),"")</f>
        <v>Montelima</v>
      </c>
    </row>
    <row r="2923" spans="1:12" x14ac:dyDescent="0.3">
      <c r="A2923" s="29" t="str">
        <f>Detalle_OC[[#This Row],[Centro]]&amp;Detalle_OC[[#This Row],[Nom Almacen]]&amp;Detalle_OC[[#This Row],[Material]]&amp;Detalle_OC[[#This Row],[Pedido]]&amp;Detalle_OC[[#This Row],[Posicion]]</f>
        <v>Agricola del Chira PlantaMontelima8459085500019188350</v>
      </c>
      <c r="B2923" t="s">
        <v>28</v>
      </c>
      <c r="C2923" t="s">
        <v>82</v>
      </c>
      <c r="D2923" s="11">
        <v>45468</v>
      </c>
      <c r="E2923" t="s">
        <v>16</v>
      </c>
      <c r="F2923" t="s">
        <v>12</v>
      </c>
      <c r="G2923">
        <v>845908</v>
      </c>
      <c r="H2923">
        <v>5500019188</v>
      </c>
      <c r="I2923">
        <v>350</v>
      </c>
      <c r="J2923" s="29">
        <v>1</v>
      </c>
      <c r="K2923" s="29" t="s">
        <v>372</v>
      </c>
      <c r="L2923" t="str">
        <f>IFERROR(VLOOKUP(Detalle_OC[[#This Row],[Centro]]&amp;Detalle_OC[[#This Row],[Nro Almacen]],Almacen!A:D,4,FALSE),"")</f>
        <v>Montelima</v>
      </c>
    </row>
    <row r="2924" spans="1:12" x14ac:dyDescent="0.3">
      <c r="A2924" s="29" t="str">
        <f>Detalle_OC[[#This Row],[Centro]]&amp;Detalle_OC[[#This Row],[Nom Almacen]]&amp;Detalle_OC[[#This Row],[Material]]&amp;Detalle_OC[[#This Row],[Pedido]]&amp;Detalle_OC[[#This Row],[Posicion]]</f>
        <v>Agricola del Chira PlantaMontelima8445305500019188490</v>
      </c>
      <c r="B2924" t="s">
        <v>28</v>
      </c>
      <c r="C2924" t="s">
        <v>82</v>
      </c>
      <c r="D2924" s="11">
        <v>45468</v>
      </c>
      <c r="E2924" t="s">
        <v>16</v>
      </c>
      <c r="F2924" t="s">
        <v>12</v>
      </c>
      <c r="G2924">
        <v>844530</v>
      </c>
      <c r="H2924">
        <v>5500019188</v>
      </c>
      <c r="I2924">
        <v>490</v>
      </c>
      <c r="J2924" s="29">
        <v>1</v>
      </c>
      <c r="K2924" s="29" t="s">
        <v>372</v>
      </c>
      <c r="L2924" t="str">
        <f>IFERROR(VLOOKUP(Detalle_OC[[#This Row],[Centro]]&amp;Detalle_OC[[#This Row],[Nro Almacen]],Almacen!A:D,4,FALSE),"")</f>
        <v>Montelima</v>
      </c>
    </row>
    <row r="2925" spans="1:12" x14ac:dyDescent="0.3">
      <c r="A2925" s="29" t="str">
        <f>Detalle_OC[[#This Row],[Centro]]&amp;Detalle_OC[[#This Row],[Nom Almacen]]&amp;Detalle_OC[[#This Row],[Material]]&amp;Detalle_OC[[#This Row],[Pedido]]&amp;Detalle_OC[[#This Row],[Posicion]]</f>
        <v>Agricola del Chira PlantaMontelima8445205500019188520</v>
      </c>
      <c r="B2925" t="s">
        <v>28</v>
      </c>
      <c r="C2925" t="s">
        <v>82</v>
      </c>
      <c r="D2925" s="11">
        <v>45468</v>
      </c>
      <c r="E2925" t="s">
        <v>16</v>
      </c>
      <c r="F2925" t="s">
        <v>12</v>
      </c>
      <c r="G2925">
        <v>844520</v>
      </c>
      <c r="H2925">
        <v>5500019188</v>
      </c>
      <c r="I2925">
        <v>520</v>
      </c>
      <c r="J2925" s="29">
        <v>1</v>
      </c>
      <c r="K2925" s="29" t="s">
        <v>372</v>
      </c>
      <c r="L2925" t="str">
        <f>IFERROR(VLOOKUP(Detalle_OC[[#This Row],[Centro]]&amp;Detalle_OC[[#This Row],[Nro Almacen]],Almacen!A:D,4,FALSE),"")</f>
        <v>Montelima</v>
      </c>
    </row>
    <row r="2926" spans="1:12" x14ac:dyDescent="0.3">
      <c r="A2926" s="29" t="str">
        <f>Detalle_OC[[#This Row],[Centro]]&amp;Detalle_OC[[#This Row],[Nom Almacen]]&amp;Detalle_OC[[#This Row],[Material]]&amp;Detalle_OC[[#This Row],[Pedido]]&amp;Detalle_OC[[#This Row],[Posicion]]</f>
        <v>Agricola del Chira PlantaMontelima82638255000191881070</v>
      </c>
      <c r="B2926" t="s">
        <v>28</v>
      </c>
      <c r="C2926" t="s">
        <v>82</v>
      </c>
      <c r="D2926" s="11">
        <v>45468</v>
      </c>
      <c r="E2926" t="s">
        <v>16</v>
      </c>
      <c r="F2926" t="s">
        <v>12</v>
      </c>
      <c r="G2926">
        <v>826382</v>
      </c>
      <c r="H2926">
        <v>5500019188</v>
      </c>
      <c r="I2926">
        <v>1070</v>
      </c>
      <c r="J2926" s="29">
        <v>1</v>
      </c>
      <c r="K2926" s="29" t="s">
        <v>372</v>
      </c>
      <c r="L2926" t="str">
        <f>IFERROR(VLOOKUP(Detalle_OC[[#This Row],[Centro]]&amp;Detalle_OC[[#This Row],[Nro Almacen]],Almacen!A:D,4,FALSE),"")</f>
        <v>Montelima</v>
      </c>
    </row>
    <row r="2927" spans="1:12" x14ac:dyDescent="0.3">
      <c r="A2927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2927" t="s">
        <v>28</v>
      </c>
      <c r="C2927" t="s">
        <v>94</v>
      </c>
      <c r="D2927" s="11">
        <v>45467</v>
      </c>
      <c r="E2927" t="s">
        <v>16</v>
      </c>
      <c r="F2927" t="s">
        <v>85</v>
      </c>
      <c r="G2927" t="s">
        <v>95</v>
      </c>
      <c r="H2927">
        <v>5500024746</v>
      </c>
      <c r="I2927">
        <v>10</v>
      </c>
      <c r="J2927" s="29">
        <v>1</v>
      </c>
      <c r="K2927" s="29" t="s">
        <v>372</v>
      </c>
      <c r="L2927" t="str">
        <f>IFERROR(VLOOKUP(Detalle_OC[[#This Row],[Centro]]&amp;Detalle_OC[[#This Row],[Nro Almacen]],Almacen!A:D,4,FALSE),"")</f>
        <v>Montelima</v>
      </c>
    </row>
    <row r="2928" spans="1:12" x14ac:dyDescent="0.3">
      <c r="A2928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2928" t="s">
        <v>28</v>
      </c>
      <c r="C2928" t="s">
        <v>54</v>
      </c>
      <c r="D2928" s="11">
        <v>45468</v>
      </c>
      <c r="E2928" t="s">
        <v>16</v>
      </c>
      <c r="F2928" t="s">
        <v>12</v>
      </c>
      <c r="G2928">
        <v>70100392</v>
      </c>
      <c r="H2928">
        <v>5500024751</v>
      </c>
      <c r="I2928">
        <v>20</v>
      </c>
      <c r="J2928" s="29">
        <v>2</v>
      </c>
      <c r="K2928" s="29" t="s">
        <v>372</v>
      </c>
      <c r="L2928" t="str">
        <f>IFERROR(VLOOKUP(Detalle_OC[[#This Row],[Centro]]&amp;Detalle_OC[[#This Row],[Nro Almacen]],Almacen!A:D,4,FALSE),"")</f>
        <v>La Huaca</v>
      </c>
    </row>
    <row r="2929" spans="1:12" x14ac:dyDescent="0.3">
      <c r="A2929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2929" t="s">
        <v>28</v>
      </c>
      <c r="C2929" t="s">
        <v>54</v>
      </c>
      <c r="D2929" s="11">
        <v>45468</v>
      </c>
      <c r="E2929" t="s">
        <v>16</v>
      </c>
      <c r="F2929" t="s">
        <v>12</v>
      </c>
      <c r="G2929">
        <v>70100392</v>
      </c>
      <c r="H2929">
        <v>5500024751</v>
      </c>
      <c r="I2929">
        <v>40</v>
      </c>
      <c r="J2929" s="29">
        <v>7</v>
      </c>
      <c r="K2929" s="29" t="s">
        <v>372</v>
      </c>
      <c r="L2929" t="str">
        <f>IFERROR(VLOOKUP(Detalle_OC[[#This Row],[Centro]]&amp;Detalle_OC[[#This Row],[Nro Almacen]],Almacen!A:D,4,FALSE),"")</f>
        <v>Almacen Lobo</v>
      </c>
    </row>
    <row r="2930" spans="1:12" x14ac:dyDescent="0.3">
      <c r="A2930" s="29" t="str">
        <f>Detalle_OC[[#This Row],[Centro]]&amp;Detalle_OC[[#This Row],[Nom Almacen]]&amp;Detalle_OC[[#This Row],[Material]]&amp;Detalle_OC[[#This Row],[Pedido]]&amp;Detalle_OC[[#This Row],[Posicion]]</f>
        <v>Agricola del Chira PlantaMontelima70032053550002233880</v>
      </c>
      <c r="B2930" t="s">
        <v>28</v>
      </c>
      <c r="C2930" t="s">
        <v>84</v>
      </c>
      <c r="D2930" s="11">
        <v>45465</v>
      </c>
      <c r="E2930" t="s">
        <v>16</v>
      </c>
      <c r="F2930" t="s">
        <v>12</v>
      </c>
      <c r="G2930">
        <v>70032053</v>
      </c>
      <c r="H2930">
        <v>5500022338</v>
      </c>
      <c r="I2930">
        <v>80</v>
      </c>
      <c r="J2930" s="29">
        <v>1</v>
      </c>
      <c r="K2930" s="29" t="s">
        <v>373</v>
      </c>
      <c r="L2930" t="str">
        <f>IFERROR(VLOOKUP(Detalle_OC[[#This Row],[Centro]]&amp;Detalle_OC[[#This Row],[Nro Almacen]],Almacen!A:D,4,FALSE),"")</f>
        <v>Montelima</v>
      </c>
    </row>
    <row r="2931" spans="1:12" x14ac:dyDescent="0.3">
      <c r="A2931" s="29" t="str">
        <f>Detalle_OC[[#This Row],[Centro]]&amp;Detalle_OC[[#This Row],[Nom Almacen]]&amp;Detalle_OC[[#This Row],[Material]]&amp;Detalle_OC[[#This Row],[Pedido]]&amp;Detalle_OC[[#This Row],[Posicion]]</f>
        <v>Agricola del Chira PlantaSan Vicente70100392550002475130</v>
      </c>
      <c r="B2931" t="s">
        <v>28</v>
      </c>
      <c r="C2931" t="s">
        <v>54</v>
      </c>
      <c r="D2931" s="11">
        <v>45464</v>
      </c>
      <c r="E2931" t="s">
        <v>16</v>
      </c>
      <c r="F2931" t="s">
        <v>12</v>
      </c>
      <c r="G2931">
        <v>70100392</v>
      </c>
      <c r="H2931">
        <v>5500024751</v>
      </c>
      <c r="I2931">
        <v>30</v>
      </c>
      <c r="J2931" s="29">
        <v>3</v>
      </c>
      <c r="K2931" s="29" t="s">
        <v>374</v>
      </c>
      <c r="L2931" t="str">
        <f>IFERROR(VLOOKUP(Detalle_OC[[#This Row],[Centro]]&amp;Detalle_OC[[#This Row],[Nro Almacen]],Almacen!A:D,4,FALSE),"")</f>
        <v>San Vicente</v>
      </c>
    </row>
    <row r="2932" spans="1:12" x14ac:dyDescent="0.3">
      <c r="A2932" s="29" t="str">
        <f>Detalle_OC[[#This Row],[Centro]]&amp;Detalle_OC[[#This Row],[Nom Almacen]]&amp;Detalle_OC[[#This Row],[Material]]&amp;Detalle_OC[[#This Row],[Pedido]]&amp;Detalle_OC[[#This Row],[Posicion]]</f>
        <v>Sucroalcolera del Chira PlantaMontelimaMWCOLORCARAMELOGAR452009459510</v>
      </c>
      <c r="B2932" t="s">
        <v>384</v>
      </c>
      <c r="C2932" t="s">
        <v>385</v>
      </c>
      <c r="D2932" s="11">
        <v>45580</v>
      </c>
      <c r="E2932" t="s">
        <v>16</v>
      </c>
      <c r="F2932" t="s">
        <v>85</v>
      </c>
      <c r="G2932" t="s">
        <v>386</v>
      </c>
      <c r="H2932">
        <v>4520094595</v>
      </c>
      <c r="I2932">
        <v>10</v>
      </c>
      <c r="J2932" s="29">
        <v>1</v>
      </c>
      <c r="K2932" s="29" t="s">
        <v>375</v>
      </c>
      <c r="L2932" t="str">
        <f>IFERROR(VLOOKUP(Detalle_OC[[#This Row],[Centro]]&amp;Detalle_OC[[#This Row],[Nro Almacen]],Almacen!A:D,4,FALSE),"")</f>
        <v>Montelima</v>
      </c>
    </row>
    <row r="2933" spans="1:12" x14ac:dyDescent="0.3">
      <c r="A2933" s="29" t="str">
        <f>Detalle_OC[[#This Row],[Centro]]&amp;Detalle_OC[[#This Row],[Nom Almacen]]&amp;Detalle_OC[[#This Row],[Material]]&amp;Detalle_OC[[#This Row],[Pedido]]&amp;Detalle_OC[[#This Row],[Posicion]]</f>
        <v>Sucroalcolera del Chira PlantaMontelimaMWCOLORCARAMELOGAR452009459520</v>
      </c>
      <c r="B2933" t="s">
        <v>384</v>
      </c>
      <c r="C2933" t="s">
        <v>385</v>
      </c>
      <c r="D2933" s="11">
        <v>45618</v>
      </c>
      <c r="E2933" t="s">
        <v>16</v>
      </c>
      <c r="F2933" t="s">
        <v>85</v>
      </c>
      <c r="G2933" t="s">
        <v>386</v>
      </c>
      <c r="H2933">
        <v>4520094595</v>
      </c>
      <c r="I2933">
        <v>20</v>
      </c>
      <c r="J2933" s="29">
        <v>1</v>
      </c>
      <c r="K2933" s="29" t="s">
        <v>375</v>
      </c>
      <c r="L2933" t="str">
        <f>IFERROR(VLOOKUP(Detalle_OC[[#This Row],[Centro]]&amp;Detalle_OC[[#This Row],[Nro Almacen]],Almacen!A:D,4,FALSE),"")</f>
        <v>Montelima</v>
      </c>
    </row>
    <row r="2934" spans="1:12" x14ac:dyDescent="0.3">
      <c r="A2934" s="29" t="str">
        <f>Detalle_OC[[#This Row],[Centro]]&amp;Detalle_OC[[#This Row],[Nom Almacen]]&amp;Detalle_OC[[#This Row],[Material]]&amp;Detalle_OC[[#This Row],[Pedido]]&amp;Detalle_OC[[#This Row],[Posicion]]</f>
        <v>Sucroalcolera del Chira PlantaMontelimaMWCOLORCARAMELOGAR452009459530</v>
      </c>
      <c r="B2934" t="s">
        <v>384</v>
      </c>
      <c r="C2934" t="s">
        <v>385</v>
      </c>
      <c r="D2934" s="11">
        <v>45625</v>
      </c>
      <c r="E2934" t="s">
        <v>16</v>
      </c>
      <c r="F2934" t="s">
        <v>85</v>
      </c>
      <c r="G2934" t="s">
        <v>386</v>
      </c>
      <c r="H2934">
        <v>4520094595</v>
      </c>
      <c r="I2934">
        <v>30</v>
      </c>
      <c r="J2934" s="29">
        <v>1</v>
      </c>
      <c r="K2934" s="29" t="s">
        <v>375</v>
      </c>
      <c r="L2934" t="str">
        <f>IFERROR(VLOOKUP(Detalle_OC[[#This Row],[Centro]]&amp;Detalle_OC[[#This Row],[Nro Almacen]],Almacen!A:D,4,FALSE),"")</f>
        <v>Montelima</v>
      </c>
    </row>
    <row r="2935" spans="1:12" x14ac:dyDescent="0.3">
      <c r="A2935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2935" t="s">
        <v>28</v>
      </c>
      <c r="C2935" t="s">
        <v>94</v>
      </c>
      <c r="D2935" s="11">
        <v>45462</v>
      </c>
      <c r="E2935" t="s">
        <v>16</v>
      </c>
      <c r="F2935" t="s">
        <v>85</v>
      </c>
      <c r="G2935" t="s">
        <v>95</v>
      </c>
      <c r="H2935">
        <v>5500024746</v>
      </c>
      <c r="I2935">
        <v>10</v>
      </c>
      <c r="J2935" s="29">
        <v>1</v>
      </c>
      <c r="K2935" s="29" t="s">
        <v>376</v>
      </c>
      <c r="L2935" t="str">
        <f>IFERROR(VLOOKUP(Detalle_OC[[#This Row],[Centro]]&amp;Detalle_OC[[#This Row],[Nro Almacen]],Almacen!A:D,4,FALSE),"")</f>
        <v>Montelima</v>
      </c>
    </row>
    <row r="2936" spans="1:12" x14ac:dyDescent="0.3">
      <c r="A2936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2936" t="s">
        <v>28</v>
      </c>
      <c r="C2936" t="s">
        <v>54</v>
      </c>
      <c r="D2936" s="11">
        <v>45462</v>
      </c>
      <c r="E2936" t="s">
        <v>16</v>
      </c>
      <c r="F2936" t="s">
        <v>12</v>
      </c>
      <c r="G2936">
        <v>70100392</v>
      </c>
      <c r="H2936">
        <v>5500024751</v>
      </c>
      <c r="I2936">
        <v>40</v>
      </c>
      <c r="J2936" s="29">
        <v>7</v>
      </c>
      <c r="K2936" s="29" t="s">
        <v>376</v>
      </c>
      <c r="L2936" t="str">
        <f>IFERROR(VLOOKUP(Detalle_OC[[#This Row],[Centro]]&amp;Detalle_OC[[#This Row],[Nro Almacen]],Almacen!A:D,4,FALSE),"")</f>
        <v>Almacen Lobo</v>
      </c>
    </row>
    <row r="2937" spans="1:12" x14ac:dyDescent="0.3">
      <c r="A2937" s="29" t="str">
        <f>Detalle_OC[[#This Row],[Centro]]&amp;Detalle_OC[[#This Row],[Nom Almacen]]&amp;Detalle_OC[[#This Row],[Material]]&amp;Detalle_OC[[#This Row],[Pedido]]&amp;Detalle_OC[[#This Row],[Posicion]]</f>
        <v>Agricola del Chira PlantaSan Vicente70100392550002475130</v>
      </c>
      <c r="B2937" t="s">
        <v>28</v>
      </c>
      <c r="C2937" t="s">
        <v>54</v>
      </c>
      <c r="D2937" s="11">
        <v>45461</v>
      </c>
      <c r="E2937" t="s">
        <v>16</v>
      </c>
      <c r="F2937" t="s">
        <v>12</v>
      </c>
      <c r="G2937">
        <v>70100392</v>
      </c>
      <c r="H2937">
        <v>5500024751</v>
      </c>
      <c r="I2937">
        <v>30</v>
      </c>
      <c r="J2937" s="29">
        <v>3</v>
      </c>
      <c r="K2937" s="29" t="s">
        <v>377</v>
      </c>
      <c r="L2937" t="str">
        <f>IFERROR(VLOOKUP(Detalle_OC[[#This Row],[Centro]]&amp;Detalle_OC[[#This Row],[Nro Almacen]],Almacen!A:D,4,FALSE),"")</f>
        <v>San Vicente</v>
      </c>
    </row>
    <row r="2938" spans="1:12" x14ac:dyDescent="0.3">
      <c r="A2938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fábrica832270451155609010</v>
      </c>
      <c r="B2938" t="s">
        <v>176</v>
      </c>
      <c r="C2938" t="s">
        <v>278</v>
      </c>
      <c r="D2938" s="11">
        <v>45656</v>
      </c>
      <c r="E2938" t="s">
        <v>16</v>
      </c>
      <c r="F2938" t="s">
        <v>85</v>
      </c>
      <c r="G2938">
        <v>832270</v>
      </c>
      <c r="H2938">
        <v>4511556090</v>
      </c>
      <c r="I2938">
        <v>10</v>
      </c>
      <c r="J2938" s="29">
        <v>9</v>
      </c>
      <c r="K2938" s="29" t="s">
        <v>378</v>
      </c>
      <c r="L2938" t="str">
        <f>IFERROR(VLOOKUP(Detalle_OC[[#This Row],[Centro]]&amp;Detalle_OC[[#This Row],[Nro Almacen]],Almacen!A:D,4,FALSE),"")</f>
        <v>Parada fábrica</v>
      </c>
    </row>
    <row r="2939" spans="1:12" x14ac:dyDescent="0.3">
      <c r="A2939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2939" t="s">
        <v>28</v>
      </c>
      <c r="C2939" t="s">
        <v>54</v>
      </c>
      <c r="D2939" s="11">
        <v>45460</v>
      </c>
      <c r="E2939" t="s">
        <v>16</v>
      </c>
      <c r="F2939" t="s">
        <v>12</v>
      </c>
      <c r="G2939">
        <v>70100392</v>
      </c>
      <c r="H2939">
        <v>5500024751</v>
      </c>
      <c r="I2939">
        <v>20</v>
      </c>
      <c r="J2939" s="29">
        <v>2</v>
      </c>
      <c r="K2939" s="29" t="s">
        <v>378</v>
      </c>
      <c r="L2939" t="str">
        <f>IFERROR(VLOOKUP(Detalle_OC[[#This Row],[Centro]]&amp;Detalle_OC[[#This Row],[Nro Almacen]],Almacen!A:D,4,FALSE),"")</f>
        <v>La Huaca</v>
      </c>
    </row>
    <row r="2940" spans="1:12" x14ac:dyDescent="0.3">
      <c r="A2940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2940" t="s">
        <v>28</v>
      </c>
      <c r="C2940" t="s">
        <v>54</v>
      </c>
      <c r="D2940" s="11">
        <v>45460</v>
      </c>
      <c r="E2940" t="s">
        <v>16</v>
      </c>
      <c r="F2940" t="s">
        <v>12</v>
      </c>
      <c r="G2940">
        <v>70100392</v>
      </c>
      <c r="H2940">
        <v>5500024751</v>
      </c>
      <c r="I2940">
        <v>40</v>
      </c>
      <c r="J2940" s="29">
        <v>7</v>
      </c>
      <c r="K2940" s="29" t="s">
        <v>378</v>
      </c>
      <c r="L2940" t="str">
        <f>IFERROR(VLOOKUP(Detalle_OC[[#This Row],[Centro]]&amp;Detalle_OC[[#This Row],[Nro Almacen]],Almacen!A:D,4,FALSE),"")</f>
        <v>Almacen Lobo</v>
      </c>
    </row>
    <row r="2941" spans="1:12" x14ac:dyDescent="0.3">
      <c r="A2941" s="29" t="str">
        <f>Detalle_OC[[#This Row],[Centro]]&amp;Detalle_OC[[#This Row],[Nom Almacen]]&amp;Detalle_OC[[#This Row],[Material]]&amp;Detalle_OC[[#This Row],[Pedido]]&amp;Detalle_OC[[#This Row],[Posicion]]</f>
        <v>Agricola del Chira PlantaFERTI LOBO 2MWAGR000058       550002481530</v>
      </c>
      <c r="B2941" t="s">
        <v>28</v>
      </c>
      <c r="C2941" t="s">
        <v>112</v>
      </c>
      <c r="D2941" s="11">
        <v>45460</v>
      </c>
      <c r="E2941" t="s">
        <v>16</v>
      </c>
      <c r="F2941" t="s">
        <v>12</v>
      </c>
      <c r="G2941" t="s">
        <v>113</v>
      </c>
      <c r="H2941">
        <v>5500024815</v>
      </c>
      <c r="I2941">
        <v>30</v>
      </c>
      <c r="J2941" s="29">
        <v>23</v>
      </c>
      <c r="K2941" s="29" t="s">
        <v>378</v>
      </c>
      <c r="L2941" t="str">
        <f>IFERROR(VLOOKUP(Detalle_OC[[#This Row],[Centro]]&amp;Detalle_OC[[#This Row],[Nro Almacen]],Almacen!A:D,4,FALSE),"")</f>
        <v>FERTI LOBO 2</v>
      </c>
    </row>
    <row r="2942" spans="1:12" x14ac:dyDescent="0.3">
      <c r="A2942" s="29" t="str">
        <f>Detalle_OC[[#This Row],[Centro]]&amp;Detalle_OC[[#This Row],[Nom Almacen]]&amp;Detalle_OC[[#This Row],[Material]]&amp;Detalle_OC[[#This Row],[Pedido]]&amp;Detalle_OC[[#This Row],[Posicion]]</f>
        <v>Agricola del Chira PlantaFERTI LOBO 3MWAGR000058       550002481540</v>
      </c>
      <c r="B2942" t="s">
        <v>28</v>
      </c>
      <c r="C2942" t="s">
        <v>112</v>
      </c>
      <c r="D2942" s="11">
        <v>45460</v>
      </c>
      <c r="E2942" t="s">
        <v>16</v>
      </c>
      <c r="F2942" t="s">
        <v>12</v>
      </c>
      <c r="G2942" t="s">
        <v>113</v>
      </c>
      <c r="H2942">
        <v>5500024815</v>
      </c>
      <c r="I2942">
        <v>40</v>
      </c>
      <c r="J2942" s="29">
        <v>24</v>
      </c>
      <c r="K2942" s="29" t="s">
        <v>378</v>
      </c>
      <c r="L2942" t="str">
        <f>IFERROR(VLOOKUP(Detalle_OC[[#This Row],[Centro]]&amp;Detalle_OC[[#This Row],[Nro Almacen]],Almacen!A:D,4,FALSE),"")</f>
        <v>FERTI LOBO 3</v>
      </c>
    </row>
    <row r="2943" spans="1:12" x14ac:dyDescent="0.3">
      <c r="A2943" s="29" t="str">
        <f>Detalle_OC[[#This Row],[Centro]]&amp;Detalle_OC[[#This Row],[Nom Almacen]]&amp;Detalle_OC[[#This Row],[Material]]&amp;Detalle_OC[[#This Row],[Pedido]]&amp;Detalle_OC[[#This Row],[Posicion]]</f>
        <v>Sucroalcolera del Chira PlantaMontelimaMWSODACAUSTICA    550002478010</v>
      </c>
      <c r="B2943" t="s">
        <v>28</v>
      </c>
      <c r="C2943" t="s">
        <v>94</v>
      </c>
      <c r="D2943" s="11">
        <v>45457</v>
      </c>
      <c r="E2943" t="s">
        <v>16</v>
      </c>
      <c r="F2943" t="s">
        <v>85</v>
      </c>
      <c r="G2943" t="s">
        <v>1010</v>
      </c>
      <c r="H2943">
        <v>5500024780</v>
      </c>
      <c r="I2943">
        <v>10</v>
      </c>
      <c r="J2943" s="29">
        <v>1</v>
      </c>
      <c r="K2943" s="29" t="s">
        <v>379</v>
      </c>
      <c r="L2943" t="str">
        <f>IFERROR(VLOOKUP(Detalle_OC[[#This Row],[Centro]]&amp;Detalle_OC[[#This Row],[Nro Almacen]],Almacen!A:D,4,FALSE),"")</f>
        <v>Montelima</v>
      </c>
    </row>
    <row r="2944" spans="1:12" x14ac:dyDescent="0.3">
      <c r="A2944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2944" t="s">
        <v>28</v>
      </c>
      <c r="C2944" t="s">
        <v>54</v>
      </c>
      <c r="D2944" s="11">
        <v>45455</v>
      </c>
      <c r="E2944" t="s">
        <v>16</v>
      </c>
      <c r="F2944" t="s">
        <v>12</v>
      </c>
      <c r="G2944">
        <v>70100392</v>
      </c>
      <c r="H2944">
        <v>5500024751</v>
      </c>
      <c r="I2944">
        <v>20</v>
      </c>
      <c r="J2944" s="29">
        <v>2</v>
      </c>
      <c r="K2944" s="29" t="s">
        <v>380</v>
      </c>
      <c r="L2944" t="str">
        <f>IFERROR(VLOOKUP(Detalle_OC[[#This Row],[Centro]]&amp;Detalle_OC[[#This Row],[Nro Almacen]],Almacen!A:D,4,FALSE),"")</f>
        <v>La Huaca</v>
      </c>
    </row>
    <row r="2945" spans="1:12" x14ac:dyDescent="0.3">
      <c r="A2945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2945" t="s">
        <v>28</v>
      </c>
      <c r="C2945" t="s">
        <v>84</v>
      </c>
      <c r="D2945" s="11">
        <v>45462</v>
      </c>
      <c r="E2945" t="s">
        <v>16</v>
      </c>
      <c r="F2945" t="s">
        <v>85</v>
      </c>
      <c r="G2945">
        <v>806591</v>
      </c>
      <c r="H2945">
        <v>5500022336</v>
      </c>
      <c r="I2945">
        <v>20</v>
      </c>
      <c r="J2945" s="29">
        <v>1</v>
      </c>
      <c r="K2945" s="29" t="s">
        <v>381</v>
      </c>
      <c r="L2945" t="str">
        <f>IFERROR(VLOOKUP(Detalle_OC[[#This Row],[Centro]]&amp;Detalle_OC[[#This Row],[Nro Almacen]],Almacen!A:D,4,FALSE),"")</f>
        <v>Montelima</v>
      </c>
    </row>
    <row r="2946" spans="1:12" x14ac:dyDescent="0.3">
      <c r="A2946" s="29" t="str">
        <f>Detalle_OC[[#This Row],[Centro]]&amp;Detalle_OC[[#This Row],[Nom Almacen]]&amp;Detalle_OC[[#This Row],[Material]]&amp;Detalle_OC[[#This Row],[Pedido]]&amp;Detalle_OC[[#This Row],[Posicion]]</f>
        <v>Agricola del Chira PlantaMontelima808069550002233830</v>
      </c>
      <c r="B2946" t="s">
        <v>28</v>
      </c>
      <c r="C2946" t="s">
        <v>84</v>
      </c>
      <c r="D2946" s="11">
        <v>45455</v>
      </c>
      <c r="E2946" t="s">
        <v>16</v>
      </c>
      <c r="F2946" t="s">
        <v>12</v>
      </c>
      <c r="G2946">
        <v>808069</v>
      </c>
      <c r="H2946">
        <v>5500022338</v>
      </c>
      <c r="I2946">
        <v>30</v>
      </c>
      <c r="J2946" s="29">
        <v>1</v>
      </c>
      <c r="K2946" s="29" t="s">
        <v>381</v>
      </c>
      <c r="L2946" t="str">
        <f>IFERROR(VLOOKUP(Detalle_OC[[#This Row],[Centro]]&amp;Detalle_OC[[#This Row],[Nro Almacen]],Almacen!A:D,4,FALSE),"")</f>
        <v>Montelima</v>
      </c>
    </row>
    <row r="2947" spans="1:12" x14ac:dyDescent="0.3">
      <c r="A2947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2947" t="s">
        <v>28</v>
      </c>
      <c r="C2947" t="s">
        <v>84</v>
      </c>
      <c r="D2947" s="11">
        <v>45455</v>
      </c>
      <c r="E2947" t="s">
        <v>16</v>
      </c>
      <c r="F2947" t="s">
        <v>12</v>
      </c>
      <c r="G2947">
        <v>801846</v>
      </c>
      <c r="H2947">
        <v>5500022338</v>
      </c>
      <c r="I2947">
        <v>40</v>
      </c>
      <c r="J2947" s="29">
        <v>1</v>
      </c>
      <c r="K2947" s="29" t="s">
        <v>381</v>
      </c>
      <c r="L2947" t="str">
        <f>IFERROR(VLOOKUP(Detalle_OC[[#This Row],[Centro]]&amp;Detalle_OC[[#This Row],[Nro Almacen]],Almacen!A:D,4,FALSE),"")</f>
        <v>Montelima</v>
      </c>
    </row>
    <row r="2948" spans="1:12" x14ac:dyDescent="0.3">
      <c r="A2948" s="29" t="str">
        <f>Detalle_OC[[#This Row],[Centro]]&amp;Detalle_OC[[#This Row],[Nom Almacen]]&amp;Detalle_OC[[#This Row],[Material]]&amp;Detalle_OC[[#This Row],[Pedido]]&amp;Detalle_OC[[#This Row],[Posicion]]</f>
        <v>Agricola del Chira PlantaMontelima708707550002233850</v>
      </c>
      <c r="B2948" t="s">
        <v>28</v>
      </c>
      <c r="C2948" t="s">
        <v>84</v>
      </c>
      <c r="D2948" s="11">
        <v>45455</v>
      </c>
      <c r="E2948" t="s">
        <v>16</v>
      </c>
      <c r="F2948" t="s">
        <v>12</v>
      </c>
      <c r="G2948">
        <v>708707</v>
      </c>
      <c r="H2948">
        <v>5500022338</v>
      </c>
      <c r="I2948">
        <v>50</v>
      </c>
      <c r="J2948" s="29">
        <v>1</v>
      </c>
      <c r="K2948" s="29" t="s">
        <v>381</v>
      </c>
      <c r="L2948" t="str">
        <f>IFERROR(VLOOKUP(Detalle_OC[[#This Row],[Centro]]&amp;Detalle_OC[[#This Row],[Nro Almacen]],Almacen!A:D,4,FALSE),"")</f>
        <v>Montelima</v>
      </c>
    </row>
    <row r="2949" spans="1:12" x14ac:dyDescent="0.3">
      <c r="A2949" s="29" t="str">
        <f>Detalle_OC[[#This Row],[Centro]]&amp;Detalle_OC[[#This Row],[Nom Almacen]]&amp;Detalle_OC[[#This Row],[Material]]&amp;Detalle_OC[[#This Row],[Pedido]]&amp;Detalle_OC[[#This Row],[Posicion]]</f>
        <v>Sucroalcolera del Chira PlantaMontelima70084357550002468220</v>
      </c>
      <c r="B2949" t="s">
        <v>28</v>
      </c>
      <c r="C2949" t="s">
        <v>84</v>
      </c>
      <c r="D2949" s="11">
        <v>45462</v>
      </c>
      <c r="E2949" t="s">
        <v>16</v>
      </c>
      <c r="F2949" t="s">
        <v>85</v>
      </c>
      <c r="G2949">
        <v>70084357</v>
      </c>
      <c r="H2949">
        <v>5500024682</v>
      </c>
      <c r="I2949">
        <v>20</v>
      </c>
      <c r="J2949" s="29">
        <v>1</v>
      </c>
      <c r="K2949" s="29" t="s">
        <v>381</v>
      </c>
      <c r="L2949" t="str">
        <f>IFERROR(VLOOKUP(Detalle_OC[[#This Row],[Centro]]&amp;Detalle_OC[[#This Row],[Nro Almacen]],Almacen!A:D,4,FALSE),"")</f>
        <v>Montelima</v>
      </c>
    </row>
    <row r="2950" spans="1:12" x14ac:dyDescent="0.3">
      <c r="A2950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2950" t="s">
        <v>28</v>
      </c>
      <c r="C2950" t="s">
        <v>54</v>
      </c>
      <c r="D2950" s="11">
        <v>45455</v>
      </c>
      <c r="E2950" t="s">
        <v>16</v>
      </c>
      <c r="F2950" t="s">
        <v>12</v>
      </c>
      <c r="G2950">
        <v>70100392</v>
      </c>
      <c r="H2950">
        <v>5500024751</v>
      </c>
      <c r="I2950">
        <v>40</v>
      </c>
      <c r="J2950" s="29">
        <v>7</v>
      </c>
      <c r="K2950" s="29" t="s">
        <v>381</v>
      </c>
      <c r="L2950" t="str">
        <f>IFERROR(VLOOKUP(Detalle_OC[[#This Row],[Centro]]&amp;Detalle_OC[[#This Row],[Nro Almacen]],Almacen!A:D,4,FALSE),"")</f>
        <v>Almacen Lobo</v>
      </c>
    </row>
    <row r="2951" spans="1:12" x14ac:dyDescent="0.3">
      <c r="A2951" s="29" t="str">
        <f>Detalle_OC[[#This Row],[Centro]]&amp;Detalle_OC[[#This Row],[Nom Almacen]]&amp;Detalle_OC[[#This Row],[Material]]&amp;Detalle_OC[[#This Row],[Pedido]]&amp;Detalle_OC[[#This Row],[Posicion]]</f>
        <v>Sucroalcolera del Chira PlantaMontelima70084363550002468250</v>
      </c>
      <c r="B2951" t="s">
        <v>28</v>
      </c>
      <c r="C2951" t="s">
        <v>84</v>
      </c>
      <c r="D2951" s="11">
        <v>45454</v>
      </c>
      <c r="E2951" t="s">
        <v>16</v>
      </c>
      <c r="F2951" t="s">
        <v>85</v>
      </c>
      <c r="G2951">
        <v>70084363</v>
      </c>
      <c r="H2951">
        <v>5500024682</v>
      </c>
      <c r="I2951">
        <v>50</v>
      </c>
      <c r="J2951" s="29">
        <v>1</v>
      </c>
      <c r="K2951" s="29" t="s">
        <v>382</v>
      </c>
      <c r="L2951" t="str">
        <f>IFERROR(VLOOKUP(Detalle_OC[[#This Row],[Centro]]&amp;Detalle_OC[[#This Row],[Nro Almacen]],Almacen!A:D,4,FALSE),"")</f>
        <v>Montelima</v>
      </c>
    </row>
    <row r="2952" spans="1:12" x14ac:dyDescent="0.3">
      <c r="A2952" s="29" t="str">
        <f>Detalle_OC[[#This Row],[Centro]]&amp;Detalle_OC[[#This Row],[Nom Almacen]]&amp;Detalle_OC[[#This Row],[Material]]&amp;Detalle_OC[[#This Row],[Pedido]]&amp;Detalle_OC[[#This Row],[Posicion]]</f>
        <v>Sucroalcolera del Chira PlantaMontelima70084365550002468260</v>
      </c>
      <c r="B2952" t="s">
        <v>28</v>
      </c>
      <c r="C2952" t="s">
        <v>84</v>
      </c>
      <c r="D2952" s="11">
        <v>45454</v>
      </c>
      <c r="E2952" t="s">
        <v>16</v>
      </c>
      <c r="F2952" t="s">
        <v>85</v>
      </c>
      <c r="G2952">
        <v>70084365</v>
      </c>
      <c r="H2952">
        <v>5500024682</v>
      </c>
      <c r="I2952">
        <v>60</v>
      </c>
      <c r="J2952" s="29">
        <v>1</v>
      </c>
      <c r="K2952" s="29" t="s">
        <v>382</v>
      </c>
      <c r="L2952" t="str">
        <f>IFERROR(VLOOKUP(Detalle_OC[[#This Row],[Centro]]&amp;Detalle_OC[[#This Row],[Nro Almacen]],Almacen!A:D,4,FALSE),"")</f>
        <v>Montelima</v>
      </c>
    </row>
    <row r="2953" spans="1:12" x14ac:dyDescent="0.3">
      <c r="A2953" s="29" t="str">
        <f>Detalle_OC[[#This Row],[Centro]]&amp;Detalle_OC[[#This Row],[Nom Almacen]]&amp;Detalle_OC[[#This Row],[Material]]&amp;Detalle_OC[[#This Row],[Pedido]]&amp;Detalle_OC[[#This Row],[Posicion]]</f>
        <v>Agricola del Chira PlantaFERTI LOBO 2701226550002476620</v>
      </c>
      <c r="B2953" t="s">
        <v>28</v>
      </c>
      <c r="C2953" t="s">
        <v>112</v>
      </c>
      <c r="D2953" s="11">
        <v>45454</v>
      </c>
      <c r="E2953" t="s">
        <v>16</v>
      </c>
      <c r="F2953" t="s">
        <v>12</v>
      </c>
      <c r="G2953">
        <v>701226</v>
      </c>
      <c r="H2953">
        <v>5500024766</v>
      </c>
      <c r="I2953">
        <v>20</v>
      </c>
      <c r="J2953" s="29">
        <v>23</v>
      </c>
      <c r="K2953" s="29" t="s">
        <v>382</v>
      </c>
      <c r="L2953" t="str">
        <f>IFERROR(VLOOKUP(Detalle_OC[[#This Row],[Centro]]&amp;Detalle_OC[[#This Row],[Nro Almacen]],Almacen!A:D,4,FALSE),"")</f>
        <v>FERTI LOBO 2</v>
      </c>
    </row>
    <row r="2954" spans="1:12" x14ac:dyDescent="0.3">
      <c r="A2954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2954" t="s">
        <v>28</v>
      </c>
      <c r="C2954" t="s">
        <v>94</v>
      </c>
      <c r="D2954" s="11">
        <v>45451</v>
      </c>
      <c r="E2954" t="s">
        <v>16</v>
      </c>
      <c r="F2954" t="s">
        <v>85</v>
      </c>
      <c r="G2954" t="s">
        <v>95</v>
      </c>
      <c r="H2954">
        <v>5500024746</v>
      </c>
      <c r="I2954">
        <v>10</v>
      </c>
      <c r="J2954" s="29">
        <v>1</v>
      </c>
      <c r="K2954" s="29" t="s">
        <v>383</v>
      </c>
      <c r="L2954" t="str">
        <f>IFERROR(VLOOKUP(Detalle_OC[[#This Row],[Centro]]&amp;Detalle_OC[[#This Row],[Nro Almacen]],Almacen!A:D,4,FALSE),"")</f>
        <v>Montelima</v>
      </c>
    </row>
    <row r="2955" spans="1:12" x14ac:dyDescent="0.3">
      <c r="A2955" s="29" t="str">
        <f>Detalle_OC[[#This Row],[Centro]]&amp;Detalle_OC[[#This Row],[Nom Almacen]]&amp;Detalle_OC[[#This Row],[Material]]&amp;Detalle_OC[[#This Row],[Pedido]]&amp;Detalle_OC[[#This Row],[Posicion]]</f>
        <v>Agricola del Chira PlantaSan Vicente70100392550002475130</v>
      </c>
      <c r="B2955" t="s">
        <v>28</v>
      </c>
      <c r="C2955" t="s">
        <v>54</v>
      </c>
      <c r="D2955" s="11">
        <v>45453</v>
      </c>
      <c r="E2955" t="s">
        <v>16</v>
      </c>
      <c r="F2955" t="s">
        <v>12</v>
      </c>
      <c r="G2955">
        <v>70100392</v>
      </c>
      <c r="H2955">
        <v>5500024751</v>
      </c>
      <c r="I2955">
        <v>30</v>
      </c>
      <c r="J2955" s="29">
        <v>3</v>
      </c>
      <c r="K2955" s="29" t="s">
        <v>383</v>
      </c>
      <c r="L2955" t="str">
        <f>IFERROR(VLOOKUP(Detalle_OC[[#This Row],[Centro]]&amp;Detalle_OC[[#This Row],[Nro Almacen]],Almacen!A:D,4,FALSE),"")</f>
        <v>San Vicente</v>
      </c>
    </row>
    <row r="2956" spans="1:12" x14ac:dyDescent="0.3">
      <c r="A2956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2956" t="s">
        <v>28</v>
      </c>
      <c r="C2956" t="s">
        <v>94</v>
      </c>
      <c r="D2956" s="11">
        <v>45449</v>
      </c>
      <c r="E2956" t="s">
        <v>16</v>
      </c>
      <c r="F2956" t="s">
        <v>85</v>
      </c>
      <c r="G2956" t="s">
        <v>95</v>
      </c>
      <c r="H2956">
        <v>5500024746</v>
      </c>
      <c r="I2956">
        <v>10</v>
      </c>
      <c r="J2956" s="29">
        <v>1</v>
      </c>
      <c r="K2956" s="29" t="s">
        <v>387</v>
      </c>
      <c r="L2956" t="str">
        <f>IFERROR(VLOOKUP(Detalle_OC[[#This Row],[Centro]]&amp;Detalle_OC[[#This Row],[Nro Almacen]],Almacen!A:D,4,FALSE),"")</f>
        <v>Montelima</v>
      </c>
    </row>
    <row r="2957" spans="1:12" x14ac:dyDescent="0.3">
      <c r="A2957" s="29" t="str">
        <f>Detalle_OC[[#This Row],[Centro]]&amp;Detalle_OC[[#This Row],[Nom Almacen]]&amp;Detalle_OC[[#This Row],[Material]]&amp;Detalle_OC[[#This Row],[Pedido]]&amp;Detalle_OC[[#This Row],[Posicion]]</f>
        <v>Agricola del Chira PlantaMontelima70100392550002475110</v>
      </c>
      <c r="B2957" t="s">
        <v>28</v>
      </c>
      <c r="C2957" t="s">
        <v>54</v>
      </c>
      <c r="D2957" s="11">
        <v>45449</v>
      </c>
      <c r="E2957" t="s">
        <v>16</v>
      </c>
      <c r="F2957" t="s">
        <v>12</v>
      </c>
      <c r="G2957">
        <v>70100392</v>
      </c>
      <c r="H2957">
        <v>5500024751</v>
      </c>
      <c r="I2957">
        <v>10</v>
      </c>
      <c r="J2957" s="29">
        <v>1</v>
      </c>
      <c r="K2957" s="29" t="s">
        <v>387</v>
      </c>
      <c r="L2957" t="str">
        <f>IFERROR(VLOOKUP(Detalle_OC[[#This Row],[Centro]]&amp;Detalle_OC[[#This Row],[Nro Almacen]],Almacen!A:D,4,FALSE),"")</f>
        <v>Montelima</v>
      </c>
    </row>
    <row r="2958" spans="1:12" x14ac:dyDescent="0.3">
      <c r="A2958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2958" t="s">
        <v>28</v>
      </c>
      <c r="C2958" t="s">
        <v>54</v>
      </c>
      <c r="D2958" s="11">
        <v>45449</v>
      </c>
      <c r="E2958" t="s">
        <v>16</v>
      </c>
      <c r="F2958" t="s">
        <v>12</v>
      </c>
      <c r="G2958">
        <v>70100392</v>
      </c>
      <c r="H2958">
        <v>5500024751</v>
      </c>
      <c r="I2958">
        <v>20</v>
      </c>
      <c r="J2958" s="29">
        <v>2</v>
      </c>
      <c r="K2958" s="29" t="s">
        <v>387</v>
      </c>
      <c r="L2958" t="str">
        <f>IFERROR(VLOOKUP(Detalle_OC[[#This Row],[Centro]]&amp;Detalle_OC[[#This Row],[Nro Almacen]],Almacen!A:D,4,FALSE),"")</f>
        <v>La Huaca</v>
      </c>
    </row>
    <row r="2959" spans="1:12" x14ac:dyDescent="0.3">
      <c r="A2959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2959" t="s">
        <v>28</v>
      </c>
      <c r="C2959" t="s">
        <v>54</v>
      </c>
      <c r="D2959" s="11">
        <v>45449</v>
      </c>
      <c r="E2959" t="s">
        <v>16</v>
      </c>
      <c r="F2959" t="s">
        <v>12</v>
      </c>
      <c r="G2959">
        <v>70100392</v>
      </c>
      <c r="H2959">
        <v>5500024751</v>
      </c>
      <c r="I2959">
        <v>40</v>
      </c>
      <c r="J2959" s="29">
        <v>7</v>
      </c>
      <c r="K2959" s="29" t="s">
        <v>387</v>
      </c>
      <c r="L2959" t="str">
        <f>IFERROR(VLOOKUP(Detalle_OC[[#This Row],[Centro]]&amp;Detalle_OC[[#This Row],[Nro Almacen]],Almacen!A:D,4,FALSE),"")</f>
        <v>Almacen Lobo</v>
      </c>
    </row>
    <row r="2960" spans="1:12" x14ac:dyDescent="0.3">
      <c r="A2960" s="29" t="str">
        <f>Detalle_OC[[#This Row],[Centro]]&amp;Detalle_OC[[#This Row],[Nom Almacen]]&amp;Detalle_OC[[#This Row],[Material]]&amp;Detalle_OC[[#This Row],[Pedido]]&amp;Detalle_OC[[#This Row],[Posicion]]</f>
        <v>Agricola del Chira PlantaMontelima70084357550002468140</v>
      </c>
      <c r="B2960" t="s">
        <v>28</v>
      </c>
      <c r="C2960" t="s">
        <v>84</v>
      </c>
      <c r="D2960" s="11">
        <v>45448</v>
      </c>
      <c r="E2960" t="s">
        <v>16</v>
      </c>
      <c r="F2960" t="s">
        <v>12</v>
      </c>
      <c r="G2960">
        <v>70084357</v>
      </c>
      <c r="H2960">
        <v>5500024681</v>
      </c>
      <c r="I2960">
        <v>40</v>
      </c>
      <c r="J2960" s="29">
        <v>1</v>
      </c>
      <c r="K2960" s="29" t="s">
        <v>388</v>
      </c>
      <c r="L2960" t="str">
        <f>IFERROR(VLOOKUP(Detalle_OC[[#This Row],[Centro]]&amp;Detalle_OC[[#This Row],[Nro Almacen]],Almacen!A:D,4,FALSE),"")</f>
        <v>Montelima</v>
      </c>
    </row>
    <row r="2961" spans="1:12" x14ac:dyDescent="0.3">
      <c r="A2961" s="29" t="str">
        <f>Detalle_OC[[#This Row],[Centro]]&amp;Detalle_OC[[#This Row],[Nom Almacen]]&amp;Detalle_OC[[#This Row],[Material]]&amp;Detalle_OC[[#This Row],[Pedido]]&amp;Detalle_OC[[#This Row],[Posicion]]</f>
        <v>Agricola del Chira PlantaSan Vicente70100392550002475130</v>
      </c>
      <c r="B2961" t="s">
        <v>28</v>
      </c>
      <c r="C2961" t="s">
        <v>54</v>
      </c>
      <c r="D2961" s="11">
        <v>45447</v>
      </c>
      <c r="E2961" t="s">
        <v>16</v>
      </c>
      <c r="F2961" t="s">
        <v>12</v>
      </c>
      <c r="G2961">
        <v>70100392</v>
      </c>
      <c r="H2961">
        <v>5500024751</v>
      </c>
      <c r="I2961">
        <v>30</v>
      </c>
      <c r="J2961" s="29">
        <v>3</v>
      </c>
      <c r="K2961" s="29" t="s">
        <v>389</v>
      </c>
      <c r="L2961" t="str">
        <f>IFERROR(VLOOKUP(Detalle_OC[[#This Row],[Centro]]&amp;Detalle_OC[[#This Row],[Nro Almacen]],Almacen!A:D,4,FALSE),"")</f>
        <v>San Vicente</v>
      </c>
    </row>
    <row r="2962" spans="1:12" x14ac:dyDescent="0.3">
      <c r="A2962" s="29" t="str">
        <f>Detalle_OC[[#This Row],[Centro]]&amp;Detalle_OC[[#This Row],[Nom Almacen]]&amp;Detalle_OC[[#This Row],[Material]]&amp;Detalle_OC[[#This Row],[Pedido]]&amp;Detalle_OC[[#This Row],[Posicion]]</f>
        <v>Agricola del Chira PlantaLa HuacaMWAGR000058       550002481510</v>
      </c>
      <c r="B2962" t="s">
        <v>28</v>
      </c>
      <c r="C2962" t="s">
        <v>112</v>
      </c>
      <c r="D2962" s="11">
        <v>45446</v>
      </c>
      <c r="E2962" t="s">
        <v>16</v>
      </c>
      <c r="F2962" t="s">
        <v>12</v>
      </c>
      <c r="G2962" t="s">
        <v>113</v>
      </c>
      <c r="H2962">
        <v>5500024815</v>
      </c>
      <c r="I2962">
        <v>10</v>
      </c>
      <c r="J2962" s="29">
        <v>2</v>
      </c>
      <c r="K2962" s="29" t="s">
        <v>389</v>
      </c>
      <c r="L2962" t="str">
        <f>IFERROR(VLOOKUP(Detalle_OC[[#This Row],[Centro]]&amp;Detalle_OC[[#This Row],[Nro Almacen]],Almacen!A:D,4,FALSE),"")</f>
        <v>La Huaca</v>
      </c>
    </row>
    <row r="2963" spans="1:12" x14ac:dyDescent="0.3">
      <c r="A2963" s="29" t="str">
        <f>Detalle_OC[[#This Row],[Centro]]&amp;Detalle_OC[[#This Row],[Nom Almacen]]&amp;Detalle_OC[[#This Row],[Material]]&amp;Detalle_OC[[#This Row],[Pedido]]&amp;Detalle_OC[[#This Row],[Posicion]]</f>
        <v>Agricola del Chira PlantaFERTI LOBO 3MWAGR000058       550002481540</v>
      </c>
      <c r="B2963" t="s">
        <v>28</v>
      </c>
      <c r="C2963" t="s">
        <v>112</v>
      </c>
      <c r="D2963" s="11">
        <v>45446</v>
      </c>
      <c r="E2963" t="s">
        <v>16</v>
      </c>
      <c r="F2963" t="s">
        <v>12</v>
      </c>
      <c r="G2963" t="s">
        <v>113</v>
      </c>
      <c r="H2963">
        <v>5500024815</v>
      </c>
      <c r="I2963">
        <v>40</v>
      </c>
      <c r="J2963" s="29">
        <v>24</v>
      </c>
      <c r="K2963" s="29" t="s">
        <v>389</v>
      </c>
      <c r="L2963" t="str">
        <f>IFERROR(VLOOKUP(Detalle_OC[[#This Row],[Centro]]&amp;Detalle_OC[[#This Row],[Nro Almacen]],Almacen!A:D,4,FALSE),"")</f>
        <v>FERTI LOBO 3</v>
      </c>
    </row>
    <row r="2964" spans="1:12" x14ac:dyDescent="0.3">
      <c r="A2964" s="29" t="str">
        <f>Detalle_OC[[#This Row],[Centro]]&amp;Detalle_OC[[#This Row],[Nom Almacen]]&amp;Detalle_OC[[#This Row],[Material]]&amp;Detalle_OC[[#This Row],[Pedido]]&amp;Detalle_OC[[#This Row],[Posicion]]</f>
        <v>Sucroalcolera del Chira PlantaMontelima877838451155483110</v>
      </c>
      <c r="B2964" t="s">
        <v>202</v>
      </c>
      <c r="C2964" t="s">
        <v>319</v>
      </c>
      <c r="D2964" s="11">
        <v>45600</v>
      </c>
      <c r="E2964" t="s">
        <v>16</v>
      </c>
      <c r="F2964" t="s">
        <v>85</v>
      </c>
      <c r="G2964">
        <v>877838</v>
      </c>
      <c r="H2964">
        <v>4511554831</v>
      </c>
      <c r="I2964">
        <v>10</v>
      </c>
      <c r="J2964" s="29">
        <v>1</v>
      </c>
      <c r="K2964" s="29" t="s">
        <v>390</v>
      </c>
      <c r="L2964" t="str">
        <f>IFERROR(VLOOKUP(Detalle_OC[[#This Row],[Centro]]&amp;Detalle_OC[[#This Row],[Nro Almacen]],Almacen!A:D,4,FALSE),"")</f>
        <v>Montelima</v>
      </c>
    </row>
    <row r="2965" spans="1:12" x14ac:dyDescent="0.3">
      <c r="A2965" s="29" t="str">
        <f>Detalle_OC[[#This Row],[Centro]]&amp;Detalle_OC[[#This Row],[Nom Almacen]]&amp;Detalle_OC[[#This Row],[Material]]&amp;Detalle_OC[[#This Row],[Pedido]]&amp;Detalle_OC[[#This Row],[Posicion]]</f>
        <v>Agricola del Chira PlantaMontelima70100392550002475110</v>
      </c>
      <c r="B2965" t="s">
        <v>28</v>
      </c>
      <c r="C2965" t="s">
        <v>54</v>
      </c>
      <c r="D2965" s="11">
        <v>45446</v>
      </c>
      <c r="E2965" t="s">
        <v>16</v>
      </c>
      <c r="F2965" t="s">
        <v>12</v>
      </c>
      <c r="G2965">
        <v>70100392</v>
      </c>
      <c r="H2965">
        <v>5500024751</v>
      </c>
      <c r="I2965">
        <v>10</v>
      </c>
      <c r="J2965" s="29">
        <v>1</v>
      </c>
      <c r="K2965" s="29" t="s">
        <v>390</v>
      </c>
      <c r="L2965" t="str">
        <f>IFERROR(VLOOKUP(Detalle_OC[[#This Row],[Centro]]&amp;Detalle_OC[[#This Row],[Nro Almacen]],Almacen!A:D,4,FALSE),"")</f>
        <v>Montelima</v>
      </c>
    </row>
    <row r="2966" spans="1:12" x14ac:dyDescent="0.3">
      <c r="A2966" s="29" t="str">
        <f>Detalle_OC[[#This Row],[Centro]]&amp;Detalle_OC[[#This Row],[Nom Almacen]]&amp;Detalle_OC[[#This Row],[Material]]&amp;Detalle_OC[[#This Row],[Pedido]]&amp;Detalle_OC[[#This Row],[Posicion]]</f>
        <v>Sucroalcolera del Chira PlantaMontelimaMWSODACAUSTICA    550002478010</v>
      </c>
      <c r="B2966" t="s">
        <v>28</v>
      </c>
      <c r="C2966" t="s">
        <v>94</v>
      </c>
      <c r="D2966" s="11">
        <v>45444</v>
      </c>
      <c r="E2966" t="s">
        <v>16</v>
      </c>
      <c r="F2966" t="s">
        <v>85</v>
      </c>
      <c r="G2966" t="s">
        <v>1010</v>
      </c>
      <c r="H2966">
        <v>5500024780</v>
      </c>
      <c r="I2966">
        <v>10</v>
      </c>
      <c r="J2966" s="29">
        <v>1</v>
      </c>
      <c r="K2966" s="29" t="s">
        <v>1219</v>
      </c>
      <c r="L2966" t="str">
        <f>IFERROR(VLOOKUP(Detalle_OC[[#This Row],[Centro]]&amp;Detalle_OC[[#This Row],[Nro Almacen]],Almacen!A:D,4,FALSE),"")</f>
        <v>Montelima</v>
      </c>
    </row>
    <row r="2967" spans="1:12" x14ac:dyDescent="0.3">
      <c r="A2967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2967" t="s">
        <v>28</v>
      </c>
      <c r="C2967" t="s">
        <v>94</v>
      </c>
      <c r="D2967" s="11">
        <v>45442</v>
      </c>
      <c r="E2967" t="s">
        <v>16</v>
      </c>
      <c r="F2967" t="s">
        <v>85</v>
      </c>
      <c r="G2967" t="s">
        <v>95</v>
      </c>
      <c r="H2967">
        <v>5500024746</v>
      </c>
      <c r="I2967">
        <v>10</v>
      </c>
      <c r="J2967" s="29">
        <v>1</v>
      </c>
      <c r="K2967" s="29" t="s">
        <v>391</v>
      </c>
      <c r="L2967" t="str">
        <f>IFERROR(VLOOKUP(Detalle_OC[[#This Row],[Centro]]&amp;Detalle_OC[[#This Row],[Nro Almacen]],Almacen!A:D,4,FALSE),"")</f>
        <v>Montelima</v>
      </c>
    </row>
    <row r="2968" spans="1:12" x14ac:dyDescent="0.3">
      <c r="A2968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2968" t="s">
        <v>28</v>
      </c>
      <c r="C2968" t="s">
        <v>54</v>
      </c>
      <c r="D2968" s="11">
        <v>45444</v>
      </c>
      <c r="E2968" t="s">
        <v>16</v>
      </c>
      <c r="F2968" t="s">
        <v>12</v>
      </c>
      <c r="G2968">
        <v>70100392</v>
      </c>
      <c r="H2968">
        <v>5500024751</v>
      </c>
      <c r="I2968">
        <v>40</v>
      </c>
      <c r="J2968" s="29">
        <v>7</v>
      </c>
      <c r="K2968" s="29" t="s">
        <v>391</v>
      </c>
      <c r="L2968" t="str">
        <f>IFERROR(VLOOKUP(Detalle_OC[[#This Row],[Centro]]&amp;Detalle_OC[[#This Row],[Nro Almacen]],Almacen!A:D,4,FALSE),"")</f>
        <v>Almacen Lobo</v>
      </c>
    </row>
    <row r="2969" spans="1:12" x14ac:dyDescent="0.3">
      <c r="A2969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2969" t="s">
        <v>28</v>
      </c>
      <c r="C2969" t="s">
        <v>84</v>
      </c>
      <c r="D2969" s="11">
        <v>45443</v>
      </c>
      <c r="E2969" t="s">
        <v>16</v>
      </c>
      <c r="F2969" t="s">
        <v>85</v>
      </c>
      <c r="G2969">
        <v>801846</v>
      </c>
      <c r="H2969">
        <v>5500022336</v>
      </c>
      <c r="I2969">
        <v>10</v>
      </c>
      <c r="J2969" s="29">
        <v>1</v>
      </c>
      <c r="K2969" s="29" t="s">
        <v>392</v>
      </c>
      <c r="L2969" t="str">
        <f>IFERROR(VLOOKUP(Detalle_OC[[#This Row],[Centro]]&amp;Detalle_OC[[#This Row],[Nro Almacen]],Almacen!A:D,4,FALSE),"")</f>
        <v>Montelima</v>
      </c>
    </row>
    <row r="2970" spans="1:12" x14ac:dyDescent="0.3">
      <c r="A2970" s="29" t="str">
        <f>Detalle_OC[[#This Row],[Centro]]&amp;Detalle_OC[[#This Row],[Nom Almacen]]&amp;Detalle_OC[[#This Row],[Material]]&amp;Detalle_OC[[#This Row],[Pedido]]&amp;Detalle_OC[[#This Row],[Posicion]]</f>
        <v>Agricola del Chira PlantaAlmacen LoboMWAGR000058       550002481520</v>
      </c>
      <c r="B2970" t="s">
        <v>28</v>
      </c>
      <c r="C2970" t="s">
        <v>112</v>
      </c>
      <c r="D2970" s="11">
        <v>45441</v>
      </c>
      <c r="E2970" t="s">
        <v>16</v>
      </c>
      <c r="F2970" t="s">
        <v>12</v>
      </c>
      <c r="G2970" t="s">
        <v>113</v>
      </c>
      <c r="H2970">
        <v>5500024815</v>
      </c>
      <c r="I2970">
        <v>20</v>
      </c>
      <c r="J2970" s="29">
        <v>7</v>
      </c>
      <c r="K2970" s="29" t="s">
        <v>392</v>
      </c>
      <c r="L2970" t="str">
        <f>IFERROR(VLOOKUP(Detalle_OC[[#This Row],[Centro]]&amp;Detalle_OC[[#This Row],[Nro Almacen]],Almacen!A:D,4,FALSE),"")</f>
        <v>Almacen Lobo</v>
      </c>
    </row>
    <row r="2971" spans="1:12" x14ac:dyDescent="0.3">
      <c r="A2971" s="29" t="str">
        <f>Detalle_OC[[#This Row],[Centro]]&amp;Detalle_OC[[#This Row],[Nom Almacen]]&amp;Detalle_OC[[#This Row],[Material]]&amp;Detalle_OC[[#This Row],[Pedido]]&amp;Detalle_OC[[#This Row],[Posicion]]</f>
        <v>Agricola del Chira PlantaAlmacen LoboMWAGR000058       550002481520</v>
      </c>
      <c r="B2971" t="s">
        <v>28</v>
      </c>
      <c r="C2971" t="s">
        <v>112</v>
      </c>
      <c r="D2971" s="11">
        <v>45441</v>
      </c>
      <c r="E2971" t="s">
        <v>16</v>
      </c>
      <c r="F2971" t="s">
        <v>12</v>
      </c>
      <c r="G2971" t="s">
        <v>113</v>
      </c>
      <c r="H2971">
        <v>5500024815</v>
      </c>
      <c r="I2971">
        <v>20</v>
      </c>
      <c r="J2971" s="29">
        <v>7</v>
      </c>
      <c r="K2971" s="29" t="s">
        <v>392</v>
      </c>
      <c r="L2971" t="str">
        <f>IFERROR(VLOOKUP(Detalle_OC[[#This Row],[Centro]]&amp;Detalle_OC[[#This Row],[Nro Almacen]],Almacen!A:D,4,FALSE),"")</f>
        <v>Almacen Lobo</v>
      </c>
    </row>
    <row r="2972" spans="1:12" x14ac:dyDescent="0.3">
      <c r="A2972" s="29" t="str">
        <f>Detalle_OC[[#This Row],[Centro]]&amp;Detalle_OC[[#This Row],[Nom Almacen]]&amp;Detalle_OC[[#This Row],[Material]]&amp;Detalle_OC[[#This Row],[Pedido]]&amp;Detalle_OC[[#This Row],[Posicion]]</f>
        <v>Agricola del Chira PlantaFERTI LOBO 2MWAGR000058       550002481530</v>
      </c>
      <c r="B2972" t="s">
        <v>28</v>
      </c>
      <c r="C2972" t="s">
        <v>112</v>
      </c>
      <c r="D2972" s="11">
        <v>45441</v>
      </c>
      <c r="E2972" t="s">
        <v>16</v>
      </c>
      <c r="F2972" t="s">
        <v>12</v>
      </c>
      <c r="G2972" t="s">
        <v>113</v>
      </c>
      <c r="H2972">
        <v>5500024815</v>
      </c>
      <c r="I2972">
        <v>30</v>
      </c>
      <c r="J2972" s="29">
        <v>23</v>
      </c>
      <c r="K2972" s="29" t="s">
        <v>392</v>
      </c>
      <c r="L2972" t="str">
        <f>IFERROR(VLOOKUP(Detalle_OC[[#This Row],[Centro]]&amp;Detalle_OC[[#This Row],[Nro Almacen]],Almacen!A:D,4,FALSE),"")</f>
        <v>FERTI LOBO 2</v>
      </c>
    </row>
    <row r="2973" spans="1:12" x14ac:dyDescent="0.3">
      <c r="A2973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2973" t="s">
        <v>28</v>
      </c>
      <c r="C2973" t="s">
        <v>94</v>
      </c>
      <c r="D2973" s="11">
        <v>45440</v>
      </c>
      <c r="E2973" t="s">
        <v>16</v>
      </c>
      <c r="F2973" t="s">
        <v>85</v>
      </c>
      <c r="G2973" t="s">
        <v>95</v>
      </c>
      <c r="H2973">
        <v>5500024746</v>
      </c>
      <c r="I2973">
        <v>10</v>
      </c>
      <c r="J2973" s="29">
        <v>1</v>
      </c>
      <c r="K2973" s="29" t="s">
        <v>393</v>
      </c>
      <c r="L2973" t="str">
        <f>IFERROR(VLOOKUP(Detalle_OC[[#This Row],[Centro]]&amp;Detalle_OC[[#This Row],[Nro Almacen]],Almacen!A:D,4,FALSE),"")</f>
        <v>Montelima</v>
      </c>
    </row>
    <row r="2974" spans="1:12" x14ac:dyDescent="0.3">
      <c r="A2974" s="29" t="str">
        <f>Detalle_OC[[#This Row],[Centro]]&amp;Detalle_OC[[#This Row],[Nom Almacen]]&amp;Detalle_OC[[#This Row],[Material]]&amp;Detalle_OC[[#This Row],[Pedido]]&amp;Detalle_OC[[#This Row],[Posicion]]</f>
        <v>Agricola del Chira PlantaFERTI LOBO 2701226550002476620</v>
      </c>
      <c r="B2974" t="s">
        <v>28</v>
      </c>
      <c r="C2974" t="s">
        <v>112</v>
      </c>
      <c r="D2974" s="11">
        <v>45442</v>
      </c>
      <c r="E2974" t="s">
        <v>16</v>
      </c>
      <c r="F2974" t="s">
        <v>12</v>
      </c>
      <c r="G2974">
        <v>701226</v>
      </c>
      <c r="H2974">
        <v>5500024766</v>
      </c>
      <c r="I2974">
        <v>20</v>
      </c>
      <c r="J2974" s="29">
        <v>23</v>
      </c>
      <c r="K2974" s="29" t="s">
        <v>393</v>
      </c>
      <c r="L2974" t="str">
        <f>IFERROR(VLOOKUP(Detalle_OC[[#This Row],[Centro]]&amp;Detalle_OC[[#This Row],[Nro Almacen]],Almacen!A:D,4,FALSE),"")</f>
        <v>FERTI LOBO 2</v>
      </c>
    </row>
    <row r="2975" spans="1:12" x14ac:dyDescent="0.3">
      <c r="A2975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2975" t="s">
        <v>28</v>
      </c>
      <c r="C2975" t="s">
        <v>82</v>
      </c>
      <c r="D2975" s="11">
        <v>45441</v>
      </c>
      <c r="E2975" t="s">
        <v>16</v>
      </c>
      <c r="F2975" t="s">
        <v>12</v>
      </c>
      <c r="G2975">
        <v>844523</v>
      </c>
      <c r="H2975">
        <v>5500019188</v>
      </c>
      <c r="I2975">
        <v>140</v>
      </c>
      <c r="J2975" s="29">
        <v>1</v>
      </c>
      <c r="K2975" s="29" t="s">
        <v>394</v>
      </c>
      <c r="L2975" t="str">
        <f>IFERROR(VLOOKUP(Detalle_OC[[#This Row],[Centro]]&amp;Detalle_OC[[#This Row],[Nro Almacen]],Almacen!A:D,4,FALSE),"")</f>
        <v>Montelima</v>
      </c>
    </row>
    <row r="2976" spans="1:12" x14ac:dyDescent="0.3">
      <c r="A2976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2976" t="s">
        <v>28</v>
      </c>
      <c r="C2976" t="s">
        <v>82</v>
      </c>
      <c r="D2976" s="11">
        <v>45441</v>
      </c>
      <c r="E2976" t="s">
        <v>16</v>
      </c>
      <c r="F2976" t="s">
        <v>12</v>
      </c>
      <c r="G2976">
        <v>844516</v>
      </c>
      <c r="H2976">
        <v>5500019188</v>
      </c>
      <c r="I2976">
        <v>190</v>
      </c>
      <c r="J2976" s="29">
        <v>1</v>
      </c>
      <c r="K2976" s="29" t="s">
        <v>394</v>
      </c>
      <c r="L2976" t="str">
        <f>IFERROR(VLOOKUP(Detalle_OC[[#This Row],[Centro]]&amp;Detalle_OC[[#This Row],[Nro Almacen]],Almacen!A:D,4,FALSE),"")</f>
        <v>Montelima</v>
      </c>
    </row>
    <row r="2977" spans="1:12" x14ac:dyDescent="0.3">
      <c r="A2977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2977" t="s">
        <v>28</v>
      </c>
      <c r="C2977" t="s">
        <v>82</v>
      </c>
      <c r="D2977" s="11">
        <v>45441</v>
      </c>
      <c r="E2977" t="s">
        <v>16</v>
      </c>
      <c r="F2977" t="s">
        <v>12</v>
      </c>
      <c r="G2977">
        <v>844515</v>
      </c>
      <c r="H2977">
        <v>5500019188</v>
      </c>
      <c r="I2977">
        <v>200</v>
      </c>
      <c r="J2977" s="29">
        <v>1</v>
      </c>
      <c r="K2977" s="29" t="s">
        <v>394</v>
      </c>
      <c r="L2977" t="str">
        <f>IFERROR(VLOOKUP(Detalle_OC[[#This Row],[Centro]]&amp;Detalle_OC[[#This Row],[Nro Almacen]],Almacen!A:D,4,FALSE),"")</f>
        <v>Montelima</v>
      </c>
    </row>
    <row r="2978" spans="1:12" x14ac:dyDescent="0.3">
      <c r="A2978" s="29" t="str">
        <f>Detalle_OC[[#This Row],[Centro]]&amp;Detalle_OC[[#This Row],[Nom Almacen]]&amp;Detalle_OC[[#This Row],[Material]]&amp;Detalle_OC[[#This Row],[Pedido]]&amp;Detalle_OC[[#This Row],[Posicion]]</f>
        <v>Agricola del Chira PlantaMontelima8445515500019188320</v>
      </c>
      <c r="B2978" t="s">
        <v>28</v>
      </c>
      <c r="C2978" t="s">
        <v>82</v>
      </c>
      <c r="D2978" s="11">
        <v>45441</v>
      </c>
      <c r="E2978" t="s">
        <v>16</v>
      </c>
      <c r="F2978" t="s">
        <v>12</v>
      </c>
      <c r="G2978">
        <v>844551</v>
      </c>
      <c r="H2978">
        <v>5500019188</v>
      </c>
      <c r="I2978">
        <v>320</v>
      </c>
      <c r="J2978" s="29">
        <v>1</v>
      </c>
      <c r="K2978" s="29" t="s">
        <v>394</v>
      </c>
      <c r="L2978" t="str">
        <f>IFERROR(VLOOKUP(Detalle_OC[[#This Row],[Centro]]&amp;Detalle_OC[[#This Row],[Nro Almacen]],Almacen!A:D,4,FALSE),"")</f>
        <v>Montelima</v>
      </c>
    </row>
    <row r="2979" spans="1:12" x14ac:dyDescent="0.3">
      <c r="A2979" s="29" t="str">
        <f>Detalle_OC[[#This Row],[Centro]]&amp;Detalle_OC[[#This Row],[Nom Almacen]]&amp;Detalle_OC[[#This Row],[Material]]&amp;Detalle_OC[[#This Row],[Pedido]]&amp;Detalle_OC[[#This Row],[Posicion]]</f>
        <v>Agricola del Chira PlantaMontelima82719955000191881020</v>
      </c>
      <c r="B2979" t="s">
        <v>28</v>
      </c>
      <c r="C2979" t="s">
        <v>82</v>
      </c>
      <c r="D2979" s="11">
        <v>45441</v>
      </c>
      <c r="E2979" t="s">
        <v>16</v>
      </c>
      <c r="F2979" t="s">
        <v>12</v>
      </c>
      <c r="G2979">
        <v>827199</v>
      </c>
      <c r="H2979">
        <v>5500019188</v>
      </c>
      <c r="I2979">
        <v>1020</v>
      </c>
      <c r="J2979" s="29">
        <v>1</v>
      </c>
      <c r="K2979" s="29" t="s">
        <v>394</v>
      </c>
      <c r="L2979" t="str">
        <f>IFERROR(VLOOKUP(Detalle_OC[[#This Row],[Centro]]&amp;Detalle_OC[[#This Row],[Nro Almacen]],Almacen!A:D,4,FALSE),"")</f>
        <v>Montelima</v>
      </c>
    </row>
    <row r="2980" spans="1:12" x14ac:dyDescent="0.3">
      <c r="A2980" s="29" t="str">
        <f>Detalle_OC[[#This Row],[Centro]]&amp;Detalle_OC[[#This Row],[Nom Almacen]]&amp;Detalle_OC[[#This Row],[Material]]&amp;Detalle_OC[[#This Row],[Pedido]]&amp;Detalle_OC[[#This Row],[Posicion]]</f>
        <v>Agricola del Chira PlantaMontelima82720055000191881280</v>
      </c>
      <c r="B2980" t="s">
        <v>28</v>
      </c>
      <c r="C2980" t="s">
        <v>82</v>
      </c>
      <c r="D2980" s="11">
        <v>45441</v>
      </c>
      <c r="E2980" t="s">
        <v>16</v>
      </c>
      <c r="F2980" t="s">
        <v>12</v>
      </c>
      <c r="G2980">
        <v>827200</v>
      </c>
      <c r="H2980">
        <v>5500019188</v>
      </c>
      <c r="I2980">
        <v>1280</v>
      </c>
      <c r="J2980" s="29">
        <v>1</v>
      </c>
      <c r="K2980" s="29" t="s">
        <v>394</v>
      </c>
      <c r="L2980" t="str">
        <f>IFERROR(VLOOKUP(Detalle_OC[[#This Row],[Centro]]&amp;Detalle_OC[[#This Row],[Nro Almacen]],Almacen!A:D,4,FALSE),"")</f>
        <v>Montelima</v>
      </c>
    </row>
    <row r="2981" spans="1:12" x14ac:dyDescent="0.3">
      <c r="A2981" s="29" t="str">
        <f>Detalle_OC[[#This Row],[Centro]]&amp;Detalle_OC[[#This Row],[Nom Almacen]]&amp;Detalle_OC[[#This Row],[Material]]&amp;Detalle_OC[[#This Row],[Pedido]]&amp;Detalle_OC[[#This Row],[Posicion]]</f>
        <v>Agricola del Chira PlantaMontelima83507655000191881340</v>
      </c>
      <c r="B2981" t="s">
        <v>28</v>
      </c>
      <c r="C2981" t="s">
        <v>82</v>
      </c>
      <c r="D2981" s="11">
        <v>45441</v>
      </c>
      <c r="E2981" t="s">
        <v>16</v>
      </c>
      <c r="F2981" t="s">
        <v>12</v>
      </c>
      <c r="G2981">
        <v>835076</v>
      </c>
      <c r="H2981">
        <v>5500019188</v>
      </c>
      <c r="I2981">
        <v>1340</v>
      </c>
      <c r="J2981" s="29">
        <v>1</v>
      </c>
      <c r="K2981" s="29" t="s">
        <v>394</v>
      </c>
      <c r="L2981" t="str">
        <f>IFERROR(VLOOKUP(Detalle_OC[[#This Row],[Centro]]&amp;Detalle_OC[[#This Row],[Nro Almacen]],Almacen!A:D,4,FALSE),"")</f>
        <v>Montelima</v>
      </c>
    </row>
    <row r="2982" spans="1:12" x14ac:dyDescent="0.3">
      <c r="A2982" s="29" t="str">
        <f>Detalle_OC[[#This Row],[Centro]]&amp;Detalle_OC[[#This Row],[Nom Almacen]]&amp;Detalle_OC[[#This Row],[Material]]&amp;Detalle_OC[[#This Row],[Pedido]]&amp;Detalle_OC[[#This Row],[Posicion]]</f>
        <v>Agricola del Chira PlantaMontelima70100392550002475110</v>
      </c>
      <c r="B2982" t="s">
        <v>28</v>
      </c>
      <c r="C2982" t="s">
        <v>54</v>
      </c>
      <c r="D2982" s="11">
        <v>45440</v>
      </c>
      <c r="E2982" t="s">
        <v>16</v>
      </c>
      <c r="F2982" t="s">
        <v>12</v>
      </c>
      <c r="G2982">
        <v>70100392</v>
      </c>
      <c r="H2982">
        <v>5500024751</v>
      </c>
      <c r="I2982">
        <v>10</v>
      </c>
      <c r="J2982" s="29">
        <v>1</v>
      </c>
      <c r="K2982" s="29" t="s">
        <v>395</v>
      </c>
      <c r="L2982" t="str">
        <f>IFERROR(VLOOKUP(Detalle_OC[[#This Row],[Centro]]&amp;Detalle_OC[[#This Row],[Nro Almacen]],Almacen!A:D,4,FALSE),"")</f>
        <v>Montelima</v>
      </c>
    </row>
    <row r="2983" spans="1:12" x14ac:dyDescent="0.3">
      <c r="A2983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2983" t="s">
        <v>28</v>
      </c>
      <c r="C2983" t="s">
        <v>54</v>
      </c>
      <c r="D2983" s="11">
        <v>45440</v>
      </c>
      <c r="E2983" t="s">
        <v>16</v>
      </c>
      <c r="F2983" t="s">
        <v>12</v>
      </c>
      <c r="G2983">
        <v>70100392</v>
      </c>
      <c r="H2983">
        <v>5500024751</v>
      </c>
      <c r="I2983">
        <v>20</v>
      </c>
      <c r="J2983" s="29">
        <v>2</v>
      </c>
      <c r="K2983" s="29" t="s">
        <v>395</v>
      </c>
      <c r="L2983" t="str">
        <f>IFERROR(VLOOKUP(Detalle_OC[[#This Row],[Centro]]&amp;Detalle_OC[[#This Row],[Nro Almacen]],Almacen!A:D,4,FALSE),"")</f>
        <v>La Huaca</v>
      </c>
    </row>
    <row r="2984" spans="1:12" x14ac:dyDescent="0.3">
      <c r="A2984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2984" t="s">
        <v>28</v>
      </c>
      <c r="C2984" t="s">
        <v>54</v>
      </c>
      <c r="D2984" s="11">
        <v>45440</v>
      </c>
      <c r="E2984" t="s">
        <v>16</v>
      </c>
      <c r="F2984" t="s">
        <v>12</v>
      </c>
      <c r="G2984">
        <v>70100392</v>
      </c>
      <c r="H2984">
        <v>5500024751</v>
      </c>
      <c r="I2984">
        <v>40</v>
      </c>
      <c r="J2984" s="29">
        <v>7</v>
      </c>
      <c r="K2984" s="29" t="s">
        <v>395</v>
      </c>
      <c r="L2984" t="str">
        <f>IFERROR(VLOOKUP(Detalle_OC[[#This Row],[Centro]]&amp;Detalle_OC[[#This Row],[Nro Almacen]],Almacen!A:D,4,FALSE),"")</f>
        <v>Almacen Lobo</v>
      </c>
    </row>
    <row r="2985" spans="1:12" x14ac:dyDescent="0.3">
      <c r="A2985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2985" t="s">
        <v>28</v>
      </c>
      <c r="C2985" t="s">
        <v>84</v>
      </c>
      <c r="D2985" s="11">
        <v>45439</v>
      </c>
      <c r="E2985" t="s">
        <v>16</v>
      </c>
      <c r="F2985" t="s">
        <v>12</v>
      </c>
      <c r="G2985">
        <v>801846</v>
      </c>
      <c r="H2985">
        <v>5500022338</v>
      </c>
      <c r="I2985">
        <v>40</v>
      </c>
      <c r="J2985" s="29">
        <v>1</v>
      </c>
      <c r="K2985" s="29" t="s">
        <v>396</v>
      </c>
      <c r="L2985" t="str">
        <f>IFERROR(VLOOKUP(Detalle_OC[[#This Row],[Centro]]&amp;Detalle_OC[[#This Row],[Nro Almacen]],Almacen!A:D,4,FALSE),"")</f>
        <v>Montelima</v>
      </c>
    </row>
    <row r="2986" spans="1:12" x14ac:dyDescent="0.3">
      <c r="A2986" s="29" t="str">
        <f>Detalle_OC[[#This Row],[Centro]]&amp;Detalle_OC[[#This Row],[Nom Almacen]]&amp;Detalle_OC[[#This Row],[Material]]&amp;Detalle_OC[[#This Row],[Pedido]]&amp;Detalle_OC[[#This Row],[Posicion]]</f>
        <v>Agricola del Chira PlantaMontelima70032053550002233880</v>
      </c>
      <c r="B2986" t="s">
        <v>28</v>
      </c>
      <c r="C2986" t="s">
        <v>84</v>
      </c>
      <c r="D2986" s="11">
        <v>45439</v>
      </c>
      <c r="E2986" t="s">
        <v>16</v>
      </c>
      <c r="F2986" t="s">
        <v>12</v>
      </c>
      <c r="G2986">
        <v>70032053</v>
      </c>
      <c r="H2986">
        <v>5500022338</v>
      </c>
      <c r="I2986">
        <v>80</v>
      </c>
      <c r="J2986" s="29">
        <v>1</v>
      </c>
      <c r="K2986" s="29" t="s">
        <v>396</v>
      </c>
      <c r="L2986" t="str">
        <f>IFERROR(VLOOKUP(Detalle_OC[[#This Row],[Centro]]&amp;Detalle_OC[[#This Row],[Nro Almacen]],Almacen!A:D,4,FALSE),"")</f>
        <v>Montelima</v>
      </c>
    </row>
    <row r="2987" spans="1:12" x14ac:dyDescent="0.3">
      <c r="A2987" s="29" t="str">
        <f>Detalle_OC[[#This Row],[Centro]]&amp;Detalle_OC[[#This Row],[Nom Almacen]]&amp;Detalle_OC[[#This Row],[Material]]&amp;Detalle_OC[[#This Row],[Pedido]]&amp;Detalle_OC[[#This Row],[Posicion]]</f>
        <v>Agricola del Chira PlantaMontelima70084356550002468130</v>
      </c>
      <c r="B2987" t="s">
        <v>28</v>
      </c>
      <c r="C2987" t="s">
        <v>84</v>
      </c>
      <c r="D2987" s="11">
        <v>45439</v>
      </c>
      <c r="E2987" t="s">
        <v>16</v>
      </c>
      <c r="F2987" t="s">
        <v>12</v>
      </c>
      <c r="G2987">
        <v>70084356</v>
      </c>
      <c r="H2987">
        <v>5500024681</v>
      </c>
      <c r="I2987">
        <v>30</v>
      </c>
      <c r="J2987" s="29">
        <v>1</v>
      </c>
      <c r="K2987" s="29" t="s">
        <v>396</v>
      </c>
      <c r="L2987" t="str">
        <f>IFERROR(VLOOKUP(Detalle_OC[[#This Row],[Centro]]&amp;Detalle_OC[[#This Row],[Nro Almacen]],Almacen!A:D,4,FALSE),"")</f>
        <v>Montelima</v>
      </c>
    </row>
    <row r="2988" spans="1:12" x14ac:dyDescent="0.3">
      <c r="A2988" s="29" t="str">
        <f>Detalle_OC[[#This Row],[Centro]]&amp;Detalle_OC[[#This Row],[Nom Almacen]]&amp;Detalle_OC[[#This Row],[Material]]&amp;Detalle_OC[[#This Row],[Pedido]]&amp;Detalle_OC[[#This Row],[Posicion]]</f>
        <v>Agricola del Chira PlantaMontelima70084357550002468140</v>
      </c>
      <c r="B2988" t="s">
        <v>28</v>
      </c>
      <c r="C2988" t="s">
        <v>84</v>
      </c>
      <c r="D2988" s="11">
        <v>45439</v>
      </c>
      <c r="E2988" t="s">
        <v>16</v>
      </c>
      <c r="F2988" t="s">
        <v>12</v>
      </c>
      <c r="G2988">
        <v>70084357</v>
      </c>
      <c r="H2988">
        <v>5500024681</v>
      </c>
      <c r="I2988">
        <v>40</v>
      </c>
      <c r="J2988" s="29">
        <v>1</v>
      </c>
      <c r="K2988" s="29" t="s">
        <v>396</v>
      </c>
      <c r="L2988" t="str">
        <f>IFERROR(VLOOKUP(Detalle_OC[[#This Row],[Centro]]&amp;Detalle_OC[[#This Row],[Nro Almacen]],Almacen!A:D,4,FALSE),"")</f>
        <v>Montelima</v>
      </c>
    </row>
    <row r="2989" spans="1:12" x14ac:dyDescent="0.3">
      <c r="A2989" s="29" t="str">
        <f>Detalle_OC[[#This Row],[Centro]]&amp;Detalle_OC[[#This Row],[Nom Almacen]]&amp;Detalle_OC[[#This Row],[Material]]&amp;Detalle_OC[[#This Row],[Pedido]]&amp;Detalle_OC[[#This Row],[Posicion]]</f>
        <v>Agricola del Chira PlantaMontelima70084360550002468150</v>
      </c>
      <c r="B2989" t="s">
        <v>28</v>
      </c>
      <c r="C2989" t="s">
        <v>84</v>
      </c>
      <c r="D2989" s="11">
        <v>45439</v>
      </c>
      <c r="E2989" t="s">
        <v>16</v>
      </c>
      <c r="F2989" t="s">
        <v>12</v>
      </c>
      <c r="G2989">
        <v>70084360</v>
      </c>
      <c r="H2989">
        <v>5500024681</v>
      </c>
      <c r="I2989">
        <v>50</v>
      </c>
      <c r="J2989" s="29">
        <v>1</v>
      </c>
      <c r="K2989" s="29" t="s">
        <v>396</v>
      </c>
      <c r="L2989" t="str">
        <f>IFERROR(VLOOKUP(Detalle_OC[[#This Row],[Centro]]&amp;Detalle_OC[[#This Row],[Nro Almacen]],Almacen!A:D,4,FALSE),"")</f>
        <v>Montelima</v>
      </c>
    </row>
    <row r="2990" spans="1:12" x14ac:dyDescent="0.3">
      <c r="A2990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2990" t="s">
        <v>28</v>
      </c>
      <c r="C2990" t="s">
        <v>94</v>
      </c>
      <c r="D2990" s="11">
        <v>45435</v>
      </c>
      <c r="E2990" t="s">
        <v>16</v>
      </c>
      <c r="F2990" t="s">
        <v>85</v>
      </c>
      <c r="G2990" t="s">
        <v>95</v>
      </c>
      <c r="H2990">
        <v>5500024746</v>
      </c>
      <c r="I2990">
        <v>10</v>
      </c>
      <c r="J2990" s="29">
        <v>1</v>
      </c>
      <c r="K2990" s="29" t="s">
        <v>397</v>
      </c>
      <c r="L2990" t="str">
        <f>IFERROR(VLOOKUP(Detalle_OC[[#This Row],[Centro]]&amp;Detalle_OC[[#This Row],[Nro Almacen]],Almacen!A:D,4,FALSE),"")</f>
        <v>Montelima</v>
      </c>
    </row>
    <row r="2991" spans="1:12" x14ac:dyDescent="0.3">
      <c r="A2991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2991" t="s">
        <v>28</v>
      </c>
      <c r="C2991" t="s">
        <v>94</v>
      </c>
      <c r="D2991" s="11">
        <v>45430</v>
      </c>
      <c r="E2991" t="s">
        <v>16</v>
      </c>
      <c r="F2991" t="s">
        <v>85</v>
      </c>
      <c r="G2991" t="s">
        <v>95</v>
      </c>
      <c r="H2991">
        <v>5500024746</v>
      </c>
      <c r="I2991">
        <v>10</v>
      </c>
      <c r="J2991" s="29">
        <v>1</v>
      </c>
      <c r="K2991" s="29" t="s">
        <v>397</v>
      </c>
      <c r="L2991" t="str">
        <f>IFERROR(VLOOKUP(Detalle_OC[[#This Row],[Centro]]&amp;Detalle_OC[[#This Row],[Nro Almacen]],Almacen!A:D,4,FALSE),"")</f>
        <v>Montelima</v>
      </c>
    </row>
    <row r="2992" spans="1:12" x14ac:dyDescent="0.3">
      <c r="A2992" s="29" t="str">
        <f>Detalle_OC[[#This Row],[Centro]]&amp;Detalle_OC[[#This Row],[Nom Almacen]]&amp;Detalle_OC[[#This Row],[Material]]&amp;Detalle_OC[[#This Row],[Pedido]]&amp;Detalle_OC[[#This Row],[Posicion]]</f>
        <v>Agricola del Chira PlantaMontelima70100392550002475110</v>
      </c>
      <c r="B2992" t="s">
        <v>28</v>
      </c>
      <c r="C2992" t="s">
        <v>54</v>
      </c>
      <c r="D2992" s="11">
        <v>45435</v>
      </c>
      <c r="E2992" t="s">
        <v>16</v>
      </c>
      <c r="F2992" t="s">
        <v>12</v>
      </c>
      <c r="G2992">
        <v>70100392</v>
      </c>
      <c r="H2992">
        <v>5500024751</v>
      </c>
      <c r="I2992">
        <v>10</v>
      </c>
      <c r="J2992" s="29">
        <v>1</v>
      </c>
      <c r="K2992" s="29" t="s">
        <v>397</v>
      </c>
      <c r="L2992" t="str">
        <f>IFERROR(VLOOKUP(Detalle_OC[[#This Row],[Centro]]&amp;Detalle_OC[[#This Row],[Nro Almacen]],Almacen!A:D,4,FALSE),"")</f>
        <v>Montelima</v>
      </c>
    </row>
    <row r="2993" spans="1:12" x14ac:dyDescent="0.3">
      <c r="A2993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2993" t="s">
        <v>28</v>
      </c>
      <c r="C2993" t="s">
        <v>54</v>
      </c>
      <c r="D2993" s="11">
        <v>45435</v>
      </c>
      <c r="E2993" t="s">
        <v>16</v>
      </c>
      <c r="F2993" t="s">
        <v>12</v>
      </c>
      <c r="G2993">
        <v>70100392</v>
      </c>
      <c r="H2993">
        <v>5500024751</v>
      </c>
      <c r="I2993">
        <v>20</v>
      </c>
      <c r="J2993" s="29">
        <v>2</v>
      </c>
      <c r="K2993" s="29" t="s">
        <v>397</v>
      </c>
      <c r="L2993" t="str">
        <f>IFERROR(VLOOKUP(Detalle_OC[[#This Row],[Centro]]&amp;Detalle_OC[[#This Row],[Nro Almacen]],Almacen!A:D,4,FALSE),"")</f>
        <v>La Huaca</v>
      </c>
    </row>
    <row r="2994" spans="1:12" x14ac:dyDescent="0.3">
      <c r="A2994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2994" t="s">
        <v>28</v>
      </c>
      <c r="C2994" t="s">
        <v>54</v>
      </c>
      <c r="D2994" s="11">
        <v>45435</v>
      </c>
      <c r="E2994" t="s">
        <v>16</v>
      </c>
      <c r="F2994" t="s">
        <v>12</v>
      </c>
      <c r="G2994">
        <v>70100392</v>
      </c>
      <c r="H2994">
        <v>5500024751</v>
      </c>
      <c r="I2994">
        <v>40</v>
      </c>
      <c r="J2994" s="29">
        <v>7</v>
      </c>
      <c r="K2994" s="29" t="s">
        <v>397</v>
      </c>
      <c r="L2994" t="str">
        <f>IFERROR(VLOOKUP(Detalle_OC[[#This Row],[Centro]]&amp;Detalle_OC[[#This Row],[Nro Almacen]],Almacen!A:D,4,FALSE),"")</f>
        <v>Almacen Lobo</v>
      </c>
    </row>
    <row r="2995" spans="1:12" x14ac:dyDescent="0.3">
      <c r="A2995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2995" t="s">
        <v>28</v>
      </c>
      <c r="C2995" t="s">
        <v>54</v>
      </c>
      <c r="D2995" s="11">
        <v>45432</v>
      </c>
      <c r="E2995" t="s">
        <v>16</v>
      </c>
      <c r="F2995" t="s">
        <v>12</v>
      </c>
      <c r="G2995">
        <v>70100392</v>
      </c>
      <c r="H2995">
        <v>5500024751</v>
      </c>
      <c r="I2995">
        <v>20</v>
      </c>
      <c r="J2995" s="29">
        <v>2</v>
      </c>
      <c r="K2995" s="29" t="s">
        <v>398</v>
      </c>
      <c r="L2995" t="str">
        <f>IFERROR(VLOOKUP(Detalle_OC[[#This Row],[Centro]]&amp;Detalle_OC[[#This Row],[Nro Almacen]],Almacen!A:D,4,FALSE),"")</f>
        <v>La Huaca</v>
      </c>
    </row>
    <row r="2996" spans="1:12" x14ac:dyDescent="0.3">
      <c r="A2996" s="29" t="str">
        <f>Detalle_OC[[#This Row],[Centro]]&amp;Detalle_OC[[#This Row],[Nom Almacen]]&amp;Detalle_OC[[#This Row],[Material]]&amp;Detalle_OC[[#This Row],[Pedido]]&amp;Detalle_OC[[#This Row],[Posicion]]</f>
        <v>Agricola del Chira PlantaSan Vicente70100392550002475130</v>
      </c>
      <c r="B2996" t="s">
        <v>28</v>
      </c>
      <c r="C2996" t="s">
        <v>54</v>
      </c>
      <c r="D2996" s="11">
        <v>45432</v>
      </c>
      <c r="E2996" t="s">
        <v>16</v>
      </c>
      <c r="F2996" t="s">
        <v>12</v>
      </c>
      <c r="G2996">
        <v>70100392</v>
      </c>
      <c r="H2996">
        <v>5500024751</v>
      </c>
      <c r="I2996">
        <v>30</v>
      </c>
      <c r="J2996" s="29">
        <v>3</v>
      </c>
      <c r="K2996" s="29" t="s">
        <v>398</v>
      </c>
      <c r="L2996" t="str">
        <f>IFERROR(VLOOKUP(Detalle_OC[[#This Row],[Centro]]&amp;Detalle_OC[[#This Row],[Nro Almacen]],Almacen!A:D,4,FALSE),"")</f>
        <v>San Vicente</v>
      </c>
    </row>
    <row r="2997" spans="1:12" x14ac:dyDescent="0.3">
      <c r="A2997" s="29" t="str">
        <f>Detalle_OC[[#This Row],[Centro]]&amp;Detalle_OC[[#This Row],[Nom Almacen]]&amp;Detalle_OC[[#This Row],[Material]]&amp;Detalle_OC[[#This Row],[Pedido]]&amp;Detalle_OC[[#This Row],[Posicion]]</f>
        <v>Agricola del Chira PlantaSan Vicente70100392550002475130</v>
      </c>
      <c r="B2997" t="s">
        <v>28</v>
      </c>
      <c r="C2997" t="s">
        <v>54</v>
      </c>
      <c r="D2997" s="11">
        <v>45440</v>
      </c>
      <c r="E2997" t="s">
        <v>16</v>
      </c>
      <c r="F2997" t="s">
        <v>12</v>
      </c>
      <c r="G2997">
        <v>70100392</v>
      </c>
      <c r="H2997">
        <v>5500024751</v>
      </c>
      <c r="I2997">
        <v>30</v>
      </c>
      <c r="J2997" s="29">
        <v>3</v>
      </c>
      <c r="K2997" s="29" t="s">
        <v>398</v>
      </c>
      <c r="L2997" t="str">
        <f>IFERROR(VLOOKUP(Detalle_OC[[#This Row],[Centro]]&amp;Detalle_OC[[#This Row],[Nro Almacen]],Almacen!A:D,4,FALSE),"")</f>
        <v>San Vicente</v>
      </c>
    </row>
    <row r="2998" spans="1:12" x14ac:dyDescent="0.3">
      <c r="A2998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2998" t="s">
        <v>28</v>
      </c>
      <c r="C2998" t="s">
        <v>54</v>
      </c>
      <c r="D2998" s="11">
        <v>45432</v>
      </c>
      <c r="E2998" t="s">
        <v>16</v>
      </c>
      <c r="F2998" t="s">
        <v>12</v>
      </c>
      <c r="G2998">
        <v>70100392</v>
      </c>
      <c r="H2998">
        <v>5500024751</v>
      </c>
      <c r="I2998">
        <v>40</v>
      </c>
      <c r="J2998" s="29">
        <v>7</v>
      </c>
      <c r="K2998" s="29" t="s">
        <v>398</v>
      </c>
      <c r="L2998" t="str">
        <f>IFERROR(VLOOKUP(Detalle_OC[[#This Row],[Centro]]&amp;Detalle_OC[[#This Row],[Nro Almacen]],Almacen!A:D,4,FALSE),"")</f>
        <v>Almacen Lobo</v>
      </c>
    </row>
    <row r="2999" spans="1:12" x14ac:dyDescent="0.3">
      <c r="A2999" s="29" t="str">
        <f>Detalle_OC[[#This Row],[Centro]]&amp;Detalle_OC[[#This Row],[Nom Almacen]]&amp;Detalle_OC[[#This Row],[Material]]&amp;Detalle_OC[[#This Row],[Pedido]]&amp;Detalle_OC[[#This Row],[Posicion]]</f>
        <v>Agricola del Chira PlantaFERTI LOBO 2701226550002476620</v>
      </c>
      <c r="B2999" t="s">
        <v>28</v>
      </c>
      <c r="C2999" t="s">
        <v>112</v>
      </c>
      <c r="D2999" s="11">
        <v>45430</v>
      </c>
      <c r="E2999" t="s">
        <v>16</v>
      </c>
      <c r="F2999" t="s">
        <v>12</v>
      </c>
      <c r="G2999">
        <v>701226</v>
      </c>
      <c r="H2999">
        <v>5500024766</v>
      </c>
      <c r="I2999">
        <v>20</v>
      </c>
      <c r="J2999" s="29">
        <v>23</v>
      </c>
      <c r="K2999" s="29" t="s">
        <v>398</v>
      </c>
      <c r="L2999" t="str">
        <f>IFERROR(VLOOKUP(Detalle_OC[[#This Row],[Centro]]&amp;Detalle_OC[[#This Row],[Nro Almacen]],Almacen!A:D,4,FALSE),"")</f>
        <v>FERTI LOBO 2</v>
      </c>
    </row>
    <row r="3000" spans="1:12" x14ac:dyDescent="0.3">
      <c r="A3000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3000" t="s">
        <v>28</v>
      </c>
      <c r="C3000" t="s">
        <v>54</v>
      </c>
      <c r="D3000" s="11">
        <v>45427</v>
      </c>
      <c r="E3000" t="s">
        <v>16</v>
      </c>
      <c r="F3000" t="s">
        <v>12</v>
      </c>
      <c r="G3000">
        <v>70100392</v>
      </c>
      <c r="H3000">
        <v>5500024751</v>
      </c>
      <c r="I3000">
        <v>20</v>
      </c>
      <c r="J3000" s="29">
        <v>2</v>
      </c>
      <c r="K3000" s="29" t="s">
        <v>399</v>
      </c>
      <c r="L3000" t="str">
        <f>IFERROR(VLOOKUP(Detalle_OC[[#This Row],[Centro]]&amp;Detalle_OC[[#This Row],[Nro Almacen]],Almacen!A:D,4,FALSE),"")</f>
        <v>La Huaca</v>
      </c>
    </row>
    <row r="3001" spans="1:12" x14ac:dyDescent="0.3">
      <c r="A3001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3001" t="s">
        <v>28</v>
      </c>
      <c r="C3001" t="s">
        <v>54</v>
      </c>
      <c r="D3001" s="11">
        <v>45427</v>
      </c>
      <c r="E3001" t="s">
        <v>16</v>
      </c>
      <c r="F3001" t="s">
        <v>12</v>
      </c>
      <c r="G3001">
        <v>70100392</v>
      </c>
      <c r="H3001">
        <v>5500024751</v>
      </c>
      <c r="I3001">
        <v>40</v>
      </c>
      <c r="J3001" s="29">
        <v>7</v>
      </c>
      <c r="K3001" s="29" t="s">
        <v>400</v>
      </c>
      <c r="L3001" t="str">
        <f>IFERROR(VLOOKUP(Detalle_OC[[#This Row],[Centro]]&amp;Detalle_OC[[#This Row],[Nro Almacen]],Almacen!A:D,4,FALSE),"")</f>
        <v>Almacen Lobo</v>
      </c>
    </row>
    <row r="3002" spans="1:12" x14ac:dyDescent="0.3">
      <c r="A3002" s="29" t="str">
        <f>Detalle_OC[[#This Row],[Centro]]&amp;Detalle_OC[[#This Row],[Nom Almacen]]&amp;Detalle_OC[[#This Row],[Material]]&amp;Detalle_OC[[#This Row],[Pedido]]&amp;Detalle_OC[[#This Row],[Posicion]]</f>
        <v>Agricola del Chira PlantaSan Vicente70100392550002475130</v>
      </c>
      <c r="B3002" t="s">
        <v>28</v>
      </c>
      <c r="C3002" t="s">
        <v>54</v>
      </c>
      <c r="D3002" s="11">
        <v>45426</v>
      </c>
      <c r="E3002" t="s">
        <v>16</v>
      </c>
      <c r="F3002" t="s">
        <v>12</v>
      </c>
      <c r="G3002">
        <v>70100392</v>
      </c>
      <c r="H3002">
        <v>5500024751</v>
      </c>
      <c r="I3002">
        <v>30</v>
      </c>
      <c r="J3002" s="29">
        <v>3</v>
      </c>
      <c r="K3002" s="29" t="s">
        <v>401</v>
      </c>
      <c r="L3002" t="str">
        <f>IFERROR(VLOOKUP(Detalle_OC[[#This Row],[Centro]]&amp;Detalle_OC[[#This Row],[Nro Almacen]],Almacen!A:D,4,FALSE),"")</f>
        <v>San Vicente</v>
      </c>
    </row>
    <row r="3003" spans="1:12" x14ac:dyDescent="0.3">
      <c r="A3003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3003" t="s">
        <v>28</v>
      </c>
      <c r="C3003" t="s">
        <v>54</v>
      </c>
      <c r="D3003" s="11">
        <v>45422</v>
      </c>
      <c r="E3003" t="s">
        <v>16</v>
      </c>
      <c r="F3003" t="s">
        <v>12</v>
      </c>
      <c r="G3003">
        <v>70100392</v>
      </c>
      <c r="H3003">
        <v>5500024751</v>
      </c>
      <c r="I3003">
        <v>40</v>
      </c>
      <c r="J3003" s="29">
        <v>7</v>
      </c>
      <c r="K3003" s="29" t="s">
        <v>401</v>
      </c>
      <c r="L3003" t="str">
        <f>IFERROR(VLOOKUP(Detalle_OC[[#This Row],[Centro]]&amp;Detalle_OC[[#This Row],[Nro Almacen]],Almacen!A:D,4,FALSE),"")</f>
        <v>Almacen Lobo</v>
      </c>
    </row>
    <row r="3004" spans="1:12" x14ac:dyDescent="0.3">
      <c r="A3004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3004" t="s">
        <v>28</v>
      </c>
      <c r="C3004" t="s">
        <v>94</v>
      </c>
      <c r="D3004" s="11">
        <v>45425</v>
      </c>
      <c r="E3004" t="s">
        <v>16</v>
      </c>
      <c r="F3004" t="s">
        <v>85</v>
      </c>
      <c r="G3004" t="s">
        <v>95</v>
      </c>
      <c r="H3004">
        <v>5500024746</v>
      </c>
      <c r="I3004">
        <v>10</v>
      </c>
      <c r="J3004" s="29">
        <v>1</v>
      </c>
      <c r="K3004" s="29" t="s">
        <v>402</v>
      </c>
      <c r="L3004" t="str">
        <f>IFERROR(VLOOKUP(Detalle_OC[[#This Row],[Centro]]&amp;Detalle_OC[[#This Row],[Nro Almacen]],Almacen!A:D,4,FALSE),"")</f>
        <v>Montelima</v>
      </c>
    </row>
    <row r="3005" spans="1:12" x14ac:dyDescent="0.3">
      <c r="A3005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3005" t="s">
        <v>28</v>
      </c>
      <c r="C3005" t="s">
        <v>54</v>
      </c>
      <c r="D3005" s="11">
        <v>45422</v>
      </c>
      <c r="E3005" t="s">
        <v>16</v>
      </c>
      <c r="F3005" t="s">
        <v>12</v>
      </c>
      <c r="G3005">
        <v>70100392</v>
      </c>
      <c r="H3005">
        <v>5500024751</v>
      </c>
      <c r="I3005">
        <v>20</v>
      </c>
      <c r="J3005" s="29">
        <v>2</v>
      </c>
      <c r="K3005" s="29" t="s">
        <v>402</v>
      </c>
      <c r="L3005" t="str">
        <f>IFERROR(VLOOKUP(Detalle_OC[[#This Row],[Centro]]&amp;Detalle_OC[[#This Row],[Nro Almacen]],Almacen!A:D,4,FALSE),"")</f>
        <v>La Huaca</v>
      </c>
    </row>
    <row r="3006" spans="1:12" x14ac:dyDescent="0.3">
      <c r="A3006" s="29" t="str">
        <f>Detalle_OC[[#This Row],[Centro]]&amp;Detalle_OC[[#This Row],[Nom Almacen]]&amp;Detalle_OC[[#This Row],[Material]]&amp;Detalle_OC[[#This Row],[Pedido]]&amp;Detalle_OC[[#This Row],[Posicion]]</f>
        <v>Sucroalcolera del Chira PlantaMontelimaMWSODACAUSTICA    550002478010</v>
      </c>
      <c r="B3006" t="s">
        <v>28</v>
      </c>
      <c r="C3006" t="s">
        <v>94</v>
      </c>
      <c r="D3006" s="11">
        <v>45425</v>
      </c>
      <c r="E3006" t="s">
        <v>16</v>
      </c>
      <c r="F3006" t="s">
        <v>85</v>
      </c>
      <c r="G3006" t="s">
        <v>1010</v>
      </c>
      <c r="H3006">
        <v>5500024780</v>
      </c>
      <c r="I3006">
        <v>10</v>
      </c>
      <c r="J3006" s="29">
        <v>1</v>
      </c>
      <c r="K3006" s="29" t="s">
        <v>402</v>
      </c>
      <c r="L3006" t="str">
        <f>IFERROR(VLOOKUP(Detalle_OC[[#This Row],[Centro]]&amp;Detalle_OC[[#This Row],[Nro Almacen]],Almacen!A:D,4,FALSE),"")</f>
        <v>Montelima</v>
      </c>
    </row>
    <row r="3007" spans="1:12" x14ac:dyDescent="0.3">
      <c r="A3007" s="29" t="str">
        <f>Detalle_OC[[#This Row],[Centro]]&amp;Detalle_OC[[#This Row],[Nom Almacen]]&amp;Detalle_OC[[#This Row],[Material]]&amp;Detalle_OC[[#This Row],[Pedido]]&amp;Detalle_OC[[#This Row],[Posicion]]</f>
        <v>Agricola del Chira PlantaMontelima738248550001918870</v>
      </c>
      <c r="B3007" t="s">
        <v>28</v>
      </c>
      <c r="C3007" t="s">
        <v>82</v>
      </c>
      <c r="D3007" s="11">
        <v>45420</v>
      </c>
      <c r="E3007" t="s">
        <v>16</v>
      </c>
      <c r="F3007" t="s">
        <v>12</v>
      </c>
      <c r="G3007">
        <v>738248</v>
      </c>
      <c r="H3007">
        <v>5500019188</v>
      </c>
      <c r="I3007">
        <v>70</v>
      </c>
      <c r="J3007" s="29">
        <v>1</v>
      </c>
      <c r="K3007" s="29" t="s">
        <v>404</v>
      </c>
      <c r="L3007" t="str">
        <f>IFERROR(VLOOKUP(Detalle_OC[[#This Row],[Centro]]&amp;Detalle_OC[[#This Row],[Nro Almacen]],Almacen!A:D,4,FALSE),"")</f>
        <v>Montelima</v>
      </c>
    </row>
    <row r="3008" spans="1:12" x14ac:dyDescent="0.3">
      <c r="A3008" s="29" t="str">
        <f>Detalle_OC[[#This Row],[Centro]]&amp;Detalle_OC[[#This Row],[Nom Almacen]]&amp;Detalle_OC[[#This Row],[Material]]&amp;Detalle_OC[[#This Row],[Pedido]]&amp;Detalle_OC[[#This Row],[Posicion]]</f>
        <v>Agricola del Chira PlantaMontelima7382475500019188100</v>
      </c>
      <c r="B3008" t="s">
        <v>28</v>
      </c>
      <c r="C3008" t="s">
        <v>82</v>
      </c>
      <c r="D3008" s="11">
        <v>45420</v>
      </c>
      <c r="E3008" t="s">
        <v>16</v>
      </c>
      <c r="F3008" t="s">
        <v>12</v>
      </c>
      <c r="G3008">
        <v>738247</v>
      </c>
      <c r="H3008">
        <v>5500019188</v>
      </c>
      <c r="I3008">
        <v>100</v>
      </c>
      <c r="J3008" s="29">
        <v>1</v>
      </c>
      <c r="K3008" s="29" t="s">
        <v>404</v>
      </c>
      <c r="L3008" t="str">
        <f>IFERROR(VLOOKUP(Detalle_OC[[#This Row],[Centro]]&amp;Detalle_OC[[#This Row],[Nro Almacen]],Almacen!A:D,4,FALSE),"")</f>
        <v>Montelima</v>
      </c>
    </row>
    <row r="3009" spans="1:12" x14ac:dyDescent="0.3">
      <c r="A3009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3009" t="s">
        <v>28</v>
      </c>
      <c r="C3009" t="s">
        <v>82</v>
      </c>
      <c r="D3009" s="11">
        <v>45420</v>
      </c>
      <c r="E3009" t="s">
        <v>16</v>
      </c>
      <c r="F3009" t="s">
        <v>12</v>
      </c>
      <c r="G3009">
        <v>844523</v>
      </c>
      <c r="H3009">
        <v>5500019188</v>
      </c>
      <c r="I3009">
        <v>140</v>
      </c>
      <c r="J3009" s="29">
        <v>1</v>
      </c>
      <c r="K3009" s="29" t="s">
        <v>404</v>
      </c>
      <c r="L3009" t="str">
        <f>IFERROR(VLOOKUP(Detalle_OC[[#This Row],[Centro]]&amp;Detalle_OC[[#This Row],[Nro Almacen]],Almacen!A:D,4,FALSE),"")</f>
        <v>Montelima</v>
      </c>
    </row>
    <row r="3010" spans="1:12" x14ac:dyDescent="0.3">
      <c r="A3010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3010" t="s">
        <v>28</v>
      </c>
      <c r="C3010" t="s">
        <v>82</v>
      </c>
      <c r="D3010" s="11">
        <v>45420</v>
      </c>
      <c r="E3010" t="s">
        <v>16</v>
      </c>
      <c r="F3010" t="s">
        <v>12</v>
      </c>
      <c r="G3010">
        <v>844522</v>
      </c>
      <c r="H3010">
        <v>5500019188</v>
      </c>
      <c r="I3010">
        <v>150</v>
      </c>
      <c r="J3010" s="29">
        <v>1</v>
      </c>
      <c r="K3010" s="29" t="s">
        <v>404</v>
      </c>
      <c r="L3010" t="str">
        <f>IFERROR(VLOOKUP(Detalle_OC[[#This Row],[Centro]]&amp;Detalle_OC[[#This Row],[Nro Almacen]],Almacen!A:D,4,FALSE),"")</f>
        <v>Montelima</v>
      </c>
    </row>
    <row r="3011" spans="1:12" x14ac:dyDescent="0.3">
      <c r="A3011" s="29" t="str">
        <f>Detalle_OC[[#This Row],[Centro]]&amp;Detalle_OC[[#This Row],[Nom Almacen]]&amp;Detalle_OC[[#This Row],[Material]]&amp;Detalle_OC[[#This Row],[Pedido]]&amp;Detalle_OC[[#This Row],[Posicion]]</f>
        <v>Agricola del Chira PlantaMontelima8445245500019188210</v>
      </c>
      <c r="B3011" t="s">
        <v>28</v>
      </c>
      <c r="C3011" t="s">
        <v>82</v>
      </c>
      <c r="D3011" s="11">
        <v>45420</v>
      </c>
      <c r="E3011" t="s">
        <v>16</v>
      </c>
      <c r="F3011" t="s">
        <v>12</v>
      </c>
      <c r="G3011">
        <v>844524</v>
      </c>
      <c r="H3011">
        <v>5500019188</v>
      </c>
      <c r="I3011">
        <v>210</v>
      </c>
      <c r="J3011" s="29">
        <v>1</v>
      </c>
      <c r="K3011" s="29" t="s">
        <v>404</v>
      </c>
      <c r="L3011" t="str">
        <f>IFERROR(VLOOKUP(Detalle_OC[[#This Row],[Centro]]&amp;Detalle_OC[[#This Row],[Nro Almacen]],Almacen!A:D,4,FALSE),"")</f>
        <v>Montelima</v>
      </c>
    </row>
    <row r="3012" spans="1:12" x14ac:dyDescent="0.3">
      <c r="A3012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3012" t="s">
        <v>28</v>
      </c>
      <c r="C3012" t="s">
        <v>82</v>
      </c>
      <c r="D3012" s="11">
        <v>45420</v>
      </c>
      <c r="E3012" t="s">
        <v>16</v>
      </c>
      <c r="F3012" t="s">
        <v>12</v>
      </c>
      <c r="G3012">
        <v>844508</v>
      </c>
      <c r="H3012">
        <v>5500019188</v>
      </c>
      <c r="I3012">
        <v>220</v>
      </c>
      <c r="J3012" s="29">
        <v>1</v>
      </c>
      <c r="K3012" s="29" t="s">
        <v>404</v>
      </c>
      <c r="L3012" t="str">
        <f>IFERROR(VLOOKUP(Detalle_OC[[#This Row],[Centro]]&amp;Detalle_OC[[#This Row],[Nro Almacen]],Almacen!A:D,4,FALSE),"")</f>
        <v>Montelima</v>
      </c>
    </row>
    <row r="3013" spans="1:12" x14ac:dyDescent="0.3">
      <c r="A3013" s="29" t="str">
        <f>Detalle_OC[[#This Row],[Centro]]&amp;Detalle_OC[[#This Row],[Nom Almacen]]&amp;Detalle_OC[[#This Row],[Material]]&amp;Detalle_OC[[#This Row],[Pedido]]&amp;Detalle_OC[[#This Row],[Posicion]]</f>
        <v>Agricola del Chira PlantaMontelima8445185500019188270</v>
      </c>
      <c r="B3013" t="s">
        <v>28</v>
      </c>
      <c r="C3013" t="s">
        <v>82</v>
      </c>
      <c r="D3013" s="11">
        <v>45420</v>
      </c>
      <c r="E3013" t="s">
        <v>16</v>
      </c>
      <c r="F3013" t="s">
        <v>12</v>
      </c>
      <c r="G3013">
        <v>844518</v>
      </c>
      <c r="H3013">
        <v>5500019188</v>
      </c>
      <c r="I3013">
        <v>270</v>
      </c>
      <c r="J3013" s="29">
        <v>1</v>
      </c>
      <c r="K3013" s="29" t="s">
        <v>404</v>
      </c>
      <c r="L3013" t="str">
        <f>IFERROR(VLOOKUP(Detalle_OC[[#This Row],[Centro]]&amp;Detalle_OC[[#This Row],[Nro Almacen]],Almacen!A:D,4,FALSE),"")</f>
        <v>Montelima</v>
      </c>
    </row>
    <row r="3014" spans="1:12" x14ac:dyDescent="0.3">
      <c r="A3014" s="29" t="str">
        <f>Detalle_OC[[#This Row],[Centro]]&amp;Detalle_OC[[#This Row],[Nom Almacen]]&amp;Detalle_OC[[#This Row],[Material]]&amp;Detalle_OC[[#This Row],[Pedido]]&amp;Detalle_OC[[#This Row],[Posicion]]</f>
        <v>Agricola del Chira PlantaMontelima8445295500019188380</v>
      </c>
      <c r="B3014" t="s">
        <v>28</v>
      </c>
      <c r="C3014" t="s">
        <v>82</v>
      </c>
      <c r="D3014" s="11">
        <v>45420</v>
      </c>
      <c r="E3014" t="s">
        <v>16</v>
      </c>
      <c r="F3014" t="s">
        <v>12</v>
      </c>
      <c r="G3014">
        <v>844529</v>
      </c>
      <c r="H3014">
        <v>5500019188</v>
      </c>
      <c r="I3014">
        <v>380</v>
      </c>
      <c r="J3014" s="29">
        <v>1</v>
      </c>
      <c r="K3014" s="29" t="s">
        <v>404</v>
      </c>
      <c r="L3014" t="str">
        <f>IFERROR(VLOOKUP(Detalle_OC[[#This Row],[Centro]]&amp;Detalle_OC[[#This Row],[Nro Almacen]],Almacen!A:D,4,FALSE),"")</f>
        <v>Montelima</v>
      </c>
    </row>
    <row r="3015" spans="1:12" x14ac:dyDescent="0.3">
      <c r="A3015" s="29" t="str">
        <f>Detalle_OC[[#This Row],[Centro]]&amp;Detalle_OC[[#This Row],[Nom Almacen]]&amp;Detalle_OC[[#This Row],[Material]]&amp;Detalle_OC[[#This Row],[Pedido]]&amp;Detalle_OC[[#This Row],[Posicion]]</f>
        <v>Agricola del Chira PlantaMontelima8445265500019188390</v>
      </c>
      <c r="B3015" t="s">
        <v>28</v>
      </c>
      <c r="C3015" t="s">
        <v>82</v>
      </c>
      <c r="D3015" s="11">
        <v>45420</v>
      </c>
      <c r="E3015" t="s">
        <v>16</v>
      </c>
      <c r="F3015" t="s">
        <v>12</v>
      </c>
      <c r="G3015">
        <v>844526</v>
      </c>
      <c r="H3015">
        <v>5500019188</v>
      </c>
      <c r="I3015">
        <v>390</v>
      </c>
      <c r="J3015" s="29">
        <v>1</v>
      </c>
      <c r="K3015" s="29" t="s">
        <v>404</v>
      </c>
      <c r="L3015" t="str">
        <f>IFERROR(VLOOKUP(Detalle_OC[[#This Row],[Centro]]&amp;Detalle_OC[[#This Row],[Nro Almacen]],Almacen!A:D,4,FALSE),"")</f>
        <v>Montelima</v>
      </c>
    </row>
    <row r="3016" spans="1:12" x14ac:dyDescent="0.3">
      <c r="A3016" s="29" t="str">
        <f>Detalle_OC[[#This Row],[Centro]]&amp;Detalle_OC[[#This Row],[Nom Almacen]]&amp;Detalle_OC[[#This Row],[Material]]&amp;Detalle_OC[[#This Row],[Pedido]]&amp;Detalle_OC[[#This Row],[Posicion]]</f>
        <v>Agricola del Chira PlantaMontelima8445425500019188680</v>
      </c>
      <c r="B3016" t="s">
        <v>28</v>
      </c>
      <c r="C3016" t="s">
        <v>82</v>
      </c>
      <c r="D3016" s="11">
        <v>45420</v>
      </c>
      <c r="E3016" t="s">
        <v>16</v>
      </c>
      <c r="F3016" t="s">
        <v>12</v>
      </c>
      <c r="G3016">
        <v>844542</v>
      </c>
      <c r="H3016">
        <v>5500019188</v>
      </c>
      <c r="I3016">
        <v>680</v>
      </c>
      <c r="J3016" s="29">
        <v>1</v>
      </c>
      <c r="K3016" s="29" t="s">
        <v>404</v>
      </c>
      <c r="L3016" t="str">
        <f>IFERROR(VLOOKUP(Detalle_OC[[#This Row],[Centro]]&amp;Detalle_OC[[#This Row],[Nro Almacen]],Almacen!A:D,4,FALSE),"")</f>
        <v>Montelima</v>
      </c>
    </row>
    <row r="3017" spans="1:12" x14ac:dyDescent="0.3">
      <c r="A3017" s="29" t="str">
        <f>Detalle_OC[[#This Row],[Centro]]&amp;Detalle_OC[[#This Row],[Nom Almacen]]&amp;Detalle_OC[[#This Row],[Material]]&amp;Detalle_OC[[#This Row],[Pedido]]&amp;Detalle_OC[[#This Row],[Posicion]]</f>
        <v>Agricola del Chira PlantaMontelima83106655000191881040</v>
      </c>
      <c r="B3017" t="s">
        <v>28</v>
      </c>
      <c r="C3017" t="s">
        <v>82</v>
      </c>
      <c r="D3017" s="11">
        <v>45440</v>
      </c>
      <c r="E3017" t="s">
        <v>16</v>
      </c>
      <c r="F3017" t="s">
        <v>12</v>
      </c>
      <c r="G3017">
        <v>831066</v>
      </c>
      <c r="H3017">
        <v>5500019188</v>
      </c>
      <c r="I3017">
        <v>1040</v>
      </c>
      <c r="J3017" s="29">
        <v>1</v>
      </c>
      <c r="K3017" s="29" t="s">
        <v>404</v>
      </c>
      <c r="L3017" t="str">
        <f>IFERROR(VLOOKUP(Detalle_OC[[#This Row],[Centro]]&amp;Detalle_OC[[#This Row],[Nro Almacen]],Almacen!A:D,4,FALSE),"")</f>
        <v>Montelima</v>
      </c>
    </row>
    <row r="3018" spans="1:12" x14ac:dyDescent="0.3">
      <c r="A3018" s="29" t="str">
        <f>Detalle_OC[[#This Row],[Centro]]&amp;Detalle_OC[[#This Row],[Nom Almacen]]&amp;Detalle_OC[[#This Row],[Material]]&amp;Detalle_OC[[#This Row],[Pedido]]&amp;Detalle_OC[[#This Row],[Posicion]]</f>
        <v>Agricola del Chira PlantaMontelima83106655000191881040</v>
      </c>
      <c r="B3018" t="s">
        <v>28</v>
      </c>
      <c r="C3018" t="s">
        <v>82</v>
      </c>
      <c r="D3018" s="11">
        <v>45420</v>
      </c>
      <c r="E3018" t="s">
        <v>16</v>
      </c>
      <c r="F3018" t="s">
        <v>12</v>
      </c>
      <c r="G3018">
        <v>831066</v>
      </c>
      <c r="H3018">
        <v>5500019188</v>
      </c>
      <c r="I3018">
        <v>1040</v>
      </c>
      <c r="J3018" s="29">
        <v>1</v>
      </c>
      <c r="K3018" s="29" t="s">
        <v>404</v>
      </c>
      <c r="L3018" t="str">
        <f>IFERROR(VLOOKUP(Detalle_OC[[#This Row],[Centro]]&amp;Detalle_OC[[#This Row],[Nro Almacen]],Almacen!A:D,4,FALSE),"")</f>
        <v>Montelima</v>
      </c>
    </row>
    <row r="3019" spans="1:12" x14ac:dyDescent="0.3">
      <c r="A3019" s="29" t="str">
        <f>Detalle_OC[[#This Row],[Centro]]&amp;Detalle_OC[[#This Row],[Nom Almacen]]&amp;Detalle_OC[[#This Row],[Material]]&amp;Detalle_OC[[#This Row],[Pedido]]&amp;Detalle_OC[[#This Row],[Posicion]]</f>
        <v>Agricola del Chira PlantaMontelima7003087855000191881730</v>
      </c>
      <c r="B3019" t="s">
        <v>28</v>
      </c>
      <c r="C3019" t="s">
        <v>82</v>
      </c>
      <c r="D3019" s="11">
        <v>45420</v>
      </c>
      <c r="E3019" t="s">
        <v>16</v>
      </c>
      <c r="F3019" t="s">
        <v>12</v>
      </c>
      <c r="G3019">
        <v>70030878</v>
      </c>
      <c r="H3019">
        <v>5500019188</v>
      </c>
      <c r="I3019">
        <v>1730</v>
      </c>
      <c r="J3019" s="29">
        <v>1</v>
      </c>
      <c r="K3019" s="29" t="s">
        <v>404</v>
      </c>
      <c r="L3019" t="str">
        <f>IFERROR(VLOOKUP(Detalle_OC[[#This Row],[Centro]]&amp;Detalle_OC[[#This Row],[Nro Almacen]],Almacen!A:D,4,FALSE),"")</f>
        <v>Montelima</v>
      </c>
    </row>
    <row r="3020" spans="1:12" x14ac:dyDescent="0.3">
      <c r="A3020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3020" t="s">
        <v>28</v>
      </c>
      <c r="C3020" t="s">
        <v>54</v>
      </c>
      <c r="D3020" s="11">
        <v>45420</v>
      </c>
      <c r="E3020" t="s">
        <v>16</v>
      </c>
      <c r="F3020" t="s">
        <v>12</v>
      </c>
      <c r="G3020">
        <v>70100392</v>
      </c>
      <c r="H3020">
        <v>5500024751</v>
      </c>
      <c r="I3020">
        <v>20</v>
      </c>
      <c r="J3020" s="29">
        <v>2</v>
      </c>
      <c r="K3020" s="29" t="s">
        <v>404</v>
      </c>
      <c r="L3020" t="str">
        <f>IFERROR(VLOOKUP(Detalle_OC[[#This Row],[Centro]]&amp;Detalle_OC[[#This Row],[Nro Almacen]],Almacen!A:D,4,FALSE),"")</f>
        <v>La Huaca</v>
      </c>
    </row>
    <row r="3021" spans="1:12" x14ac:dyDescent="0.3">
      <c r="A3021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3021" t="s">
        <v>28</v>
      </c>
      <c r="C3021" t="s">
        <v>94</v>
      </c>
      <c r="D3021" s="11">
        <v>45418</v>
      </c>
      <c r="E3021" t="s">
        <v>16</v>
      </c>
      <c r="F3021" t="s">
        <v>85</v>
      </c>
      <c r="G3021" t="s">
        <v>95</v>
      </c>
      <c r="H3021">
        <v>5500024746</v>
      </c>
      <c r="I3021">
        <v>10</v>
      </c>
      <c r="J3021" s="29">
        <v>1</v>
      </c>
      <c r="K3021" s="29" t="s">
        <v>405</v>
      </c>
      <c r="L3021" t="str">
        <f>IFERROR(VLOOKUP(Detalle_OC[[#This Row],[Centro]]&amp;Detalle_OC[[#This Row],[Nro Almacen]],Almacen!A:D,4,FALSE),"")</f>
        <v>Montelima</v>
      </c>
    </row>
    <row r="3022" spans="1:12" x14ac:dyDescent="0.3">
      <c r="A3022" s="29" t="str">
        <f>Detalle_OC[[#This Row],[Centro]]&amp;Detalle_OC[[#This Row],[Nom Almacen]]&amp;Detalle_OC[[#This Row],[Material]]&amp;Detalle_OC[[#This Row],[Pedido]]&amp;Detalle_OC[[#This Row],[Posicion]]</f>
        <v>Agricola del Chira PlantaSan Vicente70100392550002475130</v>
      </c>
      <c r="B3022" t="s">
        <v>28</v>
      </c>
      <c r="C3022" t="s">
        <v>54</v>
      </c>
      <c r="D3022" s="11">
        <v>45419</v>
      </c>
      <c r="E3022" t="s">
        <v>16</v>
      </c>
      <c r="F3022" t="s">
        <v>12</v>
      </c>
      <c r="G3022">
        <v>70100392</v>
      </c>
      <c r="H3022">
        <v>5500024751</v>
      </c>
      <c r="I3022">
        <v>30</v>
      </c>
      <c r="J3022" s="29">
        <v>3</v>
      </c>
      <c r="K3022" s="29" t="s">
        <v>405</v>
      </c>
      <c r="L3022" t="str">
        <f>IFERROR(VLOOKUP(Detalle_OC[[#This Row],[Centro]]&amp;Detalle_OC[[#This Row],[Nro Almacen]],Almacen!A:D,4,FALSE),"")</f>
        <v>San Vicente</v>
      </c>
    </row>
    <row r="3023" spans="1:12" x14ac:dyDescent="0.3">
      <c r="A3023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3023" t="s">
        <v>28</v>
      </c>
      <c r="C3023" t="s">
        <v>54</v>
      </c>
      <c r="D3023" s="11">
        <v>45414</v>
      </c>
      <c r="E3023" t="s">
        <v>16</v>
      </c>
      <c r="F3023" t="s">
        <v>12</v>
      </c>
      <c r="G3023">
        <v>70100392</v>
      </c>
      <c r="H3023">
        <v>5500024751</v>
      </c>
      <c r="I3023">
        <v>40</v>
      </c>
      <c r="J3023" s="29">
        <v>7</v>
      </c>
      <c r="K3023" s="29" t="s">
        <v>405</v>
      </c>
      <c r="L3023" t="str">
        <f>IFERROR(VLOOKUP(Detalle_OC[[#This Row],[Centro]]&amp;Detalle_OC[[#This Row],[Nro Almacen]],Almacen!A:D,4,FALSE),"")</f>
        <v>Almacen Lobo</v>
      </c>
    </row>
    <row r="3024" spans="1:12" x14ac:dyDescent="0.3">
      <c r="A3024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3024" t="s">
        <v>28</v>
      </c>
      <c r="C3024" t="s">
        <v>54</v>
      </c>
      <c r="D3024" s="11">
        <v>45419</v>
      </c>
      <c r="E3024" t="s">
        <v>16</v>
      </c>
      <c r="F3024" t="s">
        <v>12</v>
      </c>
      <c r="G3024">
        <v>70100392</v>
      </c>
      <c r="H3024">
        <v>5500024751</v>
      </c>
      <c r="I3024">
        <v>40</v>
      </c>
      <c r="J3024" s="29">
        <v>7</v>
      </c>
      <c r="K3024" s="29" t="s">
        <v>405</v>
      </c>
      <c r="L3024" t="str">
        <f>IFERROR(VLOOKUP(Detalle_OC[[#This Row],[Centro]]&amp;Detalle_OC[[#This Row],[Nro Almacen]],Almacen!A:D,4,FALSE),"")</f>
        <v>Almacen Lobo</v>
      </c>
    </row>
    <row r="3025" spans="1:12" x14ac:dyDescent="0.3">
      <c r="A3025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3025" t="s">
        <v>28</v>
      </c>
      <c r="C3025" t="s">
        <v>54</v>
      </c>
      <c r="D3025" s="11">
        <v>45414</v>
      </c>
      <c r="E3025" t="s">
        <v>16</v>
      </c>
      <c r="F3025" t="s">
        <v>12</v>
      </c>
      <c r="G3025">
        <v>70100392</v>
      </c>
      <c r="H3025">
        <v>5500024751</v>
      </c>
      <c r="I3025">
        <v>20</v>
      </c>
      <c r="J3025" s="29">
        <v>2</v>
      </c>
      <c r="K3025" s="29" t="s">
        <v>406</v>
      </c>
      <c r="L3025" t="str">
        <f>IFERROR(VLOOKUP(Detalle_OC[[#This Row],[Centro]]&amp;Detalle_OC[[#This Row],[Nro Almacen]],Almacen!A:D,4,FALSE),"")</f>
        <v>La Huaca</v>
      </c>
    </row>
    <row r="3026" spans="1:12" x14ac:dyDescent="0.3">
      <c r="A3026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3026" t="s">
        <v>28</v>
      </c>
      <c r="C3026" t="s">
        <v>54</v>
      </c>
      <c r="D3026" s="11">
        <v>45414</v>
      </c>
      <c r="E3026" t="s">
        <v>16</v>
      </c>
      <c r="F3026" t="s">
        <v>12</v>
      </c>
      <c r="G3026">
        <v>70100392</v>
      </c>
      <c r="H3026">
        <v>5500024751</v>
      </c>
      <c r="I3026">
        <v>40</v>
      </c>
      <c r="J3026" s="29">
        <v>7</v>
      </c>
      <c r="K3026" s="29" t="s">
        <v>406</v>
      </c>
      <c r="L3026" t="str">
        <f>IFERROR(VLOOKUP(Detalle_OC[[#This Row],[Centro]]&amp;Detalle_OC[[#This Row],[Nro Almacen]],Almacen!A:D,4,FALSE),"")</f>
        <v>Almacen Lobo</v>
      </c>
    </row>
    <row r="3027" spans="1:12" x14ac:dyDescent="0.3">
      <c r="A3027" s="29" t="str">
        <f>Detalle_OC[[#This Row],[Centro]]&amp;Detalle_OC[[#This Row],[Nom Almacen]]&amp;Detalle_OC[[#This Row],[Material]]&amp;Detalle_OC[[#This Row],[Pedido]]&amp;Detalle_OC[[#This Row],[Posicion]]</f>
        <v>Agricola del Chira PlantaAlmacen Lobo701226550002476610</v>
      </c>
      <c r="B3027" t="s">
        <v>28</v>
      </c>
      <c r="C3027" t="s">
        <v>112</v>
      </c>
      <c r="D3027" s="11">
        <v>45414</v>
      </c>
      <c r="E3027" t="s">
        <v>16</v>
      </c>
      <c r="F3027" t="s">
        <v>12</v>
      </c>
      <c r="G3027">
        <v>701226</v>
      </c>
      <c r="H3027">
        <v>5500024766</v>
      </c>
      <c r="I3027">
        <v>10</v>
      </c>
      <c r="J3027" s="29">
        <v>7</v>
      </c>
      <c r="K3027" s="29" t="s">
        <v>406</v>
      </c>
      <c r="L3027" t="str">
        <f>IFERROR(VLOOKUP(Detalle_OC[[#This Row],[Centro]]&amp;Detalle_OC[[#This Row],[Nro Almacen]],Almacen!A:D,4,FALSE),"")</f>
        <v>Almacen Lobo</v>
      </c>
    </row>
    <row r="3028" spans="1:12" x14ac:dyDescent="0.3">
      <c r="A3028" s="29" t="str">
        <f>Detalle_OC[[#This Row],[Centro]]&amp;Detalle_OC[[#This Row],[Nom Almacen]]&amp;Detalle_OC[[#This Row],[Material]]&amp;Detalle_OC[[#This Row],[Pedido]]&amp;Detalle_OC[[#This Row],[Posicion]]</f>
        <v>Agricola del Chira PlantaSan Vicente70100392550002475130</v>
      </c>
      <c r="B3028" t="s">
        <v>28</v>
      </c>
      <c r="C3028" t="s">
        <v>54</v>
      </c>
      <c r="D3028" s="11">
        <v>45412</v>
      </c>
      <c r="E3028" t="s">
        <v>16</v>
      </c>
      <c r="F3028" t="s">
        <v>12</v>
      </c>
      <c r="G3028">
        <v>70100392</v>
      </c>
      <c r="H3028">
        <v>5500024751</v>
      </c>
      <c r="I3028">
        <v>30</v>
      </c>
      <c r="J3028" s="29">
        <v>3</v>
      </c>
      <c r="K3028" s="29" t="s">
        <v>407</v>
      </c>
      <c r="L3028" t="str">
        <f>IFERROR(VLOOKUP(Detalle_OC[[#This Row],[Centro]]&amp;Detalle_OC[[#This Row],[Nro Almacen]],Almacen!A:D,4,FALSE),"")</f>
        <v>San Vicente</v>
      </c>
    </row>
    <row r="3029" spans="1:12" x14ac:dyDescent="0.3">
      <c r="A3029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3029" t="s">
        <v>28</v>
      </c>
      <c r="C3029" t="s">
        <v>54</v>
      </c>
      <c r="D3029" s="11">
        <v>45408</v>
      </c>
      <c r="E3029" t="s">
        <v>16</v>
      </c>
      <c r="F3029" t="s">
        <v>12</v>
      </c>
      <c r="G3029">
        <v>70100392</v>
      </c>
      <c r="H3029">
        <v>5500024751</v>
      </c>
      <c r="I3029">
        <v>20</v>
      </c>
      <c r="J3029" s="29">
        <v>2</v>
      </c>
      <c r="K3029" s="29" t="s">
        <v>408</v>
      </c>
      <c r="L3029" t="str">
        <f>IFERROR(VLOOKUP(Detalle_OC[[#This Row],[Centro]]&amp;Detalle_OC[[#This Row],[Nro Almacen]],Almacen!A:D,4,FALSE),"")</f>
        <v>La Huaca</v>
      </c>
    </row>
    <row r="3030" spans="1:12" x14ac:dyDescent="0.3">
      <c r="A3030" s="29" t="str">
        <f>Detalle_OC[[#This Row],[Centro]]&amp;Detalle_OC[[#This Row],[Nom Almacen]]&amp;Detalle_OC[[#This Row],[Material]]&amp;Detalle_OC[[#This Row],[Pedido]]&amp;Detalle_OC[[#This Row],[Posicion]]</f>
        <v>Agricola del Chira PlantaSan Vicente70100392550002475130</v>
      </c>
      <c r="B3030" t="s">
        <v>28</v>
      </c>
      <c r="C3030" t="s">
        <v>54</v>
      </c>
      <c r="D3030" s="11">
        <v>45408</v>
      </c>
      <c r="E3030" t="s">
        <v>16</v>
      </c>
      <c r="F3030" t="s">
        <v>12</v>
      </c>
      <c r="G3030">
        <v>70100392</v>
      </c>
      <c r="H3030">
        <v>5500024751</v>
      </c>
      <c r="I3030">
        <v>30</v>
      </c>
      <c r="J3030" s="29">
        <v>3</v>
      </c>
      <c r="K3030" s="29" t="s">
        <v>408</v>
      </c>
      <c r="L3030" t="str">
        <f>IFERROR(VLOOKUP(Detalle_OC[[#This Row],[Centro]]&amp;Detalle_OC[[#This Row],[Nro Almacen]],Almacen!A:D,4,FALSE),"")</f>
        <v>San Vicente</v>
      </c>
    </row>
    <row r="3031" spans="1:12" x14ac:dyDescent="0.3">
      <c r="A3031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3031" t="s">
        <v>28</v>
      </c>
      <c r="C3031" t="s">
        <v>54</v>
      </c>
      <c r="D3031" s="11">
        <v>45408</v>
      </c>
      <c r="E3031" t="s">
        <v>16</v>
      </c>
      <c r="F3031" t="s">
        <v>12</v>
      </c>
      <c r="G3031">
        <v>70100392</v>
      </c>
      <c r="H3031">
        <v>5500024751</v>
      </c>
      <c r="I3031">
        <v>40</v>
      </c>
      <c r="J3031" s="29">
        <v>7</v>
      </c>
      <c r="K3031" s="29" t="s">
        <v>408</v>
      </c>
      <c r="L3031" t="str">
        <f>IFERROR(VLOOKUP(Detalle_OC[[#This Row],[Centro]]&amp;Detalle_OC[[#This Row],[Nro Almacen]],Almacen!A:D,4,FALSE),"")</f>
        <v>Almacen Lobo</v>
      </c>
    </row>
    <row r="3032" spans="1:12" x14ac:dyDescent="0.3">
      <c r="A3032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3032" t="s">
        <v>28</v>
      </c>
      <c r="C3032" t="s">
        <v>94</v>
      </c>
      <c r="D3032" s="11">
        <v>45406</v>
      </c>
      <c r="E3032" t="s">
        <v>16</v>
      </c>
      <c r="F3032" t="s">
        <v>85</v>
      </c>
      <c r="G3032" t="s">
        <v>95</v>
      </c>
      <c r="H3032">
        <v>5500024746</v>
      </c>
      <c r="I3032">
        <v>10</v>
      </c>
      <c r="J3032" s="29">
        <v>1</v>
      </c>
      <c r="K3032" s="29" t="s">
        <v>409</v>
      </c>
      <c r="L3032" t="str">
        <f>IFERROR(VLOOKUP(Detalle_OC[[#This Row],[Centro]]&amp;Detalle_OC[[#This Row],[Nro Almacen]],Almacen!A:D,4,FALSE),"")</f>
        <v>Montelima</v>
      </c>
    </row>
    <row r="3033" spans="1:12" x14ac:dyDescent="0.3">
      <c r="A3033" s="29" t="str">
        <f>Detalle_OC[[#This Row],[Centro]]&amp;Detalle_OC[[#This Row],[Nom Almacen]]&amp;Detalle_OC[[#This Row],[Material]]&amp;Detalle_OC[[#This Row],[Pedido]]&amp;Detalle_OC[[#This Row],[Posicion]]</f>
        <v>Agricola del Chira PlantaMontelima738245550001918840</v>
      </c>
      <c r="B3033" t="s">
        <v>28</v>
      </c>
      <c r="C3033" t="s">
        <v>82</v>
      </c>
      <c r="D3033" s="11">
        <v>45404</v>
      </c>
      <c r="E3033" t="s">
        <v>16</v>
      </c>
      <c r="F3033" t="s">
        <v>12</v>
      </c>
      <c r="G3033">
        <v>738245</v>
      </c>
      <c r="H3033">
        <v>5500019188</v>
      </c>
      <c r="I3033">
        <v>40</v>
      </c>
      <c r="J3033" s="29">
        <v>1</v>
      </c>
      <c r="K3033" s="29" t="s">
        <v>410</v>
      </c>
      <c r="L3033" t="str">
        <f>IFERROR(VLOOKUP(Detalle_OC[[#This Row],[Centro]]&amp;Detalle_OC[[#This Row],[Nro Almacen]],Almacen!A:D,4,FALSE),"")</f>
        <v>Montelima</v>
      </c>
    </row>
    <row r="3034" spans="1:12" x14ac:dyDescent="0.3">
      <c r="A3034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3034" t="s">
        <v>28</v>
      </c>
      <c r="C3034" t="s">
        <v>82</v>
      </c>
      <c r="D3034" s="11">
        <v>45405</v>
      </c>
      <c r="E3034" t="s">
        <v>16</v>
      </c>
      <c r="F3034" t="s">
        <v>12</v>
      </c>
      <c r="G3034">
        <v>844522</v>
      </c>
      <c r="H3034">
        <v>5500019188</v>
      </c>
      <c r="I3034">
        <v>150</v>
      </c>
      <c r="J3034" s="29">
        <v>1</v>
      </c>
      <c r="K3034" s="29" t="s">
        <v>410</v>
      </c>
      <c r="L3034" t="str">
        <f>IFERROR(VLOOKUP(Detalle_OC[[#This Row],[Centro]]&amp;Detalle_OC[[#This Row],[Nro Almacen]],Almacen!A:D,4,FALSE),"")</f>
        <v>Montelima</v>
      </c>
    </row>
    <row r="3035" spans="1:12" x14ac:dyDescent="0.3">
      <c r="A3035" s="29" t="str">
        <f>Detalle_OC[[#This Row],[Centro]]&amp;Detalle_OC[[#This Row],[Nom Almacen]]&amp;Detalle_OC[[#This Row],[Material]]&amp;Detalle_OC[[#This Row],[Pedido]]&amp;Detalle_OC[[#This Row],[Posicion]]</f>
        <v>Agricola del Chira PlantaMontelima8445245500019188210</v>
      </c>
      <c r="B3035" t="s">
        <v>28</v>
      </c>
      <c r="C3035" t="s">
        <v>82</v>
      </c>
      <c r="D3035" s="11">
        <v>45404</v>
      </c>
      <c r="E3035" t="s">
        <v>16</v>
      </c>
      <c r="F3035" t="s">
        <v>12</v>
      </c>
      <c r="G3035">
        <v>844524</v>
      </c>
      <c r="H3035">
        <v>5500019188</v>
      </c>
      <c r="I3035">
        <v>210</v>
      </c>
      <c r="J3035" s="29">
        <v>1</v>
      </c>
      <c r="K3035" s="29" t="s">
        <v>410</v>
      </c>
      <c r="L3035" t="str">
        <f>IFERROR(VLOOKUP(Detalle_OC[[#This Row],[Centro]]&amp;Detalle_OC[[#This Row],[Nro Almacen]],Almacen!A:D,4,FALSE),"")</f>
        <v>Montelima</v>
      </c>
    </row>
    <row r="3036" spans="1:12" x14ac:dyDescent="0.3">
      <c r="A3036" s="29" t="str">
        <f>Detalle_OC[[#This Row],[Centro]]&amp;Detalle_OC[[#This Row],[Nom Almacen]]&amp;Detalle_OC[[#This Row],[Material]]&amp;Detalle_OC[[#This Row],[Pedido]]&amp;Detalle_OC[[#This Row],[Posicion]]</f>
        <v>Agricola del Chira PlantaMontelima8445395500019188300</v>
      </c>
      <c r="B3036" t="s">
        <v>28</v>
      </c>
      <c r="C3036" t="s">
        <v>82</v>
      </c>
      <c r="D3036" s="11">
        <v>45404</v>
      </c>
      <c r="E3036" t="s">
        <v>16</v>
      </c>
      <c r="F3036" t="s">
        <v>12</v>
      </c>
      <c r="G3036">
        <v>844539</v>
      </c>
      <c r="H3036">
        <v>5500019188</v>
      </c>
      <c r="I3036">
        <v>300</v>
      </c>
      <c r="J3036" s="29">
        <v>1</v>
      </c>
      <c r="K3036" s="29" t="s">
        <v>410</v>
      </c>
      <c r="L3036" t="str">
        <f>IFERROR(VLOOKUP(Detalle_OC[[#This Row],[Centro]]&amp;Detalle_OC[[#This Row],[Nro Almacen]],Almacen!A:D,4,FALSE),"")</f>
        <v>Montelima</v>
      </c>
    </row>
    <row r="3037" spans="1:12" x14ac:dyDescent="0.3">
      <c r="A3037" s="29" t="str">
        <f>Detalle_OC[[#This Row],[Centro]]&amp;Detalle_OC[[#This Row],[Nom Almacen]]&amp;Detalle_OC[[#This Row],[Material]]&amp;Detalle_OC[[#This Row],[Pedido]]&amp;Detalle_OC[[#This Row],[Posicion]]</f>
        <v>Agricola del Chira PlantaMontelima8445265500019188390</v>
      </c>
      <c r="B3037" t="s">
        <v>28</v>
      </c>
      <c r="C3037" t="s">
        <v>82</v>
      </c>
      <c r="D3037" s="11">
        <v>45404</v>
      </c>
      <c r="E3037" t="s">
        <v>16</v>
      </c>
      <c r="F3037" t="s">
        <v>12</v>
      </c>
      <c r="G3037">
        <v>844526</v>
      </c>
      <c r="H3037">
        <v>5500019188</v>
      </c>
      <c r="I3037">
        <v>390</v>
      </c>
      <c r="J3037" s="29">
        <v>1</v>
      </c>
      <c r="K3037" s="29" t="s">
        <v>410</v>
      </c>
      <c r="L3037" t="str">
        <f>IFERROR(VLOOKUP(Detalle_OC[[#This Row],[Centro]]&amp;Detalle_OC[[#This Row],[Nro Almacen]],Almacen!A:D,4,FALSE),"")</f>
        <v>Montelima</v>
      </c>
    </row>
    <row r="3038" spans="1:12" x14ac:dyDescent="0.3">
      <c r="A3038" s="29" t="str">
        <f>Detalle_OC[[#This Row],[Centro]]&amp;Detalle_OC[[#This Row],[Nom Almacen]]&amp;Detalle_OC[[#This Row],[Material]]&amp;Detalle_OC[[#This Row],[Pedido]]&amp;Detalle_OC[[#This Row],[Posicion]]</f>
        <v>Agricola del Chira PlantaMontelima8445425500019188680</v>
      </c>
      <c r="B3038" t="s">
        <v>28</v>
      </c>
      <c r="C3038" t="s">
        <v>82</v>
      </c>
      <c r="D3038" s="11">
        <v>45405</v>
      </c>
      <c r="E3038" t="s">
        <v>16</v>
      </c>
      <c r="F3038" t="s">
        <v>12</v>
      </c>
      <c r="G3038">
        <v>844542</v>
      </c>
      <c r="H3038">
        <v>5500019188</v>
      </c>
      <c r="I3038">
        <v>680</v>
      </c>
      <c r="J3038" s="29">
        <v>1</v>
      </c>
      <c r="K3038" s="29" t="s">
        <v>410</v>
      </c>
      <c r="L3038" t="str">
        <f>IFERROR(VLOOKUP(Detalle_OC[[#This Row],[Centro]]&amp;Detalle_OC[[#This Row],[Nro Almacen]],Almacen!A:D,4,FALSE),"")</f>
        <v>Montelima</v>
      </c>
    </row>
    <row r="3039" spans="1:12" x14ac:dyDescent="0.3">
      <c r="A3039" s="29" t="str">
        <f>Detalle_OC[[#This Row],[Centro]]&amp;Detalle_OC[[#This Row],[Nom Almacen]]&amp;Detalle_OC[[#This Row],[Material]]&amp;Detalle_OC[[#This Row],[Pedido]]&amp;Detalle_OC[[#This Row],[Posicion]]</f>
        <v>Agricola del Chira PlantaMontelima70084371550002468180</v>
      </c>
      <c r="B3039" t="s">
        <v>28</v>
      </c>
      <c r="C3039" t="s">
        <v>84</v>
      </c>
      <c r="D3039" s="11">
        <v>45405</v>
      </c>
      <c r="E3039" t="s">
        <v>16</v>
      </c>
      <c r="F3039" t="s">
        <v>12</v>
      </c>
      <c r="G3039">
        <v>70084371</v>
      </c>
      <c r="H3039">
        <v>5500024681</v>
      </c>
      <c r="I3039">
        <v>80</v>
      </c>
      <c r="J3039" s="29">
        <v>1</v>
      </c>
      <c r="K3039" s="29" t="s">
        <v>410</v>
      </c>
      <c r="L3039" t="str">
        <f>IFERROR(VLOOKUP(Detalle_OC[[#This Row],[Centro]]&amp;Detalle_OC[[#This Row],[Nro Almacen]],Almacen!A:D,4,FALSE),"")</f>
        <v>Montelima</v>
      </c>
    </row>
    <row r="3040" spans="1:12" x14ac:dyDescent="0.3">
      <c r="A3040" s="29" t="str">
        <f>Detalle_OC[[#This Row],[Centro]]&amp;Detalle_OC[[#This Row],[Nom Almacen]]&amp;Detalle_OC[[#This Row],[Material]]&amp;Detalle_OC[[#This Row],[Pedido]]&amp;Detalle_OC[[#This Row],[Posicion]]</f>
        <v>Agricola del Chira PlantaMontelima70084371550002468180</v>
      </c>
      <c r="B3040" t="s">
        <v>28</v>
      </c>
      <c r="C3040" t="s">
        <v>84</v>
      </c>
      <c r="D3040" s="11">
        <v>45405</v>
      </c>
      <c r="E3040" t="s">
        <v>16</v>
      </c>
      <c r="F3040" t="s">
        <v>12</v>
      </c>
      <c r="G3040">
        <v>70084371</v>
      </c>
      <c r="H3040">
        <v>5500024681</v>
      </c>
      <c r="I3040">
        <v>80</v>
      </c>
      <c r="J3040" s="29">
        <v>1</v>
      </c>
      <c r="K3040" s="29" t="s">
        <v>410</v>
      </c>
      <c r="L3040" t="str">
        <f>IFERROR(VLOOKUP(Detalle_OC[[#This Row],[Centro]]&amp;Detalle_OC[[#This Row],[Nro Almacen]],Almacen!A:D,4,FALSE),"")</f>
        <v>Montelima</v>
      </c>
    </row>
    <row r="3041" spans="1:12" x14ac:dyDescent="0.3">
      <c r="A3041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3041" t="s">
        <v>28</v>
      </c>
      <c r="C3041" t="s">
        <v>54</v>
      </c>
      <c r="D3041" s="11">
        <v>45405</v>
      </c>
      <c r="E3041" t="s">
        <v>16</v>
      </c>
      <c r="F3041" t="s">
        <v>12</v>
      </c>
      <c r="G3041">
        <v>70100392</v>
      </c>
      <c r="H3041">
        <v>5500024751</v>
      </c>
      <c r="I3041">
        <v>20</v>
      </c>
      <c r="J3041" s="29">
        <v>2</v>
      </c>
      <c r="K3041" s="29" t="s">
        <v>410</v>
      </c>
      <c r="L3041" t="str">
        <f>IFERROR(VLOOKUP(Detalle_OC[[#This Row],[Centro]]&amp;Detalle_OC[[#This Row],[Nro Almacen]],Almacen!A:D,4,FALSE),"")</f>
        <v>La Huaca</v>
      </c>
    </row>
    <row r="3042" spans="1:12" x14ac:dyDescent="0.3">
      <c r="A3042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3042" t="s">
        <v>28</v>
      </c>
      <c r="C3042" t="s">
        <v>54</v>
      </c>
      <c r="D3042" s="11">
        <v>45405</v>
      </c>
      <c r="E3042" t="s">
        <v>16</v>
      </c>
      <c r="F3042" t="s">
        <v>12</v>
      </c>
      <c r="G3042">
        <v>70100392</v>
      </c>
      <c r="H3042">
        <v>5500024751</v>
      </c>
      <c r="I3042">
        <v>40</v>
      </c>
      <c r="J3042" s="29">
        <v>7</v>
      </c>
      <c r="K3042" s="29" t="s">
        <v>410</v>
      </c>
      <c r="L3042" t="str">
        <f>IFERROR(VLOOKUP(Detalle_OC[[#This Row],[Centro]]&amp;Detalle_OC[[#This Row],[Nro Almacen]],Almacen!A:D,4,FALSE),"")</f>
        <v>Almacen Lobo</v>
      </c>
    </row>
    <row r="3043" spans="1:12" x14ac:dyDescent="0.3">
      <c r="A3043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3043" t="s">
        <v>28</v>
      </c>
      <c r="C3043" t="s">
        <v>82</v>
      </c>
      <c r="D3043" s="11">
        <v>45404</v>
      </c>
      <c r="E3043" t="s">
        <v>16</v>
      </c>
      <c r="F3043" t="s">
        <v>12</v>
      </c>
      <c r="G3043">
        <v>844523</v>
      </c>
      <c r="H3043">
        <v>5500019188</v>
      </c>
      <c r="I3043">
        <v>140</v>
      </c>
      <c r="J3043" s="29">
        <v>1</v>
      </c>
      <c r="K3043" s="29" t="s">
        <v>411</v>
      </c>
      <c r="L3043" t="str">
        <f>IFERROR(VLOOKUP(Detalle_OC[[#This Row],[Centro]]&amp;Detalle_OC[[#This Row],[Nro Almacen]],Almacen!A:D,4,FALSE),"")</f>
        <v>Montelima</v>
      </c>
    </row>
    <row r="3044" spans="1:12" x14ac:dyDescent="0.3">
      <c r="A3044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3044" t="s">
        <v>28</v>
      </c>
      <c r="C3044" t="s">
        <v>82</v>
      </c>
      <c r="D3044" s="11">
        <v>45404</v>
      </c>
      <c r="E3044" t="s">
        <v>16</v>
      </c>
      <c r="F3044" t="s">
        <v>12</v>
      </c>
      <c r="G3044">
        <v>844522</v>
      </c>
      <c r="H3044">
        <v>5500019188</v>
      </c>
      <c r="I3044">
        <v>150</v>
      </c>
      <c r="J3044" s="29">
        <v>1</v>
      </c>
      <c r="K3044" s="29" t="s">
        <v>411</v>
      </c>
      <c r="L3044" t="str">
        <f>IFERROR(VLOOKUP(Detalle_OC[[#This Row],[Centro]]&amp;Detalle_OC[[#This Row],[Nro Almacen]],Almacen!A:D,4,FALSE),"")</f>
        <v>Montelima</v>
      </c>
    </row>
    <row r="3045" spans="1:12" x14ac:dyDescent="0.3">
      <c r="A3045" s="29" t="str">
        <f>Detalle_OC[[#This Row],[Centro]]&amp;Detalle_OC[[#This Row],[Nom Almacen]]&amp;Detalle_OC[[#This Row],[Material]]&amp;Detalle_OC[[#This Row],[Pedido]]&amp;Detalle_OC[[#This Row],[Posicion]]</f>
        <v>Agricola del Chira PlantaMontelima8445335500019188170</v>
      </c>
      <c r="B3045" t="s">
        <v>28</v>
      </c>
      <c r="C3045" t="s">
        <v>82</v>
      </c>
      <c r="D3045" s="11">
        <v>45404</v>
      </c>
      <c r="E3045" t="s">
        <v>16</v>
      </c>
      <c r="F3045" t="s">
        <v>12</v>
      </c>
      <c r="G3045">
        <v>844533</v>
      </c>
      <c r="H3045">
        <v>5500019188</v>
      </c>
      <c r="I3045">
        <v>170</v>
      </c>
      <c r="J3045" s="29">
        <v>1</v>
      </c>
      <c r="K3045" s="29" t="s">
        <v>411</v>
      </c>
      <c r="L3045" t="str">
        <f>IFERROR(VLOOKUP(Detalle_OC[[#This Row],[Centro]]&amp;Detalle_OC[[#This Row],[Nro Almacen]],Almacen!A:D,4,FALSE),"")</f>
        <v>Montelima</v>
      </c>
    </row>
    <row r="3046" spans="1:12" x14ac:dyDescent="0.3">
      <c r="A3046" s="29" t="str">
        <f>Detalle_OC[[#This Row],[Centro]]&amp;Detalle_OC[[#This Row],[Nom Almacen]]&amp;Detalle_OC[[#This Row],[Material]]&amp;Detalle_OC[[#This Row],[Pedido]]&amp;Detalle_OC[[#This Row],[Posicion]]</f>
        <v>Agricola del Chira PlantaMontelima8445115500019188180</v>
      </c>
      <c r="B3046" t="s">
        <v>28</v>
      </c>
      <c r="C3046" t="s">
        <v>82</v>
      </c>
      <c r="D3046" s="11">
        <v>45404</v>
      </c>
      <c r="E3046" t="s">
        <v>16</v>
      </c>
      <c r="F3046" t="s">
        <v>12</v>
      </c>
      <c r="G3046">
        <v>844511</v>
      </c>
      <c r="H3046">
        <v>5500019188</v>
      </c>
      <c r="I3046">
        <v>180</v>
      </c>
      <c r="J3046" s="29">
        <v>1</v>
      </c>
      <c r="K3046" s="29" t="s">
        <v>411</v>
      </c>
      <c r="L3046" t="str">
        <f>IFERROR(VLOOKUP(Detalle_OC[[#This Row],[Centro]]&amp;Detalle_OC[[#This Row],[Nro Almacen]],Almacen!A:D,4,FALSE),"")</f>
        <v>Montelima</v>
      </c>
    </row>
    <row r="3047" spans="1:12" x14ac:dyDescent="0.3">
      <c r="A3047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3047" t="s">
        <v>28</v>
      </c>
      <c r="C3047" t="s">
        <v>82</v>
      </c>
      <c r="D3047" s="11">
        <v>45404</v>
      </c>
      <c r="E3047" t="s">
        <v>16</v>
      </c>
      <c r="F3047" t="s">
        <v>12</v>
      </c>
      <c r="G3047">
        <v>844515</v>
      </c>
      <c r="H3047">
        <v>5500019188</v>
      </c>
      <c r="I3047">
        <v>200</v>
      </c>
      <c r="J3047" s="29">
        <v>1</v>
      </c>
      <c r="K3047" s="29" t="s">
        <v>411</v>
      </c>
      <c r="L3047" t="str">
        <f>IFERROR(VLOOKUP(Detalle_OC[[#This Row],[Centro]]&amp;Detalle_OC[[#This Row],[Nro Almacen]],Almacen!A:D,4,FALSE),"")</f>
        <v>Montelima</v>
      </c>
    </row>
    <row r="3048" spans="1:12" x14ac:dyDescent="0.3">
      <c r="A3048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3048" t="s">
        <v>28</v>
      </c>
      <c r="C3048" t="s">
        <v>82</v>
      </c>
      <c r="D3048" s="11">
        <v>45404</v>
      </c>
      <c r="E3048" t="s">
        <v>16</v>
      </c>
      <c r="F3048" t="s">
        <v>12</v>
      </c>
      <c r="G3048">
        <v>844508</v>
      </c>
      <c r="H3048">
        <v>5500019188</v>
      </c>
      <c r="I3048">
        <v>220</v>
      </c>
      <c r="J3048" s="29">
        <v>1</v>
      </c>
      <c r="K3048" s="29" t="s">
        <v>411</v>
      </c>
      <c r="L3048" t="str">
        <f>IFERROR(VLOOKUP(Detalle_OC[[#This Row],[Centro]]&amp;Detalle_OC[[#This Row],[Nro Almacen]],Almacen!A:D,4,FALSE),"")</f>
        <v>Montelima</v>
      </c>
    </row>
    <row r="3049" spans="1:12" x14ac:dyDescent="0.3">
      <c r="A3049" s="29" t="str">
        <f>Detalle_OC[[#This Row],[Centro]]&amp;Detalle_OC[[#This Row],[Nom Almacen]]&amp;Detalle_OC[[#This Row],[Material]]&amp;Detalle_OC[[#This Row],[Pedido]]&amp;Detalle_OC[[#This Row],[Posicion]]</f>
        <v>Agricola del Chira PlantaMontelima8445405500019188230</v>
      </c>
      <c r="B3049" t="s">
        <v>28</v>
      </c>
      <c r="C3049" t="s">
        <v>82</v>
      </c>
      <c r="D3049" s="11">
        <v>45404</v>
      </c>
      <c r="E3049" t="s">
        <v>16</v>
      </c>
      <c r="F3049" t="s">
        <v>12</v>
      </c>
      <c r="G3049">
        <v>844540</v>
      </c>
      <c r="H3049">
        <v>5500019188</v>
      </c>
      <c r="I3049">
        <v>230</v>
      </c>
      <c r="J3049" s="29">
        <v>1</v>
      </c>
      <c r="K3049" s="29" t="s">
        <v>411</v>
      </c>
      <c r="L3049" t="str">
        <f>IFERROR(VLOOKUP(Detalle_OC[[#This Row],[Centro]]&amp;Detalle_OC[[#This Row],[Nro Almacen]],Almacen!A:D,4,FALSE),"")</f>
        <v>Montelima</v>
      </c>
    </row>
    <row r="3050" spans="1:12" x14ac:dyDescent="0.3">
      <c r="A3050" s="29" t="str">
        <f>Detalle_OC[[#This Row],[Centro]]&amp;Detalle_OC[[#This Row],[Nom Almacen]]&amp;Detalle_OC[[#This Row],[Material]]&amp;Detalle_OC[[#This Row],[Pedido]]&amp;Detalle_OC[[#This Row],[Posicion]]</f>
        <v>Agricola del Chira PlantaMontelima8445025500019188250</v>
      </c>
      <c r="B3050" t="s">
        <v>28</v>
      </c>
      <c r="C3050" t="s">
        <v>82</v>
      </c>
      <c r="D3050" s="11">
        <v>45404</v>
      </c>
      <c r="E3050" t="s">
        <v>16</v>
      </c>
      <c r="F3050" t="s">
        <v>12</v>
      </c>
      <c r="G3050">
        <v>844502</v>
      </c>
      <c r="H3050">
        <v>5500019188</v>
      </c>
      <c r="I3050">
        <v>250</v>
      </c>
      <c r="J3050" s="29">
        <v>1</v>
      </c>
      <c r="K3050" s="29" t="s">
        <v>411</v>
      </c>
      <c r="L3050" t="str">
        <f>IFERROR(VLOOKUP(Detalle_OC[[#This Row],[Centro]]&amp;Detalle_OC[[#This Row],[Nro Almacen]],Almacen!A:D,4,FALSE),"")</f>
        <v>Montelima</v>
      </c>
    </row>
    <row r="3051" spans="1:12" x14ac:dyDescent="0.3">
      <c r="A3051" s="29" t="str">
        <f>Detalle_OC[[#This Row],[Centro]]&amp;Detalle_OC[[#This Row],[Nom Almacen]]&amp;Detalle_OC[[#This Row],[Material]]&amp;Detalle_OC[[#This Row],[Pedido]]&amp;Detalle_OC[[#This Row],[Posicion]]</f>
        <v>Agricola del Chira PlantaMontelima8445185500019188270</v>
      </c>
      <c r="B3051" t="s">
        <v>28</v>
      </c>
      <c r="C3051" t="s">
        <v>82</v>
      </c>
      <c r="D3051" s="11">
        <v>45404</v>
      </c>
      <c r="E3051" t="s">
        <v>16</v>
      </c>
      <c r="F3051" t="s">
        <v>12</v>
      </c>
      <c r="G3051">
        <v>844518</v>
      </c>
      <c r="H3051">
        <v>5500019188</v>
      </c>
      <c r="I3051">
        <v>270</v>
      </c>
      <c r="J3051" s="29">
        <v>1</v>
      </c>
      <c r="K3051" s="29" t="s">
        <v>411</v>
      </c>
      <c r="L3051" t="str">
        <f>IFERROR(VLOOKUP(Detalle_OC[[#This Row],[Centro]]&amp;Detalle_OC[[#This Row],[Nro Almacen]],Almacen!A:D,4,FALSE),"")</f>
        <v>Montelima</v>
      </c>
    </row>
    <row r="3052" spans="1:12" x14ac:dyDescent="0.3">
      <c r="A3052" s="29" t="str">
        <f>Detalle_OC[[#This Row],[Centro]]&amp;Detalle_OC[[#This Row],[Nom Almacen]]&amp;Detalle_OC[[#This Row],[Material]]&amp;Detalle_OC[[#This Row],[Pedido]]&amp;Detalle_OC[[#This Row],[Posicion]]</f>
        <v>Agricola del Chira PlantaMontelima8445275500019188310</v>
      </c>
      <c r="B3052" t="s">
        <v>28</v>
      </c>
      <c r="C3052" t="s">
        <v>82</v>
      </c>
      <c r="D3052" s="11">
        <v>45404</v>
      </c>
      <c r="E3052" t="s">
        <v>16</v>
      </c>
      <c r="F3052" t="s">
        <v>12</v>
      </c>
      <c r="G3052">
        <v>844527</v>
      </c>
      <c r="H3052">
        <v>5500019188</v>
      </c>
      <c r="I3052">
        <v>310</v>
      </c>
      <c r="J3052" s="29">
        <v>1</v>
      </c>
      <c r="K3052" s="29" t="s">
        <v>411</v>
      </c>
      <c r="L3052" t="str">
        <f>IFERROR(VLOOKUP(Detalle_OC[[#This Row],[Centro]]&amp;Detalle_OC[[#This Row],[Nro Almacen]],Almacen!A:D,4,FALSE),"")</f>
        <v>Montelima</v>
      </c>
    </row>
    <row r="3053" spans="1:12" x14ac:dyDescent="0.3">
      <c r="A3053" s="29" t="str">
        <f>Detalle_OC[[#This Row],[Centro]]&amp;Detalle_OC[[#This Row],[Nom Almacen]]&amp;Detalle_OC[[#This Row],[Material]]&amp;Detalle_OC[[#This Row],[Pedido]]&amp;Detalle_OC[[#This Row],[Posicion]]</f>
        <v>Agricola del Chira PlantaMontelima8445515500019188320</v>
      </c>
      <c r="B3053" t="s">
        <v>28</v>
      </c>
      <c r="C3053" t="s">
        <v>82</v>
      </c>
      <c r="D3053" s="11">
        <v>45404</v>
      </c>
      <c r="E3053" t="s">
        <v>16</v>
      </c>
      <c r="F3053" t="s">
        <v>12</v>
      </c>
      <c r="G3053">
        <v>844551</v>
      </c>
      <c r="H3053">
        <v>5500019188</v>
      </c>
      <c r="I3053">
        <v>320</v>
      </c>
      <c r="J3053" s="29">
        <v>1</v>
      </c>
      <c r="K3053" s="29" t="s">
        <v>411</v>
      </c>
      <c r="L3053" t="str">
        <f>IFERROR(VLOOKUP(Detalle_OC[[#This Row],[Centro]]&amp;Detalle_OC[[#This Row],[Nro Almacen]],Almacen!A:D,4,FALSE),"")</f>
        <v>Montelima</v>
      </c>
    </row>
    <row r="3054" spans="1:12" x14ac:dyDescent="0.3">
      <c r="A3054" s="29" t="str">
        <f>Detalle_OC[[#This Row],[Centro]]&amp;Detalle_OC[[#This Row],[Nom Almacen]]&amp;Detalle_OC[[#This Row],[Material]]&amp;Detalle_OC[[#This Row],[Pedido]]&amp;Detalle_OC[[#This Row],[Posicion]]</f>
        <v>Agricola del Chira PlantaMontelima8445175500019188340</v>
      </c>
      <c r="B3054" t="s">
        <v>28</v>
      </c>
      <c r="C3054" t="s">
        <v>82</v>
      </c>
      <c r="D3054" s="11">
        <v>45404</v>
      </c>
      <c r="E3054" t="s">
        <v>16</v>
      </c>
      <c r="F3054" t="s">
        <v>12</v>
      </c>
      <c r="G3054">
        <v>844517</v>
      </c>
      <c r="H3054">
        <v>5500019188</v>
      </c>
      <c r="I3054">
        <v>340</v>
      </c>
      <c r="J3054" s="29">
        <v>1</v>
      </c>
      <c r="K3054" s="29" t="s">
        <v>411</v>
      </c>
      <c r="L3054" t="str">
        <f>IFERROR(VLOOKUP(Detalle_OC[[#This Row],[Centro]]&amp;Detalle_OC[[#This Row],[Nro Almacen]],Almacen!A:D,4,FALSE),"")</f>
        <v>Montelima</v>
      </c>
    </row>
    <row r="3055" spans="1:12" x14ac:dyDescent="0.3">
      <c r="A3055" s="29" t="str">
        <f>Detalle_OC[[#This Row],[Centro]]&amp;Detalle_OC[[#This Row],[Nom Almacen]]&amp;Detalle_OC[[#This Row],[Material]]&amp;Detalle_OC[[#This Row],[Pedido]]&amp;Detalle_OC[[#This Row],[Posicion]]</f>
        <v>Agricola del Chira PlantaMontelima8445375500019188420</v>
      </c>
      <c r="B3055" t="s">
        <v>28</v>
      </c>
      <c r="C3055" t="s">
        <v>82</v>
      </c>
      <c r="D3055" s="11">
        <v>45404</v>
      </c>
      <c r="E3055" t="s">
        <v>16</v>
      </c>
      <c r="F3055" t="s">
        <v>12</v>
      </c>
      <c r="G3055">
        <v>844537</v>
      </c>
      <c r="H3055">
        <v>5500019188</v>
      </c>
      <c r="I3055">
        <v>420</v>
      </c>
      <c r="J3055" s="29">
        <v>1</v>
      </c>
      <c r="K3055" s="29" t="s">
        <v>411</v>
      </c>
      <c r="L3055" t="str">
        <f>IFERROR(VLOOKUP(Detalle_OC[[#This Row],[Centro]]&amp;Detalle_OC[[#This Row],[Nro Almacen]],Almacen!A:D,4,FALSE),"")</f>
        <v>Montelima</v>
      </c>
    </row>
    <row r="3056" spans="1:12" x14ac:dyDescent="0.3">
      <c r="A3056" s="29" t="str">
        <f>Detalle_OC[[#This Row],[Centro]]&amp;Detalle_OC[[#This Row],[Nom Almacen]]&amp;Detalle_OC[[#This Row],[Material]]&amp;Detalle_OC[[#This Row],[Pedido]]&amp;Detalle_OC[[#This Row],[Posicion]]</f>
        <v>Agricola del Chira PlantaMontelima8445315500019188430</v>
      </c>
      <c r="B3056" t="s">
        <v>28</v>
      </c>
      <c r="C3056" t="s">
        <v>82</v>
      </c>
      <c r="D3056" s="11">
        <v>45404</v>
      </c>
      <c r="E3056" t="s">
        <v>16</v>
      </c>
      <c r="F3056" t="s">
        <v>12</v>
      </c>
      <c r="G3056">
        <v>844531</v>
      </c>
      <c r="H3056">
        <v>5500019188</v>
      </c>
      <c r="I3056">
        <v>430</v>
      </c>
      <c r="J3056" s="29">
        <v>1</v>
      </c>
      <c r="K3056" s="29" t="s">
        <v>411</v>
      </c>
      <c r="L3056" t="str">
        <f>IFERROR(VLOOKUP(Detalle_OC[[#This Row],[Centro]]&amp;Detalle_OC[[#This Row],[Nro Almacen]],Almacen!A:D,4,FALSE),"")</f>
        <v>Montelima</v>
      </c>
    </row>
    <row r="3057" spans="1:12" x14ac:dyDescent="0.3">
      <c r="A3057" s="29" t="str">
        <f>Detalle_OC[[#This Row],[Centro]]&amp;Detalle_OC[[#This Row],[Nom Almacen]]&amp;Detalle_OC[[#This Row],[Material]]&amp;Detalle_OC[[#This Row],[Pedido]]&amp;Detalle_OC[[#This Row],[Posicion]]</f>
        <v>Agricola del Chira PlantaMontelima8506365500019188510</v>
      </c>
      <c r="B3057" t="s">
        <v>28</v>
      </c>
      <c r="C3057" t="s">
        <v>82</v>
      </c>
      <c r="D3057" s="11">
        <v>45404</v>
      </c>
      <c r="E3057" t="s">
        <v>16</v>
      </c>
      <c r="F3057" t="s">
        <v>12</v>
      </c>
      <c r="G3057">
        <v>850636</v>
      </c>
      <c r="H3057">
        <v>5500019188</v>
      </c>
      <c r="I3057">
        <v>510</v>
      </c>
      <c r="J3057" s="29">
        <v>1</v>
      </c>
      <c r="K3057" s="29" t="s">
        <v>411</v>
      </c>
      <c r="L3057" t="str">
        <f>IFERROR(VLOOKUP(Detalle_OC[[#This Row],[Centro]]&amp;Detalle_OC[[#This Row],[Nro Almacen]],Almacen!A:D,4,FALSE),"")</f>
        <v>Montelima</v>
      </c>
    </row>
    <row r="3058" spans="1:12" x14ac:dyDescent="0.3">
      <c r="A3058" s="29" t="str">
        <f>Detalle_OC[[#This Row],[Centro]]&amp;Detalle_OC[[#This Row],[Nom Almacen]]&amp;Detalle_OC[[#This Row],[Material]]&amp;Detalle_OC[[#This Row],[Pedido]]&amp;Detalle_OC[[#This Row],[Posicion]]</f>
        <v>Agricola del Chira PlantaMontelima8453145500019188640</v>
      </c>
      <c r="B3058" t="s">
        <v>28</v>
      </c>
      <c r="C3058" t="s">
        <v>82</v>
      </c>
      <c r="D3058" s="11">
        <v>45404</v>
      </c>
      <c r="E3058" t="s">
        <v>16</v>
      </c>
      <c r="F3058" t="s">
        <v>12</v>
      </c>
      <c r="G3058">
        <v>845314</v>
      </c>
      <c r="H3058">
        <v>5500019188</v>
      </c>
      <c r="I3058">
        <v>640</v>
      </c>
      <c r="J3058" s="29">
        <v>1</v>
      </c>
      <c r="K3058" s="29" t="s">
        <v>411</v>
      </c>
      <c r="L3058" t="str">
        <f>IFERROR(VLOOKUP(Detalle_OC[[#This Row],[Centro]]&amp;Detalle_OC[[#This Row],[Nro Almacen]],Almacen!A:D,4,FALSE),"")</f>
        <v>Montelima</v>
      </c>
    </row>
    <row r="3059" spans="1:12" x14ac:dyDescent="0.3">
      <c r="A3059" s="29" t="str">
        <f>Detalle_OC[[#This Row],[Centro]]&amp;Detalle_OC[[#This Row],[Nom Almacen]]&amp;Detalle_OC[[#This Row],[Material]]&amp;Detalle_OC[[#This Row],[Pedido]]&amp;Detalle_OC[[#This Row],[Posicion]]</f>
        <v>Agricola del Chira PlantaMontelima8459045500019188720</v>
      </c>
      <c r="B3059" t="s">
        <v>28</v>
      </c>
      <c r="C3059" t="s">
        <v>82</v>
      </c>
      <c r="D3059" s="11">
        <v>45404</v>
      </c>
      <c r="E3059" t="s">
        <v>16</v>
      </c>
      <c r="F3059" t="s">
        <v>12</v>
      </c>
      <c r="G3059">
        <v>845904</v>
      </c>
      <c r="H3059">
        <v>5500019188</v>
      </c>
      <c r="I3059">
        <v>720</v>
      </c>
      <c r="J3059" s="29">
        <v>1</v>
      </c>
      <c r="K3059" s="29" t="s">
        <v>411</v>
      </c>
      <c r="L3059" t="str">
        <f>IFERROR(VLOOKUP(Detalle_OC[[#This Row],[Centro]]&amp;Detalle_OC[[#This Row],[Nro Almacen]],Almacen!A:D,4,FALSE),"")</f>
        <v>Montelima</v>
      </c>
    </row>
    <row r="3060" spans="1:12" x14ac:dyDescent="0.3">
      <c r="A3060" s="29" t="str">
        <f>Detalle_OC[[#This Row],[Centro]]&amp;Detalle_OC[[#This Row],[Nom Almacen]]&amp;Detalle_OC[[#This Row],[Material]]&amp;Detalle_OC[[#This Row],[Pedido]]&amp;Detalle_OC[[#This Row],[Posicion]]</f>
        <v>Agricola del Chira PlantaMontelima8459435500019188930</v>
      </c>
      <c r="B3060" t="s">
        <v>28</v>
      </c>
      <c r="C3060" t="s">
        <v>82</v>
      </c>
      <c r="D3060" s="11">
        <v>45404</v>
      </c>
      <c r="E3060" t="s">
        <v>16</v>
      </c>
      <c r="F3060" t="s">
        <v>12</v>
      </c>
      <c r="G3060">
        <v>845943</v>
      </c>
      <c r="H3060">
        <v>5500019188</v>
      </c>
      <c r="I3060">
        <v>930</v>
      </c>
      <c r="J3060" s="29">
        <v>1</v>
      </c>
      <c r="K3060" s="29" t="s">
        <v>411</v>
      </c>
      <c r="L3060" t="str">
        <f>IFERROR(VLOOKUP(Detalle_OC[[#This Row],[Centro]]&amp;Detalle_OC[[#This Row],[Nro Almacen]],Almacen!A:D,4,FALSE),"")</f>
        <v>Montelima</v>
      </c>
    </row>
    <row r="3061" spans="1:12" x14ac:dyDescent="0.3">
      <c r="A3061" s="29" t="str">
        <f>Detalle_OC[[#This Row],[Centro]]&amp;Detalle_OC[[#This Row],[Nom Almacen]]&amp;Detalle_OC[[#This Row],[Material]]&amp;Detalle_OC[[#This Row],[Pedido]]&amp;Detalle_OC[[#This Row],[Posicion]]</f>
        <v>Agricola del Chira PlantaMontelima83507555000191881310</v>
      </c>
      <c r="B3061" t="s">
        <v>28</v>
      </c>
      <c r="C3061" t="s">
        <v>82</v>
      </c>
      <c r="D3061" s="11">
        <v>45404</v>
      </c>
      <c r="E3061" t="s">
        <v>16</v>
      </c>
      <c r="F3061" t="s">
        <v>12</v>
      </c>
      <c r="G3061">
        <v>835075</v>
      </c>
      <c r="H3061">
        <v>5500019188</v>
      </c>
      <c r="I3061">
        <v>1310</v>
      </c>
      <c r="J3061" s="29">
        <v>1</v>
      </c>
      <c r="K3061" s="29" t="s">
        <v>411</v>
      </c>
      <c r="L3061" t="str">
        <f>IFERROR(VLOOKUP(Detalle_OC[[#This Row],[Centro]]&amp;Detalle_OC[[#This Row],[Nro Almacen]],Almacen!A:D,4,FALSE),"")</f>
        <v>Montelima</v>
      </c>
    </row>
    <row r="3062" spans="1:12" x14ac:dyDescent="0.3">
      <c r="A3062" s="29" t="str">
        <f>Detalle_OC[[#This Row],[Centro]]&amp;Detalle_OC[[#This Row],[Nom Almacen]]&amp;Detalle_OC[[#This Row],[Material]]&amp;Detalle_OC[[#This Row],[Pedido]]&amp;Detalle_OC[[#This Row],[Posicion]]</f>
        <v>Agricola del Chira PlantaSan Vicente70100392550002475130</v>
      </c>
      <c r="B3062" t="s">
        <v>28</v>
      </c>
      <c r="C3062" t="s">
        <v>54</v>
      </c>
      <c r="D3062" s="11">
        <v>45404</v>
      </c>
      <c r="E3062" t="s">
        <v>16</v>
      </c>
      <c r="F3062" t="s">
        <v>12</v>
      </c>
      <c r="G3062">
        <v>70100392</v>
      </c>
      <c r="H3062">
        <v>5500024751</v>
      </c>
      <c r="I3062">
        <v>30</v>
      </c>
      <c r="J3062" s="29">
        <v>3</v>
      </c>
      <c r="K3062" s="29" t="s">
        <v>411</v>
      </c>
      <c r="L3062" t="str">
        <f>IFERROR(VLOOKUP(Detalle_OC[[#This Row],[Centro]]&amp;Detalle_OC[[#This Row],[Nro Almacen]],Almacen!A:D,4,FALSE),"")</f>
        <v>San Vicente</v>
      </c>
    </row>
    <row r="3063" spans="1:12" x14ac:dyDescent="0.3">
      <c r="A3063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3063" t="s">
        <v>28</v>
      </c>
      <c r="C3063" t="s">
        <v>54</v>
      </c>
      <c r="D3063" s="11">
        <v>45400</v>
      </c>
      <c r="E3063" t="s">
        <v>16</v>
      </c>
      <c r="F3063" t="s">
        <v>12</v>
      </c>
      <c r="G3063">
        <v>70100392</v>
      </c>
      <c r="H3063">
        <v>5500024751</v>
      </c>
      <c r="I3063">
        <v>20</v>
      </c>
      <c r="J3063" s="29">
        <v>2</v>
      </c>
      <c r="K3063" s="29" t="s">
        <v>412</v>
      </c>
      <c r="L3063" t="str">
        <f>IFERROR(VLOOKUP(Detalle_OC[[#This Row],[Centro]]&amp;Detalle_OC[[#This Row],[Nro Almacen]],Almacen!A:D,4,FALSE),"")</f>
        <v>La Huaca</v>
      </c>
    </row>
    <row r="3064" spans="1:12" x14ac:dyDescent="0.3">
      <c r="A3064" s="29" t="str">
        <f>Detalle_OC[[#This Row],[Centro]]&amp;Detalle_OC[[#This Row],[Nom Almacen]]&amp;Detalle_OC[[#This Row],[Material]]&amp;Detalle_OC[[#This Row],[Pedido]]&amp;Detalle_OC[[#This Row],[Posicion]]</f>
        <v>Agricola del Chira PlantaSan Vicente70100392550002475130</v>
      </c>
      <c r="B3064" t="s">
        <v>28</v>
      </c>
      <c r="C3064" t="s">
        <v>54</v>
      </c>
      <c r="D3064" s="11">
        <v>45400</v>
      </c>
      <c r="E3064" t="s">
        <v>16</v>
      </c>
      <c r="F3064" t="s">
        <v>12</v>
      </c>
      <c r="G3064">
        <v>70100392</v>
      </c>
      <c r="H3064">
        <v>5500024751</v>
      </c>
      <c r="I3064">
        <v>30</v>
      </c>
      <c r="J3064" s="29">
        <v>3</v>
      </c>
      <c r="K3064" s="29" t="s">
        <v>412</v>
      </c>
      <c r="L3064" t="str">
        <f>IFERROR(VLOOKUP(Detalle_OC[[#This Row],[Centro]]&amp;Detalle_OC[[#This Row],[Nro Almacen]],Almacen!A:D,4,FALSE),"")</f>
        <v>San Vicente</v>
      </c>
    </row>
    <row r="3065" spans="1:12" x14ac:dyDescent="0.3">
      <c r="A3065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3065" t="s">
        <v>28</v>
      </c>
      <c r="C3065" t="s">
        <v>54</v>
      </c>
      <c r="D3065" s="11">
        <v>45400</v>
      </c>
      <c r="E3065" t="s">
        <v>16</v>
      </c>
      <c r="F3065" t="s">
        <v>12</v>
      </c>
      <c r="G3065">
        <v>70100392</v>
      </c>
      <c r="H3065">
        <v>5500024751</v>
      </c>
      <c r="I3065">
        <v>40</v>
      </c>
      <c r="J3065" s="29">
        <v>7</v>
      </c>
      <c r="K3065" s="29" t="s">
        <v>412</v>
      </c>
      <c r="L3065" t="str">
        <f>IFERROR(VLOOKUP(Detalle_OC[[#This Row],[Centro]]&amp;Detalle_OC[[#This Row],[Nro Almacen]],Almacen!A:D,4,FALSE),"")</f>
        <v>Almacen Lobo</v>
      </c>
    </row>
    <row r="3066" spans="1:12" x14ac:dyDescent="0.3">
      <c r="A3066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3066" t="s">
        <v>28</v>
      </c>
      <c r="C3066" t="s">
        <v>84</v>
      </c>
      <c r="D3066" s="11">
        <v>45398</v>
      </c>
      <c r="E3066" t="s">
        <v>16</v>
      </c>
      <c r="F3066" t="s">
        <v>85</v>
      </c>
      <c r="G3066">
        <v>801846</v>
      </c>
      <c r="H3066">
        <v>5500022336</v>
      </c>
      <c r="I3066">
        <v>10</v>
      </c>
      <c r="J3066" s="29">
        <v>1</v>
      </c>
      <c r="K3066" s="29" t="s">
        <v>413</v>
      </c>
      <c r="L3066" t="str">
        <f>IFERROR(VLOOKUP(Detalle_OC[[#This Row],[Centro]]&amp;Detalle_OC[[#This Row],[Nro Almacen]],Almacen!A:D,4,FALSE),"")</f>
        <v>Montelima</v>
      </c>
    </row>
    <row r="3067" spans="1:12" x14ac:dyDescent="0.3">
      <c r="A3067" s="29" t="str">
        <f>Detalle_OC[[#This Row],[Centro]]&amp;Detalle_OC[[#This Row],[Nom Almacen]]&amp;Detalle_OC[[#This Row],[Material]]&amp;Detalle_OC[[#This Row],[Pedido]]&amp;Detalle_OC[[#This Row],[Posicion]]</f>
        <v>Agricola del Chira PlantaMontelima70084367550002468170</v>
      </c>
      <c r="B3067" t="s">
        <v>28</v>
      </c>
      <c r="C3067" t="s">
        <v>84</v>
      </c>
      <c r="D3067" s="11">
        <v>45398</v>
      </c>
      <c r="E3067" t="s">
        <v>16</v>
      </c>
      <c r="F3067" t="s">
        <v>12</v>
      </c>
      <c r="G3067">
        <v>70084367</v>
      </c>
      <c r="H3067">
        <v>5500024681</v>
      </c>
      <c r="I3067">
        <v>70</v>
      </c>
      <c r="J3067" s="29">
        <v>1</v>
      </c>
      <c r="K3067" s="29" t="s">
        <v>413</v>
      </c>
      <c r="L3067" t="str">
        <f>IFERROR(VLOOKUP(Detalle_OC[[#This Row],[Centro]]&amp;Detalle_OC[[#This Row],[Nro Almacen]],Almacen!A:D,4,FALSE),"")</f>
        <v>Montelima</v>
      </c>
    </row>
    <row r="3068" spans="1:12" x14ac:dyDescent="0.3">
      <c r="A3068" s="29" t="str">
        <f>Detalle_OC[[#This Row],[Centro]]&amp;Detalle_OC[[#This Row],[Nom Almacen]]&amp;Detalle_OC[[#This Row],[Material]]&amp;Detalle_OC[[#This Row],[Pedido]]&amp;Detalle_OC[[#This Row],[Posicion]]</f>
        <v>Agricola del Chira PlantaMontelima70084367550002468170</v>
      </c>
      <c r="B3068" t="s">
        <v>28</v>
      </c>
      <c r="C3068" t="s">
        <v>84</v>
      </c>
      <c r="D3068" s="11">
        <v>45398</v>
      </c>
      <c r="E3068" t="s">
        <v>16</v>
      </c>
      <c r="F3068" t="s">
        <v>12</v>
      </c>
      <c r="G3068">
        <v>70084367</v>
      </c>
      <c r="H3068">
        <v>5500024681</v>
      </c>
      <c r="I3068">
        <v>70</v>
      </c>
      <c r="J3068" s="29">
        <v>1</v>
      </c>
      <c r="K3068" s="29" t="s">
        <v>413</v>
      </c>
      <c r="L3068" t="str">
        <f>IFERROR(VLOOKUP(Detalle_OC[[#This Row],[Centro]]&amp;Detalle_OC[[#This Row],[Nro Almacen]],Almacen!A:D,4,FALSE),"")</f>
        <v>Montelima</v>
      </c>
    </row>
    <row r="3069" spans="1:12" x14ac:dyDescent="0.3">
      <c r="A3069" s="29" t="str">
        <f>Detalle_OC[[#This Row],[Centro]]&amp;Detalle_OC[[#This Row],[Nom Almacen]]&amp;Detalle_OC[[#This Row],[Material]]&amp;Detalle_OC[[#This Row],[Pedido]]&amp;Detalle_OC[[#This Row],[Posicion]]</f>
        <v>Agricola del Chira PlantaMontelima70084371550002468180</v>
      </c>
      <c r="B3069" t="s">
        <v>28</v>
      </c>
      <c r="C3069" t="s">
        <v>84</v>
      </c>
      <c r="D3069" s="11">
        <v>45398</v>
      </c>
      <c r="E3069" t="s">
        <v>16</v>
      </c>
      <c r="F3069" t="s">
        <v>12</v>
      </c>
      <c r="G3069">
        <v>70084371</v>
      </c>
      <c r="H3069">
        <v>5500024681</v>
      </c>
      <c r="I3069">
        <v>80</v>
      </c>
      <c r="J3069" s="29">
        <v>1</v>
      </c>
      <c r="K3069" s="29" t="s">
        <v>413</v>
      </c>
      <c r="L3069" t="str">
        <f>IFERROR(VLOOKUP(Detalle_OC[[#This Row],[Centro]]&amp;Detalle_OC[[#This Row],[Nro Almacen]],Almacen!A:D,4,FALSE),"")</f>
        <v>Montelima</v>
      </c>
    </row>
    <row r="3070" spans="1:12" x14ac:dyDescent="0.3">
      <c r="A3070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3070" t="s">
        <v>28</v>
      </c>
      <c r="C3070" t="s">
        <v>94</v>
      </c>
      <c r="D3070" s="11">
        <v>45397</v>
      </c>
      <c r="E3070" t="s">
        <v>16</v>
      </c>
      <c r="F3070" t="s">
        <v>85</v>
      </c>
      <c r="G3070" t="s">
        <v>95</v>
      </c>
      <c r="H3070">
        <v>5500024746</v>
      </c>
      <c r="I3070">
        <v>10</v>
      </c>
      <c r="J3070" s="29">
        <v>1</v>
      </c>
      <c r="K3070" s="29" t="s">
        <v>413</v>
      </c>
      <c r="L3070" t="str">
        <f>IFERROR(VLOOKUP(Detalle_OC[[#This Row],[Centro]]&amp;Detalle_OC[[#This Row],[Nro Almacen]],Almacen!A:D,4,FALSE),"")</f>
        <v>Montelima</v>
      </c>
    </row>
    <row r="3071" spans="1:12" x14ac:dyDescent="0.3">
      <c r="A3071" s="29" t="str">
        <f>Detalle_OC[[#This Row],[Centro]]&amp;Detalle_OC[[#This Row],[Nom Almacen]]&amp;Detalle_OC[[#This Row],[Material]]&amp;Detalle_OC[[#This Row],[Pedido]]&amp;Detalle_OC[[#This Row],[Posicion]]</f>
        <v>Agricola del Chira PlantaSan Vicente70100392550002475130</v>
      </c>
      <c r="B3071" t="s">
        <v>28</v>
      </c>
      <c r="C3071" t="s">
        <v>54</v>
      </c>
      <c r="D3071" s="11">
        <v>45398</v>
      </c>
      <c r="E3071" t="s">
        <v>16</v>
      </c>
      <c r="F3071" t="s">
        <v>12</v>
      </c>
      <c r="G3071">
        <v>70100392</v>
      </c>
      <c r="H3071">
        <v>5500024751</v>
      </c>
      <c r="I3071">
        <v>30</v>
      </c>
      <c r="J3071" s="29">
        <v>3</v>
      </c>
      <c r="K3071" s="29" t="s">
        <v>413</v>
      </c>
      <c r="L3071" t="str">
        <f>IFERROR(VLOOKUP(Detalle_OC[[#This Row],[Centro]]&amp;Detalle_OC[[#This Row],[Nro Almacen]],Almacen!A:D,4,FALSE),"")</f>
        <v>San Vicente</v>
      </c>
    </row>
    <row r="3072" spans="1:12" x14ac:dyDescent="0.3">
      <c r="A3072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3072" t="s">
        <v>28</v>
      </c>
      <c r="C3072" t="s">
        <v>94</v>
      </c>
      <c r="D3072" s="11">
        <v>45395</v>
      </c>
      <c r="E3072" t="s">
        <v>16</v>
      </c>
      <c r="F3072" t="s">
        <v>85</v>
      </c>
      <c r="G3072" t="s">
        <v>95</v>
      </c>
      <c r="H3072">
        <v>5500024746</v>
      </c>
      <c r="I3072">
        <v>10</v>
      </c>
      <c r="J3072" s="29">
        <v>1</v>
      </c>
      <c r="K3072" s="29" t="s">
        <v>414</v>
      </c>
      <c r="L3072" t="str">
        <f>IFERROR(VLOOKUP(Detalle_OC[[#This Row],[Centro]]&amp;Detalle_OC[[#This Row],[Nro Almacen]],Almacen!A:D,4,FALSE),"")</f>
        <v>Montelima</v>
      </c>
    </row>
    <row r="3073" spans="1:12" x14ac:dyDescent="0.3">
      <c r="A3073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3073" t="s">
        <v>28</v>
      </c>
      <c r="C3073" t="s">
        <v>54</v>
      </c>
      <c r="D3073" s="11">
        <v>45395</v>
      </c>
      <c r="E3073" t="s">
        <v>16</v>
      </c>
      <c r="F3073" t="s">
        <v>12</v>
      </c>
      <c r="G3073">
        <v>70100392</v>
      </c>
      <c r="H3073">
        <v>5500024751</v>
      </c>
      <c r="I3073">
        <v>40</v>
      </c>
      <c r="J3073" s="29">
        <v>7</v>
      </c>
      <c r="K3073" s="29" t="s">
        <v>415</v>
      </c>
      <c r="L3073" t="str">
        <f>IFERROR(VLOOKUP(Detalle_OC[[#This Row],[Centro]]&amp;Detalle_OC[[#This Row],[Nro Almacen]],Almacen!A:D,4,FALSE),"")</f>
        <v>Almacen Lobo</v>
      </c>
    </row>
    <row r="3074" spans="1:12" x14ac:dyDescent="0.3">
      <c r="A3074" s="29" t="str">
        <f>Detalle_OC[[#This Row],[Centro]]&amp;Detalle_OC[[#This Row],[Nom Almacen]]&amp;Detalle_OC[[#This Row],[Material]]&amp;Detalle_OC[[#This Row],[Pedido]]&amp;Detalle_OC[[#This Row],[Posicion]]</f>
        <v>Agricola del Chira PlantaFERTI LOBO 2701226550002476620</v>
      </c>
      <c r="B3074" t="s">
        <v>28</v>
      </c>
      <c r="C3074" t="s">
        <v>112</v>
      </c>
      <c r="D3074" s="11">
        <v>45394</v>
      </c>
      <c r="E3074" t="s">
        <v>16</v>
      </c>
      <c r="F3074" t="s">
        <v>12</v>
      </c>
      <c r="G3074">
        <v>701226</v>
      </c>
      <c r="H3074">
        <v>5500024766</v>
      </c>
      <c r="I3074">
        <v>20</v>
      </c>
      <c r="J3074" s="29">
        <v>23</v>
      </c>
      <c r="K3074" s="29" t="s">
        <v>1220</v>
      </c>
      <c r="L3074" t="str">
        <f>IFERROR(VLOOKUP(Detalle_OC[[#This Row],[Centro]]&amp;Detalle_OC[[#This Row],[Nro Almacen]],Almacen!A:D,4,FALSE),"")</f>
        <v>FERTI LOBO 2</v>
      </c>
    </row>
    <row r="3075" spans="1:12" x14ac:dyDescent="0.3">
      <c r="A3075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3075" t="s">
        <v>28</v>
      </c>
      <c r="C3075" t="s">
        <v>54</v>
      </c>
      <c r="D3075" s="11">
        <v>45392</v>
      </c>
      <c r="E3075" t="s">
        <v>16</v>
      </c>
      <c r="F3075" t="s">
        <v>12</v>
      </c>
      <c r="G3075">
        <v>70100392</v>
      </c>
      <c r="H3075">
        <v>5500024751</v>
      </c>
      <c r="I3075">
        <v>20</v>
      </c>
      <c r="J3075" s="29">
        <v>2</v>
      </c>
      <c r="K3075" s="29" t="s">
        <v>416</v>
      </c>
      <c r="L3075" t="str">
        <f>IFERROR(VLOOKUP(Detalle_OC[[#This Row],[Centro]]&amp;Detalle_OC[[#This Row],[Nro Almacen]],Almacen!A:D,4,FALSE),"")</f>
        <v>La Huaca</v>
      </c>
    </row>
    <row r="3076" spans="1:12" x14ac:dyDescent="0.3">
      <c r="A3076" s="29" t="str">
        <f>Detalle_OC[[#This Row],[Centro]]&amp;Detalle_OC[[#This Row],[Nom Almacen]]&amp;Detalle_OC[[#This Row],[Material]]&amp;Detalle_OC[[#This Row],[Pedido]]&amp;Detalle_OC[[#This Row],[Posicion]]</f>
        <v>Agricola del Chira PlantaSan Vicente70100392550002475130</v>
      </c>
      <c r="B3076" t="s">
        <v>28</v>
      </c>
      <c r="C3076" t="s">
        <v>54</v>
      </c>
      <c r="D3076" s="11">
        <v>45392</v>
      </c>
      <c r="E3076" t="s">
        <v>16</v>
      </c>
      <c r="F3076" t="s">
        <v>12</v>
      </c>
      <c r="G3076">
        <v>70100392</v>
      </c>
      <c r="H3076">
        <v>5500024751</v>
      </c>
      <c r="I3076">
        <v>30</v>
      </c>
      <c r="J3076" s="29">
        <v>3</v>
      </c>
      <c r="K3076" s="29" t="s">
        <v>416</v>
      </c>
      <c r="L3076" t="str">
        <f>IFERROR(VLOOKUP(Detalle_OC[[#This Row],[Centro]]&amp;Detalle_OC[[#This Row],[Nro Almacen]],Almacen!A:D,4,FALSE),"")</f>
        <v>San Vicente</v>
      </c>
    </row>
    <row r="3077" spans="1:12" x14ac:dyDescent="0.3">
      <c r="A3077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3077" t="s">
        <v>28</v>
      </c>
      <c r="C3077" t="s">
        <v>54</v>
      </c>
      <c r="D3077" s="11">
        <v>45392</v>
      </c>
      <c r="E3077" t="s">
        <v>16</v>
      </c>
      <c r="F3077" t="s">
        <v>12</v>
      </c>
      <c r="G3077">
        <v>70100392</v>
      </c>
      <c r="H3077">
        <v>5500024751</v>
      </c>
      <c r="I3077">
        <v>40</v>
      </c>
      <c r="J3077" s="29">
        <v>7</v>
      </c>
      <c r="K3077" s="29" t="s">
        <v>416</v>
      </c>
      <c r="L3077" t="str">
        <f>IFERROR(VLOOKUP(Detalle_OC[[#This Row],[Centro]]&amp;Detalle_OC[[#This Row],[Nro Almacen]],Almacen!A:D,4,FALSE),"")</f>
        <v>Almacen Lobo</v>
      </c>
    </row>
    <row r="3078" spans="1:12" x14ac:dyDescent="0.3">
      <c r="A3078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3078" t="s">
        <v>28</v>
      </c>
      <c r="C3078" t="s">
        <v>54</v>
      </c>
      <c r="D3078" s="11">
        <v>45388</v>
      </c>
      <c r="E3078" t="s">
        <v>16</v>
      </c>
      <c r="F3078" t="s">
        <v>12</v>
      </c>
      <c r="G3078">
        <v>70100392</v>
      </c>
      <c r="H3078">
        <v>5500024751</v>
      </c>
      <c r="I3078">
        <v>40</v>
      </c>
      <c r="J3078" s="29">
        <v>7</v>
      </c>
      <c r="K3078" s="29" t="s">
        <v>417</v>
      </c>
      <c r="L3078" t="str">
        <f>IFERROR(VLOOKUP(Detalle_OC[[#This Row],[Centro]]&amp;Detalle_OC[[#This Row],[Nro Almacen]],Almacen!A:D,4,FALSE),"")</f>
        <v>Almacen Lobo</v>
      </c>
    </row>
    <row r="3079" spans="1:12" x14ac:dyDescent="0.3">
      <c r="A3079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3079" t="s">
        <v>28</v>
      </c>
      <c r="C3079" t="s">
        <v>94</v>
      </c>
      <c r="D3079" s="11">
        <v>45387</v>
      </c>
      <c r="E3079" t="s">
        <v>16</v>
      </c>
      <c r="F3079" t="s">
        <v>85</v>
      </c>
      <c r="G3079" t="s">
        <v>95</v>
      </c>
      <c r="H3079">
        <v>5500024746</v>
      </c>
      <c r="I3079">
        <v>10</v>
      </c>
      <c r="J3079" s="29">
        <v>1</v>
      </c>
      <c r="K3079" s="29" t="s">
        <v>418</v>
      </c>
      <c r="L3079" t="str">
        <f>IFERROR(VLOOKUP(Detalle_OC[[#This Row],[Centro]]&amp;Detalle_OC[[#This Row],[Nro Almacen]],Almacen!A:D,4,FALSE),"")</f>
        <v>Montelima</v>
      </c>
    </row>
    <row r="3080" spans="1:12" x14ac:dyDescent="0.3">
      <c r="A3080" s="29" t="str">
        <f>Detalle_OC[[#This Row],[Centro]]&amp;Detalle_OC[[#This Row],[Nom Almacen]]&amp;Detalle_OC[[#This Row],[Material]]&amp;Detalle_OC[[#This Row],[Pedido]]&amp;Detalle_OC[[#This Row],[Posicion]]</f>
        <v>Agricola del Chira PlantaSan Vicente70100392550002475130</v>
      </c>
      <c r="B3080" t="s">
        <v>28</v>
      </c>
      <c r="C3080" t="s">
        <v>54</v>
      </c>
      <c r="D3080" s="11">
        <v>45387</v>
      </c>
      <c r="E3080" t="s">
        <v>16</v>
      </c>
      <c r="F3080" t="s">
        <v>12</v>
      </c>
      <c r="G3080">
        <v>70100392</v>
      </c>
      <c r="H3080">
        <v>5500024751</v>
      </c>
      <c r="I3080">
        <v>30</v>
      </c>
      <c r="J3080" s="29">
        <v>3</v>
      </c>
      <c r="K3080" s="29" t="s">
        <v>418</v>
      </c>
      <c r="L3080" t="str">
        <f>IFERROR(VLOOKUP(Detalle_OC[[#This Row],[Centro]]&amp;Detalle_OC[[#This Row],[Nro Almacen]],Almacen!A:D,4,FALSE),"")</f>
        <v>San Vicente</v>
      </c>
    </row>
    <row r="3081" spans="1:12" x14ac:dyDescent="0.3">
      <c r="A3081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3081" t="s">
        <v>28</v>
      </c>
      <c r="C3081" t="s">
        <v>84</v>
      </c>
      <c r="D3081" s="11">
        <v>45386</v>
      </c>
      <c r="E3081" t="s">
        <v>16</v>
      </c>
      <c r="F3081" t="s">
        <v>85</v>
      </c>
      <c r="G3081">
        <v>801846</v>
      </c>
      <c r="H3081">
        <v>5500022336</v>
      </c>
      <c r="I3081">
        <v>10</v>
      </c>
      <c r="J3081" s="29">
        <v>1</v>
      </c>
      <c r="K3081" s="29" t="s">
        <v>419</v>
      </c>
      <c r="L3081" t="str">
        <f>IFERROR(VLOOKUP(Detalle_OC[[#This Row],[Centro]]&amp;Detalle_OC[[#This Row],[Nro Almacen]],Almacen!A:D,4,FALSE),"")</f>
        <v>Montelima</v>
      </c>
    </row>
    <row r="3082" spans="1:12" x14ac:dyDescent="0.3">
      <c r="A3082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3082" t="s">
        <v>28</v>
      </c>
      <c r="C3082" t="s">
        <v>84</v>
      </c>
      <c r="D3082" s="11">
        <v>45386</v>
      </c>
      <c r="E3082" t="s">
        <v>16</v>
      </c>
      <c r="F3082" t="s">
        <v>12</v>
      </c>
      <c r="G3082">
        <v>801846</v>
      </c>
      <c r="H3082">
        <v>5500022338</v>
      </c>
      <c r="I3082">
        <v>40</v>
      </c>
      <c r="J3082" s="29">
        <v>1</v>
      </c>
      <c r="K3082" s="29" t="s">
        <v>419</v>
      </c>
      <c r="L3082" t="str">
        <f>IFERROR(VLOOKUP(Detalle_OC[[#This Row],[Centro]]&amp;Detalle_OC[[#This Row],[Nro Almacen]],Almacen!A:D,4,FALSE),"")</f>
        <v>Montelima</v>
      </c>
    </row>
    <row r="3083" spans="1:12" x14ac:dyDescent="0.3">
      <c r="A3083" s="29" t="str">
        <f>Detalle_OC[[#This Row],[Centro]]&amp;Detalle_OC[[#This Row],[Nom Almacen]]&amp;Detalle_OC[[#This Row],[Material]]&amp;Detalle_OC[[#This Row],[Pedido]]&amp;Detalle_OC[[#This Row],[Posicion]]</f>
        <v>Agricola del Chira PlantaMontelima70084357550002468140</v>
      </c>
      <c r="B3083" t="s">
        <v>28</v>
      </c>
      <c r="C3083" t="s">
        <v>84</v>
      </c>
      <c r="D3083" s="11">
        <v>45386</v>
      </c>
      <c r="E3083" t="s">
        <v>16</v>
      </c>
      <c r="F3083" t="s">
        <v>12</v>
      </c>
      <c r="G3083">
        <v>70084357</v>
      </c>
      <c r="H3083">
        <v>5500024681</v>
      </c>
      <c r="I3083">
        <v>40</v>
      </c>
      <c r="J3083" s="29">
        <v>1</v>
      </c>
      <c r="K3083" s="29" t="s">
        <v>419</v>
      </c>
      <c r="L3083" t="str">
        <f>IFERROR(VLOOKUP(Detalle_OC[[#This Row],[Centro]]&amp;Detalle_OC[[#This Row],[Nro Almacen]],Almacen!A:D,4,FALSE),"")</f>
        <v>Montelima</v>
      </c>
    </row>
    <row r="3084" spans="1:12" x14ac:dyDescent="0.3">
      <c r="A3084" s="29" t="str">
        <f>Detalle_OC[[#This Row],[Centro]]&amp;Detalle_OC[[#This Row],[Nom Almacen]]&amp;Detalle_OC[[#This Row],[Material]]&amp;Detalle_OC[[#This Row],[Pedido]]&amp;Detalle_OC[[#This Row],[Posicion]]</f>
        <v>Agricola del Chira PlantaMontelima70084360550002468150</v>
      </c>
      <c r="B3084" t="s">
        <v>28</v>
      </c>
      <c r="C3084" t="s">
        <v>84</v>
      </c>
      <c r="D3084" s="11">
        <v>45386</v>
      </c>
      <c r="E3084" t="s">
        <v>16</v>
      </c>
      <c r="F3084" t="s">
        <v>12</v>
      </c>
      <c r="G3084">
        <v>70084360</v>
      </c>
      <c r="H3084">
        <v>5500024681</v>
      </c>
      <c r="I3084">
        <v>50</v>
      </c>
      <c r="J3084" s="29">
        <v>1</v>
      </c>
      <c r="K3084" s="29" t="s">
        <v>419</v>
      </c>
      <c r="L3084" t="str">
        <f>IFERROR(VLOOKUP(Detalle_OC[[#This Row],[Centro]]&amp;Detalle_OC[[#This Row],[Nro Almacen]],Almacen!A:D,4,FALSE),"")</f>
        <v>Montelima</v>
      </c>
    </row>
    <row r="3085" spans="1:12" x14ac:dyDescent="0.3">
      <c r="A3085" s="29" t="str">
        <f>Detalle_OC[[#This Row],[Centro]]&amp;Detalle_OC[[#This Row],[Nom Almacen]]&amp;Detalle_OC[[#This Row],[Material]]&amp;Detalle_OC[[#This Row],[Pedido]]&amp;Detalle_OC[[#This Row],[Posicion]]</f>
        <v>Bioenergía del Chira PlantaMontelima70084357550002468310</v>
      </c>
      <c r="B3085" t="s">
        <v>28</v>
      </c>
      <c r="C3085" t="s">
        <v>84</v>
      </c>
      <c r="D3085" s="11">
        <v>45386</v>
      </c>
      <c r="E3085" t="s">
        <v>16</v>
      </c>
      <c r="F3085" t="s">
        <v>86</v>
      </c>
      <c r="G3085">
        <v>70084357</v>
      </c>
      <c r="H3085">
        <v>5500024683</v>
      </c>
      <c r="I3085">
        <v>10</v>
      </c>
      <c r="J3085" s="29">
        <v>1</v>
      </c>
      <c r="K3085" s="29" t="s">
        <v>419</v>
      </c>
      <c r="L3085" t="str">
        <f>IFERROR(VLOOKUP(Detalle_OC[[#This Row],[Centro]]&amp;Detalle_OC[[#This Row],[Nro Almacen]],Almacen!A:D,4,FALSE),"")</f>
        <v>Montelima</v>
      </c>
    </row>
    <row r="3086" spans="1:12" x14ac:dyDescent="0.3">
      <c r="A3086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3086" t="s">
        <v>28</v>
      </c>
      <c r="C3086" t="s">
        <v>54</v>
      </c>
      <c r="D3086" s="11">
        <v>45385</v>
      </c>
      <c r="E3086" t="s">
        <v>16</v>
      </c>
      <c r="F3086" t="s">
        <v>12</v>
      </c>
      <c r="G3086">
        <v>70100392</v>
      </c>
      <c r="H3086">
        <v>5500024751</v>
      </c>
      <c r="I3086">
        <v>40</v>
      </c>
      <c r="J3086" s="29">
        <v>7</v>
      </c>
      <c r="K3086" s="29" t="s">
        <v>420</v>
      </c>
      <c r="L3086" t="str">
        <f>IFERROR(VLOOKUP(Detalle_OC[[#This Row],[Centro]]&amp;Detalle_OC[[#This Row],[Nro Almacen]],Almacen!A:D,4,FALSE),"")</f>
        <v>Almacen Lobo</v>
      </c>
    </row>
    <row r="3087" spans="1:12" x14ac:dyDescent="0.3">
      <c r="A3087" s="29" t="str">
        <f>Detalle_OC[[#This Row],[Centro]]&amp;Detalle_OC[[#This Row],[Nom Almacen]]&amp;Detalle_OC[[#This Row],[Material]]&amp;Detalle_OC[[#This Row],[Pedido]]&amp;Detalle_OC[[#This Row],[Posicion]]</f>
        <v>Agricola del Chira PlantaMontelima70084367550002468170</v>
      </c>
      <c r="B3087" t="s">
        <v>28</v>
      </c>
      <c r="C3087" t="s">
        <v>84</v>
      </c>
      <c r="D3087" s="11">
        <v>45384</v>
      </c>
      <c r="E3087" t="s">
        <v>16</v>
      </c>
      <c r="F3087" t="s">
        <v>12</v>
      </c>
      <c r="G3087">
        <v>70084367</v>
      </c>
      <c r="H3087">
        <v>5500024681</v>
      </c>
      <c r="I3087">
        <v>70</v>
      </c>
      <c r="J3087" s="29">
        <v>1</v>
      </c>
      <c r="K3087" s="29" t="s">
        <v>421</v>
      </c>
      <c r="L3087" t="str">
        <f>IFERROR(VLOOKUP(Detalle_OC[[#This Row],[Centro]]&amp;Detalle_OC[[#This Row],[Nro Almacen]],Almacen!A:D,4,FALSE),"")</f>
        <v>Montelima</v>
      </c>
    </row>
    <row r="3088" spans="1:12" x14ac:dyDescent="0.3">
      <c r="A3088" s="29" t="str">
        <f>Detalle_OC[[#This Row],[Centro]]&amp;Detalle_OC[[#This Row],[Nom Almacen]]&amp;Detalle_OC[[#This Row],[Material]]&amp;Detalle_OC[[#This Row],[Pedido]]&amp;Detalle_OC[[#This Row],[Posicion]]</f>
        <v>Bioenergía del Chira PlantaMontelima70084357550002468310</v>
      </c>
      <c r="B3088" t="s">
        <v>28</v>
      </c>
      <c r="C3088" t="s">
        <v>84</v>
      </c>
      <c r="D3088" s="11">
        <v>45384</v>
      </c>
      <c r="E3088" t="s">
        <v>16</v>
      </c>
      <c r="F3088" t="s">
        <v>86</v>
      </c>
      <c r="G3088">
        <v>70084357</v>
      </c>
      <c r="H3088">
        <v>5500024683</v>
      </c>
      <c r="I3088">
        <v>10</v>
      </c>
      <c r="J3088" s="29">
        <v>1</v>
      </c>
      <c r="K3088" s="29" t="s">
        <v>421</v>
      </c>
      <c r="L3088" t="str">
        <f>IFERROR(VLOOKUP(Detalle_OC[[#This Row],[Centro]]&amp;Detalle_OC[[#This Row],[Nro Almacen]],Almacen!A:D,4,FALSE),"")</f>
        <v>Montelima</v>
      </c>
    </row>
    <row r="3089" spans="1:12" x14ac:dyDescent="0.3">
      <c r="A3089" s="29" t="str">
        <f>Detalle_OC[[#This Row],[Centro]]&amp;Detalle_OC[[#This Row],[Nom Almacen]]&amp;Detalle_OC[[#This Row],[Material]]&amp;Detalle_OC[[#This Row],[Pedido]]&amp;Detalle_OC[[#This Row],[Posicion]]</f>
        <v>Agricola del Chira PlantaSan Vicente70100392550002475130</v>
      </c>
      <c r="B3089" t="s">
        <v>28</v>
      </c>
      <c r="C3089" t="s">
        <v>54</v>
      </c>
      <c r="D3089" s="11">
        <v>45384</v>
      </c>
      <c r="E3089" t="s">
        <v>16</v>
      </c>
      <c r="F3089" t="s">
        <v>12</v>
      </c>
      <c r="G3089">
        <v>70100392</v>
      </c>
      <c r="H3089">
        <v>5500024751</v>
      </c>
      <c r="I3089">
        <v>30</v>
      </c>
      <c r="J3089" s="29">
        <v>3</v>
      </c>
      <c r="K3089" s="29" t="s">
        <v>421</v>
      </c>
      <c r="L3089" t="str">
        <f>IFERROR(VLOOKUP(Detalle_OC[[#This Row],[Centro]]&amp;Detalle_OC[[#This Row],[Nro Almacen]],Almacen!A:D,4,FALSE),"")</f>
        <v>San Vicente</v>
      </c>
    </row>
    <row r="3090" spans="1:12" x14ac:dyDescent="0.3">
      <c r="A3090" s="29" t="str">
        <f>Detalle_OC[[#This Row],[Centro]]&amp;Detalle_OC[[#This Row],[Nom Almacen]]&amp;Detalle_OC[[#This Row],[Material]]&amp;Detalle_OC[[#This Row],[Pedido]]&amp;Detalle_OC[[#This Row],[Posicion]]</f>
        <v>Agricola del Chira PlantaMontelima70084357550002468140</v>
      </c>
      <c r="B3090" t="s">
        <v>28</v>
      </c>
      <c r="C3090" t="s">
        <v>84</v>
      </c>
      <c r="D3090" s="11">
        <v>45383</v>
      </c>
      <c r="E3090" t="s">
        <v>16</v>
      </c>
      <c r="F3090" t="s">
        <v>12</v>
      </c>
      <c r="G3090">
        <v>70084357</v>
      </c>
      <c r="H3090">
        <v>5500024681</v>
      </c>
      <c r="I3090">
        <v>40</v>
      </c>
      <c r="J3090" s="29">
        <v>1</v>
      </c>
      <c r="K3090" s="29" t="s">
        <v>422</v>
      </c>
      <c r="L3090" t="str">
        <f>IFERROR(VLOOKUP(Detalle_OC[[#This Row],[Centro]]&amp;Detalle_OC[[#This Row],[Nro Almacen]],Almacen!A:D,4,FALSE),"")</f>
        <v>Montelima</v>
      </c>
    </row>
    <row r="3091" spans="1:12" x14ac:dyDescent="0.3">
      <c r="A3091" s="29" t="str">
        <f>Detalle_OC[[#This Row],[Centro]]&amp;Detalle_OC[[#This Row],[Nom Almacen]]&amp;Detalle_OC[[#This Row],[Material]]&amp;Detalle_OC[[#This Row],[Pedido]]&amp;Detalle_OC[[#This Row],[Posicion]]</f>
        <v>Agricola del Chira PlantaMontelima70084360550002468150</v>
      </c>
      <c r="B3091" t="s">
        <v>28</v>
      </c>
      <c r="C3091" t="s">
        <v>84</v>
      </c>
      <c r="D3091" s="11">
        <v>45383</v>
      </c>
      <c r="E3091" t="s">
        <v>16</v>
      </c>
      <c r="F3091" t="s">
        <v>12</v>
      </c>
      <c r="G3091">
        <v>70084360</v>
      </c>
      <c r="H3091">
        <v>5500024681</v>
      </c>
      <c r="I3091">
        <v>50</v>
      </c>
      <c r="J3091" s="29">
        <v>1</v>
      </c>
      <c r="K3091" s="29" t="s">
        <v>422</v>
      </c>
      <c r="L3091" t="str">
        <f>IFERROR(VLOOKUP(Detalle_OC[[#This Row],[Centro]]&amp;Detalle_OC[[#This Row],[Nro Almacen]],Almacen!A:D,4,FALSE),"")</f>
        <v>Montelima</v>
      </c>
    </row>
    <row r="3092" spans="1:12" x14ac:dyDescent="0.3">
      <c r="A3092" s="29" t="str">
        <f>Detalle_OC[[#This Row],[Centro]]&amp;Detalle_OC[[#This Row],[Nom Almacen]]&amp;Detalle_OC[[#This Row],[Material]]&amp;Detalle_OC[[#This Row],[Pedido]]&amp;Detalle_OC[[#This Row],[Posicion]]</f>
        <v>Agricola del Chira PlantaMontelima70084371550002468180</v>
      </c>
      <c r="B3092" t="s">
        <v>28</v>
      </c>
      <c r="C3092" t="s">
        <v>84</v>
      </c>
      <c r="D3092" s="11">
        <v>45383</v>
      </c>
      <c r="E3092" t="s">
        <v>16</v>
      </c>
      <c r="F3092" t="s">
        <v>12</v>
      </c>
      <c r="G3092">
        <v>70084371</v>
      </c>
      <c r="H3092">
        <v>5500024681</v>
      </c>
      <c r="I3092">
        <v>80</v>
      </c>
      <c r="J3092" s="29">
        <v>1</v>
      </c>
      <c r="K3092" s="29" t="s">
        <v>422</v>
      </c>
      <c r="L3092" t="str">
        <f>IFERROR(VLOOKUP(Detalle_OC[[#This Row],[Centro]]&amp;Detalle_OC[[#This Row],[Nro Almacen]],Almacen!A:D,4,FALSE),"")</f>
        <v>Montelima</v>
      </c>
    </row>
    <row r="3093" spans="1:12" x14ac:dyDescent="0.3">
      <c r="A3093" s="29" t="str">
        <f>Detalle_OC[[#This Row],[Centro]]&amp;Detalle_OC[[#This Row],[Nom Almacen]]&amp;Detalle_OC[[#This Row],[Material]]&amp;Detalle_OC[[#This Row],[Pedido]]&amp;Detalle_OC[[#This Row],[Posicion]]</f>
        <v>Bioenergía del Chira PlantaMontelima70084367550002468360</v>
      </c>
      <c r="B3093" t="s">
        <v>28</v>
      </c>
      <c r="C3093" t="s">
        <v>84</v>
      </c>
      <c r="D3093" s="11">
        <v>45383</v>
      </c>
      <c r="E3093" t="s">
        <v>16</v>
      </c>
      <c r="F3093" t="s">
        <v>86</v>
      </c>
      <c r="G3093">
        <v>70084367</v>
      </c>
      <c r="H3093">
        <v>5500024683</v>
      </c>
      <c r="I3093">
        <v>60</v>
      </c>
      <c r="J3093" s="29">
        <v>1</v>
      </c>
      <c r="K3093" s="29" t="s">
        <v>422</v>
      </c>
      <c r="L3093" t="str">
        <f>IFERROR(VLOOKUP(Detalle_OC[[#This Row],[Centro]]&amp;Detalle_OC[[#This Row],[Nro Almacen]],Almacen!A:D,4,FALSE),"")</f>
        <v>Montelima</v>
      </c>
    </row>
    <row r="3094" spans="1:12" x14ac:dyDescent="0.3">
      <c r="A3094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3094" t="s">
        <v>28</v>
      </c>
      <c r="C3094" t="s">
        <v>54</v>
      </c>
      <c r="D3094" s="11">
        <v>45378</v>
      </c>
      <c r="E3094" t="s">
        <v>16</v>
      </c>
      <c r="F3094" t="s">
        <v>12</v>
      </c>
      <c r="G3094">
        <v>70100392</v>
      </c>
      <c r="H3094">
        <v>5500024751</v>
      </c>
      <c r="I3094">
        <v>40</v>
      </c>
      <c r="J3094" s="29">
        <v>7</v>
      </c>
      <c r="K3094" s="29" t="s">
        <v>423</v>
      </c>
      <c r="L3094" t="str">
        <f>IFERROR(VLOOKUP(Detalle_OC[[#This Row],[Centro]]&amp;Detalle_OC[[#This Row],[Nro Almacen]],Almacen!A:D,4,FALSE),"")</f>
        <v>Almacen Lobo</v>
      </c>
    </row>
    <row r="3095" spans="1:12" x14ac:dyDescent="0.3">
      <c r="A3095" s="29" t="str">
        <f>Detalle_OC[[#This Row],[Centro]]&amp;Detalle_OC[[#This Row],[Nom Almacen]]&amp;Detalle_OC[[#This Row],[Material]]&amp;Detalle_OC[[#This Row],[Pedido]]&amp;Detalle_OC[[#This Row],[Posicion]]</f>
        <v>Sucroalcolera del Chira PlantaMontelima70084367550002468280</v>
      </c>
      <c r="B3095" t="s">
        <v>28</v>
      </c>
      <c r="C3095" t="s">
        <v>84</v>
      </c>
      <c r="D3095" s="11">
        <v>45376</v>
      </c>
      <c r="E3095" t="s">
        <v>16</v>
      </c>
      <c r="F3095" t="s">
        <v>85</v>
      </c>
      <c r="G3095">
        <v>70084367</v>
      </c>
      <c r="H3095">
        <v>5500024682</v>
      </c>
      <c r="I3095">
        <v>80</v>
      </c>
      <c r="J3095" s="29">
        <v>1</v>
      </c>
      <c r="K3095" s="29" t="s">
        <v>424</v>
      </c>
      <c r="L3095" t="str">
        <f>IFERROR(VLOOKUP(Detalle_OC[[#This Row],[Centro]]&amp;Detalle_OC[[#This Row],[Nro Almacen]],Almacen!A:D,4,FALSE),"")</f>
        <v>Montelima</v>
      </c>
    </row>
    <row r="3096" spans="1:12" x14ac:dyDescent="0.3">
      <c r="A3096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3096" t="s">
        <v>28</v>
      </c>
      <c r="C3096" t="s">
        <v>94</v>
      </c>
      <c r="D3096" s="11">
        <v>45373</v>
      </c>
      <c r="E3096" t="s">
        <v>16</v>
      </c>
      <c r="F3096" t="s">
        <v>85</v>
      </c>
      <c r="G3096" t="s">
        <v>95</v>
      </c>
      <c r="H3096">
        <v>5500024746</v>
      </c>
      <c r="I3096">
        <v>10</v>
      </c>
      <c r="J3096" s="29">
        <v>1</v>
      </c>
      <c r="K3096" s="29" t="s">
        <v>425</v>
      </c>
      <c r="L3096" t="str">
        <f>IFERROR(VLOOKUP(Detalle_OC[[#This Row],[Centro]]&amp;Detalle_OC[[#This Row],[Nro Almacen]],Almacen!A:D,4,FALSE),"")</f>
        <v>Montelima</v>
      </c>
    </row>
    <row r="3097" spans="1:12" x14ac:dyDescent="0.3">
      <c r="A3097" s="29" t="str">
        <f>Detalle_OC[[#This Row],[Centro]]&amp;Detalle_OC[[#This Row],[Nom Almacen]]&amp;Detalle_OC[[#This Row],[Material]]&amp;Detalle_OC[[#This Row],[Pedido]]&amp;Detalle_OC[[#This Row],[Posicion]]</f>
        <v>Agricola del Chira PlantaSan Vicente70100392550002475130</v>
      </c>
      <c r="B3097" t="s">
        <v>28</v>
      </c>
      <c r="C3097" t="s">
        <v>54</v>
      </c>
      <c r="D3097" s="11">
        <v>45373</v>
      </c>
      <c r="E3097" t="s">
        <v>16</v>
      </c>
      <c r="F3097" t="s">
        <v>12</v>
      </c>
      <c r="G3097">
        <v>70100392</v>
      </c>
      <c r="H3097">
        <v>5500024751</v>
      </c>
      <c r="I3097">
        <v>30</v>
      </c>
      <c r="J3097" s="29">
        <v>3</v>
      </c>
      <c r="K3097" s="29" t="s">
        <v>425</v>
      </c>
      <c r="L3097" t="str">
        <f>IFERROR(VLOOKUP(Detalle_OC[[#This Row],[Centro]]&amp;Detalle_OC[[#This Row],[Nro Almacen]],Almacen!A:D,4,FALSE),"")</f>
        <v>San Vicente</v>
      </c>
    </row>
    <row r="3098" spans="1:12" x14ac:dyDescent="0.3">
      <c r="A3098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3098" t="s">
        <v>28</v>
      </c>
      <c r="C3098" t="s">
        <v>82</v>
      </c>
      <c r="D3098" s="11">
        <v>45372</v>
      </c>
      <c r="E3098" t="s">
        <v>16</v>
      </c>
      <c r="F3098" t="s">
        <v>12</v>
      </c>
      <c r="G3098">
        <v>844522</v>
      </c>
      <c r="H3098">
        <v>5500019188</v>
      </c>
      <c r="I3098">
        <v>150</v>
      </c>
      <c r="J3098" s="29">
        <v>1</v>
      </c>
      <c r="K3098" s="29" t="s">
        <v>426</v>
      </c>
      <c r="L3098" t="str">
        <f>IFERROR(VLOOKUP(Detalle_OC[[#This Row],[Centro]]&amp;Detalle_OC[[#This Row],[Nro Almacen]],Almacen!A:D,4,FALSE),"")</f>
        <v>Montelima</v>
      </c>
    </row>
    <row r="3099" spans="1:12" x14ac:dyDescent="0.3">
      <c r="A3099" s="29" t="str">
        <f>Detalle_OC[[#This Row],[Centro]]&amp;Detalle_OC[[#This Row],[Nom Almacen]]&amp;Detalle_OC[[#This Row],[Material]]&amp;Detalle_OC[[#This Row],[Pedido]]&amp;Detalle_OC[[#This Row],[Posicion]]</f>
        <v>Agricola del Chira PlantaMontelima738330550001918820</v>
      </c>
      <c r="B3099" t="s">
        <v>28</v>
      </c>
      <c r="C3099" t="s">
        <v>82</v>
      </c>
      <c r="D3099" s="11">
        <v>45369</v>
      </c>
      <c r="E3099" t="s">
        <v>16</v>
      </c>
      <c r="F3099" t="s">
        <v>12</v>
      </c>
      <c r="G3099">
        <v>738330</v>
      </c>
      <c r="H3099">
        <v>5500019188</v>
      </c>
      <c r="I3099">
        <v>20</v>
      </c>
      <c r="J3099" s="29">
        <v>1</v>
      </c>
      <c r="K3099" s="29" t="s">
        <v>427</v>
      </c>
      <c r="L3099" t="str">
        <f>IFERROR(VLOOKUP(Detalle_OC[[#This Row],[Centro]]&amp;Detalle_OC[[#This Row],[Nro Almacen]],Almacen!A:D,4,FALSE),"")</f>
        <v>Montelima</v>
      </c>
    </row>
    <row r="3100" spans="1:12" x14ac:dyDescent="0.3">
      <c r="A3100" s="29" t="str">
        <f>Detalle_OC[[#This Row],[Centro]]&amp;Detalle_OC[[#This Row],[Nom Almacen]]&amp;Detalle_OC[[#This Row],[Material]]&amp;Detalle_OC[[#This Row],[Pedido]]&amp;Detalle_OC[[#This Row],[Posicion]]</f>
        <v>Agricola del Chira PlantaMontelima738248550001918870</v>
      </c>
      <c r="B3100" t="s">
        <v>28</v>
      </c>
      <c r="C3100" t="s">
        <v>82</v>
      </c>
      <c r="D3100" s="11">
        <v>45369</v>
      </c>
      <c r="E3100" t="s">
        <v>16</v>
      </c>
      <c r="F3100" t="s">
        <v>12</v>
      </c>
      <c r="G3100">
        <v>738248</v>
      </c>
      <c r="H3100">
        <v>5500019188</v>
      </c>
      <c r="I3100">
        <v>70</v>
      </c>
      <c r="J3100" s="29">
        <v>1</v>
      </c>
      <c r="K3100" s="29" t="s">
        <v>427</v>
      </c>
      <c r="L3100" t="str">
        <f>IFERROR(VLOOKUP(Detalle_OC[[#This Row],[Centro]]&amp;Detalle_OC[[#This Row],[Nro Almacen]],Almacen!A:D,4,FALSE),"")</f>
        <v>Montelima</v>
      </c>
    </row>
    <row r="3101" spans="1:12" x14ac:dyDescent="0.3">
      <c r="A3101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3101" t="s">
        <v>28</v>
      </c>
      <c r="C3101" t="s">
        <v>82</v>
      </c>
      <c r="D3101" s="11">
        <v>45369</v>
      </c>
      <c r="E3101" t="s">
        <v>16</v>
      </c>
      <c r="F3101" t="s">
        <v>12</v>
      </c>
      <c r="G3101">
        <v>844515</v>
      </c>
      <c r="H3101">
        <v>5500019188</v>
      </c>
      <c r="I3101">
        <v>200</v>
      </c>
      <c r="J3101" s="29">
        <v>1</v>
      </c>
      <c r="K3101" s="29" t="s">
        <v>427</v>
      </c>
      <c r="L3101" t="str">
        <f>IFERROR(VLOOKUP(Detalle_OC[[#This Row],[Centro]]&amp;Detalle_OC[[#This Row],[Nro Almacen]],Almacen!A:D,4,FALSE),"")</f>
        <v>Montelima</v>
      </c>
    </row>
    <row r="3102" spans="1:12" x14ac:dyDescent="0.3">
      <c r="A3102" s="29" t="str">
        <f>Detalle_OC[[#This Row],[Centro]]&amp;Detalle_OC[[#This Row],[Nom Almacen]]&amp;Detalle_OC[[#This Row],[Material]]&amp;Detalle_OC[[#This Row],[Pedido]]&amp;Detalle_OC[[#This Row],[Posicion]]</f>
        <v>Agricola del Chira PlantaMontelima8449175500019188240</v>
      </c>
      <c r="B3102" t="s">
        <v>28</v>
      </c>
      <c r="C3102" t="s">
        <v>82</v>
      </c>
      <c r="D3102" s="11">
        <v>45369</v>
      </c>
      <c r="E3102" t="s">
        <v>16</v>
      </c>
      <c r="F3102" t="s">
        <v>12</v>
      </c>
      <c r="G3102">
        <v>844917</v>
      </c>
      <c r="H3102">
        <v>5500019188</v>
      </c>
      <c r="I3102">
        <v>240</v>
      </c>
      <c r="J3102" s="29">
        <v>1</v>
      </c>
      <c r="K3102" s="29" t="s">
        <v>427</v>
      </c>
      <c r="L3102" t="str">
        <f>IFERROR(VLOOKUP(Detalle_OC[[#This Row],[Centro]]&amp;Detalle_OC[[#This Row],[Nro Almacen]],Almacen!A:D,4,FALSE),"")</f>
        <v>Montelima</v>
      </c>
    </row>
    <row r="3103" spans="1:12" x14ac:dyDescent="0.3">
      <c r="A3103" s="29" t="str">
        <f>Detalle_OC[[#This Row],[Centro]]&amp;Detalle_OC[[#This Row],[Nom Almacen]]&amp;Detalle_OC[[#This Row],[Material]]&amp;Detalle_OC[[#This Row],[Pedido]]&amp;Detalle_OC[[#This Row],[Posicion]]</f>
        <v>Agricola del Chira PlantaMontelima8445365500019188330</v>
      </c>
      <c r="B3103" t="s">
        <v>28</v>
      </c>
      <c r="C3103" t="s">
        <v>82</v>
      </c>
      <c r="D3103" s="11">
        <v>45369</v>
      </c>
      <c r="E3103" t="s">
        <v>16</v>
      </c>
      <c r="F3103" t="s">
        <v>12</v>
      </c>
      <c r="G3103">
        <v>844536</v>
      </c>
      <c r="H3103">
        <v>5500019188</v>
      </c>
      <c r="I3103">
        <v>330</v>
      </c>
      <c r="J3103" s="29">
        <v>1</v>
      </c>
      <c r="K3103" s="29" t="s">
        <v>427</v>
      </c>
      <c r="L3103" t="str">
        <f>IFERROR(VLOOKUP(Detalle_OC[[#This Row],[Centro]]&amp;Detalle_OC[[#This Row],[Nro Almacen]],Almacen!A:D,4,FALSE),"")</f>
        <v>Montelima</v>
      </c>
    </row>
    <row r="3104" spans="1:12" x14ac:dyDescent="0.3">
      <c r="A3104" s="29" t="str">
        <f>Detalle_OC[[#This Row],[Centro]]&amp;Detalle_OC[[#This Row],[Nom Almacen]]&amp;Detalle_OC[[#This Row],[Material]]&amp;Detalle_OC[[#This Row],[Pedido]]&amp;Detalle_OC[[#This Row],[Posicion]]</f>
        <v>Agricola del Chira PlantaMontelima8445035500019188370</v>
      </c>
      <c r="B3104" t="s">
        <v>28</v>
      </c>
      <c r="C3104" t="s">
        <v>82</v>
      </c>
      <c r="D3104" s="11">
        <v>45369</v>
      </c>
      <c r="E3104" t="s">
        <v>16</v>
      </c>
      <c r="F3104" t="s">
        <v>12</v>
      </c>
      <c r="G3104">
        <v>844503</v>
      </c>
      <c r="H3104">
        <v>5500019188</v>
      </c>
      <c r="I3104">
        <v>370</v>
      </c>
      <c r="J3104" s="29">
        <v>1</v>
      </c>
      <c r="K3104" s="29" t="s">
        <v>427</v>
      </c>
      <c r="L3104" t="str">
        <f>IFERROR(VLOOKUP(Detalle_OC[[#This Row],[Centro]]&amp;Detalle_OC[[#This Row],[Nro Almacen]],Almacen!A:D,4,FALSE),"")</f>
        <v>Montelima</v>
      </c>
    </row>
    <row r="3105" spans="1:12" x14ac:dyDescent="0.3">
      <c r="A3105" s="29" t="str">
        <f>Detalle_OC[[#This Row],[Centro]]&amp;Detalle_OC[[#This Row],[Nom Almacen]]&amp;Detalle_OC[[#This Row],[Material]]&amp;Detalle_OC[[#This Row],[Pedido]]&amp;Detalle_OC[[#This Row],[Posicion]]</f>
        <v>Agricola del Chira PlantaMontelima8445375500019188420</v>
      </c>
      <c r="B3105" t="s">
        <v>28</v>
      </c>
      <c r="C3105" t="s">
        <v>82</v>
      </c>
      <c r="D3105" s="11">
        <v>45369</v>
      </c>
      <c r="E3105" t="s">
        <v>16</v>
      </c>
      <c r="F3105" t="s">
        <v>12</v>
      </c>
      <c r="G3105">
        <v>844537</v>
      </c>
      <c r="H3105">
        <v>5500019188</v>
      </c>
      <c r="I3105">
        <v>420</v>
      </c>
      <c r="J3105" s="29">
        <v>1</v>
      </c>
      <c r="K3105" s="29" t="s">
        <v>427</v>
      </c>
      <c r="L3105" t="str">
        <f>IFERROR(VLOOKUP(Detalle_OC[[#This Row],[Centro]]&amp;Detalle_OC[[#This Row],[Nro Almacen]],Almacen!A:D,4,FALSE),"")</f>
        <v>Montelima</v>
      </c>
    </row>
    <row r="3106" spans="1:12" x14ac:dyDescent="0.3">
      <c r="A3106" s="29" t="str">
        <f>Detalle_OC[[#This Row],[Centro]]&amp;Detalle_OC[[#This Row],[Nom Almacen]]&amp;Detalle_OC[[#This Row],[Material]]&amp;Detalle_OC[[#This Row],[Pedido]]&amp;Detalle_OC[[#This Row],[Posicion]]</f>
        <v>Agricola del Chira PlantaMontelima8459035500019188630</v>
      </c>
      <c r="B3106" t="s">
        <v>28</v>
      </c>
      <c r="C3106" t="s">
        <v>82</v>
      </c>
      <c r="D3106" s="11">
        <v>45369</v>
      </c>
      <c r="E3106" t="s">
        <v>16</v>
      </c>
      <c r="F3106" t="s">
        <v>12</v>
      </c>
      <c r="G3106">
        <v>845903</v>
      </c>
      <c r="H3106">
        <v>5500019188</v>
      </c>
      <c r="I3106">
        <v>630</v>
      </c>
      <c r="J3106" s="29">
        <v>1</v>
      </c>
      <c r="K3106" s="29" t="s">
        <v>427</v>
      </c>
      <c r="L3106" t="str">
        <f>IFERROR(VLOOKUP(Detalle_OC[[#This Row],[Centro]]&amp;Detalle_OC[[#This Row],[Nro Almacen]],Almacen!A:D,4,FALSE),"")</f>
        <v>Montelima</v>
      </c>
    </row>
    <row r="3107" spans="1:12" x14ac:dyDescent="0.3">
      <c r="A3107" s="29" t="str">
        <f>Detalle_OC[[#This Row],[Centro]]&amp;Detalle_OC[[#This Row],[Nom Almacen]]&amp;Detalle_OC[[#This Row],[Material]]&amp;Detalle_OC[[#This Row],[Pedido]]&amp;Detalle_OC[[#This Row],[Posicion]]</f>
        <v>Agricola del Chira PlantaMontelima8445345500019188820</v>
      </c>
      <c r="B3107" t="s">
        <v>28</v>
      </c>
      <c r="C3107" t="s">
        <v>82</v>
      </c>
      <c r="D3107" s="11">
        <v>45369</v>
      </c>
      <c r="E3107" t="s">
        <v>16</v>
      </c>
      <c r="F3107" t="s">
        <v>12</v>
      </c>
      <c r="G3107">
        <v>844534</v>
      </c>
      <c r="H3107">
        <v>5500019188</v>
      </c>
      <c r="I3107">
        <v>820</v>
      </c>
      <c r="J3107" s="29">
        <v>1</v>
      </c>
      <c r="K3107" s="29" t="s">
        <v>427</v>
      </c>
      <c r="L3107" t="str">
        <f>IFERROR(VLOOKUP(Detalle_OC[[#This Row],[Centro]]&amp;Detalle_OC[[#This Row],[Nro Almacen]],Almacen!A:D,4,FALSE),"")</f>
        <v>Montelima</v>
      </c>
    </row>
    <row r="3108" spans="1:12" x14ac:dyDescent="0.3">
      <c r="A3108" s="29" t="str">
        <f>Detalle_OC[[#This Row],[Centro]]&amp;Detalle_OC[[#This Row],[Nom Almacen]]&amp;Detalle_OC[[#This Row],[Material]]&amp;Detalle_OC[[#This Row],[Pedido]]&amp;Detalle_OC[[#This Row],[Posicion]]</f>
        <v>Agricola del Chira PlantaSan Vicente70100392550002475130</v>
      </c>
      <c r="B3108" t="s">
        <v>28</v>
      </c>
      <c r="C3108" t="s">
        <v>54</v>
      </c>
      <c r="D3108" s="11">
        <v>45369</v>
      </c>
      <c r="E3108" t="s">
        <v>16</v>
      </c>
      <c r="F3108" t="s">
        <v>12</v>
      </c>
      <c r="G3108">
        <v>70100392</v>
      </c>
      <c r="H3108">
        <v>5500024751</v>
      </c>
      <c r="I3108">
        <v>30</v>
      </c>
      <c r="J3108" s="29">
        <v>3</v>
      </c>
      <c r="K3108" s="29" t="s">
        <v>427</v>
      </c>
      <c r="L3108" t="str">
        <f>IFERROR(VLOOKUP(Detalle_OC[[#This Row],[Centro]]&amp;Detalle_OC[[#This Row],[Nro Almacen]],Almacen!A:D,4,FALSE),"")</f>
        <v>San Vicente</v>
      </c>
    </row>
    <row r="3109" spans="1:12" x14ac:dyDescent="0.3">
      <c r="A3109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3109" t="s">
        <v>28</v>
      </c>
      <c r="C3109" t="s">
        <v>54</v>
      </c>
      <c r="D3109" s="11">
        <v>45367</v>
      </c>
      <c r="E3109" t="s">
        <v>16</v>
      </c>
      <c r="F3109" t="s">
        <v>12</v>
      </c>
      <c r="G3109">
        <v>70100392</v>
      </c>
      <c r="H3109">
        <v>5500024751</v>
      </c>
      <c r="I3109">
        <v>20</v>
      </c>
      <c r="J3109" s="29">
        <v>2</v>
      </c>
      <c r="K3109" s="29" t="s">
        <v>428</v>
      </c>
      <c r="L3109" t="str">
        <f>IFERROR(VLOOKUP(Detalle_OC[[#This Row],[Centro]]&amp;Detalle_OC[[#This Row],[Nro Almacen]],Almacen!A:D,4,FALSE),"")</f>
        <v>La Huaca</v>
      </c>
    </row>
    <row r="3110" spans="1:12" x14ac:dyDescent="0.3">
      <c r="A3110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3110" t="s">
        <v>28</v>
      </c>
      <c r="C3110" t="s">
        <v>54</v>
      </c>
      <c r="D3110" s="11">
        <v>45388</v>
      </c>
      <c r="E3110" t="s">
        <v>16</v>
      </c>
      <c r="F3110" t="s">
        <v>12</v>
      </c>
      <c r="G3110">
        <v>70100392</v>
      </c>
      <c r="H3110">
        <v>5500024751</v>
      </c>
      <c r="I3110">
        <v>20</v>
      </c>
      <c r="J3110" s="29">
        <v>2</v>
      </c>
      <c r="K3110" s="29" t="s">
        <v>428</v>
      </c>
      <c r="L3110" t="str">
        <f>IFERROR(VLOOKUP(Detalle_OC[[#This Row],[Centro]]&amp;Detalle_OC[[#This Row],[Nro Almacen]],Almacen!A:D,4,FALSE),"")</f>
        <v>La Huaca</v>
      </c>
    </row>
    <row r="3111" spans="1:12" x14ac:dyDescent="0.3">
      <c r="A3111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3111" t="s">
        <v>28</v>
      </c>
      <c r="C3111" t="s">
        <v>54</v>
      </c>
      <c r="D3111" s="11">
        <v>45367</v>
      </c>
      <c r="E3111" t="s">
        <v>16</v>
      </c>
      <c r="F3111" t="s">
        <v>12</v>
      </c>
      <c r="G3111">
        <v>70100392</v>
      </c>
      <c r="H3111">
        <v>5500024751</v>
      </c>
      <c r="I3111">
        <v>40</v>
      </c>
      <c r="J3111" s="29">
        <v>7</v>
      </c>
      <c r="K3111" s="29" t="s">
        <v>428</v>
      </c>
      <c r="L3111" t="str">
        <f>IFERROR(VLOOKUP(Detalle_OC[[#This Row],[Centro]]&amp;Detalle_OC[[#This Row],[Nro Almacen]],Almacen!A:D,4,FALSE),"")</f>
        <v>Almacen Lobo</v>
      </c>
    </row>
    <row r="3112" spans="1:12" x14ac:dyDescent="0.3">
      <c r="A3112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3112" t="s">
        <v>28</v>
      </c>
      <c r="C3112" t="s">
        <v>54</v>
      </c>
      <c r="D3112" s="11">
        <v>45369</v>
      </c>
      <c r="E3112" t="s">
        <v>16</v>
      </c>
      <c r="F3112" t="s">
        <v>12</v>
      </c>
      <c r="G3112">
        <v>70100392</v>
      </c>
      <c r="H3112">
        <v>5500024751</v>
      </c>
      <c r="I3112">
        <v>40</v>
      </c>
      <c r="J3112" s="29">
        <v>7</v>
      </c>
      <c r="K3112" s="29" t="s">
        <v>428</v>
      </c>
      <c r="L3112" t="str">
        <f>IFERROR(VLOOKUP(Detalle_OC[[#This Row],[Centro]]&amp;Detalle_OC[[#This Row],[Nro Almacen]],Almacen!A:D,4,FALSE),"")</f>
        <v>Almacen Lobo</v>
      </c>
    </row>
    <row r="3113" spans="1:12" x14ac:dyDescent="0.3">
      <c r="A3113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3113" t="s">
        <v>28</v>
      </c>
      <c r="C3113" t="s">
        <v>84</v>
      </c>
      <c r="D3113" s="11">
        <v>45393</v>
      </c>
      <c r="E3113" t="s">
        <v>16</v>
      </c>
      <c r="F3113" t="s">
        <v>85</v>
      </c>
      <c r="G3113">
        <v>801846</v>
      </c>
      <c r="H3113">
        <v>5500022336</v>
      </c>
      <c r="I3113">
        <v>10</v>
      </c>
      <c r="J3113" s="29">
        <v>1</v>
      </c>
      <c r="K3113" s="29" t="s">
        <v>429</v>
      </c>
      <c r="L3113" t="str">
        <f>IFERROR(VLOOKUP(Detalle_OC[[#This Row],[Centro]]&amp;Detalle_OC[[#This Row],[Nro Almacen]],Almacen!A:D,4,FALSE),"")</f>
        <v>Montelima</v>
      </c>
    </row>
    <row r="3114" spans="1:12" x14ac:dyDescent="0.3">
      <c r="A3114" s="29" t="str">
        <f>Detalle_OC[[#This Row],[Centro]]&amp;Detalle_OC[[#This Row],[Nom Almacen]]&amp;Detalle_OC[[#This Row],[Material]]&amp;Detalle_OC[[#This Row],[Pedido]]&amp;Detalle_OC[[#This Row],[Posicion]]</f>
        <v>Sucroalcolera del Chira PlantaMontelima709179550002233630</v>
      </c>
      <c r="B3114" t="s">
        <v>28</v>
      </c>
      <c r="C3114" t="s">
        <v>84</v>
      </c>
      <c r="D3114" s="11">
        <v>45366</v>
      </c>
      <c r="E3114" t="s">
        <v>16</v>
      </c>
      <c r="F3114" t="s">
        <v>85</v>
      </c>
      <c r="G3114">
        <v>709179</v>
      </c>
      <c r="H3114">
        <v>5500022336</v>
      </c>
      <c r="I3114">
        <v>30</v>
      </c>
      <c r="J3114" s="29">
        <v>1</v>
      </c>
      <c r="K3114" s="29" t="s">
        <v>429</v>
      </c>
      <c r="L3114" t="str">
        <f>IFERROR(VLOOKUP(Detalle_OC[[#This Row],[Centro]]&amp;Detalle_OC[[#This Row],[Nro Almacen]],Almacen!A:D,4,FALSE),"")</f>
        <v>Montelima</v>
      </c>
    </row>
    <row r="3115" spans="1:12" x14ac:dyDescent="0.3">
      <c r="A3115" s="29" t="str">
        <f>Detalle_OC[[#This Row],[Centro]]&amp;Detalle_OC[[#This Row],[Nom Almacen]]&amp;Detalle_OC[[#This Row],[Material]]&amp;Detalle_OC[[#This Row],[Pedido]]&amp;Detalle_OC[[#This Row],[Posicion]]</f>
        <v>Sucroalcolera del Chira PlantaMontelima708707550002233640</v>
      </c>
      <c r="B3115" t="s">
        <v>28</v>
      </c>
      <c r="C3115" t="s">
        <v>84</v>
      </c>
      <c r="D3115" s="11">
        <v>45366</v>
      </c>
      <c r="E3115" t="s">
        <v>16</v>
      </c>
      <c r="F3115" t="s">
        <v>85</v>
      </c>
      <c r="G3115">
        <v>708707</v>
      </c>
      <c r="H3115">
        <v>5500022336</v>
      </c>
      <c r="I3115">
        <v>40</v>
      </c>
      <c r="J3115" s="29">
        <v>1</v>
      </c>
      <c r="K3115" s="29" t="s">
        <v>429</v>
      </c>
      <c r="L3115" t="str">
        <f>IFERROR(VLOOKUP(Detalle_OC[[#This Row],[Centro]]&amp;Detalle_OC[[#This Row],[Nro Almacen]],Almacen!A:D,4,FALSE),"")</f>
        <v>Montelima</v>
      </c>
    </row>
    <row r="3116" spans="1:12" x14ac:dyDescent="0.3">
      <c r="A3116" s="29" t="str">
        <f>Detalle_OC[[#This Row],[Centro]]&amp;Detalle_OC[[#This Row],[Nom Almacen]]&amp;Detalle_OC[[#This Row],[Material]]&amp;Detalle_OC[[#This Row],[Pedido]]&amp;Detalle_OC[[#This Row],[Posicion]]</f>
        <v>Sucroalcolera del Chira PlantaMontelima813224550002233650</v>
      </c>
      <c r="B3116" t="s">
        <v>28</v>
      </c>
      <c r="C3116" t="s">
        <v>84</v>
      </c>
      <c r="D3116" s="11">
        <v>45366</v>
      </c>
      <c r="E3116" t="s">
        <v>16</v>
      </c>
      <c r="F3116" t="s">
        <v>85</v>
      </c>
      <c r="G3116">
        <v>813224</v>
      </c>
      <c r="H3116">
        <v>5500022336</v>
      </c>
      <c r="I3116">
        <v>50</v>
      </c>
      <c r="J3116" s="29">
        <v>1</v>
      </c>
      <c r="K3116" s="29" t="s">
        <v>429</v>
      </c>
      <c r="L3116" t="str">
        <f>IFERROR(VLOOKUP(Detalle_OC[[#This Row],[Centro]]&amp;Detalle_OC[[#This Row],[Nro Almacen]],Almacen!A:D,4,FALSE),"")</f>
        <v>Montelima</v>
      </c>
    </row>
    <row r="3117" spans="1:12" x14ac:dyDescent="0.3">
      <c r="A3117" s="29" t="str">
        <f>Detalle_OC[[#This Row],[Centro]]&amp;Detalle_OC[[#This Row],[Nom Almacen]]&amp;Detalle_OC[[#This Row],[Material]]&amp;Detalle_OC[[#This Row],[Pedido]]&amp;Detalle_OC[[#This Row],[Posicion]]</f>
        <v>Sucroalcolera del Chira PlantaMontelima700843715500024682120</v>
      </c>
      <c r="B3117" t="s">
        <v>28</v>
      </c>
      <c r="C3117" t="s">
        <v>84</v>
      </c>
      <c r="D3117" s="11">
        <v>45366</v>
      </c>
      <c r="E3117" t="s">
        <v>16</v>
      </c>
      <c r="F3117" t="s">
        <v>85</v>
      </c>
      <c r="G3117">
        <v>70084371</v>
      </c>
      <c r="H3117">
        <v>5500024682</v>
      </c>
      <c r="I3117">
        <v>120</v>
      </c>
      <c r="J3117" s="29">
        <v>1</v>
      </c>
      <c r="K3117" s="29" t="s">
        <v>429</v>
      </c>
      <c r="L3117" t="str">
        <f>IFERROR(VLOOKUP(Detalle_OC[[#This Row],[Centro]]&amp;Detalle_OC[[#This Row],[Nro Almacen]],Almacen!A:D,4,FALSE),"")</f>
        <v>Montelima</v>
      </c>
    </row>
    <row r="3118" spans="1:12" x14ac:dyDescent="0.3">
      <c r="A3118" s="29" t="str">
        <f>Detalle_OC[[#This Row],[Centro]]&amp;Detalle_OC[[#This Row],[Nom Almacen]]&amp;Detalle_OC[[#This Row],[Material]]&amp;Detalle_OC[[#This Row],[Pedido]]&amp;Detalle_OC[[#This Row],[Posicion]]</f>
        <v>Sucroalcolera del Chira PlantaMontelima700843715500024682120</v>
      </c>
      <c r="B3118" t="s">
        <v>28</v>
      </c>
      <c r="C3118" t="s">
        <v>84</v>
      </c>
      <c r="D3118" s="11">
        <v>45366</v>
      </c>
      <c r="E3118" t="s">
        <v>16</v>
      </c>
      <c r="F3118" t="s">
        <v>85</v>
      </c>
      <c r="G3118">
        <v>70084371</v>
      </c>
      <c r="H3118">
        <v>5500024682</v>
      </c>
      <c r="I3118">
        <v>120</v>
      </c>
      <c r="J3118" s="29">
        <v>1</v>
      </c>
      <c r="K3118" s="29" t="s">
        <v>429</v>
      </c>
      <c r="L3118" t="str">
        <f>IFERROR(VLOOKUP(Detalle_OC[[#This Row],[Centro]]&amp;Detalle_OC[[#This Row],[Nro Almacen]],Almacen!A:D,4,FALSE),"")</f>
        <v>Montelima</v>
      </c>
    </row>
    <row r="3119" spans="1:12" x14ac:dyDescent="0.3">
      <c r="A3119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3119" t="s">
        <v>28</v>
      </c>
      <c r="C3119" t="s">
        <v>54</v>
      </c>
      <c r="D3119" s="11">
        <v>45366</v>
      </c>
      <c r="E3119" t="s">
        <v>16</v>
      </c>
      <c r="F3119" t="s">
        <v>12</v>
      </c>
      <c r="G3119">
        <v>70100392</v>
      </c>
      <c r="H3119">
        <v>5500024751</v>
      </c>
      <c r="I3119">
        <v>20</v>
      </c>
      <c r="J3119" s="29">
        <v>2</v>
      </c>
      <c r="K3119" s="29" t="s">
        <v>429</v>
      </c>
      <c r="L3119" t="str">
        <f>IFERROR(VLOOKUP(Detalle_OC[[#This Row],[Centro]]&amp;Detalle_OC[[#This Row],[Nro Almacen]],Almacen!A:D,4,FALSE),"")</f>
        <v>La Huaca</v>
      </c>
    </row>
    <row r="3120" spans="1:12" x14ac:dyDescent="0.3">
      <c r="A3120" s="29" t="str">
        <f>Detalle_OC[[#This Row],[Centro]]&amp;Detalle_OC[[#This Row],[Nom Almacen]]&amp;Detalle_OC[[#This Row],[Material]]&amp;Detalle_OC[[#This Row],[Pedido]]&amp;Detalle_OC[[#This Row],[Posicion]]</f>
        <v>Agricola del Chira PlantaSan Vicente70100392550002475130</v>
      </c>
      <c r="B3120" t="s">
        <v>28</v>
      </c>
      <c r="C3120" t="s">
        <v>54</v>
      </c>
      <c r="D3120" s="11">
        <v>45366</v>
      </c>
      <c r="E3120" t="s">
        <v>16</v>
      </c>
      <c r="F3120" t="s">
        <v>12</v>
      </c>
      <c r="G3120">
        <v>70100392</v>
      </c>
      <c r="H3120">
        <v>5500024751</v>
      </c>
      <c r="I3120">
        <v>30</v>
      </c>
      <c r="J3120" s="29">
        <v>3</v>
      </c>
      <c r="K3120" s="29" t="s">
        <v>429</v>
      </c>
      <c r="L3120" t="str">
        <f>IFERROR(VLOOKUP(Detalle_OC[[#This Row],[Centro]]&amp;Detalle_OC[[#This Row],[Nro Almacen]],Almacen!A:D,4,FALSE),"")</f>
        <v>San Vicente</v>
      </c>
    </row>
    <row r="3121" spans="1:12" x14ac:dyDescent="0.3">
      <c r="A3121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3121" t="s">
        <v>28</v>
      </c>
      <c r="C3121" t="s">
        <v>54</v>
      </c>
      <c r="D3121" s="11">
        <v>45366</v>
      </c>
      <c r="E3121" t="s">
        <v>16</v>
      </c>
      <c r="F3121" t="s">
        <v>12</v>
      </c>
      <c r="G3121">
        <v>70100392</v>
      </c>
      <c r="H3121">
        <v>5500024751</v>
      </c>
      <c r="I3121">
        <v>40</v>
      </c>
      <c r="J3121" s="29">
        <v>7</v>
      </c>
      <c r="K3121" s="29" t="s">
        <v>429</v>
      </c>
      <c r="L3121" t="str">
        <f>IFERROR(VLOOKUP(Detalle_OC[[#This Row],[Centro]]&amp;Detalle_OC[[#This Row],[Nro Almacen]],Almacen!A:D,4,FALSE),"")</f>
        <v>Almacen Lobo</v>
      </c>
    </row>
    <row r="3122" spans="1:12" x14ac:dyDescent="0.3">
      <c r="A3122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3122" t="s">
        <v>28</v>
      </c>
      <c r="C3122" t="s">
        <v>82</v>
      </c>
      <c r="D3122" s="11">
        <v>45357</v>
      </c>
      <c r="E3122" t="s">
        <v>16</v>
      </c>
      <c r="F3122" t="s">
        <v>12</v>
      </c>
      <c r="G3122">
        <v>844516</v>
      </c>
      <c r="H3122">
        <v>5500019188</v>
      </c>
      <c r="I3122">
        <v>190</v>
      </c>
      <c r="J3122" s="29">
        <v>1</v>
      </c>
      <c r="K3122" s="29" t="s">
        <v>430</v>
      </c>
      <c r="L3122" t="str">
        <f>IFERROR(VLOOKUP(Detalle_OC[[#This Row],[Centro]]&amp;Detalle_OC[[#This Row],[Nro Almacen]],Almacen!A:D,4,FALSE),"")</f>
        <v>Montelima</v>
      </c>
    </row>
    <row r="3123" spans="1:12" x14ac:dyDescent="0.3">
      <c r="A3123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3123" t="s">
        <v>28</v>
      </c>
      <c r="C3123" t="s">
        <v>84</v>
      </c>
      <c r="D3123" s="11">
        <v>45358</v>
      </c>
      <c r="E3123" t="s">
        <v>16</v>
      </c>
      <c r="F3123" t="s">
        <v>85</v>
      </c>
      <c r="G3123">
        <v>801846</v>
      </c>
      <c r="H3123">
        <v>5500022336</v>
      </c>
      <c r="I3123">
        <v>10</v>
      </c>
      <c r="J3123" s="29">
        <v>1</v>
      </c>
      <c r="K3123" s="29" t="s">
        <v>430</v>
      </c>
      <c r="L3123" t="str">
        <f>IFERROR(VLOOKUP(Detalle_OC[[#This Row],[Centro]]&amp;Detalle_OC[[#This Row],[Nro Almacen]],Almacen!A:D,4,FALSE),"")</f>
        <v>Montelima</v>
      </c>
    </row>
    <row r="3124" spans="1:12" x14ac:dyDescent="0.3">
      <c r="A3124" s="29" t="str">
        <f>Detalle_OC[[#This Row],[Centro]]&amp;Detalle_OC[[#This Row],[Nom Almacen]]&amp;Detalle_OC[[#This Row],[Material]]&amp;Detalle_OC[[#This Row],[Pedido]]&amp;Detalle_OC[[#This Row],[Posicion]]</f>
        <v>Sucroalcolera del Chira PlantaMontelima813224550002233650</v>
      </c>
      <c r="B3124" t="s">
        <v>28</v>
      </c>
      <c r="C3124" t="s">
        <v>84</v>
      </c>
      <c r="D3124" s="11">
        <v>45358</v>
      </c>
      <c r="E3124" t="s">
        <v>16</v>
      </c>
      <c r="F3124" t="s">
        <v>85</v>
      </c>
      <c r="G3124">
        <v>813224</v>
      </c>
      <c r="H3124">
        <v>5500022336</v>
      </c>
      <c r="I3124">
        <v>50</v>
      </c>
      <c r="J3124" s="29">
        <v>1</v>
      </c>
      <c r="K3124" s="29" t="s">
        <v>430</v>
      </c>
      <c r="L3124" t="str">
        <f>IFERROR(VLOOKUP(Detalle_OC[[#This Row],[Centro]]&amp;Detalle_OC[[#This Row],[Nro Almacen]],Almacen!A:D,4,FALSE),"")</f>
        <v>Montelima</v>
      </c>
    </row>
    <row r="3125" spans="1:12" x14ac:dyDescent="0.3">
      <c r="A3125" s="29" t="str">
        <f>Detalle_OC[[#This Row],[Centro]]&amp;Detalle_OC[[#This Row],[Nom Almacen]]&amp;Detalle_OC[[#This Row],[Material]]&amp;Detalle_OC[[#This Row],[Pedido]]&amp;Detalle_OC[[#This Row],[Posicion]]</f>
        <v>Sucroalcolera del Chira PlantaMontelima70084357550002468220</v>
      </c>
      <c r="B3125" t="s">
        <v>28</v>
      </c>
      <c r="C3125" t="s">
        <v>84</v>
      </c>
      <c r="D3125" s="11">
        <v>45358</v>
      </c>
      <c r="E3125" t="s">
        <v>16</v>
      </c>
      <c r="F3125" t="s">
        <v>85</v>
      </c>
      <c r="G3125">
        <v>70084357</v>
      </c>
      <c r="H3125">
        <v>5500024682</v>
      </c>
      <c r="I3125">
        <v>20</v>
      </c>
      <c r="J3125" s="29">
        <v>1</v>
      </c>
      <c r="K3125" s="29" t="s">
        <v>430</v>
      </c>
      <c r="L3125" t="str">
        <f>IFERROR(VLOOKUP(Detalle_OC[[#This Row],[Centro]]&amp;Detalle_OC[[#This Row],[Nro Almacen]],Almacen!A:D,4,FALSE),"")</f>
        <v>Montelima</v>
      </c>
    </row>
    <row r="3126" spans="1:12" x14ac:dyDescent="0.3">
      <c r="A3126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3126" t="s">
        <v>28</v>
      </c>
      <c r="C3126" t="s">
        <v>94</v>
      </c>
      <c r="D3126" s="11">
        <v>45362</v>
      </c>
      <c r="E3126" t="s">
        <v>16</v>
      </c>
      <c r="F3126" t="s">
        <v>85</v>
      </c>
      <c r="G3126" t="s">
        <v>95</v>
      </c>
      <c r="H3126">
        <v>5500024746</v>
      </c>
      <c r="I3126">
        <v>10</v>
      </c>
      <c r="J3126" s="29">
        <v>1</v>
      </c>
      <c r="K3126" s="29" t="s">
        <v>430</v>
      </c>
      <c r="L3126" t="str">
        <f>IFERROR(VLOOKUP(Detalle_OC[[#This Row],[Centro]]&amp;Detalle_OC[[#This Row],[Nro Almacen]],Almacen!A:D,4,FALSE),"")</f>
        <v>Montelima</v>
      </c>
    </row>
    <row r="3127" spans="1:12" x14ac:dyDescent="0.3">
      <c r="A3127" s="29" t="str">
        <f>Detalle_OC[[#This Row],[Centro]]&amp;Detalle_OC[[#This Row],[Nom Almacen]]&amp;Detalle_OC[[#This Row],[Material]]&amp;Detalle_OC[[#This Row],[Pedido]]&amp;Detalle_OC[[#This Row],[Posicion]]</f>
        <v>Agricola del Chira PlantaMontelima7382475500019188100</v>
      </c>
      <c r="B3127" t="s">
        <v>28</v>
      </c>
      <c r="C3127" t="s">
        <v>82</v>
      </c>
      <c r="D3127" s="11">
        <v>45357</v>
      </c>
      <c r="E3127" t="s">
        <v>16</v>
      </c>
      <c r="F3127" t="s">
        <v>12</v>
      </c>
      <c r="G3127">
        <v>738247</v>
      </c>
      <c r="H3127">
        <v>5500019188</v>
      </c>
      <c r="I3127">
        <v>100</v>
      </c>
      <c r="J3127" s="29">
        <v>1</v>
      </c>
      <c r="K3127" s="29" t="s">
        <v>431</v>
      </c>
      <c r="L3127" t="str">
        <f>IFERROR(VLOOKUP(Detalle_OC[[#This Row],[Centro]]&amp;Detalle_OC[[#This Row],[Nro Almacen]],Almacen!A:D,4,FALSE),"")</f>
        <v>Montelima</v>
      </c>
    </row>
    <row r="3128" spans="1:12" x14ac:dyDescent="0.3">
      <c r="A3128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3128" t="s">
        <v>28</v>
      </c>
      <c r="C3128" t="s">
        <v>82</v>
      </c>
      <c r="D3128" s="11">
        <v>45357</v>
      </c>
      <c r="E3128" t="s">
        <v>16</v>
      </c>
      <c r="F3128" t="s">
        <v>12</v>
      </c>
      <c r="G3128">
        <v>844523</v>
      </c>
      <c r="H3128">
        <v>5500019188</v>
      </c>
      <c r="I3128">
        <v>140</v>
      </c>
      <c r="J3128" s="29">
        <v>1</v>
      </c>
      <c r="K3128" s="29" t="s">
        <v>431</v>
      </c>
      <c r="L3128" t="str">
        <f>IFERROR(VLOOKUP(Detalle_OC[[#This Row],[Centro]]&amp;Detalle_OC[[#This Row],[Nro Almacen]],Almacen!A:D,4,FALSE),"")</f>
        <v>Montelima</v>
      </c>
    </row>
    <row r="3129" spans="1:12" x14ac:dyDescent="0.3">
      <c r="A3129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3129" t="s">
        <v>28</v>
      </c>
      <c r="C3129" t="s">
        <v>82</v>
      </c>
      <c r="D3129" s="11">
        <v>45357</v>
      </c>
      <c r="E3129" t="s">
        <v>16</v>
      </c>
      <c r="F3129" t="s">
        <v>12</v>
      </c>
      <c r="G3129">
        <v>844522</v>
      </c>
      <c r="H3129">
        <v>5500019188</v>
      </c>
      <c r="I3129">
        <v>150</v>
      </c>
      <c r="J3129" s="29">
        <v>1</v>
      </c>
      <c r="K3129" s="29" t="s">
        <v>431</v>
      </c>
      <c r="L3129" t="str">
        <f>IFERROR(VLOOKUP(Detalle_OC[[#This Row],[Centro]]&amp;Detalle_OC[[#This Row],[Nro Almacen]],Almacen!A:D,4,FALSE),"")</f>
        <v>Montelima</v>
      </c>
    </row>
    <row r="3130" spans="1:12" x14ac:dyDescent="0.3">
      <c r="A3130" s="29" t="str">
        <f>Detalle_OC[[#This Row],[Centro]]&amp;Detalle_OC[[#This Row],[Nom Almacen]]&amp;Detalle_OC[[#This Row],[Material]]&amp;Detalle_OC[[#This Row],[Pedido]]&amp;Detalle_OC[[#This Row],[Posicion]]</f>
        <v>Agricola del Chira PlantaMontelima8445335500019188170</v>
      </c>
      <c r="B3130" t="s">
        <v>28</v>
      </c>
      <c r="C3130" t="s">
        <v>82</v>
      </c>
      <c r="D3130" s="11">
        <v>45357</v>
      </c>
      <c r="E3130" t="s">
        <v>16</v>
      </c>
      <c r="F3130" t="s">
        <v>12</v>
      </c>
      <c r="G3130">
        <v>844533</v>
      </c>
      <c r="H3130">
        <v>5500019188</v>
      </c>
      <c r="I3130">
        <v>170</v>
      </c>
      <c r="J3130" s="29">
        <v>1</v>
      </c>
      <c r="K3130" s="29" t="s">
        <v>431</v>
      </c>
      <c r="L3130" t="str">
        <f>IFERROR(VLOOKUP(Detalle_OC[[#This Row],[Centro]]&amp;Detalle_OC[[#This Row],[Nro Almacen]],Almacen!A:D,4,FALSE),"")</f>
        <v>Montelima</v>
      </c>
    </row>
    <row r="3131" spans="1:12" x14ac:dyDescent="0.3">
      <c r="A3131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3131" t="s">
        <v>28</v>
      </c>
      <c r="C3131" t="s">
        <v>82</v>
      </c>
      <c r="D3131" s="11">
        <v>45357</v>
      </c>
      <c r="E3131" t="s">
        <v>16</v>
      </c>
      <c r="F3131" t="s">
        <v>12</v>
      </c>
      <c r="G3131">
        <v>844516</v>
      </c>
      <c r="H3131">
        <v>5500019188</v>
      </c>
      <c r="I3131">
        <v>190</v>
      </c>
      <c r="J3131" s="29">
        <v>1</v>
      </c>
      <c r="K3131" s="29" t="s">
        <v>431</v>
      </c>
      <c r="L3131" t="str">
        <f>IFERROR(VLOOKUP(Detalle_OC[[#This Row],[Centro]]&amp;Detalle_OC[[#This Row],[Nro Almacen]],Almacen!A:D,4,FALSE),"")</f>
        <v>Montelima</v>
      </c>
    </row>
    <row r="3132" spans="1:12" x14ac:dyDescent="0.3">
      <c r="A3132" s="29" t="str">
        <f>Detalle_OC[[#This Row],[Centro]]&amp;Detalle_OC[[#This Row],[Nom Almacen]]&amp;Detalle_OC[[#This Row],[Material]]&amp;Detalle_OC[[#This Row],[Pedido]]&amp;Detalle_OC[[#This Row],[Posicion]]</f>
        <v>Agricola del Chira PlantaMontelima8445245500019188210</v>
      </c>
      <c r="B3132" t="s">
        <v>28</v>
      </c>
      <c r="C3132" t="s">
        <v>82</v>
      </c>
      <c r="D3132" s="11">
        <v>45357</v>
      </c>
      <c r="E3132" t="s">
        <v>16</v>
      </c>
      <c r="F3132" t="s">
        <v>12</v>
      </c>
      <c r="G3132">
        <v>844524</v>
      </c>
      <c r="H3132">
        <v>5500019188</v>
      </c>
      <c r="I3132">
        <v>210</v>
      </c>
      <c r="J3132" s="29">
        <v>1</v>
      </c>
      <c r="K3132" s="29" t="s">
        <v>431</v>
      </c>
      <c r="L3132" t="str">
        <f>IFERROR(VLOOKUP(Detalle_OC[[#This Row],[Centro]]&amp;Detalle_OC[[#This Row],[Nro Almacen]],Almacen!A:D,4,FALSE),"")</f>
        <v>Montelima</v>
      </c>
    </row>
    <row r="3133" spans="1:12" x14ac:dyDescent="0.3">
      <c r="A3133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3133" t="s">
        <v>28</v>
      </c>
      <c r="C3133" t="s">
        <v>82</v>
      </c>
      <c r="D3133" s="11">
        <v>45357</v>
      </c>
      <c r="E3133" t="s">
        <v>16</v>
      </c>
      <c r="F3133" t="s">
        <v>12</v>
      </c>
      <c r="G3133">
        <v>844508</v>
      </c>
      <c r="H3133">
        <v>5500019188</v>
      </c>
      <c r="I3133">
        <v>220</v>
      </c>
      <c r="J3133" s="29">
        <v>1</v>
      </c>
      <c r="K3133" s="29" t="s">
        <v>431</v>
      </c>
      <c r="L3133" t="str">
        <f>IFERROR(VLOOKUP(Detalle_OC[[#This Row],[Centro]]&amp;Detalle_OC[[#This Row],[Nro Almacen]],Almacen!A:D,4,FALSE),"")</f>
        <v>Montelima</v>
      </c>
    </row>
    <row r="3134" spans="1:12" x14ac:dyDescent="0.3">
      <c r="A3134" s="29" t="str">
        <f>Detalle_OC[[#This Row],[Centro]]&amp;Detalle_OC[[#This Row],[Nom Almacen]]&amp;Detalle_OC[[#This Row],[Material]]&amp;Detalle_OC[[#This Row],[Pedido]]&amp;Detalle_OC[[#This Row],[Posicion]]</f>
        <v>Agricola del Chira PlantaMontelima8445095500019188260</v>
      </c>
      <c r="B3134" t="s">
        <v>28</v>
      </c>
      <c r="C3134" t="s">
        <v>82</v>
      </c>
      <c r="D3134" s="11">
        <v>45357</v>
      </c>
      <c r="E3134" t="s">
        <v>16</v>
      </c>
      <c r="F3134" t="s">
        <v>12</v>
      </c>
      <c r="G3134">
        <v>844509</v>
      </c>
      <c r="H3134">
        <v>5500019188</v>
      </c>
      <c r="I3134">
        <v>260</v>
      </c>
      <c r="J3134" s="29">
        <v>1</v>
      </c>
      <c r="K3134" s="29" t="s">
        <v>431</v>
      </c>
      <c r="L3134" t="str">
        <f>IFERROR(VLOOKUP(Detalle_OC[[#This Row],[Centro]]&amp;Detalle_OC[[#This Row],[Nro Almacen]],Almacen!A:D,4,FALSE),"")</f>
        <v>Montelima</v>
      </c>
    </row>
    <row r="3135" spans="1:12" x14ac:dyDescent="0.3">
      <c r="A3135" s="29" t="str">
        <f>Detalle_OC[[#This Row],[Centro]]&amp;Detalle_OC[[#This Row],[Nom Almacen]]&amp;Detalle_OC[[#This Row],[Material]]&amp;Detalle_OC[[#This Row],[Pedido]]&amp;Detalle_OC[[#This Row],[Posicion]]</f>
        <v>Agricola del Chira PlantaMontelima8445185500019188270</v>
      </c>
      <c r="B3135" t="s">
        <v>28</v>
      </c>
      <c r="C3135" t="s">
        <v>82</v>
      </c>
      <c r="D3135" s="11">
        <v>45357</v>
      </c>
      <c r="E3135" t="s">
        <v>16</v>
      </c>
      <c r="F3135" t="s">
        <v>12</v>
      </c>
      <c r="G3135">
        <v>844518</v>
      </c>
      <c r="H3135">
        <v>5500019188</v>
      </c>
      <c r="I3135">
        <v>270</v>
      </c>
      <c r="J3135" s="29">
        <v>1</v>
      </c>
      <c r="K3135" s="29" t="s">
        <v>431</v>
      </c>
      <c r="L3135" t="str">
        <f>IFERROR(VLOOKUP(Detalle_OC[[#This Row],[Centro]]&amp;Detalle_OC[[#This Row],[Nro Almacen]],Almacen!A:D,4,FALSE),"")</f>
        <v>Montelima</v>
      </c>
    </row>
    <row r="3136" spans="1:12" x14ac:dyDescent="0.3">
      <c r="A3136" s="29" t="str">
        <f>Detalle_OC[[#This Row],[Centro]]&amp;Detalle_OC[[#This Row],[Nom Almacen]]&amp;Detalle_OC[[#This Row],[Material]]&amp;Detalle_OC[[#This Row],[Pedido]]&amp;Detalle_OC[[#This Row],[Posicion]]</f>
        <v>Agricola del Chira PlantaMontelima8445515500019188320</v>
      </c>
      <c r="B3136" t="s">
        <v>28</v>
      </c>
      <c r="C3136" t="s">
        <v>82</v>
      </c>
      <c r="D3136" s="11">
        <v>45357</v>
      </c>
      <c r="E3136" t="s">
        <v>16</v>
      </c>
      <c r="F3136" t="s">
        <v>12</v>
      </c>
      <c r="G3136">
        <v>844551</v>
      </c>
      <c r="H3136">
        <v>5500019188</v>
      </c>
      <c r="I3136">
        <v>320</v>
      </c>
      <c r="J3136" s="29">
        <v>1</v>
      </c>
      <c r="K3136" s="29" t="s">
        <v>431</v>
      </c>
      <c r="L3136" t="str">
        <f>IFERROR(VLOOKUP(Detalle_OC[[#This Row],[Centro]]&amp;Detalle_OC[[#This Row],[Nro Almacen]],Almacen!A:D,4,FALSE),"")</f>
        <v>Montelima</v>
      </c>
    </row>
    <row r="3137" spans="1:12" x14ac:dyDescent="0.3">
      <c r="A3137" s="29" t="str">
        <f>Detalle_OC[[#This Row],[Centro]]&amp;Detalle_OC[[#This Row],[Nom Almacen]]&amp;Detalle_OC[[#This Row],[Material]]&amp;Detalle_OC[[#This Row],[Pedido]]&amp;Detalle_OC[[#This Row],[Posicion]]</f>
        <v>Agricola del Chira PlantaMontelima8445175500019188340</v>
      </c>
      <c r="B3137" t="s">
        <v>28</v>
      </c>
      <c r="C3137" t="s">
        <v>82</v>
      </c>
      <c r="D3137" s="11">
        <v>45357</v>
      </c>
      <c r="E3137" t="s">
        <v>16</v>
      </c>
      <c r="F3137" t="s">
        <v>12</v>
      </c>
      <c r="G3137">
        <v>844517</v>
      </c>
      <c r="H3137">
        <v>5500019188</v>
      </c>
      <c r="I3137">
        <v>340</v>
      </c>
      <c r="J3137" s="29">
        <v>1</v>
      </c>
      <c r="K3137" s="29" t="s">
        <v>431</v>
      </c>
      <c r="L3137" t="str">
        <f>IFERROR(VLOOKUP(Detalle_OC[[#This Row],[Centro]]&amp;Detalle_OC[[#This Row],[Nro Almacen]],Almacen!A:D,4,FALSE),"")</f>
        <v>Montelima</v>
      </c>
    </row>
    <row r="3138" spans="1:12" x14ac:dyDescent="0.3">
      <c r="A3138" s="29" t="str">
        <f>Detalle_OC[[#This Row],[Centro]]&amp;Detalle_OC[[#This Row],[Nom Almacen]]&amp;Detalle_OC[[#This Row],[Material]]&amp;Detalle_OC[[#This Row],[Pedido]]&amp;Detalle_OC[[#This Row],[Posicion]]</f>
        <v>Agricola del Chira PlantaMontelima8445205500019188520</v>
      </c>
      <c r="B3138" t="s">
        <v>28</v>
      </c>
      <c r="C3138" t="s">
        <v>82</v>
      </c>
      <c r="D3138" s="11">
        <v>45357</v>
      </c>
      <c r="E3138" t="s">
        <v>16</v>
      </c>
      <c r="F3138" t="s">
        <v>12</v>
      </c>
      <c r="G3138">
        <v>844520</v>
      </c>
      <c r="H3138">
        <v>5500019188</v>
      </c>
      <c r="I3138">
        <v>520</v>
      </c>
      <c r="J3138" s="29">
        <v>1</v>
      </c>
      <c r="K3138" s="29" t="s">
        <v>431</v>
      </c>
      <c r="L3138" t="str">
        <f>IFERROR(VLOOKUP(Detalle_OC[[#This Row],[Centro]]&amp;Detalle_OC[[#This Row],[Nro Almacen]],Almacen!A:D,4,FALSE),"")</f>
        <v>Montelima</v>
      </c>
    </row>
    <row r="3139" spans="1:12" x14ac:dyDescent="0.3">
      <c r="A3139" s="29" t="str">
        <f>Detalle_OC[[#This Row],[Centro]]&amp;Detalle_OC[[#This Row],[Nom Almacen]]&amp;Detalle_OC[[#This Row],[Material]]&amp;Detalle_OC[[#This Row],[Pedido]]&amp;Detalle_OC[[#This Row],[Posicion]]</f>
        <v>Agricola del Chira PlantaMontelima8445205500019188520</v>
      </c>
      <c r="B3139" t="s">
        <v>28</v>
      </c>
      <c r="C3139" t="s">
        <v>82</v>
      </c>
      <c r="D3139" s="11">
        <v>45357</v>
      </c>
      <c r="E3139" t="s">
        <v>16</v>
      </c>
      <c r="F3139" t="s">
        <v>12</v>
      </c>
      <c r="G3139">
        <v>844520</v>
      </c>
      <c r="H3139">
        <v>5500019188</v>
      </c>
      <c r="I3139">
        <v>520</v>
      </c>
      <c r="J3139" s="29">
        <v>1</v>
      </c>
      <c r="K3139" s="29" t="s">
        <v>431</v>
      </c>
      <c r="L3139" t="str">
        <f>IFERROR(VLOOKUP(Detalle_OC[[#This Row],[Centro]]&amp;Detalle_OC[[#This Row],[Nro Almacen]],Almacen!A:D,4,FALSE),"")</f>
        <v>Montelima</v>
      </c>
    </row>
    <row r="3140" spans="1:12" x14ac:dyDescent="0.3">
      <c r="A3140" s="29" t="str">
        <f>Detalle_OC[[#This Row],[Centro]]&amp;Detalle_OC[[#This Row],[Nom Almacen]]&amp;Detalle_OC[[#This Row],[Material]]&amp;Detalle_OC[[#This Row],[Pedido]]&amp;Detalle_OC[[#This Row],[Posicion]]</f>
        <v>Agricola del Chira PlantaMontelima8459045500019188720</v>
      </c>
      <c r="B3140" t="s">
        <v>28</v>
      </c>
      <c r="C3140" t="s">
        <v>82</v>
      </c>
      <c r="D3140" s="11">
        <v>45357</v>
      </c>
      <c r="E3140" t="s">
        <v>16</v>
      </c>
      <c r="F3140" t="s">
        <v>12</v>
      </c>
      <c r="G3140">
        <v>845904</v>
      </c>
      <c r="H3140">
        <v>5500019188</v>
      </c>
      <c r="I3140">
        <v>720</v>
      </c>
      <c r="J3140" s="29">
        <v>1</v>
      </c>
      <c r="K3140" s="29" t="s">
        <v>431</v>
      </c>
      <c r="L3140" t="str">
        <f>IFERROR(VLOOKUP(Detalle_OC[[#This Row],[Centro]]&amp;Detalle_OC[[#This Row],[Nro Almacen]],Almacen!A:D,4,FALSE),"")</f>
        <v>Montelima</v>
      </c>
    </row>
    <row r="3141" spans="1:12" x14ac:dyDescent="0.3">
      <c r="A3141" s="29" t="str">
        <f>Detalle_OC[[#This Row],[Centro]]&amp;Detalle_OC[[#This Row],[Nom Almacen]]&amp;Detalle_OC[[#This Row],[Material]]&amp;Detalle_OC[[#This Row],[Pedido]]&amp;Detalle_OC[[#This Row],[Posicion]]</f>
        <v>Agricola del Chira PlantaMontelima8445465500019188890</v>
      </c>
      <c r="B3141" t="s">
        <v>28</v>
      </c>
      <c r="C3141" t="s">
        <v>82</v>
      </c>
      <c r="D3141" s="11">
        <v>45357</v>
      </c>
      <c r="E3141" t="s">
        <v>16</v>
      </c>
      <c r="F3141" t="s">
        <v>12</v>
      </c>
      <c r="G3141">
        <v>844546</v>
      </c>
      <c r="H3141">
        <v>5500019188</v>
      </c>
      <c r="I3141">
        <v>890</v>
      </c>
      <c r="J3141" s="29">
        <v>1</v>
      </c>
      <c r="K3141" s="29" t="s">
        <v>431</v>
      </c>
      <c r="L3141" t="str">
        <f>IFERROR(VLOOKUP(Detalle_OC[[#This Row],[Centro]]&amp;Detalle_OC[[#This Row],[Nro Almacen]],Almacen!A:D,4,FALSE),"")</f>
        <v>Montelima</v>
      </c>
    </row>
    <row r="3142" spans="1:12" x14ac:dyDescent="0.3">
      <c r="A3142" s="29" t="str">
        <f>Detalle_OC[[#This Row],[Centro]]&amp;Detalle_OC[[#This Row],[Nom Almacen]]&amp;Detalle_OC[[#This Row],[Material]]&amp;Detalle_OC[[#This Row],[Pedido]]&amp;Detalle_OC[[#This Row],[Posicion]]</f>
        <v>Agricola del Chira PlantaMontelima82638555000191881100</v>
      </c>
      <c r="B3142" t="s">
        <v>28</v>
      </c>
      <c r="C3142" t="s">
        <v>82</v>
      </c>
      <c r="D3142" s="11">
        <v>45357</v>
      </c>
      <c r="E3142" t="s">
        <v>16</v>
      </c>
      <c r="F3142" t="s">
        <v>12</v>
      </c>
      <c r="G3142">
        <v>826385</v>
      </c>
      <c r="H3142">
        <v>5500019188</v>
      </c>
      <c r="I3142">
        <v>1100</v>
      </c>
      <c r="J3142" s="29">
        <v>1</v>
      </c>
      <c r="K3142" s="29" t="s">
        <v>431</v>
      </c>
      <c r="L3142" t="str">
        <f>IFERROR(VLOOKUP(Detalle_OC[[#This Row],[Centro]]&amp;Detalle_OC[[#This Row],[Nro Almacen]],Almacen!A:D,4,FALSE),"")</f>
        <v>Montelima</v>
      </c>
    </row>
    <row r="3143" spans="1:12" x14ac:dyDescent="0.3">
      <c r="A3143" s="29" t="str">
        <f>Detalle_OC[[#This Row],[Centro]]&amp;Detalle_OC[[#This Row],[Nom Almacen]]&amp;Detalle_OC[[#This Row],[Material]]&amp;Detalle_OC[[#This Row],[Pedido]]&amp;Detalle_OC[[#This Row],[Posicion]]</f>
        <v>Agricola del Chira PlantaMontelima82720355000191881140</v>
      </c>
      <c r="B3143" t="s">
        <v>28</v>
      </c>
      <c r="C3143" t="s">
        <v>82</v>
      </c>
      <c r="D3143" s="11">
        <v>45357</v>
      </c>
      <c r="E3143" t="s">
        <v>16</v>
      </c>
      <c r="F3143" t="s">
        <v>12</v>
      </c>
      <c r="G3143">
        <v>827203</v>
      </c>
      <c r="H3143">
        <v>5500019188</v>
      </c>
      <c r="I3143">
        <v>1140</v>
      </c>
      <c r="J3143" s="29">
        <v>1</v>
      </c>
      <c r="K3143" s="29" t="s">
        <v>431</v>
      </c>
      <c r="L3143" t="str">
        <f>IFERROR(VLOOKUP(Detalle_OC[[#This Row],[Centro]]&amp;Detalle_OC[[#This Row],[Nro Almacen]],Almacen!A:D,4,FALSE),"")</f>
        <v>Montelima</v>
      </c>
    </row>
    <row r="3144" spans="1:12" x14ac:dyDescent="0.3">
      <c r="A3144" s="29" t="str">
        <f>Detalle_OC[[#This Row],[Centro]]&amp;Detalle_OC[[#This Row],[Nom Almacen]]&amp;Detalle_OC[[#This Row],[Material]]&amp;Detalle_OC[[#This Row],[Pedido]]&amp;Detalle_OC[[#This Row],[Posicion]]</f>
        <v>Agricola del Chira PlantaMontelima82639855000191881160</v>
      </c>
      <c r="B3144" t="s">
        <v>28</v>
      </c>
      <c r="C3144" t="s">
        <v>82</v>
      </c>
      <c r="D3144" s="11">
        <v>45357</v>
      </c>
      <c r="E3144" t="s">
        <v>16</v>
      </c>
      <c r="F3144" t="s">
        <v>12</v>
      </c>
      <c r="G3144">
        <v>826398</v>
      </c>
      <c r="H3144">
        <v>5500019188</v>
      </c>
      <c r="I3144">
        <v>1160</v>
      </c>
      <c r="J3144" s="29">
        <v>1</v>
      </c>
      <c r="K3144" s="29" t="s">
        <v>431</v>
      </c>
      <c r="L3144" t="str">
        <f>IFERROR(VLOOKUP(Detalle_OC[[#This Row],[Centro]]&amp;Detalle_OC[[#This Row],[Nro Almacen]],Almacen!A:D,4,FALSE),"")</f>
        <v>Montelima</v>
      </c>
    </row>
    <row r="3145" spans="1:12" x14ac:dyDescent="0.3">
      <c r="A3145" s="29" t="str">
        <f>Detalle_OC[[#This Row],[Centro]]&amp;Detalle_OC[[#This Row],[Nom Almacen]]&amp;Detalle_OC[[#This Row],[Material]]&amp;Detalle_OC[[#This Row],[Pedido]]&amp;Detalle_OC[[#This Row],[Posicion]]</f>
        <v>Agricola del Chira PlantaMontelima83507555000191881310</v>
      </c>
      <c r="B3145" t="s">
        <v>28</v>
      </c>
      <c r="C3145" t="s">
        <v>82</v>
      </c>
      <c r="D3145" s="11">
        <v>45357</v>
      </c>
      <c r="E3145" t="s">
        <v>16</v>
      </c>
      <c r="F3145" t="s">
        <v>12</v>
      </c>
      <c r="G3145">
        <v>835075</v>
      </c>
      <c r="H3145">
        <v>5500019188</v>
      </c>
      <c r="I3145">
        <v>1310</v>
      </c>
      <c r="J3145" s="29">
        <v>1</v>
      </c>
      <c r="K3145" s="29" t="s">
        <v>431</v>
      </c>
      <c r="L3145" t="str">
        <f>IFERROR(VLOOKUP(Detalle_OC[[#This Row],[Centro]]&amp;Detalle_OC[[#This Row],[Nro Almacen]],Almacen!A:D,4,FALSE),"")</f>
        <v>Montelima</v>
      </c>
    </row>
    <row r="3146" spans="1:12" x14ac:dyDescent="0.3">
      <c r="A3146" s="29" t="str">
        <f>Detalle_OC[[#This Row],[Centro]]&amp;Detalle_OC[[#This Row],[Nom Almacen]]&amp;Detalle_OC[[#This Row],[Material]]&amp;Detalle_OC[[#This Row],[Pedido]]&amp;Detalle_OC[[#This Row],[Posicion]]</f>
        <v>Agricola del Chira PlantaLa Huaca70100392550002475120</v>
      </c>
      <c r="B3146" t="s">
        <v>28</v>
      </c>
      <c r="C3146" t="s">
        <v>54</v>
      </c>
      <c r="D3146" s="11">
        <v>45356</v>
      </c>
      <c r="E3146" t="s">
        <v>16</v>
      </c>
      <c r="F3146" t="s">
        <v>12</v>
      </c>
      <c r="G3146">
        <v>70100392</v>
      </c>
      <c r="H3146">
        <v>5500024751</v>
      </c>
      <c r="I3146">
        <v>20</v>
      </c>
      <c r="J3146" s="29">
        <v>2</v>
      </c>
      <c r="K3146" s="29" t="s">
        <v>432</v>
      </c>
      <c r="L3146" t="str">
        <f>IFERROR(VLOOKUP(Detalle_OC[[#This Row],[Centro]]&amp;Detalle_OC[[#This Row],[Nro Almacen]],Almacen!A:D,4,FALSE),"")</f>
        <v>La Huaca</v>
      </c>
    </row>
    <row r="3147" spans="1:12" x14ac:dyDescent="0.3">
      <c r="A3147" s="29" t="str">
        <f>Detalle_OC[[#This Row],[Centro]]&amp;Detalle_OC[[#This Row],[Nom Almacen]]&amp;Detalle_OC[[#This Row],[Material]]&amp;Detalle_OC[[#This Row],[Pedido]]&amp;Detalle_OC[[#This Row],[Posicion]]</f>
        <v>Agricola del Chira PlantaAlmacen Lobo70100392550002475140</v>
      </c>
      <c r="B3147" t="s">
        <v>28</v>
      </c>
      <c r="C3147" t="s">
        <v>54</v>
      </c>
      <c r="D3147" s="11">
        <v>45356</v>
      </c>
      <c r="E3147" t="s">
        <v>16</v>
      </c>
      <c r="F3147" t="s">
        <v>12</v>
      </c>
      <c r="G3147">
        <v>70100392</v>
      </c>
      <c r="H3147">
        <v>5500024751</v>
      </c>
      <c r="I3147">
        <v>40</v>
      </c>
      <c r="J3147" s="29">
        <v>7</v>
      </c>
      <c r="K3147" s="29" t="s">
        <v>432</v>
      </c>
      <c r="L3147" t="str">
        <f>IFERROR(VLOOKUP(Detalle_OC[[#This Row],[Centro]]&amp;Detalle_OC[[#This Row],[Nro Almacen]],Almacen!A:D,4,FALSE),"")</f>
        <v>Almacen Lobo</v>
      </c>
    </row>
    <row r="3148" spans="1:12" x14ac:dyDescent="0.3">
      <c r="A3148" s="29" t="str">
        <f>Detalle_OC[[#This Row],[Centro]]&amp;Detalle_OC[[#This Row],[Nom Almacen]]&amp;Detalle_OC[[#This Row],[Material]]&amp;Detalle_OC[[#This Row],[Pedido]]&amp;Detalle_OC[[#This Row],[Posicion]]</f>
        <v>Agricola del Chira PlantaMontelima70100392550002475110</v>
      </c>
      <c r="B3148" t="s">
        <v>28</v>
      </c>
      <c r="C3148" t="s">
        <v>54</v>
      </c>
      <c r="D3148" s="11">
        <v>45352</v>
      </c>
      <c r="E3148" t="s">
        <v>16</v>
      </c>
      <c r="F3148" t="s">
        <v>12</v>
      </c>
      <c r="G3148">
        <v>70100392</v>
      </c>
      <c r="H3148">
        <v>5500024751</v>
      </c>
      <c r="I3148">
        <v>10</v>
      </c>
      <c r="J3148" s="29">
        <v>1</v>
      </c>
      <c r="K3148" s="29" t="s">
        <v>433</v>
      </c>
      <c r="L3148" t="str">
        <f>IFERROR(VLOOKUP(Detalle_OC[[#This Row],[Centro]]&amp;Detalle_OC[[#This Row],[Nro Almacen]],Almacen!A:D,4,FALSE),"")</f>
        <v>Montelima</v>
      </c>
    </row>
    <row r="3149" spans="1:12" x14ac:dyDescent="0.3">
      <c r="A3149" s="29" t="str">
        <f>Detalle_OC[[#This Row],[Centro]]&amp;Detalle_OC[[#This Row],[Nom Almacen]]&amp;Detalle_OC[[#This Row],[Material]]&amp;Detalle_OC[[#This Row],[Pedido]]&amp;Detalle_OC[[#This Row],[Posicion]]</f>
        <v>Agricola del Chira PlantaSan Vicente70100392550002475130</v>
      </c>
      <c r="B3149" t="s">
        <v>28</v>
      </c>
      <c r="C3149" t="s">
        <v>54</v>
      </c>
      <c r="D3149" s="11">
        <v>45352</v>
      </c>
      <c r="E3149" t="s">
        <v>16</v>
      </c>
      <c r="F3149" t="s">
        <v>12</v>
      </c>
      <c r="G3149">
        <v>70100392</v>
      </c>
      <c r="H3149">
        <v>5500024751</v>
      </c>
      <c r="I3149">
        <v>30</v>
      </c>
      <c r="J3149" s="29">
        <v>3</v>
      </c>
      <c r="K3149" s="29" t="s">
        <v>433</v>
      </c>
      <c r="L3149" t="str">
        <f>IFERROR(VLOOKUP(Detalle_OC[[#This Row],[Centro]]&amp;Detalle_OC[[#This Row],[Nro Almacen]],Almacen!A:D,4,FALSE),"")</f>
        <v>San Vicente</v>
      </c>
    </row>
    <row r="3150" spans="1:12" x14ac:dyDescent="0.3">
      <c r="A3150" s="29" t="str">
        <f>Detalle_OC[[#This Row],[Centro]]&amp;Detalle_OC[[#This Row],[Nom Almacen]]&amp;Detalle_OC[[#This Row],[Material]]&amp;Detalle_OC[[#This Row],[Pedido]]&amp;Detalle_OC[[#This Row],[Posicion]]</f>
        <v>Agricola del Chira PlantaMontelima738330550001918820</v>
      </c>
      <c r="B3150" t="s">
        <v>28</v>
      </c>
      <c r="C3150" t="s">
        <v>82</v>
      </c>
      <c r="D3150" s="11">
        <v>45350</v>
      </c>
      <c r="E3150" t="s">
        <v>16</v>
      </c>
      <c r="F3150" t="s">
        <v>12</v>
      </c>
      <c r="G3150">
        <v>738330</v>
      </c>
      <c r="H3150">
        <v>5500019188</v>
      </c>
      <c r="I3150">
        <v>20</v>
      </c>
      <c r="J3150" s="29">
        <v>1</v>
      </c>
      <c r="K3150" s="29" t="s">
        <v>434</v>
      </c>
      <c r="L3150" t="str">
        <f>IFERROR(VLOOKUP(Detalle_OC[[#This Row],[Centro]]&amp;Detalle_OC[[#This Row],[Nro Almacen]],Almacen!A:D,4,FALSE),"")</f>
        <v>Montelima</v>
      </c>
    </row>
    <row r="3151" spans="1:12" x14ac:dyDescent="0.3">
      <c r="A3151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3151" t="s">
        <v>28</v>
      </c>
      <c r="C3151" t="s">
        <v>84</v>
      </c>
      <c r="D3151" s="11">
        <v>45350</v>
      </c>
      <c r="E3151" t="s">
        <v>16</v>
      </c>
      <c r="F3151" t="s">
        <v>85</v>
      </c>
      <c r="G3151">
        <v>801846</v>
      </c>
      <c r="H3151">
        <v>5500022336</v>
      </c>
      <c r="I3151">
        <v>10</v>
      </c>
      <c r="J3151" s="29">
        <v>1</v>
      </c>
      <c r="K3151" s="29" t="s">
        <v>434</v>
      </c>
      <c r="L3151" t="str">
        <f>IFERROR(VLOOKUP(Detalle_OC[[#This Row],[Centro]]&amp;Detalle_OC[[#This Row],[Nro Almacen]],Almacen!A:D,4,FALSE),"")</f>
        <v>Montelima</v>
      </c>
    </row>
    <row r="3152" spans="1:12" x14ac:dyDescent="0.3">
      <c r="A3152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3152" t="s">
        <v>28</v>
      </c>
      <c r="C3152" t="s">
        <v>84</v>
      </c>
      <c r="D3152" s="11">
        <v>45350</v>
      </c>
      <c r="E3152" t="s">
        <v>16</v>
      </c>
      <c r="F3152" t="s">
        <v>85</v>
      </c>
      <c r="G3152">
        <v>806591</v>
      </c>
      <c r="H3152">
        <v>5500022336</v>
      </c>
      <c r="I3152">
        <v>20</v>
      </c>
      <c r="J3152" s="29">
        <v>1</v>
      </c>
      <c r="K3152" s="29" t="s">
        <v>434</v>
      </c>
      <c r="L3152" t="str">
        <f>IFERROR(VLOOKUP(Detalle_OC[[#This Row],[Centro]]&amp;Detalle_OC[[#This Row],[Nro Almacen]],Almacen!A:D,4,FALSE),"")</f>
        <v>Montelima</v>
      </c>
    </row>
    <row r="3153" spans="1:12" x14ac:dyDescent="0.3">
      <c r="A3153" s="29" t="str">
        <f>Detalle_OC[[#This Row],[Centro]]&amp;Detalle_OC[[#This Row],[Nom Almacen]]&amp;Detalle_OC[[#This Row],[Material]]&amp;Detalle_OC[[#This Row],[Pedido]]&amp;Detalle_OC[[#This Row],[Posicion]]</f>
        <v>Sucroalcolera del Chira PlantaMontelima813224550002233650</v>
      </c>
      <c r="B3153" t="s">
        <v>28</v>
      </c>
      <c r="C3153" t="s">
        <v>84</v>
      </c>
      <c r="D3153" s="11">
        <v>45350</v>
      </c>
      <c r="E3153" t="s">
        <v>16</v>
      </c>
      <c r="F3153" t="s">
        <v>85</v>
      </c>
      <c r="G3153">
        <v>813224</v>
      </c>
      <c r="H3153">
        <v>5500022336</v>
      </c>
      <c r="I3153">
        <v>50</v>
      </c>
      <c r="J3153" s="29">
        <v>1</v>
      </c>
      <c r="K3153" s="29" t="s">
        <v>434</v>
      </c>
      <c r="L3153" t="str">
        <f>IFERROR(VLOOKUP(Detalle_OC[[#This Row],[Centro]]&amp;Detalle_OC[[#This Row],[Nro Almacen]],Almacen!A:D,4,FALSE),"")</f>
        <v>Montelima</v>
      </c>
    </row>
    <row r="3154" spans="1:12" x14ac:dyDescent="0.3">
      <c r="A3154" s="29" t="str">
        <f>Detalle_OC[[#This Row],[Centro]]&amp;Detalle_OC[[#This Row],[Nom Almacen]]&amp;Detalle_OC[[#This Row],[Material]]&amp;Detalle_OC[[#This Row],[Pedido]]&amp;Detalle_OC[[#This Row],[Posicion]]</f>
        <v>Agricola del Chira PlantaMontelima70084367550002468170</v>
      </c>
      <c r="B3154" t="s">
        <v>28</v>
      </c>
      <c r="C3154" t="s">
        <v>84</v>
      </c>
      <c r="D3154" s="11">
        <v>45350</v>
      </c>
      <c r="E3154" t="s">
        <v>16</v>
      </c>
      <c r="F3154" t="s">
        <v>12</v>
      </c>
      <c r="G3154">
        <v>70084367</v>
      </c>
      <c r="H3154">
        <v>5500024681</v>
      </c>
      <c r="I3154">
        <v>70</v>
      </c>
      <c r="J3154" s="29">
        <v>1</v>
      </c>
      <c r="K3154" s="29" t="s">
        <v>434</v>
      </c>
      <c r="L3154" t="str">
        <f>IFERROR(VLOOKUP(Detalle_OC[[#This Row],[Centro]]&amp;Detalle_OC[[#This Row],[Nro Almacen]],Almacen!A:D,4,FALSE),"")</f>
        <v>Montelima</v>
      </c>
    </row>
    <row r="3155" spans="1:12" x14ac:dyDescent="0.3">
      <c r="A3155" s="29" t="str">
        <f>Detalle_OC[[#This Row],[Centro]]&amp;Detalle_OC[[#This Row],[Nom Almacen]]&amp;Detalle_OC[[#This Row],[Material]]&amp;Detalle_OC[[#This Row],[Pedido]]&amp;Detalle_OC[[#This Row],[Posicion]]</f>
        <v>Agricola del Chira PlantaMontelima70084371550002468180</v>
      </c>
      <c r="B3155" t="s">
        <v>28</v>
      </c>
      <c r="C3155" t="s">
        <v>84</v>
      </c>
      <c r="D3155" s="11">
        <v>45350</v>
      </c>
      <c r="E3155" t="s">
        <v>16</v>
      </c>
      <c r="F3155" t="s">
        <v>12</v>
      </c>
      <c r="G3155">
        <v>70084371</v>
      </c>
      <c r="H3155">
        <v>5500024681</v>
      </c>
      <c r="I3155">
        <v>80</v>
      </c>
      <c r="J3155" s="29">
        <v>1</v>
      </c>
      <c r="K3155" s="29" t="s">
        <v>434</v>
      </c>
      <c r="L3155" t="str">
        <f>IFERROR(VLOOKUP(Detalle_OC[[#This Row],[Centro]]&amp;Detalle_OC[[#This Row],[Nro Almacen]],Almacen!A:D,4,FALSE),"")</f>
        <v>Montelima</v>
      </c>
    </row>
    <row r="3156" spans="1:12" x14ac:dyDescent="0.3">
      <c r="A3156" s="29" t="str">
        <f>Detalle_OC[[#This Row],[Centro]]&amp;Detalle_OC[[#This Row],[Nom Almacen]]&amp;Detalle_OC[[#This Row],[Material]]&amp;Detalle_OC[[#This Row],[Pedido]]&amp;Detalle_OC[[#This Row],[Posicion]]</f>
        <v>Sucroalcolera del Chira PlantaMontelima70084365550002468260</v>
      </c>
      <c r="B3156" t="s">
        <v>28</v>
      </c>
      <c r="C3156" t="s">
        <v>84</v>
      </c>
      <c r="D3156" s="11">
        <v>45350</v>
      </c>
      <c r="E3156" t="s">
        <v>16</v>
      </c>
      <c r="F3156" t="s">
        <v>85</v>
      </c>
      <c r="G3156">
        <v>70084365</v>
      </c>
      <c r="H3156">
        <v>5500024682</v>
      </c>
      <c r="I3156">
        <v>60</v>
      </c>
      <c r="J3156" s="29">
        <v>1</v>
      </c>
      <c r="K3156" s="29" t="s">
        <v>434</v>
      </c>
      <c r="L3156" t="str">
        <f>IFERROR(VLOOKUP(Detalle_OC[[#This Row],[Centro]]&amp;Detalle_OC[[#This Row],[Nro Almacen]],Almacen!A:D,4,FALSE),"")</f>
        <v>Montelima</v>
      </c>
    </row>
    <row r="3157" spans="1:12" x14ac:dyDescent="0.3">
      <c r="A3157" s="29" t="str">
        <f>Detalle_OC[[#This Row],[Centro]]&amp;Detalle_OC[[#This Row],[Nom Almacen]]&amp;Detalle_OC[[#This Row],[Material]]&amp;Detalle_OC[[#This Row],[Pedido]]&amp;Detalle_OC[[#This Row],[Posicion]]</f>
        <v>Sucroalcolera del Chira PlantaMontelima700843715500024682120</v>
      </c>
      <c r="B3157" t="s">
        <v>28</v>
      </c>
      <c r="C3157" t="s">
        <v>84</v>
      </c>
      <c r="D3157" s="11">
        <v>45350</v>
      </c>
      <c r="E3157" t="s">
        <v>16</v>
      </c>
      <c r="F3157" t="s">
        <v>85</v>
      </c>
      <c r="G3157">
        <v>70084371</v>
      </c>
      <c r="H3157">
        <v>5500024682</v>
      </c>
      <c r="I3157">
        <v>120</v>
      </c>
      <c r="J3157" s="29">
        <v>1</v>
      </c>
      <c r="K3157" s="29" t="s">
        <v>434</v>
      </c>
      <c r="L3157" t="str">
        <f>IFERROR(VLOOKUP(Detalle_OC[[#This Row],[Centro]]&amp;Detalle_OC[[#This Row],[Nro Almacen]],Almacen!A:D,4,FALSE),"")</f>
        <v>Montelima</v>
      </c>
    </row>
    <row r="3158" spans="1:12" x14ac:dyDescent="0.3">
      <c r="A3158" s="29" t="str">
        <f>Detalle_OC[[#This Row],[Centro]]&amp;Detalle_OC[[#This Row],[Nom Almacen]]&amp;Detalle_OC[[#This Row],[Material]]&amp;Detalle_OC[[#This Row],[Pedido]]&amp;Detalle_OC[[#This Row],[Posicion]]</f>
        <v>Bioenergía del Chira PlantaMontelima70084365550002468350</v>
      </c>
      <c r="B3158" t="s">
        <v>28</v>
      </c>
      <c r="C3158" t="s">
        <v>84</v>
      </c>
      <c r="D3158" s="11">
        <v>45350</v>
      </c>
      <c r="E3158" t="s">
        <v>16</v>
      </c>
      <c r="F3158" t="s">
        <v>86</v>
      </c>
      <c r="G3158">
        <v>70084365</v>
      </c>
      <c r="H3158">
        <v>5500024683</v>
      </c>
      <c r="I3158">
        <v>50</v>
      </c>
      <c r="J3158" s="29">
        <v>1</v>
      </c>
      <c r="K3158" s="29" t="s">
        <v>434</v>
      </c>
      <c r="L3158" t="str">
        <f>IFERROR(VLOOKUP(Detalle_OC[[#This Row],[Centro]]&amp;Detalle_OC[[#This Row],[Nro Almacen]],Almacen!A:D,4,FALSE),"")</f>
        <v>Montelima</v>
      </c>
    </row>
    <row r="3159" spans="1:12" x14ac:dyDescent="0.3">
      <c r="A3159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3159" t="s">
        <v>28</v>
      </c>
      <c r="C3159" t="s">
        <v>94</v>
      </c>
      <c r="D3159" s="11">
        <v>45348</v>
      </c>
      <c r="E3159" t="s">
        <v>16</v>
      </c>
      <c r="F3159" t="s">
        <v>85</v>
      </c>
      <c r="G3159" t="s">
        <v>95</v>
      </c>
      <c r="H3159">
        <v>5500024746</v>
      </c>
      <c r="I3159">
        <v>10</v>
      </c>
      <c r="J3159" s="29">
        <v>1</v>
      </c>
      <c r="K3159" s="29" t="s">
        <v>436</v>
      </c>
      <c r="L3159" t="str">
        <f>IFERROR(VLOOKUP(Detalle_OC[[#This Row],[Centro]]&amp;Detalle_OC[[#This Row],[Nro Almacen]],Almacen!A:D,4,FALSE),"")</f>
        <v>Montelima</v>
      </c>
    </row>
    <row r="3160" spans="1:12" x14ac:dyDescent="0.3">
      <c r="A3160" s="29" t="str">
        <f>Detalle_OC[[#This Row],[Centro]]&amp;Detalle_OC[[#This Row],[Nom Almacen]]&amp;Detalle_OC[[#This Row],[Material]]&amp;Detalle_OC[[#This Row],[Pedido]]&amp;Detalle_OC[[#This Row],[Posicion]]</f>
        <v>Agricola del Chira PlantaMontelima738330550001918820</v>
      </c>
      <c r="B3160" t="s">
        <v>28</v>
      </c>
      <c r="C3160" t="s">
        <v>82</v>
      </c>
      <c r="D3160" s="11">
        <v>45348</v>
      </c>
      <c r="E3160" t="s">
        <v>16</v>
      </c>
      <c r="F3160" t="s">
        <v>12</v>
      </c>
      <c r="G3160">
        <v>738330</v>
      </c>
      <c r="H3160">
        <v>5500019188</v>
      </c>
      <c r="I3160">
        <v>20</v>
      </c>
      <c r="J3160" s="29">
        <v>1</v>
      </c>
      <c r="K3160" s="29" t="s">
        <v>437</v>
      </c>
      <c r="L3160" t="str">
        <f>IFERROR(VLOOKUP(Detalle_OC[[#This Row],[Centro]]&amp;Detalle_OC[[#This Row],[Nro Almacen]],Almacen!A:D,4,FALSE),"")</f>
        <v>Montelima</v>
      </c>
    </row>
    <row r="3161" spans="1:12" x14ac:dyDescent="0.3">
      <c r="A3161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3161" t="s">
        <v>28</v>
      </c>
      <c r="C3161" t="s">
        <v>84</v>
      </c>
      <c r="D3161" s="11">
        <v>45363</v>
      </c>
      <c r="E3161" t="s">
        <v>16</v>
      </c>
      <c r="F3161" t="s">
        <v>85</v>
      </c>
      <c r="G3161">
        <v>801846</v>
      </c>
      <c r="H3161">
        <v>5500022336</v>
      </c>
      <c r="I3161">
        <v>10</v>
      </c>
      <c r="J3161" s="29">
        <v>1</v>
      </c>
      <c r="K3161" s="29" t="s">
        <v>437</v>
      </c>
      <c r="L3161" t="str">
        <f>IFERROR(VLOOKUP(Detalle_OC[[#This Row],[Centro]]&amp;Detalle_OC[[#This Row],[Nro Almacen]],Almacen!A:D,4,FALSE),"")</f>
        <v>Montelima</v>
      </c>
    </row>
    <row r="3162" spans="1:12" x14ac:dyDescent="0.3">
      <c r="A3162" s="29" t="str">
        <f>Detalle_OC[[#This Row],[Centro]]&amp;Detalle_OC[[#This Row],[Nom Almacen]]&amp;Detalle_OC[[#This Row],[Material]]&amp;Detalle_OC[[#This Row],[Pedido]]&amp;Detalle_OC[[#This Row],[Posicion]]</f>
        <v>Sucroalcolera del Chira PlantaMontelima70084363550002468250</v>
      </c>
      <c r="B3162" t="s">
        <v>28</v>
      </c>
      <c r="C3162" t="s">
        <v>84</v>
      </c>
      <c r="D3162" s="11">
        <v>45345</v>
      </c>
      <c r="E3162" t="s">
        <v>16</v>
      </c>
      <c r="F3162" t="s">
        <v>85</v>
      </c>
      <c r="G3162">
        <v>70084363</v>
      </c>
      <c r="H3162">
        <v>5500024682</v>
      </c>
      <c r="I3162">
        <v>50</v>
      </c>
      <c r="J3162" s="29">
        <v>1</v>
      </c>
      <c r="K3162" s="29" t="s">
        <v>438</v>
      </c>
      <c r="L3162" t="str">
        <f>IFERROR(VLOOKUP(Detalle_OC[[#This Row],[Centro]]&amp;Detalle_OC[[#This Row],[Nro Almacen]],Almacen!A:D,4,FALSE),"")</f>
        <v>Montelima</v>
      </c>
    </row>
    <row r="3163" spans="1:12" x14ac:dyDescent="0.3">
      <c r="A3163" s="29" t="str">
        <f>Detalle_OC[[#This Row],[Centro]]&amp;Detalle_OC[[#This Row],[Nom Almacen]]&amp;Detalle_OC[[#This Row],[Material]]&amp;Detalle_OC[[#This Row],[Pedido]]&amp;Detalle_OC[[#This Row],[Posicion]]</f>
        <v>Sucroalcolera del Chira PlantaMontelima70084365550002468260</v>
      </c>
      <c r="B3163" t="s">
        <v>28</v>
      </c>
      <c r="C3163" t="s">
        <v>84</v>
      </c>
      <c r="D3163" s="11">
        <v>45345</v>
      </c>
      <c r="E3163" t="s">
        <v>16</v>
      </c>
      <c r="F3163" t="s">
        <v>85</v>
      </c>
      <c r="G3163">
        <v>70084365</v>
      </c>
      <c r="H3163">
        <v>5500024682</v>
      </c>
      <c r="I3163">
        <v>60</v>
      </c>
      <c r="J3163" s="29">
        <v>1</v>
      </c>
      <c r="K3163" s="29" t="s">
        <v>438</v>
      </c>
      <c r="L3163" t="str">
        <f>IFERROR(VLOOKUP(Detalle_OC[[#This Row],[Centro]]&amp;Detalle_OC[[#This Row],[Nro Almacen]],Almacen!A:D,4,FALSE),"")</f>
        <v>Montelima</v>
      </c>
    </row>
    <row r="3164" spans="1:12" x14ac:dyDescent="0.3">
      <c r="A3164" s="29" t="str">
        <f>Detalle_OC[[#This Row],[Centro]]&amp;Detalle_OC[[#This Row],[Nom Almacen]]&amp;Detalle_OC[[#This Row],[Material]]&amp;Detalle_OC[[#This Row],[Pedido]]&amp;Detalle_OC[[#This Row],[Posicion]]</f>
        <v>Sucroalcolera del Chira PlantaMontelima70084368550002468290</v>
      </c>
      <c r="B3164" t="s">
        <v>28</v>
      </c>
      <c r="C3164" t="s">
        <v>84</v>
      </c>
      <c r="D3164" s="11">
        <v>45345</v>
      </c>
      <c r="E3164" t="s">
        <v>16</v>
      </c>
      <c r="F3164" t="s">
        <v>85</v>
      </c>
      <c r="G3164">
        <v>70084368</v>
      </c>
      <c r="H3164">
        <v>5500024682</v>
      </c>
      <c r="I3164">
        <v>90</v>
      </c>
      <c r="J3164" s="29">
        <v>1</v>
      </c>
      <c r="K3164" s="29" t="s">
        <v>438</v>
      </c>
      <c r="L3164" t="str">
        <f>IFERROR(VLOOKUP(Detalle_OC[[#This Row],[Centro]]&amp;Detalle_OC[[#This Row],[Nro Almacen]],Almacen!A:D,4,FALSE),"")</f>
        <v>Montelima</v>
      </c>
    </row>
    <row r="3165" spans="1:12" x14ac:dyDescent="0.3">
      <c r="A3165" s="29" t="str">
        <f>Detalle_OC[[#This Row],[Centro]]&amp;Detalle_OC[[#This Row],[Nom Almacen]]&amp;Detalle_OC[[#This Row],[Material]]&amp;Detalle_OC[[#This Row],[Pedido]]&amp;Detalle_OC[[#This Row],[Posicion]]</f>
        <v>Sucroalcolera del Chira PlantaMontelima700843695500024682100</v>
      </c>
      <c r="B3165" t="s">
        <v>28</v>
      </c>
      <c r="C3165" t="s">
        <v>84</v>
      </c>
      <c r="D3165" s="11">
        <v>45345</v>
      </c>
      <c r="E3165" t="s">
        <v>16</v>
      </c>
      <c r="F3165" t="s">
        <v>85</v>
      </c>
      <c r="G3165">
        <v>70084369</v>
      </c>
      <c r="H3165">
        <v>5500024682</v>
      </c>
      <c r="I3165">
        <v>100</v>
      </c>
      <c r="J3165" s="29">
        <v>1</v>
      </c>
      <c r="K3165" s="29" t="s">
        <v>438</v>
      </c>
      <c r="L3165" t="str">
        <f>IFERROR(VLOOKUP(Detalle_OC[[#This Row],[Centro]]&amp;Detalle_OC[[#This Row],[Nro Almacen]],Almacen!A:D,4,FALSE),"")</f>
        <v>Montelima</v>
      </c>
    </row>
    <row r="3166" spans="1:12" x14ac:dyDescent="0.3">
      <c r="A3166" s="29" t="str">
        <f>Detalle_OC[[#This Row],[Centro]]&amp;Detalle_OC[[#This Row],[Nom Almacen]]&amp;Detalle_OC[[#This Row],[Material]]&amp;Detalle_OC[[#This Row],[Pedido]]&amp;Detalle_OC[[#This Row],[Posicion]]</f>
        <v>Sucroalcolera del Chira PlantaMontelima700843705500024682110</v>
      </c>
      <c r="B3166" t="s">
        <v>28</v>
      </c>
      <c r="C3166" t="s">
        <v>84</v>
      </c>
      <c r="D3166" s="11">
        <v>45345</v>
      </c>
      <c r="E3166" t="s">
        <v>16</v>
      </c>
      <c r="F3166" t="s">
        <v>85</v>
      </c>
      <c r="G3166">
        <v>70084370</v>
      </c>
      <c r="H3166">
        <v>5500024682</v>
      </c>
      <c r="I3166">
        <v>110</v>
      </c>
      <c r="J3166" s="29">
        <v>1</v>
      </c>
      <c r="K3166" s="29" t="s">
        <v>438</v>
      </c>
      <c r="L3166" t="str">
        <f>IFERROR(VLOOKUP(Detalle_OC[[#This Row],[Centro]]&amp;Detalle_OC[[#This Row],[Nro Almacen]],Almacen!A:D,4,FALSE),"")</f>
        <v>Montelima</v>
      </c>
    </row>
    <row r="3167" spans="1:12" x14ac:dyDescent="0.3">
      <c r="A3167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3167" t="s">
        <v>28</v>
      </c>
      <c r="C3167" t="s">
        <v>84</v>
      </c>
      <c r="D3167" s="11">
        <v>45344</v>
      </c>
      <c r="E3167" t="s">
        <v>16</v>
      </c>
      <c r="F3167" t="s">
        <v>85</v>
      </c>
      <c r="G3167">
        <v>801846</v>
      </c>
      <c r="H3167">
        <v>5500022336</v>
      </c>
      <c r="I3167">
        <v>10</v>
      </c>
      <c r="J3167" s="29">
        <v>1</v>
      </c>
      <c r="K3167" s="29" t="s">
        <v>439</v>
      </c>
      <c r="L3167" t="str">
        <f>IFERROR(VLOOKUP(Detalle_OC[[#This Row],[Centro]]&amp;Detalle_OC[[#This Row],[Nro Almacen]],Almacen!A:D,4,FALSE),"")</f>
        <v>Montelima</v>
      </c>
    </row>
    <row r="3168" spans="1:12" x14ac:dyDescent="0.3">
      <c r="A3168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3168" t="s">
        <v>28</v>
      </c>
      <c r="C3168" t="s">
        <v>84</v>
      </c>
      <c r="D3168" s="11">
        <v>45344</v>
      </c>
      <c r="E3168" t="s">
        <v>16</v>
      </c>
      <c r="F3168" t="s">
        <v>85</v>
      </c>
      <c r="G3168">
        <v>806591</v>
      </c>
      <c r="H3168">
        <v>5500022336</v>
      </c>
      <c r="I3168">
        <v>20</v>
      </c>
      <c r="J3168" s="29">
        <v>1</v>
      </c>
      <c r="K3168" s="29" t="s">
        <v>439</v>
      </c>
      <c r="L3168" t="str">
        <f>IFERROR(VLOOKUP(Detalle_OC[[#This Row],[Centro]]&amp;Detalle_OC[[#This Row],[Nro Almacen]],Almacen!A:D,4,FALSE),"")</f>
        <v>Montelima</v>
      </c>
    </row>
    <row r="3169" spans="1:12" x14ac:dyDescent="0.3">
      <c r="A3169" s="29" t="str">
        <f>Detalle_OC[[#This Row],[Centro]]&amp;Detalle_OC[[#This Row],[Nom Almacen]]&amp;Detalle_OC[[#This Row],[Material]]&amp;Detalle_OC[[#This Row],[Pedido]]&amp;Detalle_OC[[#This Row],[Posicion]]</f>
        <v>Sucroalcolera del Chira PlantaMontelima709179550002233630</v>
      </c>
      <c r="B3169" t="s">
        <v>28</v>
      </c>
      <c r="C3169" t="s">
        <v>84</v>
      </c>
      <c r="D3169" s="11">
        <v>45344</v>
      </c>
      <c r="E3169" t="s">
        <v>16</v>
      </c>
      <c r="F3169" t="s">
        <v>85</v>
      </c>
      <c r="G3169">
        <v>709179</v>
      </c>
      <c r="H3169">
        <v>5500022336</v>
      </c>
      <c r="I3169">
        <v>30</v>
      </c>
      <c r="J3169" s="29">
        <v>1</v>
      </c>
      <c r="K3169" s="29" t="s">
        <v>439</v>
      </c>
      <c r="L3169" t="str">
        <f>IFERROR(VLOOKUP(Detalle_OC[[#This Row],[Centro]]&amp;Detalle_OC[[#This Row],[Nro Almacen]],Almacen!A:D,4,FALSE),"")</f>
        <v>Montelima</v>
      </c>
    </row>
    <row r="3170" spans="1:12" x14ac:dyDescent="0.3">
      <c r="A3170" s="29" t="str">
        <f>Detalle_OC[[#This Row],[Centro]]&amp;Detalle_OC[[#This Row],[Nom Almacen]]&amp;Detalle_OC[[#This Row],[Material]]&amp;Detalle_OC[[#This Row],[Pedido]]&amp;Detalle_OC[[#This Row],[Posicion]]</f>
        <v>Sucroalcolera del Chira PlantaMontelima709179550002233630</v>
      </c>
      <c r="B3170" t="s">
        <v>28</v>
      </c>
      <c r="C3170" t="s">
        <v>84</v>
      </c>
      <c r="D3170" s="11">
        <v>45344</v>
      </c>
      <c r="E3170" t="s">
        <v>16</v>
      </c>
      <c r="F3170" t="s">
        <v>85</v>
      </c>
      <c r="G3170">
        <v>709179</v>
      </c>
      <c r="H3170">
        <v>5500022336</v>
      </c>
      <c r="I3170">
        <v>30</v>
      </c>
      <c r="J3170" s="29">
        <v>1</v>
      </c>
      <c r="K3170" s="29" t="s">
        <v>439</v>
      </c>
      <c r="L3170" t="str">
        <f>IFERROR(VLOOKUP(Detalle_OC[[#This Row],[Centro]]&amp;Detalle_OC[[#This Row],[Nro Almacen]],Almacen!A:D,4,FALSE),"")</f>
        <v>Montelima</v>
      </c>
    </row>
    <row r="3171" spans="1:12" x14ac:dyDescent="0.3">
      <c r="A3171" s="29" t="str">
        <f>Detalle_OC[[#This Row],[Centro]]&amp;Detalle_OC[[#This Row],[Nom Almacen]]&amp;Detalle_OC[[#This Row],[Material]]&amp;Detalle_OC[[#This Row],[Pedido]]&amp;Detalle_OC[[#This Row],[Posicion]]</f>
        <v>Sucroalcolera del Chira PlantaMontelima708707550002233640</v>
      </c>
      <c r="B3171" t="s">
        <v>28</v>
      </c>
      <c r="C3171" t="s">
        <v>84</v>
      </c>
      <c r="D3171" s="11">
        <v>45344</v>
      </c>
      <c r="E3171" t="s">
        <v>16</v>
      </c>
      <c r="F3171" t="s">
        <v>85</v>
      </c>
      <c r="G3171">
        <v>708707</v>
      </c>
      <c r="H3171">
        <v>5500022336</v>
      </c>
      <c r="I3171">
        <v>40</v>
      </c>
      <c r="J3171" s="29">
        <v>1</v>
      </c>
      <c r="K3171" s="29" t="s">
        <v>439</v>
      </c>
      <c r="L3171" t="str">
        <f>IFERROR(VLOOKUP(Detalle_OC[[#This Row],[Centro]]&amp;Detalle_OC[[#This Row],[Nro Almacen]],Almacen!A:D,4,FALSE),"")</f>
        <v>Montelima</v>
      </c>
    </row>
    <row r="3172" spans="1:12" x14ac:dyDescent="0.3">
      <c r="A3172" s="29" t="str">
        <f>Detalle_OC[[#This Row],[Centro]]&amp;Detalle_OC[[#This Row],[Nom Almacen]]&amp;Detalle_OC[[#This Row],[Material]]&amp;Detalle_OC[[#This Row],[Pedido]]&amp;Detalle_OC[[#This Row],[Posicion]]</f>
        <v>Sucroalcolera del Chira PlantaMontelima813224550002233650</v>
      </c>
      <c r="B3172" t="s">
        <v>28</v>
      </c>
      <c r="C3172" t="s">
        <v>84</v>
      </c>
      <c r="D3172" s="11">
        <v>45344</v>
      </c>
      <c r="E3172" t="s">
        <v>16</v>
      </c>
      <c r="F3172" t="s">
        <v>85</v>
      </c>
      <c r="G3172">
        <v>813224</v>
      </c>
      <c r="H3172">
        <v>5500022336</v>
      </c>
      <c r="I3172">
        <v>50</v>
      </c>
      <c r="J3172" s="29">
        <v>1</v>
      </c>
      <c r="K3172" s="29" t="s">
        <v>439</v>
      </c>
      <c r="L3172" t="str">
        <f>IFERROR(VLOOKUP(Detalle_OC[[#This Row],[Centro]]&amp;Detalle_OC[[#This Row],[Nro Almacen]],Almacen!A:D,4,FALSE),"")</f>
        <v>Montelima</v>
      </c>
    </row>
    <row r="3173" spans="1:12" x14ac:dyDescent="0.3">
      <c r="A3173" s="29" t="str">
        <f>Detalle_OC[[#This Row],[Centro]]&amp;Detalle_OC[[#This Row],[Nom Almacen]]&amp;Detalle_OC[[#This Row],[Material]]&amp;Detalle_OC[[#This Row],[Pedido]]&amp;Detalle_OC[[#This Row],[Posicion]]</f>
        <v>Sucroalcolera del Chira PlantaMontelima813224550002233650</v>
      </c>
      <c r="B3173" t="s">
        <v>28</v>
      </c>
      <c r="C3173" t="s">
        <v>84</v>
      </c>
      <c r="D3173" s="11">
        <v>45344</v>
      </c>
      <c r="E3173" t="s">
        <v>16</v>
      </c>
      <c r="F3173" t="s">
        <v>85</v>
      </c>
      <c r="G3173">
        <v>813224</v>
      </c>
      <c r="H3173">
        <v>5500022336</v>
      </c>
      <c r="I3173">
        <v>50</v>
      </c>
      <c r="J3173" s="29">
        <v>1</v>
      </c>
      <c r="K3173" s="29" t="s">
        <v>439</v>
      </c>
      <c r="L3173" t="str">
        <f>IFERROR(VLOOKUP(Detalle_OC[[#This Row],[Centro]]&amp;Detalle_OC[[#This Row],[Nro Almacen]],Almacen!A:D,4,FALSE),"")</f>
        <v>Montelima</v>
      </c>
    </row>
    <row r="3174" spans="1:12" x14ac:dyDescent="0.3">
      <c r="A3174" s="29" t="str">
        <f>Detalle_OC[[#This Row],[Centro]]&amp;Detalle_OC[[#This Row],[Nom Almacen]]&amp;Detalle_OC[[#This Row],[Material]]&amp;Detalle_OC[[#This Row],[Pedido]]&amp;Detalle_OC[[#This Row],[Posicion]]</f>
        <v>Agricola del Chira PlantaMontelima709179550002233820</v>
      </c>
      <c r="B3174" t="s">
        <v>28</v>
      </c>
      <c r="C3174" t="s">
        <v>84</v>
      </c>
      <c r="D3174" s="11">
        <v>45344</v>
      </c>
      <c r="E3174" t="s">
        <v>16</v>
      </c>
      <c r="F3174" t="s">
        <v>12</v>
      </c>
      <c r="G3174">
        <v>709179</v>
      </c>
      <c r="H3174">
        <v>5500022338</v>
      </c>
      <c r="I3174">
        <v>20</v>
      </c>
      <c r="J3174" s="29">
        <v>1</v>
      </c>
      <c r="K3174" s="29" t="s">
        <v>439</v>
      </c>
      <c r="L3174" t="str">
        <f>IFERROR(VLOOKUP(Detalle_OC[[#This Row],[Centro]]&amp;Detalle_OC[[#This Row],[Nro Almacen]],Almacen!A:D,4,FALSE),"")</f>
        <v>Montelima</v>
      </c>
    </row>
    <row r="3175" spans="1:12" x14ac:dyDescent="0.3">
      <c r="A3175" s="29" t="str">
        <f>Detalle_OC[[#This Row],[Centro]]&amp;Detalle_OC[[#This Row],[Nom Almacen]]&amp;Detalle_OC[[#This Row],[Material]]&amp;Detalle_OC[[#This Row],[Pedido]]&amp;Detalle_OC[[#This Row],[Posicion]]</f>
        <v>Agricola del Chira PlantaMontelima709179550002233820</v>
      </c>
      <c r="B3175" t="s">
        <v>28</v>
      </c>
      <c r="C3175" t="s">
        <v>84</v>
      </c>
      <c r="D3175" s="11">
        <v>45344</v>
      </c>
      <c r="E3175" t="s">
        <v>16</v>
      </c>
      <c r="F3175" t="s">
        <v>12</v>
      </c>
      <c r="G3175">
        <v>709179</v>
      </c>
      <c r="H3175">
        <v>5500022338</v>
      </c>
      <c r="I3175">
        <v>20</v>
      </c>
      <c r="J3175" s="29">
        <v>1</v>
      </c>
      <c r="K3175" s="29" t="s">
        <v>439</v>
      </c>
      <c r="L3175" t="str">
        <f>IFERROR(VLOOKUP(Detalle_OC[[#This Row],[Centro]]&amp;Detalle_OC[[#This Row],[Nro Almacen]],Almacen!A:D,4,FALSE),"")</f>
        <v>Montelima</v>
      </c>
    </row>
    <row r="3176" spans="1:12" x14ac:dyDescent="0.3">
      <c r="A3176" s="29" t="str">
        <f>Detalle_OC[[#This Row],[Centro]]&amp;Detalle_OC[[#This Row],[Nom Almacen]]&amp;Detalle_OC[[#This Row],[Material]]&amp;Detalle_OC[[#This Row],[Pedido]]&amp;Detalle_OC[[#This Row],[Posicion]]</f>
        <v>Agricola del Chira PlantaMontelima808069550002233830</v>
      </c>
      <c r="B3176" t="s">
        <v>28</v>
      </c>
      <c r="C3176" t="s">
        <v>84</v>
      </c>
      <c r="D3176" s="11">
        <v>45344</v>
      </c>
      <c r="E3176" t="s">
        <v>16</v>
      </c>
      <c r="F3176" t="s">
        <v>12</v>
      </c>
      <c r="G3176">
        <v>808069</v>
      </c>
      <c r="H3176">
        <v>5500022338</v>
      </c>
      <c r="I3176">
        <v>30</v>
      </c>
      <c r="J3176" s="29">
        <v>1</v>
      </c>
      <c r="K3176" s="29" t="s">
        <v>439</v>
      </c>
      <c r="L3176" t="str">
        <f>IFERROR(VLOOKUP(Detalle_OC[[#This Row],[Centro]]&amp;Detalle_OC[[#This Row],[Nro Almacen]],Almacen!A:D,4,FALSE),"")</f>
        <v>Montelima</v>
      </c>
    </row>
    <row r="3177" spans="1:12" x14ac:dyDescent="0.3">
      <c r="A3177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3177" t="s">
        <v>28</v>
      </c>
      <c r="C3177" t="s">
        <v>84</v>
      </c>
      <c r="D3177" s="11">
        <v>45344</v>
      </c>
      <c r="E3177" t="s">
        <v>16</v>
      </c>
      <c r="F3177" t="s">
        <v>12</v>
      </c>
      <c r="G3177">
        <v>801846</v>
      </c>
      <c r="H3177">
        <v>5500022338</v>
      </c>
      <c r="I3177">
        <v>40</v>
      </c>
      <c r="J3177" s="29">
        <v>1</v>
      </c>
      <c r="K3177" s="29" t="s">
        <v>439</v>
      </c>
      <c r="L3177" t="str">
        <f>IFERROR(VLOOKUP(Detalle_OC[[#This Row],[Centro]]&amp;Detalle_OC[[#This Row],[Nro Almacen]],Almacen!A:D,4,FALSE),"")</f>
        <v>Montelima</v>
      </c>
    </row>
    <row r="3178" spans="1:12" x14ac:dyDescent="0.3">
      <c r="A3178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3178" t="s">
        <v>28</v>
      </c>
      <c r="C3178" t="s">
        <v>84</v>
      </c>
      <c r="D3178" s="11">
        <v>45344</v>
      </c>
      <c r="E3178" t="s">
        <v>16</v>
      </c>
      <c r="F3178" t="s">
        <v>12</v>
      </c>
      <c r="G3178">
        <v>801846</v>
      </c>
      <c r="H3178">
        <v>5500022338</v>
      </c>
      <c r="I3178">
        <v>40</v>
      </c>
      <c r="J3178" s="29">
        <v>1</v>
      </c>
      <c r="K3178" s="29" t="s">
        <v>439</v>
      </c>
      <c r="L3178" t="str">
        <f>IFERROR(VLOOKUP(Detalle_OC[[#This Row],[Centro]]&amp;Detalle_OC[[#This Row],[Nro Almacen]],Almacen!A:D,4,FALSE),"")</f>
        <v>Montelima</v>
      </c>
    </row>
    <row r="3179" spans="1:12" x14ac:dyDescent="0.3">
      <c r="A3179" s="29" t="str">
        <f>Detalle_OC[[#This Row],[Centro]]&amp;Detalle_OC[[#This Row],[Nom Almacen]]&amp;Detalle_OC[[#This Row],[Material]]&amp;Detalle_OC[[#This Row],[Pedido]]&amp;Detalle_OC[[#This Row],[Posicion]]</f>
        <v>Agricola del Chira PlantaMontelima708707550002233850</v>
      </c>
      <c r="B3179" t="s">
        <v>28</v>
      </c>
      <c r="C3179" t="s">
        <v>84</v>
      </c>
      <c r="D3179" s="11">
        <v>45344</v>
      </c>
      <c r="E3179" t="s">
        <v>16</v>
      </c>
      <c r="F3179" t="s">
        <v>12</v>
      </c>
      <c r="G3179">
        <v>708707</v>
      </c>
      <c r="H3179">
        <v>5500022338</v>
      </c>
      <c r="I3179">
        <v>50</v>
      </c>
      <c r="J3179" s="29">
        <v>1</v>
      </c>
      <c r="K3179" s="29" t="s">
        <v>439</v>
      </c>
      <c r="L3179" t="str">
        <f>IFERROR(VLOOKUP(Detalle_OC[[#This Row],[Centro]]&amp;Detalle_OC[[#This Row],[Nro Almacen]],Almacen!A:D,4,FALSE),"")</f>
        <v>Montelima</v>
      </c>
    </row>
    <row r="3180" spans="1:12" x14ac:dyDescent="0.3">
      <c r="A3180" s="29" t="str">
        <f>Detalle_OC[[#This Row],[Centro]]&amp;Detalle_OC[[#This Row],[Nom Almacen]]&amp;Detalle_OC[[#This Row],[Material]]&amp;Detalle_OC[[#This Row],[Pedido]]&amp;Detalle_OC[[#This Row],[Posicion]]</f>
        <v>Agricola del Chira PlantaMontelima708707550002233850</v>
      </c>
      <c r="B3180" t="s">
        <v>28</v>
      </c>
      <c r="C3180" t="s">
        <v>84</v>
      </c>
      <c r="D3180" s="11">
        <v>45344</v>
      </c>
      <c r="E3180" t="s">
        <v>16</v>
      </c>
      <c r="F3180" t="s">
        <v>12</v>
      </c>
      <c r="G3180">
        <v>708707</v>
      </c>
      <c r="H3180">
        <v>5500022338</v>
      </c>
      <c r="I3180">
        <v>50</v>
      </c>
      <c r="J3180" s="29">
        <v>1</v>
      </c>
      <c r="K3180" s="29" t="s">
        <v>439</v>
      </c>
      <c r="L3180" t="str">
        <f>IFERROR(VLOOKUP(Detalle_OC[[#This Row],[Centro]]&amp;Detalle_OC[[#This Row],[Nro Almacen]],Almacen!A:D,4,FALSE),"")</f>
        <v>Montelima</v>
      </c>
    </row>
    <row r="3181" spans="1:12" x14ac:dyDescent="0.3">
      <c r="A3181" s="29" t="str">
        <f>Detalle_OC[[#This Row],[Centro]]&amp;Detalle_OC[[#This Row],[Nom Almacen]]&amp;Detalle_OC[[#This Row],[Material]]&amp;Detalle_OC[[#This Row],[Pedido]]&amp;Detalle_OC[[#This Row],[Posicion]]</f>
        <v>Agricola del Chira PlantaMontelima70032053550002233880</v>
      </c>
      <c r="B3181" t="s">
        <v>28</v>
      </c>
      <c r="C3181" t="s">
        <v>84</v>
      </c>
      <c r="D3181" s="11">
        <v>45344</v>
      </c>
      <c r="E3181" t="s">
        <v>16</v>
      </c>
      <c r="F3181" t="s">
        <v>12</v>
      </c>
      <c r="G3181">
        <v>70032053</v>
      </c>
      <c r="H3181">
        <v>5500022338</v>
      </c>
      <c r="I3181">
        <v>80</v>
      </c>
      <c r="J3181" s="29">
        <v>1</v>
      </c>
      <c r="K3181" s="29" t="s">
        <v>439</v>
      </c>
      <c r="L3181" t="str">
        <f>IFERROR(VLOOKUP(Detalle_OC[[#This Row],[Centro]]&amp;Detalle_OC[[#This Row],[Nro Almacen]],Almacen!A:D,4,FALSE),"")</f>
        <v>Montelima</v>
      </c>
    </row>
    <row r="3182" spans="1:12" x14ac:dyDescent="0.3">
      <c r="A3182" s="29" t="str">
        <f>Detalle_OC[[#This Row],[Centro]]&amp;Detalle_OC[[#This Row],[Nom Almacen]]&amp;Detalle_OC[[#This Row],[Material]]&amp;Detalle_OC[[#This Row],[Pedido]]&amp;Detalle_OC[[#This Row],[Posicion]]</f>
        <v>Agricola del Chira PlantaMontelima70084357550002468140</v>
      </c>
      <c r="B3182" t="s">
        <v>28</v>
      </c>
      <c r="C3182" t="s">
        <v>84</v>
      </c>
      <c r="D3182" s="11">
        <v>45344</v>
      </c>
      <c r="E3182" t="s">
        <v>16</v>
      </c>
      <c r="F3182" t="s">
        <v>12</v>
      </c>
      <c r="G3182">
        <v>70084357</v>
      </c>
      <c r="H3182">
        <v>5500024681</v>
      </c>
      <c r="I3182">
        <v>40</v>
      </c>
      <c r="J3182" s="29">
        <v>1</v>
      </c>
      <c r="K3182" s="29" t="s">
        <v>439</v>
      </c>
      <c r="L3182" t="str">
        <f>IFERROR(VLOOKUP(Detalle_OC[[#This Row],[Centro]]&amp;Detalle_OC[[#This Row],[Nro Almacen]],Almacen!A:D,4,FALSE),"")</f>
        <v>Montelima</v>
      </c>
    </row>
    <row r="3183" spans="1:12" x14ac:dyDescent="0.3">
      <c r="A3183" s="29" t="str">
        <f>Detalle_OC[[#This Row],[Centro]]&amp;Detalle_OC[[#This Row],[Nom Almacen]]&amp;Detalle_OC[[#This Row],[Material]]&amp;Detalle_OC[[#This Row],[Pedido]]&amp;Detalle_OC[[#This Row],[Posicion]]</f>
        <v>Agricola del Chira PlantaMontelima70084360550002468150</v>
      </c>
      <c r="B3183" t="s">
        <v>28</v>
      </c>
      <c r="C3183" t="s">
        <v>84</v>
      </c>
      <c r="D3183" s="11">
        <v>45344</v>
      </c>
      <c r="E3183" t="s">
        <v>16</v>
      </c>
      <c r="F3183" t="s">
        <v>12</v>
      </c>
      <c r="G3183">
        <v>70084360</v>
      </c>
      <c r="H3183">
        <v>5500024681</v>
      </c>
      <c r="I3183">
        <v>50</v>
      </c>
      <c r="J3183" s="29">
        <v>1</v>
      </c>
      <c r="K3183" s="29" t="s">
        <v>439</v>
      </c>
      <c r="L3183" t="str">
        <f>IFERROR(VLOOKUP(Detalle_OC[[#This Row],[Centro]]&amp;Detalle_OC[[#This Row],[Nro Almacen]],Almacen!A:D,4,FALSE),"")</f>
        <v>Montelima</v>
      </c>
    </row>
    <row r="3184" spans="1:12" x14ac:dyDescent="0.3">
      <c r="A3184" s="29" t="str">
        <f>Detalle_OC[[#This Row],[Centro]]&amp;Detalle_OC[[#This Row],[Nom Almacen]]&amp;Detalle_OC[[#This Row],[Material]]&amp;Detalle_OC[[#This Row],[Pedido]]&amp;Detalle_OC[[#This Row],[Posicion]]</f>
        <v>Sucroalcolera del Chira PlantaMontelima70084357550002468220</v>
      </c>
      <c r="B3184" t="s">
        <v>28</v>
      </c>
      <c r="C3184" t="s">
        <v>84</v>
      </c>
      <c r="D3184" s="11">
        <v>45344</v>
      </c>
      <c r="E3184" t="s">
        <v>16</v>
      </c>
      <c r="F3184" t="s">
        <v>85</v>
      </c>
      <c r="G3184">
        <v>70084357</v>
      </c>
      <c r="H3184">
        <v>5500024682</v>
      </c>
      <c r="I3184">
        <v>20</v>
      </c>
      <c r="J3184" s="29">
        <v>1</v>
      </c>
      <c r="K3184" s="29" t="s">
        <v>439</v>
      </c>
      <c r="L3184" t="str">
        <f>IFERROR(VLOOKUP(Detalle_OC[[#This Row],[Centro]]&amp;Detalle_OC[[#This Row],[Nro Almacen]],Almacen!A:D,4,FALSE),"")</f>
        <v>Montelima</v>
      </c>
    </row>
    <row r="3185" spans="1:12" x14ac:dyDescent="0.3">
      <c r="A3185" s="29" t="str">
        <f>Detalle_OC[[#This Row],[Centro]]&amp;Detalle_OC[[#This Row],[Nom Almacen]]&amp;Detalle_OC[[#This Row],[Material]]&amp;Detalle_OC[[#This Row],[Pedido]]&amp;Detalle_OC[[#This Row],[Posicion]]</f>
        <v>Sucroalcolera del Chira PlantaMontelima70084359550002468230</v>
      </c>
      <c r="B3185" t="s">
        <v>28</v>
      </c>
      <c r="C3185" t="s">
        <v>84</v>
      </c>
      <c r="D3185" s="11">
        <v>45344</v>
      </c>
      <c r="E3185" t="s">
        <v>16</v>
      </c>
      <c r="F3185" t="s">
        <v>85</v>
      </c>
      <c r="G3185">
        <v>70084359</v>
      </c>
      <c r="H3185">
        <v>5500024682</v>
      </c>
      <c r="I3185">
        <v>30</v>
      </c>
      <c r="J3185" s="29">
        <v>1</v>
      </c>
      <c r="K3185" s="29" t="s">
        <v>439</v>
      </c>
      <c r="L3185" t="str">
        <f>IFERROR(VLOOKUP(Detalle_OC[[#This Row],[Centro]]&amp;Detalle_OC[[#This Row],[Nro Almacen]],Almacen!A:D,4,FALSE),"")</f>
        <v>Montelima</v>
      </c>
    </row>
    <row r="3186" spans="1:12" x14ac:dyDescent="0.3">
      <c r="A3186" s="29" t="str">
        <f>Detalle_OC[[#This Row],[Centro]]&amp;Detalle_OC[[#This Row],[Nom Almacen]]&amp;Detalle_OC[[#This Row],[Material]]&amp;Detalle_OC[[#This Row],[Pedido]]&amp;Detalle_OC[[#This Row],[Posicion]]</f>
        <v>Sucroalcolera del Chira PlantaMontelima70084360550002468240</v>
      </c>
      <c r="B3186" t="s">
        <v>28</v>
      </c>
      <c r="C3186" t="s">
        <v>84</v>
      </c>
      <c r="D3186" s="11">
        <v>45344</v>
      </c>
      <c r="E3186" t="s">
        <v>16</v>
      </c>
      <c r="F3186" t="s">
        <v>85</v>
      </c>
      <c r="G3186">
        <v>70084360</v>
      </c>
      <c r="H3186">
        <v>5500024682</v>
      </c>
      <c r="I3186">
        <v>40</v>
      </c>
      <c r="J3186" s="29">
        <v>1</v>
      </c>
      <c r="K3186" s="29" t="s">
        <v>439</v>
      </c>
      <c r="L3186" t="str">
        <f>IFERROR(VLOOKUP(Detalle_OC[[#This Row],[Centro]]&amp;Detalle_OC[[#This Row],[Nro Almacen]],Almacen!A:D,4,FALSE),"")</f>
        <v>Montelima</v>
      </c>
    </row>
    <row r="3187" spans="1:12" x14ac:dyDescent="0.3">
      <c r="A3187" s="29" t="str">
        <f>Detalle_OC[[#This Row],[Centro]]&amp;Detalle_OC[[#This Row],[Nom Almacen]]&amp;Detalle_OC[[#This Row],[Material]]&amp;Detalle_OC[[#This Row],[Pedido]]&amp;Detalle_OC[[#This Row],[Posicion]]</f>
        <v>Bioenergía del Chira PlantaMontelima70084360550002468330</v>
      </c>
      <c r="B3187" t="s">
        <v>28</v>
      </c>
      <c r="C3187" t="s">
        <v>84</v>
      </c>
      <c r="D3187" s="11">
        <v>45344</v>
      </c>
      <c r="E3187" t="s">
        <v>16</v>
      </c>
      <c r="F3187" t="s">
        <v>86</v>
      </c>
      <c r="G3187">
        <v>70084360</v>
      </c>
      <c r="H3187">
        <v>5500024683</v>
      </c>
      <c r="I3187">
        <v>30</v>
      </c>
      <c r="J3187" s="29">
        <v>1</v>
      </c>
      <c r="K3187" s="29" t="s">
        <v>439</v>
      </c>
      <c r="L3187" t="str">
        <f>IFERROR(VLOOKUP(Detalle_OC[[#This Row],[Centro]]&amp;Detalle_OC[[#This Row],[Nro Almacen]],Almacen!A:D,4,FALSE),"")</f>
        <v>Montelima</v>
      </c>
    </row>
    <row r="3188" spans="1:12" x14ac:dyDescent="0.3">
      <c r="A3188" s="29" t="str">
        <f>Detalle_OC[[#This Row],[Centro]]&amp;Detalle_OC[[#This Row],[Nom Almacen]]&amp;Detalle_OC[[#This Row],[Material]]&amp;Detalle_OC[[#This Row],[Pedido]]&amp;Detalle_OC[[#This Row],[Posicion]]</f>
        <v>Bioenergía del Chira PlantaMontelima70084365550002468350</v>
      </c>
      <c r="B3188" t="s">
        <v>28</v>
      </c>
      <c r="C3188" t="s">
        <v>84</v>
      </c>
      <c r="D3188" s="11">
        <v>45344</v>
      </c>
      <c r="E3188" t="s">
        <v>16</v>
      </c>
      <c r="F3188" t="s">
        <v>86</v>
      </c>
      <c r="G3188">
        <v>70084365</v>
      </c>
      <c r="H3188">
        <v>5500024683</v>
      </c>
      <c r="I3188">
        <v>50</v>
      </c>
      <c r="J3188" s="29">
        <v>1</v>
      </c>
      <c r="K3188" s="29" t="s">
        <v>439</v>
      </c>
      <c r="L3188" t="str">
        <f>IFERROR(VLOOKUP(Detalle_OC[[#This Row],[Centro]]&amp;Detalle_OC[[#This Row],[Nro Almacen]],Almacen!A:D,4,FALSE),"")</f>
        <v>Montelima</v>
      </c>
    </row>
    <row r="3189" spans="1:12" x14ac:dyDescent="0.3">
      <c r="A3189" s="29" t="str">
        <f>Detalle_OC[[#This Row],[Centro]]&amp;Detalle_OC[[#This Row],[Nom Almacen]]&amp;Detalle_OC[[#This Row],[Material]]&amp;Detalle_OC[[#This Row],[Pedido]]&amp;Detalle_OC[[#This Row],[Posicion]]</f>
        <v>Bioenergía del Chira PlantaMontelima70084365550002468350</v>
      </c>
      <c r="B3189" t="s">
        <v>28</v>
      </c>
      <c r="C3189" t="s">
        <v>84</v>
      </c>
      <c r="D3189" s="11">
        <v>45344</v>
      </c>
      <c r="E3189" t="s">
        <v>16</v>
      </c>
      <c r="F3189" t="s">
        <v>86</v>
      </c>
      <c r="G3189">
        <v>70084365</v>
      </c>
      <c r="H3189">
        <v>5500024683</v>
      </c>
      <c r="I3189">
        <v>50</v>
      </c>
      <c r="J3189" s="29">
        <v>1</v>
      </c>
      <c r="K3189" s="29" t="s">
        <v>439</v>
      </c>
      <c r="L3189" t="str">
        <f>IFERROR(VLOOKUP(Detalle_OC[[#This Row],[Centro]]&amp;Detalle_OC[[#This Row],[Nro Almacen]],Almacen!A:D,4,FALSE),"")</f>
        <v>Montelima</v>
      </c>
    </row>
    <row r="3190" spans="1:12" x14ac:dyDescent="0.3">
      <c r="A3190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3190" t="s">
        <v>28</v>
      </c>
      <c r="C3190" t="s">
        <v>94</v>
      </c>
      <c r="D3190" s="11">
        <v>45335</v>
      </c>
      <c r="E3190" t="s">
        <v>16</v>
      </c>
      <c r="F3190" t="s">
        <v>85</v>
      </c>
      <c r="G3190" t="s">
        <v>95</v>
      </c>
      <c r="H3190">
        <v>5500024746</v>
      </c>
      <c r="I3190">
        <v>10</v>
      </c>
      <c r="J3190" s="29">
        <v>1</v>
      </c>
      <c r="K3190" s="29" t="s">
        <v>440</v>
      </c>
      <c r="L3190" t="str">
        <f>IFERROR(VLOOKUP(Detalle_OC[[#This Row],[Centro]]&amp;Detalle_OC[[#This Row],[Nro Almacen]],Almacen!A:D,4,FALSE),"")</f>
        <v>Montelima</v>
      </c>
    </row>
    <row r="3191" spans="1:12" x14ac:dyDescent="0.3">
      <c r="A3191" s="29" t="str">
        <f>Detalle_OC[[#This Row],[Centro]]&amp;Detalle_OC[[#This Row],[Nom Almacen]]&amp;Detalle_OC[[#This Row],[Material]]&amp;Detalle_OC[[#This Row],[Pedido]]&amp;Detalle_OC[[#This Row],[Posicion]]</f>
        <v>Sucroalcolera del Chira PlantaMontelimaMWCLOROGAS        550002474610</v>
      </c>
      <c r="B3191" t="s">
        <v>28</v>
      </c>
      <c r="C3191" t="s">
        <v>94</v>
      </c>
      <c r="D3191" s="11">
        <v>45331</v>
      </c>
      <c r="E3191" t="s">
        <v>16</v>
      </c>
      <c r="F3191" t="s">
        <v>85</v>
      </c>
      <c r="G3191" t="s">
        <v>95</v>
      </c>
      <c r="H3191">
        <v>5500024746</v>
      </c>
      <c r="I3191">
        <v>10</v>
      </c>
      <c r="J3191" s="29">
        <v>1</v>
      </c>
      <c r="K3191" s="29" t="s">
        <v>440</v>
      </c>
      <c r="L3191" t="str">
        <f>IFERROR(VLOOKUP(Detalle_OC[[#This Row],[Centro]]&amp;Detalle_OC[[#This Row],[Nro Almacen]],Almacen!A:D,4,FALSE),"")</f>
        <v>Montelima</v>
      </c>
    </row>
    <row r="3192" spans="1:12" x14ac:dyDescent="0.3">
      <c r="A3192" s="29" t="str">
        <f>Detalle_OC[[#This Row],[Centro]]&amp;Detalle_OC[[#This Row],[Nom Almacen]]&amp;Detalle_OC[[#This Row],[Material]]&amp;Detalle_OC[[#This Row],[Pedido]]&amp;Detalle_OC[[#This Row],[Posicion]]</f>
        <v>Agricola del Chira PlantaMontelima70084367550002468170</v>
      </c>
      <c r="B3192" t="s">
        <v>28</v>
      </c>
      <c r="C3192" t="s">
        <v>84</v>
      </c>
      <c r="D3192" s="11">
        <v>45337</v>
      </c>
      <c r="E3192" t="s">
        <v>16</v>
      </c>
      <c r="F3192" t="s">
        <v>12</v>
      </c>
      <c r="G3192">
        <v>70084367</v>
      </c>
      <c r="H3192">
        <v>5500024681</v>
      </c>
      <c r="I3192">
        <v>70</v>
      </c>
      <c r="J3192" s="29">
        <v>1</v>
      </c>
      <c r="K3192" s="29" t="s">
        <v>441</v>
      </c>
      <c r="L3192" t="str">
        <f>IFERROR(VLOOKUP(Detalle_OC[[#This Row],[Centro]]&amp;Detalle_OC[[#This Row],[Nro Almacen]],Almacen!A:D,4,FALSE),"")</f>
        <v>Montelima</v>
      </c>
    </row>
    <row r="3193" spans="1:12" x14ac:dyDescent="0.3">
      <c r="A3193" s="29" t="str">
        <f>Detalle_OC[[#This Row],[Centro]]&amp;Detalle_OC[[#This Row],[Nom Almacen]]&amp;Detalle_OC[[#This Row],[Material]]&amp;Detalle_OC[[#This Row],[Pedido]]&amp;Detalle_OC[[#This Row],[Posicion]]</f>
        <v>Sucroalcolera del Chira PlantaMontelima709179550002233630</v>
      </c>
      <c r="B3193" t="s">
        <v>28</v>
      </c>
      <c r="C3193" t="s">
        <v>84</v>
      </c>
      <c r="D3193" s="11">
        <v>45336</v>
      </c>
      <c r="E3193" t="s">
        <v>16</v>
      </c>
      <c r="F3193" t="s">
        <v>85</v>
      </c>
      <c r="G3193">
        <v>709179</v>
      </c>
      <c r="H3193">
        <v>5500022336</v>
      </c>
      <c r="I3193">
        <v>30</v>
      </c>
      <c r="J3193" s="29">
        <v>1</v>
      </c>
      <c r="K3193" s="29" t="s">
        <v>442</v>
      </c>
      <c r="L3193" t="str">
        <f>IFERROR(VLOOKUP(Detalle_OC[[#This Row],[Centro]]&amp;Detalle_OC[[#This Row],[Nro Almacen]],Almacen!A:D,4,FALSE),"")</f>
        <v>Montelima</v>
      </c>
    </row>
    <row r="3194" spans="1:12" x14ac:dyDescent="0.3">
      <c r="A3194" s="29" t="str">
        <f>Detalle_OC[[#This Row],[Centro]]&amp;Detalle_OC[[#This Row],[Nom Almacen]]&amp;Detalle_OC[[#This Row],[Material]]&amp;Detalle_OC[[#This Row],[Pedido]]&amp;Detalle_OC[[#This Row],[Posicion]]</f>
        <v>Agricola del Chira PlantaMontelima70084371550002468180</v>
      </c>
      <c r="B3194" t="s">
        <v>28</v>
      </c>
      <c r="C3194" t="s">
        <v>84</v>
      </c>
      <c r="D3194" s="11">
        <v>45336</v>
      </c>
      <c r="E3194" t="s">
        <v>16</v>
      </c>
      <c r="F3194" t="s">
        <v>12</v>
      </c>
      <c r="G3194">
        <v>70084371</v>
      </c>
      <c r="H3194">
        <v>5500024681</v>
      </c>
      <c r="I3194">
        <v>80</v>
      </c>
      <c r="J3194" s="29">
        <v>1</v>
      </c>
      <c r="K3194" s="29" t="s">
        <v>442</v>
      </c>
      <c r="L3194" t="str">
        <f>IFERROR(VLOOKUP(Detalle_OC[[#This Row],[Centro]]&amp;Detalle_OC[[#This Row],[Nro Almacen]],Almacen!A:D,4,FALSE),"")</f>
        <v>Montelima</v>
      </c>
    </row>
    <row r="3195" spans="1:12" x14ac:dyDescent="0.3">
      <c r="A3195" s="29" t="str">
        <f>Detalle_OC[[#This Row],[Centro]]&amp;Detalle_OC[[#This Row],[Nom Almacen]]&amp;Detalle_OC[[#This Row],[Material]]&amp;Detalle_OC[[#This Row],[Pedido]]&amp;Detalle_OC[[#This Row],[Posicion]]</f>
        <v>Sucroalcolera del Chira PlantaMontelima813224550002233650</v>
      </c>
      <c r="B3195" t="s">
        <v>28</v>
      </c>
      <c r="C3195" t="s">
        <v>84</v>
      </c>
      <c r="D3195" s="11">
        <v>45341</v>
      </c>
      <c r="E3195" t="s">
        <v>16</v>
      </c>
      <c r="F3195" t="s">
        <v>85</v>
      </c>
      <c r="G3195">
        <v>813224</v>
      </c>
      <c r="H3195">
        <v>5500022336</v>
      </c>
      <c r="I3195">
        <v>50</v>
      </c>
      <c r="J3195" s="29">
        <v>1</v>
      </c>
      <c r="K3195" s="29" t="s">
        <v>443</v>
      </c>
      <c r="L3195" t="str">
        <f>IFERROR(VLOOKUP(Detalle_OC[[#This Row],[Centro]]&amp;Detalle_OC[[#This Row],[Nro Almacen]],Almacen!A:D,4,FALSE),"")</f>
        <v>Montelima</v>
      </c>
    </row>
    <row r="3196" spans="1:12" x14ac:dyDescent="0.3">
      <c r="A3196" s="29" t="str">
        <f>Detalle_OC[[#This Row],[Centro]]&amp;Detalle_OC[[#This Row],[Nom Almacen]]&amp;Detalle_OC[[#This Row],[Material]]&amp;Detalle_OC[[#This Row],[Pedido]]&amp;Detalle_OC[[#This Row],[Posicion]]</f>
        <v>Agricola del Chira PlantaMontelima761905550001918810</v>
      </c>
      <c r="B3196" t="s">
        <v>28</v>
      </c>
      <c r="C3196" t="s">
        <v>82</v>
      </c>
      <c r="D3196" s="11">
        <v>45331</v>
      </c>
      <c r="E3196" t="s">
        <v>16</v>
      </c>
      <c r="F3196" t="s">
        <v>12</v>
      </c>
      <c r="G3196">
        <v>761905</v>
      </c>
      <c r="H3196">
        <v>5500019188</v>
      </c>
      <c r="I3196">
        <v>10</v>
      </c>
      <c r="J3196" s="29">
        <v>1</v>
      </c>
      <c r="K3196" s="29" t="s">
        <v>444</v>
      </c>
      <c r="L3196" t="str">
        <f>IFERROR(VLOOKUP(Detalle_OC[[#This Row],[Centro]]&amp;Detalle_OC[[#This Row],[Nro Almacen]],Almacen!A:D,4,FALSE),"")</f>
        <v>Montelima</v>
      </c>
    </row>
    <row r="3197" spans="1:12" x14ac:dyDescent="0.3">
      <c r="A3197" s="29" t="str">
        <f>Detalle_OC[[#This Row],[Centro]]&amp;Detalle_OC[[#This Row],[Nom Almacen]]&amp;Detalle_OC[[#This Row],[Material]]&amp;Detalle_OC[[#This Row],[Pedido]]&amp;Detalle_OC[[#This Row],[Posicion]]</f>
        <v>Agricola del Chira PlantaMontelima762202550001918850</v>
      </c>
      <c r="B3197" t="s">
        <v>28</v>
      </c>
      <c r="C3197" t="s">
        <v>82</v>
      </c>
      <c r="D3197" s="11">
        <v>45331</v>
      </c>
      <c r="E3197" t="s">
        <v>16</v>
      </c>
      <c r="F3197" t="s">
        <v>12</v>
      </c>
      <c r="G3197">
        <v>762202</v>
      </c>
      <c r="H3197">
        <v>5500019188</v>
      </c>
      <c r="I3197">
        <v>50</v>
      </c>
      <c r="J3197" s="29">
        <v>1</v>
      </c>
      <c r="K3197" s="29" t="s">
        <v>444</v>
      </c>
      <c r="L3197" t="str">
        <f>IFERROR(VLOOKUP(Detalle_OC[[#This Row],[Centro]]&amp;Detalle_OC[[#This Row],[Nro Almacen]],Almacen!A:D,4,FALSE),"")</f>
        <v>Montelima</v>
      </c>
    </row>
    <row r="3198" spans="1:12" x14ac:dyDescent="0.3">
      <c r="A3198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3198" t="s">
        <v>28</v>
      </c>
      <c r="C3198" t="s">
        <v>82</v>
      </c>
      <c r="D3198" s="11">
        <v>45331</v>
      </c>
      <c r="E3198" t="s">
        <v>16</v>
      </c>
      <c r="F3198" t="s">
        <v>12</v>
      </c>
      <c r="G3198">
        <v>844522</v>
      </c>
      <c r="H3198">
        <v>5500019188</v>
      </c>
      <c r="I3198">
        <v>150</v>
      </c>
      <c r="J3198" s="29">
        <v>1</v>
      </c>
      <c r="K3198" s="29" t="s">
        <v>444</v>
      </c>
      <c r="L3198" t="str">
        <f>IFERROR(VLOOKUP(Detalle_OC[[#This Row],[Centro]]&amp;Detalle_OC[[#This Row],[Nro Almacen]],Almacen!A:D,4,FALSE),"")</f>
        <v>Montelima</v>
      </c>
    </row>
    <row r="3199" spans="1:12" x14ac:dyDescent="0.3">
      <c r="A3199" s="29" t="str">
        <f>Detalle_OC[[#This Row],[Centro]]&amp;Detalle_OC[[#This Row],[Nom Almacen]]&amp;Detalle_OC[[#This Row],[Material]]&amp;Detalle_OC[[#This Row],[Pedido]]&amp;Detalle_OC[[#This Row],[Posicion]]</f>
        <v>Agricola del Chira PlantaMontelima8445115500019188180</v>
      </c>
      <c r="B3199" t="s">
        <v>28</v>
      </c>
      <c r="C3199" t="s">
        <v>82</v>
      </c>
      <c r="D3199" s="11">
        <v>45331</v>
      </c>
      <c r="E3199" t="s">
        <v>16</v>
      </c>
      <c r="F3199" t="s">
        <v>12</v>
      </c>
      <c r="G3199">
        <v>844511</v>
      </c>
      <c r="H3199">
        <v>5500019188</v>
      </c>
      <c r="I3199">
        <v>180</v>
      </c>
      <c r="J3199" s="29">
        <v>1</v>
      </c>
      <c r="K3199" s="29" t="s">
        <v>444</v>
      </c>
      <c r="L3199" t="str">
        <f>IFERROR(VLOOKUP(Detalle_OC[[#This Row],[Centro]]&amp;Detalle_OC[[#This Row],[Nro Almacen]],Almacen!A:D,4,FALSE),"")</f>
        <v>Montelima</v>
      </c>
    </row>
    <row r="3200" spans="1:12" x14ac:dyDescent="0.3">
      <c r="A3200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3200" t="s">
        <v>28</v>
      </c>
      <c r="C3200" t="s">
        <v>82</v>
      </c>
      <c r="D3200" s="11">
        <v>45331</v>
      </c>
      <c r="E3200" t="s">
        <v>16</v>
      </c>
      <c r="F3200" t="s">
        <v>12</v>
      </c>
      <c r="G3200">
        <v>844508</v>
      </c>
      <c r="H3200">
        <v>5500019188</v>
      </c>
      <c r="I3200">
        <v>220</v>
      </c>
      <c r="J3200" s="29">
        <v>1</v>
      </c>
      <c r="K3200" s="29" t="s">
        <v>444</v>
      </c>
      <c r="L3200" t="str">
        <f>IFERROR(VLOOKUP(Detalle_OC[[#This Row],[Centro]]&amp;Detalle_OC[[#This Row],[Nro Almacen]],Almacen!A:D,4,FALSE),"")</f>
        <v>Montelima</v>
      </c>
    </row>
    <row r="3201" spans="1:12" x14ac:dyDescent="0.3">
      <c r="A3201" s="29" t="str">
        <f>Detalle_OC[[#This Row],[Centro]]&amp;Detalle_OC[[#This Row],[Nom Almacen]]&amp;Detalle_OC[[#This Row],[Material]]&amp;Detalle_OC[[#This Row],[Pedido]]&amp;Detalle_OC[[#This Row],[Posicion]]</f>
        <v>Agricola del Chira PlantaMontelima8443985500019188290</v>
      </c>
      <c r="B3201" t="s">
        <v>28</v>
      </c>
      <c r="C3201" t="s">
        <v>82</v>
      </c>
      <c r="D3201" s="11">
        <v>45331</v>
      </c>
      <c r="E3201" t="s">
        <v>16</v>
      </c>
      <c r="F3201" t="s">
        <v>12</v>
      </c>
      <c r="G3201">
        <v>844398</v>
      </c>
      <c r="H3201">
        <v>5500019188</v>
      </c>
      <c r="I3201">
        <v>290</v>
      </c>
      <c r="J3201" s="29">
        <v>1</v>
      </c>
      <c r="K3201" s="29" t="s">
        <v>444</v>
      </c>
      <c r="L3201" t="str">
        <f>IFERROR(VLOOKUP(Detalle_OC[[#This Row],[Centro]]&amp;Detalle_OC[[#This Row],[Nro Almacen]],Almacen!A:D,4,FALSE),"")</f>
        <v>Montelima</v>
      </c>
    </row>
    <row r="3202" spans="1:12" x14ac:dyDescent="0.3">
      <c r="A3202" s="29" t="str">
        <f>Detalle_OC[[#This Row],[Centro]]&amp;Detalle_OC[[#This Row],[Nom Almacen]]&amp;Detalle_OC[[#This Row],[Material]]&amp;Detalle_OC[[#This Row],[Pedido]]&amp;Detalle_OC[[#This Row],[Posicion]]</f>
        <v>Agricola del Chira PlantaMontelima8445175500019188340</v>
      </c>
      <c r="B3202" t="s">
        <v>28</v>
      </c>
      <c r="C3202" t="s">
        <v>82</v>
      </c>
      <c r="D3202" s="11">
        <v>45331</v>
      </c>
      <c r="E3202" t="s">
        <v>16</v>
      </c>
      <c r="F3202" t="s">
        <v>12</v>
      </c>
      <c r="G3202">
        <v>844517</v>
      </c>
      <c r="H3202">
        <v>5500019188</v>
      </c>
      <c r="I3202">
        <v>340</v>
      </c>
      <c r="J3202" s="29">
        <v>1</v>
      </c>
      <c r="K3202" s="29" t="s">
        <v>444</v>
      </c>
      <c r="L3202" t="str">
        <f>IFERROR(VLOOKUP(Detalle_OC[[#This Row],[Centro]]&amp;Detalle_OC[[#This Row],[Nro Almacen]],Almacen!A:D,4,FALSE),"")</f>
        <v>Montelima</v>
      </c>
    </row>
    <row r="3203" spans="1:12" x14ac:dyDescent="0.3">
      <c r="A3203" s="29" t="str">
        <f>Detalle_OC[[#This Row],[Centro]]&amp;Detalle_OC[[#This Row],[Nom Almacen]]&amp;Detalle_OC[[#This Row],[Material]]&amp;Detalle_OC[[#This Row],[Pedido]]&amp;Detalle_OC[[#This Row],[Posicion]]</f>
        <v>Agricola del Chira PlantaMontelima8445145500019188540</v>
      </c>
      <c r="B3203" t="s">
        <v>28</v>
      </c>
      <c r="C3203" t="s">
        <v>82</v>
      </c>
      <c r="D3203" s="11">
        <v>45331</v>
      </c>
      <c r="E3203" t="s">
        <v>16</v>
      </c>
      <c r="F3203" t="s">
        <v>12</v>
      </c>
      <c r="G3203">
        <v>844514</v>
      </c>
      <c r="H3203">
        <v>5500019188</v>
      </c>
      <c r="I3203">
        <v>540</v>
      </c>
      <c r="J3203" s="29">
        <v>1</v>
      </c>
      <c r="K3203" s="29" t="s">
        <v>444</v>
      </c>
      <c r="L3203" t="str">
        <f>IFERROR(VLOOKUP(Detalle_OC[[#This Row],[Centro]]&amp;Detalle_OC[[#This Row],[Nro Almacen]],Almacen!A:D,4,FALSE),"")</f>
        <v>Montelima</v>
      </c>
    </row>
    <row r="3204" spans="1:12" x14ac:dyDescent="0.3">
      <c r="A3204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3204" t="s">
        <v>28</v>
      </c>
      <c r="C3204" t="s">
        <v>84</v>
      </c>
      <c r="D3204" s="11">
        <v>45331</v>
      </c>
      <c r="E3204" t="s">
        <v>16</v>
      </c>
      <c r="F3204" t="s">
        <v>85</v>
      </c>
      <c r="G3204">
        <v>806591</v>
      </c>
      <c r="H3204">
        <v>5500022336</v>
      </c>
      <c r="I3204">
        <v>20</v>
      </c>
      <c r="J3204" s="29">
        <v>1</v>
      </c>
      <c r="K3204" s="29" t="s">
        <v>444</v>
      </c>
      <c r="L3204" t="str">
        <f>IFERROR(VLOOKUP(Detalle_OC[[#This Row],[Centro]]&amp;Detalle_OC[[#This Row],[Nro Almacen]],Almacen!A:D,4,FALSE),"")</f>
        <v>Montelima</v>
      </c>
    </row>
    <row r="3205" spans="1:12" x14ac:dyDescent="0.3">
      <c r="A3205" s="29" t="str">
        <f>Detalle_OC[[#This Row],[Centro]]&amp;Detalle_OC[[#This Row],[Nom Almacen]]&amp;Detalle_OC[[#This Row],[Material]]&amp;Detalle_OC[[#This Row],[Pedido]]&amp;Detalle_OC[[#This Row],[Posicion]]</f>
        <v>Sucroalcolera del Chira PlantaMontelima708707550002233640</v>
      </c>
      <c r="B3205" t="s">
        <v>28</v>
      </c>
      <c r="C3205" t="s">
        <v>84</v>
      </c>
      <c r="D3205" s="11">
        <v>45331</v>
      </c>
      <c r="E3205" t="s">
        <v>16</v>
      </c>
      <c r="F3205" t="s">
        <v>85</v>
      </c>
      <c r="G3205">
        <v>708707</v>
      </c>
      <c r="H3205">
        <v>5500022336</v>
      </c>
      <c r="I3205">
        <v>40</v>
      </c>
      <c r="J3205" s="29">
        <v>1</v>
      </c>
      <c r="K3205" s="29" t="s">
        <v>444</v>
      </c>
      <c r="L3205" t="str">
        <f>IFERROR(VLOOKUP(Detalle_OC[[#This Row],[Centro]]&amp;Detalle_OC[[#This Row],[Nro Almacen]],Almacen!A:D,4,FALSE),"")</f>
        <v>Montelima</v>
      </c>
    </row>
    <row r="3206" spans="1:12" x14ac:dyDescent="0.3">
      <c r="A3206" s="29" t="str">
        <f>Detalle_OC[[#This Row],[Centro]]&amp;Detalle_OC[[#This Row],[Nom Almacen]]&amp;Detalle_OC[[#This Row],[Material]]&amp;Detalle_OC[[#This Row],[Pedido]]&amp;Detalle_OC[[#This Row],[Posicion]]</f>
        <v>Agricola del Chira PlantaMontelima709179550002233820</v>
      </c>
      <c r="B3206" t="s">
        <v>28</v>
      </c>
      <c r="C3206" t="s">
        <v>84</v>
      </c>
      <c r="D3206" s="11">
        <v>45331</v>
      </c>
      <c r="E3206" t="s">
        <v>16</v>
      </c>
      <c r="F3206" t="s">
        <v>12</v>
      </c>
      <c r="G3206">
        <v>709179</v>
      </c>
      <c r="H3206">
        <v>5500022338</v>
      </c>
      <c r="I3206">
        <v>20</v>
      </c>
      <c r="J3206" s="29">
        <v>1</v>
      </c>
      <c r="K3206" s="29" t="s">
        <v>444</v>
      </c>
      <c r="L3206" t="str">
        <f>IFERROR(VLOOKUP(Detalle_OC[[#This Row],[Centro]]&amp;Detalle_OC[[#This Row],[Nro Almacen]],Almacen!A:D,4,FALSE),"")</f>
        <v>Montelima</v>
      </c>
    </row>
    <row r="3207" spans="1:12" x14ac:dyDescent="0.3">
      <c r="A3207" s="29" t="str">
        <f>Detalle_OC[[#This Row],[Centro]]&amp;Detalle_OC[[#This Row],[Nom Almacen]]&amp;Detalle_OC[[#This Row],[Material]]&amp;Detalle_OC[[#This Row],[Pedido]]&amp;Detalle_OC[[#This Row],[Posicion]]</f>
        <v>Agricola del Chira PlantaMontelima70084357550002468140</v>
      </c>
      <c r="B3207" t="s">
        <v>28</v>
      </c>
      <c r="C3207" t="s">
        <v>84</v>
      </c>
      <c r="D3207" s="11">
        <v>45331</v>
      </c>
      <c r="E3207" t="s">
        <v>16</v>
      </c>
      <c r="F3207" t="s">
        <v>12</v>
      </c>
      <c r="G3207">
        <v>70084357</v>
      </c>
      <c r="H3207">
        <v>5500024681</v>
      </c>
      <c r="I3207">
        <v>40</v>
      </c>
      <c r="J3207" s="29">
        <v>1</v>
      </c>
      <c r="K3207" s="29" t="s">
        <v>444</v>
      </c>
      <c r="L3207" t="str">
        <f>IFERROR(VLOOKUP(Detalle_OC[[#This Row],[Centro]]&amp;Detalle_OC[[#This Row],[Nro Almacen]],Almacen!A:D,4,FALSE),"")</f>
        <v>Montelima</v>
      </c>
    </row>
    <row r="3208" spans="1:12" x14ac:dyDescent="0.3">
      <c r="A3208" s="29" t="str">
        <f>Detalle_OC[[#This Row],[Centro]]&amp;Detalle_OC[[#This Row],[Nom Almacen]]&amp;Detalle_OC[[#This Row],[Material]]&amp;Detalle_OC[[#This Row],[Pedido]]&amp;Detalle_OC[[#This Row],[Posicion]]</f>
        <v>Agricola del Chira PlantaMontelima70084371550002468180</v>
      </c>
      <c r="B3208" t="s">
        <v>28</v>
      </c>
      <c r="C3208" t="s">
        <v>84</v>
      </c>
      <c r="D3208" s="11">
        <v>45331</v>
      </c>
      <c r="E3208" t="s">
        <v>16</v>
      </c>
      <c r="F3208" t="s">
        <v>12</v>
      </c>
      <c r="G3208">
        <v>70084371</v>
      </c>
      <c r="H3208">
        <v>5500024681</v>
      </c>
      <c r="I3208">
        <v>80</v>
      </c>
      <c r="J3208" s="29">
        <v>1</v>
      </c>
      <c r="K3208" s="29" t="s">
        <v>444</v>
      </c>
      <c r="L3208" t="str">
        <f>IFERROR(VLOOKUP(Detalle_OC[[#This Row],[Centro]]&amp;Detalle_OC[[#This Row],[Nro Almacen]],Almacen!A:D,4,FALSE),"")</f>
        <v>Montelima</v>
      </c>
    </row>
    <row r="3209" spans="1:12" x14ac:dyDescent="0.3">
      <c r="A3209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3209" t="s">
        <v>28</v>
      </c>
      <c r="C3209" t="s">
        <v>82</v>
      </c>
      <c r="D3209" s="11">
        <v>45322</v>
      </c>
      <c r="E3209" t="s">
        <v>16</v>
      </c>
      <c r="F3209" t="s">
        <v>12</v>
      </c>
      <c r="G3209">
        <v>844508</v>
      </c>
      <c r="H3209">
        <v>5500019188</v>
      </c>
      <c r="I3209">
        <v>220</v>
      </c>
      <c r="J3209" s="29">
        <v>1</v>
      </c>
      <c r="K3209" s="29" t="s">
        <v>445</v>
      </c>
      <c r="L3209" t="str">
        <f>IFERROR(VLOOKUP(Detalle_OC[[#This Row],[Centro]]&amp;Detalle_OC[[#This Row],[Nro Almacen]],Almacen!A:D,4,FALSE),"")</f>
        <v>Montelima</v>
      </c>
    </row>
    <row r="3210" spans="1:12" x14ac:dyDescent="0.3">
      <c r="A3210" s="29" t="str">
        <f>Detalle_OC[[#This Row],[Centro]]&amp;Detalle_OC[[#This Row],[Nom Almacen]]&amp;Detalle_OC[[#This Row],[Material]]&amp;Detalle_OC[[#This Row],[Pedido]]&amp;Detalle_OC[[#This Row],[Posicion]]</f>
        <v>Agricola del Chira PlantaMontelima8443975500019188280</v>
      </c>
      <c r="B3210" t="s">
        <v>28</v>
      </c>
      <c r="C3210" t="s">
        <v>82</v>
      </c>
      <c r="D3210" s="11">
        <v>45322</v>
      </c>
      <c r="E3210" t="s">
        <v>16</v>
      </c>
      <c r="F3210" t="s">
        <v>12</v>
      </c>
      <c r="G3210">
        <v>844397</v>
      </c>
      <c r="H3210">
        <v>5500019188</v>
      </c>
      <c r="I3210">
        <v>280</v>
      </c>
      <c r="J3210" s="29">
        <v>1</v>
      </c>
      <c r="K3210" s="29" t="s">
        <v>445</v>
      </c>
      <c r="L3210" t="str">
        <f>IFERROR(VLOOKUP(Detalle_OC[[#This Row],[Centro]]&amp;Detalle_OC[[#This Row],[Nro Almacen]],Almacen!A:D,4,FALSE),"")</f>
        <v>Montelima</v>
      </c>
    </row>
    <row r="3211" spans="1:12" x14ac:dyDescent="0.3">
      <c r="A3211" s="29" t="str">
        <f>Detalle_OC[[#This Row],[Centro]]&amp;Detalle_OC[[#This Row],[Nom Almacen]]&amp;Detalle_OC[[#This Row],[Material]]&amp;Detalle_OC[[#This Row],[Pedido]]&amp;Detalle_OC[[#This Row],[Posicion]]</f>
        <v>Agricola del Chira PlantaMontelima8443985500019188290</v>
      </c>
      <c r="B3211" t="s">
        <v>28</v>
      </c>
      <c r="C3211" t="s">
        <v>82</v>
      </c>
      <c r="D3211" s="11">
        <v>45322</v>
      </c>
      <c r="E3211" t="s">
        <v>16</v>
      </c>
      <c r="F3211" t="s">
        <v>12</v>
      </c>
      <c r="G3211">
        <v>844398</v>
      </c>
      <c r="H3211">
        <v>5500019188</v>
      </c>
      <c r="I3211">
        <v>290</v>
      </c>
      <c r="J3211" s="29">
        <v>1</v>
      </c>
      <c r="K3211" s="29" t="s">
        <v>445</v>
      </c>
      <c r="L3211" t="str">
        <f>IFERROR(VLOOKUP(Detalle_OC[[#This Row],[Centro]]&amp;Detalle_OC[[#This Row],[Nro Almacen]],Almacen!A:D,4,FALSE),"")</f>
        <v>Montelima</v>
      </c>
    </row>
    <row r="3212" spans="1:12" x14ac:dyDescent="0.3">
      <c r="A3212" s="29" t="str">
        <f>Detalle_OC[[#This Row],[Centro]]&amp;Detalle_OC[[#This Row],[Nom Almacen]]&amp;Detalle_OC[[#This Row],[Material]]&amp;Detalle_OC[[#This Row],[Pedido]]&amp;Detalle_OC[[#This Row],[Posicion]]</f>
        <v>Agricola del Chira PlantaMontelima8445015500019188760</v>
      </c>
      <c r="B3212" t="s">
        <v>28</v>
      </c>
      <c r="C3212" t="s">
        <v>82</v>
      </c>
      <c r="D3212" s="11">
        <v>45322</v>
      </c>
      <c r="E3212" t="s">
        <v>16</v>
      </c>
      <c r="F3212" t="s">
        <v>12</v>
      </c>
      <c r="G3212">
        <v>844501</v>
      </c>
      <c r="H3212">
        <v>5500019188</v>
      </c>
      <c r="I3212">
        <v>760</v>
      </c>
      <c r="J3212" s="29">
        <v>1</v>
      </c>
      <c r="K3212" s="29" t="s">
        <v>445</v>
      </c>
      <c r="L3212" t="str">
        <f>IFERROR(VLOOKUP(Detalle_OC[[#This Row],[Centro]]&amp;Detalle_OC[[#This Row],[Nro Almacen]],Almacen!A:D,4,FALSE),"")</f>
        <v>Montelima</v>
      </c>
    </row>
    <row r="3213" spans="1:12" x14ac:dyDescent="0.3">
      <c r="A3213" s="29" t="str">
        <f>Detalle_OC[[#This Row],[Centro]]&amp;Detalle_OC[[#This Row],[Nom Almacen]]&amp;Detalle_OC[[#This Row],[Material]]&amp;Detalle_OC[[#This Row],[Pedido]]&amp;Detalle_OC[[#This Row],[Posicion]]</f>
        <v>Agricola del Chira PlantaMontelima82718155000191881520</v>
      </c>
      <c r="B3213" t="s">
        <v>28</v>
      </c>
      <c r="C3213" t="s">
        <v>82</v>
      </c>
      <c r="D3213" s="11">
        <v>45322</v>
      </c>
      <c r="E3213" t="s">
        <v>16</v>
      </c>
      <c r="F3213" t="s">
        <v>12</v>
      </c>
      <c r="G3213">
        <v>827181</v>
      </c>
      <c r="H3213">
        <v>5500019188</v>
      </c>
      <c r="I3213">
        <v>1520</v>
      </c>
      <c r="J3213" s="29">
        <v>1</v>
      </c>
      <c r="K3213" s="29" t="s">
        <v>445</v>
      </c>
      <c r="L3213" t="str">
        <f>IFERROR(VLOOKUP(Detalle_OC[[#This Row],[Centro]]&amp;Detalle_OC[[#This Row],[Nro Almacen]],Almacen!A:D,4,FALSE),"")</f>
        <v>Montelima</v>
      </c>
    </row>
    <row r="3214" spans="1:12" x14ac:dyDescent="0.3">
      <c r="A3214" s="29" t="str">
        <f>Detalle_OC[[#This Row],[Centro]]&amp;Detalle_OC[[#This Row],[Nom Almacen]]&amp;Detalle_OC[[#This Row],[Material]]&amp;Detalle_OC[[#This Row],[Pedido]]&amp;Detalle_OC[[#This Row],[Posicion]]</f>
        <v>Agricola del Chira PlantaMontelima709179550002233820</v>
      </c>
      <c r="B3214" t="s">
        <v>28</v>
      </c>
      <c r="C3214" t="s">
        <v>84</v>
      </c>
      <c r="D3214" s="11">
        <v>45320</v>
      </c>
      <c r="E3214" t="s">
        <v>16</v>
      </c>
      <c r="F3214" t="s">
        <v>12</v>
      </c>
      <c r="G3214">
        <v>709179</v>
      </c>
      <c r="H3214">
        <v>5500022338</v>
      </c>
      <c r="I3214">
        <v>20</v>
      </c>
      <c r="J3214" s="29">
        <v>1</v>
      </c>
      <c r="K3214" s="29" t="s">
        <v>446</v>
      </c>
      <c r="L3214" t="str">
        <f>IFERROR(VLOOKUP(Detalle_OC[[#This Row],[Centro]]&amp;Detalle_OC[[#This Row],[Nro Almacen]],Almacen!A:D,4,FALSE),"")</f>
        <v>Montelima</v>
      </c>
    </row>
    <row r="3215" spans="1:12" x14ac:dyDescent="0.3">
      <c r="A3215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3215" t="s">
        <v>28</v>
      </c>
      <c r="C3215" t="s">
        <v>84</v>
      </c>
      <c r="D3215" s="11">
        <v>45319</v>
      </c>
      <c r="E3215" t="s">
        <v>16</v>
      </c>
      <c r="F3215" t="s">
        <v>85</v>
      </c>
      <c r="G3215">
        <v>801846</v>
      </c>
      <c r="H3215">
        <v>5500022336</v>
      </c>
      <c r="I3215">
        <v>10</v>
      </c>
      <c r="J3215" s="29">
        <v>1</v>
      </c>
      <c r="K3215" s="29" t="s">
        <v>447</v>
      </c>
      <c r="L3215" t="str">
        <f>IFERROR(VLOOKUP(Detalle_OC[[#This Row],[Centro]]&amp;Detalle_OC[[#This Row],[Nro Almacen]],Almacen!A:D,4,FALSE),"")</f>
        <v>Montelima</v>
      </c>
    </row>
    <row r="3216" spans="1:12" x14ac:dyDescent="0.3">
      <c r="A3216" s="29" t="str">
        <f>Detalle_OC[[#This Row],[Centro]]&amp;Detalle_OC[[#This Row],[Nom Almacen]]&amp;Detalle_OC[[#This Row],[Material]]&amp;Detalle_OC[[#This Row],[Pedido]]&amp;Detalle_OC[[#This Row],[Posicion]]</f>
        <v>Sucroalcolera del Chira PlantaMontelima708707550002233640</v>
      </c>
      <c r="B3216" t="s">
        <v>28</v>
      </c>
      <c r="C3216" t="s">
        <v>84</v>
      </c>
      <c r="D3216" s="11">
        <v>45319</v>
      </c>
      <c r="E3216" t="s">
        <v>16</v>
      </c>
      <c r="F3216" t="s">
        <v>85</v>
      </c>
      <c r="G3216">
        <v>708707</v>
      </c>
      <c r="H3216">
        <v>5500022336</v>
      </c>
      <c r="I3216">
        <v>40</v>
      </c>
      <c r="J3216" s="29">
        <v>1</v>
      </c>
      <c r="K3216" s="29" t="s">
        <v>447</v>
      </c>
      <c r="L3216" t="str">
        <f>IFERROR(VLOOKUP(Detalle_OC[[#This Row],[Centro]]&amp;Detalle_OC[[#This Row],[Nro Almacen]],Almacen!A:D,4,FALSE),"")</f>
        <v>Montelima</v>
      </c>
    </row>
    <row r="3217" spans="1:12" x14ac:dyDescent="0.3">
      <c r="A3217" s="29" t="str">
        <f>Detalle_OC[[#This Row],[Centro]]&amp;Detalle_OC[[#This Row],[Nom Almacen]]&amp;Detalle_OC[[#This Row],[Material]]&amp;Detalle_OC[[#This Row],[Pedido]]&amp;Detalle_OC[[#This Row],[Posicion]]</f>
        <v>Sucroalcolera del Chira PlantaMontelima708707550002233640</v>
      </c>
      <c r="B3217" t="s">
        <v>28</v>
      </c>
      <c r="C3217" t="s">
        <v>84</v>
      </c>
      <c r="D3217" s="11">
        <v>45319</v>
      </c>
      <c r="E3217" t="s">
        <v>16</v>
      </c>
      <c r="F3217" t="s">
        <v>85</v>
      </c>
      <c r="G3217">
        <v>708707</v>
      </c>
      <c r="H3217">
        <v>5500022336</v>
      </c>
      <c r="I3217">
        <v>40</v>
      </c>
      <c r="J3217" s="29">
        <v>1</v>
      </c>
      <c r="K3217" s="29" t="s">
        <v>447</v>
      </c>
      <c r="L3217" t="str">
        <f>IFERROR(VLOOKUP(Detalle_OC[[#This Row],[Centro]]&amp;Detalle_OC[[#This Row],[Nro Almacen]],Almacen!A:D,4,FALSE),"")</f>
        <v>Montelima</v>
      </c>
    </row>
    <row r="3218" spans="1:12" x14ac:dyDescent="0.3">
      <c r="A3218" s="29" t="str">
        <f>Detalle_OC[[#This Row],[Centro]]&amp;Detalle_OC[[#This Row],[Nom Almacen]]&amp;Detalle_OC[[#This Row],[Material]]&amp;Detalle_OC[[#This Row],[Pedido]]&amp;Detalle_OC[[#This Row],[Posicion]]</f>
        <v>Sucroalcolera del Chira PlantaMontelima813224550002233650</v>
      </c>
      <c r="B3218" t="s">
        <v>28</v>
      </c>
      <c r="C3218" t="s">
        <v>84</v>
      </c>
      <c r="D3218" s="11">
        <v>45319</v>
      </c>
      <c r="E3218" t="s">
        <v>16</v>
      </c>
      <c r="F3218" t="s">
        <v>85</v>
      </c>
      <c r="G3218">
        <v>813224</v>
      </c>
      <c r="H3218">
        <v>5500022336</v>
      </c>
      <c r="I3218">
        <v>50</v>
      </c>
      <c r="J3218" s="29">
        <v>1</v>
      </c>
      <c r="K3218" s="29" t="s">
        <v>447</v>
      </c>
      <c r="L3218" t="str">
        <f>IFERROR(VLOOKUP(Detalle_OC[[#This Row],[Centro]]&amp;Detalle_OC[[#This Row],[Nro Almacen]],Almacen!A:D,4,FALSE),"")</f>
        <v>Montelima</v>
      </c>
    </row>
    <row r="3219" spans="1:12" x14ac:dyDescent="0.3">
      <c r="A3219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3219" t="s">
        <v>28</v>
      </c>
      <c r="C3219" t="s">
        <v>84</v>
      </c>
      <c r="D3219" s="11">
        <v>45319</v>
      </c>
      <c r="E3219" t="s">
        <v>16</v>
      </c>
      <c r="F3219" t="s">
        <v>12</v>
      </c>
      <c r="G3219">
        <v>801846</v>
      </c>
      <c r="H3219">
        <v>5500022338</v>
      </c>
      <c r="I3219">
        <v>40</v>
      </c>
      <c r="J3219" s="29">
        <v>1</v>
      </c>
      <c r="K3219" s="29" t="s">
        <v>447</v>
      </c>
      <c r="L3219" t="str">
        <f>IFERROR(VLOOKUP(Detalle_OC[[#This Row],[Centro]]&amp;Detalle_OC[[#This Row],[Nro Almacen]],Almacen!A:D,4,FALSE),"")</f>
        <v>Montelima</v>
      </c>
    </row>
    <row r="3220" spans="1:12" x14ac:dyDescent="0.3">
      <c r="A3220" s="29" t="str">
        <f>Detalle_OC[[#This Row],[Centro]]&amp;Detalle_OC[[#This Row],[Nom Almacen]]&amp;Detalle_OC[[#This Row],[Material]]&amp;Detalle_OC[[#This Row],[Pedido]]&amp;Detalle_OC[[#This Row],[Posicion]]</f>
        <v>Agricola del Chira PlantaMontelima70032053550002233880</v>
      </c>
      <c r="B3220" t="s">
        <v>28</v>
      </c>
      <c r="C3220" t="s">
        <v>84</v>
      </c>
      <c r="D3220" s="11">
        <v>45319</v>
      </c>
      <c r="E3220" t="s">
        <v>16</v>
      </c>
      <c r="F3220" t="s">
        <v>12</v>
      </c>
      <c r="G3220">
        <v>70032053</v>
      </c>
      <c r="H3220">
        <v>5500022338</v>
      </c>
      <c r="I3220">
        <v>80</v>
      </c>
      <c r="J3220" s="29">
        <v>1</v>
      </c>
      <c r="K3220" s="29" t="s">
        <v>447</v>
      </c>
      <c r="L3220" t="str">
        <f>IFERROR(VLOOKUP(Detalle_OC[[#This Row],[Centro]]&amp;Detalle_OC[[#This Row],[Nro Almacen]],Almacen!A:D,4,FALSE),"")</f>
        <v>Montelima</v>
      </c>
    </row>
    <row r="3221" spans="1:12" x14ac:dyDescent="0.3">
      <c r="A3221" s="29" t="str">
        <f>Detalle_OC[[#This Row],[Centro]]&amp;Detalle_OC[[#This Row],[Nom Almacen]]&amp;Detalle_OC[[#This Row],[Material]]&amp;Detalle_OC[[#This Row],[Pedido]]&amp;Detalle_OC[[#This Row],[Posicion]]</f>
        <v>Agricola del Chira PlantaMontelima70084360550002468150</v>
      </c>
      <c r="B3221" t="s">
        <v>28</v>
      </c>
      <c r="C3221" t="s">
        <v>84</v>
      </c>
      <c r="D3221" s="11">
        <v>45319</v>
      </c>
      <c r="E3221" t="s">
        <v>16</v>
      </c>
      <c r="F3221" t="s">
        <v>12</v>
      </c>
      <c r="G3221">
        <v>70084360</v>
      </c>
      <c r="H3221">
        <v>5500024681</v>
      </c>
      <c r="I3221">
        <v>50</v>
      </c>
      <c r="J3221" s="29">
        <v>1</v>
      </c>
      <c r="K3221" s="29" t="s">
        <v>447</v>
      </c>
      <c r="L3221" t="str">
        <f>IFERROR(VLOOKUP(Detalle_OC[[#This Row],[Centro]]&amp;Detalle_OC[[#This Row],[Nro Almacen]],Almacen!A:D,4,FALSE),"")</f>
        <v>Montelima</v>
      </c>
    </row>
    <row r="3222" spans="1:12" x14ac:dyDescent="0.3">
      <c r="A3222" s="29" t="str">
        <f>Detalle_OC[[#This Row],[Centro]]&amp;Detalle_OC[[#This Row],[Nom Almacen]]&amp;Detalle_OC[[#This Row],[Material]]&amp;Detalle_OC[[#This Row],[Pedido]]&amp;Detalle_OC[[#This Row],[Posicion]]</f>
        <v>Agricola del Chira PlantaMontelima70084367550002468170</v>
      </c>
      <c r="B3222" t="s">
        <v>28</v>
      </c>
      <c r="C3222" t="s">
        <v>84</v>
      </c>
      <c r="D3222" s="11">
        <v>45319</v>
      </c>
      <c r="E3222" t="s">
        <v>16</v>
      </c>
      <c r="F3222" t="s">
        <v>12</v>
      </c>
      <c r="G3222">
        <v>70084367</v>
      </c>
      <c r="H3222">
        <v>5500024681</v>
      </c>
      <c r="I3222">
        <v>70</v>
      </c>
      <c r="J3222" s="29">
        <v>1</v>
      </c>
      <c r="K3222" s="29" t="s">
        <v>447</v>
      </c>
      <c r="L3222" t="str">
        <f>IFERROR(VLOOKUP(Detalle_OC[[#This Row],[Centro]]&amp;Detalle_OC[[#This Row],[Nro Almacen]],Almacen!A:D,4,FALSE),"")</f>
        <v>Montelima</v>
      </c>
    </row>
    <row r="3223" spans="1:12" x14ac:dyDescent="0.3">
      <c r="A3223" s="29" t="str">
        <f>Detalle_OC[[#This Row],[Centro]]&amp;Detalle_OC[[#This Row],[Nom Almacen]]&amp;Detalle_OC[[#This Row],[Material]]&amp;Detalle_OC[[#This Row],[Pedido]]&amp;Detalle_OC[[#This Row],[Posicion]]</f>
        <v>Agricola del Chira PlantaMontelima70084367550002468170</v>
      </c>
      <c r="B3223" t="s">
        <v>28</v>
      </c>
      <c r="C3223" t="s">
        <v>84</v>
      </c>
      <c r="D3223" s="11">
        <v>45319</v>
      </c>
      <c r="E3223" t="s">
        <v>16</v>
      </c>
      <c r="F3223" t="s">
        <v>12</v>
      </c>
      <c r="G3223">
        <v>70084367</v>
      </c>
      <c r="H3223">
        <v>5500024681</v>
      </c>
      <c r="I3223">
        <v>70</v>
      </c>
      <c r="J3223" s="29">
        <v>1</v>
      </c>
      <c r="K3223" s="29" t="s">
        <v>447</v>
      </c>
      <c r="L3223" t="str">
        <f>IFERROR(VLOOKUP(Detalle_OC[[#This Row],[Centro]]&amp;Detalle_OC[[#This Row],[Nro Almacen]],Almacen!A:D,4,FALSE),"")</f>
        <v>Montelima</v>
      </c>
    </row>
    <row r="3224" spans="1:12" x14ac:dyDescent="0.3">
      <c r="A3224" s="29" t="str">
        <f>Detalle_OC[[#This Row],[Centro]]&amp;Detalle_OC[[#This Row],[Nom Almacen]]&amp;Detalle_OC[[#This Row],[Material]]&amp;Detalle_OC[[#This Row],[Pedido]]&amp;Detalle_OC[[#This Row],[Posicion]]</f>
        <v>Sucroalcolera del Chira PlantaMontelima70084357550002468220</v>
      </c>
      <c r="B3224" t="s">
        <v>28</v>
      </c>
      <c r="C3224" t="s">
        <v>84</v>
      </c>
      <c r="D3224" s="11">
        <v>45318</v>
      </c>
      <c r="E3224" t="s">
        <v>16</v>
      </c>
      <c r="F3224" t="s">
        <v>85</v>
      </c>
      <c r="G3224">
        <v>70084357</v>
      </c>
      <c r="H3224">
        <v>5500024682</v>
      </c>
      <c r="I3224">
        <v>20</v>
      </c>
      <c r="J3224" s="29">
        <v>1</v>
      </c>
      <c r="K3224" s="29" t="s">
        <v>448</v>
      </c>
      <c r="L3224" t="str">
        <f>IFERROR(VLOOKUP(Detalle_OC[[#This Row],[Centro]]&amp;Detalle_OC[[#This Row],[Nro Almacen]],Almacen!A:D,4,FALSE),"")</f>
        <v>Montelima</v>
      </c>
    </row>
    <row r="3225" spans="1:12" x14ac:dyDescent="0.3">
      <c r="A3225" s="29" t="str">
        <f>Detalle_OC[[#This Row],[Centro]]&amp;Detalle_OC[[#This Row],[Nom Almacen]]&amp;Detalle_OC[[#This Row],[Material]]&amp;Detalle_OC[[#This Row],[Pedido]]&amp;Detalle_OC[[#This Row],[Posicion]]</f>
        <v>Sucroalcolera del Chira PlantaMontelima70084363550002468250</v>
      </c>
      <c r="B3225" t="s">
        <v>28</v>
      </c>
      <c r="C3225" t="s">
        <v>84</v>
      </c>
      <c r="D3225" s="11">
        <v>45318</v>
      </c>
      <c r="E3225" t="s">
        <v>16</v>
      </c>
      <c r="F3225" t="s">
        <v>85</v>
      </c>
      <c r="G3225">
        <v>70084363</v>
      </c>
      <c r="H3225">
        <v>5500024682</v>
      </c>
      <c r="I3225">
        <v>50</v>
      </c>
      <c r="J3225" s="29">
        <v>1</v>
      </c>
      <c r="K3225" s="29" t="s">
        <v>448</v>
      </c>
      <c r="L3225" t="str">
        <f>IFERROR(VLOOKUP(Detalle_OC[[#This Row],[Centro]]&amp;Detalle_OC[[#This Row],[Nro Almacen]],Almacen!A:D,4,FALSE),"")</f>
        <v>Montelima</v>
      </c>
    </row>
    <row r="3226" spans="1:12" x14ac:dyDescent="0.3">
      <c r="A3226" s="29" t="str">
        <f>Detalle_OC[[#This Row],[Centro]]&amp;Detalle_OC[[#This Row],[Nom Almacen]]&amp;Detalle_OC[[#This Row],[Material]]&amp;Detalle_OC[[#This Row],[Pedido]]&amp;Detalle_OC[[#This Row],[Posicion]]</f>
        <v>Sucroalcolera del Chira PlantaMontelima70084365550002468260</v>
      </c>
      <c r="B3226" t="s">
        <v>28</v>
      </c>
      <c r="C3226" t="s">
        <v>84</v>
      </c>
      <c r="D3226" s="11">
        <v>45318</v>
      </c>
      <c r="E3226" t="s">
        <v>16</v>
      </c>
      <c r="F3226" t="s">
        <v>85</v>
      </c>
      <c r="G3226">
        <v>70084365</v>
      </c>
      <c r="H3226">
        <v>5500024682</v>
      </c>
      <c r="I3226">
        <v>60</v>
      </c>
      <c r="J3226" s="29">
        <v>1</v>
      </c>
      <c r="K3226" s="29" t="s">
        <v>448</v>
      </c>
      <c r="L3226" t="str">
        <f>IFERROR(VLOOKUP(Detalle_OC[[#This Row],[Centro]]&amp;Detalle_OC[[#This Row],[Nro Almacen]],Almacen!A:D,4,FALSE),"")</f>
        <v>Montelima</v>
      </c>
    </row>
    <row r="3227" spans="1:12" x14ac:dyDescent="0.3">
      <c r="A3227" s="29" t="str">
        <f>Detalle_OC[[#This Row],[Centro]]&amp;Detalle_OC[[#This Row],[Nom Almacen]]&amp;Detalle_OC[[#This Row],[Material]]&amp;Detalle_OC[[#This Row],[Pedido]]&amp;Detalle_OC[[#This Row],[Posicion]]</f>
        <v>Agricola del Chira PlantaMontelima82639655000191881050</v>
      </c>
      <c r="B3227" t="s">
        <v>28</v>
      </c>
      <c r="C3227" t="s">
        <v>82</v>
      </c>
      <c r="D3227" s="11">
        <v>45316</v>
      </c>
      <c r="E3227" t="s">
        <v>16</v>
      </c>
      <c r="F3227" t="s">
        <v>12</v>
      </c>
      <c r="G3227">
        <v>826396</v>
      </c>
      <c r="H3227">
        <v>5500019188</v>
      </c>
      <c r="I3227">
        <v>1050</v>
      </c>
      <c r="J3227" s="29">
        <v>1</v>
      </c>
      <c r="K3227" s="29" t="s">
        <v>449</v>
      </c>
      <c r="L3227" t="str">
        <f>IFERROR(VLOOKUP(Detalle_OC[[#This Row],[Centro]]&amp;Detalle_OC[[#This Row],[Nro Almacen]],Almacen!A:D,4,FALSE),"")</f>
        <v>Montelima</v>
      </c>
    </row>
    <row r="3228" spans="1:12" x14ac:dyDescent="0.3">
      <c r="A3228" s="29" t="str">
        <f>Detalle_OC[[#This Row],[Centro]]&amp;Detalle_OC[[#This Row],[Nom Almacen]]&amp;Detalle_OC[[#This Row],[Material]]&amp;Detalle_OC[[#This Row],[Pedido]]&amp;Detalle_OC[[#This Row],[Posicion]]</f>
        <v>Agricola del Chira PlantaMontelima82718155000191881520</v>
      </c>
      <c r="B3228" t="s">
        <v>28</v>
      </c>
      <c r="C3228" t="s">
        <v>82</v>
      </c>
      <c r="D3228" s="11">
        <v>45316</v>
      </c>
      <c r="E3228" t="s">
        <v>16</v>
      </c>
      <c r="F3228" t="s">
        <v>12</v>
      </c>
      <c r="G3228">
        <v>827181</v>
      </c>
      <c r="H3228">
        <v>5500019188</v>
      </c>
      <c r="I3228">
        <v>1520</v>
      </c>
      <c r="J3228" s="29">
        <v>1</v>
      </c>
      <c r="K3228" s="29" t="s">
        <v>449</v>
      </c>
      <c r="L3228" t="str">
        <f>IFERROR(VLOOKUP(Detalle_OC[[#This Row],[Centro]]&amp;Detalle_OC[[#This Row],[Nro Almacen]],Almacen!A:D,4,FALSE),"")</f>
        <v>Montelima</v>
      </c>
    </row>
    <row r="3229" spans="1:12" x14ac:dyDescent="0.3">
      <c r="A3229" s="29" t="str">
        <f>Detalle_OC[[#This Row],[Centro]]&amp;Detalle_OC[[#This Row],[Nom Almacen]]&amp;Detalle_OC[[#This Row],[Material]]&amp;Detalle_OC[[#This Row],[Pedido]]&amp;Detalle_OC[[#This Row],[Posicion]]</f>
        <v>Sucroalcolera del Chira PlantaMontelima70084363550002468250</v>
      </c>
      <c r="B3229" t="s">
        <v>28</v>
      </c>
      <c r="C3229" t="s">
        <v>84</v>
      </c>
      <c r="D3229" s="11">
        <v>45315</v>
      </c>
      <c r="E3229" t="s">
        <v>16</v>
      </c>
      <c r="F3229" t="s">
        <v>85</v>
      </c>
      <c r="G3229">
        <v>70084363</v>
      </c>
      <c r="H3229">
        <v>5500024682</v>
      </c>
      <c r="I3229">
        <v>50</v>
      </c>
      <c r="J3229" s="29">
        <v>1</v>
      </c>
      <c r="K3229" s="29" t="s">
        <v>450</v>
      </c>
      <c r="L3229" t="str">
        <f>IFERROR(VLOOKUP(Detalle_OC[[#This Row],[Centro]]&amp;Detalle_OC[[#This Row],[Nro Almacen]],Almacen!A:D,4,FALSE),"")</f>
        <v>Montelima</v>
      </c>
    </row>
    <row r="3230" spans="1:12" x14ac:dyDescent="0.3">
      <c r="A3230" s="29" t="str">
        <f>Detalle_OC[[#This Row],[Centro]]&amp;Detalle_OC[[#This Row],[Nom Almacen]]&amp;Detalle_OC[[#This Row],[Material]]&amp;Detalle_OC[[#This Row],[Pedido]]&amp;Detalle_OC[[#This Row],[Posicion]]</f>
        <v>Sucroalcolera del Chira PlantaMontelima70084365550002468260</v>
      </c>
      <c r="B3230" t="s">
        <v>28</v>
      </c>
      <c r="C3230" t="s">
        <v>84</v>
      </c>
      <c r="D3230" s="11">
        <v>45315</v>
      </c>
      <c r="E3230" t="s">
        <v>16</v>
      </c>
      <c r="F3230" t="s">
        <v>85</v>
      </c>
      <c r="G3230">
        <v>70084365</v>
      </c>
      <c r="H3230">
        <v>5500024682</v>
      </c>
      <c r="I3230">
        <v>60</v>
      </c>
      <c r="J3230" s="29">
        <v>1</v>
      </c>
      <c r="K3230" s="29" t="s">
        <v>450</v>
      </c>
      <c r="L3230" t="str">
        <f>IFERROR(VLOOKUP(Detalle_OC[[#This Row],[Centro]]&amp;Detalle_OC[[#This Row],[Nro Almacen]],Almacen!A:D,4,FALSE),"")</f>
        <v>Montelima</v>
      </c>
    </row>
    <row r="3231" spans="1:12" x14ac:dyDescent="0.3">
      <c r="A3231" s="29" t="str">
        <f>Detalle_OC[[#This Row],[Centro]]&amp;Detalle_OC[[#This Row],[Nom Almacen]]&amp;Detalle_OC[[#This Row],[Material]]&amp;Detalle_OC[[#This Row],[Pedido]]&amp;Detalle_OC[[#This Row],[Posicion]]</f>
        <v>Agricola del Chira PlantaMontelima70084356550002468130</v>
      </c>
      <c r="B3231" t="s">
        <v>28</v>
      </c>
      <c r="C3231" t="s">
        <v>84</v>
      </c>
      <c r="D3231" s="11">
        <v>45310</v>
      </c>
      <c r="E3231" t="s">
        <v>16</v>
      </c>
      <c r="F3231" t="s">
        <v>12</v>
      </c>
      <c r="G3231">
        <v>70084356</v>
      </c>
      <c r="H3231">
        <v>5500024681</v>
      </c>
      <c r="I3231">
        <v>30</v>
      </c>
      <c r="J3231" s="29">
        <v>1</v>
      </c>
      <c r="K3231" s="29" t="s">
        <v>451</v>
      </c>
      <c r="L3231" t="str">
        <f>IFERROR(VLOOKUP(Detalle_OC[[#This Row],[Centro]]&amp;Detalle_OC[[#This Row],[Nro Almacen]],Almacen!A:D,4,FALSE),"")</f>
        <v>Montelima</v>
      </c>
    </row>
    <row r="3232" spans="1:12" x14ac:dyDescent="0.3">
      <c r="A3232" s="29" t="str">
        <f>Detalle_OC[[#This Row],[Centro]]&amp;Detalle_OC[[#This Row],[Nom Almacen]]&amp;Detalle_OC[[#This Row],[Material]]&amp;Detalle_OC[[#This Row],[Pedido]]&amp;Detalle_OC[[#This Row],[Posicion]]</f>
        <v>Agricola del Chira PlantaMontelima70084357550002468140</v>
      </c>
      <c r="B3232" t="s">
        <v>28</v>
      </c>
      <c r="C3232" t="s">
        <v>84</v>
      </c>
      <c r="D3232" s="11">
        <v>45310</v>
      </c>
      <c r="E3232" t="s">
        <v>16</v>
      </c>
      <c r="F3232" t="s">
        <v>12</v>
      </c>
      <c r="G3232">
        <v>70084357</v>
      </c>
      <c r="H3232">
        <v>5500024681</v>
      </c>
      <c r="I3232">
        <v>40</v>
      </c>
      <c r="J3232" s="29">
        <v>1</v>
      </c>
      <c r="K3232" s="29" t="s">
        <v>451</v>
      </c>
      <c r="L3232" t="str">
        <f>IFERROR(VLOOKUP(Detalle_OC[[#This Row],[Centro]]&amp;Detalle_OC[[#This Row],[Nro Almacen]],Almacen!A:D,4,FALSE),"")</f>
        <v>Montelima</v>
      </c>
    </row>
    <row r="3233" spans="1:12" x14ac:dyDescent="0.3">
      <c r="A3233" s="29" t="str">
        <f>Detalle_OC[[#This Row],[Centro]]&amp;Detalle_OC[[#This Row],[Nom Almacen]]&amp;Detalle_OC[[#This Row],[Material]]&amp;Detalle_OC[[#This Row],[Pedido]]&amp;Detalle_OC[[#This Row],[Posicion]]</f>
        <v>Agricola del Chira PlantaMontelima70084360550002468150</v>
      </c>
      <c r="B3233" t="s">
        <v>28</v>
      </c>
      <c r="C3233" t="s">
        <v>84</v>
      </c>
      <c r="D3233" s="11">
        <v>45310</v>
      </c>
      <c r="E3233" t="s">
        <v>16</v>
      </c>
      <c r="F3233" t="s">
        <v>12</v>
      </c>
      <c r="G3233">
        <v>70084360</v>
      </c>
      <c r="H3233">
        <v>5500024681</v>
      </c>
      <c r="I3233">
        <v>50</v>
      </c>
      <c r="J3233" s="29">
        <v>1</v>
      </c>
      <c r="K3233" s="29" t="s">
        <v>451</v>
      </c>
      <c r="L3233" t="str">
        <f>IFERROR(VLOOKUP(Detalle_OC[[#This Row],[Centro]]&amp;Detalle_OC[[#This Row],[Nro Almacen]],Almacen!A:D,4,FALSE),"")</f>
        <v>Montelima</v>
      </c>
    </row>
    <row r="3234" spans="1:12" x14ac:dyDescent="0.3">
      <c r="A3234" s="29" t="str">
        <f>Detalle_OC[[#This Row],[Centro]]&amp;Detalle_OC[[#This Row],[Nom Almacen]]&amp;Detalle_OC[[#This Row],[Material]]&amp;Detalle_OC[[#This Row],[Pedido]]&amp;Detalle_OC[[#This Row],[Posicion]]</f>
        <v>Agricola del Chira PlantaMontelima70084371550002468180</v>
      </c>
      <c r="B3234" t="s">
        <v>28</v>
      </c>
      <c r="C3234" t="s">
        <v>84</v>
      </c>
      <c r="D3234" s="11">
        <v>45310</v>
      </c>
      <c r="E3234" t="s">
        <v>16</v>
      </c>
      <c r="F3234" t="s">
        <v>12</v>
      </c>
      <c r="G3234">
        <v>70084371</v>
      </c>
      <c r="H3234">
        <v>5500024681</v>
      </c>
      <c r="I3234">
        <v>80</v>
      </c>
      <c r="J3234" s="29">
        <v>1</v>
      </c>
      <c r="K3234" s="29" t="s">
        <v>451</v>
      </c>
      <c r="L3234" t="str">
        <f>IFERROR(VLOOKUP(Detalle_OC[[#This Row],[Centro]]&amp;Detalle_OC[[#This Row],[Nro Almacen]],Almacen!A:D,4,FALSE),"")</f>
        <v>Montelima</v>
      </c>
    </row>
    <row r="3235" spans="1:12" x14ac:dyDescent="0.3">
      <c r="A3235" s="29" t="str">
        <f>Detalle_OC[[#This Row],[Centro]]&amp;Detalle_OC[[#This Row],[Nom Almacen]]&amp;Detalle_OC[[#This Row],[Material]]&amp;Detalle_OC[[#This Row],[Pedido]]&amp;Detalle_OC[[#This Row],[Posicion]]</f>
        <v>Sucroalcolera del Chira PlantaMontelima709179550002233630</v>
      </c>
      <c r="B3235" t="s">
        <v>28</v>
      </c>
      <c r="C3235" t="s">
        <v>84</v>
      </c>
      <c r="D3235" s="11">
        <v>45341</v>
      </c>
      <c r="E3235" t="s">
        <v>16</v>
      </c>
      <c r="F3235" t="s">
        <v>85</v>
      </c>
      <c r="G3235">
        <v>709179</v>
      </c>
      <c r="H3235">
        <v>5500022336</v>
      </c>
      <c r="I3235">
        <v>30</v>
      </c>
      <c r="J3235" s="29">
        <v>1</v>
      </c>
      <c r="K3235" s="29" t="s">
        <v>452</v>
      </c>
      <c r="L3235" t="str">
        <f>IFERROR(VLOOKUP(Detalle_OC[[#This Row],[Centro]]&amp;Detalle_OC[[#This Row],[Nro Almacen]],Almacen!A:D,4,FALSE),"")</f>
        <v>Montelima</v>
      </c>
    </row>
    <row r="3236" spans="1:12" x14ac:dyDescent="0.3">
      <c r="A3236" s="29" t="str">
        <f>Detalle_OC[[#This Row],[Centro]]&amp;Detalle_OC[[#This Row],[Nom Almacen]]&amp;Detalle_OC[[#This Row],[Material]]&amp;Detalle_OC[[#This Row],[Pedido]]&amp;Detalle_OC[[#This Row],[Posicion]]</f>
        <v>Agricola del Chira PlantaMontelima70084357550002468140</v>
      </c>
      <c r="B3236" t="s">
        <v>28</v>
      </c>
      <c r="C3236" t="s">
        <v>84</v>
      </c>
      <c r="D3236" s="11">
        <v>45309</v>
      </c>
      <c r="E3236" t="s">
        <v>16</v>
      </c>
      <c r="F3236" t="s">
        <v>12</v>
      </c>
      <c r="G3236">
        <v>70084357</v>
      </c>
      <c r="H3236">
        <v>5500024681</v>
      </c>
      <c r="I3236">
        <v>40</v>
      </c>
      <c r="J3236" s="29">
        <v>1</v>
      </c>
      <c r="K3236" s="29" t="s">
        <v>452</v>
      </c>
      <c r="L3236" t="str">
        <f>IFERROR(VLOOKUP(Detalle_OC[[#This Row],[Centro]]&amp;Detalle_OC[[#This Row],[Nro Almacen]],Almacen!A:D,4,FALSE),"")</f>
        <v>Montelima</v>
      </c>
    </row>
    <row r="3237" spans="1:12" x14ac:dyDescent="0.3">
      <c r="A3237" s="29" t="str">
        <f>Detalle_OC[[#This Row],[Centro]]&amp;Detalle_OC[[#This Row],[Nom Almacen]]&amp;Detalle_OC[[#This Row],[Material]]&amp;Detalle_OC[[#This Row],[Pedido]]&amp;Detalle_OC[[#This Row],[Posicion]]</f>
        <v>Agricola del Chira PlantaMontelima70084357550002468140</v>
      </c>
      <c r="B3237" t="s">
        <v>28</v>
      </c>
      <c r="C3237" t="s">
        <v>84</v>
      </c>
      <c r="D3237" s="11">
        <v>45309</v>
      </c>
      <c r="E3237" t="s">
        <v>16</v>
      </c>
      <c r="F3237" t="s">
        <v>12</v>
      </c>
      <c r="G3237">
        <v>70084357</v>
      </c>
      <c r="H3237">
        <v>5500024681</v>
      </c>
      <c r="I3237">
        <v>40</v>
      </c>
      <c r="J3237" s="29">
        <v>1</v>
      </c>
      <c r="K3237" s="29" t="s">
        <v>452</v>
      </c>
      <c r="L3237" t="str">
        <f>IFERROR(VLOOKUP(Detalle_OC[[#This Row],[Centro]]&amp;Detalle_OC[[#This Row],[Nro Almacen]],Almacen!A:D,4,FALSE),"")</f>
        <v>Montelima</v>
      </c>
    </row>
    <row r="3238" spans="1:12" x14ac:dyDescent="0.3">
      <c r="A3238" s="29" t="str">
        <f>Detalle_OC[[#This Row],[Centro]]&amp;Detalle_OC[[#This Row],[Nom Almacen]]&amp;Detalle_OC[[#This Row],[Material]]&amp;Detalle_OC[[#This Row],[Pedido]]&amp;Detalle_OC[[#This Row],[Posicion]]</f>
        <v>Agricola del Chira PlantaMontelima70084360550002468150</v>
      </c>
      <c r="B3238" t="s">
        <v>28</v>
      </c>
      <c r="C3238" t="s">
        <v>84</v>
      </c>
      <c r="D3238" s="11">
        <v>45309</v>
      </c>
      <c r="E3238" t="s">
        <v>16</v>
      </c>
      <c r="F3238" t="s">
        <v>12</v>
      </c>
      <c r="G3238">
        <v>70084360</v>
      </c>
      <c r="H3238">
        <v>5500024681</v>
      </c>
      <c r="I3238">
        <v>50</v>
      </c>
      <c r="J3238" s="29">
        <v>1</v>
      </c>
      <c r="K3238" s="29" t="s">
        <v>452</v>
      </c>
      <c r="L3238" t="str">
        <f>IFERROR(VLOOKUP(Detalle_OC[[#This Row],[Centro]]&amp;Detalle_OC[[#This Row],[Nro Almacen]],Almacen!A:D,4,FALSE),"")</f>
        <v>Montelima</v>
      </c>
    </row>
    <row r="3239" spans="1:12" x14ac:dyDescent="0.3">
      <c r="A3239" s="29" t="str">
        <f>Detalle_OC[[#This Row],[Centro]]&amp;Detalle_OC[[#This Row],[Nom Almacen]]&amp;Detalle_OC[[#This Row],[Material]]&amp;Detalle_OC[[#This Row],[Pedido]]&amp;Detalle_OC[[#This Row],[Posicion]]</f>
        <v>Agricola del Chira PlantaMontelima70084371550002468180</v>
      </c>
      <c r="B3239" t="s">
        <v>28</v>
      </c>
      <c r="C3239" t="s">
        <v>84</v>
      </c>
      <c r="D3239" s="11">
        <v>45309</v>
      </c>
      <c r="E3239" t="s">
        <v>16</v>
      </c>
      <c r="F3239" t="s">
        <v>12</v>
      </c>
      <c r="G3239">
        <v>70084371</v>
      </c>
      <c r="H3239">
        <v>5500024681</v>
      </c>
      <c r="I3239">
        <v>80</v>
      </c>
      <c r="J3239" s="29">
        <v>1</v>
      </c>
      <c r="K3239" s="29" t="s">
        <v>452</v>
      </c>
      <c r="L3239" t="str">
        <f>IFERROR(VLOOKUP(Detalle_OC[[#This Row],[Centro]]&amp;Detalle_OC[[#This Row],[Nro Almacen]],Almacen!A:D,4,FALSE),"")</f>
        <v>Montelima</v>
      </c>
    </row>
    <row r="3240" spans="1:12" x14ac:dyDescent="0.3">
      <c r="A3240" s="29" t="str">
        <f>Detalle_OC[[#This Row],[Centro]]&amp;Detalle_OC[[#This Row],[Nom Almacen]]&amp;Detalle_OC[[#This Row],[Material]]&amp;Detalle_OC[[#This Row],[Pedido]]&amp;Detalle_OC[[#This Row],[Posicion]]</f>
        <v>Agricola del Chira PlantaMontelima70084357550002468140</v>
      </c>
      <c r="B3240" t="s">
        <v>28</v>
      </c>
      <c r="C3240" t="s">
        <v>84</v>
      </c>
      <c r="D3240" s="11">
        <v>45308</v>
      </c>
      <c r="E3240" t="s">
        <v>16</v>
      </c>
      <c r="F3240" t="s">
        <v>12</v>
      </c>
      <c r="G3240">
        <v>70084357</v>
      </c>
      <c r="H3240">
        <v>5500024681</v>
      </c>
      <c r="I3240">
        <v>40</v>
      </c>
      <c r="J3240" s="29">
        <v>1</v>
      </c>
      <c r="K3240" s="29" t="s">
        <v>453</v>
      </c>
      <c r="L3240" t="str">
        <f>IFERROR(VLOOKUP(Detalle_OC[[#This Row],[Centro]]&amp;Detalle_OC[[#This Row],[Nro Almacen]],Almacen!A:D,4,FALSE),"")</f>
        <v>Montelima</v>
      </c>
    </row>
    <row r="3241" spans="1:12" x14ac:dyDescent="0.3">
      <c r="A3241" s="29" t="str">
        <f>Detalle_OC[[#This Row],[Centro]]&amp;Detalle_OC[[#This Row],[Nom Almacen]]&amp;Detalle_OC[[#This Row],[Material]]&amp;Detalle_OC[[#This Row],[Pedido]]&amp;Detalle_OC[[#This Row],[Posicion]]</f>
        <v>Sucroalcolera del Chira PlantaMontelima70084356550002468210</v>
      </c>
      <c r="B3241" t="s">
        <v>28</v>
      </c>
      <c r="C3241" t="s">
        <v>84</v>
      </c>
      <c r="D3241" s="11">
        <v>45302</v>
      </c>
      <c r="E3241" t="s">
        <v>16</v>
      </c>
      <c r="F3241" t="s">
        <v>85</v>
      </c>
      <c r="G3241">
        <v>70084356</v>
      </c>
      <c r="H3241">
        <v>5500024682</v>
      </c>
      <c r="I3241">
        <v>10</v>
      </c>
      <c r="J3241" s="29">
        <v>1</v>
      </c>
      <c r="K3241" s="29" t="s">
        <v>454</v>
      </c>
      <c r="L3241" t="str">
        <f>IFERROR(VLOOKUP(Detalle_OC[[#This Row],[Centro]]&amp;Detalle_OC[[#This Row],[Nro Almacen]],Almacen!A:D,4,FALSE),"")</f>
        <v>Montelima</v>
      </c>
    </row>
    <row r="3242" spans="1:12" x14ac:dyDescent="0.3">
      <c r="A3242" s="29" t="str">
        <f>Detalle_OC[[#This Row],[Centro]]&amp;Detalle_OC[[#This Row],[Nom Almacen]]&amp;Detalle_OC[[#This Row],[Material]]&amp;Detalle_OC[[#This Row],[Pedido]]&amp;Detalle_OC[[#This Row],[Posicion]]</f>
        <v>Sucroalcolera del Chira PlantaMontelima70084357550002468220</v>
      </c>
      <c r="B3242" t="s">
        <v>28</v>
      </c>
      <c r="C3242" t="s">
        <v>84</v>
      </c>
      <c r="D3242" s="11">
        <v>45302</v>
      </c>
      <c r="E3242" t="s">
        <v>16</v>
      </c>
      <c r="F3242" t="s">
        <v>85</v>
      </c>
      <c r="G3242">
        <v>70084357</v>
      </c>
      <c r="H3242">
        <v>5500024682</v>
      </c>
      <c r="I3242">
        <v>20</v>
      </c>
      <c r="J3242" s="29">
        <v>1</v>
      </c>
      <c r="K3242" s="29" t="s">
        <v>454</v>
      </c>
      <c r="L3242" t="str">
        <f>IFERROR(VLOOKUP(Detalle_OC[[#This Row],[Centro]]&amp;Detalle_OC[[#This Row],[Nro Almacen]],Almacen!A:D,4,FALSE),"")</f>
        <v>Montelima</v>
      </c>
    </row>
    <row r="3243" spans="1:12" x14ac:dyDescent="0.3">
      <c r="A3243" s="29" t="str">
        <f>Detalle_OC[[#This Row],[Centro]]&amp;Detalle_OC[[#This Row],[Nom Almacen]]&amp;Detalle_OC[[#This Row],[Material]]&amp;Detalle_OC[[#This Row],[Pedido]]&amp;Detalle_OC[[#This Row],[Posicion]]</f>
        <v>Sucroalcolera del Chira PlantaMontelima70084357550002468220</v>
      </c>
      <c r="B3243" t="s">
        <v>28</v>
      </c>
      <c r="C3243" t="s">
        <v>84</v>
      </c>
      <c r="D3243" s="11">
        <v>45302</v>
      </c>
      <c r="E3243" t="s">
        <v>16</v>
      </c>
      <c r="F3243" t="s">
        <v>85</v>
      </c>
      <c r="G3243">
        <v>70084357</v>
      </c>
      <c r="H3243">
        <v>5500024682</v>
      </c>
      <c r="I3243">
        <v>20</v>
      </c>
      <c r="J3243" s="29">
        <v>1</v>
      </c>
      <c r="K3243" s="29" t="s">
        <v>454</v>
      </c>
      <c r="L3243" t="str">
        <f>IFERROR(VLOOKUP(Detalle_OC[[#This Row],[Centro]]&amp;Detalle_OC[[#This Row],[Nro Almacen]],Almacen!A:D,4,FALSE),"")</f>
        <v>Montelima</v>
      </c>
    </row>
    <row r="3244" spans="1:12" x14ac:dyDescent="0.3">
      <c r="A3244" s="29" t="str">
        <f>Detalle_OC[[#This Row],[Centro]]&amp;Detalle_OC[[#This Row],[Nom Almacen]]&amp;Detalle_OC[[#This Row],[Material]]&amp;Detalle_OC[[#This Row],[Pedido]]&amp;Detalle_OC[[#This Row],[Posicion]]</f>
        <v>Agricola del Chira PlantaMontelima725201550001918830</v>
      </c>
      <c r="B3244" t="s">
        <v>28</v>
      </c>
      <c r="C3244" t="s">
        <v>82</v>
      </c>
      <c r="D3244" s="11">
        <v>45301</v>
      </c>
      <c r="E3244" t="s">
        <v>16</v>
      </c>
      <c r="F3244" t="s">
        <v>12</v>
      </c>
      <c r="G3244">
        <v>725201</v>
      </c>
      <c r="H3244">
        <v>5500019188</v>
      </c>
      <c r="I3244">
        <v>30</v>
      </c>
      <c r="J3244" s="29">
        <v>1</v>
      </c>
      <c r="K3244" s="29" t="s">
        <v>455</v>
      </c>
      <c r="L3244" t="str">
        <f>IFERROR(VLOOKUP(Detalle_OC[[#This Row],[Centro]]&amp;Detalle_OC[[#This Row],[Nro Almacen]],Almacen!A:D,4,FALSE),"")</f>
        <v>Montelima</v>
      </c>
    </row>
    <row r="3245" spans="1:12" x14ac:dyDescent="0.3">
      <c r="A3245" s="29" t="str">
        <f>Detalle_OC[[#This Row],[Centro]]&amp;Detalle_OC[[#This Row],[Nom Almacen]]&amp;Detalle_OC[[#This Row],[Material]]&amp;Detalle_OC[[#This Row],[Pedido]]&amp;Detalle_OC[[#This Row],[Posicion]]</f>
        <v>Agricola del Chira PlantaMontelima844601550001918860</v>
      </c>
      <c r="B3245" t="s">
        <v>28</v>
      </c>
      <c r="C3245" t="s">
        <v>82</v>
      </c>
      <c r="D3245" s="11">
        <v>45301</v>
      </c>
      <c r="E3245" t="s">
        <v>16</v>
      </c>
      <c r="F3245" t="s">
        <v>12</v>
      </c>
      <c r="G3245">
        <v>844601</v>
      </c>
      <c r="H3245">
        <v>5500019188</v>
      </c>
      <c r="I3245">
        <v>60</v>
      </c>
      <c r="J3245" s="29">
        <v>1</v>
      </c>
      <c r="K3245" s="29" t="s">
        <v>455</v>
      </c>
      <c r="L3245" t="str">
        <f>IFERROR(VLOOKUP(Detalle_OC[[#This Row],[Centro]]&amp;Detalle_OC[[#This Row],[Nro Almacen]],Almacen!A:D,4,FALSE),"")</f>
        <v>Montelima</v>
      </c>
    </row>
    <row r="3246" spans="1:12" x14ac:dyDescent="0.3">
      <c r="A3246" s="29" t="str">
        <f>Detalle_OC[[#This Row],[Centro]]&amp;Detalle_OC[[#This Row],[Nom Almacen]]&amp;Detalle_OC[[#This Row],[Material]]&amp;Detalle_OC[[#This Row],[Pedido]]&amp;Detalle_OC[[#This Row],[Posicion]]</f>
        <v>Agricola del Chira PlantaMontelima7382475500019188100</v>
      </c>
      <c r="B3246" t="s">
        <v>28</v>
      </c>
      <c r="C3246" t="s">
        <v>82</v>
      </c>
      <c r="D3246" s="11">
        <v>45301</v>
      </c>
      <c r="E3246" t="s">
        <v>16</v>
      </c>
      <c r="F3246" t="s">
        <v>12</v>
      </c>
      <c r="G3246">
        <v>738247</v>
      </c>
      <c r="H3246">
        <v>5500019188</v>
      </c>
      <c r="I3246">
        <v>100</v>
      </c>
      <c r="J3246" s="29">
        <v>1</v>
      </c>
      <c r="K3246" s="29" t="s">
        <v>455</v>
      </c>
      <c r="L3246" t="str">
        <f>IFERROR(VLOOKUP(Detalle_OC[[#This Row],[Centro]]&amp;Detalle_OC[[#This Row],[Nro Almacen]],Almacen!A:D,4,FALSE),"")</f>
        <v>Montelima</v>
      </c>
    </row>
    <row r="3247" spans="1:12" x14ac:dyDescent="0.3">
      <c r="A3247" s="29" t="str">
        <f>Detalle_OC[[#This Row],[Centro]]&amp;Detalle_OC[[#This Row],[Nom Almacen]]&amp;Detalle_OC[[#This Row],[Material]]&amp;Detalle_OC[[#This Row],[Pedido]]&amp;Detalle_OC[[#This Row],[Posicion]]</f>
        <v>Agricola del Chira PlantaMontelima7382475500019188100</v>
      </c>
      <c r="B3247" t="s">
        <v>28</v>
      </c>
      <c r="C3247" t="s">
        <v>82</v>
      </c>
      <c r="D3247" s="11">
        <v>45301</v>
      </c>
      <c r="E3247" t="s">
        <v>16</v>
      </c>
      <c r="F3247" t="s">
        <v>12</v>
      </c>
      <c r="G3247">
        <v>738247</v>
      </c>
      <c r="H3247">
        <v>5500019188</v>
      </c>
      <c r="I3247">
        <v>100</v>
      </c>
      <c r="J3247" s="29">
        <v>1</v>
      </c>
      <c r="K3247" s="29" t="s">
        <v>455</v>
      </c>
      <c r="L3247" t="str">
        <f>IFERROR(VLOOKUP(Detalle_OC[[#This Row],[Centro]]&amp;Detalle_OC[[#This Row],[Nro Almacen]],Almacen!A:D,4,FALSE),"")</f>
        <v>Montelima</v>
      </c>
    </row>
    <row r="3248" spans="1:12" x14ac:dyDescent="0.3">
      <c r="A3248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3248" t="s">
        <v>28</v>
      </c>
      <c r="C3248" t="s">
        <v>82</v>
      </c>
      <c r="D3248" s="11">
        <v>45301</v>
      </c>
      <c r="E3248" t="s">
        <v>16</v>
      </c>
      <c r="F3248" t="s">
        <v>12</v>
      </c>
      <c r="G3248">
        <v>844522</v>
      </c>
      <c r="H3248">
        <v>5500019188</v>
      </c>
      <c r="I3248">
        <v>150</v>
      </c>
      <c r="J3248" s="29">
        <v>1</v>
      </c>
      <c r="K3248" s="29" t="s">
        <v>455</v>
      </c>
      <c r="L3248" t="str">
        <f>IFERROR(VLOOKUP(Detalle_OC[[#This Row],[Centro]]&amp;Detalle_OC[[#This Row],[Nro Almacen]],Almacen!A:D,4,FALSE),"")</f>
        <v>Montelima</v>
      </c>
    </row>
    <row r="3249" spans="1:12" x14ac:dyDescent="0.3">
      <c r="A3249" s="29" t="str">
        <f>Detalle_OC[[#This Row],[Centro]]&amp;Detalle_OC[[#This Row],[Nom Almacen]]&amp;Detalle_OC[[#This Row],[Material]]&amp;Detalle_OC[[#This Row],[Pedido]]&amp;Detalle_OC[[#This Row],[Posicion]]</f>
        <v>Agricola del Chira PlantaMontelima8445335500019188170</v>
      </c>
      <c r="B3249" t="s">
        <v>28</v>
      </c>
      <c r="C3249" t="s">
        <v>82</v>
      </c>
      <c r="D3249" s="11">
        <v>45301</v>
      </c>
      <c r="E3249" t="s">
        <v>16</v>
      </c>
      <c r="F3249" t="s">
        <v>12</v>
      </c>
      <c r="G3249">
        <v>844533</v>
      </c>
      <c r="H3249">
        <v>5500019188</v>
      </c>
      <c r="I3249">
        <v>170</v>
      </c>
      <c r="J3249" s="29">
        <v>1</v>
      </c>
      <c r="K3249" s="29" t="s">
        <v>455</v>
      </c>
      <c r="L3249" t="str">
        <f>IFERROR(VLOOKUP(Detalle_OC[[#This Row],[Centro]]&amp;Detalle_OC[[#This Row],[Nro Almacen]],Almacen!A:D,4,FALSE),"")</f>
        <v>Montelima</v>
      </c>
    </row>
    <row r="3250" spans="1:12" x14ac:dyDescent="0.3">
      <c r="A3250" s="29" t="str">
        <f>Detalle_OC[[#This Row],[Centro]]&amp;Detalle_OC[[#This Row],[Nom Almacen]]&amp;Detalle_OC[[#This Row],[Material]]&amp;Detalle_OC[[#This Row],[Pedido]]&amp;Detalle_OC[[#This Row],[Posicion]]</f>
        <v>Agricola del Chira PlantaMontelima8445335500019188170</v>
      </c>
      <c r="B3250" t="s">
        <v>28</v>
      </c>
      <c r="C3250" t="s">
        <v>82</v>
      </c>
      <c r="D3250" s="11">
        <v>45301</v>
      </c>
      <c r="E3250" t="s">
        <v>16</v>
      </c>
      <c r="F3250" t="s">
        <v>12</v>
      </c>
      <c r="G3250">
        <v>844533</v>
      </c>
      <c r="H3250">
        <v>5500019188</v>
      </c>
      <c r="I3250">
        <v>170</v>
      </c>
      <c r="J3250" s="29">
        <v>1</v>
      </c>
      <c r="K3250" s="29" t="s">
        <v>455</v>
      </c>
      <c r="L3250" t="str">
        <f>IFERROR(VLOOKUP(Detalle_OC[[#This Row],[Centro]]&amp;Detalle_OC[[#This Row],[Nro Almacen]],Almacen!A:D,4,FALSE),"")</f>
        <v>Montelima</v>
      </c>
    </row>
    <row r="3251" spans="1:12" x14ac:dyDescent="0.3">
      <c r="A3251" s="29" t="str">
        <f>Detalle_OC[[#This Row],[Centro]]&amp;Detalle_OC[[#This Row],[Nom Almacen]]&amp;Detalle_OC[[#This Row],[Material]]&amp;Detalle_OC[[#This Row],[Pedido]]&amp;Detalle_OC[[#This Row],[Posicion]]</f>
        <v>Agricola del Chira PlantaMontelima8445115500019188180</v>
      </c>
      <c r="B3251" t="s">
        <v>28</v>
      </c>
      <c r="C3251" t="s">
        <v>82</v>
      </c>
      <c r="D3251" s="11">
        <v>45301</v>
      </c>
      <c r="E3251" t="s">
        <v>16</v>
      </c>
      <c r="F3251" t="s">
        <v>12</v>
      </c>
      <c r="G3251">
        <v>844511</v>
      </c>
      <c r="H3251">
        <v>5500019188</v>
      </c>
      <c r="I3251">
        <v>180</v>
      </c>
      <c r="J3251" s="29">
        <v>1</v>
      </c>
      <c r="K3251" s="29" t="s">
        <v>455</v>
      </c>
      <c r="L3251" t="str">
        <f>IFERROR(VLOOKUP(Detalle_OC[[#This Row],[Centro]]&amp;Detalle_OC[[#This Row],[Nro Almacen]],Almacen!A:D,4,FALSE),"")</f>
        <v>Montelima</v>
      </c>
    </row>
    <row r="3252" spans="1:12" x14ac:dyDescent="0.3">
      <c r="A3252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3252" t="s">
        <v>28</v>
      </c>
      <c r="C3252" t="s">
        <v>82</v>
      </c>
      <c r="D3252" s="11">
        <v>45301</v>
      </c>
      <c r="E3252" t="s">
        <v>16</v>
      </c>
      <c r="F3252" t="s">
        <v>12</v>
      </c>
      <c r="G3252">
        <v>844516</v>
      </c>
      <c r="H3252">
        <v>5500019188</v>
      </c>
      <c r="I3252">
        <v>190</v>
      </c>
      <c r="J3252" s="29">
        <v>1</v>
      </c>
      <c r="K3252" s="29" t="s">
        <v>455</v>
      </c>
      <c r="L3252" t="str">
        <f>IFERROR(VLOOKUP(Detalle_OC[[#This Row],[Centro]]&amp;Detalle_OC[[#This Row],[Nro Almacen]],Almacen!A:D,4,FALSE),"")</f>
        <v>Montelima</v>
      </c>
    </row>
    <row r="3253" spans="1:12" x14ac:dyDescent="0.3">
      <c r="A3253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3253" t="s">
        <v>28</v>
      </c>
      <c r="C3253" t="s">
        <v>82</v>
      </c>
      <c r="D3253" s="11">
        <v>45301</v>
      </c>
      <c r="E3253" t="s">
        <v>16</v>
      </c>
      <c r="F3253" t="s">
        <v>12</v>
      </c>
      <c r="G3253">
        <v>844516</v>
      </c>
      <c r="H3253">
        <v>5500019188</v>
      </c>
      <c r="I3253">
        <v>190</v>
      </c>
      <c r="J3253" s="29">
        <v>1</v>
      </c>
      <c r="K3253" s="29" t="s">
        <v>455</v>
      </c>
      <c r="L3253" t="str">
        <f>IFERROR(VLOOKUP(Detalle_OC[[#This Row],[Centro]]&amp;Detalle_OC[[#This Row],[Nro Almacen]],Almacen!A:D,4,FALSE),"")</f>
        <v>Montelima</v>
      </c>
    </row>
    <row r="3254" spans="1:12" x14ac:dyDescent="0.3">
      <c r="A3254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3254" t="s">
        <v>28</v>
      </c>
      <c r="C3254" t="s">
        <v>82</v>
      </c>
      <c r="D3254" s="11">
        <v>45301</v>
      </c>
      <c r="E3254" t="s">
        <v>16</v>
      </c>
      <c r="F3254" t="s">
        <v>12</v>
      </c>
      <c r="G3254">
        <v>844515</v>
      </c>
      <c r="H3254">
        <v>5500019188</v>
      </c>
      <c r="I3254">
        <v>200</v>
      </c>
      <c r="J3254" s="29">
        <v>1</v>
      </c>
      <c r="K3254" s="29" t="s">
        <v>455</v>
      </c>
      <c r="L3254" t="str">
        <f>IFERROR(VLOOKUP(Detalle_OC[[#This Row],[Centro]]&amp;Detalle_OC[[#This Row],[Nro Almacen]],Almacen!A:D,4,FALSE),"")</f>
        <v>Montelima</v>
      </c>
    </row>
    <row r="3255" spans="1:12" x14ac:dyDescent="0.3">
      <c r="A3255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3255" t="s">
        <v>28</v>
      </c>
      <c r="C3255" t="s">
        <v>82</v>
      </c>
      <c r="D3255" s="11">
        <v>45301</v>
      </c>
      <c r="E3255" t="s">
        <v>16</v>
      </c>
      <c r="F3255" t="s">
        <v>12</v>
      </c>
      <c r="G3255">
        <v>844508</v>
      </c>
      <c r="H3255">
        <v>5500019188</v>
      </c>
      <c r="I3255">
        <v>220</v>
      </c>
      <c r="J3255" s="29">
        <v>1</v>
      </c>
      <c r="K3255" s="29" t="s">
        <v>455</v>
      </c>
      <c r="L3255" t="str">
        <f>IFERROR(VLOOKUP(Detalle_OC[[#This Row],[Centro]]&amp;Detalle_OC[[#This Row],[Nro Almacen]],Almacen!A:D,4,FALSE),"")</f>
        <v>Montelima</v>
      </c>
    </row>
    <row r="3256" spans="1:12" x14ac:dyDescent="0.3">
      <c r="A3256" s="29" t="str">
        <f>Detalle_OC[[#This Row],[Centro]]&amp;Detalle_OC[[#This Row],[Nom Almacen]]&amp;Detalle_OC[[#This Row],[Material]]&amp;Detalle_OC[[#This Row],[Pedido]]&amp;Detalle_OC[[#This Row],[Posicion]]</f>
        <v>Agricola del Chira PlantaMontelima8443975500019188280</v>
      </c>
      <c r="B3256" t="s">
        <v>28</v>
      </c>
      <c r="C3256" t="s">
        <v>82</v>
      </c>
      <c r="D3256" s="11">
        <v>45301</v>
      </c>
      <c r="E3256" t="s">
        <v>16</v>
      </c>
      <c r="F3256" t="s">
        <v>12</v>
      </c>
      <c r="G3256">
        <v>844397</v>
      </c>
      <c r="H3256">
        <v>5500019188</v>
      </c>
      <c r="I3256">
        <v>280</v>
      </c>
      <c r="J3256" s="29">
        <v>1</v>
      </c>
      <c r="K3256" s="29" t="s">
        <v>455</v>
      </c>
      <c r="L3256" t="str">
        <f>IFERROR(VLOOKUP(Detalle_OC[[#This Row],[Centro]]&amp;Detalle_OC[[#This Row],[Nro Almacen]],Almacen!A:D,4,FALSE),"")</f>
        <v>Montelima</v>
      </c>
    </row>
    <row r="3257" spans="1:12" x14ac:dyDescent="0.3">
      <c r="A3257" s="29" t="str">
        <f>Detalle_OC[[#This Row],[Centro]]&amp;Detalle_OC[[#This Row],[Nom Almacen]]&amp;Detalle_OC[[#This Row],[Material]]&amp;Detalle_OC[[#This Row],[Pedido]]&amp;Detalle_OC[[#This Row],[Posicion]]</f>
        <v>Agricola del Chira PlantaMontelima8445275500019188310</v>
      </c>
      <c r="B3257" t="s">
        <v>28</v>
      </c>
      <c r="C3257" t="s">
        <v>82</v>
      </c>
      <c r="D3257" s="11">
        <v>45301</v>
      </c>
      <c r="E3257" t="s">
        <v>16</v>
      </c>
      <c r="F3257" t="s">
        <v>12</v>
      </c>
      <c r="G3257">
        <v>844527</v>
      </c>
      <c r="H3257">
        <v>5500019188</v>
      </c>
      <c r="I3257">
        <v>310</v>
      </c>
      <c r="J3257" s="29">
        <v>1</v>
      </c>
      <c r="K3257" s="29" t="s">
        <v>455</v>
      </c>
      <c r="L3257" t="str">
        <f>IFERROR(VLOOKUP(Detalle_OC[[#This Row],[Centro]]&amp;Detalle_OC[[#This Row],[Nro Almacen]],Almacen!A:D,4,FALSE),"")</f>
        <v>Montelima</v>
      </c>
    </row>
    <row r="3258" spans="1:12" x14ac:dyDescent="0.3">
      <c r="A3258" s="29" t="str">
        <f>Detalle_OC[[#This Row],[Centro]]&amp;Detalle_OC[[#This Row],[Nom Almacen]]&amp;Detalle_OC[[#This Row],[Material]]&amp;Detalle_OC[[#This Row],[Pedido]]&amp;Detalle_OC[[#This Row],[Posicion]]</f>
        <v>Agricola del Chira PlantaMontelima8445515500019188320</v>
      </c>
      <c r="B3258" t="s">
        <v>28</v>
      </c>
      <c r="C3258" t="s">
        <v>82</v>
      </c>
      <c r="D3258" s="11">
        <v>45301</v>
      </c>
      <c r="E3258" t="s">
        <v>16</v>
      </c>
      <c r="F3258" t="s">
        <v>12</v>
      </c>
      <c r="G3258">
        <v>844551</v>
      </c>
      <c r="H3258">
        <v>5500019188</v>
      </c>
      <c r="I3258">
        <v>320</v>
      </c>
      <c r="J3258" s="29">
        <v>1</v>
      </c>
      <c r="K3258" s="29" t="s">
        <v>455</v>
      </c>
      <c r="L3258" t="str">
        <f>IFERROR(VLOOKUP(Detalle_OC[[#This Row],[Centro]]&amp;Detalle_OC[[#This Row],[Nro Almacen]],Almacen!A:D,4,FALSE),"")</f>
        <v>Montelima</v>
      </c>
    </row>
    <row r="3259" spans="1:12" x14ac:dyDescent="0.3">
      <c r="A3259" s="29" t="str">
        <f>Detalle_OC[[#This Row],[Centro]]&amp;Detalle_OC[[#This Row],[Nom Almacen]]&amp;Detalle_OC[[#This Row],[Material]]&amp;Detalle_OC[[#This Row],[Pedido]]&amp;Detalle_OC[[#This Row],[Posicion]]</f>
        <v>Agricola del Chira PlantaMontelima8445515500019188320</v>
      </c>
      <c r="B3259" t="s">
        <v>28</v>
      </c>
      <c r="C3259" t="s">
        <v>82</v>
      </c>
      <c r="D3259" s="11">
        <v>45301</v>
      </c>
      <c r="E3259" t="s">
        <v>16</v>
      </c>
      <c r="F3259" t="s">
        <v>12</v>
      </c>
      <c r="G3259">
        <v>844551</v>
      </c>
      <c r="H3259">
        <v>5500019188</v>
      </c>
      <c r="I3259">
        <v>320</v>
      </c>
      <c r="J3259" s="29">
        <v>1</v>
      </c>
      <c r="K3259" s="29" t="s">
        <v>455</v>
      </c>
      <c r="L3259" t="str">
        <f>IFERROR(VLOOKUP(Detalle_OC[[#This Row],[Centro]]&amp;Detalle_OC[[#This Row],[Nro Almacen]],Almacen!A:D,4,FALSE),"")</f>
        <v>Montelima</v>
      </c>
    </row>
    <row r="3260" spans="1:12" x14ac:dyDescent="0.3">
      <c r="A3260" s="29" t="str">
        <f>Detalle_OC[[#This Row],[Centro]]&amp;Detalle_OC[[#This Row],[Nom Almacen]]&amp;Detalle_OC[[#This Row],[Material]]&amp;Detalle_OC[[#This Row],[Pedido]]&amp;Detalle_OC[[#This Row],[Posicion]]</f>
        <v>Agricola del Chira PlantaMontelima8445175500019188340</v>
      </c>
      <c r="B3260" t="s">
        <v>28</v>
      </c>
      <c r="C3260" t="s">
        <v>82</v>
      </c>
      <c r="D3260" s="11">
        <v>45301</v>
      </c>
      <c r="E3260" t="s">
        <v>16</v>
      </c>
      <c r="F3260" t="s">
        <v>12</v>
      </c>
      <c r="G3260">
        <v>844517</v>
      </c>
      <c r="H3260">
        <v>5500019188</v>
      </c>
      <c r="I3260">
        <v>340</v>
      </c>
      <c r="J3260" s="29">
        <v>1</v>
      </c>
      <c r="K3260" s="29" t="s">
        <v>455</v>
      </c>
      <c r="L3260" t="str">
        <f>IFERROR(VLOOKUP(Detalle_OC[[#This Row],[Centro]]&amp;Detalle_OC[[#This Row],[Nro Almacen]],Almacen!A:D,4,FALSE),"")</f>
        <v>Montelima</v>
      </c>
    </row>
    <row r="3261" spans="1:12" x14ac:dyDescent="0.3">
      <c r="A3261" s="29" t="str">
        <f>Detalle_OC[[#This Row],[Centro]]&amp;Detalle_OC[[#This Row],[Nom Almacen]]&amp;Detalle_OC[[#This Row],[Material]]&amp;Detalle_OC[[#This Row],[Pedido]]&amp;Detalle_OC[[#This Row],[Posicion]]</f>
        <v>Agricola del Chira PlantaMontelima8445285500019188360</v>
      </c>
      <c r="B3261" t="s">
        <v>28</v>
      </c>
      <c r="C3261" t="s">
        <v>82</v>
      </c>
      <c r="D3261" s="11">
        <v>45301</v>
      </c>
      <c r="E3261" t="s">
        <v>16</v>
      </c>
      <c r="F3261" t="s">
        <v>12</v>
      </c>
      <c r="G3261">
        <v>844528</v>
      </c>
      <c r="H3261">
        <v>5500019188</v>
      </c>
      <c r="I3261">
        <v>360</v>
      </c>
      <c r="J3261" s="29">
        <v>1</v>
      </c>
      <c r="K3261" s="29" t="s">
        <v>455</v>
      </c>
      <c r="L3261" t="str">
        <f>IFERROR(VLOOKUP(Detalle_OC[[#This Row],[Centro]]&amp;Detalle_OC[[#This Row],[Nro Almacen]],Almacen!A:D,4,FALSE),"")</f>
        <v>Montelima</v>
      </c>
    </row>
    <row r="3262" spans="1:12" x14ac:dyDescent="0.3">
      <c r="A3262" s="29" t="str">
        <f>Detalle_OC[[#This Row],[Centro]]&amp;Detalle_OC[[#This Row],[Nom Almacen]]&amp;Detalle_OC[[#This Row],[Material]]&amp;Detalle_OC[[#This Row],[Pedido]]&amp;Detalle_OC[[#This Row],[Posicion]]</f>
        <v>Agricola del Chira PlantaMontelima8445285500019188360</v>
      </c>
      <c r="B3262" t="s">
        <v>28</v>
      </c>
      <c r="C3262" t="s">
        <v>82</v>
      </c>
      <c r="D3262" s="11">
        <v>45301</v>
      </c>
      <c r="E3262" t="s">
        <v>16</v>
      </c>
      <c r="F3262" t="s">
        <v>12</v>
      </c>
      <c r="G3262">
        <v>844528</v>
      </c>
      <c r="H3262">
        <v>5500019188</v>
      </c>
      <c r="I3262">
        <v>360</v>
      </c>
      <c r="J3262" s="29">
        <v>1</v>
      </c>
      <c r="K3262" s="29" t="s">
        <v>455</v>
      </c>
      <c r="L3262" t="str">
        <f>IFERROR(VLOOKUP(Detalle_OC[[#This Row],[Centro]]&amp;Detalle_OC[[#This Row],[Nro Almacen]],Almacen!A:D,4,FALSE),"")</f>
        <v>Montelima</v>
      </c>
    </row>
    <row r="3263" spans="1:12" x14ac:dyDescent="0.3">
      <c r="A3263" s="29" t="str">
        <f>Detalle_OC[[#This Row],[Centro]]&amp;Detalle_OC[[#This Row],[Nom Almacen]]&amp;Detalle_OC[[#This Row],[Material]]&amp;Detalle_OC[[#This Row],[Pedido]]&amp;Detalle_OC[[#This Row],[Posicion]]</f>
        <v>Agricola del Chira PlantaMontelima8445215500019188410</v>
      </c>
      <c r="B3263" t="s">
        <v>28</v>
      </c>
      <c r="C3263" t="s">
        <v>82</v>
      </c>
      <c r="D3263" s="11">
        <v>45301</v>
      </c>
      <c r="E3263" t="s">
        <v>16</v>
      </c>
      <c r="F3263" t="s">
        <v>12</v>
      </c>
      <c r="G3263">
        <v>844521</v>
      </c>
      <c r="H3263">
        <v>5500019188</v>
      </c>
      <c r="I3263">
        <v>410</v>
      </c>
      <c r="J3263" s="29">
        <v>1</v>
      </c>
      <c r="K3263" s="29" t="s">
        <v>455</v>
      </c>
      <c r="L3263" t="str">
        <f>IFERROR(VLOOKUP(Detalle_OC[[#This Row],[Centro]]&amp;Detalle_OC[[#This Row],[Nro Almacen]],Almacen!A:D,4,FALSE),"")</f>
        <v>Montelima</v>
      </c>
    </row>
    <row r="3264" spans="1:12" x14ac:dyDescent="0.3">
      <c r="A3264" s="29" t="str">
        <f>Detalle_OC[[#This Row],[Centro]]&amp;Detalle_OC[[#This Row],[Nom Almacen]]&amp;Detalle_OC[[#This Row],[Material]]&amp;Detalle_OC[[#This Row],[Pedido]]&amp;Detalle_OC[[#This Row],[Posicion]]</f>
        <v>Agricola del Chira PlantaMontelima8445045500019188480</v>
      </c>
      <c r="B3264" t="s">
        <v>28</v>
      </c>
      <c r="C3264" t="s">
        <v>82</v>
      </c>
      <c r="D3264" s="11">
        <v>45301</v>
      </c>
      <c r="E3264" t="s">
        <v>16</v>
      </c>
      <c r="F3264" t="s">
        <v>12</v>
      </c>
      <c r="G3264">
        <v>844504</v>
      </c>
      <c r="H3264">
        <v>5500019188</v>
      </c>
      <c r="I3264">
        <v>480</v>
      </c>
      <c r="J3264" s="29">
        <v>1</v>
      </c>
      <c r="K3264" s="29" t="s">
        <v>455</v>
      </c>
      <c r="L3264" t="str">
        <f>IFERROR(VLOOKUP(Detalle_OC[[#This Row],[Centro]]&amp;Detalle_OC[[#This Row],[Nro Almacen]],Almacen!A:D,4,FALSE),"")</f>
        <v>Montelima</v>
      </c>
    </row>
    <row r="3265" spans="1:12" x14ac:dyDescent="0.3">
      <c r="A3265" s="29" t="str">
        <f>Detalle_OC[[#This Row],[Centro]]&amp;Detalle_OC[[#This Row],[Nom Almacen]]&amp;Detalle_OC[[#This Row],[Material]]&amp;Detalle_OC[[#This Row],[Pedido]]&amp;Detalle_OC[[#This Row],[Posicion]]</f>
        <v>Agricola del Chira PlantaMontelima8445305500019188490</v>
      </c>
      <c r="B3265" t="s">
        <v>28</v>
      </c>
      <c r="C3265" t="s">
        <v>82</v>
      </c>
      <c r="D3265" s="11">
        <v>45301</v>
      </c>
      <c r="E3265" t="s">
        <v>16</v>
      </c>
      <c r="F3265" t="s">
        <v>12</v>
      </c>
      <c r="G3265">
        <v>844530</v>
      </c>
      <c r="H3265">
        <v>5500019188</v>
      </c>
      <c r="I3265">
        <v>490</v>
      </c>
      <c r="J3265" s="29">
        <v>1</v>
      </c>
      <c r="K3265" s="29" t="s">
        <v>455</v>
      </c>
      <c r="L3265" t="str">
        <f>IFERROR(VLOOKUP(Detalle_OC[[#This Row],[Centro]]&amp;Detalle_OC[[#This Row],[Nro Almacen]],Almacen!A:D,4,FALSE),"")</f>
        <v>Montelima</v>
      </c>
    </row>
    <row r="3266" spans="1:12" x14ac:dyDescent="0.3">
      <c r="A3266" s="29" t="str">
        <f>Detalle_OC[[#This Row],[Centro]]&amp;Detalle_OC[[#This Row],[Nom Almacen]]&amp;Detalle_OC[[#This Row],[Material]]&amp;Detalle_OC[[#This Row],[Pedido]]&amp;Detalle_OC[[#This Row],[Posicion]]</f>
        <v>Agricola del Chira PlantaMontelima8445205500019188520</v>
      </c>
      <c r="B3266" t="s">
        <v>28</v>
      </c>
      <c r="C3266" t="s">
        <v>82</v>
      </c>
      <c r="D3266" s="11">
        <v>45301</v>
      </c>
      <c r="E3266" t="s">
        <v>16</v>
      </c>
      <c r="F3266" t="s">
        <v>12</v>
      </c>
      <c r="G3266">
        <v>844520</v>
      </c>
      <c r="H3266">
        <v>5500019188</v>
      </c>
      <c r="I3266">
        <v>520</v>
      </c>
      <c r="J3266" s="29">
        <v>1</v>
      </c>
      <c r="K3266" s="29" t="s">
        <v>455</v>
      </c>
      <c r="L3266" t="str">
        <f>IFERROR(VLOOKUP(Detalle_OC[[#This Row],[Centro]]&amp;Detalle_OC[[#This Row],[Nro Almacen]],Almacen!A:D,4,FALSE),"")</f>
        <v>Montelima</v>
      </c>
    </row>
    <row r="3267" spans="1:12" x14ac:dyDescent="0.3">
      <c r="A3267" s="29" t="str">
        <f>Detalle_OC[[#This Row],[Centro]]&amp;Detalle_OC[[#This Row],[Nom Almacen]]&amp;Detalle_OC[[#This Row],[Material]]&amp;Detalle_OC[[#This Row],[Pedido]]&amp;Detalle_OC[[#This Row],[Posicion]]</f>
        <v>Agricola del Chira PlantaMontelima8445385500019188560</v>
      </c>
      <c r="B3267" t="s">
        <v>28</v>
      </c>
      <c r="C3267" t="s">
        <v>82</v>
      </c>
      <c r="D3267" s="11">
        <v>45301</v>
      </c>
      <c r="E3267" t="s">
        <v>16</v>
      </c>
      <c r="F3267" t="s">
        <v>12</v>
      </c>
      <c r="G3267">
        <v>844538</v>
      </c>
      <c r="H3267">
        <v>5500019188</v>
      </c>
      <c r="I3267">
        <v>560</v>
      </c>
      <c r="J3267" s="29">
        <v>1</v>
      </c>
      <c r="K3267" s="29" t="s">
        <v>455</v>
      </c>
      <c r="L3267" t="str">
        <f>IFERROR(VLOOKUP(Detalle_OC[[#This Row],[Centro]]&amp;Detalle_OC[[#This Row],[Nro Almacen]],Almacen!A:D,4,FALSE),"")</f>
        <v>Montelima</v>
      </c>
    </row>
    <row r="3268" spans="1:12" x14ac:dyDescent="0.3">
      <c r="A3268" s="29" t="str">
        <f>Detalle_OC[[#This Row],[Centro]]&amp;Detalle_OC[[#This Row],[Nom Almacen]]&amp;Detalle_OC[[#This Row],[Material]]&amp;Detalle_OC[[#This Row],[Pedido]]&amp;Detalle_OC[[#This Row],[Posicion]]</f>
        <v>Agricola del Chira PlantaMontelima8445385500019188560</v>
      </c>
      <c r="B3268" t="s">
        <v>28</v>
      </c>
      <c r="C3268" t="s">
        <v>82</v>
      </c>
      <c r="D3268" s="11">
        <v>45301</v>
      </c>
      <c r="E3268" t="s">
        <v>16</v>
      </c>
      <c r="F3268" t="s">
        <v>12</v>
      </c>
      <c r="G3268">
        <v>844538</v>
      </c>
      <c r="H3268">
        <v>5500019188</v>
      </c>
      <c r="I3268">
        <v>560</v>
      </c>
      <c r="J3268" s="29">
        <v>1</v>
      </c>
      <c r="K3268" s="29" t="s">
        <v>455</v>
      </c>
      <c r="L3268" t="str">
        <f>IFERROR(VLOOKUP(Detalle_OC[[#This Row],[Centro]]&amp;Detalle_OC[[#This Row],[Nro Almacen]],Almacen!A:D,4,FALSE),"")</f>
        <v>Montelima</v>
      </c>
    </row>
    <row r="3269" spans="1:12" x14ac:dyDescent="0.3">
      <c r="A3269" s="29" t="str">
        <f>Detalle_OC[[#This Row],[Centro]]&amp;Detalle_OC[[#This Row],[Nom Almacen]]&amp;Detalle_OC[[#This Row],[Material]]&amp;Detalle_OC[[#This Row],[Pedido]]&amp;Detalle_OC[[#This Row],[Posicion]]</f>
        <v>Agricola del Chira PlantaMontelima8445385500019188560</v>
      </c>
      <c r="B3269" t="s">
        <v>28</v>
      </c>
      <c r="C3269" t="s">
        <v>82</v>
      </c>
      <c r="D3269" s="11">
        <v>45301</v>
      </c>
      <c r="E3269" t="s">
        <v>16</v>
      </c>
      <c r="F3269" t="s">
        <v>12</v>
      </c>
      <c r="G3269">
        <v>844538</v>
      </c>
      <c r="H3269">
        <v>5500019188</v>
      </c>
      <c r="I3269">
        <v>560</v>
      </c>
      <c r="J3269" s="29">
        <v>1</v>
      </c>
      <c r="K3269" s="29" t="s">
        <v>455</v>
      </c>
      <c r="L3269" t="str">
        <f>IFERROR(VLOOKUP(Detalle_OC[[#This Row],[Centro]]&amp;Detalle_OC[[#This Row],[Nro Almacen]],Almacen!A:D,4,FALSE),"")</f>
        <v>Montelima</v>
      </c>
    </row>
    <row r="3270" spans="1:12" x14ac:dyDescent="0.3">
      <c r="A3270" s="29" t="str">
        <f>Detalle_OC[[#This Row],[Centro]]&amp;Detalle_OC[[#This Row],[Nom Almacen]]&amp;Detalle_OC[[#This Row],[Material]]&amp;Detalle_OC[[#This Row],[Pedido]]&amp;Detalle_OC[[#This Row],[Posicion]]</f>
        <v>Agricola del Chira PlantaMontelima8457155500019188650</v>
      </c>
      <c r="B3270" t="s">
        <v>28</v>
      </c>
      <c r="C3270" t="s">
        <v>82</v>
      </c>
      <c r="D3270" s="11">
        <v>45301</v>
      </c>
      <c r="E3270" t="s">
        <v>16</v>
      </c>
      <c r="F3270" t="s">
        <v>12</v>
      </c>
      <c r="G3270">
        <v>845715</v>
      </c>
      <c r="H3270">
        <v>5500019188</v>
      </c>
      <c r="I3270">
        <v>650</v>
      </c>
      <c r="J3270" s="29">
        <v>1</v>
      </c>
      <c r="K3270" s="29" t="s">
        <v>455</v>
      </c>
      <c r="L3270" t="str">
        <f>IFERROR(VLOOKUP(Detalle_OC[[#This Row],[Centro]]&amp;Detalle_OC[[#This Row],[Nro Almacen]],Almacen!A:D,4,FALSE),"")</f>
        <v>Montelima</v>
      </c>
    </row>
    <row r="3271" spans="1:12" x14ac:dyDescent="0.3">
      <c r="A3271" s="29" t="str">
        <f>Detalle_OC[[#This Row],[Centro]]&amp;Detalle_OC[[#This Row],[Nom Almacen]]&amp;Detalle_OC[[#This Row],[Material]]&amp;Detalle_OC[[#This Row],[Pedido]]&amp;Detalle_OC[[#This Row],[Posicion]]</f>
        <v>Agricola del Chira PlantaMontelima8457155500019188650</v>
      </c>
      <c r="B3271" t="s">
        <v>28</v>
      </c>
      <c r="C3271" t="s">
        <v>82</v>
      </c>
      <c r="D3271" s="11">
        <v>45301</v>
      </c>
      <c r="E3271" t="s">
        <v>16</v>
      </c>
      <c r="F3271" t="s">
        <v>12</v>
      </c>
      <c r="G3271">
        <v>845715</v>
      </c>
      <c r="H3271">
        <v>5500019188</v>
      </c>
      <c r="I3271">
        <v>650</v>
      </c>
      <c r="J3271" s="29">
        <v>1</v>
      </c>
      <c r="K3271" s="29" t="s">
        <v>455</v>
      </c>
      <c r="L3271" t="str">
        <f>IFERROR(VLOOKUP(Detalle_OC[[#This Row],[Centro]]&amp;Detalle_OC[[#This Row],[Nro Almacen]],Almacen!A:D,4,FALSE),"")</f>
        <v>Montelima</v>
      </c>
    </row>
    <row r="3272" spans="1:12" x14ac:dyDescent="0.3">
      <c r="A3272" s="29" t="str">
        <f>Detalle_OC[[#This Row],[Centro]]&amp;Detalle_OC[[#This Row],[Nom Almacen]]&amp;Detalle_OC[[#This Row],[Material]]&amp;Detalle_OC[[#This Row],[Pedido]]&amp;Detalle_OC[[#This Row],[Posicion]]</f>
        <v>Agricola del Chira PlantaMontelima8457155500019188650</v>
      </c>
      <c r="B3272" t="s">
        <v>28</v>
      </c>
      <c r="C3272" t="s">
        <v>82</v>
      </c>
      <c r="D3272" s="11">
        <v>45301</v>
      </c>
      <c r="E3272" t="s">
        <v>16</v>
      </c>
      <c r="F3272" t="s">
        <v>12</v>
      </c>
      <c r="G3272">
        <v>845715</v>
      </c>
      <c r="H3272">
        <v>5500019188</v>
      </c>
      <c r="I3272">
        <v>650</v>
      </c>
      <c r="J3272" s="29">
        <v>1</v>
      </c>
      <c r="K3272" s="29" t="s">
        <v>455</v>
      </c>
      <c r="L3272" t="str">
        <f>IFERROR(VLOOKUP(Detalle_OC[[#This Row],[Centro]]&amp;Detalle_OC[[#This Row],[Nro Almacen]],Almacen!A:D,4,FALSE),"")</f>
        <v>Montelima</v>
      </c>
    </row>
    <row r="3273" spans="1:12" x14ac:dyDescent="0.3">
      <c r="A3273" s="29" t="str">
        <f>Detalle_OC[[#This Row],[Centro]]&amp;Detalle_OC[[#This Row],[Nom Almacen]]&amp;Detalle_OC[[#This Row],[Material]]&amp;Detalle_OC[[#This Row],[Pedido]]&amp;Detalle_OC[[#This Row],[Posicion]]</f>
        <v>Agricola del Chira PlantaMontelima8459045500019188720</v>
      </c>
      <c r="B3273" t="s">
        <v>28</v>
      </c>
      <c r="C3273" t="s">
        <v>82</v>
      </c>
      <c r="D3273" s="11">
        <v>45301</v>
      </c>
      <c r="E3273" t="s">
        <v>16</v>
      </c>
      <c r="F3273" t="s">
        <v>12</v>
      </c>
      <c r="G3273">
        <v>845904</v>
      </c>
      <c r="H3273">
        <v>5500019188</v>
      </c>
      <c r="I3273">
        <v>720</v>
      </c>
      <c r="J3273" s="29">
        <v>1</v>
      </c>
      <c r="K3273" s="29" t="s">
        <v>455</v>
      </c>
      <c r="L3273" t="str">
        <f>IFERROR(VLOOKUP(Detalle_OC[[#This Row],[Centro]]&amp;Detalle_OC[[#This Row],[Nro Almacen]],Almacen!A:D,4,FALSE),"")</f>
        <v>Montelima</v>
      </c>
    </row>
    <row r="3274" spans="1:12" x14ac:dyDescent="0.3">
      <c r="A3274" s="29" t="str">
        <f>Detalle_OC[[#This Row],[Centro]]&amp;Detalle_OC[[#This Row],[Nom Almacen]]&amp;Detalle_OC[[#This Row],[Material]]&amp;Detalle_OC[[#This Row],[Pedido]]&amp;Detalle_OC[[#This Row],[Posicion]]</f>
        <v>Agricola del Chira PlantaMontelima7002966055000191881560</v>
      </c>
      <c r="B3274" t="s">
        <v>28</v>
      </c>
      <c r="C3274" t="s">
        <v>82</v>
      </c>
      <c r="D3274" s="11">
        <v>45301</v>
      </c>
      <c r="E3274" t="s">
        <v>16</v>
      </c>
      <c r="F3274" t="s">
        <v>12</v>
      </c>
      <c r="G3274">
        <v>70029660</v>
      </c>
      <c r="H3274">
        <v>5500019188</v>
      </c>
      <c r="I3274">
        <v>1560</v>
      </c>
      <c r="J3274" s="29">
        <v>1</v>
      </c>
      <c r="K3274" s="29" t="s">
        <v>455</v>
      </c>
      <c r="L3274" t="str">
        <f>IFERROR(VLOOKUP(Detalle_OC[[#This Row],[Centro]]&amp;Detalle_OC[[#This Row],[Nro Almacen]],Almacen!A:D,4,FALSE),"")</f>
        <v>Montelima</v>
      </c>
    </row>
    <row r="3275" spans="1:12" x14ac:dyDescent="0.3">
      <c r="A3275" s="29" t="str">
        <f>Detalle_OC[[#This Row],[Centro]]&amp;Detalle_OC[[#This Row],[Nom Almacen]]&amp;Detalle_OC[[#This Row],[Material]]&amp;Detalle_OC[[#This Row],[Pedido]]&amp;Detalle_OC[[#This Row],[Posicion]]</f>
        <v>Agricola del Chira PlantaMontelima7002966055000191881560</v>
      </c>
      <c r="B3275" t="s">
        <v>28</v>
      </c>
      <c r="C3275" t="s">
        <v>82</v>
      </c>
      <c r="D3275" s="11">
        <v>45301</v>
      </c>
      <c r="E3275" t="s">
        <v>16</v>
      </c>
      <c r="F3275" t="s">
        <v>12</v>
      </c>
      <c r="G3275">
        <v>70029660</v>
      </c>
      <c r="H3275">
        <v>5500019188</v>
      </c>
      <c r="I3275">
        <v>1560</v>
      </c>
      <c r="J3275" s="29">
        <v>1</v>
      </c>
      <c r="K3275" s="29" t="s">
        <v>455</v>
      </c>
      <c r="L3275" t="str">
        <f>IFERROR(VLOOKUP(Detalle_OC[[#This Row],[Centro]]&amp;Detalle_OC[[#This Row],[Nro Almacen]],Almacen!A:D,4,FALSE),"")</f>
        <v>Montelima</v>
      </c>
    </row>
    <row r="3276" spans="1:12" x14ac:dyDescent="0.3">
      <c r="A3276" s="29" t="str">
        <f>Detalle_OC[[#This Row],[Centro]]&amp;Detalle_OC[[#This Row],[Nom Almacen]]&amp;Detalle_OC[[#This Row],[Material]]&amp;Detalle_OC[[#This Row],[Pedido]]&amp;Detalle_OC[[#This Row],[Posicion]]</f>
        <v>Sucroalcolera del Chira PlantaMontelima849010451153958210</v>
      </c>
      <c r="B3276" t="s">
        <v>206</v>
      </c>
      <c r="C3276" t="s">
        <v>288</v>
      </c>
      <c r="D3276" s="11">
        <v>45322</v>
      </c>
      <c r="E3276" t="s">
        <v>16</v>
      </c>
      <c r="F3276" t="s">
        <v>85</v>
      </c>
      <c r="G3276">
        <v>849010</v>
      </c>
      <c r="H3276">
        <v>4511539582</v>
      </c>
      <c r="I3276">
        <v>10</v>
      </c>
      <c r="J3276" s="29">
        <v>1</v>
      </c>
      <c r="K3276" s="29" t="s">
        <v>456</v>
      </c>
      <c r="L3276" t="str">
        <f>IFERROR(VLOOKUP(Detalle_OC[[#This Row],[Centro]]&amp;Detalle_OC[[#This Row],[Nro Almacen]],Almacen!A:D,4,FALSE),"")</f>
        <v>Montelima</v>
      </c>
    </row>
    <row r="3277" spans="1:12" x14ac:dyDescent="0.3">
      <c r="A3277" s="29" t="str">
        <f>Detalle_OC[[#This Row],[Centro]]&amp;Detalle_OC[[#This Row],[Nom Almacen]]&amp;Detalle_OC[[#This Row],[Material]]&amp;Detalle_OC[[#This Row],[Pedido]]&amp;Detalle_OC[[#This Row],[Posicion]]</f>
        <v>Sucroalcolera del Chira PlantaMontelima849010451153958220</v>
      </c>
      <c r="B3277" t="s">
        <v>206</v>
      </c>
      <c r="C3277" t="s">
        <v>288</v>
      </c>
      <c r="D3277" s="11">
        <v>45350</v>
      </c>
      <c r="E3277" t="s">
        <v>16</v>
      </c>
      <c r="F3277" t="s">
        <v>85</v>
      </c>
      <c r="G3277">
        <v>849010</v>
      </c>
      <c r="H3277">
        <v>4511539582</v>
      </c>
      <c r="I3277">
        <v>20</v>
      </c>
      <c r="J3277" s="29">
        <v>1</v>
      </c>
      <c r="K3277" s="29" t="s">
        <v>456</v>
      </c>
      <c r="L3277" t="str">
        <f>IFERROR(VLOOKUP(Detalle_OC[[#This Row],[Centro]]&amp;Detalle_OC[[#This Row],[Nro Almacen]],Almacen!A:D,4,FALSE),"")</f>
        <v>Montelima</v>
      </c>
    </row>
    <row r="3278" spans="1:12" x14ac:dyDescent="0.3">
      <c r="A3278" s="29" t="str">
        <f>Detalle_OC[[#This Row],[Centro]]&amp;Detalle_OC[[#This Row],[Nom Almacen]]&amp;Detalle_OC[[#This Row],[Material]]&amp;Detalle_OC[[#This Row],[Pedido]]&amp;Detalle_OC[[#This Row],[Posicion]]</f>
        <v>Sucroalcolera del Chira PlantaMontelima849010451153958230</v>
      </c>
      <c r="B3278" t="s">
        <v>206</v>
      </c>
      <c r="C3278" t="s">
        <v>288</v>
      </c>
      <c r="D3278" s="11">
        <v>45381</v>
      </c>
      <c r="E3278" t="s">
        <v>16</v>
      </c>
      <c r="F3278" t="s">
        <v>85</v>
      </c>
      <c r="G3278">
        <v>849010</v>
      </c>
      <c r="H3278">
        <v>4511539582</v>
      </c>
      <c r="I3278">
        <v>30</v>
      </c>
      <c r="J3278" s="29">
        <v>1</v>
      </c>
      <c r="K3278" s="29" t="s">
        <v>456</v>
      </c>
      <c r="L3278" t="str">
        <f>IFERROR(VLOOKUP(Detalle_OC[[#This Row],[Centro]]&amp;Detalle_OC[[#This Row],[Nro Almacen]],Almacen!A:D,4,FALSE),"")</f>
        <v>Montelima</v>
      </c>
    </row>
    <row r="3279" spans="1:12" x14ac:dyDescent="0.3">
      <c r="A3279" s="29" t="str">
        <f>Detalle_OC[[#This Row],[Centro]]&amp;Detalle_OC[[#This Row],[Nom Almacen]]&amp;Detalle_OC[[#This Row],[Material]]&amp;Detalle_OC[[#This Row],[Pedido]]&amp;Detalle_OC[[#This Row],[Posicion]]</f>
        <v>Sucroalcolera del Chira PlantaMontelima849010451153958240</v>
      </c>
      <c r="B3279" t="s">
        <v>206</v>
      </c>
      <c r="C3279" t="s">
        <v>288</v>
      </c>
      <c r="D3279" s="11">
        <v>45412</v>
      </c>
      <c r="E3279" t="s">
        <v>16</v>
      </c>
      <c r="F3279" t="s">
        <v>85</v>
      </c>
      <c r="G3279">
        <v>849010</v>
      </c>
      <c r="H3279">
        <v>4511539582</v>
      </c>
      <c r="I3279">
        <v>40</v>
      </c>
      <c r="J3279" s="29">
        <v>1</v>
      </c>
      <c r="K3279" s="29" t="s">
        <v>456</v>
      </c>
      <c r="L3279" t="str">
        <f>IFERROR(VLOOKUP(Detalle_OC[[#This Row],[Centro]]&amp;Detalle_OC[[#This Row],[Nro Almacen]],Almacen!A:D,4,FALSE),"")</f>
        <v>Montelima</v>
      </c>
    </row>
    <row r="3280" spans="1:12" x14ac:dyDescent="0.3">
      <c r="A3280" s="29" t="str">
        <f>Detalle_OC[[#This Row],[Centro]]&amp;Detalle_OC[[#This Row],[Nom Almacen]]&amp;Detalle_OC[[#This Row],[Material]]&amp;Detalle_OC[[#This Row],[Pedido]]&amp;Detalle_OC[[#This Row],[Posicion]]</f>
        <v>Sucroalcolera del Chira PlantaMontelima849010451153958250</v>
      </c>
      <c r="B3280" t="s">
        <v>206</v>
      </c>
      <c r="C3280" t="s">
        <v>288</v>
      </c>
      <c r="D3280" s="11">
        <v>45471</v>
      </c>
      <c r="E3280" t="s">
        <v>16</v>
      </c>
      <c r="F3280" t="s">
        <v>85</v>
      </c>
      <c r="G3280">
        <v>849010</v>
      </c>
      <c r="H3280">
        <v>4511539582</v>
      </c>
      <c r="I3280">
        <v>50</v>
      </c>
      <c r="J3280" s="29">
        <v>1</v>
      </c>
      <c r="K3280" s="29" t="s">
        <v>456</v>
      </c>
      <c r="L3280" t="str">
        <f>IFERROR(VLOOKUP(Detalle_OC[[#This Row],[Centro]]&amp;Detalle_OC[[#This Row],[Nro Almacen]],Almacen!A:D,4,FALSE),"")</f>
        <v>Montelima</v>
      </c>
    </row>
    <row r="3281" spans="1:12" x14ac:dyDescent="0.3">
      <c r="A3281" s="29" t="str">
        <f>Detalle_OC[[#This Row],[Centro]]&amp;Detalle_OC[[#This Row],[Nom Almacen]]&amp;Detalle_OC[[#This Row],[Material]]&amp;Detalle_OC[[#This Row],[Pedido]]&amp;Detalle_OC[[#This Row],[Posicion]]</f>
        <v>Sucroalcolera del Chira PlantaMontelima849010451153958260</v>
      </c>
      <c r="B3281" t="s">
        <v>206</v>
      </c>
      <c r="C3281" t="s">
        <v>288</v>
      </c>
      <c r="D3281" s="11">
        <v>45473</v>
      </c>
      <c r="E3281" t="s">
        <v>16</v>
      </c>
      <c r="F3281" t="s">
        <v>85</v>
      </c>
      <c r="G3281">
        <v>849010</v>
      </c>
      <c r="H3281">
        <v>4511539582</v>
      </c>
      <c r="I3281">
        <v>60</v>
      </c>
      <c r="J3281" s="29">
        <v>1</v>
      </c>
      <c r="K3281" s="29" t="s">
        <v>456</v>
      </c>
      <c r="L3281" t="str">
        <f>IFERROR(VLOOKUP(Detalle_OC[[#This Row],[Centro]]&amp;Detalle_OC[[#This Row],[Nro Almacen]],Almacen!A:D,4,FALSE),"")</f>
        <v>Montelima</v>
      </c>
    </row>
    <row r="3282" spans="1:12" x14ac:dyDescent="0.3">
      <c r="A3282" s="29" t="str">
        <f>Detalle_OC[[#This Row],[Centro]]&amp;Detalle_OC[[#This Row],[Nom Almacen]]&amp;Detalle_OC[[#This Row],[Material]]&amp;Detalle_OC[[#This Row],[Pedido]]&amp;Detalle_OC[[#This Row],[Posicion]]</f>
        <v>Sucroalcolera del Chira PlantaMontelima849010451153958270</v>
      </c>
      <c r="B3282" t="s">
        <v>206</v>
      </c>
      <c r="C3282" t="s">
        <v>288</v>
      </c>
      <c r="D3282" s="11">
        <v>45503</v>
      </c>
      <c r="E3282" t="s">
        <v>16</v>
      </c>
      <c r="F3282" t="s">
        <v>85</v>
      </c>
      <c r="G3282">
        <v>849010</v>
      </c>
      <c r="H3282">
        <v>4511539582</v>
      </c>
      <c r="I3282">
        <v>70</v>
      </c>
      <c r="J3282" s="29">
        <v>1</v>
      </c>
      <c r="K3282" s="29" t="s">
        <v>456</v>
      </c>
      <c r="L3282" t="str">
        <f>IFERROR(VLOOKUP(Detalle_OC[[#This Row],[Centro]]&amp;Detalle_OC[[#This Row],[Nro Almacen]],Almacen!A:D,4,FALSE),"")</f>
        <v>Montelima</v>
      </c>
    </row>
    <row r="3283" spans="1:12" x14ac:dyDescent="0.3">
      <c r="A3283" s="29" t="str">
        <f>Detalle_OC[[#This Row],[Centro]]&amp;Detalle_OC[[#This Row],[Nom Almacen]]&amp;Detalle_OC[[#This Row],[Material]]&amp;Detalle_OC[[#This Row],[Pedido]]&amp;Detalle_OC[[#This Row],[Posicion]]</f>
        <v>Sucroalcolera del Chira PlantaMontelima849010451153958280</v>
      </c>
      <c r="B3283" t="s">
        <v>206</v>
      </c>
      <c r="C3283" t="s">
        <v>288</v>
      </c>
      <c r="D3283" s="11">
        <v>45534</v>
      </c>
      <c r="E3283" t="s">
        <v>16</v>
      </c>
      <c r="F3283" t="s">
        <v>85</v>
      </c>
      <c r="G3283">
        <v>849010</v>
      </c>
      <c r="H3283">
        <v>4511539582</v>
      </c>
      <c r="I3283">
        <v>80</v>
      </c>
      <c r="J3283" s="29">
        <v>1</v>
      </c>
      <c r="K3283" s="29" t="s">
        <v>456</v>
      </c>
      <c r="L3283" t="str">
        <f>IFERROR(VLOOKUP(Detalle_OC[[#This Row],[Centro]]&amp;Detalle_OC[[#This Row],[Nro Almacen]],Almacen!A:D,4,FALSE),"")</f>
        <v>Montelima</v>
      </c>
    </row>
    <row r="3284" spans="1:12" x14ac:dyDescent="0.3">
      <c r="A3284" s="29" t="str">
        <f>Detalle_OC[[#This Row],[Centro]]&amp;Detalle_OC[[#This Row],[Nom Almacen]]&amp;Detalle_OC[[#This Row],[Material]]&amp;Detalle_OC[[#This Row],[Pedido]]&amp;Detalle_OC[[#This Row],[Posicion]]</f>
        <v>Sucroalcolera del Chira PlantaMontelima849010451153958290</v>
      </c>
      <c r="B3284" t="s">
        <v>206</v>
      </c>
      <c r="C3284" t="s">
        <v>288</v>
      </c>
      <c r="D3284" s="11">
        <v>45565</v>
      </c>
      <c r="E3284" t="s">
        <v>16</v>
      </c>
      <c r="F3284" t="s">
        <v>85</v>
      </c>
      <c r="G3284">
        <v>849010</v>
      </c>
      <c r="H3284">
        <v>4511539582</v>
      </c>
      <c r="I3284">
        <v>90</v>
      </c>
      <c r="J3284" s="29">
        <v>1</v>
      </c>
      <c r="K3284" s="29" t="s">
        <v>456</v>
      </c>
      <c r="L3284" t="str">
        <f>IFERROR(VLOOKUP(Detalle_OC[[#This Row],[Centro]]&amp;Detalle_OC[[#This Row],[Nro Almacen]],Almacen!A:D,4,FALSE),"")</f>
        <v>Montelima</v>
      </c>
    </row>
    <row r="3285" spans="1:12" x14ac:dyDescent="0.3">
      <c r="A3285" s="29" t="str">
        <f>Detalle_OC[[#This Row],[Centro]]&amp;Detalle_OC[[#This Row],[Nom Almacen]]&amp;Detalle_OC[[#This Row],[Material]]&amp;Detalle_OC[[#This Row],[Pedido]]&amp;Detalle_OC[[#This Row],[Posicion]]</f>
        <v>Sucroalcolera del Chira PlantaMontelima8490104511539582100</v>
      </c>
      <c r="B3285" t="s">
        <v>206</v>
      </c>
      <c r="C3285" t="s">
        <v>288</v>
      </c>
      <c r="D3285" s="11">
        <v>45596</v>
      </c>
      <c r="E3285" t="s">
        <v>16</v>
      </c>
      <c r="F3285" t="s">
        <v>85</v>
      </c>
      <c r="G3285">
        <v>849010</v>
      </c>
      <c r="H3285">
        <v>4511539582</v>
      </c>
      <c r="I3285">
        <v>100</v>
      </c>
      <c r="J3285" s="29">
        <v>1</v>
      </c>
      <c r="K3285" s="29" t="s">
        <v>456</v>
      </c>
      <c r="L3285" t="str">
        <f>IFERROR(VLOOKUP(Detalle_OC[[#This Row],[Centro]]&amp;Detalle_OC[[#This Row],[Nro Almacen]],Almacen!A:D,4,FALSE),"")</f>
        <v>Montelima</v>
      </c>
    </row>
    <row r="3286" spans="1:12" x14ac:dyDescent="0.3">
      <c r="A3286" s="29" t="str">
        <f>Detalle_OC[[#This Row],[Centro]]&amp;Detalle_OC[[#This Row],[Nom Almacen]]&amp;Detalle_OC[[#This Row],[Material]]&amp;Detalle_OC[[#This Row],[Pedido]]&amp;Detalle_OC[[#This Row],[Posicion]]</f>
        <v>Sucroalcolera del Chira PlantaMontelima8490104511539582110</v>
      </c>
      <c r="B3286" t="s">
        <v>206</v>
      </c>
      <c r="C3286" t="s">
        <v>288</v>
      </c>
      <c r="D3286" s="11">
        <v>45626</v>
      </c>
      <c r="E3286" t="s">
        <v>16</v>
      </c>
      <c r="F3286" t="s">
        <v>85</v>
      </c>
      <c r="G3286">
        <v>849010</v>
      </c>
      <c r="H3286">
        <v>4511539582</v>
      </c>
      <c r="I3286">
        <v>110</v>
      </c>
      <c r="J3286" s="29">
        <v>1</v>
      </c>
      <c r="K3286" s="29" t="s">
        <v>456</v>
      </c>
      <c r="L3286" t="str">
        <f>IFERROR(VLOOKUP(Detalle_OC[[#This Row],[Centro]]&amp;Detalle_OC[[#This Row],[Nro Almacen]],Almacen!A:D,4,FALSE),"")</f>
        <v>Montelima</v>
      </c>
    </row>
    <row r="3287" spans="1:12" x14ac:dyDescent="0.3">
      <c r="A3287" s="29" t="str">
        <f>Detalle_OC[[#This Row],[Centro]]&amp;Detalle_OC[[#This Row],[Nom Almacen]]&amp;Detalle_OC[[#This Row],[Material]]&amp;Detalle_OC[[#This Row],[Pedido]]&amp;Detalle_OC[[#This Row],[Posicion]]</f>
        <v>Sucroalcolera del Chira PlantaMontelima8490104511539582120</v>
      </c>
      <c r="B3287" t="s">
        <v>206</v>
      </c>
      <c r="C3287" t="s">
        <v>288</v>
      </c>
      <c r="D3287" s="11">
        <v>45657</v>
      </c>
      <c r="E3287" t="s">
        <v>16</v>
      </c>
      <c r="F3287" t="s">
        <v>85</v>
      </c>
      <c r="G3287">
        <v>849010</v>
      </c>
      <c r="H3287">
        <v>4511539582</v>
      </c>
      <c r="I3287">
        <v>120</v>
      </c>
      <c r="J3287" s="29">
        <v>1</v>
      </c>
      <c r="K3287" s="29" t="s">
        <v>456</v>
      </c>
      <c r="L3287" t="str">
        <f>IFERROR(VLOOKUP(Detalle_OC[[#This Row],[Centro]]&amp;Detalle_OC[[#This Row],[Nro Almacen]],Almacen!A:D,4,FALSE),"")</f>
        <v>Montelima</v>
      </c>
    </row>
    <row r="3288" spans="1:12" x14ac:dyDescent="0.3">
      <c r="A3288" s="29" t="str">
        <f>Detalle_OC[[#This Row],[Centro]]&amp;Detalle_OC[[#This Row],[Nom Almacen]]&amp;Detalle_OC[[#This Row],[Material]]&amp;Detalle_OC[[#This Row],[Pedido]]&amp;Detalle_OC[[#This Row],[Posicion]]</f>
        <v>Sucroalcolera del Chira PlantaMontelima70084356550002468210</v>
      </c>
      <c r="B3288" t="s">
        <v>28</v>
      </c>
      <c r="C3288" t="s">
        <v>84</v>
      </c>
      <c r="D3288" s="11">
        <v>45302</v>
      </c>
      <c r="E3288" t="s">
        <v>16</v>
      </c>
      <c r="F3288" t="s">
        <v>85</v>
      </c>
      <c r="G3288">
        <v>70084356</v>
      </c>
      <c r="H3288">
        <v>5500024682</v>
      </c>
      <c r="I3288">
        <v>10</v>
      </c>
      <c r="J3288" s="29">
        <v>1</v>
      </c>
      <c r="K3288" s="29" t="s">
        <v>457</v>
      </c>
      <c r="L3288" t="str">
        <f>IFERROR(VLOOKUP(Detalle_OC[[#This Row],[Centro]]&amp;Detalle_OC[[#This Row],[Nro Almacen]],Almacen!A:D,4,FALSE),"")</f>
        <v>Montelima</v>
      </c>
    </row>
    <row r="3289" spans="1:12" x14ac:dyDescent="0.3">
      <c r="A3289" s="29" t="str">
        <f>Detalle_OC[[#This Row],[Centro]]&amp;Detalle_OC[[#This Row],[Nom Almacen]]&amp;Detalle_OC[[#This Row],[Material]]&amp;Detalle_OC[[#This Row],[Pedido]]&amp;Detalle_OC[[#This Row],[Posicion]]</f>
        <v>Agricola del Chira PlantaLa Huaca70077698451153855210</v>
      </c>
      <c r="B3289" t="s">
        <v>181</v>
      </c>
      <c r="C3289" t="s">
        <v>312</v>
      </c>
      <c r="D3289" s="11">
        <v>45523</v>
      </c>
      <c r="E3289" t="s">
        <v>16</v>
      </c>
      <c r="F3289" t="s">
        <v>12</v>
      </c>
      <c r="G3289">
        <v>70077698</v>
      </c>
      <c r="H3289">
        <v>4511538552</v>
      </c>
      <c r="I3289">
        <v>10</v>
      </c>
      <c r="J3289" s="29">
        <v>2</v>
      </c>
      <c r="K3289" s="29" t="s">
        <v>1221</v>
      </c>
      <c r="L3289" t="str">
        <f>IFERROR(VLOOKUP(Detalle_OC[[#This Row],[Centro]]&amp;Detalle_OC[[#This Row],[Nro Almacen]],Almacen!A:D,4,FALSE),"")</f>
        <v>La Huaca</v>
      </c>
    </row>
    <row r="3290" spans="1:12" x14ac:dyDescent="0.3">
      <c r="A3290" s="29" t="str">
        <f>Detalle_OC[[#This Row],[Centro]]&amp;Detalle_OC[[#This Row],[Nom Almacen]]&amp;Detalle_OC[[#This Row],[Material]]&amp;Detalle_OC[[#This Row],[Pedido]]&amp;Detalle_OC[[#This Row],[Posicion]]</f>
        <v>Agricola del Chira PlantaAlmacen Lobo70038676451153855220</v>
      </c>
      <c r="B3290" t="s">
        <v>26</v>
      </c>
      <c r="C3290" t="s">
        <v>312</v>
      </c>
      <c r="D3290" s="11">
        <v>45359</v>
      </c>
      <c r="E3290" t="s">
        <v>16</v>
      </c>
      <c r="F3290" t="s">
        <v>12</v>
      </c>
      <c r="G3290">
        <v>70038676</v>
      </c>
      <c r="H3290">
        <v>4511538552</v>
      </c>
      <c r="I3290">
        <v>20</v>
      </c>
      <c r="J3290" s="29">
        <v>7</v>
      </c>
      <c r="K3290" s="29" t="s">
        <v>1221</v>
      </c>
      <c r="L3290" t="str">
        <f>IFERROR(VLOOKUP(Detalle_OC[[#This Row],[Centro]]&amp;Detalle_OC[[#This Row],[Nro Almacen]],Almacen!A:D,4,FALSE),"")</f>
        <v>Almacen Lobo</v>
      </c>
    </row>
    <row r="3291" spans="1:12" x14ac:dyDescent="0.3">
      <c r="A3291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3291" t="s">
        <v>28</v>
      </c>
      <c r="C3291" t="s">
        <v>84</v>
      </c>
      <c r="D3291" s="11">
        <v>45282</v>
      </c>
      <c r="E3291" t="s">
        <v>16</v>
      </c>
      <c r="F3291" t="s">
        <v>85</v>
      </c>
      <c r="G3291">
        <v>801846</v>
      </c>
      <c r="H3291">
        <v>5500022336</v>
      </c>
      <c r="I3291">
        <v>10</v>
      </c>
      <c r="J3291" s="29">
        <v>1</v>
      </c>
      <c r="K3291" s="29" t="s">
        <v>458</v>
      </c>
      <c r="L3291" t="str">
        <f>IFERROR(VLOOKUP(Detalle_OC[[#This Row],[Centro]]&amp;Detalle_OC[[#This Row],[Nro Almacen]],Almacen!A:D,4,FALSE),"")</f>
        <v>Montelima</v>
      </c>
    </row>
    <row r="3292" spans="1:12" x14ac:dyDescent="0.3">
      <c r="A3292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3292" t="s">
        <v>28</v>
      </c>
      <c r="C3292" t="s">
        <v>84</v>
      </c>
      <c r="D3292" s="11">
        <v>45282</v>
      </c>
      <c r="E3292" t="s">
        <v>16</v>
      </c>
      <c r="F3292" t="s">
        <v>12</v>
      </c>
      <c r="G3292">
        <v>801846</v>
      </c>
      <c r="H3292">
        <v>5500022338</v>
      </c>
      <c r="I3292">
        <v>40</v>
      </c>
      <c r="J3292" s="29">
        <v>1</v>
      </c>
      <c r="K3292" s="29" t="s">
        <v>458</v>
      </c>
      <c r="L3292" t="str">
        <f>IFERROR(VLOOKUP(Detalle_OC[[#This Row],[Centro]]&amp;Detalle_OC[[#This Row],[Nro Almacen]],Almacen!A:D,4,FALSE),"")</f>
        <v>Montelima</v>
      </c>
    </row>
    <row r="3293" spans="1:12" x14ac:dyDescent="0.3">
      <c r="A3293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3293" t="s">
        <v>28</v>
      </c>
      <c r="C3293" t="s">
        <v>82</v>
      </c>
      <c r="D3293" s="11">
        <v>45275</v>
      </c>
      <c r="E3293" t="s">
        <v>16</v>
      </c>
      <c r="F3293" t="s">
        <v>12</v>
      </c>
      <c r="G3293">
        <v>844516</v>
      </c>
      <c r="H3293">
        <v>5500019188</v>
      </c>
      <c r="I3293">
        <v>190</v>
      </c>
      <c r="J3293" s="29">
        <v>1</v>
      </c>
      <c r="K3293" s="29" t="s">
        <v>459</v>
      </c>
      <c r="L3293" t="str">
        <f>IFERROR(VLOOKUP(Detalle_OC[[#This Row],[Centro]]&amp;Detalle_OC[[#This Row],[Nro Almacen]],Almacen!A:D,4,FALSE),"")</f>
        <v>Montelima</v>
      </c>
    </row>
    <row r="3294" spans="1:12" x14ac:dyDescent="0.3">
      <c r="A3294" s="29" t="str">
        <f>Detalle_OC[[#This Row],[Centro]]&amp;Detalle_OC[[#This Row],[Nom Almacen]]&amp;Detalle_OC[[#This Row],[Material]]&amp;Detalle_OC[[#This Row],[Pedido]]&amp;Detalle_OC[[#This Row],[Posicion]]</f>
        <v>Agricola del Chira PlantaMontelima8445325500019188440</v>
      </c>
      <c r="B3294" t="s">
        <v>28</v>
      </c>
      <c r="C3294" t="s">
        <v>82</v>
      </c>
      <c r="D3294" s="11">
        <v>45275</v>
      </c>
      <c r="E3294" t="s">
        <v>16</v>
      </c>
      <c r="F3294" t="s">
        <v>12</v>
      </c>
      <c r="G3294">
        <v>844532</v>
      </c>
      <c r="H3294">
        <v>5500019188</v>
      </c>
      <c r="I3294">
        <v>440</v>
      </c>
      <c r="J3294" s="29">
        <v>1</v>
      </c>
      <c r="K3294" s="29" t="s">
        <v>459</v>
      </c>
      <c r="L3294" t="str">
        <f>IFERROR(VLOOKUP(Detalle_OC[[#This Row],[Centro]]&amp;Detalle_OC[[#This Row],[Nro Almacen]],Almacen!A:D,4,FALSE),"")</f>
        <v>Montelima</v>
      </c>
    </row>
    <row r="3295" spans="1:12" x14ac:dyDescent="0.3">
      <c r="A3295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fábrica710451451153596310</v>
      </c>
      <c r="B3295" t="s">
        <v>176</v>
      </c>
      <c r="C3295" t="s">
        <v>157</v>
      </c>
      <c r="D3295" s="11">
        <v>45306</v>
      </c>
      <c r="E3295" t="s">
        <v>16</v>
      </c>
      <c r="F3295" t="s">
        <v>85</v>
      </c>
      <c r="G3295">
        <v>710451</v>
      </c>
      <c r="H3295">
        <v>4511535963</v>
      </c>
      <c r="I3295">
        <v>10</v>
      </c>
      <c r="J3295" s="29">
        <v>9</v>
      </c>
      <c r="K3295" s="29" t="s">
        <v>460</v>
      </c>
      <c r="L3295" t="str">
        <f>IFERROR(VLOOKUP(Detalle_OC[[#This Row],[Centro]]&amp;Detalle_OC[[#This Row],[Nro Almacen]],Almacen!A:D,4,FALSE),"")</f>
        <v>Parada fábrica</v>
      </c>
    </row>
    <row r="3296" spans="1:12" x14ac:dyDescent="0.3">
      <c r="A3296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fábrica715110451153596320</v>
      </c>
      <c r="B3296" t="s">
        <v>176</v>
      </c>
      <c r="C3296" t="s">
        <v>157</v>
      </c>
      <c r="D3296" s="11">
        <v>45306</v>
      </c>
      <c r="E3296" t="s">
        <v>16</v>
      </c>
      <c r="F3296" t="s">
        <v>85</v>
      </c>
      <c r="G3296">
        <v>715110</v>
      </c>
      <c r="H3296">
        <v>4511535963</v>
      </c>
      <c r="I3296">
        <v>20</v>
      </c>
      <c r="J3296" s="29">
        <v>9</v>
      </c>
      <c r="K3296" s="29" t="s">
        <v>460</v>
      </c>
      <c r="L3296" t="str">
        <f>IFERROR(VLOOKUP(Detalle_OC[[#This Row],[Centro]]&amp;Detalle_OC[[#This Row],[Nro Almacen]],Almacen!A:D,4,FALSE),"")</f>
        <v>Parada fábrica</v>
      </c>
    </row>
    <row r="3297" spans="1:12" x14ac:dyDescent="0.3">
      <c r="A3297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fábrica715110451153596330</v>
      </c>
      <c r="B3297" t="s">
        <v>176</v>
      </c>
      <c r="C3297" t="s">
        <v>157</v>
      </c>
      <c r="D3297" s="11">
        <v>45306</v>
      </c>
      <c r="E3297" t="s">
        <v>16</v>
      </c>
      <c r="F3297" t="s">
        <v>85</v>
      </c>
      <c r="G3297">
        <v>715110</v>
      </c>
      <c r="H3297">
        <v>4511535963</v>
      </c>
      <c r="I3297">
        <v>30</v>
      </c>
      <c r="J3297" s="29">
        <v>9</v>
      </c>
      <c r="K3297" s="29" t="s">
        <v>460</v>
      </c>
      <c r="L3297" t="str">
        <f>IFERROR(VLOOKUP(Detalle_OC[[#This Row],[Centro]]&amp;Detalle_OC[[#This Row],[Nro Almacen]],Almacen!A:D,4,FALSE),"")</f>
        <v>Parada fábrica</v>
      </c>
    </row>
    <row r="3298" spans="1:12" x14ac:dyDescent="0.3">
      <c r="A3298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fábrica715110451153596340</v>
      </c>
      <c r="B3298" t="s">
        <v>176</v>
      </c>
      <c r="C3298" t="s">
        <v>157</v>
      </c>
      <c r="D3298" s="11">
        <v>45306</v>
      </c>
      <c r="E3298" t="s">
        <v>16</v>
      </c>
      <c r="F3298" t="s">
        <v>85</v>
      </c>
      <c r="G3298">
        <v>715110</v>
      </c>
      <c r="H3298">
        <v>4511535963</v>
      </c>
      <c r="I3298">
        <v>40</v>
      </c>
      <c r="J3298" s="29">
        <v>9</v>
      </c>
      <c r="K3298" s="29" t="s">
        <v>460</v>
      </c>
      <c r="L3298" t="str">
        <f>IFERROR(VLOOKUP(Detalle_OC[[#This Row],[Centro]]&amp;Detalle_OC[[#This Row],[Nro Almacen]],Almacen!A:D,4,FALSE),"")</f>
        <v>Parada fábrica</v>
      </c>
    </row>
    <row r="3299" spans="1:12" x14ac:dyDescent="0.3">
      <c r="A3299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fábrica715111451153596350</v>
      </c>
      <c r="B3299" t="s">
        <v>176</v>
      </c>
      <c r="C3299" t="s">
        <v>157</v>
      </c>
      <c r="D3299" s="11">
        <v>45306</v>
      </c>
      <c r="E3299" t="s">
        <v>16</v>
      </c>
      <c r="F3299" t="s">
        <v>85</v>
      </c>
      <c r="G3299">
        <v>715111</v>
      </c>
      <c r="H3299">
        <v>4511535963</v>
      </c>
      <c r="I3299">
        <v>50</v>
      </c>
      <c r="J3299" s="29">
        <v>9</v>
      </c>
      <c r="K3299" s="29" t="s">
        <v>460</v>
      </c>
      <c r="L3299" t="str">
        <f>IFERROR(VLOOKUP(Detalle_OC[[#This Row],[Centro]]&amp;Detalle_OC[[#This Row],[Nro Almacen]],Almacen!A:D,4,FALSE),"")</f>
        <v>Parada fábrica</v>
      </c>
    </row>
    <row r="3300" spans="1:12" x14ac:dyDescent="0.3">
      <c r="A3300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fábrica715111451153596360</v>
      </c>
      <c r="B3300" t="s">
        <v>176</v>
      </c>
      <c r="C3300" t="s">
        <v>157</v>
      </c>
      <c r="D3300" s="11">
        <v>45306</v>
      </c>
      <c r="E3300" t="s">
        <v>16</v>
      </c>
      <c r="F3300" t="s">
        <v>85</v>
      </c>
      <c r="G3300">
        <v>715111</v>
      </c>
      <c r="H3300">
        <v>4511535963</v>
      </c>
      <c r="I3300">
        <v>60</v>
      </c>
      <c r="J3300" s="29">
        <v>9</v>
      </c>
      <c r="K3300" s="29" t="s">
        <v>460</v>
      </c>
      <c r="L3300" t="str">
        <f>IFERROR(VLOOKUP(Detalle_OC[[#This Row],[Centro]]&amp;Detalle_OC[[#This Row],[Nro Almacen]],Almacen!A:D,4,FALSE),"")</f>
        <v>Parada fábrica</v>
      </c>
    </row>
    <row r="3301" spans="1:12" x14ac:dyDescent="0.3">
      <c r="A3301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fábrica715111451153596370</v>
      </c>
      <c r="B3301" t="s">
        <v>176</v>
      </c>
      <c r="C3301" t="s">
        <v>157</v>
      </c>
      <c r="D3301" s="11">
        <v>45306</v>
      </c>
      <c r="E3301" t="s">
        <v>16</v>
      </c>
      <c r="F3301" t="s">
        <v>85</v>
      </c>
      <c r="G3301">
        <v>715111</v>
      </c>
      <c r="H3301">
        <v>4511535963</v>
      </c>
      <c r="I3301">
        <v>70</v>
      </c>
      <c r="J3301" s="29">
        <v>9</v>
      </c>
      <c r="K3301" s="29" t="s">
        <v>460</v>
      </c>
      <c r="L3301" t="str">
        <f>IFERROR(VLOOKUP(Detalle_OC[[#This Row],[Centro]]&amp;Detalle_OC[[#This Row],[Nro Almacen]],Almacen!A:D,4,FALSE),"")</f>
        <v>Parada fábrica</v>
      </c>
    </row>
    <row r="3302" spans="1:12" x14ac:dyDescent="0.3">
      <c r="A3302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fábrica790028451153596380</v>
      </c>
      <c r="B3302" t="s">
        <v>176</v>
      </c>
      <c r="C3302" t="s">
        <v>157</v>
      </c>
      <c r="D3302" s="11">
        <v>45523</v>
      </c>
      <c r="E3302" t="s">
        <v>16</v>
      </c>
      <c r="F3302" t="s">
        <v>85</v>
      </c>
      <c r="G3302">
        <v>790028</v>
      </c>
      <c r="H3302">
        <v>4511535963</v>
      </c>
      <c r="I3302">
        <v>80</v>
      </c>
      <c r="J3302" s="29">
        <v>9</v>
      </c>
      <c r="K3302" s="29" t="s">
        <v>460</v>
      </c>
      <c r="L3302" t="str">
        <f>IFERROR(VLOOKUP(Detalle_OC[[#This Row],[Centro]]&amp;Detalle_OC[[#This Row],[Nro Almacen]],Almacen!A:D,4,FALSE),"")</f>
        <v>Parada fábrica</v>
      </c>
    </row>
    <row r="3303" spans="1:12" x14ac:dyDescent="0.3">
      <c r="A3303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fábrica790028451153596390</v>
      </c>
      <c r="B3303" t="s">
        <v>176</v>
      </c>
      <c r="C3303" t="s">
        <v>157</v>
      </c>
      <c r="D3303" s="11">
        <v>45306</v>
      </c>
      <c r="E3303" t="s">
        <v>16</v>
      </c>
      <c r="F3303" t="s">
        <v>85</v>
      </c>
      <c r="G3303">
        <v>790028</v>
      </c>
      <c r="H3303">
        <v>4511535963</v>
      </c>
      <c r="I3303">
        <v>90</v>
      </c>
      <c r="J3303" s="29">
        <v>9</v>
      </c>
      <c r="K3303" s="29" t="s">
        <v>460</v>
      </c>
      <c r="L3303" t="str">
        <f>IFERROR(VLOOKUP(Detalle_OC[[#This Row],[Centro]]&amp;Detalle_OC[[#This Row],[Nro Almacen]],Almacen!A:D,4,FALSE),"")</f>
        <v>Parada fábrica</v>
      </c>
    </row>
    <row r="3304" spans="1:12" x14ac:dyDescent="0.3">
      <c r="A3304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fábrica7900284511535963100</v>
      </c>
      <c r="B3304" t="s">
        <v>176</v>
      </c>
      <c r="C3304" t="s">
        <v>157</v>
      </c>
      <c r="D3304" s="11">
        <v>45306</v>
      </c>
      <c r="E3304" t="s">
        <v>16</v>
      </c>
      <c r="F3304" t="s">
        <v>85</v>
      </c>
      <c r="G3304">
        <v>790028</v>
      </c>
      <c r="H3304">
        <v>4511535963</v>
      </c>
      <c r="I3304">
        <v>100</v>
      </c>
      <c r="J3304" s="29">
        <v>9</v>
      </c>
      <c r="K3304" s="29" t="s">
        <v>460</v>
      </c>
      <c r="L3304" t="str">
        <f>IFERROR(VLOOKUP(Detalle_OC[[#This Row],[Centro]]&amp;Detalle_OC[[#This Row],[Nro Almacen]],Almacen!A:D,4,FALSE),"")</f>
        <v>Parada fábrica</v>
      </c>
    </row>
    <row r="3305" spans="1:12" x14ac:dyDescent="0.3">
      <c r="A3305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fábrica8220384511535963110</v>
      </c>
      <c r="B3305" t="s">
        <v>176</v>
      </c>
      <c r="C3305" t="s">
        <v>157</v>
      </c>
      <c r="D3305" s="11">
        <v>45306</v>
      </c>
      <c r="E3305" t="s">
        <v>16</v>
      </c>
      <c r="F3305" t="s">
        <v>85</v>
      </c>
      <c r="G3305">
        <v>822038</v>
      </c>
      <c r="H3305">
        <v>4511535963</v>
      </c>
      <c r="I3305">
        <v>110</v>
      </c>
      <c r="J3305" s="29">
        <v>9</v>
      </c>
      <c r="K3305" s="29" t="s">
        <v>460</v>
      </c>
      <c r="L3305" t="str">
        <f>IFERROR(VLOOKUP(Detalle_OC[[#This Row],[Centro]]&amp;Detalle_OC[[#This Row],[Nro Almacen]],Almacen!A:D,4,FALSE),"")</f>
        <v>Parada fábrica</v>
      </c>
    </row>
    <row r="3306" spans="1:12" x14ac:dyDescent="0.3">
      <c r="A3306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fábrica8220534511535963120</v>
      </c>
      <c r="B3306" t="s">
        <v>176</v>
      </c>
      <c r="C3306" t="s">
        <v>157</v>
      </c>
      <c r="D3306" s="11">
        <v>45306</v>
      </c>
      <c r="E3306" t="s">
        <v>16</v>
      </c>
      <c r="F3306" t="s">
        <v>85</v>
      </c>
      <c r="G3306">
        <v>822053</v>
      </c>
      <c r="H3306">
        <v>4511535963</v>
      </c>
      <c r="I3306">
        <v>120</v>
      </c>
      <c r="J3306" s="29">
        <v>9</v>
      </c>
      <c r="K3306" s="29" t="s">
        <v>460</v>
      </c>
      <c r="L3306" t="str">
        <f>IFERROR(VLOOKUP(Detalle_OC[[#This Row],[Centro]]&amp;Detalle_OC[[#This Row],[Nro Almacen]],Almacen!A:D,4,FALSE),"")</f>
        <v>Parada fábrica</v>
      </c>
    </row>
    <row r="3307" spans="1:12" x14ac:dyDescent="0.3">
      <c r="A3307" s="29" t="str">
        <f>Detalle_OC[[#This Row],[Centro]]&amp;Detalle_OC[[#This Row],[Nom Almacen]]&amp;Detalle_OC[[#This Row],[Material]]&amp;Detalle_OC[[#This Row],[Pedido]]&amp;Detalle_OC[[#This Row],[Posicion]]</f>
        <v>Sucroalcolera del Chira PlantaParada fábrica8275084511535963130</v>
      </c>
      <c r="B3307" t="s">
        <v>176</v>
      </c>
      <c r="C3307" t="s">
        <v>157</v>
      </c>
      <c r="D3307" s="11">
        <v>45306</v>
      </c>
      <c r="E3307" t="s">
        <v>16</v>
      </c>
      <c r="F3307" t="s">
        <v>85</v>
      </c>
      <c r="G3307">
        <v>827508</v>
      </c>
      <c r="H3307">
        <v>4511535963</v>
      </c>
      <c r="I3307">
        <v>130</v>
      </c>
      <c r="J3307" s="29">
        <v>9</v>
      </c>
      <c r="K3307" s="29" t="s">
        <v>460</v>
      </c>
      <c r="L3307" t="str">
        <f>IFERROR(VLOOKUP(Detalle_OC[[#This Row],[Centro]]&amp;Detalle_OC[[#This Row],[Nro Almacen]],Almacen!A:D,4,FALSE),"")</f>
        <v>Parada fábrica</v>
      </c>
    </row>
    <row r="3308" spans="1:12" x14ac:dyDescent="0.3">
      <c r="A3308" s="29" t="str">
        <f>Detalle_OC[[#This Row],[Centro]]&amp;Detalle_OC[[#This Row],[Nom Almacen]]&amp;Detalle_OC[[#This Row],[Material]]&amp;Detalle_OC[[#This Row],[Pedido]]&amp;Detalle_OC[[#This Row],[Posicion]]</f>
        <v>Sucroalcolera del Chira PlantaMontelima700336024511535963140</v>
      </c>
      <c r="B3308" t="s">
        <v>138</v>
      </c>
      <c r="C3308" t="s">
        <v>157</v>
      </c>
      <c r="D3308" s="11">
        <v>45306</v>
      </c>
      <c r="E3308" t="s">
        <v>16</v>
      </c>
      <c r="F3308" t="s">
        <v>85</v>
      </c>
      <c r="G3308">
        <v>70033602</v>
      </c>
      <c r="H3308">
        <v>4511535963</v>
      </c>
      <c r="I3308">
        <v>140</v>
      </c>
      <c r="J3308" s="29">
        <v>1</v>
      </c>
      <c r="K3308" s="29" t="s">
        <v>460</v>
      </c>
      <c r="L3308" t="str">
        <f>IFERROR(VLOOKUP(Detalle_OC[[#This Row],[Centro]]&amp;Detalle_OC[[#This Row],[Nro Almacen]],Almacen!A:D,4,FALSE),"")</f>
        <v>Montelima</v>
      </c>
    </row>
    <row r="3309" spans="1:12" x14ac:dyDescent="0.3">
      <c r="A3309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fábrica700415014511535963150</v>
      </c>
      <c r="B3309" t="s">
        <v>176</v>
      </c>
      <c r="C3309" t="s">
        <v>157</v>
      </c>
      <c r="D3309" s="11">
        <v>45306</v>
      </c>
      <c r="E3309" t="s">
        <v>16</v>
      </c>
      <c r="F3309" t="s">
        <v>85</v>
      </c>
      <c r="G3309">
        <v>70041501</v>
      </c>
      <c r="H3309">
        <v>4511535963</v>
      </c>
      <c r="I3309">
        <v>150</v>
      </c>
      <c r="J3309" s="29">
        <v>9</v>
      </c>
      <c r="K3309" s="29" t="s">
        <v>460</v>
      </c>
      <c r="L3309" t="str">
        <f>IFERROR(VLOOKUP(Detalle_OC[[#This Row],[Centro]]&amp;Detalle_OC[[#This Row],[Nro Almacen]],Almacen!A:D,4,FALSE),"")</f>
        <v>Parada fábrica</v>
      </c>
    </row>
    <row r="3310" spans="1:12" x14ac:dyDescent="0.3">
      <c r="A3310" s="29" t="str">
        <f>Detalle_OC[[#This Row],[Centro]]&amp;Detalle_OC[[#This Row],[Nom Almacen]]&amp;Detalle_OC[[#This Row],[Material]]&amp;Detalle_OC[[#This Row],[Pedido]]&amp;Detalle_OC[[#This Row],[Posicion]]</f>
        <v>Sucroalcolera del Chira PlantaParada fábrica700415024511535963160</v>
      </c>
      <c r="B3310" t="s">
        <v>176</v>
      </c>
      <c r="C3310" t="s">
        <v>157</v>
      </c>
      <c r="D3310" s="11">
        <v>45306</v>
      </c>
      <c r="E3310" t="s">
        <v>16</v>
      </c>
      <c r="F3310" t="s">
        <v>85</v>
      </c>
      <c r="G3310">
        <v>70041502</v>
      </c>
      <c r="H3310">
        <v>4511535963</v>
      </c>
      <c r="I3310">
        <v>160</v>
      </c>
      <c r="J3310" s="29">
        <v>9</v>
      </c>
      <c r="K3310" s="29" t="s">
        <v>460</v>
      </c>
      <c r="L3310" t="str">
        <f>IFERROR(VLOOKUP(Detalle_OC[[#This Row],[Centro]]&amp;Detalle_OC[[#This Row],[Nro Almacen]],Almacen!A:D,4,FALSE),"")</f>
        <v>Parada fábrica</v>
      </c>
    </row>
    <row r="3311" spans="1:12" x14ac:dyDescent="0.3">
      <c r="A3311" s="29" t="str">
        <f>Detalle_OC[[#This Row],[Centro]]&amp;Detalle_OC[[#This Row],[Nom Almacen]]&amp;Detalle_OC[[#This Row],[Material]]&amp;Detalle_OC[[#This Row],[Pedido]]&amp;Detalle_OC[[#This Row],[Posicion]]</f>
        <v>Sucroalcolera del Chira PlantaParada fábricaCET00800151       4511535963170</v>
      </c>
      <c r="B3311" t="s">
        <v>176</v>
      </c>
      <c r="C3311" t="s">
        <v>157</v>
      </c>
      <c r="D3311" s="11">
        <v>45306</v>
      </c>
      <c r="E3311" t="s">
        <v>16</v>
      </c>
      <c r="F3311" t="s">
        <v>85</v>
      </c>
      <c r="G3311" t="s">
        <v>1222</v>
      </c>
      <c r="H3311">
        <v>4511535963</v>
      </c>
      <c r="I3311">
        <v>170</v>
      </c>
      <c r="J3311" s="29">
        <v>9</v>
      </c>
      <c r="K3311" s="29" t="s">
        <v>460</v>
      </c>
      <c r="L3311" t="str">
        <f>IFERROR(VLOOKUP(Detalle_OC[[#This Row],[Centro]]&amp;Detalle_OC[[#This Row],[Nro Almacen]],Almacen!A:D,4,FALSE),"")</f>
        <v>Parada fábrica</v>
      </c>
    </row>
    <row r="3312" spans="1:12" x14ac:dyDescent="0.3">
      <c r="A3312" s="29" t="str">
        <f>Detalle_OC[[#This Row],[Centro]]&amp;Detalle_OC[[#This Row],[Nom Almacen]]&amp;Detalle_OC[[#This Row],[Material]]&amp;Detalle_OC[[#This Row],[Pedido]]&amp;Detalle_OC[[#This Row],[Posicion]]</f>
        <v>Sucroalcolera del Chira PlantaParada fábricaCET00800163       4511535963180</v>
      </c>
      <c r="B3312" t="s">
        <v>176</v>
      </c>
      <c r="C3312" t="s">
        <v>157</v>
      </c>
      <c r="D3312" s="11">
        <v>45306</v>
      </c>
      <c r="E3312" t="s">
        <v>16</v>
      </c>
      <c r="F3312" t="s">
        <v>85</v>
      </c>
      <c r="G3312" t="s">
        <v>1223</v>
      </c>
      <c r="H3312">
        <v>4511535963</v>
      </c>
      <c r="I3312">
        <v>180</v>
      </c>
      <c r="J3312" s="29">
        <v>9</v>
      </c>
      <c r="K3312" s="29" t="s">
        <v>460</v>
      </c>
      <c r="L3312" t="str">
        <f>IFERROR(VLOOKUP(Detalle_OC[[#This Row],[Centro]]&amp;Detalle_OC[[#This Row],[Nro Almacen]],Almacen!A:D,4,FALSE),"")</f>
        <v>Parada fábrica</v>
      </c>
    </row>
    <row r="3313" spans="1:12" x14ac:dyDescent="0.3">
      <c r="A3313" s="29" t="str">
        <f>Detalle_OC[[#This Row],[Centro]]&amp;Detalle_OC[[#This Row],[Nom Almacen]]&amp;Detalle_OC[[#This Row],[Material]]&amp;Detalle_OC[[#This Row],[Pedido]]&amp;Detalle_OC[[#This Row],[Posicion]]</f>
        <v>Sucroalcolera del Chira PlantaParada fábricaCET00800165       4511535963190</v>
      </c>
      <c r="B3313" t="s">
        <v>176</v>
      </c>
      <c r="C3313" t="s">
        <v>157</v>
      </c>
      <c r="D3313" s="11">
        <v>45306</v>
      </c>
      <c r="E3313" t="s">
        <v>16</v>
      </c>
      <c r="F3313" t="s">
        <v>85</v>
      </c>
      <c r="G3313" t="s">
        <v>158</v>
      </c>
      <c r="H3313">
        <v>4511535963</v>
      </c>
      <c r="I3313">
        <v>190</v>
      </c>
      <c r="J3313" s="29">
        <v>9</v>
      </c>
      <c r="K3313" s="29" t="s">
        <v>460</v>
      </c>
      <c r="L3313" t="str">
        <f>IFERROR(VLOOKUP(Detalle_OC[[#This Row],[Centro]]&amp;Detalle_OC[[#This Row],[Nro Almacen]],Almacen!A:D,4,FALSE),"")</f>
        <v>Parada fábrica</v>
      </c>
    </row>
    <row r="3314" spans="1:12" x14ac:dyDescent="0.3">
      <c r="A3314" s="29" t="str">
        <f>Detalle_OC[[#This Row],[Centro]]&amp;Detalle_OC[[#This Row],[Nom Almacen]]&amp;Detalle_OC[[#This Row],[Material]]&amp;Detalle_OC[[#This Row],[Pedido]]&amp;Detalle_OC[[#This Row],[Posicion]]</f>
        <v>Sucroalcolera del Chira PlantaParada fábricaCET00800197       4511535963200</v>
      </c>
      <c r="B3314" t="s">
        <v>176</v>
      </c>
      <c r="C3314" t="s">
        <v>157</v>
      </c>
      <c r="D3314" s="11">
        <v>45306</v>
      </c>
      <c r="E3314" t="s">
        <v>16</v>
      </c>
      <c r="F3314" t="s">
        <v>85</v>
      </c>
      <c r="G3314" t="s">
        <v>1224</v>
      </c>
      <c r="H3314">
        <v>4511535963</v>
      </c>
      <c r="I3314">
        <v>200</v>
      </c>
      <c r="J3314" s="29">
        <v>9</v>
      </c>
      <c r="K3314" s="29" t="s">
        <v>460</v>
      </c>
      <c r="L3314" t="str">
        <f>IFERROR(VLOOKUP(Detalle_OC[[#This Row],[Centro]]&amp;Detalle_OC[[#This Row],[Nro Almacen]],Almacen!A:D,4,FALSE),"")</f>
        <v>Parada fábrica</v>
      </c>
    </row>
    <row r="3315" spans="1:12" x14ac:dyDescent="0.3">
      <c r="A3315" s="29" t="str">
        <f>Detalle_OC[[#This Row],[Centro]]&amp;Detalle_OC[[#This Row],[Nom Almacen]]&amp;Detalle_OC[[#This Row],[Material]]&amp;Detalle_OC[[#This Row],[Pedido]]&amp;Detalle_OC[[#This Row],[Posicion]]</f>
        <v>Sucroalcolera del Chira PlantaParada fábricaCET00800289       4511535963210</v>
      </c>
      <c r="B3315" t="s">
        <v>176</v>
      </c>
      <c r="C3315" t="s">
        <v>157</v>
      </c>
      <c r="D3315" s="11">
        <v>45306</v>
      </c>
      <c r="E3315" t="s">
        <v>16</v>
      </c>
      <c r="F3315" t="s">
        <v>85</v>
      </c>
      <c r="G3315" t="s">
        <v>1225</v>
      </c>
      <c r="H3315">
        <v>4511535963</v>
      </c>
      <c r="I3315">
        <v>210</v>
      </c>
      <c r="J3315" s="29">
        <v>9</v>
      </c>
      <c r="K3315" s="29" t="s">
        <v>460</v>
      </c>
      <c r="L3315" t="str">
        <f>IFERROR(VLOOKUP(Detalle_OC[[#This Row],[Centro]]&amp;Detalle_OC[[#This Row],[Nro Almacen]],Almacen!A:D,4,FALSE),"")</f>
        <v>Parada fábrica</v>
      </c>
    </row>
    <row r="3316" spans="1:12" x14ac:dyDescent="0.3">
      <c r="A3316" s="29" t="str">
        <f>Detalle_OC[[#This Row],[Centro]]&amp;Detalle_OC[[#This Row],[Nom Almacen]]&amp;Detalle_OC[[#This Row],[Material]]&amp;Detalle_OC[[#This Row],[Pedido]]&amp;Detalle_OC[[#This Row],[Posicion]]</f>
        <v>Sucroalcolera del Chira PlantaParada fábricaCET00800389       4511535963220</v>
      </c>
      <c r="B3316" t="s">
        <v>176</v>
      </c>
      <c r="C3316" t="s">
        <v>157</v>
      </c>
      <c r="D3316" s="11">
        <v>45306</v>
      </c>
      <c r="E3316" t="s">
        <v>16</v>
      </c>
      <c r="F3316" t="s">
        <v>85</v>
      </c>
      <c r="G3316" t="s">
        <v>1226</v>
      </c>
      <c r="H3316">
        <v>4511535963</v>
      </c>
      <c r="I3316">
        <v>220</v>
      </c>
      <c r="J3316" s="29">
        <v>9</v>
      </c>
      <c r="K3316" s="29" t="s">
        <v>460</v>
      </c>
      <c r="L3316" t="str">
        <f>IFERROR(VLOOKUP(Detalle_OC[[#This Row],[Centro]]&amp;Detalle_OC[[#This Row],[Nro Almacen]],Almacen!A:D,4,FALSE),"")</f>
        <v>Parada fábrica</v>
      </c>
    </row>
    <row r="3317" spans="1:12" x14ac:dyDescent="0.3">
      <c r="A3317" s="29" t="str">
        <f>Detalle_OC[[#This Row],[Centro]]&amp;Detalle_OC[[#This Row],[Nom Almacen]]&amp;Detalle_OC[[#This Row],[Material]]&amp;Detalle_OC[[#This Row],[Pedido]]&amp;Detalle_OC[[#This Row],[Posicion]]</f>
        <v>Sucroalcolera del Chira PlantaParada fábricaCET00800390       4511535963230</v>
      </c>
      <c r="B3317" t="s">
        <v>176</v>
      </c>
      <c r="C3317" t="s">
        <v>157</v>
      </c>
      <c r="D3317" s="11">
        <v>45306</v>
      </c>
      <c r="E3317" t="s">
        <v>16</v>
      </c>
      <c r="F3317" t="s">
        <v>85</v>
      </c>
      <c r="G3317" t="s">
        <v>1227</v>
      </c>
      <c r="H3317">
        <v>4511535963</v>
      </c>
      <c r="I3317">
        <v>230</v>
      </c>
      <c r="J3317" s="29">
        <v>9</v>
      </c>
      <c r="K3317" s="29" t="s">
        <v>460</v>
      </c>
      <c r="L3317" t="str">
        <f>IFERROR(VLOOKUP(Detalle_OC[[#This Row],[Centro]]&amp;Detalle_OC[[#This Row],[Nro Almacen]],Almacen!A:D,4,FALSE),"")</f>
        <v>Parada fábrica</v>
      </c>
    </row>
    <row r="3318" spans="1:12" x14ac:dyDescent="0.3">
      <c r="A3318" s="29" t="str">
        <f>Detalle_OC[[#This Row],[Centro]]&amp;Detalle_OC[[#This Row],[Nom Almacen]]&amp;Detalle_OC[[#This Row],[Material]]&amp;Detalle_OC[[#This Row],[Pedido]]&amp;Detalle_OC[[#This Row],[Posicion]]</f>
        <v>Agricola del Chira PlantaMontelima82720055000191881280</v>
      </c>
      <c r="B3318" t="s">
        <v>28</v>
      </c>
      <c r="C3318" t="s">
        <v>82</v>
      </c>
      <c r="D3318" s="11">
        <v>45274</v>
      </c>
      <c r="E3318" t="s">
        <v>16</v>
      </c>
      <c r="F3318" t="s">
        <v>12</v>
      </c>
      <c r="G3318">
        <v>827200</v>
      </c>
      <c r="H3318">
        <v>5500019188</v>
      </c>
      <c r="I3318">
        <v>1280</v>
      </c>
      <c r="J3318" s="29">
        <v>1</v>
      </c>
      <c r="K3318" s="29" t="s">
        <v>460</v>
      </c>
      <c r="L3318" t="str">
        <f>IFERROR(VLOOKUP(Detalle_OC[[#This Row],[Centro]]&amp;Detalle_OC[[#This Row],[Nro Almacen]],Almacen!A:D,4,FALSE),"")</f>
        <v>Montelima</v>
      </c>
    </row>
    <row r="3319" spans="1:12" x14ac:dyDescent="0.3">
      <c r="A3319" s="29" t="str">
        <f>Detalle_OC[[#This Row],[Centro]]&amp;Detalle_OC[[#This Row],[Nom Almacen]]&amp;Detalle_OC[[#This Row],[Material]]&amp;Detalle_OC[[#This Row],[Pedido]]&amp;Detalle_OC[[#This Row],[Posicion]]</f>
        <v>Agricola del Chira PlantaMontelima761905550001918810</v>
      </c>
      <c r="B3319" t="s">
        <v>28</v>
      </c>
      <c r="C3319" t="s">
        <v>82</v>
      </c>
      <c r="D3319" s="11">
        <v>45273</v>
      </c>
      <c r="E3319" t="s">
        <v>16</v>
      </c>
      <c r="F3319" t="s">
        <v>12</v>
      </c>
      <c r="G3319">
        <v>761905</v>
      </c>
      <c r="H3319">
        <v>5500019188</v>
      </c>
      <c r="I3319">
        <v>10</v>
      </c>
      <c r="J3319" s="29">
        <v>1</v>
      </c>
      <c r="K3319" s="29" t="s">
        <v>461</v>
      </c>
      <c r="L3319" t="str">
        <f>IFERROR(VLOOKUP(Detalle_OC[[#This Row],[Centro]]&amp;Detalle_OC[[#This Row],[Nro Almacen]],Almacen!A:D,4,FALSE),"")</f>
        <v>Montelima</v>
      </c>
    </row>
    <row r="3320" spans="1:12" x14ac:dyDescent="0.3">
      <c r="A3320" s="29" t="str">
        <f>Detalle_OC[[#This Row],[Centro]]&amp;Detalle_OC[[#This Row],[Nom Almacen]]&amp;Detalle_OC[[#This Row],[Material]]&amp;Detalle_OC[[#This Row],[Pedido]]&amp;Detalle_OC[[#This Row],[Posicion]]</f>
        <v>Agricola del Chira PlantaMontelima8445115500019188180</v>
      </c>
      <c r="B3320" t="s">
        <v>28</v>
      </c>
      <c r="C3320" t="s">
        <v>82</v>
      </c>
      <c r="D3320" s="11">
        <v>45273</v>
      </c>
      <c r="E3320" t="s">
        <v>16</v>
      </c>
      <c r="F3320" t="s">
        <v>12</v>
      </c>
      <c r="G3320">
        <v>844511</v>
      </c>
      <c r="H3320">
        <v>5500019188</v>
      </c>
      <c r="I3320">
        <v>180</v>
      </c>
      <c r="J3320" s="29">
        <v>1</v>
      </c>
      <c r="K3320" s="29" t="s">
        <v>461</v>
      </c>
      <c r="L3320" t="str">
        <f>IFERROR(VLOOKUP(Detalle_OC[[#This Row],[Centro]]&amp;Detalle_OC[[#This Row],[Nro Almacen]],Almacen!A:D,4,FALSE),"")</f>
        <v>Montelima</v>
      </c>
    </row>
    <row r="3321" spans="1:12" x14ac:dyDescent="0.3">
      <c r="A3321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3321" t="s">
        <v>28</v>
      </c>
      <c r="C3321" t="s">
        <v>82</v>
      </c>
      <c r="D3321" s="11">
        <v>45273</v>
      </c>
      <c r="E3321" t="s">
        <v>16</v>
      </c>
      <c r="F3321" t="s">
        <v>12</v>
      </c>
      <c r="G3321">
        <v>844508</v>
      </c>
      <c r="H3321">
        <v>5500019188</v>
      </c>
      <c r="I3321">
        <v>220</v>
      </c>
      <c r="J3321" s="29">
        <v>1</v>
      </c>
      <c r="K3321" s="29" t="s">
        <v>461</v>
      </c>
      <c r="L3321" t="str">
        <f>IFERROR(VLOOKUP(Detalle_OC[[#This Row],[Centro]]&amp;Detalle_OC[[#This Row],[Nro Almacen]],Almacen!A:D,4,FALSE),"")</f>
        <v>Montelima</v>
      </c>
    </row>
    <row r="3322" spans="1:12" x14ac:dyDescent="0.3">
      <c r="A3322" s="29" t="str">
        <f>Detalle_OC[[#This Row],[Centro]]&amp;Detalle_OC[[#This Row],[Nom Almacen]]&amp;Detalle_OC[[#This Row],[Material]]&amp;Detalle_OC[[#This Row],[Pedido]]&amp;Detalle_OC[[#This Row],[Posicion]]</f>
        <v>Agricola del Chira PlantaMontelima8443975500019188280</v>
      </c>
      <c r="B3322" t="s">
        <v>28</v>
      </c>
      <c r="C3322" t="s">
        <v>82</v>
      </c>
      <c r="D3322" s="11">
        <v>45273</v>
      </c>
      <c r="E3322" t="s">
        <v>16</v>
      </c>
      <c r="F3322" t="s">
        <v>12</v>
      </c>
      <c r="G3322">
        <v>844397</v>
      </c>
      <c r="H3322">
        <v>5500019188</v>
      </c>
      <c r="I3322">
        <v>280</v>
      </c>
      <c r="J3322" s="29">
        <v>1</v>
      </c>
      <c r="K3322" s="29" t="s">
        <v>461</v>
      </c>
      <c r="L3322" t="str">
        <f>IFERROR(VLOOKUP(Detalle_OC[[#This Row],[Centro]]&amp;Detalle_OC[[#This Row],[Nro Almacen]],Almacen!A:D,4,FALSE),"")</f>
        <v>Montelima</v>
      </c>
    </row>
    <row r="3323" spans="1:12" x14ac:dyDescent="0.3">
      <c r="A3323" s="29" t="str">
        <f>Detalle_OC[[#This Row],[Centro]]&amp;Detalle_OC[[#This Row],[Nom Almacen]]&amp;Detalle_OC[[#This Row],[Material]]&amp;Detalle_OC[[#This Row],[Pedido]]&amp;Detalle_OC[[#This Row],[Posicion]]</f>
        <v>Agricola del Chira PlantaMontelima8445435500019188570</v>
      </c>
      <c r="B3323" t="s">
        <v>28</v>
      </c>
      <c r="C3323" t="s">
        <v>82</v>
      </c>
      <c r="D3323" s="11">
        <v>45280</v>
      </c>
      <c r="E3323" t="s">
        <v>16</v>
      </c>
      <c r="F3323" t="s">
        <v>12</v>
      </c>
      <c r="G3323">
        <v>844543</v>
      </c>
      <c r="H3323">
        <v>5500019188</v>
      </c>
      <c r="I3323">
        <v>570</v>
      </c>
      <c r="J3323" s="29">
        <v>1</v>
      </c>
      <c r="K3323" s="29" t="s">
        <v>461</v>
      </c>
      <c r="L3323" t="str">
        <f>IFERROR(VLOOKUP(Detalle_OC[[#This Row],[Centro]]&amp;Detalle_OC[[#This Row],[Nro Almacen]],Almacen!A:D,4,FALSE),"")</f>
        <v>Montelima</v>
      </c>
    </row>
    <row r="3324" spans="1:12" x14ac:dyDescent="0.3">
      <c r="A3324" s="29" t="str">
        <f>Detalle_OC[[#This Row],[Centro]]&amp;Detalle_OC[[#This Row],[Nom Almacen]]&amp;Detalle_OC[[#This Row],[Material]]&amp;Detalle_OC[[#This Row],[Pedido]]&amp;Detalle_OC[[#This Row],[Posicion]]</f>
        <v>Agricola del Chira PlantaMontelima83507355000191881320</v>
      </c>
      <c r="B3324" t="s">
        <v>28</v>
      </c>
      <c r="C3324" t="s">
        <v>82</v>
      </c>
      <c r="D3324" s="11">
        <v>45273</v>
      </c>
      <c r="E3324" t="s">
        <v>16</v>
      </c>
      <c r="F3324" t="s">
        <v>12</v>
      </c>
      <c r="G3324">
        <v>835073</v>
      </c>
      <c r="H3324">
        <v>5500019188</v>
      </c>
      <c r="I3324">
        <v>1320</v>
      </c>
      <c r="J3324" s="29">
        <v>1</v>
      </c>
      <c r="K3324" s="29" t="s">
        <v>461</v>
      </c>
      <c r="L3324" t="str">
        <f>IFERROR(VLOOKUP(Detalle_OC[[#This Row],[Centro]]&amp;Detalle_OC[[#This Row],[Nro Almacen]],Almacen!A:D,4,FALSE),"")</f>
        <v>Montelima</v>
      </c>
    </row>
    <row r="3325" spans="1:12" x14ac:dyDescent="0.3">
      <c r="A3325" s="29" t="str">
        <f>Detalle_OC[[#This Row],[Centro]]&amp;Detalle_OC[[#This Row],[Nom Almacen]]&amp;Detalle_OC[[#This Row],[Material]]&amp;Detalle_OC[[#This Row],[Pedido]]&amp;Detalle_OC[[#This Row],[Posicion]]</f>
        <v>Agricola del Chira PlantaMontelima7002963255000191881670</v>
      </c>
      <c r="B3325" t="s">
        <v>28</v>
      </c>
      <c r="C3325" t="s">
        <v>82</v>
      </c>
      <c r="D3325" s="11">
        <v>45280</v>
      </c>
      <c r="E3325" t="s">
        <v>16</v>
      </c>
      <c r="F3325" t="s">
        <v>12</v>
      </c>
      <c r="G3325">
        <v>70029632</v>
      </c>
      <c r="H3325">
        <v>5500019188</v>
      </c>
      <c r="I3325">
        <v>1670</v>
      </c>
      <c r="J3325" s="29">
        <v>1</v>
      </c>
      <c r="K3325" s="29" t="s">
        <v>461</v>
      </c>
      <c r="L3325" t="str">
        <f>IFERROR(VLOOKUP(Detalle_OC[[#This Row],[Centro]]&amp;Detalle_OC[[#This Row],[Nro Almacen]],Almacen!A:D,4,FALSE),"")</f>
        <v>Montelima</v>
      </c>
    </row>
    <row r="3326" spans="1:12" x14ac:dyDescent="0.3">
      <c r="A3326" s="29" t="str">
        <f>Detalle_OC[[#This Row],[Centro]]&amp;Detalle_OC[[#This Row],[Nom Almacen]]&amp;Detalle_OC[[#This Row],[Material]]&amp;Detalle_OC[[#This Row],[Pedido]]&amp;Detalle_OC[[#This Row],[Posicion]]</f>
        <v>Sucroalcolera del Chira PlantaMontelima709179550002233630</v>
      </c>
      <c r="B3326" t="s">
        <v>28</v>
      </c>
      <c r="C3326" t="s">
        <v>84</v>
      </c>
      <c r="D3326" s="11">
        <v>45306</v>
      </c>
      <c r="E3326" t="s">
        <v>16</v>
      </c>
      <c r="F3326" t="s">
        <v>85</v>
      </c>
      <c r="G3326">
        <v>709179</v>
      </c>
      <c r="H3326">
        <v>5500022336</v>
      </c>
      <c r="I3326">
        <v>30</v>
      </c>
      <c r="J3326" s="29">
        <v>1</v>
      </c>
      <c r="K3326" s="29" t="s">
        <v>462</v>
      </c>
      <c r="L3326" t="str">
        <f>IFERROR(VLOOKUP(Detalle_OC[[#This Row],[Centro]]&amp;Detalle_OC[[#This Row],[Nro Almacen]],Almacen!A:D,4,FALSE),"")</f>
        <v>Montelima</v>
      </c>
    </row>
    <row r="3327" spans="1:12" x14ac:dyDescent="0.3">
      <c r="A3327" s="29" t="str">
        <f>Detalle_OC[[#This Row],[Centro]]&amp;Detalle_OC[[#This Row],[Nom Almacen]]&amp;Detalle_OC[[#This Row],[Material]]&amp;Detalle_OC[[#This Row],[Pedido]]&amp;Detalle_OC[[#This Row],[Posicion]]</f>
        <v>Agricola del Chira PlantaMontelima808069550002233830</v>
      </c>
      <c r="B3327" t="s">
        <v>28</v>
      </c>
      <c r="C3327" t="s">
        <v>84</v>
      </c>
      <c r="D3327" s="11">
        <v>45271</v>
      </c>
      <c r="E3327" t="s">
        <v>16</v>
      </c>
      <c r="F3327" t="s">
        <v>12</v>
      </c>
      <c r="G3327">
        <v>808069</v>
      </c>
      <c r="H3327">
        <v>5500022338</v>
      </c>
      <c r="I3327">
        <v>30</v>
      </c>
      <c r="J3327" s="29">
        <v>1</v>
      </c>
      <c r="K3327" s="29" t="s">
        <v>462</v>
      </c>
      <c r="L3327" t="str">
        <f>IFERROR(VLOOKUP(Detalle_OC[[#This Row],[Centro]]&amp;Detalle_OC[[#This Row],[Nro Almacen]],Almacen!A:D,4,FALSE),"")</f>
        <v>Montelima</v>
      </c>
    </row>
    <row r="3328" spans="1:12" x14ac:dyDescent="0.3">
      <c r="A3328" s="29" t="str">
        <f>Detalle_OC[[#This Row],[Centro]]&amp;Detalle_OC[[#This Row],[Nom Almacen]]&amp;Detalle_OC[[#This Row],[Material]]&amp;Detalle_OC[[#This Row],[Pedido]]&amp;Detalle_OC[[#This Row],[Posicion]]</f>
        <v>Agricola del Chira PlantaMontelima708707550002233850</v>
      </c>
      <c r="B3328" t="s">
        <v>28</v>
      </c>
      <c r="C3328" t="s">
        <v>84</v>
      </c>
      <c r="D3328" s="11">
        <v>45271</v>
      </c>
      <c r="E3328" t="s">
        <v>16</v>
      </c>
      <c r="F3328" t="s">
        <v>12</v>
      </c>
      <c r="G3328">
        <v>708707</v>
      </c>
      <c r="H3328">
        <v>5500022338</v>
      </c>
      <c r="I3328">
        <v>50</v>
      </c>
      <c r="J3328" s="29">
        <v>1</v>
      </c>
      <c r="K3328" s="29" t="s">
        <v>462</v>
      </c>
      <c r="L3328" t="str">
        <f>IFERROR(VLOOKUP(Detalle_OC[[#This Row],[Centro]]&amp;Detalle_OC[[#This Row],[Nro Almacen]],Almacen!A:D,4,FALSE),"")</f>
        <v>Montelima</v>
      </c>
    </row>
    <row r="3329" spans="1:12" x14ac:dyDescent="0.3">
      <c r="A3329" s="29" t="str">
        <f>Detalle_OC[[#This Row],[Centro]]&amp;Detalle_OC[[#This Row],[Nom Almacen]]&amp;Detalle_OC[[#This Row],[Material]]&amp;Detalle_OC[[#This Row],[Pedido]]&amp;Detalle_OC[[#This Row],[Posicion]]</f>
        <v>Agricola del Chira PlantaMontelima708707550002233850</v>
      </c>
      <c r="B3329" t="s">
        <v>28</v>
      </c>
      <c r="C3329" t="s">
        <v>84</v>
      </c>
      <c r="D3329" s="11">
        <v>45271</v>
      </c>
      <c r="E3329" t="s">
        <v>16</v>
      </c>
      <c r="F3329" t="s">
        <v>12</v>
      </c>
      <c r="G3329">
        <v>708707</v>
      </c>
      <c r="H3329">
        <v>5500022338</v>
      </c>
      <c r="I3329">
        <v>50</v>
      </c>
      <c r="J3329" s="29">
        <v>1</v>
      </c>
      <c r="K3329" s="29" t="s">
        <v>462</v>
      </c>
      <c r="L3329" t="str">
        <f>IFERROR(VLOOKUP(Detalle_OC[[#This Row],[Centro]]&amp;Detalle_OC[[#This Row],[Nro Almacen]],Almacen!A:D,4,FALSE),"")</f>
        <v>Montelima</v>
      </c>
    </row>
    <row r="3330" spans="1:12" x14ac:dyDescent="0.3">
      <c r="A3330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3330" t="s">
        <v>28</v>
      </c>
      <c r="C3330" t="s">
        <v>84</v>
      </c>
      <c r="D3330" s="11">
        <v>45266</v>
      </c>
      <c r="E3330" t="s">
        <v>16</v>
      </c>
      <c r="F3330" t="s">
        <v>85</v>
      </c>
      <c r="G3330">
        <v>801846</v>
      </c>
      <c r="H3330">
        <v>5500022336</v>
      </c>
      <c r="I3330">
        <v>10</v>
      </c>
      <c r="J3330" s="29">
        <v>1</v>
      </c>
      <c r="K3330" s="29" t="s">
        <v>463</v>
      </c>
      <c r="L3330" t="str">
        <f>IFERROR(VLOOKUP(Detalle_OC[[#This Row],[Centro]]&amp;Detalle_OC[[#This Row],[Nro Almacen]],Almacen!A:D,4,FALSE),"")</f>
        <v>Montelima</v>
      </c>
    </row>
    <row r="3331" spans="1:12" x14ac:dyDescent="0.3">
      <c r="A3331" s="29" t="str">
        <f>Detalle_OC[[#This Row],[Centro]]&amp;Detalle_OC[[#This Row],[Nom Almacen]]&amp;Detalle_OC[[#This Row],[Material]]&amp;Detalle_OC[[#This Row],[Pedido]]&amp;Detalle_OC[[#This Row],[Posicion]]</f>
        <v>Sucroalcolera del Chira PlantaMontelima813224550002233650</v>
      </c>
      <c r="B3331" t="s">
        <v>28</v>
      </c>
      <c r="C3331" t="s">
        <v>84</v>
      </c>
      <c r="D3331" s="11">
        <v>45266</v>
      </c>
      <c r="E3331" t="s">
        <v>16</v>
      </c>
      <c r="F3331" t="s">
        <v>85</v>
      </c>
      <c r="G3331">
        <v>813224</v>
      </c>
      <c r="H3331">
        <v>5500022336</v>
      </c>
      <c r="I3331">
        <v>50</v>
      </c>
      <c r="J3331" s="29">
        <v>1</v>
      </c>
      <c r="K3331" s="29" t="s">
        <v>463</v>
      </c>
      <c r="L3331" t="str">
        <f>IFERROR(VLOOKUP(Detalle_OC[[#This Row],[Centro]]&amp;Detalle_OC[[#This Row],[Nro Almacen]],Almacen!A:D,4,FALSE),"")</f>
        <v>Montelima</v>
      </c>
    </row>
    <row r="3332" spans="1:12" x14ac:dyDescent="0.3">
      <c r="A3332" s="29" t="str">
        <f>Detalle_OC[[#This Row],[Centro]]&amp;Detalle_OC[[#This Row],[Nom Almacen]]&amp;Detalle_OC[[#This Row],[Material]]&amp;Detalle_OC[[#This Row],[Pedido]]&amp;Detalle_OC[[#This Row],[Posicion]]</f>
        <v>Agricola del Chira PlantaMontelima752131550002233810</v>
      </c>
      <c r="B3332" t="s">
        <v>28</v>
      </c>
      <c r="C3332" t="s">
        <v>84</v>
      </c>
      <c r="D3332" s="11">
        <v>45266</v>
      </c>
      <c r="E3332" t="s">
        <v>16</v>
      </c>
      <c r="F3332" t="s">
        <v>12</v>
      </c>
      <c r="G3332">
        <v>752131</v>
      </c>
      <c r="H3332">
        <v>5500022338</v>
      </c>
      <c r="I3332">
        <v>10</v>
      </c>
      <c r="J3332" s="29">
        <v>1</v>
      </c>
      <c r="K3332" s="29" t="s">
        <v>463</v>
      </c>
      <c r="L3332" t="str">
        <f>IFERROR(VLOOKUP(Detalle_OC[[#This Row],[Centro]]&amp;Detalle_OC[[#This Row],[Nro Almacen]],Almacen!A:D,4,FALSE),"")</f>
        <v>Montelima</v>
      </c>
    </row>
    <row r="3333" spans="1:12" x14ac:dyDescent="0.3">
      <c r="A3333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3333" t="s">
        <v>28</v>
      </c>
      <c r="C3333" t="s">
        <v>84</v>
      </c>
      <c r="D3333" s="11">
        <v>45267</v>
      </c>
      <c r="E3333" t="s">
        <v>16</v>
      </c>
      <c r="F3333" t="s">
        <v>12</v>
      </c>
      <c r="G3333">
        <v>801846</v>
      </c>
      <c r="H3333">
        <v>5500022338</v>
      </c>
      <c r="I3333">
        <v>40</v>
      </c>
      <c r="J3333" s="29">
        <v>1</v>
      </c>
      <c r="K3333" s="29" t="s">
        <v>463</v>
      </c>
      <c r="L3333" t="str">
        <f>IFERROR(VLOOKUP(Detalle_OC[[#This Row],[Centro]]&amp;Detalle_OC[[#This Row],[Nro Almacen]],Almacen!A:D,4,FALSE),"")</f>
        <v>Montelima</v>
      </c>
    </row>
    <row r="3334" spans="1:12" x14ac:dyDescent="0.3">
      <c r="A3334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3334" t="s">
        <v>28</v>
      </c>
      <c r="C3334" t="s">
        <v>84</v>
      </c>
      <c r="D3334" s="11">
        <v>45262</v>
      </c>
      <c r="E3334" t="s">
        <v>16</v>
      </c>
      <c r="F3334" t="s">
        <v>85</v>
      </c>
      <c r="G3334">
        <v>801846</v>
      </c>
      <c r="H3334">
        <v>5500022336</v>
      </c>
      <c r="I3334">
        <v>10</v>
      </c>
      <c r="J3334" s="29">
        <v>1</v>
      </c>
      <c r="K3334" s="29" t="s">
        <v>464</v>
      </c>
      <c r="L3334" t="str">
        <f>IFERROR(VLOOKUP(Detalle_OC[[#This Row],[Centro]]&amp;Detalle_OC[[#This Row],[Nro Almacen]],Almacen!A:D,4,FALSE),"")</f>
        <v>Montelima</v>
      </c>
    </row>
    <row r="3335" spans="1:12" x14ac:dyDescent="0.3">
      <c r="A3335" s="29" t="str">
        <f>Detalle_OC[[#This Row],[Centro]]&amp;Detalle_OC[[#This Row],[Nom Almacen]]&amp;Detalle_OC[[#This Row],[Material]]&amp;Detalle_OC[[#This Row],[Pedido]]&amp;Detalle_OC[[#This Row],[Posicion]]</f>
        <v>Sucroalcolera del Chira PlantaMontelima813224550002233650</v>
      </c>
      <c r="B3335" t="s">
        <v>28</v>
      </c>
      <c r="C3335" t="s">
        <v>84</v>
      </c>
      <c r="D3335" s="11">
        <v>45262</v>
      </c>
      <c r="E3335" t="s">
        <v>16</v>
      </c>
      <c r="F3335" t="s">
        <v>85</v>
      </c>
      <c r="G3335">
        <v>813224</v>
      </c>
      <c r="H3335">
        <v>5500022336</v>
      </c>
      <c r="I3335">
        <v>50</v>
      </c>
      <c r="J3335" s="29">
        <v>1</v>
      </c>
      <c r="K3335" s="29" t="s">
        <v>464</v>
      </c>
      <c r="L3335" t="str">
        <f>IFERROR(VLOOKUP(Detalle_OC[[#This Row],[Centro]]&amp;Detalle_OC[[#This Row],[Nro Almacen]],Almacen!A:D,4,FALSE),"")</f>
        <v>Montelima</v>
      </c>
    </row>
    <row r="3336" spans="1:12" x14ac:dyDescent="0.3">
      <c r="A3336" s="29" t="str">
        <f>Detalle_OC[[#This Row],[Centro]]&amp;Detalle_OC[[#This Row],[Nom Almacen]]&amp;Detalle_OC[[#This Row],[Material]]&amp;Detalle_OC[[#This Row],[Pedido]]&amp;Detalle_OC[[#This Row],[Posicion]]</f>
        <v>Agricola del Chira PlantaMontelima752131550002233810</v>
      </c>
      <c r="B3336" t="s">
        <v>28</v>
      </c>
      <c r="C3336" t="s">
        <v>84</v>
      </c>
      <c r="D3336" s="11">
        <v>45261</v>
      </c>
      <c r="E3336" t="s">
        <v>16</v>
      </c>
      <c r="F3336" t="s">
        <v>12</v>
      </c>
      <c r="G3336">
        <v>752131</v>
      </c>
      <c r="H3336">
        <v>5500022338</v>
      </c>
      <c r="I3336">
        <v>10</v>
      </c>
      <c r="J3336" s="29">
        <v>1</v>
      </c>
      <c r="K3336" s="29" t="s">
        <v>465</v>
      </c>
      <c r="L3336" t="str">
        <f>IFERROR(VLOOKUP(Detalle_OC[[#This Row],[Centro]]&amp;Detalle_OC[[#This Row],[Nro Almacen]],Almacen!A:D,4,FALSE),"")</f>
        <v>Montelima</v>
      </c>
    </row>
    <row r="3337" spans="1:12" x14ac:dyDescent="0.3">
      <c r="A3337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3337" t="s">
        <v>28</v>
      </c>
      <c r="C3337" t="s">
        <v>84</v>
      </c>
      <c r="D3337" s="11">
        <v>45261</v>
      </c>
      <c r="E3337" t="s">
        <v>16</v>
      </c>
      <c r="F3337" t="s">
        <v>12</v>
      </c>
      <c r="G3337">
        <v>801846</v>
      </c>
      <c r="H3337">
        <v>5500022338</v>
      </c>
      <c r="I3337">
        <v>40</v>
      </c>
      <c r="J3337" s="29">
        <v>1</v>
      </c>
      <c r="K3337" s="29" t="s">
        <v>465</v>
      </c>
      <c r="L3337" t="str">
        <f>IFERROR(VLOOKUP(Detalle_OC[[#This Row],[Centro]]&amp;Detalle_OC[[#This Row],[Nro Almacen]],Almacen!A:D,4,FALSE),"")</f>
        <v>Montelima</v>
      </c>
    </row>
    <row r="3338" spans="1:12" x14ac:dyDescent="0.3">
      <c r="A3338" s="29" t="str">
        <f>Detalle_OC[[#This Row],[Centro]]&amp;Detalle_OC[[#This Row],[Nom Almacen]]&amp;Detalle_OC[[#This Row],[Material]]&amp;Detalle_OC[[#This Row],[Pedido]]&amp;Detalle_OC[[#This Row],[Posicion]]</f>
        <v>Agricola del Chira PlantaMontelima70032053550002233880</v>
      </c>
      <c r="B3338" t="s">
        <v>28</v>
      </c>
      <c r="C3338" t="s">
        <v>84</v>
      </c>
      <c r="D3338" s="11">
        <v>45261</v>
      </c>
      <c r="E3338" t="s">
        <v>16</v>
      </c>
      <c r="F3338" t="s">
        <v>12</v>
      </c>
      <c r="G3338">
        <v>70032053</v>
      </c>
      <c r="H3338">
        <v>5500022338</v>
      </c>
      <c r="I3338">
        <v>80</v>
      </c>
      <c r="J3338" s="29">
        <v>1</v>
      </c>
      <c r="K3338" s="29" t="s">
        <v>465</v>
      </c>
      <c r="L3338" t="str">
        <f>IFERROR(VLOOKUP(Detalle_OC[[#This Row],[Centro]]&amp;Detalle_OC[[#This Row],[Nro Almacen]],Almacen!A:D,4,FALSE),"")</f>
        <v>Montelima</v>
      </c>
    </row>
    <row r="3339" spans="1:12" x14ac:dyDescent="0.3">
      <c r="A3339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3339" t="s">
        <v>28</v>
      </c>
      <c r="C3339" t="s">
        <v>84</v>
      </c>
      <c r="D3339" s="11">
        <v>45254</v>
      </c>
      <c r="E3339" t="s">
        <v>16</v>
      </c>
      <c r="F3339" t="s">
        <v>85</v>
      </c>
      <c r="G3339">
        <v>801846</v>
      </c>
      <c r="H3339">
        <v>5500022336</v>
      </c>
      <c r="I3339">
        <v>10</v>
      </c>
      <c r="J3339" s="29">
        <v>1</v>
      </c>
      <c r="K3339" s="29" t="s">
        <v>466</v>
      </c>
      <c r="L3339" t="str">
        <f>IFERROR(VLOOKUP(Detalle_OC[[#This Row],[Centro]]&amp;Detalle_OC[[#This Row],[Nro Almacen]],Almacen!A:D,4,FALSE),"")</f>
        <v>Montelima</v>
      </c>
    </row>
    <row r="3340" spans="1:12" x14ac:dyDescent="0.3">
      <c r="A3340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3340" t="s">
        <v>28</v>
      </c>
      <c r="C3340" t="s">
        <v>84</v>
      </c>
      <c r="D3340" s="11">
        <v>45254</v>
      </c>
      <c r="E3340" t="s">
        <v>16</v>
      </c>
      <c r="F3340" t="s">
        <v>85</v>
      </c>
      <c r="G3340">
        <v>806591</v>
      </c>
      <c r="H3340">
        <v>5500022336</v>
      </c>
      <c r="I3340">
        <v>20</v>
      </c>
      <c r="J3340" s="29">
        <v>1</v>
      </c>
      <c r="K3340" s="29" t="s">
        <v>466</v>
      </c>
      <c r="L3340" t="str">
        <f>IFERROR(VLOOKUP(Detalle_OC[[#This Row],[Centro]]&amp;Detalle_OC[[#This Row],[Nro Almacen]],Almacen!A:D,4,FALSE),"")</f>
        <v>Montelima</v>
      </c>
    </row>
    <row r="3341" spans="1:12" x14ac:dyDescent="0.3">
      <c r="A3341" s="29" t="str">
        <f>Detalle_OC[[#This Row],[Centro]]&amp;Detalle_OC[[#This Row],[Nom Almacen]]&amp;Detalle_OC[[#This Row],[Material]]&amp;Detalle_OC[[#This Row],[Pedido]]&amp;Detalle_OC[[#This Row],[Posicion]]</f>
        <v>Sucroalcolera del Chira PlantaMontelima813224550002233650</v>
      </c>
      <c r="B3341" t="s">
        <v>28</v>
      </c>
      <c r="C3341" t="s">
        <v>84</v>
      </c>
      <c r="D3341" s="11">
        <v>45254</v>
      </c>
      <c r="E3341" t="s">
        <v>16</v>
      </c>
      <c r="F3341" t="s">
        <v>85</v>
      </c>
      <c r="G3341">
        <v>813224</v>
      </c>
      <c r="H3341">
        <v>5500022336</v>
      </c>
      <c r="I3341">
        <v>50</v>
      </c>
      <c r="J3341" s="29">
        <v>1</v>
      </c>
      <c r="K3341" s="29" t="s">
        <v>466</v>
      </c>
      <c r="L3341" t="str">
        <f>IFERROR(VLOOKUP(Detalle_OC[[#This Row],[Centro]]&amp;Detalle_OC[[#This Row],[Nro Almacen]],Almacen!A:D,4,FALSE),"")</f>
        <v>Montelima</v>
      </c>
    </row>
    <row r="3342" spans="1:12" x14ac:dyDescent="0.3">
      <c r="A3342" s="29" t="str">
        <f>Detalle_OC[[#This Row],[Centro]]&amp;Detalle_OC[[#This Row],[Nom Almacen]]&amp;Detalle_OC[[#This Row],[Material]]&amp;Detalle_OC[[#This Row],[Pedido]]&amp;Detalle_OC[[#This Row],[Posicion]]</f>
        <v>Agricola del Chira PlantaMontelima8446025500019188110</v>
      </c>
      <c r="B3342" t="s">
        <v>28</v>
      </c>
      <c r="C3342" t="s">
        <v>82</v>
      </c>
      <c r="D3342" s="11">
        <v>45252</v>
      </c>
      <c r="E3342" t="s">
        <v>16</v>
      </c>
      <c r="F3342" t="s">
        <v>12</v>
      </c>
      <c r="G3342">
        <v>844602</v>
      </c>
      <c r="H3342">
        <v>5500019188</v>
      </c>
      <c r="I3342">
        <v>110</v>
      </c>
      <c r="J3342" s="29">
        <v>1</v>
      </c>
      <c r="K3342" s="29" t="s">
        <v>467</v>
      </c>
      <c r="L3342" t="str">
        <f>IFERROR(VLOOKUP(Detalle_OC[[#This Row],[Centro]]&amp;Detalle_OC[[#This Row],[Nro Almacen]],Almacen!A:D,4,FALSE),"")</f>
        <v>Montelima</v>
      </c>
    </row>
    <row r="3343" spans="1:12" x14ac:dyDescent="0.3">
      <c r="A3343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3343" t="s">
        <v>28</v>
      </c>
      <c r="C3343" t="s">
        <v>82</v>
      </c>
      <c r="D3343" s="11">
        <v>45252</v>
      </c>
      <c r="E3343" t="s">
        <v>16</v>
      </c>
      <c r="F3343" t="s">
        <v>12</v>
      </c>
      <c r="G3343">
        <v>844522</v>
      </c>
      <c r="H3343">
        <v>5500019188</v>
      </c>
      <c r="I3343">
        <v>150</v>
      </c>
      <c r="J3343" s="29">
        <v>1</v>
      </c>
      <c r="K3343" s="29" t="s">
        <v>467</v>
      </c>
      <c r="L3343" t="str">
        <f>IFERROR(VLOOKUP(Detalle_OC[[#This Row],[Centro]]&amp;Detalle_OC[[#This Row],[Nro Almacen]],Almacen!A:D,4,FALSE),"")</f>
        <v>Montelima</v>
      </c>
    </row>
    <row r="3344" spans="1:12" x14ac:dyDescent="0.3">
      <c r="A3344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3344" t="s">
        <v>28</v>
      </c>
      <c r="C3344" t="s">
        <v>82</v>
      </c>
      <c r="D3344" s="11">
        <v>45252</v>
      </c>
      <c r="E3344" t="s">
        <v>16</v>
      </c>
      <c r="F3344" t="s">
        <v>12</v>
      </c>
      <c r="G3344">
        <v>844516</v>
      </c>
      <c r="H3344">
        <v>5500019188</v>
      </c>
      <c r="I3344">
        <v>190</v>
      </c>
      <c r="J3344" s="29">
        <v>1</v>
      </c>
      <c r="K3344" s="29" t="s">
        <v>467</v>
      </c>
      <c r="L3344" t="str">
        <f>IFERROR(VLOOKUP(Detalle_OC[[#This Row],[Centro]]&amp;Detalle_OC[[#This Row],[Nro Almacen]],Almacen!A:D,4,FALSE),"")</f>
        <v>Montelima</v>
      </c>
    </row>
    <row r="3345" spans="1:12" x14ac:dyDescent="0.3">
      <c r="A3345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3345" t="s">
        <v>28</v>
      </c>
      <c r="C3345" t="s">
        <v>82</v>
      </c>
      <c r="D3345" s="11">
        <v>45252</v>
      </c>
      <c r="E3345" t="s">
        <v>16</v>
      </c>
      <c r="F3345" t="s">
        <v>12</v>
      </c>
      <c r="G3345">
        <v>844515</v>
      </c>
      <c r="H3345">
        <v>5500019188</v>
      </c>
      <c r="I3345">
        <v>200</v>
      </c>
      <c r="J3345" s="29">
        <v>1</v>
      </c>
      <c r="K3345" s="29" t="s">
        <v>467</v>
      </c>
      <c r="L3345" t="str">
        <f>IFERROR(VLOOKUP(Detalle_OC[[#This Row],[Centro]]&amp;Detalle_OC[[#This Row],[Nro Almacen]],Almacen!A:D,4,FALSE),"")</f>
        <v>Montelima</v>
      </c>
    </row>
    <row r="3346" spans="1:12" x14ac:dyDescent="0.3">
      <c r="A3346" s="29" t="str">
        <f>Detalle_OC[[#This Row],[Centro]]&amp;Detalle_OC[[#This Row],[Nom Almacen]]&amp;Detalle_OC[[#This Row],[Material]]&amp;Detalle_OC[[#This Row],[Pedido]]&amp;Detalle_OC[[#This Row],[Posicion]]</f>
        <v>Agricola del Chira PlantaMontelima8445245500019188210</v>
      </c>
      <c r="B3346" t="s">
        <v>28</v>
      </c>
      <c r="C3346" t="s">
        <v>82</v>
      </c>
      <c r="D3346" s="11">
        <v>45252</v>
      </c>
      <c r="E3346" t="s">
        <v>16</v>
      </c>
      <c r="F3346" t="s">
        <v>12</v>
      </c>
      <c r="G3346">
        <v>844524</v>
      </c>
      <c r="H3346">
        <v>5500019188</v>
      </c>
      <c r="I3346">
        <v>210</v>
      </c>
      <c r="J3346" s="29">
        <v>1</v>
      </c>
      <c r="K3346" s="29" t="s">
        <v>467</v>
      </c>
      <c r="L3346" t="str">
        <f>IFERROR(VLOOKUP(Detalle_OC[[#This Row],[Centro]]&amp;Detalle_OC[[#This Row],[Nro Almacen]],Almacen!A:D,4,FALSE),"")</f>
        <v>Montelima</v>
      </c>
    </row>
    <row r="3347" spans="1:12" x14ac:dyDescent="0.3">
      <c r="A3347" s="29" t="str">
        <f>Detalle_OC[[#This Row],[Centro]]&amp;Detalle_OC[[#This Row],[Nom Almacen]]&amp;Detalle_OC[[#This Row],[Material]]&amp;Detalle_OC[[#This Row],[Pedido]]&amp;Detalle_OC[[#This Row],[Posicion]]</f>
        <v>Agricola del Chira PlantaMontelima8449175500019188240</v>
      </c>
      <c r="B3347" t="s">
        <v>28</v>
      </c>
      <c r="C3347" t="s">
        <v>82</v>
      </c>
      <c r="D3347" s="11">
        <v>45252</v>
      </c>
      <c r="E3347" t="s">
        <v>16</v>
      </c>
      <c r="F3347" t="s">
        <v>12</v>
      </c>
      <c r="G3347">
        <v>844917</v>
      </c>
      <c r="H3347">
        <v>5500019188</v>
      </c>
      <c r="I3347">
        <v>240</v>
      </c>
      <c r="J3347" s="29">
        <v>1</v>
      </c>
      <c r="K3347" s="29" t="s">
        <v>467</v>
      </c>
      <c r="L3347" t="str">
        <f>IFERROR(VLOOKUP(Detalle_OC[[#This Row],[Centro]]&amp;Detalle_OC[[#This Row],[Nro Almacen]],Almacen!A:D,4,FALSE),"")</f>
        <v>Montelima</v>
      </c>
    </row>
    <row r="3348" spans="1:12" x14ac:dyDescent="0.3">
      <c r="A3348" s="29" t="str">
        <f>Detalle_OC[[#This Row],[Centro]]&amp;Detalle_OC[[#This Row],[Nom Almacen]]&amp;Detalle_OC[[#This Row],[Material]]&amp;Detalle_OC[[#This Row],[Pedido]]&amp;Detalle_OC[[#This Row],[Posicion]]</f>
        <v>Agricola del Chira PlantaMontelima8445025500019188250</v>
      </c>
      <c r="B3348" t="s">
        <v>28</v>
      </c>
      <c r="C3348" t="s">
        <v>82</v>
      </c>
      <c r="D3348" s="11">
        <v>45252</v>
      </c>
      <c r="E3348" t="s">
        <v>16</v>
      </c>
      <c r="F3348" t="s">
        <v>12</v>
      </c>
      <c r="G3348">
        <v>844502</v>
      </c>
      <c r="H3348">
        <v>5500019188</v>
      </c>
      <c r="I3348">
        <v>250</v>
      </c>
      <c r="J3348" s="29">
        <v>1</v>
      </c>
      <c r="K3348" s="29" t="s">
        <v>467</v>
      </c>
      <c r="L3348" t="str">
        <f>IFERROR(VLOOKUP(Detalle_OC[[#This Row],[Centro]]&amp;Detalle_OC[[#This Row],[Nro Almacen]],Almacen!A:D,4,FALSE),"")</f>
        <v>Montelima</v>
      </c>
    </row>
    <row r="3349" spans="1:12" x14ac:dyDescent="0.3">
      <c r="A3349" s="29" t="str">
        <f>Detalle_OC[[#This Row],[Centro]]&amp;Detalle_OC[[#This Row],[Nom Almacen]]&amp;Detalle_OC[[#This Row],[Material]]&amp;Detalle_OC[[#This Row],[Pedido]]&amp;Detalle_OC[[#This Row],[Posicion]]</f>
        <v>Agricola del Chira PlantaMontelima8459085500019188350</v>
      </c>
      <c r="B3349" t="s">
        <v>28</v>
      </c>
      <c r="C3349" t="s">
        <v>82</v>
      </c>
      <c r="D3349" s="11">
        <v>45252</v>
      </c>
      <c r="E3349" t="s">
        <v>16</v>
      </c>
      <c r="F3349" t="s">
        <v>12</v>
      </c>
      <c r="G3349">
        <v>845908</v>
      </c>
      <c r="H3349">
        <v>5500019188</v>
      </c>
      <c r="I3349">
        <v>350</v>
      </c>
      <c r="J3349" s="29">
        <v>1</v>
      </c>
      <c r="K3349" s="29" t="s">
        <v>467</v>
      </c>
      <c r="L3349" t="str">
        <f>IFERROR(VLOOKUP(Detalle_OC[[#This Row],[Centro]]&amp;Detalle_OC[[#This Row],[Nro Almacen]],Almacen!A:D,4,FALSE),"")</f>
        <v>Montelima</v>
      </c>
    </row>
    <row r="3350" spans="1:12" x14ac:dyDescent="0.3">
      <c r="A3350" s="29" t="str">
        <f>Detalle_OC[[#This Row],[Centro]]&amp;Detalle_OC[[#This Row],[Nom Almacen]]&amp;Detalle_OC[[#This Row],[Material]]&amp;Detalle_OC[[#This Row],[Pedido]]&amp;Detalle_OC[[#This Row],[Posicion]]</f>
        <v>Agricola del Chira PlantaMontelima8445325500019188440</v>
      </c>
      <c r="B3350" t="s">
        <v>28</v>
      </c>
      <c r="C3350" t="s">
        <v>82</v>
      </c>
      <c r="D3350" s="11">
        <v>45252</v>
      </c>
      <c r="E3350" t="s">
        <v>16</v>
      </c>
      <c r="F3350" t="s">
        <v>12</v>
      </c>
      <c r="G3350">
        <v>844532</v>
      </c>
      <c r="H3350">
        <v>5500019188</v>
      </c>
      <c r="I3350">
        <v>440</v>
      </c>
      <c r="J3350" s="29">
        <v>1</v>
      </c>
      <c r="K3350" s="29" t="s">
        <v>467</v>
      </c>
      <c r="L3350" t="str">
        <f>IFERROR(VLOOKUP(Detalle_OC[[#This Row],[Centro]]&amp;Detalle_OC[[#This Row],[Nro Almacen]],Almacen!A:D,4,FALSE),"")</f>
        <v>Montelima</v>
      </c>
    </row>
    <row r="3351" spans="1:12" x14ac:dyDescent="0.3">
      <c r="A3351" s="29" t="str">
        <f>Detalle_OC[[#This Row],[Centro]]&amp;Detalle_OC[[#This Row],[Nom Almacen]]&amp;Detalle_OC[[#This Row],[Material]]&amp;Detalle_OC[[#This Row],[Pedido]]&amp;Detalle_OC[[#This Row],[Posicion]]</f>
        <v>Agricola del Chira PlantaMontelima8445325500019188440</v>
      </c>
      <c r="B3351" t="s">
        <v>28</v>
      </c>
      <c r="C3351" t="s">
        <v>82</v>
      </c>
      <c r="D3351" s="11">
        <v>45252</v>
      </c>
      <c r="E3351" t="s">
        <v>16</v>
      </c>
      <c r="F3351" t="s">
        <v>12</v>
      </c>
      <c r="G3351">
        <v>844532</v>
      </c>
      <c r="H3351">
        <v>5500019188</v>
      </c>
      <c r="I3351">
        <v>440</v>
      </c>
      <c r="J3351" s="29">
        <v>1</v>
      </c>
      <c r="K3351" s="29" t="s">
        <v>467</v>
      </c>
      <c r="L3351" t="str">
        <f>IFERROR(VLOOKUP(Detalle_OC[[#This Row],[Centro]]&amp;Detalle_OC[[#This Row],[Nro Almacen]],Almacen!A:D,4,FALSE),"")</f>
        <v>Montelima</v>
      </c>
    </row>
    <row r="3352" spans="1:12" x14ac:dyDescent="0.3">
      <c r="A3352" s="29" t="str">
        <f>Detalle_OC[[#This Row],[Centro]]&amp;Detalle_OC[[#This Row],[Nom Almacen]]&amp;Detalle_OC[[#This Row],[Material]]&amp;Detalle_OC[[#This Row],[Pedido]]&amp;Detalle_OC[[#This Row],[Posicion]]</f>
        <v>Agricola del Chira PlantaMontelima8445325500019188440</v>
      </c>
      <c r="B3352" t="s">
        <v>28</v>
      </c>
      <c r="C3352" t="s">
        <v>82</v>
      </c>
      <c r="D3352" s="11">
        <v>45252</v>
      </c>
      <c r="E3352" t="s">
        <v>16</v>
      </c>
      <c r="F3352" t="s">
        <v>12</v>
      </c>
      <c r="G3352">
        <v>844532</v>
      </c>
      <c r="H3352">
        <v>5500019188</v>
      </c>
      <c r="I3352">
        <v>440</v>
      </c>
      <c r="J3352" s="29">
        <v>1</v>
      </c>
      <c r="K3352" s="29" t="s">
        <v>467</v>
      </c>
      <c r="L3352" t="str">
        <f>IFERROR(VLOOKUP(Detalle_OC[[#This Row],[Centro]]&amp;Detalle_OC[[#This Row],[Nro Almacen]],Almacen!A:D,4,FALSE),"")</f>
        <v>Montelima</v>
      </c>
    </row>
    <row r="3353" spans="1:12" x14ac:dyDescent="0.3">
      <c r="A3353" s="29" t="str">
        <f>Detalle_OC[[#This Row],[Centro]]&amp;Detalle_OC[[#This Row],[Nom Almacen]]&amp;Detalle_OC[[#This Row],[Material]]&amp;Detalle_OC[[#This Row],[Pedido]]&amp;Detalle_OC[[#This Row],[Posicion]]</f>
        <v>Agricola del Chira PlantaMontelima83507655000191881340</v>
      </c>
      <c r="B3353" t="s">
        <v>28</v>
      </c>
      <c r="C3353" t="s">
        <v>82</v>
      </c>
      <c r="D3353" s="11">
        <v>45252</v>
      </c>
      <c r="E3353" t="s">
        <v>16</v>
      </c>
      <c r="F3353" t="s">
        <v>12</v>
      </c>
      <c r="G3353">
        <v>835076</v>
      </c>
      <c r="H3353">
        <v>5500019188</v>
      </c>
      <c r="I3353">
        <v>1340</v>
      </c>
      <c r="J3353" s="29">
        <v>1</v>
      </c>
      <c r="K3353" s="29" t="s">
        <v>467</v>
      </c>
      <c r="L3353" t="str">
        <f>IFERROR(VLOOKUP(Detalle_OC[[#This Row],[Centro]]&amp;Detalle_OC[[#This Row],[Nro Almacen]],Almacen!A:D,4,FALSE),"")</f>
        <v>Montelima</v>
      </c>
    </row>
    <row r="3354" spans="1:12" x14ac:dyDescent="0.3">
      <c r="A3354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3354" t="s">
        <v>28</v>
      </c>
      <c r="C3354" t="s">
        <v>82</v>
      </c>
      <c r="D3354" s="11">
        <v>45247</v>
      </c>
      <c r="E3354" t="s">
        <v>16</v>
      </c>
      <c r="F3354" t="s">
        <v>12</v>
      </c>
      <c r="G3354">
        <v>844522</v>
      </c>
      <c r="H3354">
        <v>5500019188</v>
      </c>
      <c r="I3354">
        <v>150</v>
      </c>
      <c r="J3354" s="29">
        <v>1</v>
      </c>
      <c r="K3354" s="29" t="s">
        <v>468</v>
      </c>
      <c r="L3354" t="str">
        <f>IFERROR(VLOOKUP(Detalle_OC[[#This Row],[Centro]]&amp;Detalle_OC[[#This Row],[Nro Almacen]],Almacen!A:D,4,FALSE),"")</f>
        <v>Montelima</v>
      </c>
    </row>
    <row r="3355" spans="1:12" x14ac:dyDescent="0.3">
      <c r="A3355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3355" t="s">
        <v>28</v>
      </c>
      <c r="C3355" t="s">
        <v>82</v>
      </c>
      <c r="D3355" s="11">
        <v>45247</v>
      </c>
      <c r="E3355" t="s">
        <v>16</v>
      </c>
      <c r="F3355" t="s">
        <v>12</v>
      </c>
      <c r="G3355">
        <v>844515</v>
      </c>
      <c r="H3355">
        <v>5500019188</v>
      </c>
      <c r="I3355">
        <v>200</v>
      </c>
      <c r="J3355" s="29">
        <v>1</v>
      </c>
      <c r="K3355" s="29" t="s">
        <v>468</v>
      </c>
      <c r="L3355" t="str">
        <f>IFERROR(VLOOKUP(Detalle_OC[[#This Row],[Centro]]&amp;Detalle_OC[[#This Row],[Nro Almacen]],Almacen!A:D,4,FALSE),"")</f>
        <v>Montelima</v>
      </c>
    </row>
    <row r="3356" spans="1:12" x14ac:dyDescent="0.3">
      <c r="A3356" s="29" t="str">
        <f>Detalle_OC[[#This Row],[Centro]]&amp;Detalle_OC[[#This Row],[Nom Almacen]]&amp;Detalle_OC[[#This Row],[Material]]&amp;Detalle_OC[[#This Row],[Pedido]]&amp;Detalle_OC[[#This Row],[Posicion]]</f>
        <v>Agricola del Chira PlantaMontelima8445245500019188210</v>
      </c>
      <c r="B3356" t="s">
        <v>28</v>
      </c>
      <c r="C3356" t="s">
        <v>82</v>
      </c>
      <c r="D3356" s="11">
        <v>45247</v>
      </c>
      <c r="E3356" t="s">
        <v>16</v>
      </c>
      <c r="F3356" t="s">
        <v>12</v>
      </c>
      <c r="G3356">
        <v>844524</v>
      </c>
      <c r="H3356">
        <v>5500019188</v>
      </c>
      <c r="I3356">
        <v>210</v>
      </c>
      <c r="J3356" s="29">
        <v>1</v>
      </c>
      <c r="K3356" s="29" t="s">
        <v>468</v>
      </c>
      <c r="L3356" t="str">
        <f>IFERROR(VLOOKUP(Detalle_OC[[#This Row],[Centro]]&amp;Detalle_OC[[#This Row],[Nro Almacen]],Almacen!A:D,4,FALSE),"")</f>
        <v>Montelima</v>
      </c>
    </row>
    <row r="3357" spans="1:12" x14ac:dyDescent="0.3">
      <c r="A3357" s="29" t="str">
        <f>Detalle_OC[[#This Row],[Centro]]&amp;Detalle_OC[[#This Row],[Nom Almacen]]&amp;Detalle_OC[[#This Row],[Material]]&amp;Detalle_OC[[#This Row],[Pedido]]&amp;Detalle_OC[[#This Row],[Posicion]]</f>
        <v>Agricola del Chira PlantaMontelima8445025500019188250</v>
      </c>
      <c r="B3357" t="s">
        <v>28</v>
      </c>
      <c r="C3357" t="s">
        <v>82</v>
      </c>
      <c r="D3357" s="11">
        <v>45247</v>
      </c>
      <c r="E3357" t="s">
        <v>16</v>
      </c>
      <c r="F3357" t="s">
        <v>12</v>
      </c>
      <c r="G3357">
        <v>844502</v>
      </c>
      <c r="H3357">
        <v>5500019188</v>
      </c>
      <c r="I3357">
        <v>250</v>
      </c>
      <c r="J3357" s="29">
        <v>1</v>
      </c>
      <c r="K3357" s="29" t="s">
        <v>468</v>
      </c>
      <c r="L3357" t="str">
        <f>IFERROR(VLOOKUP(Detalle_OC[[#This Row],[Centro]]&amp;Detalle_OC[[#This Row],[Nro Almacen]],Almacen!A:D,4,FALSE),"")</f>
        <v>Montelima</v>
      </c>
    </row>
    <row r="3358" spans="1:12" x14ac:dyDescent="0.3">
      <c r="A3358" s="29" t="str">
        <f>Detalle_OC[[#This Row],[Centro]]&amp;Detalle_OC[[#This Row],[Nom Almacen]]&amp;Detalle_OC[[#This Row],[Material]]&amp;Detalle_OC[[#This Row],[Pedido]]&amp;Detalle_OC[[#This Row],[Posicion]]</f>
        <v>Agricola del Chira PlantaMontelima762202550001918850</v>
      </c>
      <c r="B3358" t="s">
        <v>28</v>
      </c>
      <c r="C3358" t="s">
        <v>82</v>
      </c>
      <c r="D3358" s="11">
        <v>45238</v>
      </c>
      <c r="E3358" t="s">
        <v>16</v>
      </c>
      <c r="F3358" t="s">
        <v>12</v>
      </c>
      <c r="G3358">
        <v>762202</v>
      </c>
      <c r="H3358">
        <v>5500019188</v>
      </c>
      <c r="I3358">
        <v>50</v>
      </c>
      <c r="J3358" s="29">
        <v>1</v>
      </c>
      <c r="K3358" s="29" t="s">
        <v>469</v>
      </c>
      <c r="L3358" t="str">
        <f>IFERROR(VLOOKUP(Detalle_OC[[#This Row],[Centro]]&amp;Detalle_OC[[#This Row],[Nro Almacen]],Almacen!A:D,4,FALSE),"")</f>
        <v>Montelima</v>
      </c>
    </row>
    <row r="3359" spans="1:12" x14ac:dyDescent="0.3">
      <c r="A3359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3359" t="s">
        <v>28</v>
      </c>
      <c r="C3359" t="s">
        <v>82</v>
      </c>
      <c r="D3359" s="11">
        <v>45238</v>
      </c>
      <c r="E3359" t="s">
        <v>16</v>
      </c>
      <c r="F3359" t="s">
        <v>12</v>
      </c>
      <c r="G3359">
        <v>844522</v>
      </c>
      <c r="H3359">
        <v>5500019188</v>
      </c>
      <c r="I3359">
        <v>150</v>
      </c>
      <c r="J3359" s="29">
        <v>1</v>
      </c>
      <c r="K3359" s="29" t="s">
        <v>469</v>
      </c>
      <c r="L3359" t="str">
        <f>IFERROR(VLOOKUP(Detalle_OC[[#This Row],[Centro]]&amp;Detalle_OC[[#This Row],[Nro Almacen]],Almacen!A:D,4,FALSE),"")</f>
        <v>Montelima</v>
      </c>
    </row>
    <row r="3360" spans="1:12" x14ac:dyDescent="0.3">
      <c r="A3360" s="29" t="str">
        <f>Detalle_OC[[#This Row],[Centro]]&amp;Detalle_OC[[#This Row],[Nom Almacen]]&amp;Detalle_OC[[#This Row],[Material]]&amp;Detalle_OC[[#This Row],[Pedido]]&amp;Detalle_OC[[#This Row],[Posicion]]</f>
        <v>Agricola del Chira PlantaMontelima8445245500019188210</v>
      </c>
      <c r="B3360" t="s">
        <v>28</v>
      </c>
      <c r="C3360" t="s">
        <v>82</v>
      </c>
      <c r="D3360" s="11">
        <v>45238</v>
      </c>
      <c r="E3360" t="s">
        <v>16</v>
      </c>
      <c r="F3360" t="s">
        <v>12</v>
      </c>
      <c r="G3360">
        <v>844524</v>
      </c>
      <c r="H3360">
        <v>5500019188</v>
      </c>
      <c r="I3360">
        <v>210</v>
      </c>
      <c r="J3360" s="29">
        <v>1</v>
      </c>
      <c r="K3360" s="29" t="s">
        <v>469</v>
      </c>
      <c r="L3360" t="str">
        <f>IFERROR(VLOOKUP(Detalle_OC[[#This Row],[Centro]]&amp;Detalle_OC[[#This Row],[Nro Almacen]],Almacen!A:D,4,FALSE),"")</f>
        <v>Montelima</v>
      </c>
    </row>
    <row r="3361" spans="1:12" x14ac:dyDescent="0.3">
      <c r="A3361" s="29" t="str">
        <f>Detalle_OC[[#This Row],[Centro]]&amp;Detalle_OC[[#This Row],[Nom Almacen]]&amp;Detalle_OC[[#This Row],[Material]]&amp;Detalle_OC[[#This Row],[Pedido]]&amp;Detalle_OC[[#This Row],[Posicion]]</f>
        <v>Agricola del Chira PlantaMontelima8445245500019188210</v>
      </c>
      <c r="B3361" t="s">
        <v>28</v>
      </c>
      <c r="C3361" t="s">
        <v>82</v>
      </c>
      <c r="D3361" s="11">
        <v>45238</v>
      </c>
      <c r="E3361" t="s">
        <v>16</v>
      </c>
      <c r="F3361" t="s">
        <v>12</v>
      </c>
      <c r="G3361">
        <v>844524</v>
      </c>
      <c r="H3361">
        <v>5500019188</v>
      </c>
      <c r="I3361">
        <v>210</v>
      </c>
      <c r="J3361" s="29">
        <v>1</v>
      </c>
      <c r="K3361" s="29" t="s">
        <v>469</v>
      </c>
      <c r="L3361" t="str">
        <f>IFERROR(VLOOKUP(Detalle_OC[[#This Row],[Centro]]&amp;Detalle_OC[[#This Row],[Nro Almacen]],Almacen!A:D,4,FALSE),"")</f>
        <v>Montelima</v>
      </c>
    </row>
    <row r="3362" spans="1:12" x14ac:dyDescent="0.3">
      <c r="A3362" s="29" t="str">
        <f>Detalle_OC[[#This Row],[Centro]]&amp;Detalle_OC[[#This Row],[Nom Almacen]]&amp;Detalle_OC[[#This Row],[Material]]&amp;Detalle_OC[[#This Row],[Pedido]]&amp;Detalle_OC[[#This Row],[Posicion]]</f>
        <v>Agricola del Chira PlantaMontelima8443975500019188280</v>
      </c>
      <c r="B3362" t="s">
        <v>28</v>
      </c>
      <c r="C3362" t="s">
        <v>82</v>
      </c>
      <c r="D3362" s="11">
        <v>45238</v>
      </c>
      <c r="E3362" t="s">
        <v>16</v>
      </c>
      <c r="F3362" t="s">
        <v>12</v>
      </c>
      <c r="G3362">
        <v>844397</v>
      </c>
      <c r="H3362">
        <v>5500019188</v>
      </c>
      <c r="I3362">
        <v>280</v>
      </c>
      <c r="J3362" s="29">
        <v>1</v>
      </c>
      <c r="K3362" s="29" t="s">
        <v>469</v>
      </c>
      <c r="L3362" t="str">
        <f>IFERROR(VLOOKUP(Detalle_OC[[#This Row],[Centro]]&amp;Detalle_OC[[#This Row],[Nro Almacen]],Almacen!A:D,4,FALSE),"")</f>
        <v>Montelima</v>
      </c>
    </row>
    <row r="3363" spans="1:12" x14ac:dyDescent="0.3">
      <c r="A3363" s="29" t="str">
        <f>Detalle_OC[[#This Row],[Centro]]&amp;Detalle_OC[[#This Row],[Nom Almacen]]&amp;Detalle_OC[[#This Row],[Material]]&amp;Detalle_OC[[#This Row],[Pedido]]&amp;Detalle_OC[[#This Row],[Posicion]]</f>
        <v>Agricola del Chira PlantaMontelima8459085500019188350</v>
      </c>
      <c r="B3363" t="s">
        <v>28</v>
      </c>
      <c r="C3363" t="s">
        <v>82</v>
      </c>
      <c r="D3363" s="11">
        <v>45238</v>
      </c>
      <c r="E3363" t="s">
        <v>16</v>
      </c>
      <c r="F3363" t="s">
        <v>12</v>
      </c>
      <c r="G3363">
        <v>845908</v>
      </c>
      <c r="H3363">
        <v>5500019188</v>
      </c>
      <c r="I3363">
        <v>350</v>
      </c>
      <c r="J3363" s="29">
        <v>1</v>
      </c>
      <c r="K3363" s="29" t="s">
        <v>469</v>
      </c>
      <c r="L3363" t="str">
        <f>IFERROR(VLOOKUP(Detalle_OC[[#This Row],[Centro]]&amp;Detalle_OC[[#This Row],[Nro Almacen]],Almacen!A:D,4,FALSE),"")</f>
        <v>Montelima</v>
      </c>
    </row>
    <row r="3364" spans="1:12" x14ac:dyDescent="0.3">
      <c r="A3364" s="29" t="str">
        <f>Detalle_OC[[#This Row],[Centro]]&amp;Detalle_OC[[#This Row],[Nom Almacen]]&amp;Detalle_OC[[#This Row],[Material]]&amp;Detalle_OC[[#This Row],[Pedido]]&amp;Detalle_OC[[#This Row],[Posicion]]</f>
        <v>Agricola del Chira PlantaMontelima8443995500019188500</v>
      </c>
      <c r="B3364" t="s">
        <v>28</v>
      </c>
      <c r="C3364" t="s">
        <v>82</v>
      </c>
      <c r="D3364" s="11">
        <v>45238</v>
      </c>
      <c r="E3364" t="s">
        <v>16</v>
      </c>
      <c r="F3364" t="s">
        <v>12</v>
      </c>
      <c r="G3364">
        <v>844399</v>
      </c>
      <c r="H3364">
        <v>5500019188</v>
      </c>
      <c r="I3364">
        <v>500</v>
      </c>
      <c r="J3364" s="29">
        <v>1</v>
      </c>
      <c r="K3364" s="29" t="s">
        <v>469</v>
      </c>
      <c r="L3364" t="str">
        <f>IFERROR(VLOOKUP(Detalle_OC[[#This Row],[Centro]]&amp;Detalle_OC[[#This Row],[Nro Almacen]],Almacen!A:D,4,FALSE),"")</f>
        <v>Montelima</v>
      </c>
    </row>
    <row r="3365" spans="1:12" x14ac:dyDescent="0.3">
      <c r="A3365" s="29" t="str">
        <f>Detalle_OC[[#This Row],[Centro]]&amp;Detalle_OC[[#This Row],[Nom Almacen]]&amp;Detalle_OC[[#This Row],[Material]]&amp;Detalle_OC[[#This Row],[Pedido]]&amp;Detalle_OC[[#This Row],[Posicion]]</f>
        <v>Agricola del Chira PlantaMontelima8445205500019188520</v>
      </c>
      <c r="B3365" t="s">
        <v>28</v>
      </c>
      <c r="C3365" t="s">
        <v>82</v>
      </c>
      <c r="D3365" s="11">
        <v>45238</v>
      </c>
      <c r="E3365" t="s">
        <v>16</v>
      </c>
      <c r="F3365" t="s">
        <v>12</v>
      </c>
      <c r="G3365">
        <v>844520</v>
      </c>
      <c r="H3365">
        <v>5500019188</v>
      </c>
      <c r="I3365">
        <v>520</v>
      </c>
      <c r="J3365" s="29">
        <v>1</v>
      </c>
      <c r="K3365" s="29" t="s">
        <v>469</v>
      </c>
      <c r="L3365" t="str">
        <f>IFERROR(VLOOKUP(Detalle_OC[[#This Row],[Centro]]&amp;Detalle_OC[[#This Row],[Nro Almacen]],Almacen!A:D,4,FALSE),"")</f>
        <v>Montelima</v>
      </c>
    </row>
    <row r="3366" spans="1:12" x14ac:dyDescent="0.3">
      <c r="A3366" s="29" t="str">
        <f>Detalle_OC[[#This Row],[Centro]]&amp;Detalle_OC[[#This Row],[Nom Almacen]]&amp;Detalle_OC[[#This Row],[Material]]&amp;Detalle_OC[[#This Row],[Pedido]]&amp;Detalle_OC[[#This Row],[Posicion]]</f>
        <v>Agricola del Chira PlantaMontelima8445195500019188530</v>
      </c>
      <c r="B3366" t="s">
        <v>28</v>
      </c>
      <c r="C3366" t="s">
        <v>82</v>
      </c>
      <c r="D3366" s="11">
        <v>45238</v>
      </c>
      <c r="E3366" t="s">
        <v>16</v>
      </c>
      <c r="F3366" t="s">
        <v>12</v>
      </c>
      <c r="G3366">
        <v>844519</v>
      </c>
      <c r="H3366">
        <v>5500019188</v>
      </c>
      <c r="I3366">
        <v>530</v>
      </c>
      <c r="J3366" s="29">
        <v>1</v>
      </c>
      <c r="K3366" s="29" t="s">
        <v>469</v>
      </c>
      <c r="L3366" t="str">
        <f>IFERROR(VLOOKUP(Detalle_OC[[#This Row],[Centro]]&amp;Detalle_OC[[#This Row],[Nro Almacen]],Almacen!A:D,4,FALSE),"")</f>
        <v>Montelima</v>
      </c>
    </row>
    <row r="3367" spans="1:12" x14ac:dyDescent="0.3">
      <c r="A3367" s="29" t="str">
        <f>Detalle_OC[[#This Row],[Centro]]&amp;Detalle_OC[[#This Row],[Nom Almacen]]&amp;Detalle_OC[[#This Row],[Material]]&amp;Detalle_OC[[#This Row],[Pedido]]&amp;Detalle_OC[[#This Row],[Posicion]]</f>
        <v>Agricola del Chira PlantaMontelima82719955000191881020</v>
      </c>
      <c r="B3367" t="s">
        <v>28</v>
      </c>
      <c r="C3367" t="s">
        <v>82</v>
      </c>
      <c r="D3367" s="11">
        <v>45238</v>
      </c>
      <c r="E3367" t="s">
        <v>16</v>
      </c>
      <c r="F3367" t="s">
        <v>12</v>
      </c>
      <c r="G3367">
        <v>827199</v>
      </c>
      <c r="H3367">
        <v>5500019188</v>
      </c>
      <c r="I3367">
        <v>1020</v>
      </c>
      <c r="J3367" s="29">
        <v>1</v>
      </c>
      <c r="K3367" s="29" t="s">
        <v>469</v>
      </c>
      <c r="L3367" t="str">
        <f>IFERROR(VLOOKUP(Detalle_OC[[#This Row],[Centro]]&amp;Detalle_OC[[#This Row],[Nro Almacen]],Almacen!A:D,4,FALSE),"")</f>
        <v>Montelima</v>
      </c>
    </row>
    <row r="3368" spans="1:12" x14ac:dyDescent="0.3">
      <c r="A3368" s="29" t="str">
        <f>Detalle_OC[[#This Row],[Centro]]&amp;Detalle_OC[[#This Row],[Nom Almacen]]&amp;Detalle_OC[[#This Row],[Material]]&amp;Detalle_OC[[#This Row],[Pedido]]&amp;Detalle_OC[[#This Row],[Posicion]]</f>
        <v>Agricola del Chira PlantaMontelima83106655000191881040</v>
      </c>
      <c r="B3368" t="s">
        <v>28</v>
      </c>
      <c r="C3368" t="s">
        <v>82</v>
      </c>
      <c r="D3368" s="11">
        <v>45238</v>
      </c>
      <c r="E3368" t="s">
        <v>16</v>
      </c>
      <c r="F3368" t="s">
        <v>12</v>
      </c>
      <c r="G3368">
        <v>831066</v>
      </c>
      <c r="H3368">
        <v>5500019188</v>
      </c>
      <c r="I3368">
        <v>1040</v>
      </c>
      <c r="J3368" s="29">
        <v>1</v>
      </c>
      <c r="K3368" s="29" t="s">
        <v>469</v>
      </c>
      <c r="L3368" t="str">
        <f>IFERROR(VLOOKUP(Detalle_OC[[#This Row],[Centro]]&amp;Detalle_OC[[#This Row],[Nro Almacen]],Almacen!A:D,4,FALSE),"")</f>
        <v>Montelima</v>
      </c>
    </row>
    <row r="3369" spans="1:12" x14ac:dyDescent="0.3">
      <c r="A3369" s="29" t="str">
        <f>Detalle_OC[[#This Row],[Centro]]&amp;Detalle_OC[[#This Row],[Nom Almacen]]&amp;Detalle_OC[[#This Row],[Material]]&amp;Detalle_OC[[#This Row],[Pedido]]&amp;Detalle_OC[[#This Row],[Posicion]]</f>
        <v>Agricola del Chira PlantaMontelima83106655000191881040</v>
      </c>
      <c r="B3369" t="s">
        <v>28</v>
      </c>
      <c r="C3369" t="s">
        <v>82</v>
      </c>
      <c r="D3369" s="11">
        <v>45238</v>
      </c>
      <c r="E3369" t="s">
        <v>16</v>
      </c>
      <c r="F3369" t="s">
        <v>12</v>
      </c>
      <c r="G3369">
        <v>831066</v>
      </c>
      <c r="H3369">
        <v>5500019188</v>
      </c>
      <c r="I3369">
        <v>1040</v>
      </c>
      <c r="J3369" s="29">
        <v>1</v>
      </c>
      <c r="K3369" s="29" t="s">
        <v>469</v>
      </c>
      <c r="L3369" t="str">
        <f>IFERROR(VLOOKUP(Detalle_OC[[#This Row],[Centro]]&amp;Detalle_OC[[#This Row],[Nro Almacen]],Almacen!A:D,4,FALSE),"")</f>
        <v>Montelima</v>
      </c>
    </row>
    <row r="3370" spans="1:12" x14ac:dyDescent="0.3">
      <c r="A3370" s="29" t="str">
        <f>Detalle_OC[[#This Row],[Centro]]&amp;Detalle_OC[[#This Row],[Nom Almacen]]&amp;Detalle_OC[[#This Row],[Material]]&amp;Detalle_OC[[#This Row],[Pedido]]&amp;Detalle_OC[[#This Row],[Posicion]]</f>
        <v>Agricola del Chira PlantaMontelima82639655000191881050</v>
      </c>
      <c r="B3370" t="s">
        <v>28</v>
      </c>
      <c r="C3370" t="s">
        <v>82</v>
      </c>
      <c r="D3370" s="11">
        <v>45238</v>
      </c>
      <c r="E3370" t="s">
        <v>16</v>
      </c>
      <c r="F3370" t="s">
        <v>12</v>
      </c>
      <c r="G3370">
        <v>826396</v>
      </c>
      <c r="H3370">
        <v>5500019188</v>
      </c>
      <c r="I3370">
        <v>1050</v>
      </c>
      <c r="J3370" s="29">
        <v>1</v>
      </c>
      <c r="K3370" s="29" t="s">
        <v>469</v>
      </c>
      <c r="L3370" t="str">
        <f>IFERROR(VLOOKUP(Detalle_OC[[#This Row],[Centro]]&amp;Detalle_OC[[#This Row],[Nro Almacen]],Almacen!A:D,4,FALSE),"")</f>
        <v>Montelima</v>
      </c>
    </row>
    <row r="3371" spans="1:12" x14ac:dyDescent="0.3">
      <c r="A3371" s="29" t="str">
        <f>Detalle_OC[[#This Row],[Centro]]&amp;Detalle_OC[[#This Row],[Nom Almacen]]&amp;Detalle_OC[[#This Row],[Material]]&amp;Detalle_OC[[#This Row],[Pedido]]&amp;Detalle_OC[[#This Row],[Posicion]]</f>
        <v>Agricola del Chira PlantaMontelima83507555000191881310</v>
      </c>
      <c r="B3371" t="s">
        <v>28</v>
      </c>
      <c r="C3371" t="s">
        <v>82</v>
      </c>
      <c r="D3371" s="11">
        <v>45238</v>
      </c>
      <c r="E3371" t="s">
        <v>16</v>
      </c>
      <c r="F3371" t="s">
        <v>12</v>
      </c>
      <c r="G3371">
        <v>835075</v>
      </c>
      <c r="H3371">
        <v>5500019188</v>
      </c>
      <c r="I3371">
        <v>1310</v>
      </c>
      <c r="J3371" s="29">
        <v>1</v>
      </c>
      <c r="K3371" s="29" t="s">
        <v>469</v>
      </c>
      <c r="L3371" t="str">
        <f>IFERROR(VLOOKUP(Detalle_OC[[#This Row],[Centro]]&amp;Detalle_OC[[#This Row],[Nro Almacen]],Almacen!A:D,4,FALSE),"")</f>
        <v>Montelima</v>
      </c>
    </row>
    <row r="3372" spans="1:12" x14ac:dyDescent="0.3">
      <c r="A3372" s="29" t="str">
        <f>Detalle_OC[[#This Row],[Centro]]&amp;Detalle_OC[[#This Row],[Nom Almacen]]&amp;Detalle_OC[[#This Row],[Material]]&amp;Detalle_OC[[#This Row],[Pedido]]&amp;Detalle_OC[[#This Row],[Posicion]]</f>
        <v>Sucroalcolera del Chira PlantaMontelima709179550002233630</v>
      </c>
      <c r="B3372" t="s">
        <v>28</v>
      </c>
      <c r="C3372" t="s">
        <v>84</v>
      </c>
      <c r="D3372" s="11">
        <v>45238</v>
      </c>
      <c r="E3372" t="s">
        <v>16</v>
      </c>
      <c r="F3372" t="s">
        <v>85</v>
      </c>
      <c r="G3372">
        <v>709179</v>
      </c>
      <c r="H3372">
        <v>5500022336</v>
      </c>
      <c r="I3372">
        <v>30</v>
      </c>
      <c r="J3372" s="29">
        <v>1</v>
      </c>
      <c r="K3372" s="29" t="s">
        <v>469</v>
      </c>
      <c r="L3372" t="str">
        <f>IFERROR(VLOOKUP(Detalle_OC[[#This Row],[Centro]]&amp;Detalle_OC[[#This Row],[Nro Almacen]],Almacen!A:D,4,FALSE),"")</f>
        <v>Montelima</v>
      </c>
    </row>
    <row r="3373" spans="1:12" x14ac:dyDescent="0.3">
      <c r="A3373" s="29" t="str">
        <f>Detalle_OC[[#This Row],[Centro]]&amp;Detalle_OC[[#This Row],[Nom Almacen]]&amp;Detalle_OC[[#This Row],[Material]]&amp;Detalle_OC[[#This Row],[Pedido]]&amp;Detalle_OC[[#This Row],[Posicion]]</f>
        <v>Sucroalcolera del Chira PlantaMontelima813224550002233650</v>
      </c>
      <c r="B3373" t="s">
        <v>28</v>
      </c>
      <c r="C3373" t="s">
        <v>84</v>
      </c>
      <c r="D3373" s="11">
        <v>45238</v>
      </c>
      <c r="E3373" t="s">
        <v>16</v>
      </c>
      <c r="F3373" t="s">
        <v>85</v>
      </c>
      <c r="G3373">
        <v>813224</v>
      </c>
      <c r="H3373">
        <v>5500022336</v>
      </c>
      <c r="I3373">
        <v>50</v>
      </c>
      <c r="J3373" s="29">
        <v>1</v>
      </c>
      <c r="K3373" s="29" t="s">
        <v>469</v>
      </c>
      <c r="L3373" t="str">
        <f>IFERROR(VLOOKUP(Detalle_OC[[#This Row],[Centro]]&amp;Detalle_OC[[#This Row],[Nro Almacen]],Almacen!A:D,4,FALSE),"")</f>
        <v>Montelima</v>
      </c>
    </row>
    <row r="3374" spans="1:12" x14ac:dyDescent="0.3">
      <c r="A3374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3374" t="s">
        <v>28</v>
      </c>
      <c r="C3374" t="s">
        <v>84</v>
      </c>
      <c r="D3374" s="11">
        <v>45233</v>
      </c>
      <c r="E3374" t="s">
        <v>16</v>
      </c>
      <c r="F3374" t="s">
        <v>85</v>
      </c>
      <c r="G3374">
        <v>801846</v>
      </c>
      <c r="H3374">
        <v>5500022336</v>
      </c>
      <c r="I3374">
        <v>10</v>
      </c>
      <c r="J3374" s="29">
        <v>1</v>
      </c>
      <c r="K3374" s="29" t="s">
        <v>470</v>
      </c>
      <c r="L3374" t="str">
        <f>IFERROR(VLOOKUP(Detalle_OC[[#This Row],[Centro]]&amp;Detalle_OC[[#This Row],[Nro Almacen]],Almacen!A:D,4,FALSE),"")</f>
        <v>Montelima</v>
      </c>
    </row>
    <row r="3375" spans="1:12" x14ac:dyDescent="0.3">
      <c r="A3375" s="29" t="str">
        <f>Detalle_OC[[#This Row],[Centro]]&amp;Detalle_OC[[#This Row],[Nom Almacen]]&amp;Detalle_OC[[#This Row],[Material]]&amp;Detalle_OC[[#This Row],[Pedido]]&amp;Detalle_OC[[#This Row],[Posicion]]</f>
        <v>Sucroalcolera del Chira PlantaMontelima709179550002233630</v>
      </c>
      <c r="B3375" t="s">
        <v>28</v>
      </c>
      <c r="C3375" t="s">
        <v>84</v>
      </c>
      <c r="D3375" s="11">
        <v>45233</v>
      </c>
      <c r="E3375" t="s">
        <v>16</v>
      </c>
      <c r="F3375" t="s">
        <v>85</v>
      </c>
      <c r="G3375">
        <v>709179</v>
      </c>
      <c r="H3375">
        <v>5500022336</v>
      </c>
      <c r="I3375">
        <v>30</v>
      </c>
      <c r="J3375" s="29">
        <v>1</v>
      </c>
      <c r="K3375" s="29" t="s">
        <v>470</v>
      </c>
      <c r="L3375" t="str">
        <f>IFERROR(VLOOKUP(Detalle_OC[[#This Row],[Centro]]&amp;Detalle_OC[[#This Row],[Nro Almacen]],Almacen!A:D,4,FALSE),"")</f>
        <v>Montelima</v>
      </c>
    </row>
    <row r="3376" spans="1:12" x14ac:dyDescent="0.3">
      <c r="A3376" s="29" t="str">
        <f>Detalle_OC[[#This Row],[Centro]]&amp;Detalle_OC[[#This Row],[Nom Almacen]]&amp;Detalle_OC[[#This Row],[Material]]&amp;Detalle_OC[[#This Row],[Pedido]]&amp;Detalle_OC[[#This Row],[Posicion]]</f>
        <v>Sucroalcolera del Chira PlantaMontelima813224550002233650</v>
      </c>
      <c r="B3376" t="s">
        <v>28</v>
      </c>
      <c r="C3376" t="s">
        <v>84</v>
      </c>
      <c r="D3376" s="11">
        <v>45233</v>
      </c>
      <c r="E3376" t="s">
        <v>16</v>
      </c>
      <c r="F3376" t="s">
        <v>85</v>
      </c>
      <c r="G3376">
        <v>813224</v>
      </c>
      <c r="H3376">
        <v>5500022336</v>
      </c>
      <c r="I3376">
        <v>50</v>
      </c>
      <c r="J3376" s="29">
        <v>1</v>
      </c>
      <c r="K3376" s="29" t="s">
        <v>470</v>
      </c>
      <c r="L3376" t="str">
        <f>IFERROR(VLOOKUP(Detalle_OC[[#This Row],[Centro]]&amp;Detalle_OC[[#This Row],[Nro Almacen]],Almacen!A:D,4,FALSE),"")</f>
        <v>Montelima</v>
      </c>
    </row>
    <row r="3377" spans="1:12" x14ac:dyDescent="0.3">
      <c r="A3377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3377" t="s">
        <v>28</v>
      </c>
      <c r="C3377" t="s">
        <v>82</v>
      </c>
      <c r="D3377" s="11">
        <v>45229</v>
      </c>
      <c r="E3377" t="s">
        <v>16</v>
      </c>
      <c r="F3377" t="s">
        <v>12</v>
      </c>
      <c r="G3377">
        <v>844516</v>
      </c>
      <c r="H3377">
        <v>5500019188</v>
      </c>
      <c r="I3377">
        <v>190</v>
      </c>
      <c r="J3377" s="29">
        <v>1</v>
      </c>
      <c r="K3377" s="29" t="s">
        <v>471</v>
      </c>
      <c r="L3377" t="str">
        <f>IFERROR(VLOOKUP(Detalle_OC[[#This Row],[Centro]]&amp;Detalle_OC[[#This Row],[Nro Almacen]],Almacen!A:D,4,FALSE),"")</f>
        <v>Montelima</v>
      </c>
    </row>
    <row r="3378" spans="1:12" x14ac:dyDescent="0.3">
      <c r="A3378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3378" t="s">
        <v>28</v>
      </c>
      <c r="C3378" t="s">
        <v>82</v>
      </c>
      <c r="D3378" s="11">
        <v>45229</v>
      </c>
      <c r="E3378" t="s">
        <v>16</v>
      </c>
      <c r="F3378" t="s">
        <v>12</v>
      </c>
      <c r="G3378">
        <v>844508</v>
      </c>
      <c r="H3378">
        <v>5500019188</v>
      </c>
      <c r="I3378">
        <v>220</v>
      </c>
      <c r="J3378" s="29">
        <v>1</v>
      </c>
      <c r="K3378" s="29" t="s">
        <v>471</v>
      </c>
      <c r="L3378" t="str">
        <f>IFERROR(VLOOKUP(Detalle_OC[[#This Row],[Centro]]&amp;Detalle_OC[[#This Row],[Nro Almacen]],Almacen!A:D,4,FALSE),"")</f>
        <v>Montelima</v>
      </c>
    </row>
    <row r="3379" spans="1:12" x14ac:dyDescent="0.3">
      <c r="A3379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3379" t="s">
        <v>28</v>
      </c>
      <c r="C3379" t="s">
        <v>84</v>
      </c>
      <c r="D3379" s="11">
        <v>45226</v>
      </c>
      <c r="E3379" t="s">
        <v>16</v>
      </c>
      <c r="F3379" t="s">
        <v>85</v>
      </c>
      <c r="G3379">
        <v>801846</v>
      </c>
      <c r="H3379">
        <v>5500022336</v>
      </c>
      <c r="I3379">
        <v>10</v>
      </c>
      <c r="J3379" s="29">
        <v>1</v>
      </c>
      <c r="K3379" s="29" t="s">
        <v>472</v>
      </c>
      <c r="L3379" t="str">
        <f>IFERROR(VLOOKUP(Detalle_OC[[#This Row],[Centro]]&amp;Detalle_OC[[#This Row],[Nro Almacen]],Almacen!A:D,4,FALSE),"")</f>
        <v>Montelima</v>
      </c>
    </row>
    <row r="3380" spans="1:12" x14ac:dyDescent="0.3">
      <c r="A3380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3380" t="s">
        <v>28</v>
      </c>
      <c r="C3380" t="s">
        <v>84</v>
      </c>
      <c r="D3380" s="11">
        <v>45226</v>
      </c>
      <c r="E3380" t="s">
        <v>16</v>
      </c>
      <c r="F3380" t="s">
        <v>12</v>
      </c>
      <c r="G3380">
        <v>801846</v>
      </c>
      <c r="H3380">
        <v>5500022338</v>
      </c>
      <c r="I3380">
        <v>40</v>
      </c>
      <c r="J3380" s="29">
        <v>1</v>
      </c>
      <c r="K3380" s="29" t="s">
        <v>472</v>
      </c>
      <c r="L3380" t="str">
        <f>IFERROR(VLOOKUP(Detalle_OC[[#This Row],[Centro]]&amp;Detalle_OC[[#This Row],[Nro Almacen]],Almacen!A:D,4,FALSE),"")</f>
        <v>Montelima</v>
      </c>
    </row>
    <row r="3381" spans="1:12" x14ac:dyDescent="0.3">
      <c r="A3381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3381" t="s">
        <v>28</v>
      </c>
      <c r="C3381" t="s">
        <v>84</v>
      </c>
      <c r="D3381" s="11">
        <v>45226</v>
      </c>
      <c r="E3381" t="s">
        <v>16</v>
      </c>
      <c r="F3381" t="s">
        <v>12</v>
      </c>
      <c r="G3381">
        <v>801846</v>
      </c>
      <c r="H3381">
        <v>5500022338</v>
      </c>
      <c r="I3381">
        <v>40</v>
      </c>
      <c r="J3381" s="29">
        <v>1</v>
      </c>
      <c r="K3381" s="29" t="s">
        <v>472</v>
      </c>
      <c r="L3381" t="str">
        <f>IFERROR(VLOOKUP(Detalle_OC[[#This Row],[Centro]]&amp;Detalle_OC[[#This Row],[Nro Almacen]],Almacen!A:D,4,FALSE),"")</f>
        <v>Montelima</v>
      </c>
    </row>
    <row r="3382" spans="1:12" x14ac:dyDescent="0.3">
      <c r="A3382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3382" t="s">
        <v>28</v>
      </c>
      <c r="C3382" t="s">
        <v>84</v>
      </c>
      <c r="D3382" s="11">
        <v>45224</v>
      </c>
      <c r="E3382" t="s">
        <v>16</v>
      </c>
      <c r="F3382" t="s">
        <v>85</v>
      </c>
      <c r="G3382">
        <v>801846</v>
      </c>
      <c r="H3382">
        <v>5500022336</v>
      </c>
      <c r="I3382">
        <v>10</v>
      </c>
      <c r="J3382" s="29">
        <v>1</v>
      </c>
      <c r="K3382" s="29" t="s">
        <v>473</v>
      </c>
      <c r="L3382" t="str">
        <f>IFERROR(VLOOKUP(Detalle_OC[[#This Row],[Centro]]&amp;Detalle_OC[[#This Row],[Nro Almacen]],Almacen!A:D,4,FALSE),"")</f>
        <v>Montelima</v>
      </c>
    </row>
    <row r="3383" spans="1:12" x14ac:dyDescent="0.3">
      <c r="A3383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3383" t="s">
        <v>28</v>
      </c>
      <c r="C3383" t="s">
        <v>84</v>
      </c>
      <c r="D3383" s="11">
        <v>45218</v>
      </c>
      <c r="E3383" t="s">
        <v>16</v>
      </c>
      <c r="F3383" t="s">
        <v>85</v>
      </c>
      <c r="G3383">
        <v>801846</v>
      </c>
      <c r="H3383">
        <v>5500022336</v>
      </c>
      <c r="I3383">
        <v>10</v>
      </c>
      <c r="J3383" s="29">
        <v>1</v>
      </c>
      <c r="K3383" s="29" t="s">
        <v>474</v>
      </c>
      <c r="L3383" t="str">
        <f>IFERROR(VLOOKUP(Detalle_OC[[#This Row],[Centro]]&amp;Detalle_OC[[#This Row],[Nro Almacen]],Almacen!A:D,4,FALSE),"")</f>
        <v>Montelima</v>
      </c>
    </row>
    <row r="3384" spans="1:12" x14ac:dyDescent="0.3">
      <c r="A3384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3384" t="s">
        <v>28</v>
      </c>
      <c r="C3384" t="s">
        <v>84</v>
      </c>
      <c r="D3384" s="11">
        <v>45218</v>
      </c>
      <c r="E3384" t="s">
        <v>16</v>
      </c>
      <c r="F3384" t="s">
        <v>85</v>
      </c>
      <c r="G3384">
        <v>806591</v>
      </c>
      <c r="H3384">
        <v>5500022336</v>
      </c>
      <c r="I3384">
        <v>20</v>
      </c>
      <c r="J3384" s="29">
        <v>1</v>
      </c>
      <c r="K3384" s="29" t="s">
        <v>474</v>
      </c>
      <c r="L3384" t="str">
        <f>IFERROR(VLOOKUP(Detalle_OC[[#This Row],[Centro]]&amp;Detalle_OC[[#This Row],[Nro Almacen]],Almacen!A:D,4,FALSE),"")</f>
        <v>Montelima</v>
      </c>
    </row>
    <row r="3385" spans="1:12" x14ac:dyDescent="0.3">
      <c r="A3385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3385" t="s">
        <v>28</v>
      </c>
      <c r="C3385" t="s">
        <v>82</v>
      </c>
      <c r="D3385" s="11">
        <v>45217</v>
      </c>
      <c r="E3385" t="s">
        <v>16</v>
      </c>
      <c r="F3385" t="s">
        <v>12</v>
      </c>
      <c r="G3385">
        <v>844516</v>
      </c>
      <c r="H3385">
        <v>5500019188</v>
      </c>
      <c r="I3385">
        <v>190</v>
      </c>
      <c r="J3385" s="29">
        <v>1</v>
      </c>
      <c r="K3385" s="29" t="s">
        <v>475</v>
      </c>
      <c r="L3385" t="str">
        <f>IFERROR(VLOOKUP(Detalle_OC[[#This Row],[Centro]]&amp;Detalle_OC[[#This Row],[Nro Almacen]],Almacen!A:D,4,FALSE),"")</f>
        <v>Montelima</v>
      </c>
    </row>
    <row r="3386" spans="1:12" x14ac:dyDescent="0.3">
      <c r="A3386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3386" t="s">
        <v>28</v>
      </c>
      <c r="C3386" t="s">
        <v>82</v>
      </c>
      <c r="D3386" s="11">
        <v>45217</v>
      </c>
      <c r="E3386" t="s">
        <v>16</v>
      </c>
      <c r="F3386" t="s">
        <v>12</v>
      </c>
      <c r="G3386">
        <v>844515</v>
      </c>
      <c r="H3386">
        <v>5500019188</v>
      </c>
      <c r="I3386">
        <v>200</v>
      </c>
      <c r="J3386" s="29">
        <v>1</v>
      </c>
      <c r="K3386" s="29" t="s">
        <v>475</v>
      </c>
      <c r="L3386" t="str">
        <f>IFERROR(VLOOKUP(Detalle_OC[[#This Row],[Centro]]&amp;Detalle_OC[[#This Row],[Nro Almacen]],Almacen!A:D,4,FALSE),"")</f>
        <v>Montelima</v>
      </c>
    </row>
    <row r="3387" spans="1:12" x14ac:dyDescent="0.3">
      <c r="A3387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3387" t="s">
        <v>28</v>
      </c>
      <c r="C3387" t="s">
        <v>82</v>
      </c>
      <c r="D3387" s="11">
        <v>45217</v>
      </c>
      <c r="E3387" t="s">
        <v>16</v>
      </c>
      <c r="F3387" t="s">
        <v>12</v>
      </c>
      <c r="G3387">
        <v>844508</v>
      </c>
      <c r="H3387">
        <v>5500019188</v>
      </c>
      <c r="I3387">
        <v>220</v>
      </c>
      <c r="J3387" s="29">
        <v>1</v>
      </c>
      <c r="K3387" s="29" t="s">
        <v>475</v>
      </c>
      <c r="L3387" t="str">
        <f>IFERROR(VLOOKUP(Detalle_OC[[#This Row],[Centro]]&amp;Detalle_OC[[#This Row],[Nro Almacen]],Almacen!A:D,4,FALSE),"")</f>
        <v>Montelima</v>
      </c>
    </row>
    <row r="3388" spans="1:12" x14ac:dyDescent="0.3">
      <c r="A3388" s="29" t="str">
        <f>Detalle_OC[[#This Row],[Centro]]&amp;Detalle_OC[[#This Row],[Nom Almacen]]&amp;Detalle_OC[[#This Row],[Material]]&amp;Detalle_OC[[#This Row],[Pedido]]&amp;Detalle_OC[[#This Row],[Posicion]]</f>
        <v>Agricola del Chira PlantaMontelima8445185500019188270</v>
      </c>
      <c r="B3388" t="s">
        <v>28</v>
      </c>
      <c r="C3388" t="s">
        <v>82</v>
      </c>
      <c r="D3388" s="11">
        <v>45217</v>
      </c>
      <c r="E3388" t="s">
        <v>16</v>
      </c>
      <c r="F3388" t="s">
        <v>12</v>
      </c>
      <c r="G3388">
        <v>844518</v>
      </c>
      <c r="H3388">
        <v>5500019188</v>
      </c>
      <c r="I3388">
        <v>270</v>
      </c>
      <c r="J3388" s="29">
        <v>1</v>
      </c>
      <c r="K3388" s="29" t="s">
        <v>475</v>
      </c>
      <c r="L3388" t="str">
        <f>IFERROR(VLOOKUP(Detalle_OC[[#This Row],[Centro]]&amp;Detalle_OC[[#This Row],[Nro Almacen]],Almacen!A:D,4,FALSE),"")</f>
        <v>Montelima</v>
      </c>
    </row>
    <row r="3389" spans="1:12" x14ac:dyDescent="0.3">
      <c r="A3389" s="29" t="str">
        <f>Detalle_OC[[#This Row],[Centro]]&amp;Detalle_OC[[#This Row],[Nom Almacen]]&amp;Detalle_OC[[#This Row],[Material]]&amp;Detalle_OC[[#This Row],[Pedido]]&amp;Detalle_OC[[#This Row],[Posicion]]</f>
        <v>Agricola del Chira PlantaMontelima82639755000191881080</v>
      </c>
      <c r="B3389" t="s">
        <v>28</v>
      </c>
      <c r="C3389" t="s">
        <v>82</v>
      </c>
      <c r="D3389" s="11">
        <v>45217</v>
      </c>
      <c r="E3389" t="s">
        <v>16</v>
      </c>
      <c r="F3389" t="s">
        <v>12</v>
      </c>
      <c r="G3389">
        <v>826397</v>
      </c>
      <c r="H3389">
        <v>5500019188</v>
      </c>
      <c r="I3389">
        <v>1080</v>
      </c>
      <c r="J3389" s="29">
        <v>1</v>
      </c>
      <c r="K3389" s="29" t="s">
        <v>475</v>
      </c>
      <c r="L3389" t="str">
        <f>IFERROR(VLOOKUP(Detalle_OC[[#This Row],[Centro]]&amp;Detalle_OC[[#This Row],[Nro Almacen]],Almacen!A:D,4,FALSE),"")</f>
        <v>Montelima</v>
      </c>
    </row>
    <row r="3390" spans="1:12" x14ac:dyDescent="0.3">
      <c r="A3390" s="29" t="str">
        <f>Detalle_OC[[#This Row],[Centro]]&amp;Detalle_OC[[#This Row],[Nom Almacen]]&amp;Detalle_OC[[#This Row],[Material]]&amp;Detalle_OC[[#This Row],[Pedido]]&amp;Detalle_OC[[#This Row],[Posicion]]</f>
        <v>Agricola del Chira PlantaMontelima83175855000191881190</v>
      </c>
      <c r="B3390" t="s">
        <v>28</v>
      </c>
      <c r="C3390" t="s">
        <v>82</v>
      </c>
      <c r="D3390" s="11">
        <v>45217</v>
      </c>
      <c r="E3390" t="s">
        <v>16</v>
      </c>
      <c r="F3390" t="s">
        <v>12</v>
      </c>
      <c r="G3390">
        <v>831758</v>
      </c>
      <c r="H3390">
        <v>5500019188</v>
      </c>
      <c r="I3390">
        <v>1190</v>
      </c>
      <c r="J3390" s="29">
        <v>1</v>
      </c>
      <c r="K3390" s="29" t="s">
        <v>475</v>
      </c>
      <c r="L3390" t="str">
        <f>IFERROR(VLOOKUP(Detalle_OC[[#This Row],[Centro]]&amp;Detalle_OC[[#This Row],[Nro Almacen]],Almacen!A:D,4,FALSE),"")</f>
        <v>Montelima</v>
      </c>
    </row>
    <row r="3391" spans="1:12" x14ac:dyDescent="0.3">
      <c r="A3391" s="29" t="str">
        <f>Detalle_OC[[#This Row],[Centro]]&amp;Detalle_OC[[#This Row],[Nom Almacen]]&amp;Detalle_OC[[#This Row],[Material]]&amp;Detalle_OC[[#This Row],[Pedido]]&amp;Detalle_OC[[#This Row],[Posicion]]</f>
        <v>Agricola del Chira PlantaMontelima84557255000191881300</v>
      </c>
      <c r="B3391" t="s">
        <v>28</v>
      </c>
      <c r="C3391" t="s">
        <v>82</v>
      </c>
      <c r="D3391" s="11">
        <v>45217</v>
      </c>
      <c r="E3391" t="s">
        <v>16</v>
      </c>
      <c r="F3391" t="s">
        <v>12</v>
      </c>
      <c r="G3391">
        <v>845572</v>
      </c>
      <c r="H3391">
        <v>5500019188</v>
      </c>
      <c r="I3391">
        <v>1300</v>
      </c>
      <c r="J3391" s="29">
        <v>1</v>
      </c>
      <c r="K3391" s="29" t="s">
        <v>475</v>
      </c>
      <c r="L3391" t="str">
        <f>IFERROR(VLOOKUP(Detalle_OC[[#This Row],[Centro]]&amp;Detalle_OC[[#This Row],[Nro Almacen]],Almacen!A:D,4,FALSE),"")</f>
        <v>Montelima</v>
      </c>
    </row>
    <row r="3392" spans="1:12" x14ac:dyDescent="0.3">
      <c r="A3392" s="29" t="str">
        <f>Detalle_OC[[#This Row],[Centro]]&amp;Detalle_OC[[#This Row],[Nom Almacen]]&amp;Detalle_OC[[#This Row],[Material]]&amp;Detalle_OC[[#This Row],[Pedido]]&amp;Detalle_OC[[#This Row],[Posicion]]</f>
        <v>Agricola del Chira PlantaMontelima7002966055000191881560</v>
      </c>
      <c r="B3392" t="s">
        <v>28</v>
      </c>
      <c r="C3392" t="s">
        <v>82</v>
      </c>
      <c r="D3392" s="11">
        <v>45217</v>
      </c>
      <c r="E3392" t="s">
        <v>16</v>
      </c>
      <c r="F3392" t="s">
        <v>12</v>
      </c>
      <c r="G3392">
        <v>70029660</v>
      </c>
      <c r="H3392">
        <v>5500019188</v>
      </c>
      <c r="I3392">
        <v>1560</v>
      </c>
      <c r="J3392" s="29">
        <v>1</v>
      </c>
      <c r="K3392" s="29" t="s">
        <v>475</v>
      </c>
      <c r="L3392" t="str">
        <f>IFERROR(VLOOKUP(Detalle_OC[[#This Row],[Centro]]&amp;Detalle_OC[[#This Row],[Nro Almacen]],Almacen!A:D,4,FALSE),"")</f>
        <v>Montelima</v>
      </c>
    </row>
    <row r="3393" spans="1:12" x14ac:dyDescent="0.3">
      <c r="A3393" s="29" t="str">
        <f>Detalle_OC[[#This Row],[Centro]]&amp;Detalle_OC[[#This Row],[Nom Almacen]]&amp;Detalle_OC[[#This Row],[Material]]&amp;Detalle_OC[[#This Row],[Pedido]]&amp;Detalle_OC[[#This Row],[Posicion]]</f>
        <v>Agricola del Chira PlantaMontelima7002961555000191881570</v>
      </c>
      <c r="B3393" t="s">
        <v>28</v>
      </c>
      <c r="C3393" t="s">
        <v>82</v>
      </c>
      <c r="D3393" s="11">
        <v>45217</v>
      </c>
      <c r="E3393" t="s">
        <v>16</v>
      </c>
      <c r="F3393" t="s">
        <v>12</v>
      </c>
      <c r="G3393">
        <v>70029615</v>
      </c>
      <c r="H3393">
        <v>5500019188</v>
      </c>
      <c r="I3393">
        <v>1570</v>
      </c>
      <c r="J3393" s="29">
        <v>1</v>
      </c>
      <c r="K3393" s="29" t="s">
        <v>475</v>
      </c>
      <c r="L3393" t="str">
        <f>IFERROR(VLOOKUP(Detalle_OC[[#This Row],[Centro]]&amp;Detalle_OC[[#This Row],[Nro Almacen]],Almacen!A:D,4,FALSE),"")</f>
        <v>Montelima</v>
      </c>
    </row>
    <row r="3394" spans="1:12" x14ac:dyDescent="0.3">
      <c r="A3394" s="29" t="str">
        <f>Detalle_OC[[#This Row],[Centro]]&amp;Detalle_OC[[#This Row],[Nom Almacen]]&amp;Detalle_OC[[#This Row],[Material]]&amp;Detalle_OC[[#This Row],[Pedido]]&amp;Detalle_OC[[#This Row],[Posicion]]</f>
        <v>Agricola del Chira PlantaMontelima8445245500019188210</v>
      </c>
      <c r="B3394" t="s">
        <v>28</v>
      </c>
      <c r="C3394" t="s">
        <v>82</v>
      </c>
      <c r="D3394" s="11">
        <v>45211</v>
      </c>
      <c r="E3394" t="s">
        <v>16</v>
      </c>
      <c r="F3394" t="s">
        <v>12</v>
      </c>
      <c r="G3394">
        <v>844524</v>
      </c>
      <c r="H3394">
        <v>5500019188</v>
      </c>
      <c r="I3394">
        <v>210</v>
      </c>
      <c r="J3394" s="29">
        <v>1</v>
      </c>
      <c r="K3394" s="29" t="s">
        <v>476</v>
      </c>
      <c r="L3394" t="str">
        <f>IFERROR(VLOOKUP(Detalle_OC[[#This Row],[Centro]]&amp;Detalle_OC[[#This Row],[Nro Almacen]],Almacen!A:D,4,FALSE),"")</f>
        <v>Montelima</v>
      </c>
    </row>
    <row r="3395" spans="1:12" x14ac:dyDescent="0.3">
      <c r="A3395" s="29" t="str">
        <f>Detalle_OC[[#This Row],[Centro]]&amp;Detalle_OC[[#This Row],[Nom Almacen]]&amp;Detalle_OC[[#This Row],[Material]]&amp;Detalle_OC[[#This Row],[Pedido]]&amp;Detalle_OC[[#This Row],[Posicion]]</f>
        <v>Agricola del Chira PlantaMontelima813224550002233870</v>
      </c>
      <c r="B3395" t="s">
        <v>28</v>
      </c>
      <c r="C3395" t="s">
        <v>84</v>
      </c>
      <c r="D3395" s="11">
        <v>45203</v>
      </c>
      <c r="E3395" t="s">
        <v>16</v>
      </c>
      <c r="F3395" t="s">
        <v>12</v>
      </c>
      <c r="G3395">
        <v>813224</v>
      </c>
      <c r="H3395">
        <v>5500022338</v>
      </c>
      <c r="I3395">
        <v>70</v>
      </c>
      <c r="J3395" s="29">
        <v>1</v>
      </c>
      <c r="K3395" s="29" t="s">
        <v>477</v>
      </c>
      <c r="L3395" t="str">
        <f>IFERROR(VLOOKUP(Detalle_OC[[#This Row],[Centro]]&amp;Detalle_OC[[#This Row],[Nro Almacen]],Almacen!A:D,4,FALSE),"")</f>
        <v>Montelima</v>
      </c>
    </row>
    <row r="3396" spans="1:12" x14ac:dyDescent="0.3">
      <c r="A3396" s="29" t="str">
        <f>Detalle_OC[[#This Row],[Centro]]&amp;Detalle_OC[[#This Row],[Nom Almacen]]&amp;Detalle_OC[[#This Row],[Material]]&amp;Detalle_OC[[#This Row],[Pedido]]&amp;Detalle_OC[[#This Row],[Posicion]]</f>
        <v>Agricola del Chira PlantaMontelima70032053550002233880</v>
      </c>
      <c r="B3396" t="s">
        <v>28</v>
      </c>
      <c r="C3396" t="s">
        <v>84</v>
      </c>
      <c r="D3396" s="11">
        <v>45203</v>
      </c>
      <c r="E3396" t="s">
        <v>16</v>
      </c>
      <c r="F3396" t="s">
        <v>12</v>
      </c>
      <c r="G3396">
        <v>70032053</v>
      </c>
      <c r="H3396">
        <v>5500022338</v>
      </c>
      <c r="I3396">
        <v>80</v>
      </c>
      <c r="J3396" s="29">
        <v>1</v>
      </c>
      <c r="K3396" s="29" t="s">
        <v>477</v>
      </c>
      <c r="L3396" t="str">
        <f>IFERROR(VLOOKUP(Detalle_OC[[#This Row],[Centro]]&amp;Detalle_OC[[#This Row],[Nro Almacen]],Almacen!A:D,4,FALSE),"")</f>
        <v>Montelima</v>
      </c>
    </row>
    <row r="3397" spans="1:12" x14ac:dyDescent="0.3">
      <c r="A3397" s="29" t="str">
        <f>Detalle_OC[[#This Row],[Centro]]&amp;Detalle_OC[[#This Row],[Nom Almacen]]&amp;Detalle_OC[[#This Row],[Material]]&amp;Detalle_OC[[#This Row],[Pedido]]&amp;Detalle_OC[[#This Row],[Posicion]]</f>
        <v>Agricola del Chira PlantaMontelima70032053550002233880</v>
      </c>
      <c r="B3397" t="s">
        <v>28</v>
      </c>
      <c r="C3397" t="s">
        <v>84</v>
      </c>
      <c r="D3397" s="11">
        <v>45203</v>
      </c>
      <c r="E3397" t="s">
        <v>16</v>
      </c>
      <c r="F3397" t="s">
        <v>12</v>
      </c>
      <c r="G3397">
        <v>70032053</v>
      </c>
      <c r="H3397">
        <v>5500022338</v>
      </c>
      <c r="I3397">
        <v>80</v>
      </c>
      <c r="J3397" s="29">
        <v>1</v>
      </c>
      <c r="K3397" s="29" t="s">
        <v>477</v>
      </c>
      <c r="L3397" t="str">
        <f>IFERROR(VLOOKUP(Detalle_OC[[#This Row],[Centro]]&amp;Detalle_OC[[#This Row],[Nro Almacen]],Almacen!A:D,4,FALSE),"")</f>
        <v>Montelima</v>
      </c>
    </row>
    <row r="3398" spans="1:12" x14ac:dyDescent="0.3">
      <c r="A3398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3398" t="s">
        <v>28</v>
      </c>
      <c r="C3398" t="s">
        <v>84</v>
      </c>
      <c r="D3398" s="11">
        <v>45215</v>
      </c>
      <c r="E3398" t="s">
        <v>16</v>
      </c>
      <c r="F3398" t="s">
        <v>85</v>
      </c>
      <c r="G3398">
        <v>806591</v>
      </c>
      <c r="H3398">
        <v>5500022336</v>
      </c>
      <c r="I3398">
        <v>20</v>
      </c>
      <c r="J3398" s="29">
        <v>1</v>
      </c>
      <c r="K3398" s="29" t="s">
        <v>478</v>
      </c>
      <c r="L3398" t="str">
        <f>IFERROR(VLOOKUP(Detalle_OC[[#This Row],[Centro]]&amp;Detalle_OC[[#This Row],[Nro Almacen]],Almacen!A:D,4,FALSE),"")</f>
        <v>Montelima</v>
      </c>
    </row>
    <row r="3399" spans="1:12" x14ac:dyDescent="0.3">
      <c r="A3399" s="29" t="str">
        <f>Detalle_OC[[#This Row],[Centro]]&amp;Detalle_OC[[#This Row],[Nom Almacen]]&amp;Detalle_OC[[#This Row],[Material]]&amp;Detalle_OC[[#This Row],[Pedido]]&amp;Detalle_OC[[#This Row],[Posicion]]</f>
        <v>Agricola del Chira PlantaMontelima738330550001918820</v>
      </c>
      <c r="B3399" t="s">
        <v>28</v>
      </c>
      <c r="C3399" t="s">
        <v>82</v>
      </c>
      <c r="D3399" s="11">
        <v>45201</v>
      </c>
      <c r="E3399" t="s">
        <v>16</v>
      </c>
      <c r="F3399" t="s">
        <v>12</v>
      </c>
      <c r="G3399">
        <v>738330</v>
      </c>
      <c r="H3399">
        <v>5500019188</v>
      </c>
      <c r="I3399">
        <v>20</v>
      </c>
      <c r="J3399" s="29">
        <v>1</v>
      </c>
      <c r="K3399" s="29" t="s">
        <v>479</v>
      </c>
      <c r="L3399" t="str">
        <f>IFERROR(VLOOKUP(Detalle_OC[[#This Row],[Centro]]&amp;Detalle_OC[[#This Row],[Nro Almacen]],Almacen!A:D,4,FALSE),"")</f>
        <v>Montelima</v>
      </c>
    </row>
    <row r="3400" spans="1:12" x14ac:dyDescent="0.3">
      <c r="A3400" s="29" t="str">
        <f>Detalle_OC[[#This Row],[Centro]]&amp;Detalle_OC[[#This Row],[Nom Almacen]]&amp;Detalle_OC[[#This Row],[Material]]&amp;Detalle_OC[[#This Row],[Pedido]]&amp;Detalle_OC[[#This Row],[Posicion]]</f>
        <v>Agricola del Chira PlantaMontelima7382475500019188100</v>
      </c>
      <c r="B3400" t="s">
        <v>28</v>
      </c>
      <c r="C3400" t="s">
        <v>82</v>
      </c>
      <c r="D3400" s="11">
        <v>45201</v>
      </c>
      <c r="E3400" t="s">
        <v>16</v>
      </c>
      <c r="F3400" t="s">
        <v>12</v>
      </c>
      <c r="G3400">
        <v>738247</v>
      </c>
      <c r="H3400">
        <v>5500019188</v>
      </c>
      <c r="I3400">
        <v>100</v>
      </c>
      <c r="J3400" s="29">
        <v>1</v>
      </c>
      <c r="K3400" s="29" t="s">
        <v>479</v>
      </c>
      <c r="L3400" t="str">
        <f>IFERROR(VLOOKUP(Detalle_OC[[#This Row],[Centro]]&amp;Detalle_OC[[#This Row],[Nro Almacen]],Almacen!A:D,4,FALSE),"")</f>
        <v>Montelima</v>
      </c>
    </row>
    <row r="3401" spans="1:12" x14ac:dyDescent="0.3">
      <c r="A3401" s="29" t="str">
        <f>Detalle_OC[[#This Row],[Centro]]&amp;Detalle_OC[[#This Row],[Nom Almacen]]&amp;Detalle_OC[[#This Row],[Material]]&amp;Detalle_OC[[#This Row],[Pedido]]&amp;Detalle_OC[[#This Row],[Posicion]]</f>
        <v>Agricola del Chira PlantaMontelima7382475500019188100</v>
      </c>
      <c r="B3401" t="s">
        <v>28</v>
      </c>
      <c r="C3401" t="s">
        <v>82</v>
      </c>
      <c r="D3401" s="11">
        <v>45201</v>
      </c>
      <c r="E3401" t="s">
        <v>16</v>
      </c>
      <c r="F3401" t="s">
        <v>12</v>
      </c>
      <c r="G3401">
        <v>738247</v>
      </c>
      <c r="H3401">
        <v>5500019188</v>
      </c>
      <c r="I3401">
        <v>100</v>
      </c>
      <c r="J3401" s="29">
        <v>1</v>
      </c>
      <c r="K3401" s="29" t="s">
        <v>479</v>
      </c>
      <c r="L3401" t="str">
        <f>IFERROR(VLOOKUP(Detalle_OC[[#This Row],[Centro]]&amp;Detalle_OC[[#This Row],[Nro Almacen]],Almacen!A:D,4,FALSE),"")</f>
        <v>Montelima</v>
      </c>
    </row>
    <row r="3402" spans="1:12" x14ac:dyDescent="0.3">
      <c r="A3402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3402" t="s">
        <v>28</v>
      </c>
      <c r="C3402" t="s">
        <v>82</v>
      </c>
      <c r="D3402" s="11">
        <v>45201</v>
      </c>
      <c r="E3402" t="s">
        <v>16</v>
      </c>
      <c r="F3402" t="s">
        <v>12</v>
      </c>
      <c r="G3402">
        <v>844523</v>
      </c>
      <c r="H3402">
        <v>5500019188</v>
      </c>
      <c r="I3402">
        <v>140</v>
      </c>
      <c r="J3402" s="29">
        <v>1</v>
      </c>
      <c r="K3402" s="29" t="s">
        <v>479</v>
      </c>
      <c r="L3402" t="str">
        <f>IFERROR(VLOOKUP(Detalle_OC[[#This Row],[Centro]]&amp;Detalle_OC[[#This Row],[Nro Almacen]],Almacen!A:D,4,FALSE),"")</f>
        <v>Montelima</v>
      </c>
    </row>
    <row r="3403" spans="1:12" x14ac:dyDescent="0.3">
      <c r="A3403" s="29" t="str">
        <f>Detalle_OC[[#This Row],[Centro]]&amp;Detalle_OC[[#This Row],[Nom Almacen]]&amp;Detalle_OC[[#This Row],[Material]]&amp;Detalle_OC[[#This Row],[Pedido]]&amp;Detalle_OC[[#This Row],[Posicion]]</f>
        <v>Agricola del Chira PlantaMontelima8445335500019188170</v>
      </c>
      <c r="B3403" t="s">
        <v>28</v>
      </c>
      <c r="C3403" t="s">
        <v>82</v>
      </c>
      <c r="D3403" s="11">
        <v>45201</v>
      </c>
      <c r="E3403" t="s">
        <v>16</v>
      </c>
      <c r="F3403" t="s">
        <v>12</v>
      </c>
      <c r="G3403">
        <v>844533</v>
      </c>
      <c r="H3403">
        <v>5500019188</v>
      </c>
      <c r="I3403">
        <v>170</v>
      </c>
      <c r="J3403" s="29">
        <v>1</v>
      </c>
      <c r="K3403" s="29" t="s">
        <v>479</v>
      </c>
      <c r="L3403" t="str">
        <f>IFERROR(VLOOKUP(Detalle_OC[[#This Row],[Centro]]&amp;Detalle_OC[[#This Row],[Nro Almacen]],Almacen!A:D,4,FALSE),"")</f>
        <v>Montelima</v>
      </c>
    </row>
    <row r="3404" spans="1:12" x14ac:dyDescent="0.3">
      <c r="A3404" s="29" t="str">
        <f>Detalle_OC[[#This Row],[Centro]]&amp;Detalle_OC[[#This Row],[Nom Almacen]]&amp;Detalle_OC[[#This Row],[Material]]&amp;Detalle_OC[[#This Row],[Pedido]]&amp;Detalle_OC[[#This Row],[Posicion]]</f>
        <v>Agricola del Chira PlantaMontelima8445245500019188210</v>
      </c>
      <c r="B3404" t="s">
        <v>28</v>
      </c>
      <c r="C3404" t="s">
        <v>82</v>
      </c>
      <c r="D3404" s="11">
        <v>45201</v>
      </c>
      <c r="E3404" t="s">
        <v>16</v>
      </c>
      <c r="F3404" t="s">
        <v>12</v>
      </c>
      <c r="G3404">
        <v>844524</v>
      </c>
      <c r="H3404">
        <v>5500019188</v>
      </c>
      <c r="I3404">
        <v>210</v>
      </c>
      <c r="J3404" s="29">
        <v>1</v>
      </c>
      <c r="K3404" s="29" t="s">
        <v>479</v>
      </c>
      <c r="L3404" t="str">
        <f>IFERROR(VLOOKUP(Detalle_OC[[#This Row],[Centro]]&amp;Detalle_OC[[#This Row],[Nro Almacen]],Almacen!A:D,4,FALSE),"")</f>
        <v>Montelima</v>
      </c>
    </row>
    <row r="3405" spans="1:12" x14ac:dyDescent="0.3">
      <c r="A3405" s="29" t="str">
        <f>Detalle_OC[[#This Row],[Centro]]&amp;Detalle_OC[[#This Row],[Nom Almacen]]&amp;Detalle_OC[[#This Row],[Material]]&amp;Detalle_OC[[#This Row],[Pedido]]&amp;Detalle_OC[[#This Row],[Posicion]]</f>
        <v>Agricola del Chira PlantaMontelima8443975500019188280</v>
      </c>
      <c r="B3405" t="s">
        <v>28</v>
      </c>
      <c r="C3405" t="s">
        <v>82</v>
      </c>
      <c r="D3405" s="11">
        <v>45201</v>
      </c>
      <c r="E3405" t="s">
        <v>16</v>
      </c>
      <c r="F3405" t="s">
        <v>12</v>
      </c>
      <c r="G3405">
        <v>844397</v>
      </c>
      <c r="H3405">
        <v>5500019188</v>
      </c>
      <c r="I3405">
        <v>280</v>
      </c>
      <c r="J3405" s="29">
        <v>1</v>
      </c>
      <c r="K3405" s="29" t="s">
        <v>479</v>
      </c>
      <c r="L3405" t="str">
        <f>IFERROR(VLOOKUP(Detalle_OC[[#This Row],[Centro]]&amp;Detalle_OC[[#This Row],[Nro Almacen]],Almacen!A:D,4,FALSE),"")</f>
        <v>Montelima</v>
      </c>
    </row>
    <row r="3406" spans="1:12" x14ac:dyDescent="0.3">
      <c r="A3406" s="29" t="str">
        <f>Detalle_OC[[#This Row],[Centro]]&amp;Detalle_OC[[#This Row],[Nom Almacen]]&amp;Detalle_OC[[#This Row],[Material]]&amp;Detalle_OC[[#This Row],[Pedido]]&amp;Detalle_OC[[#This Row],[Posicion]]</f>
        <v>Agricola del Chira PlantaMontelima8444905500019188400</v>
      </c>
      <c r="B3406" t="s">
        <v>28</v>
      </c>
      <c r="C3406" t="s">
        <v>82</v>
      </c>
      <c r="D3406" s="11">
        <v>45201</v>
      </c>
      <c r="E3406" t="s">
        <v>16</v>
      </c>
      <c r="F3406" t="s">
        <v>12</v>
      </c>
      <c r="G3406">
        <v>844490</v>
      </c>
      <c r="H3406">
        <v>5500019188</v>
      </c>
      <c r="I3406">
        <v>400</v>
      </c>
      <c r="J3406" s="29">
        <v>1</v>
      </c>
      <c r="K3406" s="29" t="s">
        <v>479</v>
      </c>
      <c r="L3406" t="str">
        <f>IFERROR(VLOOKUP(Detalle_OC[[#This Row],[Centro]]&amp;Detalle_OC[[#This Row],[Nro Almacen]],Almacen!A:D,4,FALSE),"")</f>
        <v>Montelima</v>
      </c>
    </row>
    <row r="3407" spans="1:12" x14ac:dyDescent="0.3">
      <c r="A3407" s="29" t="str">
        <f>Detalle_OC[[#This Row],[Centro]]&amp;Detalle_OC[[#This Row],[Nom Almacen]]&amp;Detalle_OC[[#This Row],[Material]]&amp;Detalle_OC[[#This Row],[Pedido]]&amp;Detalle_OC[[#This Row],[Posicion]]</f>
        <v>Agricola del Chira PlantaMontelima8457155500019188650</v>
      </c>
      <c r="B3407" t="s">
        <v>28</v>
      </c>
      <c r="C3407" t="s">
        <v>82</v>
      </c>
      <c r="D3407" s="11">
        <v>45201</v>
      </c>
      <c r="E3407" t="s">
        <v>16</v>
      </c>
      <c r="F3407" t="s">
        <v>12</v>
      </c>
      <c r="G3407">
        <v>845715</v>
      </c>
      <c r="H3407">
        <v>5500019188</v>
      </c>
      <c r="I3407">
        <v>650</v>
      </c>
      <c r="J3407" s="29">
        <v>1</v>
      </c>
      <c r="K3407" s="29" t="s">
        <v>479</v>
      </c>
      <c r="L3407" t="str">
        <f>IFERROR(VLOOKUP(Detalle_OC[[#This Row],[Centro]]&amp;Detalle_OC[[#This Row],[Nro Almacen]],Almacen!A:D,4,FALSE),"")</f>
        <v>Montelima</v>
      </c>
    </row>
    <row r="3408" spans="1:12" x14ac:dyDescent="0.3">
      <c r="A3408" s="29" t="str">
        <f>Detalle_OC[[#This Row],[Centro]]&amp;Detalle_OC[[#This Row],[Nom Almacen]]&amp;Detalle_OC[[#This Row],[Material]]&amp;Detalle_OC[[#This Row],[Pedido]]&amp;Detalle_OC[[#This Row],[Posicion]]</f>
        <v>Agricola del Chira PlantaMontelima8459045500019188720</v>
      </c>
      <c r="B3408" t="s">
        <v>28</v>
      </c>
      <c r="C3408" t="s">
        <v>82</v>
      </c>
      <c r="D3408" s="11">
        <v>45201</v>
      </c>
      <c r="E3408" t="s">
        <v>16</v>
      </c>
      <c r="F3408" t="s">
        <v>12</v>
      </c>
      <c r="G3408">
        <v>845904</v>
      </c>
      <c r="H3408">
        <v>5500019188</v>
      </c>
      <c r="I3408">
        <v>720</v>
      </c>
      <c r="J3408" s="29">
        <v>1</v>
      </c>
      <c r="K3408" s="29" t="s">
        <v>479</v>
      </c>
      <c r="L3408" t="str">
        <f>IFERROR(VLOOKUP(Detalle_OC[[#This Row],[Centro]]&amp;Detalle_OC[[#This Row],[Nro Almacen]],Almacen!A:D,4,FALSE),"")</f>
        <v>Montelima</v>
      </c>
    </row>
    <row r="3409" spans="1:12" x14ac:dyDescent="0.3">
      <c r="A3409" s="29" t="str">
        <f>Detalle_OC[[#This Row],[Centro]]&amp;Detalle_OC[[#This Row],[Nom Almacen]]&amp;Detalle_OC[[#This Row],[Material]]&amp;Detalle_OC[[#This Row],[Pedido]]&amp;Detalle_OC[[#This Row],[Posicion]]</f>
        <v>Agricola del Chira PlantaAlmacen Lobo896433451152048010</v>
      </c>
      <c r="B3409" t="s">
        <v>50</v>
      </c>
      <c r="C3409" t="s">
        <v>312</v>
      </c>
      <c r="D3409" s="11">
        <v>45523</v>
      </c>
      <c r="E3409" t="s">
        <v>16</v>
      </c>
      <c r="F3409" t="s">
        <v>12</v>
      </c>
      <c r="G3409">
        <v>896433</v>
      </c>
      <c r="H3409">
        <v>4511520480</v>
      </c>
      <c r="I3409">
        <v>10</v>
      </c>
      <c r="J3409" s="29">
        <v>7</v>
      </c>
      <c r="K3409" s="29" t="s">
        <v>1228</v>
      </c>
      <c r="L3409" t="str">
        <f>IFERROR(VLOOKUP(Detalle_OC[[#This Row],[Centro]]&amp;Detalle_OC[[#This Row],[Nro Almacen]],Almacen!A:D,4,FALSE),"")</f>
        <v>Almacen Lobo</v>
      </c>
    </row>
    <row r="3410" spans="1:12" x14ac:dyDescent="0.3">
      <c r="A3410" s="29" t="str">
        <f>Detalle_OC[[#This Row],[Centro]]&amp;Detalle_OC[[#This Row],[Nom Almacen]]&amp;Detalle_OC[[#This Row],[Material]]&amp;Detalle_OC[[#This Row],[Pedido]]&amp;Detalle_OC[[#This Row],[Posicion]]</f>
        <v>Agricola del Chira PlantaAlmacen Lobo70120449451152048020</v>
      </c>
      <c r="B3410" t="s">
        <v>50</v>
      </c>
      <c r="C3410" t="s">
        <v>312</v>
      </c>
      <c r="D3410" s="11">
        <v>45331</v>
      </c>
      <c r="E3410" t="s">
        <v>16</v>
      </c>
      <c r="F3410" t="s">
        <v>12</v>
      </c>
      <c r="G3410">
        <v>70120449</v>
      </c>
      <c r="H3410">
        <v>4511520480</v>
      </c>
      <c r="I3410">
        <v>20</v>
      </c>
      <c r="J3410" s="29">
        <v>7</v>
      </c>
      <c r="K3410" s="29" t="s">
        <v>1228</v>
      </c>
      <c r="L3410" t="str">
        <f>IFERROR(VLOOKUP(Detalle_OC[[#This Row],[Centro]]&amp;Detalle_OC[[#This Row],[Nro Almacen]],Almacen!A:D,4,FALSE),"")</f>
        <v>Almacen Lobo</v>
      </c>
    </row>
    <row r="3411" spans="1:12" x14ac:dyDescent="0.3">
      <c r="A3411" s="29" t="str">
        <f>Detalle_OC[[#This Row],[Centro]]&amp;Detalle_OC[[#This Row],[Nom Almacen]]&amp;Detalle_OC[[#This Row],[Material]]&amp;Detalle_OC[[#This Row],[Pedido]]&amp;Detalle_OC[[#This Row],[Posicion]]</f>
        <v>Agricola del Chira PlantaLa Huaca70120806451152048030</v>
      </c>
      <c r="B3411" t="s">
        <v>181</v>
      </c>
      <c r="C3411" t="s">
        <v>312</v>
      </c>
      <c r="D3411" s="11">
        <v>45245</v>
      </c>
      <c r="E3411" t="s">
        <v>16</v>
      </c>
      <c r="F3411" t="s">
        <v>12</v>
      </c>
      <c r="G3411">
        <v>70120806</v>
      </c>
      <c r="H3411">
        <v>4511520480</v>
      </c>
      <c r="I3411">
        <v>30</v>
      </c>
      <c r="J3411" s="29">
        <v>2</v>
      </c>
      <c r="K3411" s="29" t="s">
        <v>1228</v>
      </c>
      <c r="L3411" t="str">
        <f>IFERROR(VLOOKUP(Detalle_OC[[#This Row],[Centro]]&amp;Detalle_OC[[#This Row],[Nro Almacen]],Almacen!A:D,4,FALSE),"")</f>
        <v>La Huaca</v>
      </c>
    </row>
    <row r="3412" spans="1:12" x14ac:dyDescent="0.3">
      <c r="A3412" s="29" t="str">
        <f>Detalle_OC[[#This Row],[Centro]]&amp;Detalle_OC[[#This Row],[Nom Almacen]]&amp;Detalle_OC[[#This Row],[Material]]&amp;Detalle_OC[[#This Row],[Pedido]]&amp;Detalle_OC[[#This Row],[Posicion]]</f>
        <v>Agricola del Chira PlantaLa Huaca70120868451152048040</v>
      </c>
      <c r="B3412" t="s">
        <v>181</v>
      </c>
      <c r="C3412" t="s">
        <v>312</v>
      </c>
      <c r="D3412" s="11">
        <v>45275</v>
      </c>
      <c r="E3412" t="s">
        <v>16</v>
      </c>
      <c r="F3412" t="s">
        <v>12</v>
      </c>
      <c r="G3412">
        <v>70120868</v>
      </c>
      <c r="H3412">
        <v>4511520480</v>
      </c>
      <c r="I3412">
        <v>40</v>
      </c>
      <c r="J3412" s="29">
        <v>2</v>
      </c>
      <c r="K3412" s="29" t="s">
        <v>1228</v>
      </c>
      <c r="L3412" t="str">
        <f>IFERROR(VLOOKUP(Detalle_OC[[#This Row],[Centro]]&amp;Detalle_OC[[#This Row],[Nro Almacen]],Almacen!A:D,4,FALSE),"")</f>
        <v>La Huaca</v>
      </c>
    </row>
    <row r="3413" spans="1:12" x14ac:dyDescent="0.3">
      <c r="A3413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3413" t="s">
        <v>28</v>
      </c>
      <c r="C3413" t="s">
        <v>84</v>
      </c>
      <c r="D3413" s="11">
        <v>45196</v>
      </c>
      <c r="E3413" t="s">
        <v>16</v>
      </c>
      <c r="F3413" t="s">
        <v>85</v>
      </c>
      <c r="G3413">
        <v>801846</v>
      </c>
      <c r="H3413">
        <v>5500022336</v>
      </c>
      <c r="I3413">
        <v>10</v>
      </c>
      <c r="J3413" s="29">
        <v>1</v>
      </c>
      <c r="K3413" s="29" t="s">
        <v>480</v>
      </c>
      <c r="L3413" t="str">
        <f>IFERROR(VLOOKUP(Detalle_OC[[#This Row],[Centro]]&amp;Detalle_OC[[#This Row],[Nro Almacen]],Almacen!A:D,4,FALSE),"")</f>
        <v>Montelima</v>
      </c>
    </row>
    <row r="3414" spans="1:12" x14ac:dyDescent="0.3">
      <c r="A3414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3414" t="s">
        <v>28</v>
      </c>
      <c r="C3414" t="s">
        <v>84</v>
      </c>
      <c r="D3414" s="11">
        <v>45196</v>
      </c>
      <c r="E3414" t="s">
        <v>16</v>
      </c>
      <c r="F3414" t="s">
        <v>85</v>
      </c>
      <c r="G3414">
        <v>806591</v>
      </c>
      <c r="H3414">
        <v>5500022336</v>
      </c>
      <c r="I3414">
        <v>20</v>
      </c>
      <c r="J3414" s="29">
        <v>1</v>
      </c>
      <c r="K3414" s="29" t="s">
        <v>480</v>
      </c>
      <c r="L3414" t="str">
        <f>IFERROR(VLOOKUP(Detalle_OC[[#This Row],[Centro]]&amp;Detalle_OC[[#This Row],[Nro Almacen]],Almacen!A:D,4,FALSE),"")</f>
        <v>Montelima</v>
      </c>
    </row>
    <row r="3415" spans="1:12" x14ac:dyDescent="0.3">
      <c r="A3415" s="29" t="str">
        <f>Detalle_OC[[#This Row],[Centro]]&amp;Detalle_OC[[#This Row],[Nom Almacen]]&amp;Detalle_OC[[#This Row],[Material]]&amp;Detalle_OC[[#This Row],[Pedido]]&amp;Detalle_OC[[#This Row],[Posicion]]</f>
        <v>Agricola del Chira PlantaMontelima813224550002233870</v>
      </c>
      <c r="B3415" t="s">
        <v>28</v>
      </c>
      <c r="C3415" t="s">
        <v>84</v>
      </c>
      <c r="D3415" s="11">
        <v>45189</v>
      </c>
      <c r="E3415" t="s">
        <v>16</v>
      </c>
      <c r="F3415" t="s">
        <v>12</v>
      </c>
      <c r="G3415">
        <v>813224</v>
      </c>
      <c r="H3415">
        <v>5500022338</v>
      </c>
      <c r="I3415">
        <v>70</v>
      </c>
      <c r="J3415" s="29">
        <v>1</v>
      </c>
      <c r="K3415" s="29" t="s">
        <v>481</v>
      </c>
      <c r="L3415" t="str">
        <f>IFERROR(VLOOKUP(Detalle_OC[[#This Row],[Centro]]&amp;Detalle_OC[[#This Row],[Nro Almacen]],Almacen!A:D,4,FALSE),"")</f>
        <v>Montelima</v>
      </c>
    </row>
    <row r="3416" spans="1:12" x14ac:dyDescent="0.3">
      <c r="A3416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3416" t="s">
        <v>28</v>
      </c>
      <c r="C3416" t="s">
        <v>82</v>
      </c>
      <c r="D3416" s="11">
        <v>45189</v>
      </c>
      <c r="E3416" t="s">
        <v>16</v>
      </c>
      <c r="F3416" t="s">
        <v>12</v>
      </c>
      <c r="G3416">
        <v>844523</v>
      </c>
      <c r="H3416">
        <v>5500019188</v>
      </c>
      <c r="I3416">
        <v>140</v>
      </c>
      <c r="J3416" s="29">
        <v>1</v>
      </c>
      <c r="K3416" s="29" t="s">
        <v>482</v>
      </c>
      <c r="L3416" t="str">
        <f>IFERROR(VLOOKUP(Detalle_OC[[#This Row],[Centro]]&amp;Detalle_OC[[#This Row],[Nro Almacen]],Almacen!A:D,4,FALSE),"")</f>
        <v>Montelima</v>
      </c>
    </row>
    <row r="3417" spans="1:12" x14ac:dyDescent="0.3">
      <c r="A3417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3417" t="s">
        <v>28</v>
      </c>
      <c r="C3417" t="s">
        <v>82</v>
      </c>
      <c r="D3417" s="11">
        <v>45189</v>
      </c>
      <c r="E3417" t="s">
        <v>16</v>
      </c>
      <c r="F3417" t="s">
        <v>12</v>
      </c>
      <c r="G3417">
        <v>844522</v>
      </c>
      <c r="H3417">
        <v>5500019188</v>
      </c>
      <c r="I3417">
        <v>150</v>
      </c>
      <c r="J3417" s="29">
        <v>1</v>
      </c>
      <c r="K3417" s="29" t="s">
        <v>482</v>
      </c>
      <c r="L3417" t="str">
        <f>IFERROR(VLOOKUP(Detalle_OC[[#This Row],[Centro]]&amp;Detalle_OC[[#This Row],[Nro Almacen]],Almacen!A:D,4,FALSE),"")</f>
        <v>Montelima</v>
      </c>
    </row>
    <row r="3418" spans="1:12" x14ac:dyDescent="0.3">
      <c r="A3418" s="29" t="str">
        <f>Detalle_OC[[#This Row],[Centro]]&amp;Detalle_OC[[#This Row],[Nom Almacen]]&amp;Detalle_OC[[#This Row],[Material]]&amp;Detalle_OC[[#This Row],[Pedido]]&amp;Detalle_OC[[#This Row],[Posicion]]</f>
        <v>Agricola del Chira PlantaMontelima8445335500019188170</v>
      </c>
      <c r="B3418" t="s">
        <v>28</v>
      </c>
      <c r="C3418" t="s">
        <v>82</v>
      </c>
      <c r="D3418" s="11">
        <v>45189</v>
      </c>
      <c r="E3418" t="s">
        <v>16</v>
      </c>
      <c r="F3418" t="s">
        <v>12</v>
      </c>
      <c r="G3418">
        <v>844533</v>
      </c>
      <c r="H3418">
        <v>5500019188</v>
      </c>
      <c r="I3418">
        <v>170</v>
      </c>
      <c r="J3418" s="29">
        <v>1</v>
      </c>
      <c r="K3418" s="29" t="s">
        <v>482</v>
      </c>
      <c r="L3418" t="str">
        <f>IFERROR(VLOOKUP(Detalle_OC[[#This Row],[Centro]]&amp;Detalle_OC[[#This Row],[Nro Almacen]],Almacen!A:D,4,FALSE),"")</f>
        <v>Montelima</v>
      </c>
    </row>
    <row r="3419" spans="1:12" x14ac:dyDescent="0.3">
      <c r="A3419" s="29" t="str">
        <f>Detalle_OC[[#This Row],[Centro]]&amp;Detalle_OC[[#This Row],[Nom Almacen]]&amp;Detalle_OC[[#This Row],[Material]]&amp;Detalle_OC[[#This Row],[Pedido]]&amp;Detalle_OC[[#This Row],[Posicion]]</f>
        <v>Agricola del Chira PlantaMontelima8445115500019188180</v>
      </c>
      <c r="B3419" t="s">
        <v>28</v>
      </c>
      <c r="C3419" t="s">
        <v>82</v>
      </c>
      <c r="D3419" s="11">
        <v>45189</v>
      </c>
      <c r="E3419" t="s">
        <v>16</v>
      </c>
      <c r="F3419" t="s">
        <v>12</v>
      </c>
      <c r="G3419">
        <v>844511</v>
      </c>
      <c r="H3419">
        <v>5500019188</v>
      </c>
      <c r="I3419">
        <v>180</v>
      </c>
      <c r="J3419" s="29">
        <v>1</v>
      </c>
      <c r="K3419" s="29" t="s">
        <v>482</v>
      </c>
      <c r="L3419" t="str">
        <f>IFERROR(VLOOKUP(Detalle_OC[[#This Row],[Centro]]&amp;Detalle_OC[[#This Row],[Nro Almacen]],Almacen!A:D,4,FALSE),"")</f>
        <v>Montelima</v>
      </c>
    </row>
    <row r="3420" spans="1:12" x14ac:dyDescent="0.3">
      <c r="A3420" s="29" t="str">
        <f>Detalle_OC[[#This Row],[Centro]]&amp;Detalle_OC[[#This Row],[Nom Almacen]]&amp;Detalle_OC[[#This Row],[Material]]&amp;Detalle_OC[[#This Row],[Pedido]]&amp;Detalle_OC[[#This Row],[Posicion]]</f>
        <v>Agricola del Chira PlantaMontelima8445515500019188320</v>
      </c>
      <c r="B3420" t="s">
        <v>28</v>
      </c>
      <c r="C3420" t="s">
        <v>82</v>
      </c>
      <c r="D3420" s="11">
        <v>45189</v>
      </c>
      <c r="E3420" t="s">
        <v>16</v>
      </c>
      <c r="F3420" t="s">
        <v>12</v>
      </c>
      <c r="G3420">
        <v>844551</v>
      </c>
      <c r="H3420">
        <v>5500019188</v>
      </c>
      <c r="I3420">
        <v>320</v>
      </c>
      <c r="J3420" s="29">
        <v>1</v>
      </c>
      <c r="K3420" s="29" t="s">
        <v>482</v>
      </c>
      <c r="L3420" t="str">
        <f>IFERROR(VLOOKUP(Detalle_OC[[#This Row],[Centro]]&amp;Detalle_OC[[#This Row],[Nro Almacen]],Almacen!A:D,4,FALSE),"")</f>
        <v>Montelima</v>
      </c>
    </row>
    <row r="3421" spans="1:12" x14ac:dyDescent="0.3">
      <c r="A3421" s="29" t="str">
        <f>Detalle_OC[[#This Row],[Centro]]&amp;Detalle_OC[[#This Row],[Nom Almacen]]&amp;Detalle_OC[[#This Row],[Material]]&amp;Detalle_OC[[#This Row],[Pedido]]&amp;Detalle_OC[[#This Row],[Posicion]]</f>
        <v>Agricola del Chira PlantaMontelima8445365500019188330</v>
      </c>
      <c r="B3421" t="s">
        <v>28</v>
      </c>
      <c r="C3421" t="s">
        <v>82</v>
      </c>
      <c r="D3421" s="11">
        <v>45189</v>
      </c>
      <c r="E3421" t="s">
        <v>16</v>
      </c>
      <c r="F3421" t="s">
        <v>12</v>
      </c>
      <c r="G3421">
        <v>844536</v>
      </c>
      <c r="H3421">
        <v>5500019188</v>
      </c>
      <c r="I3421">
        <v>330</v>
      </c>
      <c r="J3421" s="29">
        <v>1</v>
      </c>
      <c r="K3421" s="29" t="s">
        <v>482</v>
      </c>
      <c r="L3421" t="str">
        <f>IFERROR(VLOOKUP(Detalle_OC[[#This Row],[Centro]]&amp;Detalle_OC[[#This Row],[Nro Almacen]],Almacen!A:D,4,FALSE),"")</f>
        <v>Montelima</v>
      </c>
    </row>
    <row r="3422" spans="1:12" x14ac:dyDescent="0.3">
      <c r="A3422" s="29" t="str">
        <f>Detalle_OC[[#This Row],[Centro]]&amp;Detalle_OC[[#This Row],[Nom Almacen]]&amp;Detalle_OC[[#This Row],[Material]]&amp;Detalle_OC[[#This Row],[Pedido]]&amp;Detalle_OC[[#This Row],[Posicion]]</f>
        <v>Agricola del Chira PlantaMontelima8459085500019188350</v>
      </c>
      <c r="B3422" t="s">
        <v>28</v>
      </c>
      <c r="C3422" t="s">
        <v>82</v>
      </c>
      <c r="D3422" s="11">
        <v>45189</v>
      </c>
      <c r="E3422" t="s">
        <v>16</v>
      </c>
      <c r="F3422" t="s">
        <v>12</v>
      </c>
      <c r="G3422">
        <v>845908</v>
      </c>
      <c r="H3422">
        <v>5500019188</v>
      </c>
      <c r="I3422">
        <v>350</v>
      </c>
      <c r="J3422" s="29">
        <v>1</v>
      </c>
      <c r="K3422" s="29" t="s">
        <v>482</v>
      </c>
      <c r="L3422" t="str">
        <f>IFERROR(VLOOKUP(Detalle_OC[[#This Row],[Centro]]&amp;Detalle_OC[[#This Row],[Nro Almacen]],Almacen!A:D,4,FALSE),"")</f>
        <v>Montelima</v>
      </c>
    </row>
    <row r="3423" spans="1:12" x14ac:dyDescent="0.3">
      <c r="A3423" s="29" t="str">
        <f>Detalle_OC[[#This Row],[Centro]]&amp;Detalle_OC[[#This Row],[Nom Almacen]]&amp;Detalle_OC[[#This Row],[Material]]&amp;Detalle_OC[[#This Row],[Pedido]]&amp;Detalle_OC[[#This Row],[Posicion]]</f>
        <v>Agricola del Chira PlantaMontelima8457155500019188650</v>
      </c>
      <c r="B3423" t="s">
        <v>28</v>
      </c>
      <c r="C3423" t="s">
        <v>82</v>
      </c>
      <c r="D3423" s="11">
        <v>45189</v>
      </c>
      <c r="E3423" t="s">
        <v>16</v>
      </c>
      <c r="F3423" t="s">
        <v>12</v>
      </c>
      <c r="G3423">
        <v>845715</v>
      </c>
      <c r="H3423">
        <v>5500019188</v>
      </c>
      <c r="I3423">
        <v>650</v>
      </c>
      <c r="J3423" s="29">
        <v>1</v>
      </c>
      <c r="K3423" s="29" t="s">
        <v>482</v>
      </c>
      <c r="L3423" t="str">
        <f>IFERROR(VLOOKUP(Detalle_OC[[#This Row],[Centro]]&amp;Detalle_OC[[#This Row],[Nro Almacen]],Almacen!A:D,4,FALSE),"")</f>
        <v>Montelima</v>
      </c>
    </row>
    <row r="3424" spans="1:12" x14ac:dyDescent="0.3">
      <c r="A3424" s="29" t="str">
        <f>Detalle_OC[[#This Row],[Centro]]&amp;Detalle_OC[[#This Row],[Nom Almacen]]&amp;Detalle_OC[[#This Row],[Material]]&amp;Detalle_OC[[#This Row],[Pedido]]&amp;Detalle_OC[[#This Row],[Posicion]]</f>
        <v>Agricola del Chira PlantaMontelima82719955000191881020</v>
      </c>
      <c r="B3424" t="s">
        <v>28</v>
      </c>
      <c r="C3424" t="s">
        <v>82</v>
      </c>
      <c r="D3424" s="11">
        <v>45189</v>
      </c>
      <c r="E3424" t="s">
        <v>16</v>
      </c>
      <c r="F3424" t="s">
        <v>12</v>
      </c>
      <c r="G3424">
        <v>827199</v>
      </c>
      <c r="H3424">
        <v>5500019188</v>
      </c>
      <c r="I3424">
        <v>1020</v>
      </c>
      <c r="J3424" s="29">
        <v>1</v>
      </c>
      <c r="K3424" s="29" t="s">
        <v>482</v>
      </c>
      <c r="L3424" t="str">
        <f>IFERROR(VLOOKUP(Detalle_OC[[#This Row],[Centro]]&amp;Detalle_OC[[#This Row],[Nro Almacen]],Almacen!A:D,4,FALSE),"")</f>
        <v>Montelima</v>
      </c>
    </row>
    <row r="3425" spans="1:12" x14ac:dyDescent="0.3">
      <c r="A3425" s="29" t="str">
        <f>Detalle_OC[[#This Row],[Centro]]&amp;Detalle_OC[[#This Row],[Nom Almacen]]&amp;Detalle_OC[[#This Row],[Material]]&amp;Detalle_OC[[#This Row],[Pedido]]&amp;Detalle_OC[[#This Row],[Posicion]]</f>
        <v>Agricola del Chira PlantaMontelima82639655000191881050</v>
      </c>
      <c r="B3425" t="s">
        <v>28</v>
      </c>
      <c r="C3425" t="s">
        <v>82</v>
      </c>
      <c r="D3425" s="11">
        <v>45189</v>
      </c>
      <c r="E3425" t="s">
        <v>16</v>
      </c>
      <c r="F3425" t="s">
        <v>12</v>
      </c>
      <c r="G3425">
        <v>826396</v>
      </c>
      <c r="H3425">
        <v>5500019188</v>
      </c>
      <c r="I3425">
        <v>1050</v>
      </c>
      <c r="J3425" s="29">
        <v>1</v>
      </c>
      <c r="K3425" s="29" t="s">
        <v>482</v>
      </c>
      <c r="L3425" t="str">
        <f>IFERROR(VLOOKUP(Detalle_OC[[#This Row],[Centro]]&amp;Detalle_OC[[#This Row],[Nro Almacen]],Almacen!A:D,4,FALSE),"")</f>
        <v>Montelima</v>
      </c>
    </row>
    <row r="3426" spans="1:12" x14ac:dyDescent="0.3">
      <c r="A3426" s="29" t="str">
        <f>Detalle_OC[[#This Row],[Centro]]&amp;Detalle_OC[[#This Row],[Nom Almacen]]&amp;Detalle_OC[[#This Row],[Material]]&amp;Detalle_OC[[#This Row],[Pedido]]&amp;Detalle_OC[[#This Row],[Posicion]]</f>
        <v>Agricola del Chira PlantaMontelima82639855000191881160</v>
      </c>
      <c r="B3426" t="s">
        <v>28</v>
      </c>
      <c r="C3426" t="s">
        <v>82</v>
      </c>
      <c r="D3426" s="11">
        <v>45189</v>
      </c>
      <c r="E3426" t="s">
        <v>16</v>
      </c>
      <c r="F3426" t="s">
        <v>12</v>
      </c>
      <c r="G3426">
        <v>826398</v>
      </c>
      <c r="H3426">
        <v>5500019188</v>
      </c>
      <c r="I3426">
        <v>1160</v>
      </c>
      <c r="J3426" s="29">
        <v>1</v>
      </c>
      <c r="K3426" s="29" t="s">
        <v>482</v>
      </c>
      <c r="L3426" t="str">
        <f>IFERROR(VLOOKUP(Detalle_OC[[#This Row],[Centro]]&amp;Detalle_OC[[#This Row],[Nro Almacen]],Almacen!A:D,4,FALSE),"")</f>
        <v>Montelima</v>
      </c>
    </row>
    <row r="3427" spans="1:12" x14ac:dyDescent="0.3">
      <c r="A3427" s="29" t="str">
        <f>Detalle_OC[[#This Row],[Centro]]&amp;Detalle_OC[[#This Row],[Nom Almacen]]&amp;Detalle_OC[[#This Row],[Material]]&amp;Detalle_OC[[#This Row],[Pedido]]&amp;Detalle_OC[[#This Row],[Posicion]]</f>
        <v>Agricola del Chira PlantaMontelima83507555000191881310</v>
      </c>
      <c r="B3427" t="s">
        <v>28</v>
      </c>
      <c r="C3427" t="s">
        <v>82</v>
      </c>
      <c r="D3427" s="11">
        <v>45189</v>
      </c>
      <c r="E3427" t="s">
        <v>16</v>
      </c>
      <c r="F3427" t="s">
        <v>12</v>
      </c>
      <c r="G3427">
        <v>835075</v>
      </c>
      <c r="H3427">
        <v>5500019188</v>
      </c>
      <c r="I3427">
        <v>1310</v>
      </c>
      <c r="J3427" s="29">
        <v>1</v>
      </c>
      <c r="K3427" s="29" t="s">
        <v>482</v>
      </c>
      <c r="L3427" t="str">
        <f>IFERROR(VLOOKUP(Detalle_OC[[#This Row],[Centro]]&amp;Detalle_OC[[#This Row],[Nro Almacen]],Almacen!A:D,4,FALSE),"")</f>
        <v>Montelima</v>
      </c>
    </row>
    <row r="3428" spans="1:12" x14ac:dyDescent="0.3">
      <c r="A3428" s="29" t="str">
        <f>Detalle_OC[[#This Row],[Centro]]&amp;Detalle_OC[[#This Row],[Nom Almacen]]&amp;Detalle_OC[[#This Row],[Material]]&amp;Detalle_OC[[#This Row],[Pedido]]&amp;Detalle_OC[[#This Row],[Posicion]]</f>
        <v>Agricola del Chira PlantaMontelima84709955000191881400</v>
      </c>
      <c r="B3428" t="s">
        <v>28</v>
      </c>
      <c r="C3428" t="s">
        <v>82</v>
      </c>
      <c r="D3428" s="11">
        <v>45189</v>
      </c>
      <c r="E3428" t="s">
        <v>16</v>
      </c>
      <c r="F3428" t="s">
        <v>12</v>
      </c>
      <c r="G3428">
        <v>847099</v>
      </c>
      <c r="H3428">
        <v>5500019188</v>
      </c>
      <c r="I3428">
        <v>1400</v>
      </c>
      <c r="J3428" s="29">
        <v>1</v>
      </c>
      <c r="K3428" s="29" t="s">
        <v>482</v>
      </c>
      <c r="L3428" t="str">
        <f>IFERROR(VLOOKUP(Detalle_OC[[#This Row],[Centro]]&amp;Detalle_OC[[#This Row],[Nro Almacen]],Almacen!A:D,4,FALSE),"")</f>
        <v>Montelima</v>
      </c>
    </row>
    <row r="3429" spans="1:12" x14ac:dyDescent="0.3">
      <c r="A3429" s="29" t="str">
        <f>Detalle_OC[[#This Row],[Centro]]&amp;Detalle_OC[[#This Row],[Nom Almacen]]&amp;Detalle_OC[[#This Row],[Material]]&amp;Detalle_OC[[#This Row],[Pedido]]&amp;Detalle_OC[[#This Row],[Posicion]]</f>
        <v>Agricola del Chira PlantaMontelima7003087955000191881700</v>
      </c>
      <c r="B3429" t="s">
        <v>28</v>
      </c>
      <c r="C3429" t="s">
        <v>82</v>
      </c>
      <c r="D3429" s="11">
        <v>45189</v>
      </c>
      <c r="E3429" t="s">
        <v>16</v>
      </c>
      <c r="F3429" t="s">
        <v>12</v>
      </c>
      <c r="G3429">
        <v>70030879</v>
      </c>
      <c r="H3429">
        <v>5500019188</v>
      </c>
      <c r="I3429">
        <v>1700</v>
      </c>
      <c r="J3429" s="29">
        <v>1</v>
      </c>
      <c r="K3429" s="29" t="s">
        <v>482</v>
      </c>
      <c r="L3429" t="str">
        <f>IFERROR(VLOOKUP(Detalle_OC[[#This Row],[Centro]]&amp;Detalle_OC[[#This Row],[Nro Almacen]],Almacen!A:D,4,FALSE),"")</f>
        <v>Montelima</v>
      </c>
    </row>
    <row r="3430" spans="1:12" x14ac:dyDescent="0.3">
      <c r="A3430" s="29" t="str">
        <f>Detalle_OC[[#This Row],[Centro]]&amp;Detalle_OC[[#This Row],[Nom Almacen]]&amp;Detalle_OC[[#This Row],[Material]]&amp;Detalle_OC[[#This Row],[Pedido]]&amp;Detalle_OC[[#This Row],[Posicion]]</f>
        <v>Agricola del Chira PlantaMontelima7003087955000191881700</v>
      </c>
      <c r="B3430" t="s">
        <v>28</v>
      </c>
      <c r="C3430" t="s">
        <v>82</v>
      </c>
      <c r="D3430" s="11">
        <v>45189</v>
      </c>
      <c r="E3430" t="s">
        <v>16</v>
      </c>
      <c r="F3430" t="s">
        <v>12</v>
      </c>
      <c r="G3430">
        <v>70030879</v>
      </c>
      <c r="H3430">
        <v>5500019188</v>
      </c>
      <c r="I3430">
        <v>1700</v>
      </c>
      <c r="J3430" s="29">
        <v>1</v>
      </c>
      <c r="K3430" s="29" t="s">
        <v>482</v>
      </c>
      <c r="L3430" t="str">
        <f>IFERROR(VLOOKUP(Detalle_OC[[#This Row],[Centro]]&amp;Detalle_OC[[#This Row],[Nro Almacen]],Almacen!A:D,4,FALSE),"")</f>
        <v>Montelima</v>
      </c>
    </row>
    <row r="3431" spans="1:12" x14ac:dyDescent="0.3">
      <c r="A3431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3431" t="s">
        <v>28</v>
      </c>
      <c r="C3431" t="s">
        <v>84</v>
      </c>
      <c r="D3431" s="11">
        <v>45187</v>
      </c>
      <c r="E3431" t="s">
        <v>16</v>
      </c>
      <c r="F3431" t="s">
        <v>85</v>
      </c>
      <c r="G3431">
        <v>801846</v>
      </c>
      <c r="H3431">
        <v>5500022336</v>
      </c>
      <c r="I3431">
        <v>10</v>
      </c>
      <c r="J3431" s="29">
        <v>1</v>
      </c>
      <c r="K3431" s="29" t="s">
        <v>483</v>
      </c>
      <c r="L3431" t="str">
        <f>IFERROR(VLOOKUP(Detalle_OC[[#This Row],[Centro]]&amp;Detalle_OC[[#This Row],[Nro Almacen]],Almacen!A:D,4,FALSE),"")</f>
        <v>Montelima</v>
      </c>
    </row>
    <row r="3432" spans="1:12" x14ac:dyDescent="0.3">
      <c r="A3432" s="29" t="str">
        <f>Detalle_OC[[#This Row],[Centro]]&amp;Detalle_OC[[#This Row],[Nom Almacen]]&amp;Detalle_OC[[#This Row],[Material]]&amp;Detalle_OC[[#This Row],[Pedido]]&amp;Detalle_OC[[#This Row],[Posicion]]</f>
        <v>Sucroalcolera del Chira PlantaMontelima813224550002233650</v>
      </c>
      <c r="B3432" t="s">
        <v>28</v>
      </c>
      <c r="C3432" t="s">
        <v>84</v>
      </c>
      <c r="D3432" s="11">
        <v>45187</v>
      </c>
      <c r="E3432" t="s">
        <v>16</v>
      </c>
      <c r="F3432" t="s">
        <v>85</v>
      </c>
      <c r="G3432">
        <v>813224</v>
      </c>
      <c r="H3432">
        <v>5500022336</v>
      </c>
      <c r="I3432">
        <v>50</v>
      </c>
      <c r="J3432" s="29">
        <v>1</v>
      </c>
      <c r="K3432" s="29" t="s">
        <v>483</v>
      </c>
      <c r="L3432" t="str">
        <f>IFERROR(VLOOKUP(Detalle_OC[[#This Row],[Centro]]&amp;Detalle_OC[[#This Row],[Nro Almacen]],Almacen!A:D,4,FALSE),"")</f>
        <v>Montelima</v>
      </c>
    </row>
    <row r="3433" spans="1:12" x14ac:dyDescent="0.3">
      <c r="A3433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3433" t="s">
        <v>28</v>
      </c>
      <c r="C3433" t="s">
        <v>84</v>
      </c>
      <c r="D3433" s="11">
        <v>45184</v>
      </c>
      <c r="E3433" t="s">
        <v>16</v>
      </c>
      <c r="F3433" t="s">
        <v>85</v>
      </c>
      <c r="G3433">
        <v>801846</v>
      </c>
      <c r="H3433">
        <v>5500022336</v>
      </c>
      <c r="I3433">
        <v>10</v>
      </c>
      <c r="J3433" s="29">
        <v>1</v>
      </c>
      <c r="K3433" s="29" t="s">
        <v>484</v>
      </c>
      <c r="L3433" t="str">
        <f>IFERROR(VLOOKUP(Detalle_OC[[#This Row],[Centro]]&amp;Detalle_OC[[#This Row],[Nro Almacen]],Almacen!A:D,4,FALSE),"")</f>
        <v>Montelima</v>
      </c>
    </row>
    <row r="3434" spans="1:12" x14ac:dyDescent="0.3">
      <c r="A3434" s="29" t="str">
        <f>Detalle_OC[[#This Row],[Centro]]&amp;Detalle_OC[[#This Row],[Nom Almacen]]&amp;Detalle_OC[[#This Row],[Material]]&amp;Detalle_OC[[#This Row],[Pedido]]&amp;Detalle_OC[[#This Row],[Posicion]]</f>
        <v>Agricola del Chira PlantaMontelima8445305500019188490</v>
      </c>
      <c r="B3434" t="s">
        <v>28</v>
      </c>
      <c r="C3434" t="s">
        <v>82</v>
      </c>
      <c r="D3434" s="11">
        <v>45182</v>
      </c>
      <c r="E3434" t="s">
        <v>16</v>
      </c>
      <c r="F3434" t="s">
        <v>12</v>
      </c>
      <c r="G3434">
        <v>844530</v>
      </c>
      <c r="H3434">
        <v>5500019188</v>
      </c>
      <c r="I3434">
        <v>490</v>
      </c>
      <c r="J3434" s="29">
        <v>1</v>
      </c>
      <c r="K3434" s="29" t="s">
        <v>485</v>
      </c>
      <c r="L3434" t="str">
        <f>IFERROR(VLOOKUP(Detalle_OC[[#This Row],[Centro]]&amp;Detalle_OC[[#This Row],[Nro Almacen]],Almacen!A:D,4,FALSE),"")</f>
        <v>Montelima</v>
      </c>
    </row>
    <row r="3435" spans="1:12" x14ac:dyDescent="0.3">
      <c r="A3435" s="29" t="str">
        <f>Detalle_OC[[#This Row],[Centro]]&amp;Detalle_OC[[#This Row],[Nom Almacen]]&amp;Detalle_OC[[#This Row],[Material]]&amp;Detalle_OC[[#This Row],[Pedido]]&amp;Detalle_OC[[#This Row],[Posicion]]</f>
        <v>Agricola del Chira PlantaMontelima84709955000191881400</v>
      </c>
      <c r="B3435" t="s">
        <v>28</v>
      </c>
      <c r="C3435" t="s">
        <v>82</v>
      </c>
      <c r="D3435" s="11">
        <v>45182</v>
      </c>
      <c r="E3435" t="s">
        <v>16</v>
      </c>
      <c r="F3435" t="s">
        <v>12</v>
      </c>
      <c r="G3435">
        <v>847099</v>
      </c>
      <c r="H3435">
        <v>5500019188</v>
      </c>
      <c r="I3435">
        <v>1400</v>
      </c>
      <c r="J3435" s="29">
        <v>1</v>
      </c>
      <c r="K3435" s="29" t="s">
        <v>485</v>
      </c>
      <c r="L3435" t="str">
        <f>IFERROR(VLOOKUP(Detalle_OC[[#This Row],[Centro]]&amp;Detalle_OC[[#This Row],[Nro Almacen]],Almacen!A:D,4,FALSE),"")</f>
        <v>Montelima</v>
      </c>
    </row>
    <row r="3436" spans="1:12" x14ac:dyDescent="0.3">
      <c r="A3436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3436" t="s">
        <v>28</v>
      </c>
      <c r="C3436" t="s">
        <v>84</v>
      </c>
      <c r="D3436" s="11">
        <v>45175</v>
      </c>
      <c r="E3436" t="s">
        <v>16</v>
      </c>
      <c r="F3436" t="s">
        <v>85</v>
      </c>
      <c r="G3436">
        <v>801846</v>
      </c>
      <c r="H3436">
        <v>5500022336</v>
      </c>
      <c r="I3436">
        <v>10</v>
      </c>
      <c r="J3436" s="29">
        <v>1</v>
      </c>
      <c r="K3436" s="29" t="s">
        <v>486</v>
      </c>
      <c r="L3436" t="str">
        <f>IFERROR(VLOOKUP(Detalle_OC[[#This Row],[Centro]]&amp;Detalle_OC[[#This Row],[Nro Almacen]],Almacen!A:D,4,FALSE),"")</f>
        <v>Montelima</v>
      </c>
    </row>
    <row r="3437" spans="1:12" x14ac:dyDescent="0.3">
      <c r="A3437" s="29" t="str">
        <f>Detalle_OC[[#This Row],[Centro]]&amp;Detalle_OC[[#This Row],[Nom Almacen]]&amp;Detalle_OC[[#This Row],[Material]]&amp;Detalle_OC[[#This Row],[Pedido]]&amp;Detalle_OC[[#This Row],[Posicion]]</f>
        <v>Sucroalcolera del Chira PlantaMontelima709179550002233630</v>
      </c>
      <c r="B3437" t="s">
        <v>28</v>
      </c>
      <c r="C3437" t="s">
        <v>84</v>
      </c>
      <c r="D3437" s="11">
        <v>45175</v>
      </c>
      <c r="E3437" t="s">
        <v>16</v>
      </c>
      <c r="F3437" t="s">
        <v>85</v>
      </c>
      <c r="G3437">
        <v>709179</v>
      </c>
      <c r="H3437">
        <v>5500022336</v>
      </c>
      <c r="I3437">
        <v>30</v>
      </c>
      <c r="J3437" s="29">
        <v>1</v>
      </c>
      <c r="K3437" s="29" t="s">
        <v>487</v>
      </c>
      <c r="L3437" t="str">
        <f>IFERROR(VLOOKUP(Detalle_OC[[#This Row],[Centro]]&amp;Detalle_OC[[#This Row],[Nro Almacen]],Almacen!A:D,4,FALSE),"")</f>
        <v>Montelima</v>
      </c>
    </row>
    <row r="3438" spans="1:12" x14ac:dyDescent="0.3">
      <c r="A3438" s="29" t="str">
        <f>Detalle_OC[[#This Row],[Centro]]&amp;Detalle_OC[[#This Row],[Nom Almacen]]&amp;Detalle_OC[[#This Row],[Material]]&amp;Detalle_OC[[#This Row],[Pedido]]&amp;Detalle_OC[[#This Row],[Posicion]]</f>
        <v>Agricola del Chira PlantaMontelima709179550002233820</v>
      </c>
      <c r="B3438" t="s">
        <v>28</v>
      </c>
      <c r="C3438" t="s">
        <v>84</v>
      </c>
      <c r="D3438" s="11">
        <v>45175</v>
      </c>
      <c r="E3438" t="s">
        <v>16</v>
      </c>
      <c r="F3438" t="s">
        <v>12</v>
      </c>
      <c r="G3438">
        <v>709179</v>
      </c>
      <c r="H3438">
        <v>5500022338</v>
      </c>
      <c r="I3438">
        <v>20</v>
      </c>
      <c r="J3438" s="29">
        <v>1</v>
      </c>
      <c r="K3438" s="29" t="s">
        <v>487</v>
      </c>
      <c r="L3438" t="str">
        <f>IFERROR(VLOOKUP(Detalle_OC[[#This Row],[Centro]]&amp;Detalle_OC[[#This Row],[Nro Almacen]],Almacen!A:D,4,FALSE),"")</f>
        <v>Montelima</v>
      </c>
    </row>
    <row r="3439" spans="1:12" x14ac:dyDescent="0.3">
      <c r="A3439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3439" t="s">
        <v>28</v>
      </c>
      <c r="C3439" t="s">
        <v>84</v>
      </c>
      <c r="D3439" s="11">
        <v>45175</v>
      </c>
      <c r="E3439" t="s">
        <v>16</v>
      </c>
      <c r="F3439" t="s">
        <v>12</v>
      </c>
      <c r="G3439">
        <v>801846</v>
      </c>
      <c r="H3439">
        <v>5500022338</v>
      </c>
      <c r="I3439">
        <v>40</v>
      </c>
      <c r="J3439" s="29">
        <v>1</v>
      </c>
      <c r="K3439" s="29" t="s">
        <v>487</v>
      </c>
      <c r="L3439" t="str">
        <f>IFERROR(VLOOKUP(Detalle_OC[[#This Row],[Centro]]&amp;Detalle_OC[[#This Row],[Nro Almacen]],Almacen!A:D,4,FALSE),"")</f>
        <v>Montelima</v>
      </c>
    </row>
    <row r="3440" spans="1:12" x14ac:dyDescent="0.3">
      <c r="A3440" s="29" t="str">
        <f>Detalle_OC[[#This Row],[Centro]]&amp;Detalle_OC[[#This Row],[Nom Almacen]]&amp;Detalle_OC[[#This Row],[Material]]&amp;Detalle_OC[[#This Row],[Pedido]]&amp;Detalle_OC[[#This Row],[Posicion]]</f>
        <v>Agricola del Chira PlantaMontelima708707550002233850</v>
      </c>
      <c r="B3440" t="s">
        <v>28</v>
      </c>
      <c r="C3440" t="s">
        <v>84</v>
      </c>
      <c r="D3440" s="11">
        <v>45175</v>
      </c>
      <c r="E3440" t="s">
        <v>16</v>
      </c>
      <c r="F3440" t="s">
        <v>12</v>
      </c>
      <c r="G3440">
        <v>708707</v>
      </c>
      <c r="H3440">
        <v>5500022338</v>
      </c>
      <c r="I3440">
        <v>50</v>
      </c>
      <c r="J3440" s="29">
        <v>1</v>
      </c>
      <c r="K3440" s="29" t="s">
        <v>487</v>
      </c>
      <c r="L3440" t="str">
        <f>IFERROR(VLOOKUP(Detalle_OC[[#This Row],[Centro]]&amp;Detalle_OC[[#This Row],[Nro Almacen]],Almacen!A:D,4,FALSE),"")</f>
        <v>Montelima</v>
      </c>
    </row>
    <row r="3441" spans="1:12" x14ac:dyDescent="0.3">
      <c r="A3441" s="29" t="str">
        <f>Detalle_OC[[#This Row],[Centro]]&amp;Detalle_OC[[#This Row],[Nom Almacen]]&amp;Detalle_OC[[#This Row],[Material]]&amp;Detalle_OC[[#This Row],[Pedido]]&amp;Detalle_OC[[#This Row],[Posicion]]</f>
        <v>Agricola del Chira PlantaMontelima708707550002233850</v>
      </c>
      <c r="B3441" t="s">
        <v>28</v>
      </c>
      <c r="C3441" t="s">
        <v>84</v>
      </c>
      <c r="D3441" s="11">
        <v>45175</v>
      </c>
      <c r="E3441" t="s">
        <v>16</v>
      </c>
      <c r="F3441" t="s">
        <v>12</v>
      </c>
      <c r="G3441">
        <v>708707</v>
      </c>
      <c r="H3441">
        <v>5500022338</v>
      </c>
      <c r="I3441">
        <v>50</v>
      </c>
      <c r="J3441" s="29">
        <v>1</v>
      </c>
      <c r="K3441" s="29" t="s">
        <v>487</v>
      </c>
      <c r="L3441" t="str">
        <f>IFERROR(VLOOKUP(Detalle_OC[[#This Row],[Centro]]&amp;Detalle_OC[[#This Row],[Nro Almacen]],Almacen!A:D,4,FALSE),"")</f>
        <v>Montelima</v>
      </c>
    </row>
    <row r="3442" spans="1:12" x14ac:dyDescent="0.3">
      <c r="A3442" s="29" t="str">
        <f>Detalle_OC[[#This Row],[Centro]]&amp;Detalle_OC[[#This Row],[Nom Almacen]]&amp;Detalle_OC[[#This Row],[Material]]&amp;Detalle_OC[[#This Row],[Pedido]]&amp;Detalle_OC[[#This Row],[Posicion]]</f>
        <v>Agricola del Chira PlantaMontelima738248550001918870</v>
      </c>
      <c r="B3442" t="s">
        <v>28</v>
      </c>
      <c r="C3442" t="s">
        <v>82</v>
      </c>
      <c r="D3442" s="11">
        <v>45166</v>
      </c>
      <c r="E3442" t="s">
        <v>16</v>
      </c>
      <c r="F3442" t="s">
        <v>12</v>
      </c>
      <c r="G3442">
        <v>738248</v>
      </c>
      <c r="H3442">
        <v>5500019188</v>
      </c>
      <c r="I3442">
        <v>70</v>
      </c>
      <c r="J3442" s="29">
        <v>1</v>
      </c>
      <c r="K3442" s="29" t="s">
        <v>488</v>
      </c>
      <c r="L3442" t="str">
        <f>IFERROR(VLOOKUP(Detalle_OC[[#This Row],[Centro]]&amp;Detalle_OC[[#This Row],[Nro Almacen]],Almacen!A:D,4,FALSE),"")</f>
        <v>Montelima</v>
      </c>
    </row>
    <row r="3443" spans="1:12" x14ac:dyDescent="0.3">
      <c r="A3443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3443" t="s">
        <v>28</v>
      </c>
      <c r="C3443" t="s">
        <v>82</v>
      </c>
      <c r="D3443" s="11">
        <v>45166</v>
      </c>
      <c r="E3443" t="s">
        <v>16</v>
      </c>
      <c r="F3443" t="s">
        <v>12</v>
      </c>
      <c r="G3443">
        <v>844516</v>
      </c>
      <c r="H3443">
        <v>5500019188</v>
      </c>
      <c r="I3443">
        <v>190</v>
      </c>
      <c r="J3443" s="29">
        <v>1</v>
      </c>
      <c r="K3443" s="29" t="s">
        <v>488</v>
      </c>
      <c r="L3443" t="str">
        <f>IFERROR(VLOOKUP(Detalle_OC[[#This Row],[Centro]]&amp;Detalle_OC[[#This Row],[Nro Almacen]],Almacen!A:D,4,FALSE),"")</f>
        <v>Montelima</v>
      </c>
    </row>
    <row r="3444" spans="1:12" x14ac:dyDescent="0.3">
      <c r="A3444" s="29" t="str">
        <f>Detalle_OC[[#This Row],[Centro]]&amp;Detalle_OC[[#This Row],[Nom Almacen]]&amp;Detalle_OC[[#This Row],[Material]]&amp;Detalle_OC[[#This Row],[Pedido]]&amp;Detalle_OC[[#This Row],[Posicion]]</f>
        <v>Agricola del Chira PlantaMontelima8445245500019188210</v>
      </c>
      <c r="B3444" t="s">
        <v>28</v>
      </c>
      <c r="C3444" t="s">
        <v>82</v>
      </c>
      <c r="D3444" s="11">
        <v>45166</v>
      </c>
      <c r="E3444" t="s">
        <v>16</v>
      </c>
      <c r="F3444" t="s">
        <v>12</v>
      </c>
      <c r="G3444">
        <v>844524</v>
      </c>
      <c r="H3444">
        <v>5500019188</v>
      </c>
      <c r="I3444">
        <v>210</v>
      </c>
      <c r="J3444" s="29">
        <v>1</v>
      </c>
      <c r="K3444" s="29" t="s">
        <v>488</v>
      </c>
      <c r="L3444" t="str">
        <f>IFERROR(VLOOKUP(Detalle_OC[[#This Row],[Centro]]&amp;Detalle_OC[[#This Row],[Nro Almacen]],Almacen!A:D,4,FALSE),"")</f>
        <v>Montelima</v>
      </c>
    </row>
    <row r="3445" spans="1:12" x14ac:dyDescent="0.3">
      <c r="A3445" s="29" t="str">
        <f>Detalle_OC[[#This Row],[Centro]]&amp;Detalle_OC[[#This Row],[Nom Almacen]]&amp;Detalle_OC[[#This Row],[Material]]&amp;Detalle_OC[[#This Row],[Pedido]]&amp;Detalle_OC[[#This Row],[Posicion]]</f>
        <v>Agricola del Chira PlantaMontelima8445305500019188490</v>
      </c>
      <c r="B3445" t="s">
        <v>28</v>
      </c>
      <c r="C3445" t="s">
        <v>82</v>
      </c>
      <c r="D3445" s="11">
        <v>45166</v>
      </c>
      <c r="E3445" t="s">
        <v>16</v>
      </c>
      <c r="F3445" t="s">
        <v>12</v>
      </c>
      <c r="G3445">
        <v>844530</v>
      </c>
      <c r="H3445">
        <v>5500019188</v>
      </c>
      <c r="I3445">
        <v>490</v>
      </c>
      <c r="J3445" s="29">
        <v>1</v>
      </c>
      <c r="K3445" s="29" t="s">
        <v>488</v>
      </c>
      <c r="L3445" t="str">
        <f>IFERROR(VLOOKUP(Detalle_OC[[#This Row],[Centro]]&amp;Detalle_OC[[#This Row],[Nro Almacen]],Almacen!A:D,4,FALSE),"")</f>
        <v>Montelima</v>
      </c>
    </row>
    <row r="3446" spans="1:12" x14ac:dyDescent="0.3">
      <c r="A3446" s="29" t="str">
        <f>Detalle_OC[[#This Row],[Centro]]&amp;Detalle_OC[[#This Row],[Nom Almacen]]&amp;Detalle_OC[[#This Row],[Material]]&amp;Detalle_OC[[#This Row],[Pedido]]&amp;Detalle_OC[[#This Row],[Posicion]]</f>
        <v>Agricola del Chira PlantaMontelima8445385500019188560</v>
      </c>
      <c r="B3446" t="s">
        <v>28</v>
      </c>
      <c r="C3446" t="s">
        <v>82</v>
      </c>
      <c r="D3446" s="11">
        <v>45166</v>
      </c>
      <c r="E3446" t="s">
        <v>16</v>
      </c>
      <c r="F3446" t="s">
        <v>12</v>
      </c>
      <c r="G3446">
        <v>844538</v>
      </c>
      <c r="H3446">
        <v>5500019188</v>
      </c>
      <c r="I3446">
        <v>560</v>
      </c>
      <c r="J3446" s="29">
        <v>1</v>
      </c>
      <c r="K3446" s="29" t="s">
        <v>488</v>
      </c>
      <c r="L3446" t="str">
        <f>IFERROR(VLOOKUP(Detalle_OC[[#This Row],[Centro]]&amp;Detalle_OC[[#This Row],[Nro Almacen]],Almacen!A:D,4,FALSE),"")</f>
        <v>Montelima</v>
      </c>
    </row>
    <row r="3447" spans="1:12" x14ac:dyDescent="0.3">
      <c r="A3447" s="29" t="str">
        <f>Detalle_OC[[#This Row],[Centro]]&amp;Detalle_OC[[#This Row],[Nom Almacen]]&amp;Detalle_OC[[#This Row],[Material]]&amp;Detalle_OC[[#This Row],[Pedido]]&amp;Detalle_OC[[#This Row],[Posicion]]</f>
        <v>Agricola del Chira PlantaMontelima762202550001918850</v>
      </c>
      <c r="B3447" t="s">
        <v>28</v>
      </c>
      <c r="C3447" t="s">
        <v>82</v>
      </c>
      <c r="D3447" s="11">
        <v>45161</v>
      </c>
      <c r="E3447" t="s">
        <v>16</v>
      </c>
      <c r="F3447" t="s">
        <v>12</v>
      </c>
      <c r="G3447">
        <v>762202</v>
      </c>
      <c r="H3447">
        <v>5500019188</v>
      </c>
      <c r="I3447">
        <v>50</v>
      </c>
      <c r="J3447" s="29">
        <v>1</v>
      </c>
      <c r="K3447" s="29" t="s">
        <v>489</v>
      </c>
      <c r="L3447" t="str">
        <f>IFERROR(VLOOKUP(Detalle_OC[[#This Row],[Centro]]&amp;Detalle_OC[[#This Row],[Nro Almacen]],Almacen!A:D,4,FALSE),"")</f>
        <v>Montelima</v>
      </c>
    </row>
    <row r="3448" spans="1:12" x14ac:dyDescent="0.3">
      <c r="A3448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3448" t="s">
        <v>28</v>
      </c>
      <c r="C3448" t="s">
        <v>82</v>
      </c>
      <c r="D3448" s="11">
        <v>45161</v>
      </c>
      <c r="E3448" t="s">
        <v>16</v>
      </c>
      <c r="F3448" t="s">
        <v>12</v>
      </c>
      <c r="G3448">
        <v>844522</v>
      </c>
      <c r="H3448">
        <v>5500019188</v>
      </c>
      <c r="I3448">
        <v>150</v>
      </c>
      <c r="J3448" s="29">
        <v>1</v>
      </c>
      <c r="K3448" s="29" t="s">
        <v>489</v>
      </c>
      <c r="L3448" t="str">
        <f>IFERROR(VLOOKUP(Detalle_OC[[#This Row],[Centro]]&amp;Detalle_OC[[#This Row],[Nro Almacen]],Almacen!A:D,4,FALSE),"")</f>
        <v>Montelima</v>
      </c>
    </row>
    <row r="3449" spans="1:12" x14ac:dyDescent="0.3">
      <c r="A3449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3449" t="s">
        <v>28</v>
      </c>
      <c r="C3449" t="s">
        <v>82</v>
      </c>
      <c r="D3449" s="11">
        <v>45161</v>
      </c>
      <c r="E3449" t="s">
        <v>16</v>
      </c>
      <c r="F3449" t="s">
        <v>12</v>
      </c>
      <c r="G3449">
        <v>844516</v>
      </c>
      <c r="H3449">
        <v>5500019188</v>
      </c>
      <c r="I3449">
        <v>190</v>
      </c>
      <c r="J3449" s="29">
        <v>1</v>
      </c>
      <c r="K3449" s="29" t="s">
        <v>489</v>
      </c>
      <c r="L3449" t="str">
        <f>IFERROR(VLOOKUP(Detalle_OC[[#This Row],[Centro]]&amp;Detalle_OC[[#This Row],[Nro Almacen]],Almacen!A:D,4,FALSE),"")</f>
        <v>Montelima</v>
      </c>
    </row>
    <row r="3450" spans="1:12" x14ac:dyDescent="0.3">
      <c r="A3450" s="29" t="str">
        <f>Detalle_OC[[#This Row],[Centro]]&amp;Detalle_OC[[#This Row],[Nom Almacen]]&amp;Detalle_OC[[#This Row],[Material]]&amp;Detalle_OC[[#This Row],[Pedido]]&amp;Detalle_OC[[#This Row],[Posicion]]</f>
        <v>Agricola del Chira PlantaMontelima8445245500019188210</v>
      </c>
      <c r="B3450" t="s">
        <v>28</v>
      </c>
      <c r="C3450" t="s">
        <v>82</v>
      </c>
      <c r="D3450" s="11">
        <v>45161</v>
      </c>
      <c r="E3450" t="s">
        <v>16</v>
      </c>
      <c r="F3450" t="s">
        <v>12</v>
      </c>
      <c r="G3450">
        <v>844524</v>
      </c>
      <c r="H3450">
        <v>5500019188</v>
      </c>
      <c r="I3450">
        <v>210</v>
      </c>
      <c r="J3450" s="29">
        <v>1</v>
      </c>
      <c r="K3450" s="29" t="s">
        <v>489</v>
      </c>
      <c r="L3450" t="str">
        <f>IFERROR(VLOOKUP(Detalle_OC[[#This Row],[Centro]]&amp;Detalle_OC[[#This Row],[Nro Almacen]],Almacen!A:D,4,FALSE),"")</f>
        <v>Montelima</v>
      </c>
    </row>
    <row r="3451" spans="1:12" x14ac:dyDescent="0.3">
      <c r="A3451" s="29" t="str">
        <f>Detalle_OC[[#This Row],[Centro]]&amp;Detalle_OC[[#This Row],[Nom Almacen]]&amp;Detalle_OC[[#This Row],[Material]]&amp;Detalle_OC[[#This Row],[Pedido]]&amp;Detalle_OC[[#This Row],[Posicion]]</f>
        <v>Agricola del Chira PlantaMontelima8445185500019188270</v>
      </c>
      <c r="B3451" t="s">
        <v>28</v>
      </c>
      <c r="C3451" t="s">
        <v>82</v>
      </c>
      <c r="D3451" s="11">
        <v>45161</v>
      </c>
      <c r="E3451" t="s">
        <v>16</v>
      </c>
      <c r="F3451" t="s">
        <v>12</v>
      </c>
      <c r="G3451">
        <v>844518</v>
      </c>
      <c r="H3451">
        <v>5500019188</v>
      </c>
      <c r="I3451">
        <v>270</v>
      </c>
      <c r="J3451" s="29">
        <v>1</v>
      </c>
      <c r="K3451" s="29" t="s">
        <v>489</v>
      </c>
      <c r="L3451" t="str">
        <f>IFERROR(VLOOKUP(Detalle_OC[[#This Row],[Centro]]&amp;Detalle_OC[[#This Row],[Nro Almacen]],Almacen!A:D,4,FALSE),"")</f>
        <v>Montelima</v>
      </c>
    </row>
    <row r="3452" spans="1:12" x14ac:dyDescent="0.3">
      <c r="A3452" s="29" t="str">
        <f>Detalle_OC[[#This Row],[Centro]]&amp;Detalle_OC[[#This Row],[Nom Almacen]]&amp;Detalle_OC[[#This Row],[Material]]&amp;Detalle_OC[[#This Row],[Pedido]]&amp;Detalle_OC[[#This Row],[Posicion]]</f>
        <v>Agricola del Chira PlantaMontelima8445325500019188440</v>
      </c>
      <c r="B3452" t="s">
        <v>28</v>
      </c>
      <c r="C3452" t="s">
        <v>82</v>
      </c>
      <c r="D3452" s="11">
        <v>45161</v>
      </c>
      <c r="E3452" t="s">
        <v>16</v>
      </c>
      <c r="F3452" t="s">
        <v>12</v>
      </c>
      <c r="G3452">
        <v>844532</v>
      </c>
      <c r="H3452">
        <v>5500019188</v>
      </c>
      <c r="I3452">
        <v>440</v>
      </c>
      <c r="J3452" s="29">
        <v>1</v>
      </c>
      <c r="K3452" s="29" t="s">
        <v>489</v>
      </c>
      <c r="L3452" t="str">
        <f>IFERROR(VLOOKUP(Detalle_OC[[#This Row],[Centro]]&amp;Detalle_OC[[#This Row],[Nro Almacen]],Almacen!A:D,4,FALSE),"")</f>
        <v>Montelima</v>
      </c>
    </row>
    <row r="3453" spans="1:12" x14ac:dyDescent="0.3">
      <c r="A3453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3453" t="s">
        <v>28</v>
      </c>
      <c r="C3453" t="s">
        <v>82</v>
      </c>
      <c r="D3453" s="11">
        <v>45152</v>
      </c>
      <c r="E3453" t="s">
        <v>16</v>
      </c>
      <c r="F3453" t="s">
        <v>12</v>
      </c>
      <c r="G3453">
        <v>844522</v>
      </c>
      <c r="H3453">
        <v>5500019188</v>
      </c>
      <c r="I3453">
        <v>150</v>
      </c>
      <c r="J3453" s="29">
        <v>1</v>
      </c>
      <c r="K3453" s="29" t="s">
        <v>490</v>
      </c>
      <c r="L3453" t="str">
        <f>IFERROR(VLOOKUP(Detalle_OC[[#This Row],[Centro]]&amp;Detalle_OC[[#This Row],[Nro Almacen]],Almacen!A:D,4,FALSE),"")</f>
        <v>Montelima</v>
      </c>
    </row>
    <row r="3454" spans="1:12" x14ac:dyDescent="0.3">
      <c r="A3454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3454" t="s">
        <v>28</v>
      </c>
      <c r="C3454" t="s">
        <v>82</v>
      </c>
      <c r="D3454" s="11">
        <v>45152</v>
      </c>
      <c r="E3454" t="s">
        <v>16</v>
      </c>
      <c r="F3454" t="s">
        <v>12</v>
      </c>
      <c r="G3454">
        <v>844515</v>
      </c>
      <c r="H3454">
        <v>5500019188</v>
      </c>
      <c r="I3454">
        <v>200</v>
      </c>
      <c r="J3454" s="29">
        <v>1</v>
      </c>
      <c r="K3454" s="29" t="s">
        <v>490</v>
      </c>
      <c r="L3454" t="str">
        <f>IFERROR(VLOOKUP(Detalle_OC[[#This Row],[Centro]]&amp;Detalle_OC[[#This Row],[Nro Almacen]],Almacen!A:D,4,FALSE),"")</f>
        <v>Montelima</v>
      </c>
    </row>
    <row r="3455" spans="1:12" x14ac:dyDescent="0.3">
      <c r="A3455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3455" t="s">
        <v>28</v>
      </c>
      <c r="C3455" t="s">
        <v>82</v>
      </c>
      <c r="D3455" s="11">
        <v>45152</v>
      </c>
      <c r="E3455" t="s">
        <v>16</v>
      </c>
      <c r="F3455" t="s">
        <v>12</v>
      </c>
      <c r="G3455">
        <v>844508</v>
      </c>
      <c r="H3455">
        <v>5500019188</v>
      </c>
      <c r="I3455">
        <v>220</v>
      </c>
      <c r="J3455" s="29">
        <v>1</v>
      </c>
      <c r="K3455" s="29" t="s">
        <v>490</v>
      </c>
      <c r="L3455" t="str">
        <f>IFERROR(VLOOKUP(Detalle_OC[[#This Row],[Centro]]&amp;Detalle_OC[[#This Row],[Nro Almacen]],Almacen!A:D,4,FALSE),"")</f>
        <v>Montelima</v>
      </c>
    </row>
    <row r="3456" spans="1:12" x14ac:dyDescent="0.3">
      <c r="A3456" s="29" t="str">
        <f>Detalle_OC[[#This Row],[Centro]]&amp;Detalle_OC[[#This Row],[Nom Almacen]]&amp;Detalle_OC[[#This Row],[Material]]&amp;Detalle_OC[[#This Row],[Pedido]]&amp;Detalle_OC[[#This Row],[Posicion]]</f>
        <v>Agricola del Chira PlantaMontelima8445185500019188270</v>
      </c>
      <c r="B3456" t="s">
        <v>28</v>
      </c>
      <c r="C3456" t="s">
        <v>82</v>
      </c>
      <c r="D3456" s="11">
        <v>45152</v>
      </c>
      <c r="E3456" t="s">
        <v>16</v>
      </c>
      <c r="F3456" t="s">
        <v>12</v>
      </c>
      <c r="G3456">
        <v>844518</v>
      </c>
      <c r="H3456">
        <v>5500019188</v>
      </c>
      <c r="I3456">
        <v>270</v>
      </c>
      <c r="J3456" s="29">
        <v>1</v>
      </c>
      <c r="K3456" s="29" t="s">
        <v>490</v>
      </c>
      <c r="L3456" t="str">
        <f>IFERROR(VLOOKUP(Detalle_OC[[#This Row],[Centro]]&amp;Detalle_OC[[#This Row],[Nro Almacen]],Almacen!A:D,4,FALSE),"")</f>
        <v>Montelima</v>
      </c>
    </row>
    <row r="3457" spans="1:12" x14ac:dyDescent="0.3">
      <c r="A3457" s="29" t="str">
        <f>Detalle_OC[[#This Row],[Centro]]&amp;Detalle_OC[[#This Row],[Nom Almacen]]&amp;Detalle_OC[[#This Row],[Material]]&amp;Detalle_OC[[#This Row],[Pedido]]&amp;Detalle_OC[[#This Row],[Posicion]]</f>
        <v>Agricola del Chira PlantaMontelima8445275500019188310</v>
      </c>
      <c r="B3457" t="s">
        <v>28</v>
      </c>
      <c r="C3457" t="s">
        <v>82</v>
      </c>
      <c r="D3457" s="11">
        <v>45152</v>
      </c>
      <c r="E3457" t="s">
        <v>16</v>
      </c>
      <c r="F3457" t="s">
        <v>12</v>
      </c>
      <c r="G3457">
        <v>844527</v>
      </c>
      <c r="H3457">
        <v>5500019188</v>
      </c>
      <c r="I3457">
        <v>310</v>
      </c>
      <c r="J3457" s="29">
        <v>1</v>
      </c>
      <c r="K3457" s="29" t="s">
        <v>490</v>
      </c>
      <c r="L3457" t="str">
        <f>IFERROR(VLOOKUP(Detalle_OC[[#This Row],[Centro]]&amp;Detalle_OC[[#This Row],[Nro Almacen]],Almacen!A:D,4,FALSE),"")</f>
        <v>Montelima</v>
      </c>
    </row>
    <row r="3458" spans="1:12" x14ac:dyDescent="0.3">
      <c r="A3458" s="29" t="str">
        <f>Detalle_OC[[#This Row],[Centro]]&amp;Detalle_OC[[#This Row],[Nom Almacen]]&amp;Detalle_OC[[#This Row],[Material]]&amp;Detalle_OC[[#This Row],[Pedido]]&amp;Detalle_OC[[#This Row],[Posicion]]</f>
        <v>Agricola del Chira PlantaMontelima8445515500019188320</v>
      </c>
      <c r="B3458" t="s">
        <v>28</v>
      </c>
      <c r="C3458" t="s">
        <v>82</v>
      </c>
      <c r="D3458" s="11">
        <v>45152</v>
      </c>
      <c r="E3458" t="s">
        <v>16</v>
      </c>
      <c r="F3458" t="s">
        <v>12</v>
      </c>
      <c r="G3458">
        <v>844551</v>
      </c>
      <c r="H3458">
        <v>5500019188</v>
      </c>
      <c r="I3458">
        <v>320</v>
      </c>
      <c r="J3458" s="29">
        <v>1</v>
      </c>
      <c r="K3458" s="29" t="s">
        <v>490</v>
      </c>
      <c r="L3458" t="str">
        <f>IFERROR(VLOOKUP(Detalle_OC[[#This Row],[Centro]]&amp;Detalle_OC[[#This Row],[Nro Almacen]],Almacen!A:D,4,FALSE),"")</f>
        <v>Montelima</v>
      </c>
    </row>
    <row r="3459" spans="1:12" x14ac:dyDescent="0.3">
      <c r="A3459" s="29" t="str">
        <f>Detalle_OC[[#This Row],[Centro]]&amp;Detalle_OC[[#This Row],[Nom Almacen]]&amp;Detalle_OC[[#This Row],[Material]]&amp;Detalle_OC[[#This Row],[Pedido]]&amp;Detalle_OC[[#This Row],[Posicion]]</f>
        <v>Agricola del Chira PlantaMontelima8445305500019188490</v>
      </c>
      <c r="B3459" t="s">
        <v>28</v>
      </c>
      <c r="C3459" t="s">
        <v>82</v>
      </c>
      <c r="D3459" s="11">
        <v>45152</v>
      </c>
      <c r="E3459" t="s">
        <v>16</v>
      </c>
      <c r="F3459" t="s">
        <v>12</v>
      </c>
      <c r="G3459">
        <v>844530</v>
      </c>
      <c r="H3459">
        <v>5500019188</v>
      </c>
      <c r="I3459">
        <v>490</v>
      </c>
      <c r="J3459" s="29">
        <v>1</v>
      </c>
      <c r="K3459" s="29" t="s">
        <v>490</v>
      </c>
      <c r="L3459" t="str">
        <f>IFERROR(VLOOKUP(Detalle_OC[[#This Row],[Centro]]&amp;Detalle_OC[[#This Row],[Nro Almacen]],Almacen!A:D,4,FALSE),"")</f>
        <v>Montelima</v>
      </c>
    </row>
    <row r="3460" spans="1:12" x14ac:dyDescent="0.3">
      <c r="A3460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3460" t="s">
        <v>28</v>
      </c>
      <c r="C3460" t="s">
        <v>84</v>
      </c>
      <c r="D3460" s="11">
        <v>45147</v>
      </c>
      <c r="E3460" t="s">
        <v>16</v>
      </c>
      <c r="F3460" t="s">
        <v>85</v>
      </c>
      <c r="G3460">
        <v>806591</v>
      </c>
      <c r="H3460">
        <v>5500022336</v>
      </c>
      <c r="I3460">
        <v>20</v>
      </c>
      <c r="J3460" s="29">
        <v>1</v>
      </c>
      <c r="K3460" s="29" t="s">
        <v>491</v>
      </c>
      <c r="L3460" t="str">
        <f>IFERROR(VLOOKUP(Detalle_OC[[#This Row],[Centro]]&amp;Detalle_OC[[#This Row],[Nro Almacen]],Almacen!A:D,4,FALSE),"")</f>
        <v>Montelima</v>
      </c>
    </row>
    <row r="3461" spans="1:12" x14ac:dyDescent="0.3">
      <c r="A3461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3461" t="s">
        <v>28</v>
      </c>
      <c r="C3461" t="s">
        <v>84</v>
      </c>
      <c r="D3461" s="11">
        <v>45147</v>
      </c>
      <c r="E3461" t="s">
        <v>16</v>
      </c>
      <c r="F3461" t="s">
        <v>12</v>
      </c>
      <c r="G3461">
        <v>801846</v>
      </c>
      <c r="H3461">
        <v>5500022338</v>
      </c>
      <c r="I3461">
        <v>40</v>
      </c>
      <c r="J3461" s="29">
        <v>1</v>
      </c>
      <c r="K3461" s="29" t="s">
        <v>491</v>
      </c>
      <c r="L3461" t="str">
        <f>IFERROR(VLOOKUP(Detalle_OC[[#This Row],[Centro]]&amp;Detalle_OC[[#This Row],[Nro Almacen]],Almacen!A:D,4,FALSE),"")</f>
        <v>Montelima</v>
      </c>
    </row>
    <row r="3462" spans="1:12" x14ac:dyDescent="0.3">
      <c r="A3462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3462" t="s">
        <v>28</v>
      </c>
      <c r="C3462" t="s">
        <v>82</v>
      </c>
      <c r="D3462" s="11">
        <v>45145</v>
      </c>
      <c r="E3462" t="s">
        <v>16</v>
      </c>
      <c r="F3462" t="s">
        <v>12</v>
      </c>
      <c r="G3462">
        <v>844523</v>
      </c>
      <c r="H3462">
        <v>5500019188</v>
      </c>
      <c r="I3462">
        <v>140</v>
      </c>
      <c r="J3462" s="29">
        <v>1</v>
      </c>
      <c r="K3462" s="29" t="s">
        <v>492</v>
      </c>
      <c r="L3462" t="str">
        <f>IFERROR(VLOOKUP(Detalle_OC[[#This Row],[Centro]]&amp;Detalle_OC[[#This Row],[Nro Almacen]],Almacen!A:D,4,FALSE),"")</f>
        <v>Montelima</v>
      </c>
    </row>
    <row r="3463" spans="1:12" x14ac:dyDescent="0.3">
      <c r="A3463" s="29" t="str">
        <f>Detalle_OC[[#This Row],[Centro]]&amp;Detalle_OC[[#This Row],[Nom Almacen]]&amp;Detalle_OC[[#This Row],[Material]]&amp;Detalle_OC[[#This Row],[Pedido]]&amp;Detalle_OC[[#This Row],[Posicion]]</f>
        <v>Agricola del Chira PlantaMontelima8445115500019188180</v>
      </c>
      <c r="B3463" t="s">
        <v>28</v>
      </c>
      <c r="C3463" t="s">
        <v>82</v>
      </c>
      <c r="D3463" s="11">
        <v>45145</v>
      </c>
      <c r="E3463" t="s">
        <v>16</v>
      </c>
      <c r="F3463" t="s">
        <v>12</v>
      </c>
      <c r="G3463">
        <v>844511</v>
      </c>
      <c r="H3463">
        <v>5500019188</v>
      </c>
      <c r="I3463">
        <v>180</v>
      </c>
      <c r="J3463" s="29">
        <v>1</v>
      </c>
      <c r="K3463" s="29" t="s">
        <v>492</v>
      </c>
      <c r="L3463" t="str">
        <f>IFERROR(VLOOKUP(Detalle_OC[[#This Row],[Centro]]&amp;Detalle_OC[[#This Row],[Nro Almacen]],Almacen!A:D,4,FALSE),"")</f>
        <v>Montelima</v>
      </c>
    </row>
    <row r="3464" spans="1:12" x14ac:dyDescent="0.3">
      <c r="A3464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3464" t="s">
        <v>28</v>
      </c>
      <c r="C3464" t="s">
        <v>82</v>
      </c>
      <c r="D3464" s="11">
        <v>45145</v>
      </c>
      <c r="E3464" t="s">
        <v>16</v>
      </c>
      <c r="F3464" t="s">
        <v>12</v>
      </c>
      <c r="G3464">
        <v>844515</v>
      </c>
      <c r="H3464">
        <v>5500019188</v>
      </c>
      <c r="I3464">
        <v>200</v>
      </c>
      <c r="J3464" s="29">
        <v>1</v>
      </c>
      <c r="K3464" s="29" t="s">
        <v>492</v>
      </c>
      <c r="L3464" t="str">
        <f>IFERROR(VLOOKUP(Detalle_OC[[#This Row],[Centro]]&amp;Detalle_OC[[#This Row],[Nro Almacen]],Almacen!A:D,4,FALSE),"")</f>
        <v>Montelima</v>
      </c>
    </row>
    <row r="3465" spans="1:12" x14ac:dyDescent="0.3">
      <c r="A3465" s="29" t="str">
        <f>Detalle_OC[[#This Row],[Centro]]&amp;Detalle_OC[[#This Row],[Nom Almacen]]&amp;Detalle_OC[[#This Row],[Material]]&amp;Detalle_OC[[#This Row],[Pedido]]&amp;Detalle_OC[[#This Row],[Posicion]]</f>
        <v>Agricola del Chira PlantaMontelima8445285500019188360</v>
      </c>
      <c r="B3465" t="s">
        <v>28</v>
      </c>
      <c r="C3465" t="s">
        <v>82</v>
      </c>
      <c r="D3465" s="11">
        <v>45145</v>
      </c>
      <c r="E3465" t="s">
        <v>16</v>
      </c>
      <c r="F3465" t="s">
        <v>12</v>
      </c>
      <c r="G3465">
        <v>844528</v>
      </c>
      <c r="H3465">
        <v>5500019188</v>
      </c>
      <c r="I3465">
        <v>360</v>
      </c>
      <c r="J3465" s="29">
        <v>1</v>
      </c>
      <c r="K3465" s="29" t="s">
        <v>492</v>
      </c>
      <c r="L3465" t="str">
        <f>IFERROR(VLOOKUP(Detalle_OC[[#This Row],[Centro]]&amp;Detalle_OC[[#This Row],[Nro Almacen]],Almacen!A:D,4,FALSE),"")</f>
        <v>Montelima</v>
      </c>
    </row>
    <row r="3466" spans="1:12" x14ac:dyDescent="0.3">
      <c r="A3466" s="29" t="str">
        <f>Detalle_OC[[#This Row],[Centro]]&amp;Detalle_OC[[#This Row],[Nom Almacen]]&amp;Detalle_OC[[#This Row],[Material]]&amp;Detalle_OC[[#This Row],[Pedido]]&amp;Detalle_OC[[#This Row],[Posicion]]</f>
        <v>Agricola del Chira PlantaMontelima8445315500019188430</v>
      </c>
      <c r="B3466" t="s">
        <v>28</v>
      </c>
      <c r="C3466" t="s">
        <v>82</v>
      </c>
      <c r="D3466" s="11">
        <v>45145</v>
      </c>
      <c r="E3466" t="s">
        <v>16</v>
      </c>
      <c r="F3466" t="s">
        <v>12</v>
      </c>
      <c r="G3466">
        <v>844531</v>
      </c>
      <c r="H3466">
        <v>5500019188</v>
      </c>
      <c r="I3466">
        <v>430</v>
      </c>
      <c r="J3466" s="29">
        <v>1</v>
      </c>
      <c r="K3466" s="29" t="s">
        <v>492</v>
      </c>
      <c r="L3466" t="str">
        <f>IFERROR(VLOOKUP(Detalle_OC[[#This Row],[Centro]]&amp;Detalle_OC[[#This Row],[Nro Almacen]],Almacen!A:D,4,FALSE),"")</f>
        <v>Montelima</v>
      </c>
    </row>
    <row r="3467" spans="1:12" x14ac:dyDescent="0.3">
      <c r="A3467" s="29" t="str">
        <f>Detalle_OC[[#This Row],[Centro]]&amp;Detalle_OC[[#This Row],[Nom Almacen]]&amp;Detalle_OC[[#This Row],[Material]]&amp;Detalle_OC[[#This Row],[Pedido]]&amp;Detalle_OC[[#This Row],[Posicion]]</f>
        <v>Agricola del Chira PlantaMontelima7003088355000191881740</v>
      </c>
      <c r="B3467" t="s">
        <v>28</v>
      </c>
      <c r="C3467" t="s">
        <v>82</v>
      </c>
      <c r="D3467" s="11">
        <v>45145</v>
      </c>
      <c r="E3467" t="s">
        <v>16</v>
      </c>
      <c r="F3467" t="s">
        <v>12</v>
      </c>
      <c r="G3467">
        <v>70030883</v>
      </c>
      <c r="H3467">
        <v>5500019188</v>
      </c>
      <c r="I3467">
        <v>1740</v>
      </c>
      <c r="J3467" s="29">
        <v>1</v>
      </c>
      <c r="K3467" s="29" t="s">
        <v>492</v>
      </c>
      <c r="L3467" t="str">
        <f>IFERROR(VLOOKUP(Detalle_OC[[#This Row],[Centro]]&amp;Detalle_OC[[#This Row],[Nro Almacen]],Almacen!A:D,4,FALSE),"")</f>
        <v>Montelima</v>
      </c>
    </row>
    <row r="3468" spans="1:12" x14ac:dyDescent="0.3">
      <c r="A3468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3468" t="s">
        <v>28</v>
      </c>
      <c r="C3468" t="s">
        <v>84</v>
      </c>
      <c r="D3468" s="11">
        <v>45147</v>
      </c>
      <c r="E3468" t="s">
        <v>16</v>
      </c>
      <c r="F3468" t="s">
        <v>85</v>
      </c>
      <c r="G3468">
        <v>801846</v>
      </c>
      <c r="H3468">
        <v>5500022336</v>
      </c>
      <c r="I3468">
        <v>10</v>
      </c>
      <c r="J3468" s="29">
        <v>1</v>
      </c>
      <c r="K3468" s="29" t="s">
        <v>492</v>
      </c>
      <c r="L3468" t="str">
        <f>IFERROR(VLOOKUP(Detalle_OC[[#This Row],[Centro]]&amp;Detalle_OC[[#This Row],[Nro Almacen]],Almacen!A:D,4,FALSE),"")</f>
        <v>Montelima</v>
      </c>
    </row>
    <row r="3469" spans="1:12" x14ac:dyDescent="0.3">
      <c r="A3469" s="29" t="str">
        <f>Detalle_OC[[#This Row],[Centro]]&amp;Detalle_OC[[#This Row],[Nom Almacen]]&amp;Detalle_OC[[#This Row],[Material]]&amp;Detalle_OC[[#This Row],[Pedido]]&amp;Detalle_OC[[#This Row],[Posicion]]</f>
        <v>Sucroalcolera del Chira PlantaMontelima709179550002233630</v>
      </c>
      <c r="B3469" t="s">
        <v>28</v>
      </c>
      <c r="C3469" t="s">
        <v>84</v>
      </c>
      <c r="D3469" s="11">
        <v>45147</v>
      </c>
      <c r="E3469" t="s">
        <v>16</v>
      </c>
      <c r="F3469" t="s">
        <v>85</v>
      </c>
      <c r="G3469">
        <v>709179</v>
      </c>
      <c r="H3469">
        <v>5500022336</v>
      </c>
      <c r="I3469">
        <v>30</v>
      </c>
      <c r="J3469" s="29">
        <v>1</v>
      </c>
      <c r="K3469" s="29" t="s">
        <v>492</v>
      </c>
      <c r="L3469" t="str">
        <f>IFERROR(VLOOKUP(Detalle_OC[[#This Row],[Centro]]&amp;Detalle_OC[[#This Row],[Nro Almacen]],Almacen!A:D,4,FALSE),"")</f>
        <v>Montelima</v>
      </c>
    </row>
    <row r="3470" spans="1:12" x14ac:dyDescent="0.3">
      <c r="A3470" s="29" t="str">
        <f>Detalle_OC[[#This Row],[Centro]]&amp;Detalle_OC[[#This Row],[Nom Almacen]]&amp;Detalle_OC[[#This Row],[Material]]&amp;Detalle_OC[[#This Row],[Pedido]]&amp;Detalle_OC[[#This Row],[Posicion]]</f>
        <v>Sucroalcolera del Chira PlantaMontelima709179550002233630</v>
      </c>
      <c r="B3470" t="s">
        <v>28</v>
      </c>
      <c r="C3470" t="s">
        <v>84</v>
      </c>
      <c r="D3470" s="11">
        <v>45147</v>
      </c>
      <c r="E3470" t="s">
        <v>16</v>
      </c>
      <c r="F3470" t="s">
        <v>85</v>
      </c>
      <c r="G3470">
        <v>709179</v>
      </c>
      <c r="H3470">
        <v>5500022336</v>
      </c>
      <c r="I3470">
        <v>30</v>
      </c>
      <c r="J3470" s="29">
        <v>1</v>
      </c>
      <c r="K3470" s="29" t="s">
        <v>492</v>
      </c>
      <c r="L3470" t="str">
        <f>IFERROR(VLOOKUP(Detalle_OC[[#This Row],[Centro]]&amp;Detalle_OC[[#This Row],[Nro Almacen]],Almacen!A:D,4,FALSE),"")</f>
        <v>Montelima</v>
      </c>
    </row>
    <row r="3471" spans="1:12" x14ac:dyDescent="0.3">
      <c r="A3471" s="29" t="str">
        <f>Detalle_OC[[#This Row],[Centro]]&amp;Detalle_OC[[#This Row],[Nom Almacen]]&amp;Detalle_OC[[#This Row],[Material]]&amp;Detalle_OC[[#This Row],[Pedido]]&amp;Detalle_OC[[#This Row],[Posicion]]</f>
        <v>Agricola del Chira PlantaMontelima709179550002233820</v>
      </c>
      <c r="B3471" t="s">
        <v>28</v>
      </c>
      <c r="C3471" t="s">
        <v>84</v>
      </c>
      <c r="D3471" s="11">
        <v>45147</v>
      </c>
      <c r="E3471" t="s">
        <v>16</v>
      </c>
      <c r="F3471" t="s">
        <v>12</v>
      </c>
      <c r="G3471">
        <v>709179</v>
      </c>
      <c r="H3471">
        <v>5500022338</v>
      </c>
      <c r="I3471">
        <v>20</v>
      </c>
      <c r="J3471" s="29">
        <v>1</v>
      </c>
      <c r="K3471" s="29" t="s">
        <v>492</v>
      </c>
      <c r="L3471" t="str">
        <f>IFERROR(VLOOKUP(Detalle_OC[[#This Row],[Centro]]&amp;Detalle_OC[[#This Row],[Nro Almacen]],Almacen!A:D,4,FALSE),"")</f>
        <v>Montelima</v>
      </c>
    </row>
    <row r="3472" spans="1:12" x14ac:dyDescent="0.3">
      <c r="A3472" s="29" t="str">
        <f>Detalle_OC[[#This Row],[Centro]]&amp;Detalle_OC[[#This Row],[Nom Almacen]]&amp;Detalle_OC[[#This Row],[Material]]&amp;Detalle_OC[[#This Row],[Pedido]]&amp;Detalle_OC[[#This Row],[Posicion]]</f>
        <v>Agricola del Chira PlantaMontelima709179550002233820</v>
      </c>
      <c r="B3472" t="s">
        <v>28</v>
      </c>
      <c r="C3472" t="s">
        <v>84</v>
      </c>
      <c r="D3472" s="11">
        <v>45147</v>
      </c>
      <c r="E3472" t="s">
        <v>16</v>
      </c>
      <c r="F3472" t="s">
        <v>12</v>
      </c>
      <c r="G3472">
        <v>709179</v>
      </c>
      <c r="H3472">
        <v>5500022338</v>
      </c>
      <c r="I3472">
        <v>20</v>
      </c>
      <c r="J3472" s="29">
        <v>1</v>
      </c>
      <c r="K3472" s="29" t="s">
        <v>492</v>
      </c>
      <c r="L3472" t="str">
        <f>IFERROR(VLOOKUP(Detalle_OC[[#This Row],[Centro]]&amp;Detalle_OC[[#This Row],[Nro Almacen]],Almacen!A:D,4,FALSE),"")</f>
        <v>Montelima</v>
      </c>
    </row>
    <row r="3473" spans="1:12" x14ac:dyDescent="0.3">
      <c r="A3473" s="29" t="str">
        <f>Detalle_OC[[#This Row],[Centro]]&amp;Detalle_OC[[#This Row],[Nom Almacen]]&amp;Detalle_OC[[#This Row],[Material]]&amp;Detalle_OC[[#This Row],[Pedido]]&amp;Detalle_OC[[#This Row],[Posicion]]</f>
        <v>Agricola del Chira PlantaMontelima709179550002233820</v>
      </c>
      <c r="B3473" t="s">
        <v>28</v>
      </c>
      <c r="C3473" t="s">
        <v>84</v>
      </c>
      <c r="D3473" s="11">
        <v>45147</v>
      </c>
      <c r="E3473" t="s">
        <v>16</v>
      </c>
      <c r="F3473" t="s">
        <v>12</v>
      </c>
      <c r="G3473">
        <v>709179</v>
      </c>
      <c r="H3473">
        <v>5500022338</v>
      </c>
      <c r="I3473">
        <v>20</v>
      </c>
      <c r="J3473" s="29">
        <v>1</v>
      </c>
      <c r="K3473" s="29" t="s">
        <v>492</v>
      </c>
      <c r="L3473" t="str">
        <f>IFERROR(VLOOKUP(Detalle_OC[[#This Row],[Centro]]&amp;Detalle_OC[[#This Row],[Nro Almacen]],Almacen!A:D,4,FALSE),"")</f>
        <v>Montelima</v>
      </c>
    </row>
    <row r="3474" spans="1:12" x14ac:dyDescent="0.3">
      <c r="A3474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3474" t="s">
        <v>28</v>
      </c>
      <c r="C3474" t="s">
        <v>84</v>
      </c>
      <c r="D3474" s="11">
        <v>45147</v>
      </c>
      <c r="E3474" t="s">
        <v>16</v>
      </c>
      <c r="F3474" t="s">
        <v>12</v>
      </c>
      <c r="G3474">
        <v>801846</v>
      </c>
      <c r="H3474">
        <v>5500022338</v>
      </c>
      <c r="I3474">
        <v>40</v>
      </c>
      <c r="J3474" s="29">
        <v>1</v>
      </c>
      <c r="K3474" s="29" t="s">
        <v>492</v>
      </c>
      <c r="L3474" t="str">
        <f>IFERROR(VLOOKUP(Detalle_OC[[#This Row],[Centro]]&amp;Detalle_OC[[#This Row],[Nro Almacen]],Almacen!A:D,4,FALSE),"")</f>
        <v>Montelima</v>
      </c>
    </row>
    <row r="3475" spans="1:12" x14ac:dyDescent="0.3">
      <c r="A3475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3475" t="s">
        <v>28</v>
      </c>
      <c r="C3475" t="s">
        <v>84</v>
      </c>
      <c r="D3475" s="11">
        <v>45147</v>
      </c>
      <c r="E3475" t="s">
        <v>16</v>
      </c>
      <c r="F3475" t="s">
        <v>12</v>
      </c>
      <c r="G3475">
        <v>801846</v>
      </c>
      <c r="H3475">
        <v>5500022338</v>
      </c>
      <c r="I3475">
        <v>40</v>
      </c>
      <c r="J3475" s="29">
        <v>1</v>
      </c>
      <c r="K3475" s="29" t="s">
        <v>492</v>
      </c>
      <c r="L3475" t="str">
        <f>IFERROR(VLOOKUP(Detalle_OC[[#This Row],[Centro]]&amp;Detalle_OC[[#This Row],[Nro Almacen]],Almacen!A:D,4,FALSE),"")</f>
        <v>Montelima</v>
      </c>
    </row>
    <row r="3476" spans="1:12" x14ac:dyDescent="0.3">
      <c r="A3476" s="29" t="str">
        <f>Detalle_OC[[#This Row],[Centro]]&amp;Detalle_OC[[#This Row],[Nom Almacen]]&amp;Detalle_OC[[#This Row],[Material]]&amp;Detalle_OC[[#This Row],[Pedido]]&amp;Detalle_OC[[#This Row],[Posicion]]</f>
        <v>Agricola del Chira PlantaMontelima813224550002233870</v>
      </c>
      <c r="B3476" t="s">
        <v>28</v>
      </c>
      <c r="C3476" t="s">
        <v>84</v>
      </c>
      <c r="D3476" s="11">
        <v>45147</v>
      </c>
      <c r="E3476" t="s">
        <v>16</v>
      </c>
      <c r="F3476" t="s">
        <v>12</v>
      </c>
      <c r="G3476">
        <v>813224</v>
      </c>
      <c r="H3476">
        <v>5500022338</v>
      </c>
      <c r="I3476">
        <v>70</v>
      </c>
      <c r="J3476" s="29">
        <v>1</v>
      </c>
      <c r="K3476" s="29" t="s">
        <v>492</v>
      </c>
      <c r="L3476" t="str">
        <f>IFERROR(VLOOKUP(Detalle_OC[[#This Row],[Centro]]&amp;Detalle_OC[[#This Row],[Nro Almacen]],Almacen!A:D,4,FALSE),"")</f>
        <v>Montelima</v>
      </c>
    </row>
    <row r="3477" spans="1:12" x14ac:dyDescent="0.3">
      <c r="A3477" s="29" t="str">
        <f>Detalle_OC[[#This Row],[Centro]]&amp;Detalle_OC[[#This Row],[Nom Almacen]]&amp;Detalle_OC[[#This Row],[Material]]&amp;Detalle_OC[[#This Row],[Pedido]]&amp;Detalle_OC[[#This Row],[Posicion]]</f>
        <v>Agricola del Chira PlantaMontelima813224550002233870</v>
      </c>
      <c r="B3477" t="s">
        <v>28</v>
      </c>
      <c r="C3477" t="s">
        <v>84</v>
      </c>
      <c r="D3477" s="11">
        <v>45147</v>
      </c>
      <c r="E3477" t="s">
        <v>16</v>
      </c>
      <c r="F3477" t="s">
        <v>12</v>
      </c>
      <c r="G3477">
        <v>813224</v>
      </c>
      <c r="H3477">
        <v>5500022338</v>
      </c>
      <c r="I3477">
        <v>70</v>
      </c>
      <c r="J3477" s="29">
        <v>1</v>
      </c>
      <c r="K3477" s="29" t="s">
        <v>492</v>
      </c>
      <c r="L3477" t="str">
        <f>IFERROR(VLOOKUP(Detalle_OC[[#This Row],[Centro]]&amp;Detalle_OC[[#This Row],[Nro Almacen]],Almacen!A:D,4,FALSE),"")</f>
        <v>Montelima</v>
      </c>
    </row>
    <row r="3478" spans="1:12" x14ac:dyDescent="0.3">
      <c r="A3478" s="29" t="str">
        <f>Detalle_OC[[#This Row],[Centro]]&amp;Detalle_OC[[#This Row],[Nom Almacen]]&amp;Detalle_OC[[#This Row],[Material]]&amp;Detalle_OC[[#This Row],[Pedido]]&amp;Detalle_OC[[#This Row],[Posicion]]</f>
        <v>Agricola del Chira PlantaMontelima70032053550002233880</v>
      </c>
      <c r="B3478" t="s">
        <v>28</v>
      </c>
      <c r="C3478" t="s">
        <v>84</v>
      </c>
      <c r="D3478" s="11">
        <v>45147</v>
      </c>
      <c r="E3478" t="s">
        <v>16</v>
      </c>
      <c r="F3478" t="s">
        <v>12</v>
      </c>
      <c r="G3478">
        <v>70032053</v>
      </c>
      <c r="H3478">
        <v>5500022338</v>
      </c>
      <c r="I3478">
        <v>80</v>
      </c>
      <c r="J3478" s="29">
        <v>1</v>
      </c>
      <c r="K3478" s="29" t="s">
        <v>492</v>
      </c>
      <c r="L3478" t="str">
        <f>IFERROR(VLOOKUP(Detalle_OC[[#This Row],[Centro]]&amp;Detalle_OC[[#This Row],[Nro Almacen]],Almacen!A:D,4,FALSE),"")</f>
        <v>Montelima</v>
      </c>
    </row>
    <row r="3479" spans="1:12" x14ac:dyDescent="0.3">
      <c r="A3479" s="29" t="str">
        <f>Detalle_OC[[#This Row],[Centro]]&amp;Detalle_OC[[#This Row],[Nom Almacen]]&amp;Detalle_OC[[#This Row],[Material]]&amp;Detalle_OC[[#This Row],[Pedido]]&amp;Detalle_OC[[#This Row],[Posicion]]</f>
        <v>Agricola del Chira PlantaMontelima70032053550002233880</v>
      </c>
      <c r="B3479" t="s">
        <v>28</v>
      </c>
      <c r="C3479" t="s">
        <v>84</v>
      </c>
      <c r="D3479" s="11">
        <v>45147</v>
      </c>
      <c r="E3479" t="s">
        <v>16</v>
      </c>
      <c r="F3479" t="s">
        <v>12</v>
      </c>
      <c r="G3479">
        <v>70032053</v>
      </c>
      <c r="H3479">
        <v>5500022338</v>
      </c>
      <c r="I3479">
        <v>80</v>
      </c>
      <c r="J3479" s="29">
        <v>1</v>
      </c>
      <c r="K3479" s="29" t="s">
        <v>492</v>
      </c>
      <c r="L3479" t="str">
        <f>IFERROR(VLOOKUP(Detalle_OC[[#This Row],[Centro]]&amp;Detalle_OC[[#This Row],[Nro Almacen]],Almacen!A:D,4,FALSE),"")</f>
        <v>Montelima</v>
      </c>
    </row>
    <row r="3480" spans="1:12" x14ac:dyDescent="0.3">
      <c r="A3480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3480" t="s">
        <v>28</v>
      </c>
      <c r="C3480" t="s">
        <v>82</v>
      </c>
      <c r="D3480" s="11">
        <v>45141</v>
      </c>
      <c r="E3480" t="s">
        <v>16</v>
      </c>
      <c r="F3480" t="s">
        <v>12</v>
      </c>
      <c r="G3480">
        <v>844523</v>
      </c>
      <c r="H3480">
        <v>5500019188</v>
      </c>
      <c r="I3480">
        <v>140</v>
      </c>
      <c r="J3480" s="29">
        <v>1</v>
      </c>
      <c r="K3480" s="29" t="s">
        <v>493</v>
      </c>
      <c r="L3480" t="str">
        <f>IFERROR(VLOOKUP(Detalle_OC[[#This Row],[Centro]]&amp;Detalle_OC[[#This Row],[Nro Almacen]],Almacen!A:D,4,FALSE),"")</f>
        <v>Montelima</v>
      </c>
    </row>
    <row r="3481" spans="1:12" x14ac:dyDescent="0.3">
      <c r="A3481" s="29" t="str">
        <f>Detalle_OC[[#This Row],[Centro]]&amp;Detalle_OC[[#This Row],[Nom Almacen]]&amp;Detalle_OC[[#This Row],[Material]]&amp;Detalle_OC[[#This Row],[Pedido]]&amp;Detalle_OC[[#This Row],[Posicion]]</f>
        <v>Agricola del Chira PlantaMontelima8445335500019188170</v>
      </c>
      <c r="B3481" t="s">
        <v>28</v>
      </c>
      <c r="C3481" t="s">
        <v>82</v>
      </c>
      <c r="D3481" s="11">
        <v>45141</v>
      </c>
      <c r="E3481" t="s">
        <v>16</v>
      </c>
      <c r="F3481" t="s">
        <v>12</v>
      </c>
      <c r="G3481">
        <v>844533</v>
      </c>
      <c r="H3481">
        <v>5500019188</v>
      </c>
      <c r="I3481">
        <v>170</v>
      </c>
      <c r="J3481" s="29">
        <v>1</v>
      </c>
      <c r="K3481" s="29" t="s">
        <v>493</v>
      </c>
      <c r="L3481" t="str">
        <f>IFERROR(VLOOKUP(Detalle_OC[[#This Row],[Centro]]&amp;Detalle_OC[[#This Row],[Nro Almacen]],Almacen!A:D,4,FALSE),"")</f>
        <v>Montelima</v>
      </c>
    </row>
    <row r="3482" spans="1:12" x14ac:dyDescent="0.3">
      <c r="A3482" s="29" t="str">
        <f>Detalle_OC[[#This Row],[Centro]]&amp;Detalle_OC[[#This Row],[Nom Almacen]]&amp;Detalle_OC[[#This Row],[Material]]&amp;Detalle_OC[[#This Row],[Pedido]]&amp;Detalle_OC[[#This Row],[Posicion]]</f>
        <v>Agricola del Chira PlantaMontelima8445115500019188180</v>
      </c>
      <c r="B3482" t="s">
        <v>28</v>
      </c>
      <c r="C3482" t="s">
        <v>82</v>
      </c>
      <c r="D3482" s="11">
        <v>45141</v>
      </c>
      <c r="E3482" t="s">
        <v>16</v>
      </c>
      <c r="F3482" t="s">
        <v>12</v>
      </c>
      <c r="G3482">
        <v>844511</v>
      </c>
      <c r="H3482">
        <v>5500019188</v>
      </c>
      <c r="I3482">
        <v>180</v>
      </c>
      <c r="J3482" s="29">
        <v>1</v>
      </c>
      <c r="K3482" s="29" t="s">
        <v>493</v>
      </c>
      <c r="L3482" t="str">
        <f>IFERROR(VLOOKUP(Detalle_OC[[#This Row],[Centro]]&amp;Detalle_OC[[#This Row],[Nro Almacen]],Almacen!A:D,4,FALSE),"")</f>
        <v>Montelima</v>
      </c>
    </row>
    <row r="3483" spans="1:12" x14ac:dyDescent="0.3">
      <c r="A3483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3483" t="s">
        <v>28</v>
      </c>
      <c r="C3483" t="s">
        <v>82</v>
      </c>
      <c r="D3483" s="11">
        <v>45141</v>
      </c>
      <c r="E3483" t="s">
        <v>16</v>
      </c>
      <c r="F3483" t="s">
        <v>12</v>
      </c>
      <c r="G3483">
        <v>844516</v>
      </c>
      <c r="H3483">
        <v>5500019188</v>
      </c>
      <c r="I3483">
        <v>190</v>
      </c>
      <c r="J3483" s="29">
        <v>1</v>
      </c>
      <c r="K3483" s="29" t="s">
        <v>493</v>
      </c>
      <c r="L3483" t="str">
        <f>IFERROR(VLOOKUP(Detalle_OC[[#This Row],[Centro]]&amp;Detalle_OC[[#This Row],[Nro Almacen]],Almacen!A:D,4,FALSE),"")</f>
        <v>Montelima</v>
      </c>
    </row>
    <row r="3484" spans="1:12" x14ac:dyDescent="0.3">
      <c r="A3484" s="29" t="str">
        <f>Detalle_OC[[#This Row],[Centro]]&amp;Detalle_OC[[#This Row],[Nom Almacen]]&amp;Detalle_OC[[#This Row],[Material]]&amp;Detalle_OC[[#This Row],[Pedido]]&amp;Detalle_OC[[#This Row],[Posicion]]</f>
        <v>Agricola del Chira PlantaMontelima8445025500019188250</v>
      </c>
      <c r="B3484" t="s">
        <v>28</v>
      </c>
      <c r="C3484" t="s">
        <v>82</v>
      </c>
      <c r="D3484" s="11">
        <v>45141</v>
      </c>
      <c r="E3484" t="s">
        <v>16</v>
      </c>
      <c r="F3484" t="s">
        <v>12</v>
      </c>
      <c r="G3484">
        <v>844502</v>
      </c>
      <c r="H3484">
        <v>5500019188</v>
      </c>
      <c r="I3484">
        <v>250</v>
      </c>
      <c r="J3484" s="29">
        <v>1</v>
      </c>
      <c r="K3484" s="29" t="s">
        <v>493</v>
      </c>
      <c r="L3484" t="str">
        <f>IFERROR(VLOOKUP(Detalle_OC[[#This Row],[Centro]]&amp;Detalle_OC[[#This Row],[Nro Almacen]],Almacen!A:D,4,FALSE),"")</f>
        <v>Montelima</v>
      </c>
    </row>
    <row r="3485" spans="1:12" x14ac:dyDescent="0.3">
      <c r="A3485" s="29" t="str">
        <f>Detalle_OC[[#This Row],[Centro]]&amp;Detalle_OC[[#This Row],[Nom Almacen]]&amp;Detalle_OC[[#This Row],[Material]]&amp;Detalle_OC[[#This Row],[Pedido]]&amp;Detalle_OC[[#This Row],[Posicion]]</f>
        <v>Agricola del Chira PlantaMontelima8445285500019188360</v>
      </c>
      <c r="B3485" t="s">
        <v>28</v>
      </c>
      <c r="C3485" t="s">
        <v>82</v>
      </c>
      <c r="D3485" s="11">
        <v>45141</v>
      </c>
      <c r="E3485" t="s">
        <v>16</v>
      </c>
      <c r="F3485" t="s">
        <v>12</v>
      </c>
      <c r="G3485">
        <v>844528</v>
      </c>
      <c r="H3485">
        <v>5500019188</v>
      </c>
      <c r="I3485">
        <v>360</v>
      </c>
      <c r="J3485" s="29">
        <v>1</v>
      </c>
      <c r="K3485" s="29" t="s">
        <v>493</v>
      </c>
      <c r="L3485" t="str">
        <f>IFERROR(VLOOKUP(Detalle_OC[[#This Row],[Centro]]&amp;Detalle_OC[[#This Row],[Nro Almacen]],Almacen!A:D,4,FALSE),"")</f>
        <v>Montelima</v>
      </c>
    </row>
    <row r="3486" spans="1:12" x14ac:dyDescent="0.3">
      <c r="A3486" s="29" t="str">
        <f>Detalle_OC[[#This Row],[Centro]]&amp;Detalle_OC[[#This Row],[Nom Almacen]]&amp;Detalle_OC[[#This Row],[Material]]&amp;Detalle_OC[[#This Row],[Pedido]]&amp;Detalle_OC[[#This Row],[Posicion]]</f>
        <v>Agricola del Chira PlantaMontelima8794985500019188670</v>
      </c>
      <c r="B3486" t="s">
        <v>28</v>
      </c>
      <c r="C3486" t="s">
        <v>82</v>
      </c>
      <c r="D3486" s="11">
        <v>45141</v>
      </c>
      <c r="E3486" t="s">
        <v>16</v>
      </c>
      <c r="F3486" t="s">
        <v>12</v>
      </c>
      <c r="G3486">
        <v>879498</v>
      </c>
      <c r="H3486">
        <v>5500019188</v>
      </c>
      <c r="I3486">
        <v>670</v>
      </c>
      <c r="J3486" s="29">
        <v>1</v>
      </c>
      <c r="K3486" s="29" t="s">
        <v>493</v>
      </c>
      <c r="L3486" t="str">
        <f>IFERROR(VLOOKUP(Detalle_OC[[#This Row],[Centro]]&amp;Detalle_OC[[#This Row],[Nro Almacen]],Almacen!A:D,4,FALSE),"")</f>
        <v>Montelima</v>
      </c>
    </row>
    <row r="3487" spans="1:12" x14ac:dyDescent="0.3">
      <c r="A3487" s="29" t="str">
        <f>Detalle_OC[[#This Row],[Centro]]&amp;Detalle_OC[[#This Row],[Nom Almacen]]&amp;Detalle_OC[[#This Row],[Material]]&amp;Detalle_OC[[#This Row],[Pedido]]&amp;Detalle_OC[[#This Row],[Posicion]]</f>
        <v>Agricola del Chira PlantaMontelima8445425500019188680</v>
      </c>
      <c r="B3487" t="s">
        <v>28</v>
      </c>
      <c r="C3487" t="s">
        <v>82</v>
      </c>
      <c r="D3487" s="11">
        <v>45141</v>
      </c>
      <c r="E3487" t="s">
        <v>16</v>
      </c>
      <c r="F3487" t="s">
        <v>12</v>
      </c>
      <c r="G3487">
        <v>844542</v>
      </c>
      <c r="H3487">
        <v>5500019188</v>
      </c>
      <c r="I3487">
        <v>680</v>
      </c>
      <c r="J3487" s="29">
        <v>1</v>
      </c>
      <c r="K3487" s="29" t="s">
        <v>493</v>
      </c>
      <c r="L3487" t="str">
        <f>IFERROR(VLOOKUP(Detalle_OC[[#This Row],[Centro]]&amp;Detalle_OC[[#This Row],[Nro Almacen]],Almacen!A:D,4,FALSE),"")</f>
        <v>Montelima</v>
      </c>
    </row>
    <row r="3488" spans="1:12" x14ac:dyDescent="0.3">
      <c r="A3488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3488" t="s">
        <v>28</v>
      </c>
      <c r="C3488" t="s">
        <v>84</v>
      </c>
      <c r="D3488" s="11">
        <v>45138</v>
      </c>
      <c r="E3488" t="s">
        <v>16</v>
      </c>
      <c r="F3488" t="s">
        <v>85</v>
      </c>
      <c r="G3488">
        <v>801846</v>
      </c>
      <c r="H3488">
        <v>5500022336</v>
      </c>
      <c r="I3488">
        <v>10</v>
      </c>
      <c r="J3488" s="29">
        <v>1</v>
      </c>
      <c r="K3488" s="29" t="s">
        <v>494</v>
      </c>
      <c r="L3488" t="str">
        <f>IFERROR(VLOOKUP(Detalle_OC[[#This Row],[Centro]]&amp;Detalle_OC[[#This Row],[Nro Almacen]],Almacen!A:D,4,FALSE),"")</f>
        <v>Montelima</v>
      </c>
    </row>
    <row r="3489" spans="1:12" x14ac:dyDescent="0.3">
      <c r="A3489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3489" t="s">
        <v>28</v>
      </c>
      <c r="C3489" t="s">
        <v>84</v>
      </c>
      <c r="D3489" s="11">
        <v>45138</v>
      </c>
      <c r="E3489" t="s">
        <v>16</v>
      </c>
      <c r="F3489" t="s">
        <v>85</v>
      </c>
      <c r="G3489">
        <v>806591</v>
      </c>
      <c r="H3489">
        <v>5500022336</v>
      </c>
      <c r="I3489">
        <v>20</v>
      </c>
      <c r="J3489" s="29">
        <v>1</v>
      </c>
      <c r="K3489" s="29" t="s">
        <v>494</v>
      </c>
      <c r="L3489" t="str">
        <f>IFERROR(VLOOKUP(Detalle_OC[[#This Row],[Centro]]&amp;Detalle_OC[[#This Row],[Nro Almacen]],Almacen!A:D,4,FALSE),"")</f>
        <v>Montelima</v>
      </c>
    </row>
    <row r="3490" spans="1:12" x14ac:dyDescent="0.3">
      <c r="A3490" s="29" t="str">
        <f>Detalle_OC[[#This Row],[Centro]]&amp;Detalle_OC[[#This Row],[Nom Almacen]]&amp;Detalle_OC[[#This Row],[Material]]&amp;Detalle_OC[[#This Row],[Pedido]]&amp;Detalle_OC[[#This Row],[Posicion]]</f>
        <v>Sucroalcolera del Chira PlantaMontelima709179550002233630</v>
      </c>
      <c r="B3490" t="s">
        <v>28</v>
      </c>
      <c r="C3490" t="s">
        <v>84</v>
      </c>
      <c r="D3490" s="11">
        <v>45138</v>
      </c>
      <c r="E3490" t="s">
        <v>16</v>
      </c>
      <c r="F3490" t="s">
        <v>85</v>
      </c>
      <c r="G3490">
        <v>709179</v>
      </c>
      <c r="H3490">
        <v>5500022336</v>
      </c>
      <c r="I3490">
        <v>30</v>
      </c>
      <c r="J3490" s="29">
        <v>1</v>
      </c>
      <c r="K3490" s="29" t="s">
        <v>494</v>
      </c>
      <c r="L3490" t="str">
        <f>IFERROR(VLOOKUP(Detalle_OC[[#This Row],[Centro]]&amp;Detalle_OC[[#This Row],[Nro Almacen]],Almacen!A:D,4,FALSE),"")</f>
        <v>Montelima</v>
      </c>
    </row>
    <row r="3491" spans="1:12" x14ac:dyDescent="0.3">
      <c r="A3491" s="29" t="str">
        <f>Detalle_OC[[#This Row],[Centro]]&amp;Detalle_OC[[#This Row],[Nom Almacen]]&amp;Detalle_OC[[#This Row],[Material]]&amp;Detalle_OC[[#This Row],[Pedido]]&amp;Detalle_OC[[#This Row],[Posicion]]</f>
        <v>Agricola del Chira PlantaMontelima808069550002233830</v>
      </c>
      <c r="B3491" t="s">
        <v>28</v>
      </c>
      <c r="C3491" t="s">
        <v>84</v>
      </c>
      <c r="D3491" s="11">
        <v>45138</v>
      </c>
      <c r="E3491" t="s">
        <v>16</v>
      </c>
      <c r="F3491" t="s">
        <v>12</v>
      </c>
      <c r="G3491">
        <v>808069</v>
      </c>
      <c r="H3491">
        <v>5500022338</v>
      </c>
      <c r="I3491">
        <v>30</v>
      </c>
      <c r="J3491" s="29">
        <v>1</v>
      </c>
      <c r="K3491" s="29" t="s">
        <v>494</v>
      </c>
      <c r="L3491" t="str">
        <f>IFERROR(VLOOKUP(Detalle_OC[[#This Row],[Centro]]&amp;Detalle_OC[[#This Row],[Nro Almacen]],Almacen!A:D,4,FALSE),"")</f>
        <v>Montelima</v>
      </c>
    </row>
    <row r="3492" spans="1:12" x14ac:dyDescent="0.3">
      <c r="A3492" s="29" t="str">
        <f>Detalle_OC[[#This Row],[Centro]]&amp;Detalle_OC[[#This Row],[Nom Almacen]]&amp;Detalle_OC[[#This Row],[Material]]&amp;Detalle_OC[[#This Row],[Pedido]]&amp;Detalle_OC[[#This Row],[Posicion]]</f>
        <v>Agricola del Chira PlantaMontelima813224550002233870</v>
      </c>
      <c r="B3492" t="s">
        <v>28</v>
      </c>
      <c r="C3492" t="s">
        <v>84</v>
      </c>
      <c r="D3492" s="11">
        <v>45138</v>
      </c>
      <c r="E3492" t="s">
        <v>16</v>
      </c>
      <c r="F3492" t="s">
        <v>12</v>
      </c>
      <c r="G3492">
        <v>813224</v>
      </c>
      <c r="H3492">
        <v>5500022338</v>
      </c>
      <c r="I3492">
        <v>70</v>
      </c>
      <c r="J3492" s="29">
        <v>1</v>
      </c>
      <c r="K3492" s="29" t="s">
        <v>494</v>
      </c>
      <c r="L3492" t="str">
        <f>IFERROR(VLOOKUP(Detalle_OC[[#This Row],[Centro]]&amp;Detalle_OC[[#This Row],[Nro Almacen]],Almacen!A:D,4,FALSE),"")</f>
        <v>Montelima</v>
      </c>
    </row>
    <row r="3493" spans="1:12" x14ac:dyDescent="0.3">
      <c r="A3493" s="29" t="str">
        <f>Detalle_OC[[#This Row],[Centro]]&amp;Detalle_OC[[#This Row],[Nom Almacen]]&amp;Detalle_OC[[#This Row],[Material]]&amp;Detalle_OC[[#This Row],[Pedido]]&amp;Detalle_OC[[#This Row],[Posicion]]</f>
        <v>Agricola del Chira PlantaMontelima83106655000191881040</v>
      </c>
      <c r="B3493" t="s">
        <v>28</v>
      </c>
      <c r="C3493" t="s">
        <v>82</v>
      </c>
      <c r="D3493" s="11">
        <v>45131</v>
      </c>
      <c r="E3493" t="s">
        <v>16</v>
      </c>
      <c r="F3493" t="s">
        <v>12</v>
      </c>
      <c r="G3493">
        <v>831066</v>
      </c>
      <c r="H3493">
        <v>5500019188</v>
      </c>
      <c r="I3493">
        <v>1040</v>
      </c>
      <c r="J3493" s="29">
        <v>1</v>
      </c>
      <c r="K3493" s="29" t="s">
        <v>495</v>
      </c>
      <c r="L3493" t="str">
        <f>IFERROR(VLOOKUP(Detalle_OC[[#This Row],[Centro]]&amp;Detalle_OC[[#This Row],[Nro Almacen]],Almacen!A:D,4,FALSE),"")</f>
        <v>Montelima</v>
      </c>
    </row>
    <row r="3494" spans="1:12" x14ac:dyDescent="0.3">
      <c r="A3494" s="29" t="str">
        <f>Detalle_OC[[#This Row],[Centro]]&amp;Detalle_OC[[#This Row],[Nom Almacen]]&amp;Detalle_OC[[#This Row],[Material]]&amp;Detalle_OC[[#This Row],[Pedido]]&amp;Detalle_OC[[#This Row],[Posicion]]</f>
        <v>Agricola del Chira PlantaMontelima83082755000191881170</v>
      </c>
      <c r="B3494" t="s">
        <v>28</v>
      </c>
      <c r="C3494" t="s">
        <v>82</v>
      </c>
      <c r="D3494" s="11">
        <v>45131</v>
      </c>
      <c r="E3494" t="s">
        <v>16</v>
      </c>
      <c r="F3494" t="s">
        <v>12</v>
      </c>
      <c r="G3494">
        <v>830827</v>
      </c>
      <c r="H3494">
        <v>5500019188</v>
      </c>
      <c r="I3494">
        <v>1170</v>
      </c>
      <c r="J3494" s="29">
        <v>1</v>
      </c>
      <c r="K3494" s="29" t="s">
        <v>495</v>
      </c>
      <c r="L3494" t="str">
        <f>IFERROR(VLOOKUP(Detalle_OC[[#This Row],[Centro]]&amp;Detalle_OC[[#This Row],[Nro Almacen]],Almacen!A:D,4,FALSE),"")</f>
        <v>Montelima</v>
      </c>
    </row>
    <row r="3495" spans="1:12" x14ac:dyDescent="0.3">
      <c r="A3495" s="29" t="str">
        <f>Detalle_OC[[#This Row],[Centro]]&amp;Detalle_OC[[#This Row],[Nom Almacen]]&amp;Detalle_OC[[#This Row],[Material]]&amp;Detalle_OC[[#This Row],[Pedido]]&amp;Detalle_OC[[#This Row],[Posicion]]</f>
        <v>Agricola del Chira PlantaMontelima84709955000191881400</v>
      </c>
      <c r="B3495" t="s">
        <v>28</v>
      </c>
      <c r="C3495" t="s">
        <v>82</v>
      </c>
      <c r="D3495" s="11">
        <v>45131</v>
      </c>
      <c r="E3495" t="s">
        <v>16</v>
      </c>
      <c r="F3495" t="s">
        <v>12</v>
      </c>
      <c r="G3495">
        <v>847099</v>
      </c>
      <c r="H3495">
        <v>5500019188</v>
      </c>
      <c r="I3495">
        <v>1400</v>
      </c>
      <c r="J3495" s="29">
        <v>1</v>
      </c>
      <c r="K3495" s="29" t="s">
        <v>495</v>
      </c>
      <c r="L3495" t="str">
        <f>IFERROR(VLOOKUP(Detalle_OC[[#This Row],[Centro]]&amp;Detalle_OC[[#This Row],[Nro Almacen]],Almacen!A:D,4,FALSE),"")</f>
        <v>Montelima</v>
      </c>
    </row>
    <row r="3496" spans="1:12" x14ac:dyDescent="0.3">
      <c r="A3496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3496" t="s">
        <v>28</v>
      </c>
      <c r="C3496" t="s">
        <v>84</v>
      </c>
      <c r="D3496" s="11">
        <v>45128</v>
      </c>
      <c r="E3496" t="s">
        <v>16</v>
      </c>
      <c r="F3496" t="s">
        <v>85</v>
      </c>
      <c r="G3496">
        <v>801846</v>
      </c>
      <c r="H3496">
        <v>5500022336</v>
      </c>
      <c r="I3496">
        <v>10</v>
      </c>
      <c r="J3496" s="29">
        <v>1</v>
      </c>
      <c r="K3496" s="29" t="s">
        <v>496</v>
      </c>
      <c r="L3496" t="str">
        <f>IFERROR(VLOOKUP(Detalle_OC[[#This Row],[Centro]]&amp;Detalle_OC[[#This Row],[Nro Almacen]],Almacen!A:D,4,FALSE),"")</f>
        <v>Montelima</v>
      </c>
    </row>
    <row r="3497" spans="1:12" x14ac:dyDescent="0.3">
      <c r="A3497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3497" t="s">
        <v>28</v>
      </c>
      <c r="C3497" t="s">
        <v>84</v>
      </c>
      <c r="D3497" s="11">
        <v>45128</v>
      </c>
      <c r="E3497" t="s">
        <v>16</v>
      </c>
      <c r="F3497" t="s">
        <v>85</v>
      </c>
      <c r="G3497">
        <v>806591</v>
      </c>
      <c r="H3497">
        <v>5500022336</v>
      </c>
      <c r="I3497">
        <v>20</v>
      </c>
      <c r="J3497" s="29">
        <v>1</v>
      </c>
      <c r="K3497" s="29" t="s">
        <v>496</v>
      </c>
      <c r="L3497" t="str">
        <f>IFERROR(VLOOKUP(Detalle_OC[[#This Row],[Centro]]&amp;Detalle_OC[[#This Row],[Nro Almacen]],Almacen!A:D,4,FALSE),"")</f>
        <v>Montelima</v>
      </c>
    </row>
    <row r="3498" spans="1:12" x14ac:dyDescent="0.3">
      <c r="A3498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3498" t="s">
        <v>28</v>
      </c>
      <c r="C3498" t="s">
        <v>84</v>
      </c>
      <c r="D3498" s="11">
        <v>45128</v>
      </c>
      <c r="E3498" t="s">
        <v>16</v>
      </c>
      <c r="F3498" t="s">
        <v>12</v>
      </c>
      <c r="G3498">
        <v>801846</v>
      </c>
      <c r="H3498">
        <v>5500022338</v>
      </c>
      <c r="I3498">
        <v>40</v>
      </c>
      <c r="J3498" s="29">
        <v>1</v>
      </c>
      <c r="K3498" s="29" t="s">
        <v>496</v>
      </c>
      <c r="L3498" t="str">
        <f>IFERROR(VLOOKUP(Detalle_OC[[#This Row],[Centro]]&amp;Detalle_OC[[#This Row],[Nro Almacen]],Almacen!A:D,4,FALSE),"")</f>
        <v>Montelima</v>
      </c>
    </row>
    <row r="3499" spans="1:12" x14ac:dyDescent="0.3">
      <c r="A3499" s="29" t="str">
        <f>Detalle_OC[[#This Row],[Centro]]&amp;Detalle_OC[[#This Row],[Nom Almacen]]&amp;Detalle_OC[[#This Row],[Material]]&amp;Detalle_OC[[#This Row],[Pedido]]&amp;Detalle_OC[[#This Row],[Posicion]]</f>
        <v>Agricola del Chira PlantaMontelima813224550002233870</v>
      </c>
      <c r="B3499" t="s">
        <v>28</v>
      </c>
      <c r="C3499" t="s">
        <v>84</v>
      </c>
      <c r="D3499" s="11">
        <v>45128</v>
      </c>
      <c r="E3499" t="s">
        <v>16</v>
      </c>
      <c r="F3499" t="s">
        <v>12</v>
      </c>
      <c r="G3499">
        <v>813224</v>
      </c>
      <c r="H3499">
        <v>5500022338</v>
      </c>
      <c r="I3499">
        <v>70</v>
      </c>
      <c r="J3499" s="29">
        <v>1</v>
      </c>
      <c r="K3499" s="29" t="s">
        <v>496</v>
      </c>
      <c r="L3499" t="str">
        <f>IFERROR(VLOOKUP(Detalle_OC[[#This Row],[Centro]]&amp;Detalle_OC[[#This Row],[Nro Almacen]],Almacen!A:D,4,FALSE),"")</f>
        <v>Montelima</v>
      </c>
    </row>
    <row r="3500" spans="1:12" x14ac:dyDescent="0.3">
      <c r="A3500" s="29" t="str">
        <f>Detalle_OC[[#This Row],[Centro]]&amp;Detalle_OC[[#This Row],[Nom Almacen]]&amp;Detalle_OC[[#This Row],[Material]]&amp;Detalle_OC[[#This Row],[Pedido]]&amp;Detalle_OC[[#This Row],[Posicion]]</f>
        <v>Agricola del Chira PlantaMontelima813224550002233870</v>
      </c>
      <c r="B3500" t="s">
        <v>28</v>
      </c>
      <c r="C3500" t="s">
        <v>84</v>
      </c>
      <c r="D3500" s="11">
        <v>45128</v>
      </c>
      <c r="E3500" t="s">
        <v>16</v>
      </c>
      <c r="F3500" t="s">
        <v>12</v>
      </c>
      <c r="G3500">
        <v>813224</v>
      </c>
      <c r="H3500">
        <v>5500022338</v>
      </c>
      <c r="I3500">
        <v>70</v>
      </c>
      <c r="J3500" s="29">
        <v>1</v>
      </c>
      <c r="K3500" s="29" t="s">
        <v>496</v>
      </c>
      <c r="L3500" t="str">
        <f>IFERROR(VLOOKUP(Detalle_OC[[#This Row],[Centro]]&amp;Detalle_OC[[#This Row],[Nro Almacen]],Almacen!A:D,4,FALSE),"")</f>
        <v>Montelima</v>
      </c>
    </row>
    <row r="3501" spans="1:12" x14ac:dyDescent="0.3">
      <c r="A3501" s="29" t="str">
        <f>Detalle_OC[[#This Row],[Centro]]&amp;Detalle_OC[[#This Row],[Nom Almacen]]&amp;Detalle_OC[[#This Row],[Material]]&amp;Detalle_OC[[#This Row],[Pedido]]&amp;Detalle_OC[[#This Row],[Posicion]]</f>
        <v>Agricola del Chira PlantaMontelima725201550001918830</v>
      </c>
      <c r="B3501" t="s">
        <v>28</v>
      </c>
      <c r="C3501" t="s">
        <v>82</v>
      </c>
      <c r="D3501" s="11">
        <v>45125</v>
      </c>
      <c r="E3501" t="s">
        <v>16</v>
      </c>
      <c r="F3501" t="s">
        <v>12</v>
      </c>
      <c r="G3501">
        <v>725201</v>
      </c>
      <c r="H3501">
        <v>5500019188</v>
      </c>
      <c r="I3501">
        <v>30</v>
      </c>
      <c r="J3501" s="29">
        <v>1</v>
      </c>
      <c r="K3501" s="29" t="s">
        <v>497</v>
      </c>
      <c r="L3501" t="str">
        <f>IFERROR(VLOOKUP(Detalle_OC[[#This Row],[Centro]]&amp;Detalle_OC[[#This Row],[Nro Almacen]],Almacen!A:D,4,FALSE),"")</f>
        <v>Montelima</v>
      </c>
    </row>
    <row r="3502" spans="1:12" x14ac:dyDescent="0.3">
      <c r="A3502" s="29" t="str">
        <f>Detalle_OC[[#This Row],[Centro]]&amp;Detalle_OC[[#This Row],[Nom Almacen]]&amp;Detalle_OC[[#This Row],[Material]]&amp;Detalle_OC[[#This Row],[Pedido]]&amp;Detalle_OC[[#This Row],[Posicion]]</f>
        <v>Agricola del Chira PlantaMontelima738241550001918880</v>
      </c>
      <c r="B3502" t="s">
        <v>28</v>
      </c>
      <c r="C3502" t="s">
        <v>82</v>
      </c>
      <c r="D3502" s="11">
        <v>45125</v>
      </c>
      <c r="E3502" t="s">
        <v>16</v>
      </c>
      <c r="F3502" t="s">
        <v>12</v>
      </c>
      <c r="G3502">
        <v>738241</v>
      </c>
      <c r="H3502">
        <v>5500019188</v>
      </c>
      <c r="I3502">
        <v>80</v>
      </c>
      <c r="J3502" s="29">
        <v>1</v>
      </c>
      <c r="K3502" s="29" t="s">
        <v>497</v>
      </c>
      <c r="L3502" t="str">
        <f>IFERROR(VLOOKUP(Detalle_OC[[#This Row],[Centro]]&amp;Detalle_OC[[#This Row],[Nro Almacen]],Almacen!A:D,4,FALSE),"")</f>
        <v>Montelima</v>
      </c>
    </row>
    <row r="3503" spans="1:12" x14ac:dyDescent="0.3">
      <c r="A3503" s="29" t="str">
        <f>Detalle_OC[[#This Row],[Centro]]&amp;Detalle_OC[[#This Row],[Nom Almacen]]&amp;Detalle_OC[[#This Row],[Material]]&amp;Detalle_OC[[#This Row],[Pedido]]&amp;Detalle_OC[[#This Row],[Posicion]]</f>
        <v>Agricola del Chira PlantaMontelima738241550001918880</v>
      </c>
      <c r="B3503" t="s">
        <v>28</v>
      </c>
      <c r="C3503" t="s">
        <v>82</v>
      </c>
      <c r="D3503" s="11">
        <v>45125</v>
      </c>
      <c r="E3503" t="s">
        <v>16</v>
      </c>
      <c r="F3503" t="s">
        <v>12</v>
      </c>
      <c r="G3503">
        <v>738241</v>
      </c>
      <c r="H3503">
        <v>5500019188</v>
      </c>
      <c r="I3503">
        <v>80</v>
      </c>
      <c r="J3503" s="29">
        <v>1</v>
      </c>
      <c r="K3503" s="29" t="s">
        <v>497</v>
      </c>
      <c r="L3503" t="str">
        <f>IFERROR(VLOOKUP(Detalle_OC[[#This Row],[Centro]]&amp;Detalle_OC[[#This Row],[Nro Almacen]],Almacen!A:D,4,FALSE),"")</f>
        <v>Montelima</v>
      </c>
    </row>
    <row r="3504" spans="1:12" x14ac:dyDescent="0.3">
      <c r="A3504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3504" t="s">
        <v>28</v>
      </c>
      <c r="C3504" t="s">
        <v>82</v>
      </c>
      <c r="D3504" s="11">
        <v>45125</v>
      </c>
      <c r="E3504" t="s">
        <v>16</v>
      </c>
      <c r="F3504" t="s">
        <v>12</v>
      </c>
      <c r="G3504">
        <v>844523</v>
      </c>
      <c r="H3504">
        <v>5500019188</v>
      </c>
      <c r="I3504">
        <v>140</v>
      </c>
      <c r="J3504" s="29">
        <v>1</v>
      </c>
      <c r="K3504" s="29" t="s">
        <v>497</v>
      </c>
      <c r="L3504" t="str">
        <f>IFERROR(VLOOKUP(Detalle_OC[[#This Row],[Centro]]&amp;Detalle_OC[[#This Row],[Nro Almacen]],Almacen!A:D,4,FALSE),"")</f>
        <v>Montelima</v>
      </c>
    </row>
    <row r="3505" spans="1:12" x14ac:dyDescent="0.3">
      <c r="A3505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3505" t="s">
        <v>28</v>
      </c>
      <c r="C3505" t="s">
        <v>82</v>
      </c>
      <c r="D3505" s="11">
        <v>45125</v>
      </c>
      <c r="E3505" t="s">
        <v>16</v>
      </c>
      <c r="F3505" t="s">
        <v>12</v>
      </c>
      <c r="G3505">
        <v>844522</v>
      </c>
      <c r="H3505">
        <v>5500019188</v>
      </c>
      <c r="I3505">
        <v>150</v>
      </c>
      <c r="J3505" s="29">
        <v>1</v>
      </c>
      <c r="K3505" s="29" t="s">
        <v>497</v>
      </c>
      <c r="L3505" t="str">
        <f>IFERROR(VLOOKUP(Detalle_OC[[#This Row],[Centro]]&amp;Detalle_OC[[#This Row],[Nro Almacen]],Almacen!A:D,4,FALSE),"")</f>
        <v>Montelima</v>
      </c>
    </row>
    <row r="3506" spans="1:12" x14ac:dyDescent="0.3">
      <c r="A3506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3506" t="s">
        <v>28</v>
      </c>
      <c r="C3506" t="s">
        <v>82</v>
      </c>
      <c r="D3506" s="11">
        <v>45125</v>
      </c>
      <c r="E3506" t="s">
        <v>16</v>
      </c>
      <c r="F3506" t="s">
        <v>12</v>
      </c>
      <c r="G3506">
        <v>844522</v>
      </c>
      <c r="H3506">
        <v>5500019188</v>
      </c>
      <c r="I3506">
        <v>150</v>
      </c>
      <c r="J3506" s="29">
        <v>1</v>
      </c>
      <c r="K3506" s="29" t="s">
        <v>497</v>
      </c>
      <c r="L3506" t="str">
        <f>IFERROR(VLOOKUP(Detalle_OC[[#This Row],[Centro]]&amp;Detalle_OC[[#This Row],[Nro Almacen]],Almacen!A:D,4,FALSE),"")</f>
        <v>Montelima</v>
      </c>
    </row>
    <row r="3507" spans="1:12" x14ac:dyDescent="0.3">
      <c r="A3507" s="29" t="str">
        <f>Detalle_OC[[#This Row],[Centro]]&amp;Detalle_OC[[#This Row],[Nom Almacen]]&amp;Detalle_OC[[#This Row],[Material]]&amp;Detalle_OC[[#This Row],[Pedido]]&amp;Detalle_OC[[#This Row],[Posicion]]</f>
        <v>Agricola del Chira PlantaMontelima8445245500019188210</v>
      </c>
      <c r="B3507" t="s">
        <v>28</v>
      </c>
      <c r="C3507" t="s">
        <v>82</v>
      </c>
      <c r="D3507" s="11">
        <v>45125</v>
      </c>
      <c r="E3507" t="s">
        <v>16</v>
      </c>
      <c r="F3507" t="s">
        <v>12</v>
      </c>
      <c r="G3507">
        <v>844524</v>
      </c>
      <c r="H3507">
        <v>5500019188</v>
      </c>
      <c r="I3507">
        <v>210</v>
      </c>
      <c r="J3507" s="29">
        <v>1</v>
      </c>
      <c r="K3507" s="29" t="s">
        <v>497</v>
      </c>
      <c r="L3507" t="str">
        <f>IFERROR(VLOOKUP(Detalle_OC[[#This Row],[Centro]]&amp;Detalle_OC[[#This Row],[Nro Almacen]],Almacen!A:D,4,FALSE),"")</f>
        <v>Montelima</v>
      </c>
    </row>
    <row r="3508" spans="1:12" x14ac:dyDescent="0.3">
      <c r="A3508" s="29" t="str">
        <f>Detalle_OC[[#This Row],[Centro]]&amp;Detalle_OC[[#This Row],[Nom Almacen]]&amp;Detalle_OC[[#This Row],[Material]]&amp;Detalle_OC[[#This Row],[Pedido]]&amp;Detalle_OC[[#This Row],[Posicion]]</f>
        <v>Agricola del Chira PlantaMontelima8445245500019188210</v>
      </c>
      <c r="B3508" t="s">
        <v>28</v>
      </c>
      <c r="C3508" t="s">
        <v>82</v>
      </c>
      <c r="D3508" s="11">
        <v>45125</v>
      </c>
      <c r="E3508" t="s">
        <v>16</v>
      </c>
      <c r="F3508" t="s">
        <v>12</v>
      </c>
      <c r="G3508">
        <v>844524</v>
      </c>
      <c r="H3508">
        <v>5500019188</v>
      </c>
      <c r="I3508">
        <v>210</v>
      </c>
      <c r="J3508" s="29">
        <v>1</v>
      </c>
      <c r="K3508" s="29" t="s">
        <v>497</v>
      </c>
      <c r="L3508" t="str">
        <f>IFERROR(VLOOKUP(Detalle_OC[[#This Row],[Centro]]&amp;Detalle_OC[[#This Row],[Nro Almacen]],Almacen!A:D,4,FALSE),"")</f>
        <v>Montelima</v>
      </c>
    </row>
    <row r="3509" spans="1:12" x14ac:dyDescent="0.3">
      <c r="A3509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3509" t="s">
        <v>28</v>
      </c>
      <c r="C3509" t="s">
        <v>82</v>
      </c>
      <c r="D3509" s="11">
        <v>45125</v>
      </c>
      <c r="E3509" t="s">
        <v>16</v>
      </c>
      <c r="F3509" t="s">
        <v>12</v>
      </c>
      <c r="G3509">
        <v>844508</v>
      </c>
      <c r="H3509">
        <v>5500019188</v>
      </c>
      <c r="I3509">
        <v>220</v>
      </c>
      <c r="J3509" s="29">
        <v>1</v>
      </c>
      <c r="K3509" s="29" t="s">
        <v>497</v>
      </c>
      <c r="L3509" t="str">
        <f>IFERROR(VLOOKUP(Detalle_OC[[#This Row],[Centro]]&amp;Detalle_OC[[#This Row],[Nro Almacen]],Almacen!A:D,4,FALSE),"")</f>
        <v>Montelima</v>
      </c>
    </row>
    <row r="3510" spans="1:12" x14ac:dyDescent="0.3">
      <c r="A3510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3510" t="s">
        <v>28</v>
      </c>
      <c r="C3510" t="s">
        <v>82</v>
      </c>
      <c r="D3510" s="11">
        <v>45125</v>
      </c>
      <c r="E3510" t="s">
        <v>16</v>
      </c>
      <c r="F3510" t="s">
        <v>12</v>
      </c>
      <c r="G3510">
        <v>844508</v>
      </c>
      <c r="H3510">
        <v>5500019188</v>
      </c>
      <c r="I3510">
        <v>220</v>
      </c>
      <c r="J3510" s="29">
        <v>1</v>
      </c>
      <c r="K3510" s="29" t="s">
        <v>497</v>
      </c>
      <c r="L3510" t="str">
        <f>IFERROR(VLOOKUP(Detalle_OC[[#This Row],[Centro]]&amp;Detalle_OC[[#This Row],[Nro Almacen]],Almacen!A:D,4,FALSE),"")</f>
        <v>Montelima</v>
      </c>
    </row>
    <row r="3511" spans="1:12" x14ac:dyDescent="0.3">
      <c r="A3511" s="29" t="str">
        <f>Detalle_OC[[#This Row],[Centro]]&amp;Detalle_OC[[#This Row],[Nom Almacen]]&amp;Detalle_OC[[#This Row],[Material]]&amp;Detalle_OC[[#This Row],[Pedido]]&amp;Detalle_OC[[#This Row],[Posicion]]</f>
        <v>Agricola del Chira PlantaMontelima8445365500019188330</v>
      </c>
      <c r="B3511" t="s">
        <v>28</v>
      </c>
      <c r="C3511" t="s">
        <v>82</v>
      </c>
      <c r="D3511" s="11">
        <v>45125</v>
      </c>
      <c r="E3511" t="s">
        <v>16</v>
      </c>
      <c r="F3511" t="s">
        <v>12</v>
      </c>
      <c r="G3511">
        <v>844536</v>
      </c>
      <c r="H3511">
        <v>5500019188</v>
      </c>
      <c r="I3511">
        <v>330</v>
      </c>
      <c r="J3511" s="29">
        <v>1</v>
      </c>
      <c r="K3511" s="29" t="s">
        <v>497</v>
      </c>
      <c r="L3511" t="str">
        <f>IFERROR(VLOOKUP(Detalle_OC[[#This Row],[Centro]]&amp;Detalle_OC[[#This Row],[Nro Almacen]],Almacen!A:D,4,FALSE),"")</f>
        <v>Montelima</v>
      </c>
    </row>
    <row r="3512" spans="1:12" x14ac:dyDescent="0.3">
      <c r="A3512" s="29" t="str">
        <f>Detalle_OC[[#This Row],[Centro]]&amp;Detalle_OC[[#This Row],[Nom Almacen]]&amp;Detalle_OC[[#This Row],[Material]]&amp;Detalle_OC[[#This Row],[Pedido]]&amp;Detalle_OC[[#This Row],[Posicion]]</f>
        <v>Agricola del Chira PlantaMontelima8445365500019188330</v>
      </c>
      <c r="B3512" t="s">
        <v>28</v>
      </c>
      <c r="C3512" t="s">
        <v>82</v>
      </c>
      <c r="D3512" s="11">
        <v>45125</v>
      </c>
      <c r="E3512" t="s">
        <v>16</v>
      </c>
      <c r="F3512" t="s">
        <v>12</v>
      </c>
      <c r="G3512">
        <v>844536</v>
      </c>
      <c r="H3512">
        <v>5500019188</v>
      </c>
      <c r="I3512">
        <v>330</v>
      </c>
      <c r="J3512" s="29">
        <v>1</v>
      </c>
      <c r="K3512" s="29" t="s">
        <v>497</v>
      </c>
      <c r="L3512" t="str">
        <f>IFERROR(VLOOKUP(Detalle_OC[[#This Row],[Centro]]&amp;Detalle_OC[[#This Row],[Nro Almacen]],Almacen!A:D,4,FALSE),"")</f>
        <v>Montelima</v>
      </c>
    </row>
    <row r="3513" spans="1:12" x14ac:dyDescent="0.3">
      <c r="A3513" s="29" t="str">
        <f>Detalle_OC[[#This Row],[Centro]]&amp;Detalle_OC[[#This Row],[Nom Almacen]]&amp;Detalle_OC[[#This Row],[Material]]&amp;Detalle_OC[[#This Row],[Pedido]]&amp;Detalle_OC[[#This Row],[Posicion]]</f>
        <v>Agricola del Chira PlantaMontelima8453145500019188640</v>
      </c>
      <c r="B3513" t="s">
        <v>28</v>
      </c>
      <c r="C3513" t="s">
        <v>82</v>
      </c>
      <c r="D3513" s="11">
        <v>45125</v>
      </c>
      <c r="E3513" t="s">
        <v>16</v>
      </c>
      <c r="F3513" t="s">
        <v>12</v>
      </c>
      <c r="G3513">
        <v>845314</v>
      </c>
      <c r="H3513">
        <v>5500019188</v>
      </c>
      <c r="I3513">
        <v>640</v>
      </c>
      <c r="J3513" s="29">
        <v>1</v>
      </c>
      <c r="K3513" s="29" t="s">
        <v>497</v>
      </c>
      <c r="L3513" t="str">
        <f>IFERROR(VLOOKUP(Detalle_OC[[#This Row],[Centro]]&amp;Detalle_OC[[#This Row],[Nro Almacen]],Almacen!A:D,4,FALSE),"")</f>
        <v>Montelima</v>
      </c>
    </row>
    <row r="3514" spans="1:12" x14ac:dyDescent="0.3">
      <c r="A3514" s="29" t="str">
        <f>Detalle_OC[[#This Row],[Centro]]&amp;Detalle_OC[[#This Row],[Nom Almacen]]&amp;Detalle_OC[[#This Row],[Material]]&amp;Detalle_OC[[#This Row],[Pedido]]&amp;Detalle_OC[[#This Row],[Posicion]]</f>
        <v>Agricola del Chira PlantaMontelima82639855000191881160</v>
      </c>
      <c r="B3514" t="s">
        <v>28</v>
      </c>
      <c r="C3514" t="s">
        <v>82</v>
      </c>
      <c r="D3514" s="11">
        <v>45125</v>
      </c>
      <c r="E3514" t="s">
        <v>16</v>
      </c>
      <c r="F3514" t="s">
        <v>12</v>
      </c>
      <c r="G3514">
        <v>826398</v>
      </c>
      <c r="H3514">
        <v>5500019188</v>
      </c>
      <c r="I3514">
        <v>1160</v>
      </c>
      <c r="J3514" s="29">
        <v>1</v>
      </c>
      <c r="K3514" s="29" t="s">
        <v>497</v>
      </c>
      <c r="L3514" t="str">
        <f>IFERROR(VLOOKUP(Detalle_OC[[#This Row],[Centro]]&amp;Detalle_OC[[#This Row],[Nro Almacen]],Almacen!A:D,4,FALSE),"")</f>
        <v>Montelima</v>
      </c>
    </row>
    <row r="3515" spans="1:12" x14ac:dyDescent="0.3">
      <c r="A3515" s="29" t="str">
        <f>Detalle_OC[[#This Row],[Centro]]&amp;Detalle_OC[[#This Row],[Nom Almacen]]&amp;Detalle_OC[[#This Row],[Material]]&amp;Detalle_OC[[#This Row],[Pedido]]&amp;Detalle_OC[[#This Row],[Posicion]]</f>
        <v>Agricola del Chira PlantaMontelima83082755000191881170</v>
      </c>
      <c r="B3515" t="s">
        <v>28</v>
      </c>
      <c r="C3515" t="s">
        <v>82</v>
      </c>
      <c r="D3515" s="11">
        <v>45125</v>
      </c>
      <c r="E3515" t="s">
        <v>16</v>
      </c>
      <c r="F3515" t="s">
        <v>12</v>
      </c>
      <c r="G3515">
        <v>830827</v>
      </c>
      <c r="H3515">
        <v>5500019188</v>
      </c>
      <c r="I3515">
        <v>1170</v>
      </c>
      <c r="J3515" s="29">
        <v>1</v>
      </c>
      <c r="K3515" s="29" t="s">
        <v>497</v>
      </c>
      <c r="L3515" t="str">
        <f>IFERROR(VLOOKUP(Detalle_OC[[#This Row],[Centro]]&amp;Detalle_OC[[#This Row],[Nro Almacen]],Almacen!A:D,4,FALSE),"")</f>
        <v>Montelima</v>
      </c>
    </row>
    <row r="3516" spans="1:12" x14ac:dyDescent="0.3">
      <c r="A3516" s="29" t="str">
        <f>Detalle_OC[[#This Row],[Centro]]&amp;Detalle_OC[[#This Row],[Nom Almacen]]&amp;Detalle_OC[[#This Row],[Material]]&amp;Detalle_OC[[#This Row],[Pedido]]&amp;Detalle_OC[[#This Row],[Posicion]]</f>
        <v>Agricola del Chira PlantaMontelima83507655000191881340</v>
      </c>
      <c r="B3516" t="s">
        <v>28</v>
      </c>
      <c r="C3516" t="s">
        <v>82</v>
      </c>
      <c r="D3516" s="11">
        <v>45125</v>
      </c>
      <c r="E3516" t="s">
        <v>16</v>
      </c>
      <c r="F3516" t="s">
        <v>12</v>
      </c>
      <c r="G3516">
        <v>835076</v>
      </c>
      <c r="H3516">
        <v>5500019188</v>
      </c>
      <c r="I3516">
        <v>1340</v>
      </c>
      <c r="J3516" s="29">
        <v>1</v>
      </c>
      <c r="K3516" s="29" t="s">
        <v>497</v>
      </c>
      <c r="L3516" t="str">
        <f>IFERROR(VLOOKUP(Detalle_OC[[#This Row],[Centro]]&amp;Detalle_OC[[#This Row],[Nro Almacen]],Almacen!A:D,4,FALSE),"")</f>
        <v>Montelima</v>
      </c>
    </row>
    <row r="3517" spans="1:12" x14ac:dyDescent="0.3">
      <c r="A3517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3517" t="s">
        <v>28</v>
      </c>
      <c r="C3517" t="s">
        <v>84</v>
      </c>
      <c r="D3517" s="11">
        <v>45112</v>
      </c>
      <c r="E3517" t="s">
        <v>16</v>
      </c>
      <c r="F3517" t="s">
        <v>12</v>
      </c>
      <c r="G3517">
        <v>801846</v>
      </c>
      <c r="H3517">
        <v>5500022338</v>
      </c>
      <c r="I3517">
        <v>40</v>
      </c>
      <c r="J3517" s="29">
        <v>1</v>
      </c>
      <c r="K3517" s="29" t="s">
        <v>498</v>
      </c>
      <c r="L3517" t="str">
        <f>IFERROR(VLOOKUP(Detalle_OC[[#This Row],[Centro]]&amp;Detalle_OC[[#This Row],[Nro Almacen]],Almacen!A:D,4,FALSE),"")</f>
        <v>Montelima</v>
      </c>
    </row>
    <row r="3518" spans="1:12" x14ac:dyDescent="0.3">
      <c r="A3518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3518" t="s">
        <v>28</v>
      </c>
      <c r="C3518" t="s">
        <v>84</v>
      </c>
      <c r="D3518" s="11">
        <v>45112</v>
      </c>
      <c r="E3518" t="s">
        <v>16</v>
      </c>
      <c r="F3518" t="s">
        <v>12</v>
      </c>
      <c r="G3518">
        <v>801846</v>
      </c>
      <c r="H3518">
        <v>5500022338</v>
      </c>
      <c r="I3518">
        <v>40</v>
      </c>
      <c r="J3518" s="29">
        <v>1</v>
      </c>
      <c r="K3518" s="29" t="s">
        <v>498</v>
      </c>
      <c r="L3518" t="str">
        <f>IFERROR(VLOOKUP(Detalle_OC[[#This Row],[Centro]]&amp;Detalle_OC[[#This Row],[Nro Almacen]],Almacen!A:D,4,FALSE),"")</f>
        <v>Montelima</v>
      </c>
    </row>
    <row r="3519" spans="1:12" x14ac:dyDescent="0.3">
      <c r="A3519" s="29" t="str">
        <f>Detalle_OC[[#This Row],[Centro]]&amp;Detalle_OC[[#This Row],[Nom Almacen]]&amp;Detalle_OC[[#This Row],[Material]]&amp;Detalle_OC[[#This Row],[Pedido]]&amp;Detalle_OC[[#This Row],[Posicion]]</f>
        <v>Agricola del Chira PlantaMontelima761905550001918810</v>
      </c>
      <c r="B3519" t="s">
        <v>28</v>
      </c>
      <c r="C3519" t="s">
        <v>82</v>
      </c>
      <c r="D3519" s="11">
        <v>45105</v>
      </c>
      <c r="E3519" t="s">
        <v>16</v>
      </c>
      <c r="F3519" t="s">
        <v>12</v>
      </c>
      <c r="G3519">
        <v>761905</v>
      </c>
      <c r="H3519">
        <v>5500019188</v>
      </c>
      <c r="I3519">
        <v>10</v>
      </c>
      <c r="J3519" s="29">
        <v>1</v>
      </c>
      <c r="K3519" s="29" t="s">
        <v>499</v>
      </c>
      <c r="L3519" t="str">
        <f>IFERROR(VLOOKUP(Detalle_OC[[#This Row],[Centro]]&amp;Detalle_OC[[#This Row],[Nro Almacen]],Almacen!A:D,4,FALSE),"")</f>
        <v>Montelima</v>
      </c>
    </row>
    <row r="3520" spans="1:12" x14ac:dyDescent="0.3">
      <c r="A3520" s="29" t="str">
        <f>Detalle_OC[[#This Row],[Centro]]&amp;Detalle_OC[[#This Row],[Nom Almacen]]&amp;Detalle_OC[[#This Row],[Material]]&amp;Detalle_OC[[#This Row],[Pedido]]&amp;Detalle_OC[[#This Row],[Posicion]]</f>
        <v>Agricola del Chira PlantaMontelima761905550001918810</v>
      </c>
      <c r="B3520" t="s">
        <v>28</v>
      </c>
      <c r="C3520" t="s">
        <v>82</v>
      </c>
      <c r="D3520" s="11">
        <v>45105</v>
      </c>
      <c r="E3520" t="s">
        <v>16</v>
      </c>
      <c r="F3520" t="s">
        <v>12</v>
      </c>
      <c r="G3520">
        <v>761905</v>
      </c>
      <c r="H3520">
        <v>5500019188</v>
      </c>
      <c r="I3520">
        <v>10</v>
      </c>
      <c r="J3520" s="29">
        <v>1</v>
      </c>
      <c r="K3520" s="29" t="s">
        <v>499</v>
      </c>
      <c r="L3520" t="str">
        <f>IFERROR(VLOOKUP(Detalle_OC[[#This Row],[Centro]]&amp;Detalle_OC[[#This Row],[Nro Almacen]],Almacen!A:D,4,FALSE),"")</f>
        <v>Montelima</v>
      </c>
    </row>
    <row r="3521" spans="1:12" x14ac:dyDescent="0.3">
      <c r="A3521" s="29" t="str">
        <f>Detalle_OC[[#This Row],[Centro]]&amp;Detalle_OC[[#This Row],[Nom Almacen]]&amp;Detalle_OC[[#This Row],[Material]]&amp;Detalle_OC[[#This Row],[Pedido]]&amp;Detalle_OC[[#This Row],[Posicion]]</f>
        <v>Agricola del Chira PlantaMontelima7382475500019188100</v>
      </c>
      <c r="B3521" t="s">
        <v>28</v>
      </c>
      <c r="C3521" t="s">
        <v>82</v>
      </c>
      <c r="D3521" s="11">
        <v>45105</v>
      </c>
      <c r="E3521" t="s">
        <v>16</v>
      </c>
      <c r="F3521" t="s">
        <v>12</v>
      </c>
      <c r="G3521">
        <v>738247</v>
      </c>
      <c r="H3521">
        <v>5500019188</v>
      </c>
      <c r="I3521">
        <v>100</v>
      </c>
      <c r="J3521" s="29">
        <v>1</v>
      </c>
      <c r="K3521" s="29" t="s">
        <v>499</v>
      </c>
      <c r="L3521" t="str">
        <f>IFERROR(VLOOKUP(Detalle_OC[[#This Row],[Centro]]&amp;Detalle_OC[[#This Row],[Nro Almacen]],Almacen!A:D,4,FALSE),"")</f>
        <v>Montelima</v>
      </c>
    </row>
    <row r="3522" spans="1:12" x14ac:dyDescent="0.3">
      <c r="A3522" s="29" t="str">
        <f>Detalle_OC[[#This Row],[Centro]]&amp;Detalle_OC[[#This Row],[Nom Almacen]]&amp;Detalle_OC[[#This Row],[Material]]&amp;Detalle_OC[[#This Row],[Pedido]]&amp;Detalle_OC[[#This Row],[Posicion]]</f>
        <v>Agricola del Chira PlantaMontelima7382475500019188100</v>
      </c>
      <c r="B3522" t="s">
        <v>28</v>
      </c>
      <c r="C3522" t="s">
        <v>82</v>
      </c>
      <c r="D3522" s="11">
        <v>45105</v>
      </c>
      <c r="E3522" t="s">
        <v>16</v>
      </c>
      <c r="F3522" t="s">
        <v>12</v>
      </c>
      <c r="G3522">
        <v>738247</v>
      </c>
      <c r="H3522">
        <v>5500019188</v>
      </c>
      <c r="I3522">
        <v>100</v>
      </c>
      <c r="J3522" s="29">
        <v>1</v>
      </c>
      <c r="K3522" s="29" t="s">
        <v>499</v>
      </c>
      <c r="L3522" t="str">
        <f>IFERROR(VLOOKUP(Detalle_OC[[#This Row],[Centro]]&amp;Detalle_OC[[#This Row],[Nro Almacen]],Almacen!A:D,4,FALSE),"")</f>
        <v>Montelima</v>
      </c>
    </row>
    <row r="3523" spans="1:12" x14ac:dyDescent="0.3">
      <c r="A3523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3523" t="s">
        <v>28</v>
      </c>
      <c r="C3523" t="s">
        <v>82</v>
      </c>
      <c r="D3523" s="11">
        <v>45105</v>
      </c>
      <c r="E3523" t="s">
        <v>16</v>
      </c>
      <c r="F3523" t="s">
        <v>12</v>
      </c>
      <c r="G3523">
        <v>844523</v>
      </c>
      <c r="H3523">
        <v>5500019188</v>
      </c>
      <c r="I3523">
        <v>140</v>
      </c>
      <c r="J3523" s="29">
        <v>1</v>
      </c>
      <c r="K3523" s="29" t="s">
        <v>499</v>
      </c>
      <c r="L3523" t="str">
        <f>IFERROR(VLOOKUP(Detalle_OC[[#This Row],[Centro]]&amp;Detalle_OC[[#This Row],[Nro Almacen]],Almacen!A:D,4,FALSE),"")</f>
        <v>Montelima</v>
      </c>
    </row>
    <row r="3524" spans="1:12" x14ac:dyDescent="0.3">
      <c r="A3524" s="29" t="str">
        <f>Detalle_OC[[#This Row],[Centro]]&amp;Detalle_OC[[#This Row],[Nom Almacen]]&amp;Detalle_OC[[#This Row],[Material]]&amp;Detalle_OC[[#This Row],[Pedido]]&amp;Detalle_OC[[#This Row],[Posicion]]</f>
        <v>Agricola del Chira PlantaMontelima8445335500019188170</v>
      </c>
      <c r="B3524" t="s">
        <v>28</v>
      </c>
      <c r="C3524" t="s">
        <v>82</v>
      </c>
      <c r="D3524" s="11">
        <v>45105</v>
      </c>
      <c r="E3524" t="s">
        <v>16</v>
      </c>
      <c r="F3524" t="s">
        <v>12</v>
      </c>
      <c r="G3524">
        <v>844533</v>
      </c>
      <c r="H3524">
        <v>5500019188</v>
      </c>
      <c r="I3524">
        <v>170</v>
      </c>
      <c r="J3524" s="29">
        <v>1</v>
      </c>
      <c r="K3524" s="29" t="s">
        <v>499</v>
      </c>
      <c r="L3524" t="str">
        <f>IFERROR(VLOOKUP(Detalle_OC[[#This Row],[Centro]]&amp;Detalle_OC[[#This Row],[Nro Almacen]],Almacen!A:D,4,FALSE),"")</f>
        <v>Montelima</v>
      </c>
    </row>
    <row r="3525" spans="1:12" x14ac:dyDescent="0.3">
      <c r="A3525" s="29" t="str">
        <f>Detalle_OC[[#This Row],[Centro]]&amp;Detalle_OC[[#This Row],[Nom Almacen]]&amp;Detalle_OC[[#This Row],[Material]]&amp;Detalle_OC[[#This Row],[Pedido]]&amp;Detalle_OC[[#This Row],[Posicion]]</f>
        <v>Agricola del Chira PlantaMontelima8445335500019188170</v>
      </c>
      <c r="B3525" t="s">
        <v>28</v>
      </c>
      <c r="C3525" t="s">
        <v>82</v>
      </c>
      <c r="D3525" s="11">
        <v>45105</v>
      </c>
      <c r="E3525" t="s">
        <v>16</v>
      </c>
      <c r="F3525" t="s">
        <v>12</v>
      </c>
      <c r="G3525">
        <v>844533</v>
      </c>
      <c r="H3525">
        <v>5500019188</v>
      </c>
      <c r="I3525">
        <v>170</v>
      </c>
      <c r="J3525" s="29">
        <v>1</v>
      </c>
      <c r="K3525" s="29" t="s">
        <v>499</v>
      </c>
      <c r="L3525" t="str">
        <f>IFERROR(VLOOKUP(Detalle_OC[[#This Row],[Centro]]&amp;Detalle_OC[[#This Row],[Nro Almacen]],Almacen!A:D,4,FALSE),"")</f>
        <v>Montelima</v>
      </c>
    </row>
    <row r="3526" spans="1:12" x14ac:dyDescent="0.3">
      <c r="A3526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3526" t="s">
        <v>28</v>
      </c>
      <c r="C3526" t="s">
        <v>82</v>
      </c>
      <c r="D3526" s="11">
        <v>45105</v>
      </c>
      <c r="E3526" t="s">
        <v>16</v>
      </c>
      <c r="F3526" t="s">
        <v>12</v>
      </c>
      <c r="G3526">
        <v>844516</v>
      </c>
      <c r="H3526">
        <v>5500019188</v>
      </c>
      <c r="I3526">
        <v>190</v>
      </c>
      <c r="J3526" s="29">
        <v>1</v>
      </c>
      <c r="K3526" s="29" t="s">
        <v>499</v>
      </c>
      <c r="L3526" t="str">
        <f>IFERROR(VLOOKUP(Detalle_OC[[#This Row],[Centro]]&amp;Detalle_OC[[#This Row],[Nro Almacen]],Almacen!A:D,4,FALSE),"")</f>
        <v>Montelima</v>
      </c>
    </row>
    <row r="3527" spans="1:12" x14ac:dyDescent="0.3">
      <c r="A3527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3527" t="s">
        <v>28</v>
      </c>
      <c r="C3527" t="s">
        <v>82</v>
      </c>
      <c r="D3527" s="11">
        <v>45105</v>
      </c>
      <c r="E3527" t="s">
        <v>16</v>
      </c>
      <c r="F3527" t="s">
        <v>12</v>
      </c>
      <c r="G3527">
        <v>844516</v>
      </c>
      <c r="H3527">
        <v>5500019188</v>
      </c>
      <c r="I3527">
        <v>190</v>
      </c>
      <c r="J3527" s="29">
        <v>1</v>
      </c>
      <c r="K3527" s="29" t="s">
        <v>499</v>
      </c>
      <c r="L3527" t="str">
        <f>IFERROR(VLOOKUP(Detalle_OC[[#This Row],[Centro]]&amp;Detalle_OC[[#This Row],[Nro Almacen]],Almacen!A:D,4,FALSE),"")</f>
        <v>Montelima</v>
      </c>
    </row>
    <row r="3528" spans="1:12" x14ac:dyDescent="0.3">
      <c r="A3528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3528" t="s">
        <v>28</v>
      </c>
      <c r="C3528" t="s">
        <v>82</v>
      </c>
      <c r="D3528" s="11">
        <v>45105</v>
      </c>
      <c r="E3528" t="s">
        <v>16</v>
      </c>
      <c r="F3528" t="s">
        <v>12</v>
      </c>
      <c r="G3528">
        <v>844516</v>
      </c>
      <c r="H3528">
        <v>5500019188</v>
      </c>
      <c r="I3528">
        <v>190</v>
      </c>
      <c r="J3528" s="29">
        <v>1</v>
      </c>
      <c r="K3528" s="29" t="s">
        <v>499</v>
      </c>
      <c r="L3528" t="str">
        <f>IFERROR(VLOOKUP(Detalle_OC[[#This Row],[Centro]]&amp;Detalle_OC[[#This Row],[Nro Almacen]],Almacen!A:D,4,FALSE),"")</f>
        <v>Montelima</v>
      </c>
    </row>
    <row r="3529" spans="1:12" x14ac:dyDescent="0.3">
      <c r="A3529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3529" t="s">
        <v>28</v>
      </c>
      <c r="C3529" t="s">
        <v>82</v>
      </c>
      <c r="D3529" s="11">
        <v>45105</v>
      </c>
      <c r="E3529" t="s">
        <v>16</v>
      </c>
      <c r="F3529" t="s">
        <v>12</v>
      </c>
      <c r="G3529">
        <v>844516</v>
      </c>
      <c r="H3529">
        <v>5500019188</v>
      </c>
      <c r="I3529">
        <v>190</v>
      </c>
      <c r="J3529" s="29">
        <v>1</v>
      </c>
      <c r="K3529" s="29" t="s">
        <v>499</v>
      </c>
      <c r="L3529" t="str">
        <f>IFERROR(VLOOKUP(Detalle_OC[[#This Row],[Centro]]&amp;Detalle_OC[[#This Row],[Nro Almacen]],Almacen!A:D,4,FALSE),"")</f>
        <v>Montelima</v>
      </c>
    </row>
    <row r="3530" spans="1:12" x14ac:dyDescent="0.3">
      <c r="A3530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3530" t="s">
        <v>28</v>
      </c>
      <c r="C3530" t="s">
        <v>82</v>
      </c>
      <c r="D3530" s="11">
        <v>45105</v>
      </c>
      <c r="E3530" t="s">
        <v>16</v>
      </c>
      <c r="F3530" t="s">
        <v>12</v>
      </c>
      <c r="G3530">
        <v>844515</v>
      </c>
      <c r="H3530">
        <v>5500019188</v>
      </c>
      <c r="I3530">
        <v>200</v>
      </c>
      <c r="J3530" s="29">
        <v>1</v>
      </c>
      <c r="K3530" s="29" t="s">
        <v>499</v>
      </c>
      <c r="L3530" t="str">
        <f>IFERROR(VLOOKUP(Detalle_OC[[#This Row],[Centro]]&amp;Detalle_OC[[#This Row],[Nro Almacen]],Almacen!A:D,4,FALSE),"")</f>
        <v>Montelima</v>
      </c>
    </row>
    <row r="3531" spans="1:12" x14ac:dyDescent="0.3">
      <c r="A3531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3531" t="s">
        <v>28</v>
      </c>
      <c r="C3531" t="s">
        <v>82</v>
      </c>
      <c r="D3531" s="11">
        <v>45105</v>
      </c>
      <c r="E3531" t="s">
        <v>16</v>
      </c>
      <c r="F3531" t="s">
        <v>12</v>
      </c>
      <c r="G3531">
        <v>844515</v>
      </c>
      <c r="H3531">
        <v>5500019188</v>
      </c>
      <c r="I3531">
        <v>200</v>
      </c>
      <c r="J3531" s="29">
        <v>1</v>
      </c>
      <c r="K3531" s="29" t="s">
        <v>499</v>
      </c>
      <c r="L3531" t="str">
        <f>IFERROR(VLOOKUP(Detalle_OC[[#This Row],[Centro]]&amp;Detalle_OC[[#This Row],[Nro Almacen]],Almacen!A:D,4,FALSE),"")</f>
        <v>Montelima</v>
      </c>
    </row>
    <row r="3532" spans="1:12" x14ac:dyDescent="0.3">
      <c r="A3532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3532" t="s">
        <v>28</v>
      </c>
      <c r="C3532" t="s">
        <v>82</v>
      </c>
      <c r="D3532" s="11">
        <v>45105</v>
      </c>
      <c r="E3532" t="s">
        <v>16</v>
      </c>
      <c r="F3532" t="s">
        <v>12</v>
      </c>
      <c r="G3532">
        <v>844508</v>
      </c>
      <c r="H3532">
        <v>5500019188</v>
      </c>
      <c r="I3532">
        <v>220</v>
      </c>
      <c r="J3532" s="29">
        <v>1</v>
      </c>
      <c r="K3532" s="29" t="s">
        <v>499</v>
      </c>
      <c r="L3532" t="str">
        <f>IFERROR(VLOOKUP(Detalle_OC[[#This Row],[Centro]]&amp;Detalle_OC[[#This Row],[Nro Almacen]],Almacen!A:D,4,FALSE),"")</f>
        <v>Montelima</v>
      </c>
    </row>
    <row r="3533" spans="1:12" x14ac:dyDescent="0.3">
      <c r="A3533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3533" t="s">
        <v>28</v>
      </c>
      <c r="C3533" t="s">
        <v>82</v>
      </c>
      <c r="D3533" s="11">
        <v>45121</v>
      </c>
      <c r="E3533" t="s">
        <v>16</v>
      </c>
      <c r="F3533" t="s">
        <v>12</v>
      </c>
      <c r="G3533">
        <v>844508</v>
      </c>
      <c r="H3533">
        <v>5500019188</v>
      </c>
      <c r="I3533">
        <v>220</v>
      </c>
      <c r="J3533" s="29">
        <v>1</v>
      </c>
      <c r="K3533" s="29" t="s">
        <v>499</v>
      </c>
      <c r="L3533" t="str">
        <f>IFERROR(VLOOKUP(Detalle_OC[[#This Row],[Centro]]&amp;Detalle_OC[[#This Row],[Nro Almacen]],Almacen!A:D,4,FALSE),"")</f>
        <v>Montelima</v>
      </c>
    </row>
    <row r="3534" spans="1:12" x14ac:dyDescent="0.3">
      <c r="A3534" s="29" t="str">
        <f>Detalle_OC[[#This Row],[Centro]]&amp;Detalle_OC[[#This Row],[Nom Almacen]]&amp;Detalle_OC[[#This Row],[Material]]&amp;Detalle_OC[[#This Row],[Pedido]]&amp;Detalle_OC[[#This Row],[Posicion]]</f>
        <v>Agricola del Chira PlantaMontelima8445405500019188230</v>
      </c>
      <c r="B3534" t="s">
        <v>28</v>
      </c>
      <c r="C3534" t="s">
        <v>82</v>
      </c>
      <c r="D3534" s="11">
        <v>45105</v>
      </c>
      <c r="E3534" t="s">
        <v>16</v>
      </c>
      <c r="F3534" t="s">
        <v>12</v>
      </c>
      <c r="G3534">
        <v>844540</v>
      </c>
      <c r="H3534">
        <v>5500019188</v>
      </c>
      <c r="I3534">
        <v>230</v>
      </c>
      <c r="J3534" s="29">
        <v>1</v>
      </c>
      <c r="K3534" s="29" t="s">
        <v>499</v>
      </c>
      <c r="L3534" t="str">
        <f>IFERROR(VLOOKUP(Detalle_OC[[#This Row],[Centro]]&amp;Detalle_OC[[#This Row],[Nro Almacen]],Almacen!A:D,4,FALSE),"")</f>
        <v>Montelima</v>
      </c>
    </row>
    <row r="3535" spans="1:12" x14ac:dyDescent="0.3">
      <c r="A3535" s="29" t="str">
        <f>Detalle_OC[[#This Row],[Centro]]&amp;Detalle_OC[[#This Row],[Nom Almacen]]&amp;Detalle_OC[[#This Row],[Material]]&amp;Detalle_OC[[#This Row],[Pedido]]&amp;Detalle_OC[[#This Row],[Posicion]]</f>
        <v>Agricola del Chira PlantaMontelima8445405500019188230</v>
      </c>
      <c r="B3535" t="s">
        <v>28</v>
      </c>
      <c r="C3535" t="s">
        <v>82</v>
      </c>
      <c r="D3535" s="11">
        <v>45105</v>
      </c>
      <c r="E3535" t="s">
        <v>16</v>
      </c>
      <c r="F3535" t="s">
        <v>12</v>
      </c>
      <c r="G3535">
        <v>844540</v>
      </c>
      <c r="H3535">
        <v>5500019188</v>
      </c>
      <c r="I3535">
        <v>230</v>
      </c>
      <c r="J3535" s="29">
        <v>1</v>
      </c>
      <c r="K3535" s="29" t="s">
        <v>499</v>
      </c>
      <c r="L3535" t="str">
        <f>IFERROR(VLOOKUP(Detalle_OC[[#This Row],[Centro]]&amp;Detalle_OC[[#This Row],[Nro Almacen]],Almacen!A:D,4,FALSE),"")</f>
        <v>Montelima</v>
      </c>
    </row>
    <row r="3536" spans="1:12" x14ac:dyDescent="0.3">
      <c r="A3536" s="29" t="str">
        <f>Detalle_OC[[#This Row],[Centro]]&amp;Detalle_OC[[#This Row],[Nom Almacen]]&amp;Detalle_OC[[#This Row],[Material]]&amp;Detalle_OC[[#This Row],[Pedido]]&amp;Detalle_OC[[#This Row],[Posicion]]</f>
        <v>Agricola del Chira PlantaMontelima8445095500019188260</v>
      </c>
      <c r="B3536" t="s">
        <v>28</v>
      </c>
      <c r="C3536" t="s">
        <v>82</v>
      </c>
      <c r="D3536" s="11">
        <v>45105</v>
      </c>
      <c r="E3536" t="s">
        <v>16</v>
      </c>
      <c r="F3536" t="s">
        <v>12</v>
      </c>
      <c r="G3536">
        <v>844509</v>
      </c>
      <c r="H3536">
        <v>5500019188</v>
      </c>
      <c r="I3536">
        <v>260</v>
      </c>
      <c r="J3536" s="29">
        <v>1</v>
      </c>
      <c r="K3536" s="29" t="s">
        <v>499</v>
      </c>
      <c r="L3536" t="str">
        <f>IFERROR(VLOOKUP(Detalle_OC[[#This Row],[Centro]]&amp;Detalle_OC[[#This Row],[Nro Almacen]],Almacen!A:D,4,FALSE),"")</f>
        <v>Montelima</v>
      </c>
    </row>
    <row r="3537" spans="1:12" x14ac:dyDescent="0.3">
      <c r="A3537" s="29" t="str">
        <f>Detalle_OC[[#This Row],[Centro]]&amp;Detalle_OC[[#This Row],[Nom Almacen]]&amp;Detalle_OC[[#This Row],[Material]]&amp;Detalle_OC[[#This Row],[Pedido]]&amp;Detalle_OC[[#This Row],[Posicion]]</f>
        <v>Agricola del Chira PlantaMontelima8445185500019188270</v>
      </c>
      <c r="B3537" t="s">
        <v>28</v>
      </c>
      <c r="C3537" t="s">
        <v>82</v>
      </c>
      <c r="D3537" s="11">
        <v>45105</v>
      </c>
      <c r="E3537" t="s">
        <v>16</v>
      </c>
      <c r="F3537" t="s">
        <v>12</v>
      </c>
      <c r="G3537">
        <v>844518</v>
      </c>
      <c r="H3537">
        <v>5500019188</v>
      </c>
      <c r="I3537">
        <v>270</v>
      </c>
      <c r="J3537" s="29">
        <v>1</v>
      </c>
      <c r="K3537" s="29" t="s">
        <v>499</v>
      </c>
      <c r="L3537" t="str">
        <f>IFERROR(VLOOKUP(Detalle_OC[[#This Row],[Centro]]&amp;Detalle_OC[[#This Row],[Nro Almacen]],Almacen!A:D,4,FALSE),"")</f>
        <v>Montelima</v>
      </c>
    </row>
    <row r="3538" spans="1:12" x14ac:dyDescent="0.3">
      <c r="A3538" s="29" t="str">
        <f>Detalle_OC[[#This Row],[Centro]]&amp;Detalle_OC[[#This Row],[Nom Almacen]]&amp;Detalle_OC[[#This Row],[Material]]&amp;Detalle_OC[[#This Row],[Pedido]]&amp;Detalle_OC[[#This Row],[Posicion]]</f>
        <v>Agricola del Chira PlantaMontelima8445185500019188270</v>
      </c>
      <c r="B3538" t="s">
        <v>28</v>
      </c>
      <c r="C3538" t="s">
        <v>82</v>
      </c>
      <c r="D3538" s="11">
        <v>45105</v>
      </c>
      <c r="E3538" t="s">
        <v>16</v>
      </c>
      <c r="F3538" t="s">
        <v>12</v>
      </c>
      <c r="G3538">
        <v>844518</v>
      </c>
      <c r="H3538">
        <v>5500019188</v>
      </c>
      <c r="I3538">
        <v>270</v>
      </c>
      <c r="J3538" s="29">
        <v>1</v>
      </c>
      <c r="K3538" s="29" t="s">
        <v>499</v>
      </c>
      <c r="L3538" t="str">
        <f>IFERROR(VLOOKUP(Detalle_OC[[#This Row],[Centro]]&amp;Detalle_OC[[#This Row],[Nro Almacen]],Almacen!A:D,4,FALSE),"")</f>
        <v>Montelima</v>
      </c>
    </row>
    <row r="3539" spans="1:12" x14ac:dyDescent="0.3">
      <c r="A3539" s="29" t="str">
        <f>Detalle_OC[[#This Row],[Centro]]&amp;Detalle_OC[[#This Row],[Nom Almacen]]&amp;Detalle_OC[[#This Row],[Material]]&amp;Detalle_OC[[#This Row],[Pedido]]&amp;Detalle_OC[[#This Row],[Posicion]]</f>
        <v>Agricola del Chira PlantaMontelima8445175500019188340</v>
      </c>
      <c r="B3539" t="s">
        <v>28</v>
      </c>
      <c r="C3539" t="s">
        <v>82</v>
      </c>
      <c r="D3539" s="11">
        <v>45105</v>
      </c>
      <c r="E3539" t="s">
        <v>16</v>
      </c>
      <c r="F3539" t="s">
        <v>12</v>
      </c>
      <c r="G3539">
        <v>844517</v>
      </c>
      <c r="H3539">
        <v>5500019188</v>
      </c>
      <c r="I3539">
        <v>340</v>
      </c>
      <c r="J3539" s="29">
        <v>1</v>
      </c>
      <c r="K3539" s="29" t="s">
        <v>499</v>
      </c>
      <c r="L3539" t="str">
        <f>IFERROR(VLOOKUP(Detalle_OC[[#This Row],[Centro]]&amp;Detalle_OC[[#This Row],[Nro Almacen]],Almacen!A:D,4,FALSE),"")</f>
        <v>Montelima</v>
      </c>
    </row>
    <row r="3540" spans="1:12" x14ac:dyDescent="0.3">
      <c r="A3540" s="29" t="str">
        <f>Detalle_OC[[#This Row],[Centro]]&amp;Detalle_OC[[#This Row],[Nom Almacen]]&amp;Detalle_OC[[#This Row],[Material]]&amp;Detalle_OC[[#This Row],[Pedido]]&amp;Detalle_OC[[#This Row],[Posicion]]</f>
        <v>Agricola del Chira PlantaMontelima8445175500019188340</v>
      </c>
      <c r="B3540" t="s">
        <v>28</v>
      </c>
      <c r="C3540" t="s">
        <v>82</v>
      </c>
      <c r="D3540" s="11">
        <v>45105</v>
      </c>
      <c r="E3540" t="s">
        <v>16</v>
      </c>
      <c r="F3540" t="s">
        <v>12</v>
      </c>
      <c r="G3540">
        <v>844517</v>
      </c>
      <c r="H3540">
        <v>5500019188</v>
      </c>
      <c r="I3540">
        <v>340</v>
      </c>
      <c r="J3540" s="29">
        <v>1</v>
      </c>
      <c r="K3540" s="29" t="s">
        <v>499</v>
      </c>
      <c r="L3540" t="str">
        <f>IFERROR(VLOOKUP(Detalle_OC[[#This Row],[Centro]]&amp;Detalle_OC[[#This Row],[Nro Almacen]],Almacen!A:D,4,FALSE),"")</f>
        <v>Montelima</v>
      </c>
    </row>
    <row r="3541" spans="1:12" x14ac:dyDescent="0.3">
      <c r="A3541" s="29" t="str">
        <f>Detalle_OC[[#This Row],[Centro]]&amp;Detalle_OC[[#This Row],[Nom Almacen]]&amp;Detalle_OC[[#This Row],[Material]]&amp;Detalle_OC[[#This Row],[Pedido]]&amp;Detalle_OC[[#This Row],[Posicion]]</f>
        <v>Agricola del Chira PlantaMontelima8445035500019188370</v>
      </c>
      <c r="B3541" t="s">
        <v>28</v>
      </c>
      <c r="C3541" t="s">
        <v>82</v>
      </c>
      <c r="D3541" s="11">
        <v>45105</v>
      </c>
      <c r="E3541" t="s">
        <v>16</v>
      </c>
      <c r="F3541" t="s">
        <v>12</v>
      </c>
      <c r="G3541">
        <v>844503</v>
      </c>
      <c r="H3541">
        <v>5500019188</v>
      </c>
      <c r="I3541">
        <v>370</v>
      </c>
      <c r="J3541" s="29">
        <v>1</v>
      </c>
      <c r="K3541" s="29" t="s">
        <v>499</v>
      </c>
      <c r="L3541" t="str">
        <f>IFERROR(VLOOKUP(Detalle_OC[[#This Row],[Centro]]&amp;Detalle_OC[[#This Row],[Nro Almacen]],Almacen!A:D,4,FALSE),"")</f>
        <v>Montelima</v>
      </c>
    </row>
    <row r="3542" spans="1:12" x14ac:dyDescent="0.3">
      <c r="A3542" s="29" t="str">
        <f>Detalle_OC[[#This Row],[Centro]]&amp;Detalle_OC[[#This Row],[Nom Almacen]]&amp;Detalle_OC[[#This Row],[Material]]&amp;Detalle_OC[[#This Row],[Pedido]]&amp;Detalle_OC[[#This Row],[Posicion]]</f>
        <v>Agricola del Chira PlantaMontelima8445035500019188370</v>
      </c>
      <c r="B3542" t="s">
        <v>28</v>
      </c>
      <c r="C3542" t="s">
        <v>82</v>
      </c>
      <c r="D3542" s="11">
        <v>45105</v>
      </c>
      <c r="E3542" t="s">
        <v>16</v>
      </c>
      <c r="F3542" t="s">
        <v>12</v>
      </c>
      <c r="G3542">
        <v>844503</v>
      </c>
      <c r="H3542">
        <v>5500019188</v>
      </c>
      <c r="I3542">
        <v>370</v>
      </c>
      <c r="J3542" s="29">
        <v>1</v>
      </c>
      <c r="K3542" s="29" t="s">
        <v>499</v>
      </c>
      <c r="L3542" t="str">
        <f>IFERROR(VLOOKUP(Detalle_OC[[#This Row],[Centro]]&amp;Detalle_OC[[#This Row],[Nro Almacen]],Almacen!A:D,4,FALSE),"")</f>
        <v>Montelima</v>
      </c>
    </row>
    <row r="3543" spans="1:12" x14ac:dyDescent="0.3">
      <c r="A3543" s="29" t="str">
        <f>Detalle_OC[[#This Row],[Centro]]&amp;Detalle_OC[[#This Row],[Nom Almacen]]&amp;Detalle_OC[[#This Row],[Material]]&amp;Detalle_OC[[#This Row],[Pedido]]&amp;Detalle_OC[[#This Row],[Posicion]]</f>
        <v>Agricola del Chira PlantaMontelima8445215500019188410</v>
      </c>
      <c r="B3543" t="s">
        <v>28</v>
      </c>
      <c r="C3543" t="s">
        <v>82</v>
      </c>
      <c r="D3543" s="11">
        <v>45105</v>
      </c>
      <c r="E3543" t="s">
        <v>16</v>
      </c>
      <c r="F3543" t="s">
        <v>12</v>
      </c>
      <c r="G3543">
        <v>844521</v>
      </c>
      <c r="H3543">
        <v>5500019188</v>
      </c>
      <c r="I3543">
        <v>410</v>
      </c>
      <c r="J3543" s="29">
        <v>1</v>
      </c>
      <c r="K3543" s="29" t="s">
        <v>499</v>
      </c>
      <c r="L3543" t="str">
        <f>IFERROR(VLOOKUP(Detalle_OC[[#This Row],[Centro]]&amp;Detalle_OC[[#This Row],[Nro Almacen]],Almacen!A:D,4,FALSE),"")</f>
        <v>Montelima</v>
      </c>
    </row>
    <row r="3544" spans="1:12" x14ac:dyDescent="0.3">
      <c r="A3544" s="29" t="str">
        <f>Detalle_OC[[#This Row],[Centro]]&amp;Detalle_OC[[#This Row],[Nom Almacen]]&amp;Detalle_OC[[#This Row],[Material]]&amp;Detalle_OC[[#This Row],[Pedido]]&amp;Detalle_OC[[#This Row],[Posicion]]</f>
        <v>Agricola del Chira PlantaMontelima8445215500019188410</v>
      </c>
      <c r="B3544" t="s">
        <v>28</v>
      </c>
      <c r="C3544" t="s">
        <v>82</v>
      </c>
      <c r="D3544" s="11">
        <v>45105</v>
      </c>
      <c r="E3544" t="s">
        <v>16</v>
      </c>
      <c r="F3544" t="s">
        <v>12</v>
      </c>
      <c r="G3544">
        <v>844521</v>
      </c>
      <c r="H3544">
        <v>5500019188</v>
      </c>
      <c r="I3544">
        <v>410</v>
      </c>
      <c r="J3544" s="29">
        <v>1</v>
      </c>
      <c r="K3544" s="29" t="s">
        <v>499</v>
      </c>
      <c r="L3544" t="str">
        <f>IFERROR(VLOOKUP(Detalle_OC[[#This Row],[Centro]]&amp;Detalle_OC[[#This Row],[Nro Almacen]],Almacen!A:D,4,FALSE),"")</f>
        <v>Montelima</v>
      </c>
    </row>
    <row r="3545" spans="1:12" x14ac:dyDescent="0.3">
      <c r="A3545" s="29" t="str">
        <f>Detalle_OC[[#This Row],[Centro]]&amp;Detalle_OC[[#This Row],[Nom Almacen]]&amp;Detalle_OC[[#This Row],[Material]]&amp;Detalle_OC[[#This Row],[Pedido]]&amp;Detalle_OC[[#This Row],[Posicion]]</f>
        <v>Agricola del Chira PlantaMontelima8445325500019188440</v>
      </c>
      <c r="B3545" t="s">
        <v>28</v>
      </c>
      <c r="C3545" t="s">
        <v>82</v>
      </c>
      <c r="D3545" s="11">
        <v>45105</v>
      </c>
      <c r="E3545" t="s">
        <v>16</v>
      </c>
      <c r="F3545" t="s">
        <v>12</v>
      </c>
      <c r="G3545">
        <v>844532</v>
      </c>
      <c r="H3545">
        <v>5500019188</v>
      </c>
      <c r="I3545">
        <v>440</v>
      </c>
      <c r="J3545" s="29">
        <v>1</v>
      </c>
      <c r="K3545" s="29" t="s">
        <v>499</v>
      </c>
      <c r="L3545" t="str">
        <f>IFERROR(VLOOKUP(Detalle_OC[[#This Row],[Centro]]&amp;Detalle_OC[[#This Row],[Nro Almacen]],Almacen!A:D,4,FALSE),"")</f>
        <v>Montelima</v>
      </c>
    </row>
    <row r="3546" spans="1:12" x14ac:dyDescent="0.3">
      <c r="A3546" s="29" t="str">
        <f>Detalle_OC[[#This Row],[Centro]]&amp;Detalle_OC[[#This Row],[Nom Almacen]]&amp;Detalle_OC[[#This Row],[Material]]&amp;Detalle_OC[[#This Row],[Pedido]]&amp;Detalle_OC[[#This Row],[Posicion]]</f>
        <v>Agricola del Chira PlantaMontelima8445325500019188440</v>
      </c>
      <c r="B3546" t="s">
        <v>28</v>
      </c>
      <c r="C3546" t="s">
        <v>82</v>
      </c>
      <c r="D3546" s="11">
        <v>45105</v>
      </c>
      <c r="E3546" t="s">
        <v>16</v>
      </c>
      <c r="F3546" t="s">
        <v>12</v>
      </c>
      <c r="G3546">
        <v>844532</v>
      </c>
      <c r="H3546">
        <v>5500019188</v>
      </c>
      <c r="I3546">
        <v>440</v>
      </c>
      <c r="J3546" s="29">
        <v>1</v>
      </c>
      <c r="K3546" s="29" t="s">
        <v>499</v>
      </c>
      <c r="L3546" t="str">
        <f>IFERROR(VLOOKUP(Detalle_OC[[#This Row],[Centro]]&amp;Detalle_OC[[#This Row],[Nro Almacen]],Almacen!A:D,4,FALSE),"")</f>
        <v>Montelima</v>
      </c>
    </row>
    <row r="3547" spans="1:12" x14ac:dyDescent="0.3">
      <c r="A3547" s="29" t="str">
        <f>Detalle_OC[[#This Row],[Centro]]&amp;Detalle_OC[[#This Row],[Nom Almacen]]&amp;Detalle_OC[[#This Row],[Material]]&amp;Detalle_OC[[#This Row],[Pedido]]&amp;Detalle_OC[[#This Row],[Posicion]]</f>
        <v>Agricola del Chira PlantaMontelima8506365500019188510</v>
      </c>
      <c r="B3547" t="s">
        <v>28</v>
      </c>
      <c r="C3547" t="s">
        <v>82</v>
      </c>
      <c r="D3547" s="11">
        <v>45105</v>
      </c>
      <c r="E3547" t="s">
        <v>16</v>
      </c>
      <c r="F3547" t="s">
        <v>12</v>
      </c>
      <c r="G3547">
        <v>850636</v>
      </c>
      <c r="H3547">
        <v>5500019188</v>
      </c>
      <c r="I3547">
        <v>510</v>
      </c>
      <c r="J3547" s="29">
        <v>1</v>
      </c>
      <c r="K3547" s="29" t="s">
        <v>499</v>
      </c>
      <c r="L3547" t="str">
        <f>IFERROR(VLOOKUP(Detalle_OC[[#This Row],[Centro]]&amp;Detalle_OC[[#This Row],[Nro Almacen]],Almacen!A:D,4,FALSE),"")</f>
        <v>Montelima</v>
      </c>
    </row>
    <row r="3548" spans="1:12" x14ac:dyDescent="0.3">
      <c r="A3548" s="29" t="str">
        <f>Detalle_OC[[#This Row],[Centro]]&amp;Detalle_OC[[#This Row],[Nom Almacen]]&amp;Detalle_OC[[#This Row],[Material]]&amp;Detalle_OC[[#This Row],[Pedido]]&amp;Detalle_OC[[#This Row],[Posicion]]</f>
        <v>Agricola del Chira PlantaMontelima8506365500019188510</v>
      </c>
      <c r="B3548" t="s">
        <v>28</v>
      </c>
      <c r="C3548" t="s">
        <v>82</v>
      </c>
      <c r="D3548" s="11">
        <v>45105</v>
      </c>
      <c r="E3548" t="s">
        <v>16</v>
      </c>
      <c r="F3548" t="s">
        <v>12</v>
      </c>
      <c r="G3548">
        <v>850636</v>
      </c>
      <c r="H3548">
        <v>5500019188</v>
      </c>
      <c r="I3548">
        <v>510</v>
      </c>
      <c r="J3548" s="29">
        <v>1</v>
      </c>
      <c r="K3548" s="29" t="s">
        <v>499</v>
      </c>
      <c r="L3548" t="str">
        <f>IFERROR(VLOOKUP(Detalle_OC[[#This Row],[Centro]]&amp;Detalle_OC[[#This Row],[Nro Almacen]],Almacen!A:D,4,FALSE),"")</f>
        <v>Montelima</v>
      </c>
    </row>
    <row r="3549" spans="1:12" x14ac:dyDescent="0.3">
      <c r="A3549" s="29" t="str">
        <f>Detalle_OC[[#This Row],[Centro]]&amp;Detalle_OC[[#This Row],[Nom Almacen]]&amp;Detalle_OC[[#This Row],[Material]]&amp;Detalle_OC[[#This Row],[Pedido]]&amp;Detalle_OC[[#This Row],[Posicion]]</f>
        <v>Agricola del Chira PlantaMontelima8496185500019188830</v>
      </c>
      <c r="B3549" t="s">
        <v>28</v>
      </c>
      <c r="C3549" t="s">
        <v>82</v>
      </c>
      <c r="D3549" s="11">
        <v>45105</v>
      </c>
      <c r="E3549" t="s">
        <v>16</v>
      </c>
      <c r="F3549" t="s">
        <v>12</v>
      </c>
      <c r="G3549">
        <v>849618</v>
      </c>
      <c r="H3549">
        <v>5500019188</v>
      </c>
      <c r="I3549">
        <v>830</v>
      </c>
      <c r="J3549" s="29">
        <v>1</v>
      </c>
      <c r="K3549" s="29" t="s">
        <v>499</v>
      </c>
      <c r="L3549" t="str">
        <f>IFERROR(VLOOKUP(Detalle_OC[[#This Row],[Centro]]&amp;Detalle_OC[[#This Row],[Nro Almacen]],Almacen!A:D,4,FALSE),"")</f>
        <v>Montelima</v>
      </c>
    </row>
    <row r="3550" spans="1:12" x14ac:dyDescent="0.3">
      <c r="A3550" s="29" t="str">
        <f>Detalle_OC[[#This Row],[Centro]]&amp;Detalle_OC[[#This Row],[Nom Almacen]]&amp;Detalle_OC[[#This Row],[Material]]&amp;Detalle_OC[[#This Row],[Pedido]]&amp;Detalle_OC[[#This Row],[Posicion]]</f>
        <v>Agricola del Chira PlantaMontelima8496185500019188830</v>
      </c>
      <c r="B3550" t="s">
        <v>28</v>
      </c>
      <c r="C3550" t="s">
        <v>82</v>
      </c>
      <c r="D3550" s="11">
        <v>45105</v>
      </c>
      <c r="E3550" t="s">
        <v>16</v>
      </c>
      <c r="F3550" t="s">
        <v>12</v>
      </c>
      <c r="G3550">
        <v>849618</v>
      </c>
      <c r="H3550">
        <v>5500019188</v>
      </c>
      <c r="I3550">
        <v>830</v>
      </c>
      <c r="J3550" s="29">
        <v>1</v>
      </c>
      <c r="K3550" s="29" t="s">
        <v>499</v>
      </c>
      <c r="L3550" t="str">
        <f>IFERROR(VLOOKUP(Detalle_OC[[#This Row],[Centro]]&amp;Detalle_OC[[#This Row],[Nro Almacen]],Almacen!A:D,4,FALSE),"")</f>
        <v>Montelima</v>
      </c>
    </row>
    <row r="3551" spans="1:12" x14ac:dyDescent="0.3">
      <c r="A3551" s="29" t="str">
        <f>Detalle_OC[[#This Row],[Centro]]&amp;Detalle_OC[[#This Row],[Nom Almacen]]&amp;Detalle_OC[[#This Row],[Material]]&amp;Detalle_OC[[#This Row],[Pedido]]&amp;Detalle_OC[[#This Row],[Posicion]]</f>
        <v>Agricola del Chira PlantaMontelima7002962855000191881530</v>
      </c>
      <c r="B3551" t="s">
        <v>28</v>
      </c>
      <c r="C3551" t="s">
        <v>82</v>
      </c>
      <c r="D3551" s="11">
        <v>45105</v>
      </c>
      <c r="E3551" t="s">
        <v>16</v>
      </c>
      <c r="F3551" t="s">
        <v>12</v>
      </c>
      <c r="G3551">
        <v>70029628</v>
      </c>
      <c r="H3551">
        <v>5500019188</v>
      </c>
      <c r="I3551">
        <v>1530</v>
      </c>
      <c r="J3551" s="29">
        <v>1</v>
      </c>
      <c r="K3551" s="29" t="s">
        <v>499</v>
      </c>
      <c r="L3551" t="str">
        <f>IFERROR(VLOOKUP(Detalle_OC[[#This Row],[Centro]]&amp;Detalle_OC[[#This Row],[Nro Almacen]],Almacen!A:D,4,FALSE),"")</f>
        <v>Montelima</v>
      </c>
    </row>
    <row r="3552" spans="1:12" x14ac:dyDescent="0.3">
      <c r="A3552" s="29" t="str">
        <f>Detalle_OC[[#This Row],[Centro]]&amp;Detalle_OC[[#This Row],[Nom Almacen]]&amp;Detalle_OC[[#This Row],[Material]]&amp;Detalle_OC[[#This Row],[Pedido]]&amp;Detalle_OC[[#This Row],[Posicion]]</f>
        <v>Agricola del Chira PlantaMontelima7002962855000191881530</v>
      </c>
      <c r="B3552" t="s">
        <v>28</v>
      </c>
      <c r="C3552" t="s">
        <v>82</v>
      </c>
      <c r="D3552" s="11">
        <v>45105</v>
      </c>
      <c r="E3552" t="s">
        <v>16</v>
      </c>
      <c r="F3552" t="s">
        <v>12</v>
      </c>
      <c r="G3552">
        <v>70029628</v>
      </c>
      <c r="H3552">
        <v>5500019188</v>
      </c>
      <c r="I3552">
        <v>1530</v>
      </c>
      <c r="J3552" s="29">
        <v>1</v>
      </c>
      <c r="K3552" s="29" t="s">
        <v>499</v>
      </c>
      <c r="L3552" t="str">
        <f>IFERROR(VLOOKUP(Detalle_OC[[#This Row],[Centro]]&amp;Detalle_OC[[#This Row],[Nro Almacen]],Almacen!A:D,4,FALSE),"")</f>
        <v>Montelima</v>
      </c>
    </row>
    <row r="3553" spans="1:12" x14ac:dyDescent="0.3">
      <c r="A3553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3553" t="s">
        <v>28</v>
      </c>
      <c r="C3553" t="s">
        <v>84</v>
      </c>
      <c r="D3553" s="11">
        <v>45087</v>
      </c>
      <c r="E3553" t="s">
        <v>16</v>
      </c>
      <c r="F3553" t="s">
        <v>85</v>
      </c>
      <c r="G3553">
        <v>801846</v>
      </c>
      <c r="H3553">
        <v>5500022336</v>
      </c>
      <c r="I3553">
        <v>10</v>
      </c>
      <c r="J3553" s="29">
        <v>1</v>
      </c>
      <c r="K3553" s="29" t="s">
        <v>500</v>
      </c>
      <c r="L3553" t="str">
        <f>IFERROR(VLOOKUP(Detalle_OC[[#This Row],[Centro]]&amp;Detalle_OC[[#This Row],[Nro Almacen]],Almacen!A:D,4,FALSE),"")</f>
        <v>Montelima</v>
      </c>
    </row>
    <row r="3554" spans="1:12" x14ac:dyDescent="0.3">
      <c r="A3554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3554" t="s">
        <v>28</v>
      </c>
      <c r="C3554" t="s">
        <v>82</v>
      </c>
      <c r="D3554" s="11">
        <v>45083</v>
      </c>
      <c r="E3554" t="s">
        <v>16</v>
      </c>
      <c r="F3554" t="s">
        <v>12</v>
      </c>
      <c r="G3554">
        <v>844523</v>
      </c>
      <c r="H3554">
        <v>5500019188</v>
      </c>
      <c r="I3554">
        <v>140</v>
      </c>
      <c r="J3554" s="29">
        <v>1</v>
      </c>
      <c r="K3554" s="29" t="s">
        <v>501</v>
      </c>
      <c r="L3554" t="str">
        <f>IFERROR(VLOOKUP(Detalle_OC[[#This Row],[Centro]]&amp;Detalle_OC[[#This Row],[Nro Almacen]],Almacen!A:D,4,FALSE),"")</f>
        <v>Montelima</v>
      </c>
    </row>
    <row r="3555" spans="1:12" x14ac:dyDescent="0.3">
      <c r="A3555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3555" t="s">
        <v>28</v>
      </c>
      <c r="C3555" t="s">
        <v>82</v>
      </c>
      <c r="D3555" s="11">
        <v>45083</v>
      </c>
      <c r="E3555" t="s">
        <v>16</v>
      </c>
      <c r="F3555" t="s">
        <v>12</v>
      </c>
      <c r="G3555">
        <v>844522</v>
      </c>
      <c r="H3555">
        <v>5500019188</v>
      </c>
      <c r="I3555">
        <v>150</v>
      </c>
      <c r="J3555" s="29">
        <v>1</v>
      </c>
      <c r="K3555" s="29" t="s">
        <v>501</v>
      </c>
      <c r="L3555" t="str">
        <f>IFERROR(VLOOKUP(Detalle_OC[[#This Row],[Centro]]&amp;Detalle_OC[[#This Row],[Nro Almacen]],Almacen!A:D,4,FALSE),"")</f>
        <v>Montelima</v>
      </c>
    </row>
    <row r="3556" spans="1:12" x14ac:dyDescent="0.3">
      <c r="A3556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3556" t="s">
        <v>28</v>
      </c>
      <c r="C3556" t="s">
        <v>82</v>
      </c>
      <c r="D3556" s="11">
        <v>45083</v>
      </c>
      <c r="E3556" t="s">
        <v>16</v>
      </c>
      <c r="F3556" t="s">
        <v>12</v>
      </c>
      <c r="G3556">
        <v>844508</v>
      </c>
      <c r="H3556">
        <v>5500019188</v>
      </c>
      <c r="I3556">
        <v>220</v>
      </c>
      <c r="J3556" s="29">
        <v>1</v>
      </c>
      <c r="K3556" s="29" t="s">
        <v>501</v>
      </c>
      <c r="L3556" t="str">
        <f>IFERROR(VLOOKUP(Detalle_OC[[#This Row],[Centro]]&amp;Detalle_OC[[#This Row],[Nro Almacen]],Almacen!A:D,4,FALSE),"")</f>
        <v>Montelima</v>
      </c>
    </row>
    <row r="3557" spans="1:12" x14ac:dyDescent="0.3">
      <c r="A3557" s="29" t="str">
        <f>Detalle_OC[[#This Row],[Centro]]&amp;Detalle_OC[[#This Row],[Nom Almacen]]&amp;Detalle_OC[[#This Row],[Material]]&amp;Detalle_OC[[#This Row],[Pedido]]&amp;Detalle_OC[[#This Row],[Posicion]]</f>
        <v>Agricola del Chira PlantaMontelima8449175500019188240</v>
      </c>
      <c r="B3557" t="s">
        <v>28</v>
      </c>
      <c r="C3557" t="s">
        <v>82</v>
      </c>
      <c r="D3557" s="11">
        <v>45083</v>
      </c>
      <c r="E3557" t="s">
        <v>16</v>
      </c>
      <c r="F3557" t="s">
        <v>12</v>
      </c>
      <c r="G3557">
        <v>844917</v>
      </c>
      <c r="H3557">
        <v>5500019188</v>
      </c>
      <c r="I3557">
        <v>240</v>
      </c>
      <c r="J3557" s="29">
        <v>1</v>
      </c>
      <c r="K3557" s="29" t="s">
        <v>501</v>
      </c>
      <c r="L3557" t="str">
        <f>IFERROR(VLOOKUP(Detalle_OC[[#This Row],[Centro]]&amp;Detalle_OC[[#This Row],[Nro Almacen]],Almacen!A:D,4,FALSE),"")</f>
        <v>Montelima</v>
      </c>
    </row>
    <row r="3558" spans="1:12" x14ac:dyDescent="0.3">
      <c r="A3558" s="29" t="str">
        <f>Detalle_OC[[#This Row],[Centro]]&amp;Detalle_OC[[#This Row],[Nom Almacen]]&amp;Detalle_OC[[#This Row],[Material]]&amp;Detalle_OC[[#This Row],[Pedido]]&amp;Detalle_OC[[#This Row],[Posicion]]</f>
        <v>Agricola del Chira PlantaMontelima8443975500019188280</v>
      </c>
      <c r="B3558" t="s">
        <v>28</v>
      </c>
      <c r="C3558" t="s">
        <v>82</v>
      </c>
      <c r="D3558" s="11">
        <v>45083</v>
      </c>
      <c r="E3558" t="s">
        <v>16</v>
      </c>
      <c r="F3558" t="s">
        <v>12</v>
      </c>
      <c r="G3558">
        <v>844397</v>
      </c>
      <c r="H3558">
        <v>5500019188</v>
      </c>
      <c r="I3558">
        <v>280</v>
      </c>
      <c r="J3558" s="29">
        <v>1</v>
      </c>
      <c r="K3558" s="29" t="s">
        <v>501</v>
      </c>
      <c r="L3558" t="str">
        <f>IFERROR(VLOOKUP(Detalle_OC[[#This Row],[Centro]]&amp;Detalle_OC[[#This Row],[Nro Almacen]],Almacen!A:D,4,FALSE),"")</f>
        <v>Montelima</v>
      </c>
    </row>
    <row r="3559" spans="1:12" x14ac:dyDescent="0.3">
      <c r="A3559" s="29" t="str">
        <f>Detalle_OC[[#This Row],[Centro]]&amp;Detalle_OC[[#This Row],[Nom Almacen]]&amp;Detalle_OC[[#This Row],[Material]]&amp;Detalle_OC[[#This Row],[Pedido]]&amp;Detalle_OC[[#This Row],[Posicion]]</f>
        <v>Agricola del Chira PlantaMontelima8445035500019188370</v>
      </c>
      <c r="B3559" t="s">
        <v>28</v>
      </c>
      <c r="C3559" t="s">
        <v>82</v>
      </c>
      <c r="D3559" s="11">
        <v>45083</v>
      </c>
      <c r="E3559" t="s">
        <v>16</v>
      </c>
      <c r="F3559" t="s">
        <v>12</v>
      </c>
      <c r="G3559">
        <v>844503</v>
      </c>
      <c r="H3559">
        <v>5500019188</v>
      </c>
      <c r="I3559">
        <v>370</v>
      </c>
      <c r="J3559" s="29">
        <v>1</v>
      </c>
      <c r="K3559" s="29" t="s">
        <v>501</v>
      </c>
      <c r="L3559" t="str">
        <f>IFERROR(VLOOKUP(Detalle_OC[[#This Row],[Centro]]&amp;Detalle_OC[[#This Row],[Nro Almacen]],Almacen!A:D,4,FALSE),"")</f>
        <v>Montelima</v>
      </c>
    </row>
    <row r="3560" spans="1:12" x14ac:dyDescent="0.3">
      <c r="A3560" s="29" t="str">
        <f>Detalle_OC[[#This Row],[Centro]]&amp;Detalle_OC[[#This Row],[Nom Almacen]]&amp;Detalle_OC[[#This Row],[Material]]&amp;Detalle_OC[[#This Row],[Pedido]]&amp;Detalle_OC[[#This Row],[Posicion]]</f>
        <v>Agricola del Chira PlantaMontelima8445045500019188480</v>
      </c>
      <c r="B3560" t="s">
        <v>28</v>
      </c>
      <c r="C3560" t="s">
        <v>82</v>
      </c>
      <c r="D3560" s="11">
        <v>45083</v>
      </c>
      <c r="E3560" t="s">
        <v>16</v>
      </c>
      <c r="F3560" t="s">
        <v>12</v>
      </c>
      <c r="G3560">
        <v>844504</v>
      </c>
      <c r="H3560">
        <v>5500019188</v>
      </c>
      <c r="I3560">
        <v>480</v>
      </c>
      <c r="J3560" s="29">
        <v>1</v>
      </c>
      <c r="K3560" s="29" t="s">
        <v>501</v>
      </c>
      <c r="L3560" t="str">
        <f>IFERROR(VLOOKUP(Detalle_OC[[#This Row],[Centro]]&amp;Detalle_OC[[#This Row],[Nro Almacen]],Almacen!A:D,4,FALSE),"")</f>
        <v>Montelima</v>
      </c>
    </row>
    <row r="3561" spans="1:12" x14ac:dyDescent="0.3">
      <c r="A3561" s="29" t="str">
        <f>Detalle_OC[[#This Row],[Centro]]&amp;Detalle_OC[[#This Row],[Nom Almacen]]&amp;Detalle_OC[[#This Row],[Material]]&amp;Detalle_OC[[#This Row],[Pedido]]&amp;Detalle_OC[[#This Row],[Posicion]]</f>
        <v>Agricola del Chira PlantaMontelima8506365500019188510</v>
      </c>
      <c r="B3561" t="s">
        <v>28</v>
      </c>
      <c r="C3561" t="s">
        <v>82</v>
      </c>
      <c r="D3561" s="11">
        <v>45083</v>
      </c>
      <c r="E3561" t="s">
        <v>16</v>
      </c>
      <c r="F3561" t="s">
        <v>12</v>
      </c>
      <c r="G3561">
        <v>850636</v>
      </c>
      <c r="H3561">
        <v>5500019188</v>
      </c>
      <c r="I3561">
        <v>510</v>
      </c>
      <c r="J3561" s="29">
        <v>1</v>
      </c>
      <c r="K3561" s="29" t="s">
        <v>501</v>
      </c>
      <c r="L3561" t="str">
        <f>IFERROR(VLOOKUP(Detalle_OC[[#This Row],[Centro]]&amp;Detalle_OC[[#This Row],[Nro Almacen]],Almacen!A:D,4,FALSE),"")</f>
        <v>Montelima</v>
      </c>
    </row>
    <row r="3562" spans="1:12" x14ac:dyDescent="0.3">
      <c r="A3562" s="29" t="str">
        <f>Detalle_OC[[#This Row],[Centro]]&amp;Detalle_OC[[#This Row],[Nom Almacen]]&amp;Detalle_OC[[#This Row],[Material]]&amp;Detalle_OC[[#This Row],[Pedido]]&amp;Detalle_OC[[#This Row],[Posicion]]</f>
        <v>Agricola del Chira PlantaMontelima8445435500019188570</v>
      </c>
      <c r="B3562" t="s">
        <v>28</v>
      </c>
      <c r="C3562" t="s">
        <v>82</v>
      </c>
      <c r="D3562" s="11">
        <v>45083</v>
      </c>
      <c r="E3562" t="s">
        <v>16</v>
      </c>
      <c r="F3562" t="s">
        <v>12</v>
      </c>
      <c r="G3562">
        <v>844543</v>
      </c>
      <c r="H3562">
        <v>5500019188</v>
      </c>
      <c r="I3562">
        <v>570</v>
      </c>
      <c r="J3562" s="29">
        <v>1</v>
      </c>
      <c r="K3562" s="29" t="s">
        <v>501</v>
      </c>
      <c r="L3562" t="str">
        <f>IFERROR(VLOOKUP(Detalle_OC[[#This Row],[Centro]]&amp;Detalle_OC[[#This Row],[Nro Almacen]],Almacen!A:D,4,FALSE),"")</f>
        <v>Montelima</v>
      </c>
    </row>
    <row r="3563" spans="1:12" x14ac:dyDescent="0.3">
      <c r="A3563" s="29" t="str">
        <f>Detalle_OC[[#This Row],[Centro]]&amp;Detalle_OC[[#This Row],[Nom Almacen]]&amp;Detalle_OC[[#This Row],[Material]]&amp;Detalle_OC[[#This Row],[Pedido]]&amp;Detalle_OC[[#This Row],[Posicion]]</f>
        <v>Agricola del Chira PlantaMontelima8469355500019188700</v>
      </c>
      <c r="B3563" t="s">
        <v>28</v>
      </c>
      <c r="C3563" t="s">
        <v>82</v>
      </c>
      <c r="D3563" s="11">
        <v>45083</v>
      </c>
      <c r="E3563" t="s">
        <v>16</v>
      </c>
      <c r="F3563" t="s">
        <v>12</v>
      </c>
      <c r="G3563">
        <v>846935</v>
      </c>
      <c r="H3563">
        <v>5500019188</v>
      </c>
      <c r="I3563">
        <v>700</v>
      </c>
      <c r="J3563" s="29">
        <v>1</v>
      </c>
      <c r="K3563" s="29" t="s">
        <v>501</v>
      </c>
      <c r="L3563" t="str">
        <f>IFERROR(VLOOKUP(Detalle_OC[[#This Row],[Centro]]&amp;Detalle_OC[[#This Row],[Nro Almacen]],Almacen!A:D,4,FALSE),"")</f>
        <v>Montelima</v>
      </c>
    </row>
    <row r="3564" spans="1:12" x14ac:dyDescent="0.3">
      <c r="A3564" s="29" t="str">
        <f>Detalle_OC[[#This Row],[Centro]]&amp;Detalle_OC[[#This Row],[Nom Almacen]]&amp;Detalle_OC[[#This Row],[Material]]&amp;Detalle_OC[[#This Row],[Pedido]]&amp;Detalle_OC[[#This Row],[Posicion]]</f>
        <v>Agricola del Chira PlantaMontelima82719955000191881020</v>
      </c>
      <c r="B3564" t="s">
        <v>28</v>
      </c>
      <c r="C3564" t="s">
        <v>82</v>
      </c>
      <c r="D3564" s="11">
        <v>45083</v>
      </c>
      <c r="E3564" t="s">
        <v>16</v>
      </c>
      <c r="F3564" t="s">
        <v>12</v>
      </c>
      <c r="G3564">
        <v>827199</v>
      </c>
      <c r="H3564">
        <v>5500019188</v>
      </c>
      <c r="I3564">
        <v>1020</v>
      </c>
      <c r="J3564" s="29">
        <v>1</v>
      </c>
      <c r="K3564" s="29" t="s">
        <v>501</v>
      </c>
      <c r="L3564" t="str">
        <f>IFERROR(VLOOKUP(Detalle_OC[[#This Row],[Centro]]&amp;Detalle_OC[[#This Row],[Nro Almacen]],Almacen!A:D,4,FALSE),"")</f>
        <v>Montelima</v>
      </c>
    </row>
    <row r="3565" spans="1:12" x14ac:dyDescent="0.3">
      <c r="A3565" s="29" t="str">
        <f>Detalle_OC[[#This Row],[Centro]]&amp;Detalle_OC[[#This Row],[Nom Almacen]]&amp;Detalle_OC[[#This Row],[Material]]&amp;Detalle_OC[[#This Row],[Pedido]]&amp;Detalle_OC[[#This Row],[Posicion]]</f>
        <v>Agricola del Chira PlantaMontelima83546155000191881060</v>
      </c>
      <c r="B3565" t="s">
        <v>28</v>
      </c>
      <c r="C3565" t="s">
        <v>82</v>
      </c>
      <c r="D3565" s="11">
        <v>45083</v>
      </c>
      <c r="E3565" t="s">
        <v>16</v>
      </c>
      <c r="F3565" t="s">
        <v>12</v>
      </c>
      <c r="G3565">
        <v>835461</v>
      </c>
      <c r="H3565">
        <v>5500019188</v>
      </c>
      <c r="I3565">
        <v>1060</v>
      </c>
      <c r="J3565" s="29">
        <v>1</v>
      </c>
      <c r="K3565" s="29" t="s">
        <v>501</v>
      </c>
      <c r="L3565" t="str">
        <f>IFERROR(VLOOKUP(Detalle_OC[[#This Row],[Centro]]&amp;Detalle_OC[[#This Row],[Nro Almacen]],Almacen!A:D,4,FALSE),"")</f>
        <v>Montelima</v>
      </c>
    </row>
    <row r="3566" spans="1:12" x14ac:dyDescent="0.3">
      <c r="A3566" s="29" t="str">
        <f>Detalle_OC[[#This Row],[Centro]]&amp;Detalle_OC[[#This Row],[Nom Almacen]]&amp;Detalle_OC[[#This Row],[Material]]&amp;Detalle_OC[[#This Row],[Pedido]]&amp;Detalle_OC[[#This Row],[Posicion]]</f>
        <v>Agricola del Chira PlantaMontelima82720355000191881140</v>
      </c>
      <c r="B3566" t="s">
        <v>28</v>
      </c>
      <c r="C3566" t="s">
        <v>82</v>
      </c>
      <c r="D3566" s="11">
        <v>45083</v>
      </c>
      <c r="E3566" t="s">
        <v>16</v>
      </c>
      <c r="F3566" t="s">
        <v>12</v>
      </c>
      <c r="G3566">
        <v>827203</v>
      </c>
      <c r="H3566">
        <v>5500019188</v>
      </c>
      <c r="I3566">
        <v>1140</v>
      </c>
      <c r="J3566" s="29">
        <v>1</v>
      </c>
      <c r="K3566" s="29" t="s">
        <v>501</v>
      </c>
      <c r="L3566" t="str">
        <f>IFERROR(VLOOKUP(Detalle_OC[[#This Row],[Centro]]&amp;Detalle_OC[[#This Row],[Nro Almacen]],Almacen!A:D,4,FALSE),"")</f>
        <v>Montelima</v>
      </c>
    </row>
    <row r="3567" spans="1:12" x14ac:dyDescent="0.3">
      <c r="A3567" s="29" t="str">
        <f>Detalle_OC[[#This Row],[Centro]]&amp;Detalle_OC[[#This Row],[Nom Almacen]]&amp;Detalle_OC[[#This Row],[Material]]&amp;Detalle_OC[[#This Row],[Pedido]]&amp;Detalle_OC[[#This Row],[Posicion]]</f>
        <v>Agricola del Chira PlantaMontelima82639855000191881160</v>
      </c>
      <c r="B3567" t="s">
        <v>28</v>
      </c>
      <c r="C3567" t="s">
        <v>82</v>
      </c>
      <c r="D3567" s="11">
        <v>45083</v>
      </c>
      <c r="E3567" t="s">
        <v>16</v>
      </c>
      <c r="F3567" t="s">
        <v>12</v>
      </c>
      <c r="G3567">
        <v>826398</v>
      </c>
      <c r="H3567">
        <v>5500019188</v>
      </c>
      <c r="I3567">
        <v>1160</v>
      </c>
      <c r="J3567" s="29">
        <v>1</v>
      </c>
      <c r="K3567" s="29" t="s">
        <v>501</v>
      </c>
      <c r="L3567" t="str">
        <f>IFERROR(VLOOKUP(Detalle_OC[[#This Row],[Centro]]&amp;Detalle_OC[[#This Row],[Nro Almacen]],Almacen!A:D,4,FALSE),"")</f>
        <v>Montelima</v>
      </c>
    </row>
    <row r="3568" spans="1:12" x14ac:dyDescent="0.3">
      <c r="A3568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3568" t="s">
        <v>28</v>
      </c>
      <c r="C3568" t="s">
        <v>84</v>
      </c>
      <c r="D3568" s="11">
        <v>45082</v>
      </c>
      <c r="E3568" t="s">
        <v>16</v>
      </c>
      <c r="F3568" t="s">
        <v>12</v>
      </c>
      <c r="G3568">
        <v>801846</v>
      </c>
      <c r="H3568">
        <v>5500022338</v>
      </c>
      <c r="I3568">
        <v>40</v>
      </c>
      <c r="J3568" s="29">
        <v>1</v>
      </c>
      <c r="K3568" s="29" t="s">
        <v>502</v>
      </c>
      <c r="L3568" t="str">
        <f>IFERROR(VLOOKUP(Detalle_OC[[#This Row],[Centro]]&amp;Detalle_OC[[#This Row],[Nro Almacen]],Almacen!A:D,4,FALSE),"")</f>
        <v>Montelima</v>
      </c>
    </row>
    <row r="3569" spans="1:12" x14ac:dyDescent="0.3">
      <c r="A3569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3569" t="s">
        <v>28</v>
      </c>
      <c r="C3569" t="s">
        <v>84</v>
      </c>
      <c r="D3569" s="11">
        <v>45082</v>
      </c>
      <c r="E3569" t="s">
        <v>16</v>
      </c>
      <c r="F3569" t="s">
        <v>12</v>
      </c>
      <c r="G3569">
        <v>801846</v>
      </c>
      <c r="H3569">
        <v>5500022338</v>
      </c>
      <c r="I3569">
        <v>40</v>
      </c>
      <c r="J3569" s="29">
        <v>1</v>
      </c>
      <c r="K3569" s="29" t="s">
        <v>502</v>
      </c>
      <c r="L3569" t="str">
        <f>IFERROR(VLOOKUP(Detalle_OC[[#This Row],[Centro]]&amp;Detalle_OC[[#This Row],[Nro Almacen]],Almacen!A:D,4,FALSE),"")</f>
        <v>Montelima</v>
      </c>
    </row>
    <row r="3570" spans="1:12" x14ac:dyDescent="0.3">
      <c r="A3570" s="29" t="str">
        <f>Detalle_OC[[#This Row],[Centro]]&amp;Detalle_OC[[#This Row],[Nom Almacen]]&amp;Detalle_OC[[#This Row],[Material]]&amp;Detalle_OC[[#This Row],[Pedido]]&amp;Detalle_OC[[#This Row],[Posicion]]</f>
        <v>Agricola del Chira PlantaMontelima709179550002233820</v>
      </c>
      <c r="B3570" t="s">
        <v>28</v>
      </c>
      <c r="C3570" t="s">
        <v>84</v>
      </c>
      <c r="D3570" s="11">
        <v>45080</v>
      </c>
      <c r="E3570" t="s">
        <v>16</v>
      </c>
      <c r="F3570" t="s">
        <v>12</v>
      </c>
      <c r="G3570">
        <v>709179</v>
      </c>
      <c r="H3570">
        <v>5500022338</v>
      </c>
      <c r="I3570">
        <v>20</v>
      </c>
      <c r="J3570" s="29">
        <v>1</v>
      </c>
      <c r="K3570" s="29" t="s">
        <v>503</v>
      </c>
      <c r="L3570" t="str">
        <f>IFERROR(VLOOKUP(Detalle_OC[[#This Row],[Centro]]&amp;Detalle_OC[[#This Row],[Nro Almacen]],Almacen!A:D,4,FALSE),"")</f>
        <v>Montelima</v>
      </c>
    </row>
    <row r="3571" spans="1:12" x14ac:dyDescent="0.3">
      <c r="A3571" s="29" t="str">
        <f>Detalle_OC[[#This Row],[Centro]]&amp;Detalle_OC[[#This Row],[Nom Almacen]]&amp;Detalle_OC[[#This Row],[Material]]&amp;Detalle_OC[[#This Row],[Pedido]]&amp;Detalle_OC[[#This Row],[Posicion]]</f>
        <v>Agricola del Chira PlantaMontelima709179550002233820</v>
      </c>
      <c r="B3571" t="s">
        <v>28</v>
      </c>
      <c r="C3571" t="s">
        <v>84</v>
      </c>
      <c r="D3571" s="11">
        <v>45080</v>
      </c>
      <c r="E3571" t="s">
        <v>16</v>
      </c>
      <c r="F3571" t="s">
        <v>12</v>
      </c>
      <c r="G3571">
        <v>709179</v>
      </c>
      <c r="H3571">
        <v>5500022338</v>
      </c>
      <c r="I3571">
        <v>20</v>
      </c>
      <c r="J3571" s="29">
        <v>1</v>
      </c>
      <c r="K3571" s="29" t="s">
        <v>503</v>
      </c>
      <c r="L3571" t="str">
        <f>IFERROR(VLOOKUP(Detalle_OC[[#This Row],[Centro]]&amp;Detalle_OC[[#This Row],[Nro Almacen]],Almacen!A:D,4,FALSE),"")</f>
        <v>Montelima</v>
      </c>
    </row>
    <row r="3572" spans="1:12" x14ac:dyDescent="0.3">
      <c r="A3572" s="29" t="str">
        <f>Detalle_OC[[#This Row],[Centro]]&amp;Detalle_OC[[#This Row],[Nom Almacen]]&amp;Detalle_OC[[#This Row],[Material]]&amp;Detalle_OC[[#This Row],[Pedido]]&amp;Detalle_OC[[#This Row],[Posicion]]</f>
        <v>Agricola del Chira PlantaMontelima813224550002233870</v>
      </c>
      <c r="B3572" t="s">
        <v>28</v>
      </c>
      <c r="C3572" t="s">
        <v>84</v>
      </c>
      <c r="D3572" s="11">
        <v>45080</v>
      </c>
      <c r="E3572" t="s">
        <v>16</v>
      </c>
      <c r="F3572" t="s">
        <v>12</v>
      </c>
      <c r="G3572">
        <v>813224</v>
      </c>
      <c r="H3572">
        <v>5500022338</v>
      </c>
      <c r="I3572">
        <v>70</v>
      </c>
      <c r="J3572" s="29">
        <v>1</v>
      </c>
      <c r="K3572" s="29" t="s">
        <v>503</v>
      </c>
      <c r="L3572" t="str">
        <f>IFERROR(VLOOKUP(Detalle_OC[[#This Row],[Centro]]&amp;Detalle_OC[[#This Row],[Nro Almacen]],Almacen!A:D,4,FALSE),"")</f>
        <v>Montelima</v>
      </c>
    </row>
    <row r="3573" spans="1:12" x14ac:dyDescent="0.3">
      <c r="A3573" s="29" t="str">
        <f>Detalle_OC[[#This Row],[Centro]]&amp;Detalle_OC[[#This Row],[Nom Almacen]]&amp;Detalle_OC[[#This Row],[Material]]&amp;Detalle_OC[[#This Row],[Pedido]]&amp;Detalle_OC[[#This Row],[Posicion]]</f>
        <v>Agricola del Chira PlantaMontelima813224550002233870</v>
      </c>
      <c r="B3573" t="s">
        <v>28</v>
      </c>
      <c r="C3573" t="s">
        <v>84</v>
      </c>
      <c r="D3573" s="11">
        <v>45080</v>
      </c>
      <c r="E3573" t="s">
        <v>16</v>
      </c>
      <c r="F3573" t="s">
        <v>12</v>
      </c>
      <c r="G3573">
        <v>813224</v>
      </c>
      <c r="H3573">
        <v>5500022338</v>
      </c>
      <c r="I3573">
        <v>70</v>
      </c>
      <c r="J3573" s="29">
        <v>1</v>
      </c>
      <c r="K3573" s="29" t="s">
        <v>503</v>
      </c>
      <c r="L3573" t="str">
        <f>IFERROR(VLOOKUP(Detalle_OC[[#This Row],[Centro]]&amp;Detalle_OC[[#This Row],[Nro Almacen]],Almacen!A:D,4,FALSE),"")</f>
        <v>Montelima</v>
      </c>
    </row>
    <row r="3574" spans="1:12" x14ac:dyDescent="0.3">
      <c r="A3574" s="29" t="str">
        <f>Detalle_OC[[#This Row],[Centro]]&amp;Detalle_OC[[#This Row],[Nom Almacen]]&amp;Detalle_OC[[#This Row],[Material]]&amp;Detalle_OC[[#This Row],[Pedido]]&amp;Detalle_OC[[#This Row],[Posicion]]</f>
        <v>Agricola del Chira PlantaMontelima70032053550002233880</v>
      </c>
      <c r="B3574" t="s">
        <v>28</v>
      </c>
      <c r="C3574" t="s">
        <v>84</v>
      </c>
      <c r="D3574" s="11">
        <v>45080</v>
      </c>
      <c r="E3574" t="s">
        <v>16</v>
      </c>
      <c r="F3574" t="s">
        <v>12</v>
      </c>
      <c r="G3574">
        <v>70032053</v>
      </c>
      <c r="H3574">
        <v>5500022338</v>
      </c>
      <c r="I3574">
        <v>80</v>
      </c>
      <c r="J3574" s="29">
        <v>1</v>
      </c>
      <c r="K3574" s="29" t="s">
        <v>503</v>
      </c>
      <c r="L3574" t="str">
        <f>IFERROR(VLOOKUP(Detalle_OC[[#This Row],[Centro]]&amp;Detalle_OC[[#This Row],[Nro Almacen]],Almacen!A:D,4,FALSE),"")</f>
        <v>Montelima</v>
      </c>
    </row>
    <row r="3575" spans="1:12" x14ac:dyDescent="0.3">
      <c r="A3575" s="29" t="str">
        <f>Detalle_OC[[#This Row],[Centro]]&amp;Detalle_OC[[#This Row],[Nom Almacen]]&amp;Detalle_OC[[#This Row],[Material]]&amp;Detalle_OC[[#This Row],[Pedido]]&amp;Detalle_OC[[#This Row],[Posicion]]</f>
        <v>Agricola del Chira PlantaMontelima70032053550002233880</v>
      </c>
      <c r="B3575" t="s">
        <v>28</v>
      </c>
      <c r="C3575" t="s">
        <v>84</v>
      </c>
      <c r="D3575" s="11">
        <v>45080</v>
      </c>
      <c r="E3575" t="s">
        <v>16</v>
      </c>
      <c r="F3575" t="s">
        <v>12</v>
      </c>
      <c r="G3575">
        <v>70032053</v>
      </c>
      <c r="H3575">
        <v>5500022338</v>
      </c>
      <c r="I3575">
        <v>80</v>
      </c>
      <c r="J3575" s="29">
        <v>1</v>
      </c>
      <c r="K3575" s="29" t="s">
        <v>503</v>
      </c>
      <c r="L3575" t="str">
        <f>IFERROR(VLOOKUP(Detalle_OC[[#This Row],[Centro]]&amp;Detalle_OC[[#This Row],[Nro Almacen]],Almacen!A:D,4,FALSE),"")</f>
        <v>Montelima</v>
      </c>
    </row>
    <row r="3576" spans="1:12" x14ac:dyDescent="0.3">
      <c r="A3576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3576" t="s">
        <v>28</v>
      </c>
      <c r="C3576" t="s">
        <v>82</v>
      </c>
      <c r="D3576" s="11">
        <v>45044</v>
      </c>
      <c r="E3576" t="s">
        <v>16</v>
      </c>
      <c r="F3576" t="s">
        <v>12</v>
      </c>
      <c r="G3576">
        <v>844523</v>
      </c>
      <c r="H3576">
        <v>5500019188</v>
      </c>
      <c r="I3576">
        <v>140</v>
      </c>
      <c r="J3576" s="29">
        <v>1</v>
      </c>
      <c r="K3576" s="29" t="s">
        <v>504</v>
      </c>
      <c r="L3576" t="str">
        <f>IFERROR(VLOOKUP(Detalle_OC[[#This Row],[Centro]]&amp;Detalle_OC[[#This Row],[Nro Almacen]],Almacen!A:D,4,FALSE),"")</f>
        <v>Montelima</v>
      </c>
    </row>
    <row r="3577" spans="1:12" x14ac:dyDescent="0.3">
      <c r="A3577" s="29" t="str">
        <f>Detalle_OC[[#This Row],[Centro]]&amp;Detalle_OC[[#This Row],[Nom Almacen]]&amp;Detalle_OC[[#This Row],[Material]]&amp;Detalle_OC[[#This Row],[Pedido]]&amp;Detalle_OC[[#This Row],[Posicion]]</f>
        <v>Agricola del Chira PlantaMontelima8445405500019188230</v>
      </c>
      <c r="B3577" t="s">
        <v>28</v>
      </c>
      <c r="C3577" t="s">
        <v>82</v>
      </c>
      <c r="D3577" s="11">
        <v>45044</v>
      </c>
      <c r="E3577" t="s">
        <v>16</v>
      </c>
      <c r="F3577" t="s">
        <v>12</v>
      </c>
      <c r="G3577">
        <v>844540</v>
      </c>
      <c r="H3577">
        <v>5500019188</v>
      </c>
      <c r="I3577">
        <v>230</v>
      </c>
      <c r="J3577" s="29">
        <v>1</v>
      </c>
      <c r="K3577" s="29" t="s">
        <v>504</v>
      </c>
      <c r="L3577" t="str">
        <f>IFERROR(VLOOKUP(Detalle_OC[[#This Row],[Centro]]&amp;Detalle_OC[[#This Row],[Nro Almacen]],Almacen!A:D,4,FALSE),"")</f>
        <v>Montelima</v>
      </c>
    </row>
    <row r="3578" spans="1:12" x14ac:dyDescent="0.3">
      <c r="A3578" s="29" t="str">
        <f>Detalle_OC[[#This Row],[Centro]]&amp;Detalle_OC[[#This Row],[Nom Almacen]]&amp;Detalle_OC[[#This Row],[Material]]&amp;Detalle_OC[[#This Row],[Pedido]]&amp;Detalle_OC[[#This Row],[Posicion]]</f>
        <v>Agricola del Chira PlantaMontelima8445025500019188250</v>
      </c>
      <c r="B3578" t="s">
        <v>28</v>
      </c>
      <c r="C3578" t="s">
        <v>82</v>
      </c>
      <c r="D3578" s="11">
        <v>45044</v>
      </c>
      <c r="E3578" t="s">
        <v>16</v>
      </c>
      <c r="F3578" t="s">
        <v>12</v>
      </c>
      <c r="G3578">
        <v>844502</v>
      </c>
      <c r="H3578">
        <v>5500019188</v>
      </c>
      <c r="I3578">
        <v>250</v>
      </c>
      <c r="J3578" s="29">
        <v>1</v>
      </c>
      <c r="K3578" s="29" t="s">
        <v>504</v>
      </c>
      <c r="L3578" t="str">
        <f>IFERROR(VLOOKUP(Detalle_OC[[#This Row],[Centro]]&amp;Detalle_OC[[#This Row],[Nro Almacen]],Almacen!A:D,4,FALSE),"")</f>
        <v>Montelima</v>
      </c>
    </row>
    <row r="3579" spans="1:12" x14ac:dyDescent="0.3">
      <c r="A3579" s="29" t="str">
        <f>Detalle_OC[[#This Row],[Centro]]&amp;Detalle_OC[[#This Row],[Nom Almacen]]&amp;Detalle_OC[[#This Row],[Material]]&amp;Detalle_OC[[#This Row],[Pedido]]&amp;Detalle_OC[[#This Row],[Posicion]]</f>
        <v>Agricola del Chira PlantaMontelima8445185500019188270</v>
      </c>
      <c r="B3579" t="s">
        <v>28</v>
      </c>
      <c r="C3579" t="s">
        <v>82</v>
      </c>
      <c r="D3579" s="11">
        <v>45044</v>
      </c>
      <c r="E3579" t="s">
        <v>16</v>
      </c>
      <c r="F3579" t="s">
        <v>12</v>
      </c>
      <c r="G3579">
        <v>844518</v>
      </c>
      <c r="H3579">
        <v>5500019188</v>
      </c>
      <c r="I3579">
        <v>270</v>
      </c>
      <c r="J3579" s="29">
        <v>1</v>
      </c>
      <c r="K3579" s="29" t="s">
        <v>504</v>
      </c>
      <c r="L3579" t="str">
        <f>IFERROR(VLOOKUP(Detalle_OC[[#This Row],[Centro]]&amp;Detalle_OC[[#This Row],[Nro Almacen]],Almacen!A:D,4,FALSE),"")</f>
        <v>Montelima</v>
      </c>
    </row>
    <row r="3580" spans="1:12" x14ac:dyDescent="0.3">
      <c r="A3580" s="29" t="str">
        <f>Detalle_OC[[#This Row],[Centro]]&amp;Detalle_OC[[#This Row],[Nom Almacen]]&amp;Detalle_OC[[#This Row],[Material]]&amp;Detalle_OC[[#This Row],[Pedido]]&amp;Detalle_OC[[#This Row],[Posicion]]</f>
        <v>Agricola del Chira PlantaMontelima8445035500019188370</v>
      </c>
      <c r="B3580" t="s">
        <v>28</v>
      </c>
      <c r="C3580" t="s">
        <v>82</v>
      </c>
      <c r="D3580" s="11">
        <v>45044</v>
      </c>
      <c r="E3580" t="s">
        <v>16</v>
      </c>
      <c r="F3580" t="s">
        <v>12</v>
      </c>
      <c r="G3580">
        <v>844503</v>
      </c>
      <c r="H3580">
        <v>5500019188</v>
      </c>
      <c r="I3580">
        <v>370</v>
      </c>
      <c r="J3580" s="29">
        <v>1</v>
      </c>
      <c r="K3580" s="29" t="s">
        <v>504</v>
      </c>
      <c r="L3580" t="str">
        <f>IFERROR(VLOOKUP(Detalle_OC[[#This Row],[Centro]]&amp;Detalle_OC[[#This Row],[Nro Almacen]],Almacen!A:D,4,FALSE),"")</f>
        <v>Montelima</v>
      </c>
    </row>
    <row r="3581" spans="1:12" x14ac:dyDescent="0.3">
      <c r="A3581" s="29" t="str">
        <f>Detalle_OC[[#This Row],[Centro]]&amp;Detalle_OC[[#This Row],[Nom Almacen]]&amp;Detalle_OC[[#This Row],[Material]]&amp;Detalle_OC[[#This Row],[Pedido]]&amp;Detalle_OC[[#This Row],[Posicion]]</f>
        <v>Agricola del Chira PlantaMontelima8445325500019188440</v>
      </c>
      <c r="B3581" t="s">
        <v>28</v>
      </c>
      <c r="C3581" t="s">
        <v>82</v>
      </c>
      <c r="D3581" s="11">
        <v>45044</v>
      </c>
      <c r="E3581" t="s">
        <v>16</v>
      </c>
      <c r="F3581" t="s">
        <v>12</v>
      </c>
      <c r="G3581">
        <v>844532</v>
      </c>
      <c r="H3581">
        <v>5500019188</v>
      </c>
      <c r="I3581">
        <v>440</v>
      </c>
      <c r="J3581" s="29">
        <v>1</v>
      </c>
      <c r="K3581" s="29" t="s">
        <v>504</v>
      </c>
      <c r="L3581" t="str">
        <f>IFERROR(VLOOKUP(Detalle_OC[[#This Row],[Centro]]&amp;Detalle_OC[[#This Row],[Nro Almacen]],Almacen!A:D,4,FALSE),"")</f>
        <v>Montelima</v>
      </c>
    </row>
    <row r="3582" spans="1:12" x14ac:dyDescent="0.3">
      <c r="A3582" s="29" t="str">
        <f>Detalle_OC[[#This Row],[Centro]]&amp;Detalle_OC[[#This Row],[Nom Almacen]]&amp;Detalle_OC[[#This Row],[Material]]&amp;Detalle_OC[[#This Row],[Pedido]]&amp;Detalle_OC[[#This Row],[Posicion]]</f>
        <v>Agricola del Chira PlantaMontelima8445055500019188920</v>
      </c>
      <c r="B3582" t="s">
        <v>28</v>
      </c>
      <c r="C3582" t="s">
        <v>82</v>
      </c>
      <c r="D3582" s="11">
        <v>45044</v>
      </c>
      <c r="E3582" t="s">
        <v>16</v>
      </c>
      <c r="F3582" t="s">
        <v>12</v>
      </c>
      <c r="G3582">
        <v>844505</v>
      </c>
      <c r="H3582">
        <v>5500019188</v>
      </c>
      <c r="I3582">
        <v>920</v>
      </c>
      <c r="J3582" s="29">
        <v>1</v>
      </c>
      <c r="K3582" s="29" t="s">
        <v>504</v>
      </c>
      <c r="L3582" t="str">
        <f>IFERROR(VLOOKUP(Detalle_OC[[#This Row],[Centro]]&amp;Detalle_OC[[#This Row],[Nro Almacen]],Almacen!A:D,4,FALSE),"")</f>
        <v>Montelima</v>
      </c>
    </row>
    <row r="3583" spans="1:12" x14ac:dyDescent="0.3">
      <c r="A3583" s="29" t="str">
        <f>Detalle_OC[[#This Row],[Centro]]&amp;Detalle_OC[[#This Row],[Nom Almacen]]&amp;Detalle_OC[[#This Row],[Material]]&amp;Detalle_OC[[#This Row],[Pedido]]&amp;Detalle_OC[[#This Row],[Posicion]]</f>
        <v>Agricola del Chira PlantaMontelima84557255000191881300</v>
      </c>
      <c r="B3583" t="s">
        <v>28</v>
      </c>
      <c r="C3583" t="s">
        <v>82</v>
      </c>
      <c r="D3583" s="11">
        <v>45044</v>
      </c>
      <c r="E3583" t="s">
        <v>16</v>
      </c>
      <c r="F3583" t="s">
        <v>12</v>
      </c>
      <c r="G3583">
        <v>845572</v>
      </c>
      <c r="H3583">
        <v>5500019188</v>
      </c>
      <c r="I3583">
        <v>1300</v>
      </c>
      <c r="J3583" s="29">
        <v>1</v>
      </c>
      <c r="K3583" s="29" t="s">
        <v>504</v>
      </c>
      <c r="L3583" t="str">
        <f>IFERROR(VLOOKUP(Detalle_OC[[#This Row],[Centro]]&amp;Detalle_OC[[#This Row],[Nro Almacen]],Almacen!A:D,4,FALSE),"")</f>
        <v>Montelima</v>
      </c>
    </row>
    <row r="3584" spans="1:12" x14ac:dyDescent="0.3">
      <c r="A3584" s="29" t="str">
        <f>Detalle_OC[[#This Row],[Centro]]&amp;Detalle_OC[[#This Row],[Nom Almacen]]&amp;Detalle_OC[[#This Row],[Material]]&amp;Detalle_OC[[#This Row],[Pedido]]&amp;Detalle_OC[[#This Row],[Posicion]]</f>
        <v>Agricola del Chira PlantaMontelima8443995500019188500</v>
      </c>
      <c r="B3584" t="s">
        <v>28</v>
      </c>
      <c r="C3584" t="s">
        <v>82</v>
      </c>
      <c r="D3584" s="11">
        <v>45043</v>
      </c>
      <c r="E3584" t="s">
        <v>16</v>
      </c>
      <c r="F3584" t="s">
        <v>12</v>
      </c>
      <c r="G3584">
        <v>844399</v>
      </c>
      <c r="H3584">
        <v>5500019188</v>
      </c>
      <c r="I3584">
        <v>500</v>
      </c>
      <c r="J3584" s="29">
        <v>1</v>
      </c>
      <c r="K3584" s="29" t="s">
        <v>505</v>
      </c>
      <c r="L3584" t="str">
        <f>IFERROR(VLOOKUP(Detalle_OC[[#This Row],[Centro]]&amp;Detalle_OC[[#This Row],[Nro Almacen]],Almacen!A:D,4,FALSE),"")</f>
        <v>Montelima</v>
      </c>
    </row>
    <row r="3585" spans="1:12" x14ac:dyDescent="0.3">
      <c r="A3585" s="29" t="str">
        <f>Detalle_OC[[#This Row],[Centro]]&amp;Detalle_OC[[#This Row],[Nom Almacen]]&amp;Detalle_OC[[#This Row],[Material]]&amp;Detalle_OC[[#This Row],[Pedido]]&amp;Detalle_OC[[#This Row],[Posicion]]</f>
        <v>Agricola del Chira PlantaMontelima738248550001918870</v>
      </c>
      <c r="B3585" t="s">
        <v>28</v>
      </c>
      <c r="C3585" t="s">
        <v>82</v>
      </c>
      <c r="D3585" s="11">
        <v>45042</v>
      </c>
      <c r="E3585" t="s">
        <v>16</v>
      </c>
      <c r="F3585" t="s">
        <v>12</v>
      </c>
      <c r="G3585">
        <v>738248</v>
      </c>
      <c r="H3585">
        <v>5500019188</v>
      </c>
      <c r="I3585">
        <v>70</v>
      </c>
      <c r="J3585" s="29">
        <v>1</v>
      </c>
      <c r="K3585" s="29" t="s">
        <v>506</v>
      </c>
      <c r="L3585" t="str">
        <f>IFERROR(VLOOKUP(Detalle_OC[[#This Row],[Centro]]&amp;Detalle_OC[[#This Row],[Nro Almacen]],Almacen!A:D,4,FALSE),"")</f>
        <v>Montelima</v>
      </c>
    </row>
    <row r="3586" spans="1:12" x14ac:dyDescent="0.3">
      <c r="A3586" s="29" t="str">
        <f>Detalle_OC[[#This Row],[Centro]]&amp;Detalle_OC[[#This Row],[Nom Almacen]]&amp;Detalle_OC[[#This Row],[Material]]&amp;Detalle_OC[[#This Row],[Pedido]]&amp;Detalle_OC[[#This Row],[Posicion]]</f>
        <v>Agricola del Chira PlantaMontelima7382475500019188100</v>
      </c>
      <c r="B3586" t="s">
        <v>28</v>
      </c>
      <c r="C3586" t="s">
        <v>82</v>
      </c>
      <c r="D3586" s="11">
        <v>45042</v>
      </c>
      <c r="E3586" t="s">
        <v>16</v>
      </c>
      <c r="F3586" t="s">
        <v>12</v>
      </c>
      <c r="G3586">
        <v>738247</v>
      </c>
      <c r="H3586">
        <v>5500019188</v>
      </c>
      <c r="I3586">
        <v>100</v>
      </c>
      <c r="J3586" s="29">
        <v>1</v>
      </c>
      <c r="K3586" s="29" t="s">
        <v>506</v>
      </c>
      <c r="L3586" t="str">
        <f>IFERROR(VLOOKUP(Detalle_OC[[#This Row],[Centro]]&amp;Detalle_OC[[#This Row],[Nro Almacen]],Almacen!A:D,4,FALSE),"")</f>
        <v>Montelima</v>
      </c>
    </row>
    <row r="3587" spans="1:12" x14ac:dyDescent="0.3">
      <c r="A3587" s="29" t="str">
        <f>Detalle_OC[[#This Row],[Centro]]&amp;Detalle_OC[[#This Row],[Nom Almacen]]&amp;Detalle_OC[[#This Row],[Material]]&amp;Detalle_OC[[#This Row],[Pedido]]&amp;Detalle_OC[[#This Row],[Posicion]]</f>
        <v>Agricola del Chira PlantaMontelima83507555000191881310</v>
      </c>
      <c r="B3587" t="s">
        <v>28</v>
      </c>
      <c r="C3587" t="s">
        <v>82</v>
      </c>
      <c r="D3587" s="11">
        <v>45042</v>
      </c>
      <c r="E3587" t="s">
        <v>16</v>
      </c>
      <c r="F3587" t="s">
        <v>12</v>
      </c>
      <c r="G3587">
        <v>835075</v>
      </c>
      <c r="H3587">
        <v>5500019188</v>
      </c>
      <c r="I3587">
        <v>1310</v>
      </c>
      <c r="J3587" s="29">
        <v>1</v>
      </c>
      <c r="K3587" s="29" t="s">
        <v>506</v>
      </c>
      <c r="L3587" t="str">
        <f>IFERROR(VLOOKUP(Detalle_OC[[#This Row],[Centro]]&amp;Detalle_OC[[#This Row],[Nro Almacen]],Almacen!A:D,4,FALSE),"")</f>
        <v>Montelima</v>
      </c>
    </row>
    <row r="3588" spans="1:12" x14ac:dyDescent="0.3">
      <c r="A3588" s="29" t="str">
        <f>Detalle_OC[[#This Row],[Centro]]&amp;Detalle_OC[[#This Row],[Nom Almacen]]&amp;Detalle_OC[[#This Row],[Material]]&amp;Detalle_OC[[#This Row],[Pedido]]&amp;Detalle_OC[[#This Row],[Posicion]]</f>
        <v>Agricola del Chira PlantaMontelima7003088355000191881740</v>
      </c>
      <c r="B3588" t="s">
        <v>28</v>
      </c>
      <c r="C3588" t="s">
        <v>82</v>
      </c>
      <c r="D3588" s="11">
        <v>45042</v>
      </c>
      <c r="E3588" t="s">
        <v>16</v>
      </c>
      <c r="F3588" t="s">
        <v>12</v>
      </c>
      <c r="G3588">
        <v>70030883</v>
      </c>
      <c r="H3588">
        <v>5500019188</v>
      </c>
      <c r="I3588">
        <v>1740</v>
      </c>
      <c r="J3588" s="29">
        <v>1</v>
      </c>
      <c r="K3588" s="29" t="s">
        <v>506</v>
      </c>
      <c r="L3588" t="str">
        <f>IFERROR(VLOOKUP(Detalle_OC[[#This Row],[Centro]]&amp;Detalle_OC[[#This Row],[Nro Almacen]],Almacen!A:D,4,FALSE),"")</f>
        <v>Montelima</v>
      </c>
    </row>
    <row r="3589" spans="1:12" x14ac:dyDescent="0.3">
      <c r="A3589" s="29" t="str">
        <f>Detalle_OC[[#This Row],[Centro]]&amp;Detalle_OC[[#This Row],[Nom Almacen]]&amp;Detalle_OC[[#This Row],[Material]]&amp;Detalle_OC[[#This Row],[Pedido]]&amp;Detalle_OC[[#This Row],[Posicion]]</f>
        <v>Agricola del Chira PlantaMontelima82639755000191881080</v>
      </c>
      <c r="B3589" t="s">
        <v>28</v>
      </c>
      <c r="C3589" t="s">
        <v>82</v>
      </c>
      <c r="D3589" s="11">
        <v>45021</v>
      </c>
      <c r="E3589" t="s">
        <v>16</v>
      </c>
      <c r="F3589" t="s">
        <v>12</v>
      </c>
      <c r="G3589">
        <v>826397</v>
      </c>
      <c r="H3589">
        <v>5500019188</v>
      </c>
      <c r="I3589">
        <v>1080</v>
      </c>
      <c r="J3589" s="29">
        <v>1</v>
      </c>
      <c r="K3589" s="29" t="s">
        <v>507</v>
      </c>
      <c r="L3589" t="str">
        <f>IFERROR(VLOOKUP(Detalle_OC[[#This Row],[Centro]]&amp;Detalle_OC[[#This Row],[Nro Almacen]],Almacen!A:D,4,FALSE),"")</f>
        <v>Montelima</v>
      </c>
    </row>
    <row r="3590" spans="1:12" x14ac:dyDescent="0.3">
      <c r="A3590" s="29" t="str">
        <f>Detalle_OC[[#This Row],[Centro]]&amp;Detalle_OC[[#This Row],[Nom Almacen]]&amp;Detalle_OC[[#This Row],[Material]]&amp;Detalle_OC[[#This Row],[Pedido]]&amp;Detalle_OC[[#This Row],[Posicion]]</f>
        <v>Agricola del Chira PlantaMontelima82638555000191881100</v>
      </c>
      <c r="B3590" t="s">
        <v>28</v>
      </c>
      <c r="C3590" t="s">
        <v>82</v>
      </c>
      <c r="D3590" s="11">
        <v>45021</v>
      </c>
      <c r="E3590" t="s">
        <v>16</v>
      </c>
      <c r="F3590" t="s">
        <v>12</v>
      </c>
      <c r="G3590">
        <v>826385</v>
      </c>
      <c r="H3590">
        <v>5500019188</v>
      </c>
      <c r="I3590">
        <v>1100</v>
      </c>
      <c r="J3590" s="29">
        <v>1</v>
      </c>
      <c r="K3590" s="29" t="s">
        <v>507</v>
      </c>
      <c r="L3590" t="str">
        <f>IFERROR(VLOOKUP(Detalle_OC[[#This Row],[Centro]]&amp;Detalle_OC[[#This Row],[Nro Almacen]],Almacen!A:D,4,FALSE),"")</f>
        <v>Montelima</v>
      </c>
    </row>
    <row r="3591" spans="1:12" x14ac:dyDescent="0.3">
      <c r="A3591" s="29" t="str">
        <f>Detalle_OC[[#This Row],[Centro]]&amp;Detalle_OC[[#This Row],[Nom Almacen]]&amp;Detalle_OC[[#This Row],[Material]]&amp;Detalle_OC[[#This Row],[Pedido]]&amp;Detalle_OC[[#This Row],[Posicion]]</f>
        <v>Agricola del Chira PlantaMontelima8443985500019188290</v>
      </c>
      <c r="B3591" t="s">
        <v>28</v>
      </c>
      <c r="C3591" t="s">
        <v>82</v>
      </c>
      <c r="D3591" s="11">
        <v>45015</v>
      </c>
      <c r="E3591" t="s">
        <v>16</v>
      </c>
      <c r="F3591" t="s">
        <v>12</v>
      </c>
      <c r="G3591">
        <v>844398</v>
      </c>
      <c r="H3591">
        <v>5500019188</v>
      </c>
      <c r="I3591">
        <v>290</v>
      </c>
      <c r="J3591" s="29">
        <v>1</v>
      </c>
      <c r="K3591" s="29" t="s">
        <v>508</v>
      </c>
      <c r="L3591" t="str">
        <f>IFERROR(VLOOKUP(Detalle_OC[[#This Row],[Centro]]&amp;Detalle_OC[[#This Row],[Nro Almacen]],Almacen!A:D,4,FALSE),"")</f>
        <v>Montelima</v>
      </c>
    </row>
    <row r="3592" spans="1:12" x14ac:dyDescent="0.3">
      <c r="A3592" s="29" t="str">
        <f>Detalle_OC[[#This Row],[Centro]]&amp;Detalle_OC[[#This Row],[Nom Almacen]]&amp;Detalle_OC[[#This Row],[Material]]&amp;Detalle_OC[[#This Row],[Pedido]]&amp;Detalle_OC[[#This Row],[Posicion]]</f>
        <v>Agricola del Chira PlantaMontelima8445515500019188320</v>
      </c>
      <c r="B3592" t="s">
        <v>28</v>
      </c>
      <c r="C3592" t="s">
        <v>82</v>
      </c>
      <c r="D3592" s="11">
        <v>45015</v>
      </c>
      <c r="E3592" t="s">
        <v>16</v>
      </c>
      <c r="F3592" t="s">
        <v>12</v>
      </c>
      <c r="G3592">
        <v>844551</v>
      </c>
      <c r="H3592">
        <v>5500019188</v>
      </c>
      <c r="I3592">
        <v>320</v>
      </c>
      <c r="J3592" s="29">
        <v>1</v>
      </c>
      <c r="K3592" s="29" t="s">
        <v>508</v>
      </c>
      <c r="L3592" t="str">
        <f>IFERROR(VLOOKUP(Detalle_OC[[#This Row],[Centro]]&amp;Detalle_OC[[#This Row],[Nro Almacen]],Almacen!A:D,4,FALSE),"")</f>
        <v>Montelima</v>
      </c>
    </row>
    <row r="3593" spans="1:12" x14ac:dyDescent="0.3">
      <c r="A3593" s="29" t="str">
        <f>Detalle_OC[[#This Row],[Centro]]&amp;Detalle_OC[[#This Row],[Nom Almacen]]&amp;Detalle_OC[[#This Row],[Material]]&amp;Detalle_OC[[#This Row],[Pedido]]&amp;Detalle_OC[[#This Row],[Posicion]]</f>
        <v>Agricola del Chira PlantaMontelima8445045500019188480</v>
      </c>
      <c r="B3593" t="s">
        <v>28</v>
      </c>
      <c r="C3593" t="s">
        <v>82</v>
      </c>
      <c r="D3593" s="11">
        <v>45015</v>
      </c>
      <c r="E3593" t="s">
        <v>16</v>
      </c>
      <c r="F3593" t="s">
        <v>12</v>
      </c>
      <c r="G3593">
        <v>844504</v>
      </c>
      <c r="H3593">
        <v>5500019188</v>
      </c>
      <c r="I3593">
        <v>480</v>
      </c>
      <c r="J3593" s="29">
        <v>1</v>
      </c>
      <c r="K3593" s="29" t="s">
        <v>508</v>
      </c>
      <c r="L3593" t="str">
        <f>IFERROR(VLOOKUP(Detalle_OC[[#This Row],[Centro]]&amp;Detalle_OC[[#This Row],[Nro Almacen]],Almacen!A:D,4,FALSE),"")</f>
        <v>Montelima</v>
      </c>
    </row>
    <row r="3594" spans="1:12" x14ac:dyDescent="0.3">
      <c r="A3594" s="29" t="str">
        <f>Detalle_OC[[#This Row],[Centro]]&amp;Detalle_OC[[#This Row],[Nom Almacen]]&amp;Detalle_OC[[#This Row],[Material]]&amp;Detalle_OC[[#This Row],[Pedido]]&amp;Detalle_OC[[#This Row],[Posicion]]</f>
        <v>Agricola del Chira PlantaMontelima8445205500019188520</v>
      </c>
      <c r="B3594" t="s">
        <v>28</v>
      </c>
      <c r="C3594" t="s">
        <v>82</v>
      </c>
      <c r="D3594" s="11">
        <v>45015</v>
      </c>
      <c r="E3594" t="s">
        <v>16</v>
      </c>
      <c r="F3594" t="s">
        <v>12</v>
      </c>
      <c r="G3594">
        <v>844520</v>
      </c>
      <c r="H3594">
        <v>5500019188</v>
      </c>
      <c r="I3594">
        <v>520</v>
      </c>
      <c r="J3594" s="29">
        <v>1</v>
      </c>
      <c r="K3594" s="29" t="s">
        <v>508</v>
      </c>
      <c r="L3594" t="str">
        <f>IFERROR(VLOOKUP(Detalle_OC[[#This Row],[Centro]]&amp;Detalle_OC[[#This Row],[Nro Almacen]],Almacen!A:D,4,FALSE),"")</f>
        <v>Montelima</v>
      </c>
    </row>
    <row r="3595" spans="1:12" x14ac:dyDescent="0.3">
      <c r="A3595" s="29" t="str">
        <f>Detalle_OC[[#This Row],[Centro]]&amp;Detalle_OC[[#This Row],[Nom Almacen]]&amp;Detalle_OC[[#This Row],[Material]]&amp;Detalle_OC[[#This Row],[Pedido]]&amp;Detalle_OC[[#This Row],[Posicion]]</f>
        <v>Agricola del Chira PlantaMontelima8445255500019188870</v>
      </c>
      <c r="B3595" t="s">
        <v>28</v>
      </c>
      <c r="C3595" t="s">
        <v>82</v>
      </c>
      <c r="D3595" s="11">
        <v>45015</v>
      </c>
      <c r="E3595" t="s">
        <v>16</v>
      </c>
      <c r="F3595" t="s">
        <v>12</v>
      </c>
      <c r="G3595">
        <v>844525</v>
      </c>
      <c r="H3595">
        <v>5500019188</v>
      </c>
      <c r="I3595">
        <v>870</v>
      </c>
      <c r="J3595" s="29">
        <v>1</v>
      </c>
      <c r="K3595" s="29" t="s">
        <v>508</v>
      </c>
      <c r="L3595" t="str">
        <f>IFERROR(VLOOKUP(Detalle_OC[[#This Row],[Centro]]&amp;Detalle_OC[[#This Row],[Nro Almacen]],Almacen!A:D,4,FALSE),"")</f>
        <v>Montelima</v>
      </c>
    </row>
    <row r="3596" spans="1:12" x14ac:dyDescent="0.3">
      <c r="A3596" s="29" t="str">
        <f>Detalle_OC[[#This Row],[Centro]]&amp;Detalle_OC[[#This Row],[Nom Almacen]]&amp;Detalle_OC[[#This Row],[Material]]&amp;Detalle_OC[[#This Row],[Pedido]]&amp;Detalle_OC[[#This Row],[Posicion]]</f>
        <v>Agricola del Chira PlantaMontelima8445215500019188410</v>
      </c>
      <c r="B3596" t="s">
        <v>28</v>
      </c>
      <c r="C3596" t="s">
        <v>82</v>
      </c>
      <c r="D3596" s="11">
        <v>45014</v>
      </c>
      <c r="E3596" t="s">
        <v>16</v>
      </c>
      <c r="F3596" t="s">
        <v>12</v>
      </c>
      <c r="G3596">
        <v>844521</v>
      </c>
      <c r="H3596">
        <v>5500019188</v>
      </c>
      <c r="I3596">
        <v>410</v>
      </c>
      <c r="J3596" s="29">
        <v>1</v>
      </c>
      <c r="K3596" s="29" t="s">
        <v>509</v>
      </c>
      <c r="L3596" t="str">
        <f>IFERROR(VLOOKUP(Detalle_OC[[#This Row],[Centro]]&amp;Detalle_OC[[#This Row],[Nro Almacen]],Almacen!A:D,4,FALSE),"")</f>
        <v>Montelima</v>
      </c>
    </row>
    <row r="3597" spans="1:12" x14ac:dyDescent="0.3">
      <c r="A3597" s="29" t="str">
        <f>Detalle_OC[[#This Row],[Centro]]&amp;Detalle_OC[[#This Row],[Nom Almacen]]&amp;Detalle_OC[[#This Row],[Material]]&amp;Detalle_OC[[#This Row],[Pedido]]&amp;Detalle_OC[[#This Row],[Posicion]]</f>
        <v>Agricola del Chira PlantaMontelima83082955000191881490</v>
      </c>
      <c r="B3597" t="s">
        <v>28</v>
      </c>
      <c r="C3597" t="s">
        <v>82</v>
      </c>
      <c r="D3597" s="11">
        <v>45014</v>
      </c>
      <c r="E3597" t="s">
        <v>16</v>
      </c>
      <c r="F3597" t="s">
        <v>12</v>
      </c>
      <c r="G3597">
        <v>830829</v>
      </c>
      <c r="H3597">
        <v>5500019188</v>
      </c>
      <c r="I3597">
        <v>1490</v>
      </c>
      <c r="J3597" s="29">
        <v>1</v>
      </c>
      <c r="K3597" s="29" t="s">
        <v>509</v>
      </c>
      <c r="L3597" t="str">
        <f>IFERROR(VLOOKUP(Detalle_OC[[#This Row],[Centro]]&amp;Detalle_OC[[#This Row],[Nro Almacen]],Almacen!A:D,4,FALSE),"")</f>
        <v>Montelima</v>
      </c>
    </row>
    <row r="3598" spans="1:12" x14ac:dyDescent="0.3">
      <c r="A3598" s="29" t="str">
        <f>Detalle_OC[[#This Row],[Centro]]&amp;Detalle_OC[[#This Row],[Nom Almacen]]&amp;Detalle_OC[[#This Row],[Material]]&amp;Detalle_OC[[#This Row],[Pedido]]&amp;Detalle_OC[[#This Row],[Posicion]]</f>
        <v>Agricola del Chira PlantaMontelima762202550001918850</v>
      </c>
      <c r="B3598" t="s">
        <v>28</v>
      </c>
      <c r="C3598" t="s">
        <v>82</v>
      </c>
      <c r="D3598" s="11">
        <v>45013</v>
      </c>
      <c r="E3598" t="s">
        <v>16</v>
      </c>
      <c r="F3598" t="s">
        <v>12</v>
      </c>
      <c r="G3598">
        <v>762202</v>
      </c>
      <c r="H3598">
        <v>5500019188</v>
      </c>
      <c r="I3598">
        <v>50</v>
      </c>
      <c r="J3598" s="29">
        <v>1</v>
      </c>
      <c r="K3598" s="29" t="s">
        <v>510</v>
      </c>
      <c r="L3598" t="str">
        <f>IFERROR(VLOOKUP(Detalle_OC[[#This Row],[Centro]]&amp;Detalle_OC[[#This Row],[Nro Almacen]],Almacen!A:D,4,FALSE),"")</f>
        <v>Montelima</v>
      </c>
    </row>
    <row r="3599" spans="1:12" x14ac:dyDescent="0.3">
      <c r="A3599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3599" t="s">
        <v>28</v>
      </c>
      <c r="C3599" t="s">
        <v>82</v>
      </c>
      <c r="D3599" s="11">
        <v>45013</v>
      </c>
      <c r="E3599" t="s">
        <v>16</v>
      </c>
      <c r="F3599" t="s">
        <v>12</v>
      </c>
      <c r="G3599">
        <v>844516</v>
      </c>
      <c r="H3599">
        <v>5500019188</v>
      </c>
      <c r="I3599">
        <v>190</v>
      </c>
      <c r="J3599" s="29">
        <v>1</v>
      </c>
      <c r="K3599" s="29" t="s">
        <v>510</v>
      </c>
      <c r="L3599" t="str">
        <f>IFERROR(VLOOKUP(Detalle_OC[[#This Row],[Centro]]&amp;Detalle_OC[[#This Row],[Nro Almacen]],Almacen!A:D,4,FALSE),"")</f>
        <v>Montelima</v>
      </c>
    </row>
    <row r="3600" spans="1:12" x14ac:dyDescent="0.3">
      <c r="A3600" s="29" t="str">
        <f>Detalle_OC[[#This Row],[Centro]]&amp;Detalle_OC[[#This Row],[Nom Almacen]]&amp;Detalle_OC[[#This Row],[Material]]&amp;Detalle_OC[[#This Row],[Pedido]]&amp;Detalle_OC[[#This Row],[Posicion]]</f>
        <v>Agricola del Chira PlantaMontelima8445395500019188300</v>
      </c>
      <c r="B3600" t="s">
        <v>28</v>
      </c>
      <c r="C3600" t="s">
        <v>82</v>
      </c>
      <c r="D3600" s="11">
        <v>45013</v>
      </c>
      <c r="E3600" t="s">
        <v>16</v>
      </c>
      <c r="F3600" t="s">
        <v>12</v>
      </c>
      <c r="G3600">
        <v>844539</v>
      </c>
      <c r="H3600">
        <v>5500019188</v>
      </c>
      <c r="I3600">
        <v>300</v>
      </c>
      <c r="J3600" s="29">
        <v>1</v>
      </c>
      <c r="K3600" s="29" t="s">
        <v>510</v>
      </c>
      <c r="L3600" t="str">
        <f>IFERROR(VLOOKUP(Detalle_OC[[#This Row],[Centro]]&amp;Detalle_OC[[#This Row],[Nro Almacen]],Almacen!A:D,4,FALSE),"")</f>
        <v>Montelima</v>
      </c>
    </row>
    <row r="3601" spans="1:12" x14ac:dyDescent="0.3">
      <c r="A3601" s="29" t="str">
        <f>Detalle_OC[[#This Row],[Centro]]&amp;Detalle_OC[[#This Row],[Nom Almacen]]&amp;Detalle_OC[[#This Row],[Material]]&amp;Detalle_OC[[#This Row],[Pedido]]&amp;Detalle_OC[[#This Row],[Posicion]]</f>
        <v>Agricola del Chira PlantaMontelima8445515500019188320</v>
      </c>
      <c r="B3601" t="s">
        <v>28</v>
      </c>
      <c r="C3601" t="s">
        <v>82</v>
      </c>
      <c r="D3601" s="11">
        <v>45013</v>
      </c>
      <c r="E3601" t="s">
        <v>16</v>
      </c>
      <c r="F3601" t="s">
        <v>12</v>
      </c>
      <c r="G3601">
        <v>844551</v>
      </c>
      <c r="H3601">
        <v>5500019188</v>
      </c>
      <c r="I3601">
        <v>320</v>
      </c>
      <c r="J3601" s="29">
        <v>1</v>
      </c>
      <c r="K3601" s="29" t="s">
        <v>510</v>
      </c>
      <c r="L3601" t="str">
        <f>IFERROR(VLOOKUP(Detalle_OC[[#This Row],[Centro]]&amp;Detalle_OC[[#This Row],[Nro Almacen]],Almacen!A:D,4,FALSE),"")</f>
        <v>Montelima</v>
      </c>
    </row>
    <row r="3602" spans="1:12" x14ac:dyDescent="0.3">
      <c r="A3602" s="29" t="str">
        <f>Detalle_OC[[#This Row],[Centro]]&amp;Detalle_OC[[#This Row],[Nom Almacen]]&amp;Detalle_OC[[#This Row],[Material]]&amp;Detalle_OC[[#This Row],[Pedido]]&amp;Detalle_OC[[#This Row],[Posicion]]</f>
        <v>Agricola del Chira PlantaMontelima82639855000191881160</v>
      </c>
      <c r="B3602" t="s">
        <v>28</v>
      </c>
      <c r="C3602" t="s">
        <v>82</v>
      </c>
      <c r="D3602" s="11">
        <v>45013</v>
      </c>
      <c r="E3602" t="s">
        <v>16</v>
      </c>
      <c r="F3602" t="s">
        <v>12</v>
      </c>
      <c r="G3602">
        <v>826398</v>
      </c>
      <c r="H3602">
        <v>5500019188</v>
      </c>
      <c r="I3602">
        <v>1160</v>
      </c>
      <c r="J3602" s="29">
        <v>1</v>
      </c>
      <c r="K3602" s="29" t="s">
        <v>510</v>
      </c>
      <c r="L3602" t="str">
        <f>IFERROR(VLOOKUP(Detalle_OC[[#This Row],[Centro]]&amp;Detalle_OC[[#This Row],[Nro Almacen]],Almacen!A:D,4,FALSE),"")</f>
        <v>Montelima</v>
      </c>
    </row>
    <row r="3603" spans="1:12" x14ac:dyDescent="0.3">
      <c r="A3603" s="29" t="str">
        <f>Detalle_OC[[#This Row],[Centro]]&amp;Detalle_OC[[#This Row],[Nom Almacen]]&amp;Detalle_OC[[#This Row],[Material]]&amp;Detalle_OC[[#This Row],[Pedido]]&amp;Detalle_OC[[#This Row],[Posicion]]</f>
        <v>Agricola del Chira PlantaMontelima85063755000191881390</v>
      </c>
      <c r="B3603" t="s">
        <v>28</v>
      </c>
      <c r="C3603" t="s">
        <v>82</v>
      </c>
      <c r="D3603" s="11">
        <v>45013</v>
      </c>
      <c r="E3603" t="s">
        <v>16</v>
      </c>
      <c r="F3603" t="s">
        <v>12</v>
      </c>
      <c r="G3603">
        <v>850637</v>
      </c>
      <c r="H3603">
        <v>5500019188</v>
      </c>
      <c r="I3603">
        <v>1390</v>
      </c>
      <c r="J3603" s="29">
        <v>1</v>
      </c>
      <c r="K3603" s="29" t="s">
        <v>510</v>
      </c>
      <c r="L3603" t="str">
        <f>IFERROR(VLOOKUP(Detalle_OC[[#This Row],[Centro]]&amp;Detalle_OC[[#This Row],[Nro Almacen]],Almacen!A:D,4,FALSE),"")</f>
        <v>Montelima</v>
      </c>
    </row>
    <row r="3604" spans="1:12" x14ac:dyDescent="0.3">
      <c r="A3604" s="29" t="str">
        <f>Detalle_OC[[#This Row],[Centro]]&amp;Detalle_OC[[#This Row],[Nom Almacen]]&amp;Detalle_OC[[#This Row],[Material]]&amp;Detalle_OC[[#This Row],[Pedido]]&amp;Detalle_OC[[#This Row],[Posicion]]</f>
        <v>Agricola del Chira PlantaMontelima84709955000191881400</v>
      </c>
      <c r="B3604" t="s">
        <v>28</v>
      </c>
      <c r="C3604" t="s">
        <v>82</v>
      </c>
      <c r="D3604" s="11">
        <v>45013</v>
      </c>
      <c r="E3604" t="s">
        <v>16</v>
      </c>
      <c r="F3604" t="s">
        <v>12</v>
      </c>
      <c r="G3604">
        <v>847099</v>
      </c>
      <c r="H3604">
        <v>5500019188</v>
      </c>
      <c r="I3604">
        <v>1400</v>
      </c>
      <c r="J3604" s="29">
        <v>1</v>
      </c>
      <c r="K3604" s="29" t="s">
        <v>510</v>
      </c>
      <c r="L3604" t="str">
        <f>IFERROR(VLOOKUP(Detalle_OC[[#This Row],[Centro]]&amp;Detalle_OC[[#This Row],[Nro Almacen]],Almacen!A:D,4,FALSE),"")</f>
        <v>Montelima</v>
      </c>
    </row>
    <row r="3605" spans="1:12" x14ac:dyDescent="0.3">
      <c r="A3605" s="29" t="str">
        <f>Detalle_OC[[#This Row],[Centro]]&amp;Detalle_OC[[#This Row],[Nom Almacen]]&amp;Detalle_OC[[#This Row],[Material]]&amp;Detalle_OC[[#This Row],[Pedido]]&amp;Detalle_OC[[#This Row],[Posicion]]</f>
        <v>Agricola del Chira PlantaMontelima7003088055000191881750</v>
      </c>
      <c r="B3605" t="s">
        <v>28</v>
      </c>
      <c r="C3605" t="s">
        <v>82</v>
      </c>
      <c r="D3605" s="11">
        <v>45013</v>
      </c>
      <c r="E3605" t="s">
        <v>16</v>
      </c>
      <c r="F3605" t="s">
        <v>12</v>
      </c>
      <c r="G3605">
        <v>70030880</v>
      </c>
      <c r="H3605">
        <v>5500019188</v>
      </c>
      <c r="I3605">
        <v>1750</v>
      </c>
      <c r="J3605" s="29">
        <v>1</v>
      </c>
      <c r="K3605" s="29" t="s">
        <v>510</v>
      </c>
      <c r="L3605" t="str">
        <f>IFERROR(VLOOKUP(Detalle_OC[[#This Row],[Centro]]&amp;Detalle_OC[[#This Row],[Nro Almacen]],Almacen!A:D,4,FALSE),"")</f>
        <v>Montelima</v>
      </c>
    </row>
    <row r="3606" spans="1:12" x14ac:dyDescent="0.3">
      <c r="A3606" s="29" t="str">
        <f>Detalle_OC[[#This Row],[Centro]]&amp;Detalle_OC[[#This Row],[Nom Almacen]]&amp;Detalle_OC[[#This Row],[Material]]&amp;Detalle_OC[[#This Row],[Pedido]]&amp;Detalle_OC[[#This Row],[Posicion]]</f>
        <v>Agricola del Chira PlantaMontelima7003088455000191881760</v>
      </c>
      <c r="B3606" t="s">
        <v>28</v>
      </c>
      <c r="C3606" t="s">
        <v>82</v>
      </c>
      <c r="D3606" s="11">
        <v>45013</v>
      </c>
      <c r="E3606" t="s">
        <v>16</v>
      </c>
      <c r="F3606" t="s">
        <v>12</v>
      </c>
      <c r="G3606">
        <v>70030884</v>
      </c>
      <c r="H3606">
        <v>5500019188</v>
      </c>
      <c r="I3606">
        <v>1760</v>
      </c>
      <c r="J3606" s="29">
        <v>1</v>
      </c>
      <c r="K3606" s="29" t="s">
        <v>510</v>
      </c>
      <c r="L3606" t="str">
        <f>IFERROR(VLOOKUP(Detalle_OC[[#This Row],[Centro]]&amp;Detalle_OC[[#This Row],[Nro Almacen]],Almacen!A:D,4,FALSE),"")</f>
        <v>Montelima</v>
      </c>
    </row>
    <row r="3607" spans="1:12" x14ac:dyDescent="0.3">
      <c r="A3607" s="29" t="str">
        <f>Detalle_OC[[#This Row],[Centro]]&amp;Detalle_OC[[#This Row],[Nom Almacen]]&amp;Detalle_OC[[#This Row],[Material]]&amp;Detalle_OC[[#This Row],[Pedido]]&amp;Detalle_OC[[#This Row],[Posicion]]</f>
        <v>Agricola del Chira PlantaMontelima762202550001918850</v>
      </c>
      <c r="B3607" t="s">
        <v>28</v>
      </c>
      <c r="C3607" t="s">
        <v>82</v>
      </c>
      <c r="D3607" s="11">
        <v>45012</v>
      </c>
      <c r="E3607" t="s">
        <v>16</v>
      </c>
      <c r="F3607" t="s">
        <v>12</v>
      </c>
      <c r="G3607">
        <v>762202</v>
      </c>
      <c r="H3607">
        <v>5500019188</v>
      </c>
      <c r="I3607">
        <v>50</v>
      </c>
      <c r="J3607" s="29">
        <v>1</v>
      </c>
      <c r="K3607" s="29" t="s">
        <v>511</v>
      </c>
      <c r="L3607" t="str">
        <f>IFERROR(VLOOKUP(Detalle_OC[[#This Row],[Centro]]&amp;Detalle_OC[[#This Row],[Nro Almacen]],Almacen!A:D,4,FALSE),"")</f>
        <v>Montelima</v>
      </c>
    </row>
    <row r="3608" spans="1:12" x14ac:dyDescent="0.3">
      <c r="A3608" s="29" t="str">
        <f>Detalle_OC[[#This Row],[Centro]]&amp;Detalle_OC[[#This Row],[Nom Almacen]]&amp;Detalle_OC[[#This Row],[Material]]&amp;Detalle_OC[[#This Row],[Pedido]]&amp;Detalle_OC[[#This Row],[Posicion]]</f>
        <v>Agricola del Chira PlantaMontelima844601550001918860</v>
      </c>
      <c r="B3608" t="s">
        <v>28</v>
      </c>
      <c r="C3608" t="s">
        <v>82</v>
      </c>
      <c r="D3608" s="11">
        <v>45012</v>
      </c>
      <c r="E3608" t="s">
        <v>16</v>
      </c>
      <c r="F3608" t="s">
        <v>12</v>
      </c>
      <c r="G3608">
        <v>844601</v>
      </c>
      <c r="H3608">
        <v>5500019188</v>
      </c>
      <c r="I3608">
        <v>60</v>
      </c>
      <c r="J3608" s="29">
        <v>1</v>
      </c>
      <c r="K3608" s="29" t="s">
        <v>511</v>
      </c>
      <c r="L3608" t="str">
        <f>IFERROR(VLOOKUP(Detalle_OC[[#This Row],[Centro]]&amp;Detalle_OC[[#This Row],[Nro Almacen]],Almacen!A:D,4,FALSE),"")</f>
        <v>Montelima</v>
      </c>
    </row>
    <row r="3609" spans="1:12" x14ac:dyDescent="0.3">
      <c r="A3609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3609" t="s">
        <v>28</v>
      </c>
      <c r="C3609" t="s">
        <v>82</v>
      </c>
      <c r="D3609" s="11">
        <v>45012</v>
      </c>
      <c r="E3609" t="s">
        <v>16</v>
      </c>
      <c r="F3609" t="s">
        <v>12</v>
      </c>
      <c r="G3609">
        <v>844523</v>
      </c>
      <c r="H3609">
        <v>5500019188</v>
      </c>
      <c r="I3609">
        <v>140</v>
      </c>
      <c r="J3609" s="29">
        <v>1</v>
      </c>
      <c r="K3609" s="29" t="s">
        <v>511</v>
      </c>
      <c r="L3609" t="str">
        <f>IFERROR(VLOOKUP(Detalle_OC[[#This Row],[Centro]]&amp;Detalle_OC[[#This Row],[Nro Almacen]],Almacen!A:D,4,FALSE),"")</f>
        <v>Montelima</v>
      </c>
    </row>
    <row r="3610" spans="1:12" x14ac:dyDescent="0.3">
      <c r="A3610" s="29" t="str">
        <f>Detalle_OC[[#This Row],[Centro]]&amp;Detalle_OC[[#This Row],[Nom Almacen]]&amp;Detalle_OC[[#This Row],[Material]]&amp;Detalle_OC[[#This Row],[Pedido]]&amp;Detalle_OC[[#This Row],[Posicion]]</f>
        <v>Agricola del Chira PlantaMontelima8445115500019188180</v>
      </c>
      <c r="B3610" t="s">
        <v>28</v>
      </c>
      <c r="C3610" t="s">
        <v>82</v>
      </c>
      <c r="D3610" s="11">
        <v>45012</v>
      </c>
      <c r="E3610" t="s">
        <v>16</v>
      </c>
      <c r="F3610" t="s">
        <v>12</v>
      </c>
      <c r="G3610">
        <v>844511</v>
      </c>
      <c r="H3610">
        <v>5500019188</v>
      </c>
      <c r="I3610">
        <v>180</v>
      </c>
      <c r="J3610" s="29">
        <v>1</v>
      </c>
      <c r="K3610" s="29" t="s">
        <v>511</v>
      </c>
      <c r="L3610" t="str">
        <f>IFERROR(VLOOKUP(Detalle_OC[[#This Row],[Centro]]&amp;Detalle_OC[[#This Row],[Nro Almacen]],Almacen!A:D,4,FALSE),"")</f>
        <v>Montelima</v>
      </c>
    </row>
    <row r="3611" spans="1:12" x14ac:dyDescent="0.3">
      <c r="A3611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3611" t="s">
        <v>28</v>
      </c>
      <c r="C3611" t="s">
        <v>82</v>
      </c>
      <c r="D3611" s="11">
        <v>45012</v>
      </c>
      <c r="E3611" t="s">
        <v>16</v>
      </c>
      <c r="F3611" t="s">
        <v>12</v>
      </c>
      <c r="G3611">
        <v>844516</v>
      </c>
      <c r="H3611">
        <v>5500019188</v>
      </c>
      <c r="I3611">
        <v>190</v>
      </c>
      <c r="J3611" s="29">
        <v>1</v>
      </c>
      <c r="K3611" s="29" t="s">
        <v>511</v>
      </c>
      <c r="L3611" t="str">
        <f>IFERROR(VLOOKUP(Detalle_OC[[#This Row],[Centro]]&amp;Detalle_OC[[#This Row],[Nro Almacen]],Almacen!A:D,4,FALSE),"")</f>
        <v>Montelima</v>
      </c>
    </row>
    <row r="3612" spans="1:12" x14ac:dyDescent="0.3">
      <c r="A3612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3612" t="s">
        <v>28</v>
      </c>
      <c r="C3612" t="s">
        <v>82</v>
      </c>
      <c r="D3612" s="11">
        <v>45012</v>
      </c>
      <c r="E3612" t="s">
        <v>16</v>
      </c>
      <c r="F3612" t="s">
        <v>12</v>
      </c>
      <c r="G3612">
        <v>844508</v>
      </c>
      <c r="H3612">
        <v>5500019188</v>
      </c>
      <c r="I3612">
        <v>220</v>
      </c>
      <c r="J3612" s="29">
        <v>1</v>
      </c>
      <c r="K3612" s="29" t="s">
        <v>511</v>
      </c>
      <c r="L3612" t="str">
        <f>IFERROR(VLOOKUP(Detalle_OC[[#This Row],[Centro]]&amp;Detalle_OC[[#This Row],[Nro Almacen]],Almacen!A:D,4,FALSE),"")</f>
        <v>Montelima</v>
      </c>
    </row>
    <row r="3613" spans="1:12" x14ac:dyDescent="0.3">
      <c r="A3613" s="29" t="str">
        <f>Detalle_OC[[#This Row],[Centro]]&amp;Detalle_OC[[#This Row],[Nom Almacen]]&amp;Detalle_OC[[#This Row],[Material]]&amp;Detalle_OC[[#This Row],[Pedido]]&amp;Detalle_OC[[#This Row],[Posicion]]</f>
        <v>Agricola del Chira PlantaMontelima8445025500019188250</v>
      </c>
      <c r="B3613" t="s">
        <v>28</v>
      </c>
      <c r="C3613" t="s">
        <v>82</v>
      </c>
      <c r="D3613" s="11">
        <v>45012</v>
      </c>
      <c r="E3613" t="s">
        <v>16</v>
      </c>
      <c r="F3613" t="s">
        <v>12</v>
      </c>
      <c r="G3613">
        <v>844502</v>
      </c>
      <c r="H3613">
        <v>5500019188</v>
      </c>
      <c r="I3613">
        <v>250</v>
      </c>
      <c r="J3613" s="29">
        <v>1</v>
      </c>
      <c r="K3613" s="29" t="s">
        <v>511</v>
      </c>
      <c r="L3613" t="str">
        <f>IFERROR(VLOOKUP(Detalle_OC[[#This Row],[Centro]]&amp;Detalle_OC[[#This Row],[Nro Almacen]],Almacen!A:D,4,FALSE),"")</f>
        <v>Montelima</v>
      </c>
    </row>
    <row r="3614" spans="1:12" x14ac:dyDescent="0.3">
      <c r="A3614" s="29" t="str">
        <f>Detalle_OC[[#This Row],[Centro]]&amp;Detalle_OC[[#This Row],[Nom Almacen]]&amp;Detalle_OC[[#This Row],[Material]]&amp;Detalle_OC[[#This Row],[Pedido]]&amp;Detalle_OC[[#This Row],[Posicion]]</f>
        <v>Agricola del Chira PlantaMontelima8443975500019188280</v>
      </c>
      <c r="B3614" t="s">
        <v>28</v>
      </c>
      <c r="C3614" t="s">
        <v>82</v>
      </c>
      <c r="D3614" s="11">
        <v>45012</v>
      </c>
      <c r="E3614" t="s">
        <v>16</v>
      </c>
      <c r="F3614" t="s">
        <v>12</v>
      </c>
      <c r="G3614">
        <v>844397</v>
      </c>
      <c r="H3614">
        <v>5500019188</v>
      </c>
      <c r="I3614">
        <v>280</v>
      </c>
      <c r="J3614" s="29">
        <v>1</v>
      </c>
      <c r="K3614" s="29" t="s">
        <v>511</v>
      </c>
      <c r="L3614" t="str">
        <f>IFERROR(VLOOKUP(Detalle_OC[[#This Row],[Centro]]&amp;Detalle_OC[[#This Row],[Nro Almacen]],Almacen!A:D,4,FALSE),"")</f>
        <v>Montelima</v>
      </c>
    </row>
    <row r="3615" spans="1:12" x14ac:dyDescent="0.3">
      <c r="A3615" s="29" t="str">
        <f>Detalle_OC[[#This Row],[Centro]]&amp;Detalle_OC[[#This Row],[Nom Almacen]]&amp;Detalle_OC[[#This Row],[Material]]&amp;Detalle_OC[[#This Row],[Pedido]]&amp;Detalle_OC[[#This Row],[Posicion]]</f>
        <v>Agricola del Chira PlantaMontelima8443985500019188290</v>
      </c>
      <c r="B3615" t="s">
        <v>28</v>
      </c>
      <c r="C3615" t="s">
        <v>82</v>
      </c>
      <c r="D3615" s="11">
        <v>45012</v>
      </c>
      <c r="E3615" t="s">
        <v>16</v>
      </c>
      <c r="F3615" t="s">
        <v>12</v>
      </c>
      <c r="G3615">
        <v>844398</v>
      </c>
      <c r="H3615">
        <v>5500019188</v>
      </c>
      <c r="I3615">
        <v>290</v>
      </c>
      <c r="J3615" s="29">
        <v>1</v>
      </c>
      <c r="K3615" s="29" t="s">
        <v>511</v>
      </c>
      <c r="L3615" t="str">
        <f>IFERROR(VLOOKUP(Detalle_OC[[#This Row],[Centro]]&amp;Detalle_OC[[#This Row],[Nro Almacen]],Almacen!A:D,4,FALSE),"")</f>
        <v>Montelima</v>
      </c>
    </row>
    <row r="3616" spans="1:12" x14ac:dyDescent="0.3">
      <c r="A3616" s="29" t="str">
        <f>Detalle_OC[[#This Row],[Centro]]&amp;Detalle_OC[[#This Row],[Nom Almacen]]&amp;Detalle_OC[[#This Row],[Material]]&amp;Detalle_OC[[#This Row],[Pedido]]&amp;Detalle_OC[[#This Row],[Posicion]]</f>
        <v>Agricola del Chira PlantaMontelima8445395500019188300</v>
      </c>
      <c r="B3616" t="s">
        <v>28</v>
      </c>
      <c r="C3616" t="s">
        <v>82</v>
      </c>
      <c r="D3616" s="11">
        <v>45012</v>
      </c>
      <c r="E3616" t="s">
        <v>16</v>
      </c>
      <c r="F3616" t="s">
        <v>12</v>
      </c>
      <c r="G3616">
        <v>844539</v>
      </c>
      <c r="H3616">
        <v>5500019188</v>
      </c>
      <c r="I3616">
        <v>300</v>
      </c>
      <c r="J3616" s="29">
        <v>1</v>
      </c>
      <c r="K3616" s="29" t="s">
        <v>511</v>
      </c>
      <c r="L3616" t="str">
        <f>IFERROR(VLOOKUP(Detalle_OC[[#This Row],[Centro]]&amp;Detalle_OC[[#This Row],[Nro Almacen]],Almacen!A:D,4,FALSE),"")</f>
        <v>Montelima</v>
      </c>
    </row>
    <row r="3617" spans="1:12" x14ac:dyDescent="0.3">
      <c r="A3617" s="29" t="str">
        <f>Detalle_OC[[#This Row],[Centro]]&amp;Detalle_OC[[#This Row],[Nom Almacen]]&amp;Detalle_OC[[#This Row],[Material]]&amp;Detalle_OC[[#This Row],[Pedido]]&amp;Detalle_OC[[#This Row],[Posicion]]</f>
        <v>Agricola del Chira PlantaMontelima8445035500019188370</v>
      </c>
      <c r="B3617" t="s">
        <v>28</v>
      </c>
      <c r="C3617" t="s">
        <v>82</v>
      </c>
      <c r="D3617" s="11">
        <v>45012</v>
      </c>
      <c r="E3617" t="s">
        <v>16</v>
      </c>
      <c r="F3617" t="s">
        <v>12</v>
      </c>
      <c r="G3617">
        <v>844503</v>
      </c>
      <c r="H3617">
        <v>5500019188</v>
      </c>
      <c r="I3617">
        <v>370</v>
      </c>
      <c r="J3617" s="29">
        <v>1</v>
      </c>
      <c r="K3617" s="29" t="s">
        <v>511</v>
      </c>
      <c r="L3617" t="str">
        <f>IFERROR(VLOOKUP(Detalle_OC[[#This Row],[Centro]]&amp;Detalle_OC[[#This Row],[Nro Almacen]],Almacen!A:D,4,FALSE),"")</f>
        <v>Montelima</v>
      </c>
    </row>
    <row r="3618" spans="1:12" x14ac:dyDescent="0.3">
      <c r="A3618" s="29" t="str">
        <f>Detalle_OC[[#This Row],[Centro]]&amp;Detalle_OC[[#This Row],[Nom Almacen]]&amp;Detalle_OC[[#This Row],[Material]]&amp;Detalle_OC[[#This Row],[Pedido]]&amp;Detalle_OC[[#This Row],[Posicion]]</f>
        <v>Agricola del Chira PlantaMontelima8445295500019188380</v>
      </c>
      <c r="B3618" t="s">
        <v>28</v>
      </c>
      <c r="C3618" t="s">
        <v>82</v>
      </c>
      <c r="D3618" s="11">
        <v>45012</v>
      </c>
      <c r="E3618" t="s">
        <v>16</v>
      </c>
      <c r="F3618" t="s">
        <v>12</v>
      </c>
      <c r="G3618">
        <v>844529</v>
      </c>
      <c r="H3618">
        <v>5500019188</v>
      </c>
      <c r="I3618">
        <v>380</v>
      </c>
      <c r="J3618" s="29">
        <v>1</v>
      </c>
      <c r="K3618" s="29" t="s">
        <v>511</v>
      </c>
      <c r="L3618" t="str">
        <f>IFERROR(VLOOKUP(Detalle_OC[[#This Row],[Centro]]&amp;Detalle_OC[[#This Row],[Nro Almacen]],Almacen!A:D,4,FALSE),"")</f>
        <v>Montelima</v>
      </c>
    </row>
    <row r="3619" spans="1:12" x14ac:dyDescent="0.3">
      <c r="A3619" s="29" t="str">
        <f>Detalle_OC[[#This Row],[Centro]]&amp;Detalle_OC[[#This Row],[Nom Almacen]]&amp;Detalle_OC[[#This Row],[Material]]&amp;Detalle_OC[[#This Row],[Pedido]]&amp;Detalle_OC[[#This Row],[Posicion]]</f>
        <v>Agricola del Chira PlantaMontelima8445305500019188490</v>
      </c>
      <c r="B3619" t="s">
        <v>28</v>
      </c>
      <c r="C3619" t="s">
        <v>82</v>
      </c>
      <c r="D3619" s="11">
        <v>45012</v>
      </c>
      <c r="E3619" t="s">
        <v>16</v>
      </c>
      <c r="F3619" t="s">
        <v>12</v>
      </c>
      <c r="G3619">
        <v>844530</v>
      </c>
      <c r="H3619">
        <v>5500019188</v>
      </c>
      <c r="I3619">
        <v>490</v>
      </c>
      <c r="J3619" s="29">
        <v>1</v>
      </c>
      <c r="K3619" s="29" t="s">
        <v>511</v>
      </c>
      <c r="L3619" t="str">
        <f>IFERROR(VLOOKUP(Detalle_OC[[#This Row],[Centro]]&amp;Detalle_OC[[#This Row],[Nro Almacen]],Almacen!A:D,4,FALSE),"")</f>
        <v>Montelima</v>
      </c>
    </row>
    <row r="3620" spans="1:12" x14ac:dyDescent="0.3">
      <c r="A3620" s="29" t="str">
        <f>Detalle_OC[[#This Row],[Centro]]&amp;Detalle_OC[[#This Row],[Nom Almacen]]&amp;Detalle_OC[[#This Row],[Material]]&amp;Detalle_OC[[#This Row],[Pedido]]&amp;Detalle_OC[[#This Row],[Posicion]]</f>
        <v>Agricola del Chira PlantaMontelima8445145500019188540</v>
      </c>
      <c r="B3620" t="s">
        <v>28</v>
      </c>
      <c r="C3620" t="s">
        <v>82</v>
      </c>
      <c r="D3620" s="11">
        <v>45012</v>
      </c>
      <c r="E3620" t="s">
        <v>16</v>
      </c>
      <c r="F3620" t="s">
        <v>12</v>
      </c>
      <c r="G3620">
        <v>844514</v>
      </c>
      <c r="H3620">
        <v>5500019188</v>
      </c>
      <c r="I3620">
        <v>540</v>
      </c>
      <c r="J3620" s="29">
        <v>1</v>
      </c>
      <c r="K3620" s="29" t="s">
        <v>511</v>
      </c>
      <c r="L3620" t="str">
        <f>IFERROR(VLOOKUP(Detalle_OC[[#This Row],[Centro]]&amp;Detalle_OC[[#This Row],[Nro Almacen]],Almacen!A:D,4,FALSE),"")</f>
        <v>Montelima</v>
      </c>
    </row>
    <row r="3621" spans="1:12" x14ac:dyDescent="0.3">
      <c r="A3621" s="29" t="str">
        <f>Detalle_OC[[#This Row],[Centro]]&amp;Detalle_OC[[#This Row],[Nom Almacen]]&amp;Detalle_OC[[#This Row],[Material]]&amp;Detalle_OC[[#This Row],[Pedido]]&amp;Detalle_OC[[#This Row],[Posicion]]</f>
        <v>Agricola del Chira PlantaMontelima8445425500019188680</v>
      </c>
      <c r="B3621" t="s">
        <v>28</v>
      </c>
      <c r="C3621" t="s">
        <v>82</v>
      </c>
      <c r="D3621" s="11">
        <v>45012</v>
      </c>
      <c r="E3621" t="s">
        <v>16</v>
      </c>
      <c r="F3621" t="s">
        <v>12</v>
      </c>
      <c r="G3621">
        <v>844542</v>
      </c>
      <c r="H3621">
        <v>5500019188</v>
      </c>
      <c r="I3621">
        <v>680</v>
      </c>
      <c r="J3621" s="29">
        <v>1</v>
      </c>
      <c r="K3621" s="29" t="s">
        <v>511</v>
      </c>
      <c r="L3621" t="str">
        <f>IFERROR(VLOOKUP(Detalle_OC[[#This Row],[Centro]]&amp;Detalle_OC[[#This Row],[Nro Almacen]],Almacen!A:D,4,FALSE),"")</f>
        <v>Montelima</v>
      </c>
    </row>
    <row r="3622" spans="1:12" x14ac:dyDescent="0.3">
      <c r="A3622" s="29" t="str">
        <f>Detalle_OC[[#This Row],[Centro]]&amp;Detalle_OC[[#This Row],[Nom Almacen]]&amp;Detalle_OC[[#This Row],[Material]]&amp;Detalle_OC[[#This Row],[Pedido]]&amp;Detalle_OC[[#This Row],[Posicion]]</f>
        <v>Agricola del Chira PlantaMontelima8445015500019188760</v>
      </c>
      <c r="B3622" t="s">
        <v>28</v>
      </c>
      <c r="C3622" t="s">
        <v>82</v>
      </c>
      <c r="D3622" s="11">
        <v>45012</v>
      </c>
      <c r="E3622" t="s">
        <v>16</v>
      </c>
      <c r="F3622" t="s">
        <v>12</v>
      </c>
      <c r="G3622">
        <v>844501</v>
      </c>
      <c r="H3622">
        <v>5500019188</v>
      </c>
      <c r="I3622">
        <v>760</v>
      </c>
      <c r="J3622" s="29">
        <v>1</v>
      </c>
      <c r="K3622" s="29" t="s">
        <v>511</v>
      </c>
      <c r="L3622" t="str">
        <f>IFERROR(VLOOKUP(Detalle_OC[[#This Row],[Centro]]&amp;Detalle_OC[[#This Row],[Nro Almacen]],Almacen!A:D,4,FALSE),"")</f>
        <v>Montelima</v>
      </c>
    </row>
    <row r="3623" spans="1:12" x14ac:dyDescent="0.3">
      <c r="A3623" s="29" t="str">
        <f>Detalle_OC[[#This Row],[Centro]]&amp;Detalle_OC[[#This Row],[Nom Almacen]]&amp;Detalle_OC[[#This Row],[Material]]&amp;Detalle_OC[[#This Row],[Pedido]]&amp;Detalle_OC[[#This Row],[Posicion]]</f>
        <v>Agricola del Chira PlantaMontelima8959485500019188860</v>
      </c>
      <c r="B3623" t="s">
        <v>28</v>
      </c>
      <c r="C3623" t="s">
        <v>82</v>
      </c>
      <c r="D3623" s="11">
        <v>45012</v>
      </c>
      <c r="E3623" t="s">
        <v>16</v>
      </c>
      <c r="F3623" t="s">
        <v>12</v>
      </c>
      <c r="G3623">
        <v>895948</v>
      </c>
      <c r="H3623">
        <v>5500019188</v>
      </c>
      <c r="I3623">
        <v>860</v>
      </c>
      <c r="J3623" s="29">
        <v>1</v>
      </c>
      <c r="K3623" s="29" t="s">
        <v>511</v>
      </c>
      <c r="L3623" t="str">
        <f>IFERROR(VLOOKUP(Detalle_OC[[#This Row],[Centro]]&amp;Detalle_OC[[#This Row],[Nro Almacen]],Almacen!A:D,4,FALSE),"")</f>
        <v>Montelima</v>
      </c>
    </row>
    <row r="3624" spans="1:12" x14ac:dyDescent="0.3">
      <c r="A3624" s="29" t="str">
        <f>Detalle_OC[[#This Row],[Centro]]&amp;Detalle_OC[[#This Row],[Nom Almacen]]&amp;Detalle_OC[[#This Row],[Material]]&amp;Detalle_OC[[#This Row],[Pedido]]&amp;Detalle_OC[[#This Row],[Posicion]]</f>
        <v>Agricola del Chira PlantaMontelima83507355000191881320</v>
      </c>
      <c r="B3624" t="s">
        <v>28</v>
      </c>
      <c r="C3624" t="s">
        <v>82</v>
      </c>
      <c r="D3624" s="11">
        <v>45012</v>
      </c>
      <c r="E3624" t="s">
        <v>16</v>
      </c>
      <c r="F3624" t="s">
        <v>12</v>
      </c>
      <c r="G3624">
        <v>835073</v>
      </c>
      <c r="H3624">
        <v>5500019188</v>
      </c>
      <c r="I3624">
        <v>1320</v>
      </c>
      <c r="J3624" s="29">
        <v>1</v>
      </c>
      <c r="K3624" s="29" t="s">
        <v>511</v>
      </c>
      <c r="L3624" t="str">
        <f>IFERROR(VLOOKUP(Detalle_OC[[#This Row],[Centro]]&amp;Detalle_OC[[#This Row],[Nro Almacen]],Almacen!A:D,4,FALSE),"")</f>
        <v>Montelima</v>
      </c>
    </row>
    <row r="3625" spans="1:12" x14ac:dyDescent="0.3">
      <c r="A3625" s="29" t="str">
        <f>Detalle_OC[[#This Row],[Centro]]&amp;Detalle_OC[[#This Row],[Nom Almacen]]&amp;Detalle_OC[[#This Row],[Material]]&amp;Detalle_OC[[#This Row],[Pedido]]&amp;Detalle_OC[[#This Row],[Posicion]]</f>
        <v>Agricola del Chira PlantaMontelima7003087855000191881730</v>
      </c>
      <c r="B3625" t="s">
        <v>28</v>
      </c>
      <c r="C3625" t="s">
        <v>82</v>
      </c>
      <c r="D3625" s="11">
        <v>45012</v>
      </c>
      <c r="E3625" t="s">
        <v>16</v>
      </c>
      <c r="F3625" t="s">
        <v>12</v>
      </c>
      <c r="G3625">
        <v>70030878</v>
      </c>
      <c r="H3625">
        <v>5500019188</v>
      </c>
      <c r="I3625">
        <v>1730</v>
      </c>
      <c r="J3625" s="29">
        <v>1</v>
      </c>
      <c r="K3625" s="29" t="s">
        <v>511</v>
      </c>
      <c r="L3625" t="str">
        <f>IFERROR(VLOOKUP(Detalle_OC[[#This Row],[Centro]]&amp;Detalle_OC[[#This Row],[Nro Almacen]],Almacen!A:D,4,FALSE),"")</f>
        <v>Montelima</v>
      </c>
    </row>
    <row r="3626" spans="1:12" x14ac:dyDescent="0.3">
      <c r="A3626" s="29" t="str">
        <f>Detalle_OC[[#This Row],[Centro]]&amp;Detalle_OC[[#This Row],[Nom Almacen]]&amp;Detalle_OC[[#This Row],[Material]]&amp;Detalle_OC[[#This Row],[Pedido]]&amp;Detalle_OC[[#This Row],[Posicion]]</f>
        <v>Agricola del Chira PlantaMontelima8445335500019188170</v>
      </c>
      <c r="B3626" t="s">
        <v>28</v>
      </c>
      <c r="C3626" t="s">
        <v>82</v>
      </c>
      <c r="D3626" s="11">
        <v>44999</v>
      </c>
      <c r="E3626" t="s">
        <v>16</v>
      </c>
      <c r="F3626" t="s">
        <v>12</v>
      </c>
      <c r="G3626">
        <v>844533</v>
      </c>
      <c r="H3626">
        <v>5500019188</v>
      </c>
      <c r="I3626">
        <v>170</v>
      </c>
      <c r="J3626" s="29">
        <v>1</v>
      </c>
      <c r="K3626" s="29" t="s">
        <v>512</v>
      </c>
      <c r="L3626" t="str">
        <f>IFERROR(VLOOKUP(Detalle_OC[[#This Row],[Centro]]&amp;Detalle_OC[[#This Row],[Nro Almacen]],Almacen!A:D,4,FALSE),"")</f>
        <v>Montelima</v>
      </c>
    </row>
    <row r="3627" spans="1:12" x14ac:dyDescent="0.3">
      <c r="A3627" s="29" t="str">
        <f>Detalle_OC[[#This Row],[Centro]]&amp;Detalle_OC[[#This Row],[Nom Almacen]]&amp;Detalle_OC[[#This Row],[Material]]&amp;Detalle_OC[[#This Row],[Pedido]]&amp;Detalle_OC[[#This Row],[Posicion]]</f>
        <v>Agricola del Chira PlantaMontelima8443975500019188280</v>
      </c>
      <c r="B3627" t="s">
        <v>28</v>
      </c>
      <c r="C3627" t="s">
        <v>82</v>
      </c>
      <c r="D3627" s="11">
        <v>44999</v>
      </c>
      <c r="E3627" t="s">
        <v>16</v>
      </c>
      <c r="F3627" t="s">
        <v>12</v>
      </c>
      <c r="G3627">
        <v>844397</v>
      </c>
      <c r="H3627">
        <v>5500019188</v>
      </c>
      <c r="I3627">
        <v>280</v>
      </c>
      <c r="J3627" s="29">
        <v>1</v>
      </c>
      <c r="K3627" s="29" t="s">
        <v>512</v>
      </c>
      <c r="L3627" t="str">
        <f>IFERROR(VLOOKUP(Detalle_OC[[#This Row],[Centro]]&amp;Detalle_OC[[#This Row],[Nro Almacen]],Almacen!A:D,4,FALSE),"")</f>
        <v>Montelima</v>
      </c>
    </row>
    <row r="3628" spans="1:12" x14ac:dyDescent="0.3">
      <c r="A3628" s="29" t="str">
        <f>Detalle_OC[[#This Row],[Centro]]&amp;Detalle_OC[[#This Row],[Nom Almacen]]&amp;Detalle_OC[[#This Row],[Material]]&amp;Detalle_OC[[#This Row],[Pedido]]&amp;Detalle_OC[[#This Row],[Posicion]]</f>
        <v>Agricola del Chira PlantaMontelima8445395500019188300</v>
      </c>
      <c r="B3628" t="s">
        <v>28</v>
      </c>
      <c r="C3628" t="s">
        <v>82</v>
      </c>
      <c r="D3628" s="11">
        <v>44999</v>
      </c>
      <c r="E3628" t="s">
        <v>16</v>
      </c>
      <c r="F3628" t="s">
        <v>12</v>
      </c>
      <c r="G3628">
        <v>844539</v>
      </c>
      <c r="H3628">
        <v>5500019188</v>
      </c>
      <c r="I3628">
        <v>300</v>
      </c>
      <c r="J3628" s="29">
        <v>1</v>
      </c>
      <c r="K3628" s="29" t="s">
        <v>512</v>
      </c>
      <c r="L3628" t="str">
        <f>IFERROR(VLOOKUP(Detalle_OC[[#This Row],[Centro]]&amp;Detalle_OC[[#This Row],[Nro Almacen]],Almacen!A:D,4,FALSE),"")</f>
        <v>Montelima</v>
      </c>
    </row>
    <row r="3629" spans="1:12" x14ac:dyDescent="0.3">
      <c r="A3629" s="29" t="str">
        <f>Detalle_OC[[#This Row],[Centro]]&amp;Detalle_OC[[#This Row],[Nom Almacen]]&amp;Detalle_OC[[#This Row],[Material]]&amp;Detalle_OC[[#This Row],[Pedido]]&amp;Detalle_OC[[#This Row],[Posicion]]</f>
        <v>Agricola del Chira PlantaMontelima8445135500019188450</v>
      </c>
      <c r="B3629" t="s">
        <v>28</v>
      </c>
      <c r="C3629" t="s">
        <v>82</v>
      </c>
      <c r="D3629" s="11">
        <v>44999</v>
      </c>
      <c r="E3629" t="s">
        <v>16</v>
      </c>
      <c r="F3629" t="s">
        <v>12</v>
      </c>
      <c r="G3629">
        <v>844513</v>
      </c>
      <c r="H3629">
        <v>5500019188</v>
      </c>
      <c r="I3629">
        <v>450</v>
      </c>
      <c r="J3629" s="29">
        <v>1</v>
      </c>
      <c r="K3629" s="29" t="s">
        <v>512</v>
      </c>
      <c r="L3629" t="str">
        <f>IFERROR(VLOOKUP(Detalle_OC[[#This Row],[Centro]]&amp;Detalle_OC[[#This Row],[Nro Almacen]],Almacen!A:D,4,FALSE),"")</f>
        <v>Montelima</v>
      </c>
    </row>
    <row r="3630" spans="1:12" x14ac:dyDescent="0.3">
      <c r="A3630" s="29" t="str">
        <f>Detalle_OC[[#This Row],[Centro]]&amp;Detalle_OC[[#This Row],[Nom Almacen]]&amp;Detalle_OC[[#This Row],[Material]]&amp;Detalle_OC[[#This Row],[Pedido]]&amp;Detalle_OC[[#This Row],[Posicion]]</f>
        <v>Agricola del Chira PlantaMontelima8445145500019188540</v>
      </c>
      <c r="B3630" t="s">
        <v>28</v>
      </c>
      <c r="C3630" t="s">
        <v>82</v>
      </c>
      <c r="D3630" s="11">
        <v>44999</v>
      </c>
      <c r="E3630" t="s">
        <v>16</v>
      </c>
      <c r="F3630" t="s">
        <v>12</v>
      </c>
      <c r="G3630">
        <v>844514</v>
      </c>
      <c r="H3630">
        <v>5500019188</v>
      </c>
      <c r="I3630">
        <v>540</v>
      </c>
      <c r="J3630" s="29">
        <v>1</v>
      </c>
      <c r="K3630" s="29" t="s">
        <v>512</v>
      </c>
      <c r="L3630" t="str">
        <f>IFERROR(VLOOKUP(Detalle_OC[[#This Row],[Centro]]&amp;Detalle_OC[[#This Row],[Nro Almacen]],Almacen!A:D,4,FALSE),"")</f>
        <v>Montelima</v>
      </c>
    </row>
    <row r="3631" spans="1:12" x14ac:dyDescent="0.3">
      <c r="A3631" s="29" t="str">
        <f>Detalle_OC[[#This Row],[Centro]]&amp;Detalle_OC[[#This Row],[Nom Almacen]]&amp;Detalle_OC[[#This Row],[Material]]&amp;Detalle_OC[[#This Row],[Pedido]]&amp;Detalle_OC[[#This Row],[Posicion]]</f>
        <v>Agricola del Chira PlantaMontelima83106655000191881040</v>
      </c>
      <c r="B3631" t="s">
        <v>28</v>
      </c>
      <c r="C3631" t="s">
        <v>82</v>
      </c>
      <c r="D3631" s="11">
        <v>44999</v>
      </c>
      <c r="E3631" t="s">
        <v>16</v>
      </c>
      <c r="F3631" t="s">
        <v>12</v>
      </c>
      <c r="G3631">
        <v>831066</v>
      </c>
      <c r="H3631">
        <v>5500019188</v>
      </c>
      <c r="I3631">
        <v>1040</v>
      </c>
      <c r="J3631" s="29">
        <v>1</v>
      </c>
      <c r="K3631" s="29" t="s">
        <v>512</v>
      </c>
      <c r="L3631" t="str">
        <f>IFERROR(VLOOKUP(Detalle_OC[[#This Row],[Centro]]&amp;Detalle_OC[[#This Row],[Nro Almacen]],Almacen!A:D,4,FALSE),"")</f>
        <v>Montelima</v>
      </c>
    </row>
    <row r="3632" spans="1:12" x14ac:dyDescent="0.3">
      <c r="A3632" s="29" t="str">
        <f>Detalle_OC[[#This Row],[Centro]]&amp;Detalle_OC[[#This Row],[Nom Almacen]]&amp;Detalle_OC[[#This Row],[Material]]&amp;Detalle_OC[[#This Row],[Pedido]]&amp;Detalle_OC[[#This Row],[Posicion]]</f>
        <v>Agricola del Chira PlantaMontelima7382475500019188100</v>
      </c>
      <c r="B3632" t="s">
        <v>28</v>
      </c>
      <c r="C3632" t="s">
        <v>82</v>
      </c>
      <c r="D3632" s="11">
        <v>44977</v>
      </c>
      <c r="E3632" t="s">
        <v>16</v>
      </c>
      <c r="F3632" t="s">
        <v>12</v>
      </c>
      <c r="G3632">
        <v>738247</v>
      </c>
      <c r="H3632">
        <v>5500019188</v>
      </c>
      <c r="I3632">
        <v>100</v>
      </c>
      <c r="J3632" s="29">
        <v>1</v>
      </c>
      <c r="K3632" s="29" t="s">
        <v>513</v>
      </c>
      <c r="L3632" t="str">
        <f>IFERROR(VLOOKUP(Detalle_OC[[#This Row],[Centro]]&amp;Detalle_OC[[#This Row],[Nro Almacen]],Almacen!A:D,4,FALSE),"")</f>
        <v>Montelima</v>
      </c>
    </row>
    <row r="3633" spans="1:12" x14ac:dyDescent="0.3">
      <c r="A3633" s="29" t="str">
        <f>Detalle_OC[[#This Row],[Centro]]&amp;Detalle_OC[[#This Row],[Nom Almacen]]&amp;Detalle_OC[[#This Row],[Material]]&amp;Detalle_OC[[#This Row],[Pedido]]&amp;Detalle_OC[[#This Row],[Posicion]]</f>
        <v>Agricola del Chira PlantaMontelima8445335500019188170</v>
      </c>
      <c r="B3633" t="s">
        <v>28</v>
      </c>
      <c r="C3633" t="s">
        <v>82</v>
      </c>
      <c r="D3633" s="11">
        <v>44977</v>
      </c>
      <c r="E3633" t="s">
        <v>16</v>
      </c>
      <c r="F3633" t="s">
        <v>12</v>
      </c>
      <c r="G3633">
        <v>844533</v>
      </c>
      <c r="H3633">
        <v>5500019188</v>
      </c>
      <c r="I3633">
        <v>170</v>
      </c>
      <c r="J3633" s="29">
        <v>1</v>
      </c>
      <c r="K3633" s="29" t="s">
        <v>513</v>
      </c>
      <c r="L3633" t="str">
        <f>IFERROR(VLOOKUP(Detalle_OC[[#This Row],[Centro]]&amp;Detalle_OC[[#This Row],[Nro Almacen]],Almacen!A:D,4,FALSE),"")</f>
        <v>Montelima</v>
      </c>
    </row>
    <row r="3634" spans="1:12" x14ac:dyDescent="0.3">
      <c r="A3634" s="29" t="str">
        <f>Detalle_OC[[#This Row],[Centro]]&amp;Detalle_OC[[#This Row],[Nom Almacen]]&amp;Detalle_OC[[#This Row],[Material]]&amp;Detalle_OC[[#This Row],[Pedido]]&amp;Detalle_OC[[#This Row],[Posicion]]</f>
        <v>Agricola del Chira PlantaMontelima8443975500019188280</v>
      </c>
      <c r="B3634" t="s">
        <v>28</v>
      </c>
      <c r="C3634" t="s">
        <v>82</v>
      </c>
      <c r="D3634" s="11">
        <v>44977</v>
      </c>
      <c r="E3634" t="s">
        <v>16</v>
      </c>
      <c r="F3634" t="s">
        <v>12</v>
      </c>
      <c r="G3634">
        <v>844397</v>
      </c>
      <c r="H3634">
        <v>5500019188</v>
      </c>
      <c r="I3634">
        <v>280</v>
      </c>
      <c r="J3634" s="29">
        <v>1</v>
      </c>
      <c r="K3634" s="29" t="s">
        <v>513</v>
      </c>
      <c r="L3634" t="str">
        <f>IFERROR(VLOOKUP(Detalle_OC[[#This Row],[Centro]]&amp;Detalle_OC[[#This Row],[Nro Almacen]],Almacen!A:D,4,FALSE),"")</f>
        <v>Montelima</v>
      </c>
    </row>
    <row r="3635" spans="1:12" x14ac:dyDescent="0.3">
      <c r="A3635" s="29" t="str">
        <f>Detalle_OC[[#This Row],[Centro]]&amp;Detalle_OC[[#This Row],[Nom Almacen]]&amp;Detalle_OC[[#This Row],[Material]]&amp;Detalle_OC[[#This Row],[Pedido]]&amp;Detalle_OC[[#This Row],[Posicion]]</f>
        <v>Agricola del Chira PlantaMontelima8445285500019188360</v>
      </c>
      <c r="B3635" t="s">
        <v>28</v>
      </c>
      <c r="C3635" t="s">
        <v>82</v>
      </c>
      <c r="D3635" s="11">
        <v>44977</v>
      </c>
      <c r="E3635" t="s">
        <v>16</v>
      </c>
      <c r="F3635" t="s">
        <v>12</v>
      </c>
      <c r="G3635">
        <v>844528</v>
      </c>
      <c r="H3635">
        <v>5500019188</v>
      </c>
      <c r="I3635">
        <v>360</v>
      </c>
      <c r="J3635" s="29">
        <v>1</v>
      </c>
      <c r="K3635" s="29" t="s">
        <v>513</v>
      </c>
      <c r="L3635" t="str">
        <f>IFERROR(VLOOKUP(Detalle_OC[[#This Row],[Centro]]&amp;Detalle_OC[[#This Row],[Nro Almacen]],Almacen!A:D,4,FALSE),"")</f>
        <v>Montelima</v>
      </c>
    </row>
    <row r="3636" spans="1:12" x14ac:dyDescent="0.3">
      <c r="A3636" s="29" t="str">
        <f>Detalle_OC[[#This Row],[Centro]]&amp;Detalle_OC[[#This Row],[Nom Almacen]]&amp;Detalle_OC[[#This Row],[Material]]&amp;Detalle_OC[[#This Row],[Pedido]]&amp;Detalle_OC[[#This Row],[Posicion]]</f>
        <v>Agricola del Chira PlantaMontelima8453135500019188950</v>
      </c>
      <c r="B3636" t="s">
        <v>28</v>
      </c>
      <c r="C3636" t="s">
        <v>82</v>
      </c>
      <c r="D3636" s="11">
        <v>44977</v>
      </c>
      <c r="E3636" t="s">
        <v>16</v>
      </c>
      <c r="F3636" t="s">
        <v>12</v>
      </c>
      <c r="G3636">
        <v>845313</v>
      </c>
      <c r="H3636">
        <v>5500019188</v>
      </c>
      <c r="I3636">
        <v>950</v>
      </c>
      <c r="J3636" s="29">
        <v>1</v>
      </c>
      <c r="K3636" s="29" t="s">
        <v>513</v>
      </c>
      <c r="L3636" t="str">
        <f>IFERROR(VLOOKUP(Detalle_OC[[#This Row],[Centro]]&amp;Detalle_OC[[#This Row],[Nro Almacen]],Almacen!A:D,4,FALSE),"")</f>
        <v>Montelima</v>
      </c>
    </row>
    <row r="3637" spans="1:12" x14ac:dyDescent="0.3">
      <c r="A3637" s="29" t="str">
        <f>Detalle_OC[[#This Row],[Centro]]&amp;Detalle_OC[[#This Row],[Nom Almacen]]&amp;Detalle_OC[[#This Row],[Material]]&amp;Detalle_OC[[#This Row],[Pedido]]&amp;Detalle_OC[[#This Row],[Posicion]]</f>
        <v>Agricola del Chira PlantaMontelima738245550001918840</v>
      </c>
      <c r="B3637" t="s">
        <v>28</v>
      </c>
      <c r="C3637" t="s">
        <v>82</v>
      </c>
      <c r="D3637" s="11">
        <v>44968</v>
      </c>
      <c r="E3637" t="s">
        <v>16</v>
      </c>
      <c r="F3637" t="s">
        <v>12</v>
      </c>
      <c r="G3637">
        <v>738245</v>
      </c>
      <c r="H3637">
        <v>5500019188</v>
      </c>
      <c r="I3637">
        <v>40</v>
      </c>
      <c r="J3637" s="29">
        <v>1</v>
      </c>
      <c r="K3637" s="29" t="s">
        <v>514</v>
      </c>
      <c r="L3637" t="str">
        <f>IFERROR(VLOOKUP(Detalle_OC[[#This Row],[Centro]]&amp;Detalle_OC[[#This Row],[Nro Almacen]],Almacen!A:D,4,FALSE),"")</f>
        <v>Montelima</v>
      </c>
    </row>
    <row r="3638" spans="1:12" x14ac:dyDescent="0.3">
      <c r="A3638" s="29" t="str">
        <f>Detalle_OC[[#This Row],[Centro]]&amp;Detalle_OC[[#This Row],[Nom Almacen]]&amp;Detalle_OC[[#This Row],[Material]]&amp;Detalle_OC[[#This Row],[Pedido]]&amp;Detalle_OC[[#This Row],[Posicion]]</f>
        <v>Agricola del Chira PlantaMontelima7382475500019188100</v>
      </c>
      <c r="B3638" t="s">
        <v>28</v>
      </c>
      <c r="C3638" t="s">
        <v>82</v>
      </c>
      <c r="D3638" s="11">
        <v>44968</v>
      </c>
      <c r="E3638" t="s">
        <v>16</v>
      </c>
      <c r="F3638" t="s">
        <v>12</v>
      </c>
      <c r="G3638">
        <v>738247</v>
      </c>
      <c r="H3638">
        <v>5500019188</v>
      </c>
      <c r="I3638">
        <v>100</v>
      </c>
      <c r="J3638" s="29">
        <v>1</v>
      </c>
      <c r="K3638" s="29" t="s">
        <v>514</v>
      </c>
      <c r="L3638" t="str">
        <f>IFERROR(VLOOKUP(Detalle_OC[[#This Row],[Centro]]&amp;Detalle_OC[[#This Row],[Nro Almacen]],Almacen!A:D,4,FALSE),"")</f>
        <v>Montelima</v>
      </c>
    </row>
    <row r="3639" spans="1:12" x14ac:dyDescent="0.3">
      <c r="A3639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3639" t="s">
        <v>28</v>
      </c>
      <c r="C3639" t="s">
        <v>82</v>
      </c>
      <c r="D3639" s="11">
        <v>44968</v>
      </c>
      <c r="E3639" t="s">
        <v>16</v>
      </c>
      <c r="F3639" t="s">
        <v>12</v>
      </c>
      <c r="G3639">
        <v>844522</v>
      </c>
      <c r="H3639">
        <v>5500019188</v>
      </c>
      <c r="I3639">
        <v>150</v>
      </c>
      <c r="J3639" s="29">
        <v>1</v>
      </c>
      <c r="K3639" s="29" t="s">
        <v>514</v>
      </c>
      <c r="L3639" t="str">
        <f>IFERROR(VLOOKUP(Detalle_OC[[#This Row],[Centro]]&amp;Detalle_OC[[#This Row],[Nro Almacen]],Almacen!A:D,4,FALSE),"")</f>
        <v>Montelima</v>
      </c>
    </row>
    <row r="3640" spans="1:12" x14ac:dyDescent="0.3">
      <c r="A3640" s="29" t="str">
        <f>Detalle_OC[[#This Row],[Centro]]&amp;Detalle_OC[[#This Row],[Nom Almacen]]&amp;Detalle_OC[[#This Row],[Material]]&amp;Detalle_OC[[#This Row],[Pedido]]&amp;Detalle_OC[[#This Row],[Posicion]]</f>
        <v>Agricola del Chira PlantaMontelima8445115500019188180</v>
      </c>
      <c r="B3640" t="s">
        <v>28</v>
      </c>
      <c r="C3640" t="s">
        <v>82</v>
      </c>
      <c r="D3640" s="11">
        <v>44968</v>
      </c>
      <c r="E3640" t="s">
        <v>16</v>
      </c>
      <c r="F3640" t="s">
        <v>12</v>
      </c>
      <c r="G3640">
        <v>844511</v>
      </c>
      <c r="H3640">
        <v>5500019188</v>
      </c>
      <c r="I3640">
        <v>180</v>
      </c>
      <c r="J3640" s="29">
        <v>1</v>
      </c>
      <c r="K3640" s="29" t="s">
        <v>514</v>
      </c>
      <c r="L3640" t="str">
        <f>IFERROR(VLOOKUP(Detalle_OC[[#This Row],[Centro]]&amp;Detalle_OC[[#This Row],[Nro Almacen]],Almacen!A:D,4,FALSE),"")</f>
        <v>Montelima</v>
      </c>
    </row>
    <row r="3641" spans="1:12" x14ac:dyDescent="0.3">
      <c r="A3641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3641" t="s">
        <v>28</v>
      </c>
      <c r="C3641" t="s">
        <v>82</v>
      </c>
      <c r="D3641" s="11">
        <v>44968</v>
      </c>
      <c r="E3641" t="s">
        <v>16</v>
      </c>
      <c r="F3641" t="s">
        <v>12</v>
      </c>
      <c r="G3641">
        <v>844515</v>
      </c>
      <c r="H3641">
        <v>5500019188</v>
      </c>
      <c r="I3641">
        <v>200</v>
      </c>
      <c r="J3641" s="29">
        <v>1</v>
      </c>
      <c r="K3641" s="29" t="s">
        <v>514</v>
      </c>
      <c r="L3641" t="str">
        <f>IFERROR(VLOOKUP(Detalle_OC[[#This Row],[Centro]]&amp;Detalle_OC[[#This Row],[Nro Almacen]],Almacen!A:D,4,FALSE),"")</f>
        <v>Montelima</v>
      </c>
    </row>
    <row r="3642" spans="1:12" x14ac:dyDescent="0.3">
      <c r="A3642" s="29" t="str">
        <f>Detalle_OC[[#This Row],[Centro]]&amp;Detalle_OC[[#This Row],[Nom Almacen]]&amp;Detalle_OC[[#This Row],[Material]]&amp;Detalle_OC[[#This Row],[Pedido]]&amp;Detalle_OC[[#This Row],[Posicion]]</f>
        <v>Agricola del Chira PlantaMontelima8445245500019188210</v>
      </c>
      <c r="B3642" t="s">
        <v>28</v>
      </c>
      <c r="C3642" t="s">
        <v>82</v>
      </c>
      <c r="D3642" s="11">
        <v>44968</v>
      </c>
      <c r="E3642" t="s">
        <v>16</v>
      </c>
      <c r="F3642" t="s">
        <v>12</v>
      </c>
      <c r="G3642">
        <v>844524</v>
      </c>
      <c r="H3642">
        <v>5500019188</v>
      </c>
      <c r="I3642">
        <v>210</v>
      </c>
      <c r="J3642" s="29">
        <v>1</v>
      </c>
      <c r="K3642" s="29" t="s">
        <v>514</v>
      </c>
      <c r="L3642" t="str">
        <f>IFERROR(VLOOKUP(Detalle_OC[[#This Row],[Centro]]&amp;Detalle_OC[[#This Row],[Nro Almacen]],Almacen!A:D,4,FALSE),"")</f>
        <v>Montelima</v>
      </c>
    </row>
    <row r="3643" spans="1:12" x14ac:dyDescent="0.3">
      <c r="A3643" s="29" t="str">
        <f>Detalle_OC[[#This Row],[Centro]]&amp;Detalle_OC[[#This Row],[Nom Almacen]]&amp;Detalle_OC[[#This Row],[Material]]&amp;Detalle_OC[[#This Row],[Pedido]]&amp;Detalle_OC[[#This Row],[Posicion]]</f>
        <v>Agricola del Chira PlantaMontelima8445315500019188430</v>
      </c>
      <c r="B3643" t="s">
        <v>28</v>
      </c>
      <c r="C3643" t="s">
        <v>82</v>
      </c>
      <c r="D3643" s="11">
        <v>44968</v>
      </c>
      <c r="E3643" t="s">
        <v>16</v>
      </c>
      <c r="F3643" t="s">
        <v>12</v>
      </c>
      <c r="G3643">
        <v>844531</v>
      </c>
      <c r="H3643">
        <v>5500019188</v>
      </c>
      <c r="I3643">
        <v>430</v>
      </c>
      <c r="J3643" s="29">
        <v>1</v>
      </c>
      <c r="K3643" s="29" t="s">
        <v>514</v>
      </c>
      <c r="L3643" t="str">
        <f>IFERROR(VLOOKUP(Detalle_OC[[#This Row],[Centro]]&amp;Detalle_OC[[#This Row],[Nro Almacen]],Almacen!A:D,4,FALSE),"")</f>
        <v>Montelima</v>
      </c>
    </row>
    <row r="3644" spans="1:12" x14ac:dyDescent="0.3">
      <c r="A3644" s="29" t="str">
        <f>Detalle_OC[[#This Row],[Centro]]&amp;Detalle_OC[[#This Row],[Nom Almacen]]&amp;Detalle_OC[[#This Row],[Material]]&amp;Detalle_OC[[#This Row],[Pedido]]&amp;Detalle_OC[[#This Row],[Posicion]]</f>
        <v>Agricola del Chira PlantaMontelima8445135500019188450</v>
      </c>
      <c r="B3644" t="s">
        <v>28</v>
      </c>
      <c r="C3644" t="s">
        <v>82</v>
      </c>
      <c r="D3644" s="11">
        <v>44968</v>
      </c>
      <c r="E3644" t="s">
        <v>16</v>
      </c>
      <c r="F3644" t="s">
        <v>12</v>
      </c>
      <c r="G3644">
        <v>844513</v>
      </c>
      <c r="H3644">
        <v>5500019188</v>
      </c>
      <c r="I3644">
        <v>450</v>
      </c>
      <c r="J3644" s="29">
        <v>1</v>
      </c>
      <c r="K3644" s="29" t="s">
        <v>514</v>
      </c>
      <c r="L3644" t="str">
        <f>IFERROR(VLOOKUP(Detalle_OC[[#This Row],[Centro]]&amp;Detalle_OC[[#This Row],[Nro Almacen]],Almacen!A:D,4,FALSE),"")</f>
        <v>Montelima</v>
      </c>
    </row>
    <row r="3645" spans="1:12" x14ac:dyDescent="0.3">
      <c r="A3645" s="29" t="str">
        <f>Detalle_OC[[#This Row],[Centro]]&amp;Detalle_OC[[#This Row],[Nom Almacen]]&amp;Detalle_OC[[#This Row],[Material]]&amp;Detalle_OC[[#This Row],[Pedido]]&amp;Detalle_OC[[#This Row],[Posicion]]</f>
        <v>Agricola del Chira PlantaMontelima8443995500019188500</v>
      </c>
      <c r="B3645" t="s">
        <v>28</v>
      </c>
      <c r="C3645" t="s">
        <v>82</v>
      </c>
      <c r="D3645" s="11">
        <v>44968</v>
      </c>
      <c r="E3645" t="s">
        <v>16</v>
      </c>
      <c r="F3645" t="s">
        <v>12</v>
      </c>
      <c r="G3645">
        <v>844399</v>
      </c>
      <c r="H3645">
        <v>5500019188</v>
      </c>
      <c r="I3645">
        <v>500</v>
      </c>
      <c r="J3645" s="29">
        <v>1</v>
      </c>
      <c r="K3645" s="29" t="s">
        <v>514</v>
      </c>
      <c r="L3645" t="str">
        <f>IFERROR(VLOOKUP(Detalle_OC[[#This Row],[Centro]]&amp;Detalle_OC[[#This Row],[Nro Almacen]],Almacen!A:D,4,FALSE),"")</f>
        <v>Montelima</v>
      </c>
    </row>
    <row r="3646" spans="1:12" x14ac:dyDescent="0.3">
      <c r="A3646" s="29" t="str">
        <f>Detalle_OC[[#This Row],[Centro]]&amp;Detalle_OC[[#This Row],[Nom Almacen]]&amp;Detalle_OC[[#This Row],[Material]]&amp;Detalle_OC[[#This Row],[Pedido]]&amp;Detalle_OC[[#This Row],[Posicion]]</f>
        <v>Agricola del Chira PlantaMontelima8445195500019188530</v>
      </c>
      <c r="B3646" t="s">
        <v>28</v>
      </c>
      <c r="C3646" t="s">
        <v>82</v>
      </c>
      <c r="D3646" s="11">
        <v>44968</v>
      </c>
      <c r="E3646" t="s">
        <v>16</v>
      </c>
      <c r="F3646" t="s">
        <v>12</v>
      </c>
      <c r="G3646">
        <v>844519</v>
      </c>
      <c r="H3646">
        <v>5500019188</v>
      </c>
      <c r="I3646">
        <v>530</v>
      </c>
      <c r="J3646" s="29">
        <v>1</v>
      </c>
      <c r="K3646" s="29" t="s">
        <v>514</v>
      </c>
      <c r="L3646" t="str">
        <f>IFERROR(VLOOKUP(Detalle_OC[[#This Row],[Centro]]&amp;Detalle_OC[[#This Row],[Nro Almacen]],Almacen!A:D,4,FALSE),"")</f>
        <v>Montelima</v>
      </c>
    </row>
    <row r="3647" spans="1:12" x14ac:dyDescent="0.3">
      <c r="A3647" s="29" t="str">
        <f>Detalle_OC[[#This Row],[Centro]]&amp;Detalle_OC[[#This Row],[Nom Almacen]]&amp;Detalle_OC[[#This Row],[Material]]&amp;Detalle_OC[[#This Row],[Pedido]]&amp;Detalle_OC[[#This Row],[Posicion]]</f>
        <v>Agricola del Chira PlantaMontelima8453145500019188640</v>
      </c>
      <c r="B3647" t="s">
        <v>28</v>
      </c>
      <c r="C3647" t="s">
        <v>82</v>
      </c>
      <c r="D3647" s="11">
        <v>44968</v>
      </c>
      <c r="E3647" t="s">
        <v>16</v>
      </c>
      <c r="F3647" t="s">
        <v>12</v>
      </c>
      <c r="G3647">
        <v>845314</v>
      </c>
      <c r="H3647">
        <v>5500019188</v>
      </c>
      <c r="I3647">
        <v>640</v>
      </c>
      <c r="J3647" s="29">
        <v>1</v>
      </c>
      <c r="K3647" s="29" t="s">
        <v>514</v>
      </c>
      <c r="L3647" t="str">
        <f>IFERROR(VLOOKUP(Detalle_OC[[#This Row],[Centro]]&amp;Detalle_OC[[#This Row],[Nro Almacen]],Almacen!A:D,4,FALSE),"")</f>
        <v>Montelima</v>
      </c>
    </row>
    <row r="3648" spans="1:12" x14ac:dyDescent="0.3">
      <c r="A3648" s="29" t="str">
        <f>Detalle_OC[[#This Row],[Centro]]&amp;Detalle_OC[[#This Row],[Nom Almacen]]&amp;Detalle_OC[[#This Row],[Material]]&amp;Detalle_OC[[#This Row],[Pedido]]&amp;Detalle_OC[[#This Row],[Posicion]]</f>
        <v>Agricola del Chira PlantaMontelima8453135500019188950</v>
      </c>
      <c r="B3648" t="s">
        <v>28</v>
      </c>
      <c r="C3648" t="s">
        <v>82</v>
      </c>
      <c r="D3648" s="11">
        <v>44968</v>
      </c>
      <c r="E3648" t="s">
        <v>16</v>
      </c>
      <c r="F3648" t="s">
        <v>12</v>
      </c>
      <c r="G3648">
        <v>845313</v>
      </c>
      <c r="H3648">
        <v>5500019188</v>
      </c>
      <c r="I3648">
        <v>950</v>
      </c>
      <c r="J3648" s="29">
        <v>1</v>
      </c>
      <c r="K3648" s="29" t="s">
        <v>514</v>
      </c>
      <c r="L3648" t="str">
        <f>IFERROR(VLOOKUP(Detalle_OC[[#This Row],[Centro]]&amp;Detalle_OC[[#This Row],[Nro Almacen]],Almacen!A:D,4,FALSE),"")</f>
        <v>Montelima</v>
      </c>
    </row>
    <row r="3649" spans="1:12" x14ac:dyDescent="0.3">
      <c r="A3649" s="29" t="str">
        <f>Detalle_OC[[#This Row],[Centro]]&amp;Detalle_OC[[#This Row],[Nom Almacen]]&amp;Detalle_OC[[#This Row],[Material]]&amp;Detalle_OC[[#This Row],[Pedido]]&amp;Detalle_OC[[#This Row],[Posicion]]</f>
        <v>Agricola del Chira PlantaMontelima82639655000191881050</v>
      </c>
      <c r="B3649" t="s">
        <v>28</v>
      </c>
      <c r="C3649" t="s">
        <v>82</v>
      </c>
      <c r="D3649" s="11">
        <v>44968</v>
      </c>
      <c r="E3649" t="s">
        <v>16</v>
      </c>
      <c r="F3649" t="s">
        <v>12</v>
      </c>
      <c r="G3649">
        <v>826396</v>
      </c>
      <c r="H3649">
        <v>5500019188</v>
      </c>
      <c r="I3649">
        <v>1050</v>
      </c>
      <c r="J3649" s="29">
        <v>1</v>
      </c>
      <c r="K3649" s="29" t="s">
        <v>514</v>
      </c>
      <c r="L3649" t="str">
        <f>IFERROR(VLOOKUP(Detalle_OC[[#This Row],[Centro]]&amp;Detalle_OC[[#This Row],[Nro Almacen]],Almacen!A:D,4,FALSE),"")</f>
        <v>Montelima</v>
      </c>
    </row>
    <row r="3650" spans="1:12" x14ac:dyDescent="0.3">
      <c r="A3650" s="29" t="str">
        <f>Detalle_OC[[#This Row],[Centro]]&amp;Detalle_OC[[#This Row],[Nom Almacen]]&amp;Detalle_OC[[#This Row],[Material]]&amp;Detalle_OC[[#This Row],[Pedido]]&amp;Detalle_OC[[#This Row],[Posicion]]</f>
        <v>Agricola del Chira PlantaMontelima82718155000191881520</v>
      </c>
      <c r="B3650" t="s">
        <v>28</v>
      </c>
      <c r="C3650" t="s">
        <v>82</v>
      </c>
      <c r="D3650" s="11">
        <v>44968</v>
      </c>
      <c r="E3650" t="s">
        <v>16</v>
      </c>
      <c r="F3650" t="s">
        <v>12</v>
      </c>
      <c r="G3650">
        <v>827181</v>
      </c>
      <c r="H3650">
        <v>5500019188</v>
      </c>
      <c r="I3650">
        <v>1520</v>
      </c>
      <c r="J3650" s="29">
        <v>1</v>
      </c>
      <c r="K3650" s="29" t="s">
        <v>514</v>
      </c>
      <c r="L3650" t="str">
        <f>IFERROR(VLOOKUP(Detalle_OC[[#This Row],[Centro]]&amp;Detalle_OC[[#This Row],[Nro Almacen]],Almacen!A:D,4,FALSE),"")</f>
        <v>Montelima</v>
      </c>
    </row>
    <row r="3651" spans="1:12" x14ac:dyDescent="0.3">
      <c r="A3651" s="29" t="str">
        <f>Detalle_OC[[#This Row],[Centro]]&amp;Detalle_OC[[#This Row],[Nom Almacen]]&amp;Detalle_OC[[#This Row],[Material]]&amp;Detalle_OC[[#This Row],[Pedido]]&amp;Detalle_OC[[#This Row],[Posicion]]</f>
        <v>Agricola del Chira PlantaMontelima7003087755000191881690</v>
      </c>
      <c r="B3651" t="s">
        <v>28</v>
      </c>
      <c r="C3651" t="s">
        <v>82</v>
      </c>
      <c r="D3651" s="11">
        <v>44968</v>
      </c>
      <c r="E3651" t="s">
        <v>16</v>
      </c>
      <c r="F3651" t="s">
        <v>12</v>
      </c>
      <c r="G3651">
        <v>70030877</v>
      </c>
      <c r="H3651">
        <v>5500019188</v>
      </c>
      <c r="I3651">
        <v>1690</v>
      </c>
      <c r="J3651" s="29">
        <v>1</v>
      </c>
      <c r="K3651" s="29" t="s">
        <v>514</v>
      </c>
      <c r="L3651" t="str">
        <f>IFERROR(VLOOKUP(Detalle_OC[[#This Row],[Centro]]&amp;Detalle_OC[[#This Row],[Nro Almacen]],Almacen!A:D,4,FALSE),"")</f>
        <v>Montelima</v>
      </c>
    </row>
    <row r="3652" spans="1:12" x14ac:dyDescent="0.3">
      <c r="A3652" s="29" t="str">
        <f>Detalle_OC[[#This Row],[Centro]]&amp;Detalle_OC[[#This Row],[Nom Almacen]]&amp;Detalle_OC[[#This Row],[Material]]&amp;Detalle_OC[[#This Row],[Pedido]]&amp;Detalle_OC[[#This Row],[Posicion]]</f>
        <v>Agricola del Chira PlantaMontelima738245550001918840</v>
      </c>
      <c r="B3652" t="s">
        <v>28</v>
      </c>
      <c r="C3652" t="s">
        <v>82</v>
      </c>
      <c r="D3652" s="11">
        <v>44964</v>
      </c>
      <c r="E3652" t="s">
        <v>16</v>
      </c>
      <c r="F3652" t="s">
        <v>12</v>
      </c>
      <c r="G3652">
        <v>738245</v>
      </c>
      <c r="H3652">
        <v>5500019188</v>
      </c>
      <c r="I3652">
        <v>40</v>
      </c>
      <c r="J3652" s="29">
        <v>1</v>
      </c>
      <c r="K3652" s="29" t="s">
        <v>515</v>
      </c>
      <c r="L3652" t="str">
        <f>IFERROR(VLOOKUP(Detalle_OC[[#This Row],[Centro]]&amp;Detalle_OC[[#This Row],[Nro Almacen]],Almacen!A:D,4,FALSE),"")</f>
        <v>Montelima</v>
      </c>
    </row>
    <row r="3653" spans="1:12" x14ac:dyDescent="0.3">
      <c r="A3653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3653" t="s">
        <v>28</v>
      </c>
      <c r="C3653" t="s">
        <v>82</v>
      </c>
      <c r="D3653" s="11">
        <v>44964</v>
      </c>
      <c r="E3653" t="s">
        <v>16</v>
      </c>
      <c r="F3653" t="s">
        <v>12</v>
      </c>
      <c r="G3653">
        <v>844522</v>
      </c>
      <c r="H3653">
        <v>5500019188</v>
      </c>
      <c r="I3653">
        <v>150</v>
      </c>
      <c r="J3653" s="29">
        <v>1</v>
      </c>
      <c r="K3653" s="29" t="s">
        <v>515</v>
      </c>
      <c r="L3653" t="str">
        <f>IFERROR(VLOOKUP(Detalle_OC[[#This Row],[Centro]]&amp;Detalle_OC[[#This Row],[Nro Almacen]],Almacen!A:D,4,FALSE),"")</f>
        <v>Montelima</v>
      </c>
    </row>
    <row r="3654" spans="1:12" x14ac:dyDescent="0.3">
      <c r="A3654" s="29" t="str">
        <f>Detalle_OC[[#This Row],[Centro]]&amp;Detalle_OC[[#This Row],[Nom Almacen]]&amp;Detalle_OC[[#This Row],[Material]]&amp;Detalle_OC[[#This Row],[Pedido]]&amp;Detalle_OC[[#This Row],[Posicion]]</f>
        <v>Agricola del Chira PlantaMontelima8445115500019188180</v>
      </c>
      <c r="B3654" t="s">
        <v>28</v>
      </c>
      <c r="C3654" t="s">
        <v>82</v>
      </c>
      <c r="D3654" s="11">
        <v>44964</v>
      </c>
      <c r="E3654" t="s">
        <v>16</v>
      </c>
      <c r="F3654" t="s">
        <v>12</v>
      </c>
      <c r="G3654">
        <v>844511</v>
      </c>
      <c r="H3654">
        <v>5500019188</v>
      </c>
      <c r="I3654">
        <v>180</v>
      </c>
      <c r="J3654" s="29">
        <v>1</v>
      </c>
      <c r="K3654" s="29" t="s">
        <v>515</v>
      </c>
      <c r="L3654" t="str">
        <f>IFERROR(VLOOKUP(Detalle_OC[[#This Row],[Centro]]&amp;Detalle_OC[[#This Row],[Nro Almacen]],Almacen!A:D,4,FALSE),"")</f>
        <v>Montelima</v>
      </c>
    </row>
    <row r="3655" spans="1:12" x14ac:dyDescent="0.3">
      <c r="A3655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3655" t="s">
        <v>28</v>
      </c>
      <c r="C3655" t="s">
        <v>82</v>
      </c>
      <c r="D3655" s="11">
        <v>44964</v>
      </c>
      <c r="E3655" t="s">
        <v>16</v>
      </c>
      <c r="F3655" t="s">
        <v>12</v>
      </c>
      <c r="G3655">
        <v>844515</v>
      </c>
      <c r="H3655">
        <v>5500019188</v>
      </c>
      <c r="I3655">
        <v>200</v>
      </c>
      <c r="J3655" s="29">
        <v>1</v>
      </c>
      <c r="K3655" s="29" t="s">
        <v>515</v>
      </c>
      <c r="L3655" t="str">
        <f>IFERROR(VLOOKUP(Detalle_OC[[#This Row],[Centro]]&amp;Detalle_OC[[#This Row],[Nro Almacen]],Almacen!A:D,4,FALSE),"")</f>
        <v>Montelima</v>
      </c>
    </row>
    <row r="3656" spans="1:12" x14ac:dyDescent="0.3">
      <c r="A3656" s="29" t="str">
        <f>Detalle_OC[[#This Row],[Centro]]&amp;Detalle_OC[[#This Row],[Nom Almacen]]&amp;Detalle_OC[[#This Row],[Material]]&amp;Detalle_OC[[#This Row],[Pedido]]&amp;Detalle_OC[[#This Row],[Posicion]]</f>
        <v>Agricola del Chira PlantaMontelima8445245500019188210</v>
      </c>
      <c r="B3656" t="s">
        <v>28</v>
      </c>
      <c r="C3656" t="s">
        <v>82</v>
      </c>
      <c r="D3656" s="11">
        <v>44964</v>
      </c>
      <c r="E3656" t="s">
        <v>16</v>
      </c>
      <c r="F3656" t="s">
        <v>12</v>
      </c>
      <c r="G3656">
        <v>844524</v>
      </c>
      <c r="H3656">
        <v>5500019188</v>
      </c>
      <c r="I3656">
        <v>210</v>
      </c>
      <c r="J3656" s="29">
        <v>1</v>
      </c>
      <c r="K3656" s="29" t="s">
        <v>515</v>
      </c>
      <c r="L3656" t="str">
        <f>IFERROR(VLOOKUP(Detalle_OC[[#This Row],[Centro]]&amp;Detalle_OC[[#This Row],[Nro Almacen]],Almacen!A:D,4,FALSE),"")</f>
        <v>Montelima</v>
      </c>
    </row>
    <row r="3657" spans="1:12" x14ac:dyDescent="0.3">
      <c r="A3657" s="29" t="str">
        <f>Detalle_OC[[#This Row],[Centro]]&amp;Detalle_OC[[#This Row],[Nom Almacen]]&amp;Detalle_OC[[#This Row],[Material]]&amp;Detalle_OC[[#This Row],[Pedido]]&amp;Detalle_OC[[#This Row],[Posicion]]</f>
        <v>Agricola del Chira PlantaMontelima8443985500019188290</v>
      </c>
      <c r="B3657" t="s">
        <v>28</v>
      </c>
      <c r="C3657" t="s">
        <v>82</v>
      </c>
      <c r="D3657" s="11">
        <v>44964</v>
      </c>
      <c r="E3657" t="s">
        <v>16</v>
      </c>
      <c r="F3657" t="s">
        <v>12</v>
      </c>
      <c r="G3657">
        <v>844398</v>
      </c>
      <c r="H3657">
        <v>5500019188</v>
      </c>
      <c r="I3657">
        <v>290</v>
      </c>
      <c r="J3657" s="29">
        <v>1</v>
      </c>
      <c r="K3657" s="29" t="s">
        <v>515</v>
      </c>
      <c r="L3657" t="str">
        <f>IFERROR(VLOOKUP(Detalle_OC[[#This Row],[Centro]]&amp;Detalle_OC[[#This Row],[Nro Almacen]],Almacen!A:D,4,FALSE),"")</f>
        <v>Montelima</v>
      </c>
    </row>
    <row r="3658" spans="1:12" x14ac:dyDescent="0.3">
      <c r="A3658" s="29" t="str">
        <f>Detalle_OC[[#This Row],[Centro]]&amp;Detalle_OC[[#This Row],[Nom Almacen]]&amp;Detalle_OC[[#This Row],[Material]]&amp;Detalle_OC[[#This Row],[Pedido]]&amp;Detalle_OC[[#This Row],[Posicion]]</f>
        <v>Agricola del Chira PlantaMontelima8445285500019188360</v>
      </c>
      <c r="B3658" t="s">
        <v>28</v>
      </c>
      <c r="C3658" t="s">
        <v>82</v>
      </c>
      <c r="D3658" s="11">
        <v>44964</v>
      </c>
      <c r="E3658" t="s">
        <v>16</v>
      </c>
      <c r="F3658" t="s">
        <v>12</v>
      </c>
      <c r="G3658">
        <v>844528</v>
      </c>
      <c r="H3658">
        <v>5500019188</v>
      </c>
      <c r="I3658">
        <v>360</v>
      </c>
      <c r="J3658" s="29">
        <v>1</v>
      </c>
      <c r="K3658" s="29" t="s">
        <v>515</v>
      </c>
      <c r="L3658" t="str">
        <f>IFERROR(VLOOKUP(Detalle_OC[[#This Row],[Centro]]&amp;Detalle_OC[[#This Row],[Nro Almacen]],Almacen!A:D,4,FALSE),"")</f>
        <v>Montelima</v>
      </c>
    </row>
    <row r="3659" spans="1:12" x14ac:dyDescent="0.3">
      <c r="A3659" s="29" t="str">
        <f>Detalle_OC[[#This Row],[Centro]]&amp;Detalle_OC[[#This Row],[Nom Almacen]]&amp;Detalle_OC[[#This Row],[Material]]&amp;Detalle_OC[[#This Row],[Pedido]]&amp;Detalle_OC[[#This Row],[Posicion]]</f>
        <v>Agricola del Chira PlantaMontelima8445315500019188430</v>
      </c>
      <c r="B3659" t="s">
        <v>28</v>
      </c>
      <c r="C3659" t="s">
        <v>82</v>
      </c>
      <c r="D3659" s="11">
        <v>44964</v>
      </c>
      <c r="E3659" t="s">
        <v>16</v>
      </c>
      <c r="F3659" t="s">
        <v>12</v>
      </c>
      <c r="G3659">
        <v>844531</v>
      </c>
      <c r="H3659">
        <v>5500019188</v>
      </c>
      <c r="I3659">
        <v>430</v>
      </c>
      <c r="J3659" s="29">
        <v>1</v>
      </c>
      <c r="K3659" s="29" t="s">
        <v>515</v>
      </c>
      <c r="L3659" t="str">
        <f>IFERROR(VLOOKUP(Detalle_OC[[#This Row],[Centro]]&amp;Detalle_OC[[#This Row],[Nro Almacen]],Almacen!A:D,4,FALSE),"")</f>
        <v>Montelima</v>
      </c>
    </row>
    <row r="3660" spans="1:12" x14ac:dyDescent="0.3">
      <c r="A3660" s="29" t="str">
        <f>Detalle_OC[[#This Row],[Centro]]&amp;Detalle_OC[[#This Row],[Nom Almacen]]&amp;Detalle_OC[[#This Row],[Material]]&amp;Detalle_OC[[#This Row],[Pedido]]&amp;Detalle_OC[[#This Row],[Posicion]]</f>
        <v>Agricola del Chira PlantaMontelima8443995500019188500</v>
      </c>
      <c r="B3660" t="s">
        <v>28</v>
      </c>
      <c r="C3660" t="s">
        <v>82</v>
      </c>
      <c r="D3660" s="11">
        <v>44964</v>
      </c>
      <c r="E3660" t="s">
        <v>16</v>
      </c>
      <c r="F3660" t="s">
        <v>12</v>
      </c>
      <c r="G3660">
        <v>844399</v>
      </c>
      <c r="H3660">
        <v>5500019188</v>
      </c>
      <c r="I3660">
        <v>500</v>
      </c>
      <c r="J3660" s="29">
        <v>1</v>
      </c>
      <c r="K3660" s="29" t="s">
        <v>515</v>
      </c>
      <c r="L3660" t="str">
        <f>IFERROR(VLOOKUP(Detalle_OC[[#This Row],[Centro]]&amp;Detalle_OC[[#This Row],[Nro Almacen]],Almacen!A:D,4,FALSE),"")</f>
        <v>Montelima</v>
      </c>
    </row>
    <row r="3661" spans="1:12" x14ac:dyDescent="0.3">
      <c r="A3661" s="29" t="str">
        <f>Detalle_OC[[#This Row],[Centro]]&amp;Detalle_OC[[#This Row],[Nom Almacen]]&amp;Detalle_OC[[#This Row],[Material]]&amp;Detalle_OC[[#This Row],[Pedido]]&amp;Detalle_OC[[#This Row],[Posicion]]</f>
        <v>Agricola del Chira PlantaMontelima8445195500019188530</v>
      </c>
      <c r="B3661" t="s">
        <v>28</v>
      </c>
      <c r="C3661" t="s">
        <v>82</v>
      </c>
      <c r="D3661" s="11">
        <v>44964</v>
      </c>
      <c r="E3661" t="s">
        <v>16</v>
      </c>
      <c r="F3661" t="s">
        <v>12</v>
      </c>
      <c r="G3661">
        <v>844519</v>
      </c>
      <c r="H3661">
        <v>5500019188</v>
      </c>
      <c r="I3661">
        <v>530</v>
      </c>
      <c r="J3661" s="29">
        <v>1</v>
      </c>
      <c r="K3661" s="29" t="s">
        <v>515</v>
      </c>
      <c r="L3661" t="str">
        <f>IFERROR(VLOOKUP(Detalle_OC[[#This Row],[Centro]]&amp;Detalle_OC[[#This Row],[Nro Almacen]],Almacen!A:D,4,FALSE),"")</f>
        <v>Montelima</v>
      </c>
    </row>
    <row r="3662" spans="1:12" x14ac:dyDescent="0.3">
      <c r="A3662" s="29" t="str">
        <f>Detalle_OC[[#This Row],[Centro]]&amp;Detalle_OC[[#This Row],[Nom Almacen]]&amp;Detalle_OC[[#This Row],[Material]]&amp;Detalle_OC[[#This Row],[Pedido]]&amp;Detalle_OC[[#This Row],[Posicion]]</f>
        <v>Agricola del Chira PlantaMontelima8445145500019188540</v>
      </c>
      <c r="B3662" t="s">
        <v>28</v>
      </c>
      <c r="C3662" t="s">
        <v>82</v>
      </c>
      <c r="D3662" s="11">
        <v>44964</v>
      </c>
      <c r="E3662" t="s">
        <v>16</v>
      </c>
      <c r="F3662" t="s">
        <v>12</v>
      </c>
      <c r="G3662">
        <v>844514</v>
      </c>
      <c r="H3662">
        <v>5500019188</v>
      </c>
      <c r="I3662">
        <v>540</v>
      </c>
      <c r="J3662" s="29">
        <v>1</v>
      </c>
      <c r="K3662" s="29" t="s">
        <v>515</v>
      </c>
      <c r="L3662" t="str">
        <f>IFERROR(VLOOKUP(Detalle_OC[[#This Row],[Centro]]&amp;Detalle_OC[[#This Row],[Nro Almacen]],Almacen!A:D,4,FALSE),"")</f>
        <v>Montelima</v>
      </c>
    </row>
    <row r="3663" spans="1:12" x14ac:dyDescent="0.3">
      <c r="A3663" s="29" t="str">
        <f>Detalle_OC[[#This Row],[Centro]]&amp;Detalle_OC[[#This Row],[Nom Almacen]]&amp;Detalle_OC[[#This Row],[Material]]&amp;Detalle_OC[[#This Row],[Pedido]]&amp;Detalle_OC[[#This Row],[Posicion]]</f>
        <v>Agricola del Chira PlantaMontelima8453145500019188640</v>
      </c>
      <c r="B3663" t="s">
        <v>28</v>
      </c>
      <c r="C3663" t="s">
        <v>82</v>
      </c>
      <c r="D3663" s="11">
        <v>44964</v>
      </c>
      <c r="E3663" t="s">
        <v>16</v>
      </c>
      <c r="F3663" t="s">
        <v>12</v>
      </c>
      <c r="G3663">
        <v>845314</v>
      </c>
      <c r="H3663">
        <v>5500019188</v>
      </c>
      <c r="I3663">
        <v>640</v>
      </c>
      <c r="J3663" s="29">
        <v>1</v>
      </c>
      <c r="K3663" s="29" t="s">
        <v>515</v>
      </c>
      <c r="L3663" t="str">
        <f>IFERROR(VLOOKUP(Detalle_OC[[#This Row],[Centro]]&amp;Detalle_OC[[#This Row],[Nro Almacen]],Almacen!A:D,4,FALSE),"")</f>
        <v>Montelima</v>
      </c>
    </row>
    <row r="3664" spans="1:12" x14ac:dyDescent="0.3">
      <c r="A3664" s="29" t="str">
        <f>Detalle_OC[[#This Row],[Centro]]&amp;Detalle_OC[[#This Row],[Nom Almacen]]&amp;Detalle_OC[[#This Row],[Material]]&amp;Detalle_OC[[#This Row],[Pedido]]&amp;Detalle_OC[[#This Row],[Posicion]]</f>
        <v>Agricola del Chira PlantaMontelima83106655000191881040</v>
      </c>
      <c r="B3664" t="s">
        <v>28</v>
      </c>
      <c r="C3664" t="s">
        <v>82</v>
      </c>
      <c r="D3664" s="11">
        <v>44964</v>
      </c>
      <c r="E3664" t="s">
        <v>16</v>
      </c>
      <c r="F3664" t="s">
        <v>12</v>
      </c>
      <c r="G3664">
        <v>831066</v>
      </c>
      <c r="H3664">
        <v>5500019188</v>
      </c>
      <c r="I3664">
        <v>1040</v>
      </c>
      <c r="J3664" s="29">
        <v>1</v>
      </c>
      <c r="K3664" s="29" t="s">
        <v>515</v>
      </c>
      <c r="L3664" t="str">
        <f>IFERROR(VLOOKUP(Detalle_OC[[#This Row],[Centro]]&amp;Detalle_OC[[#This Row],[Nro Almacen]],Almacen!A:D,4,FALSE),"")</f>
        <v>Montelima</v>
      </c>
    </row>
    <row r="3665" spans="1:12" x14ac:dyDescent="0.3">
      <c r="A3665" s="29" t="str">
        <f>Detalle_OC[[#This Row],[Centro]]&amp;Detalle_OC[[#This Row],[Nom Almacen]]&amp;Detalle_OC[[#This Row],[Material]]&amp;Detalle_OC[[#This Row],[Pedido]]&amp;Detalle_OC[[#This Row],[Posicion]]</f>
        <v>Agricola del Chira PlantaMontelima82639655000191881050</v>
      </c>
      <c r="B3665" t="s">
        <v>28</v>
      </c>
      <c r="C3665" t="s">
        <v>82</v>
      </c>
      <c r="D3665" s="11">
        <v>44964</v>
      </c>
      <c r="E3665" t="s">
        <v>16</v>
      </c>
      <c r="F3665" t="s">
        <v>12</v>
      </c>
      <c r="G3665">
        <v>826396</v>
      </c>
      <c r="H3665">
        <v>5500019188</v>
      </c>
      <c r="I3665">
        <v>1050</v>
      </c>
      <c r="J3665" s="29">
        <v>1</v>
      </c>
      <c r="K3665" s="29" t="s">
        <v>515</v>
      </c>
      <c r="L3665" t="str">
        <f>IFERROR(VLOOKUP(Detalle_OC[[#This Row],[Centro]]&amp;Detalle_OC[[#This Row],[Nro Almacen]],Almacen!A:D,4,FALSE),"")</f>
        <v>Montelima</v>
      </c>
    </row>
    <row r="3666" spans="1:12" x14ac:dyDescent="0.3">
      <c r="A3666" s="29" t="str">
        <f>Detalle_OC[[#This Row],[Centro]]&amp;Detalle_OC[[#This Row],[Nom Almacen]]&amp;Detalle_OC[[#This Row],[Material]]&amp;Detalle_OC[[#This Row],[Pedido]]&amp;Detalle_OC[[#This Row],[Posicion]]</f>
        <v>Agricola del Chira PlantaMontelima82718155000191881520</v>
      </c>
      <c r="B3666" t="s">
        <v>28</v>
      </c>
      <c r="C3666" t="s">
        <v>82</v>
      </c>
      <c r="D3666" s="11">
        <v>44964</v>
      </c>
      <c r="E3666" t="s">
        <v>16</v>
      </c>
      <c r="F3666" t="s">
        <v>12</v>
      </c>
      <c r="G3666">
        <v>827181</v>
      </c>
      <c r="H3666">
        <v>5500019188</v>
      </c>
      <c r="I3666">
        <v>1520</v>
      </c>
      <c r="J3666" s="29">
        <v>1</v>
      </c>
      <c r="K3666" s="29" t="s">
        <v>515</v>
      </c>
      <c r="L3666" t="str">
        <f>IFERROR(VLOOKUP(Detalle_OC[[#This Row],[Centro]]&amp;Detalle_OC[[#This Row],[Nro Almacen]],Almacen!A:D,4,FALSE),"")</f>
        <v>Montelima</v>
      </c>
    </row>
    <row r="3667" spans="1:12" x14ac:dyDescent="0.3">
      <c r="A3667" s="29" t="str">
        <f>Detalle_OC[[#This Row],[Centro]]&amp;Detalle_OC[[#This Row],[Nom Almacen]]&amp;Detalle_OC[[#This Row],[Material]]&amp;Detalle_OC[[#This Row],[Pedido]]&amp;Detalle_OC[[#This Row],[Posicion]]</f>
        <v>Agricola del Chira PlantaMontelima7003087755000191881690</v>
      </c>
      <c r="B3667" t="s">
        <v>28</v>
      </c>
      <c r="C3667" t="s">
        <v>82</v>
      </c>
      <c r="D3667" s="11">
        <v>44964</v>
      </c>
      <c r="E3667" t="s">
        <v>16</v>
      </c>
      <c r="F3667" t="s">
        <v>12</v>
      </c>
      <c r="G3667">
        <v>70030877</v>
      </c>
      <c r="H3667">
        <v>5500019188</v>
      </c>
      <c r="I3667">
        <v>1690</v>
      </c>
      <c r="J3667" s="29">
        <v>1</v>
      </c>
      <c r="K3667" s="29" t="s">
        <v>515</v>
      </c>
      <c r="L3667" t="str">
        <f>IFERROR(VLOOKUP(Detalle_OC[[#This Row],[Centro]]&amp;Detalle_OC[[#This Row],[Nro Almacen]],Almacen!A:D,4,FALSE),"")</f>
        <v>Montelima</v>
      </c>
    </row>
    <row r="3668" spans="1:12" x14ac:dyDescent="0.3">
      <c r="A3668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3668" t="s">
        <v>28</v>
      </c>
      <c r="C3668" t="s">
        <v>84</v>
      </c>
      <c r="D3668" s="11">
        <v>44964</v>
      </c>
      <c r="E3668" t="s">
        <v>16</v>
      </c>
      <c r="F3668" t="s">
        <v>85</v>
      </c>
      <c r="G3668">
        <v>801846</v>
      </c>
      <c r="H3668">
        <v>5500022336</v>
      </c>
      <c r="I3668">
        <v>10</v>
      </c>
      <c r="J3668" s="29">
        <v>1</v>
      </c>
      <c r="K3668" s="29" t="s">
        <v>515</v>
      </c>
      <c r="L3668" t="str">
        <f>IFERROR(VLOOKUP(Detalle_OC[[#This Row],[Centro]]&amp;Detalle_OC[[#This Row],[Nro Almacen]],Almacen!A:D,4,FALSE),"")</f>
        <v>Montelima</v>
      </c>
    </row>
    <row r="3669" spans="1:12" x14ac:dyDescent="0.3">
      <c r="A3669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3669" t="s">
        <v>28</v>
      </c>
      <c r="C3669" t="s">
        <v>84</v>
      </c>
      <c r="D3669" s="11">
        <v>44958</v>
      </c>
      <c r="E3669" t="s">
        <v>16</v>
      </c>
      <c r="F3669" t="s">
        <v>12</v>
      </c>
      <c r="G3669">
        <v>801846</v>
      </c>
      <c r="H3669">
        <v>5500022338</v>
      </c>
      <c r="I3669">
        <v>40</v>
      </c>
      <c r="J3669" s="29">
        <v>1</v>
      </c>
      <c r="K3669" s="29" t="s">
        <v>516</v>
      </c>
      <c r="L3669" t="str">
        <f>IFERROR(VLOOKUP(Detalle_OC[[#This Row],[Centro]]&amp;Detalle_OC[[#This Row],[Nro Almacen]],Almacen!A:D,4,FALSE),"")</f>
        <v>Montelima</v>
      </c>
    </row>
    <row r="3670" spans="1:12" x14ac:dyDescent="0.3">
      <c r="A3670" s="29" t="str">
        <f>Detalle_OC[[#This Row],[Centro]]&amp;Detalle_OC[[#This Row],[Nom Almacen]]&amp;Detalle_OC[[#This Row],[Material]]&amp;Detalle_OC[[#This Row],[Pedido]]&amp;Detalle_OC[[#This Row],[Posicion]]</f>
        <v>Agricola del Chira PlantaMontelima761905550001918810</v>
      </c>
      <c r="B3670" t="s">
        <v>28</v>
      </c>
      <c r="C3670" t="s">
        <v>82</v>
      </c>
      <c r="D3670" s="11">
        <v>44953</v>
      </c>
      <c r="E3670" t="s">
        <v>16</v>
      </c>
      <c r="F3670" t="s">
        <v>12</v>
      </c>
      <c r="G3670">
        <v>761905</v>
      </c>
      <c r="H3670">
        <v>5500019188</v>
      </c>
      <c r="I3670">
        <v>10</v>
      </c>
      <c r="J3670" s="29">
        <v>1</v>
      </c>
      <c r="K3670" s="29" t="s">
        <v>517</v>
      </c>
      <c r="L3670" t="str">
        <f>IFERROR(VLOOKUP(Detalle_OC[[#This Row],[Centro]]&amp;Detalle_OC[[#This Row],[Nro Almacen]],Almacen!A:D,4,FALSE),"")</f>
        <v>Montelima</v>
      </c>
    </row>
    <row r="3671" spans="1:12" x14ac:dyDescent="0.3">
      <c r="A3671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3671" t="s">
        <v>28</v>
      </c>
      <c r="C3671" t="s">
        <v>84</v>
      </c>
      <c r="D3671" s="11">
        <v>44953</v>
      </c>
      <c r="E3671" t="s">
        <v>16</v>
      </c>
      <c r="F3671" t="s">
        <v>12</v>
      </c>
      <c r="G3671">
        <v>801846</v>
      </c>
      <c r="H3671">
        <v>5500022338</v>
      </c>
      <c r="I3671">
        <v>40</v>
      </c>
      <c r="J3671" s="29">
        <v>1</v>
      </c>
      <c r="K3671" s="29" t="s">
        <v>517</v>
      </c>
      <c r="L3671" t="str">
        <f>IFERROR(VLOOKUP(Detalle_OC[[#This Row],[Centro]]&amp;Detalle_OC[[#This Row],[Nro Almacen]],Almacen!A:D,4,FALSE),"")</f>
        <v>Montelima</v>
      </c>
    </row>
    <row r="3672" spans="1:12" x14ac:dyDescent="0.3">
      <c r="A3672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3672" t="s">
        <v>28</v>
      </c>
      <c r="C3672" t="s">
        <v>84</v>
      </c>
      <c r="D3672" s="11">
        <v>44953</v>
      </c>
      <c r="E3672" t="s">
        <v>16</v>
      </c>
      <c r="F3672" t="s">
        <v>12</v>
      </c>
      <c r="G3672">
        <v>801846</v>
      </c>
      <c r="H3672">
        <v>5500022338</v>
      </c>
      <c r="I3672">
        <v>40</v>
      </c>
      <c r="J3672" s="29">
        <v>1</v>
      </c>
      <c r="K3672" s="29" t="s">
        <v>517</v>
      </c>
      <c r="L3672" t="str">
        <f>IFERROR(VLOOKUP(Detalle_OC[[#This Row],[Centro]]&amp;Detalle_OC[[#This Row],[Nro Almacen]],Almacen!A:D,4,FALSE),"")</f>
        <v>Montelima</v>
      </c>
    </row>
    <row r="3673" spans="1:12" x14ac:dyDescent="0.3">
      <c r="A3673" s="29" t="str">
        <f>Detalle_OC[[#This Row],[Centro]]&amp;Detalle_OC[[#This Row],[Nom Almacen]]&amp;Detalle_OC[[#This Row],[Material]]&amp;Detalle_OC[[#This Row],[Pedido]]&amp;Detalle_OC[[#This Row],[Posicion]]</f>
        <v>Agricola del Chira PlantaMontelima8446025500019188110</v>
      </c>
      <c r="B3673" t="s">
        <v>28</v>
      </c>
      <c r="C3673" t="s">
        <v>82</v>
      </c>
      <c r="D3673" s="11">
        <v>44950</v>
      </c>
      <c r="E3673" t="s">
        <v>16</v>
      </c>
      <c r="F3673" t="s">
        <v>12</v>
      </c>
      <c r="G3673">
        <v>844602</v>
      </c>
      <c r="H3673">
        <v>5500019188</v>
      </c>
      <c r="I3673">
        <v>110</v>
      </c>
      <c r="J3673" s="29">
        <v>1</v>
      </c>
      <c r="K3673" s="29" t="s">
        <v>518</v>
      </c>
      <c r="L3673" t="str">
        <f>IFERROR(VLOOKUP(Detalle_OC[[#This Row],[Centro]]&amp;Detalle_OC[[#This Row],[Nro Almacen]],Almacen!A:D,4,FALSE),"")</f>
        <v>Montelima</v>
      </c>
    </row>
    <row r="3674" spans="1:12" x14ac:dyDescent="0.3">
      <c r="A3674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3674" t="s">
        <v>28</v>
      </c>
      <c r="C3674" t="s">
        <v>82</v>
      </c>
      <c r="D3674" s="11">
        <v>44950</v>
      </c>
      <c r="E3674" t="s">
        <v>16</v>
      </c>
      <c r="F3674" t="s">
        <v>12</v>
      </c>
      <c r="G3674">
        <v>844522</v>
      </c>
      <c r="H3674">
        <v>5500019188</v>
      </c>
      <c r="I3674">
        <v>150</v>
      </c>
      <c r="J3674" s="29">
        <v>1</v>
      </c>
      <c r="K3674" s="29" t="s">
        <v>518</v>
      </c>
      <c r="L3674" t="str">
        <f>IFERROR(VLOOKUP(Detalle_OC[[#This Row],[Centro]]&amp;Detalle_OC[[#This Row],[Nro Almacen]],Almacen!A:D,4,FALSE),"")</f>
        <v>Montelima</v>
      </c>
    </row>
    <row r="3675" spans="1:12" x14ac:dyDescent="0.3">
      <c r="A3675" s="29" t="str">
        <f>Detalle_OC[[#This Row],[Centro]]&amp;Detalle_OC[[#This Row],[Nom Almacen]]&amp;Detalle_OC[[#This Row],[Material]]&amp;Detalle_OC[[#This Row],[Pedido]]&amp;Detalle_OC[[#This Row],[Posicion]]</f>
        <v>Agricola del Chira PlantaMontelima8445335500019188170</v>
      </c>
      <c r="B3675" t="s">
        <v>28</v>
      </c>
      <c r="C3675" t="s">
        <v>82</v>
      </c>
      <c r="D3675" s="11">
        <v>44950</v>
      </c>
      <c r="E3675" t="s">
        <v>16</v>
      </c>
      <c r="F3675" t="s">
        <v>12</v>
      </c>
      <c r="G3675">
        <v>844533</v>
      </c>
      <c r="H3675">
        <v>5500019188</v>
      </c>
      <c r="I3675">
        <v>170</v>
      </c>
      <c r="J3675" s="29">
        <v>1</v>
      </c>
      <c r="K3675" s="29" t="s">
        <v>518</v>
      </c>
      <c r="L3675" t="str">
        <f>IFERROR(VLOOKUP(Detalle_OC[[#This Row],[Centro]]&amp;Detalle_OC[[#This Row],[Nro Almacen]],Almacen!A:D,4,FALSE),"")</f>
        <v>Montelima</v>
      </c>
    </row>
    <row r="3676" spans="1:12" x14ac:dyDescent="0.3">
      <c r="A3676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3676" t="s">
        <v>28</v>
      </c>
      <c r="C3676" t="s">
        <v>82</v>
      </c>
      <c r="D3676" s="11">
        <v>44950</v>
      </c>
      <c r="E3676" t="s">
        <v>16</v>
      </c>
      <c r="F3676" t="s">
        <v>12</v>
      </c>
      <c r="G3676">
        <v>844516</v>
      </c>
      <c r="H3676">
        <v>5500019188</v>
      </c>
      <c r="I3676">
        <v>190</v>
      </c>
      <c r="J3676" s="29">
        <v>1</v>
      </c>
      <c r="K3676" s="29" t="s">
        <v>518</v>
      </c>
      <c r="L3676" t="str">
        <f>IFERROR(VLOOKUP(Detalle_OC[[#This Row],[Centro]]&amp;Detalle_OC[[#This Row],[Nro Almacen]],Almacen!A:D,4,FALSE),"")</f>
        <v>Montelima</v>
      </c>
    </row>
    <row r="3677" spans="1:12" x14ac:dyDescent="0.3">
      <c r="A3677" s="29" t="str">
        <f>Detalle_OC[[#This Row],[Centro]]&amp;Detalle_OC[[#This Row],[Nom Almacen]]&amp;Detalle_OC[[#This Row],[Material]]&amp;Detalle_OC[[#This Row],[Pedido]]&amp;Detalle_OC[[#This Row],[Posicion]]</f>
        <v>Agricola del Chira PlantaMontelima8445185500019188270</v>
      </c>
      <c r="B3677" t="s">
        <v>28</v>
      </c>
      <c r="C3677" t="s">
        <v>82</v>
      </c>
      <c r="D3677" s="11">
        <v>44950</v>
      </c>
      <c r="E3677" t="s">
        <v>16</v>
      </c>
      <c r="F3677" t="s">
        <v>12</v>
      </c>
      <c r="G3677">
        <v>844518</v>
      </c>
      <c r="H3677">
        <v>5500019188</v>
      </c>
      <c r="I3677">
        <v>270</v>
      </c>
      <c r="J3677" s="29">
        <v>1</v>
      </c>
      <c r="K3677" s="29" t="s">
        <v>518</v>
      </c>
      <c r="L3677" t="str">
        <f>IFERROR(VLOOKUP(Detalle_OC[[#This Row],[Centro]]&amp;Detalle_OC[[#This Row],[Nro Almacen]],Almacen!A:D,4,FALSE),"")</f>
        <v>Montelima</v>
      </c>
    </row>
    <row r="3678" spans="1:12" x14ac:dyDescent="0.3">
      <c r="A3678" s="29" t="str">
        <f>Detalle_OC[[#This Row],[Centro]]&amp;Detalle_OC[[#This Row],[Nom Almacen]]&amp;Detalle_OC[[#This Row],[Material]]&amp;Detalle_OC[[#This Row],[Pedido]]&amp;Detalle_OC[[#This Row],[Posicion]]</f>
        <v>Agricola del Chira PlantaMontelima8445365500019188330</v>
      </c>
      <c r="B3678" t="s">
        <v>28</v>
      </c>
      <c r="C3678" t="s">
        <v>82</v>
      </c>
      <c r="D3678" s="11">
        <v>44950</v>
      </c>
      <c r="E3678" t="s">
        <v>16</v>
      </c>
      <c r="F3678" t="s">
        <v>12</v>
      </c>
      <c r="G3678">
        <v>844536</v>
      </c>
      <c r="H3678">
        <v>5500019188</v>
      </c>
      <c r="I3678">
        <v>330</v>
      </c>
      <c r="J3678" s="29">
        <v>1</v>
      </c>
      <c r="K3678" s="29" t="s">
        <v>518</v>
      </c>
      <c r="L3678" t="str">
        <f>IFERROR(VLOOKUP(Detalle_OC[[#This Row],[Centro]]&amp;Detalle_OC[[#This Row],[Nro Almacen]],Almacen!A:D,4,FALSE),"")</f>
        <v>Montelima</v>
      </c>
    </row>
    <row r="3679" spans="1:12" x14ac:dyDescent="0.3">
      <c r="A3679" s="29" t="str">
        <f>Detalle_OC[[#This Row],[Centro]]&amp;Detalle_OC[[#This Row],[Nom Almacen]]&amp;Detalle_OC[[#This Row],[Material]]&amp;Detalle_OC[[#This Row],[Pedido]]&amp;Detalle_OC[[#This Row],[Posicion]]</f>
        <v>Agricola del Chira PlantaMontelima8445215500019188410</v>
      </c>
      <c r="B3679" t="s">
        <v>28</v>
      </c>
      <c r="C3679" t="s">
        <v>82</v>
      </c>
      <c r="D3679" s="11">
        <v>44950</v>
      </c>
      <c r="E3679" t="s">
        <v>16</v>
      </c>
      <c r="F3679" t="s">
        <v>12</v>
      </c>
      <c r="G3679">
        <v>844521</v>
      </c>
      <c r="H3679">
        <v>5500019188</v>
      </c>
      <c r="I3679">
        <v>410</v>
      </c>
      <c r="J3679" s="29">
        <v>1</v>
      </c>
      <c r="K3679" s="29" t="s">
        <v>518</v>
      </c>
      <c r="L3679" t="str">
        <f>IFERROR(VLOOKUP(Detalle_OC[[#This Row],[Centro]]&amp;Detalle_OC[[#This Row],[Nro Almacen]],Almacen!A:D,4,FALSE),"")</f>
        <v>Montelima</v>
      </c>
    </row>
    <row r="3680" spans="1:12" x14ac:dyDescent="0.3">
      <c r="A3680" s="29" t="str">
        <f>Detalle_OC[[#This Row],[Centro]]&amp;Detalle_OC[[#This Row],[Nom Almacen]]&amp;Detalle_OC[[#This Row],[Material]]&amp;Detalle_OC[[#This Row],[Pedido]]&amp;Detalle_OC[[#This Row],[Posicion]]</f>
        <v>Agricola del Chira PlantaMontelima8506365500019188510</v>
      </c>
      <c r="B3680" t="s">
        <v>28</v>
      </c>
      <c r="C3680" t="s">
        <v>82</v>
      </c>
      <c r="D3680" s="11">
        <v>44950</v>
      </c>
      <c r="E3680" t="s">
        <v>16</v>
      </c>
      <c r="F3680" t="s">
        <v>12</v>
      </c>
      <c r="G3680">
        <v>850636</v>
      </c>
      <c r="H3680">
        <v>5500019188</v>
      </c>
      <c r="I3680">
        <v>510</v>
      </c>
      <c r="J3680" s="29">
        <v>1</v>
      </c>
      <c r="K3680" s="29" t="s">
        <v>518</v>
      </c>
      <c r="L3680" t="str">
        <f>IFERROR(VLOOKUP(Detalle_OC[[#This Row],[Centro]]&amp;Detalle_OC[[#This Row],[Nro Almacen]],Almacen!A:D,4,FALSE),"")</f>
        <v>Montelima</v>
      </c>
    </row>
    <row r="3681" spans="1:12" x14ac:dyDescent="0.3">
      <c r="A3681" s="29" t="str">
        <f>Detalle_OC[[#This Row],[Centro]]&amp;Detalle_OC[[#This Row],[Nom Almacen]]&amp;Detalle_OC[[#This Row],[Material]]&amp;Detalle_OC[[#This Row],[Pedido]]&amp;Detalle_OC[[#This Row],[Posicion]]</f>
        <v>Agricola del Chira PlantaMontelima83507555000191881310</v>
      </c>
      <c r="B3681" t="s">
        <v>28</v>
      </c>
      <c r="C3681" t="s">
        <v>82</v>
      </c>
      <c r="D3681" s="11">
        <v>44950</v>
      </c>
      <c r="E3681" t="s">
        <v>16</v>
      </c>
      <c r="F3681" t="s">
        <v>12</v>
      </c>
      <c r="G3681">
        <v>835075</v>
      </c>
      <c r="H3681">
        <v>5500019188</v>
      </c>
      <c r="I3681">
        <v>1310</v>
      </c>
      <c r="J3681" s="29">
        <v>1</v>
      </c>
      <c r="K3681" s="29" t="s">
        <v>518</v>
      </c>
      <c r="L3681" t="str">
        <f>IFERROR(VLOOKUP(Detalle_OC[[#This Row],[Centro]]&amp;Detalle_OC[[#This Row],[Nro Almacen]],Almacen!A:D,4,FALSE),"")</f>
        <v>Montelima</v>
      </c>
    </row>
    <row r="3682" spans="1:12" x14ac:dyDescent="0.3">
      <c r="A3682" s="29" t="str">
        <f>Detalle_OC[[#This Row],[Centro]]&amp;Detalle_OC[[#This Row],[Nom Almacen]]&amp;Detalle_OC[[#This Row],[Material]]&amp;Detalle_OC[[#This Row],[Pedido]]&amp;Detalle_OC[[#This Row],[Posicion]]</f>
        <v>Agricola del Chira PlantaMontelima761905550001918810</v>
      </c>
      <c r="B3682" t="s">
        <v>28</v>
      </c>
      <c r="C3682" t="s">
        <v>82</v>
      </c>
      <c r="D3682" s="11">
        <v>44945</v>
      </c>
      <c r="E3682" t="s">
        <v>16</v>
      </c>
      <c r="F3682" t="s">
        <v>12</v>
      </c>
      <c r="G3682">
        <v>761905</v>
      </c>
      <c r="H3682">
        <v>5500019188</v>
      </c>
      <c r="I3682">
        <v>10</v>
      </c>
      <c r="J3682" s="29">
        <v>1</v>
      </c>
      <c r="K3682" s="29" t="s">
        <v>519</v>
      </c>
      <c r="L3682" t="str">
        <f>IFERROR(VLOOKUP(Detalle_OC[[#This Row],[Centro]]&amp;Detalle_OC[[#This Row],[Nro Almacen]],Almacen!A:D,4,FALSE),"")</f>
        <v>Montelima</v>
      </c>
    </row>
    <row r="3683" spans="1:12" x14ac:dyDescent="0.3">
      <c r="A3683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3683" t="s">
        <v>28</v>
      </c>
      <c r="C3683" t="s">
        <v>84</v>
      </c>
      <c r="D3683" s="11">
        <v>44943</v>
      </c>
      <c r="E3683" t="s">
        <v>16</v>
      </c>
      <c r="F3683" t="s">
        <v>85</v>
      </c>
      <c r="G3683">
        <v>801846</v>
      </c>
      <c r="H3683">
        <v>5500022336</v>
      </c>
      <c r="I3683">
        <v>10</v>
      </c>
      <c r="J3683" s="29">
        <v>1</v>
      </c>
      <c r="K3683" s="29" t="s">
        <v>520</v>
      </c>
      <c r="L3683" t="str">
        <f>IFERROR(VLOOKUP(Detalle_OC[[#This Row],[Centro]]&amp;Detalle_OC[[#This Row],[Nro Almacen]],Almacen!A:D,4,FALSE),"")</f>
        <v>Montelima</v>
      </c>
    </row>
    <row r="3684" spans="1:12" x14ac:dyDescent="0.3">
      <c r="A3684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3684" t="s">
        <v>28</v>
      </c>
      <c r="C3684" t="s">
        <v>84</v>
      </c>
      <c r="D3684" s="11">
        <v>44943</v>
      </c>
      <c r="E3684" t="s">
        <v>16</v>
      </c>
      <c r="F3684" t="s">
        <v>85</v>
      </c>
      <c r="G3684">
        <v>806591</v>
      </c>
      <c r="H3684">
        <v>5500022336</v>
      </c>
      <c r="I3684">
        <v>20</v>
      </c>
      <c r="J3684" s="29">
        <v>1</v>
      </c>
      <c r="K3684" s="29" t="s">
        <v>520</v>
      </c>
      <c r="L3684" t="str">
        <f>IFERROR(VLOOKUP(Detalle_OC[[#This Row],[Centro]]&amp;Detalle_OC[[#This Row],[Nro Almacen]],Almacen!A:D,4,FALSE),"")</f>
        <v>Montelima</v>
      </c>
    </row>
    <row r="3685" spans="1:12" x14ac:dyDescent="0.3">
      <c r="A3685" s="29" t="str">
        <f>Detalle_OC[[#This Row],[Centro]]&amp;Detalle_OC[[#This Row],[Nom Almacen]]&amp;Detalle_OC[[#This Row],[Material]]&amp;Detalle_OC[[#This Row],[Pedido]]&amp;Detalle_OC[[#This Row],[Posicion]]</f>
        <v>Sucroalcolera del Chira PlantaMontelima709179550002233630</v>
      </c>
      <c r="B3685" t="s">
        <v>28</v>
      </c>
      <c r="C3685" t="s">
        <v>84</v>
      </c>
      <c r="D3685" s="11">
        <v>44943</v>
      </c>
      <c r="E3685" t="s">
        <v>16</v>
      </c>
      <c r="F3685" t="s">
        <v>85</v>
      </c>
      <c r="G3685">
        <v>709179</v>
      </c>
      <c r="H3685">
        <v>5500022336</v>
      </c>
      <c r="I3685">
        <v>30</v>
      </c>
      <c r="J3685" s="29">
        <v>1</v>
      </c>
      <c r="K3685" s="29" t="s">
        <v>520</v>
      </c>
      <c r="L3685" t="str">
        <f>IFERROR(VLOOKUP(Detalle_OC[[#This Row],[Centro]]&amp;Detalle_OC[[#This Row],[Nro Almacen]],Almacen!A:D,4,FALSE),"")</f>
        <v>Montelima</v>
      </c>
    </row>
    <row r="3686" spans="1:12" x14ac:dyDescent="0.3">
      <c r="A3686" s="29" t="str">
        <f>Detalle_OC[[#This Row],[Centro]]&amp;Detalle_OC[[#This Row],[Nom Almacen]]&amp;Detalle_OC[[#This Row],[Material]]&amp;Detalle_OC[[#This Row],[Pedido]]&amp;Detalle_OC[[#This Row],[Posicion]]</f>
        <v>Agricola del Chira PlantaMontelima752131550002233810</v>
      </c>
      <c r="B3686" t="s">
        <v>28</v>
      </c>
      <c r="C3686" t="s">
        <v>84</v>
      </c>
      <c r="D3686" s="11">
        <v>44943</v>
      </c>
      <c r="E3686" t="s">
        <v>16</v>
      </c>
      <c r="F3686" t="s">
        <v>12</v>
      </c>
      <c r="G3686">
        <v>752131</v>
      </c>
      <c r="H3686">
        <v>5500022338</v>
      </c>
      <c r="I3686">
        <v>10</v>
      </c>
      <c r="J3686" s="29">
        <v>1</v>
      </c>
      <c r="K3686" s="29" t="s">
        <v>520</v>
      </c>
      <c r="L3686" t="str">
        <f>IFERROR(VLOOKUP(Detalle_OC[[#This Row],[Centro]]&amp;Detalle_OC[[#This Row],[Nro Almacen]],Almacen!A:D,4,FALSE),"")</f>
        <v>Montelima</v>
      </c>
    </row>
    <row r="3687" spans="1:12" x14ac:dyDescent="0.3">
      <c r="A3687" s="29" t="str">
        <f>Detalle_OC[[#This Row],[Centro]]&amp;Detalle_OC[[#This Row],[Nom Almacen]]&amp;Detalle_OC[[#This Row],[Material]]&amp;Detalle_OC[[#This Row],[Pedido]]&amp;Detalle_OC[[#This Row],[Posicion]]</f>
        <v>Agricola del Chira PlantaMontelima709179550002233820</v>
      </c>
      <c r="B3687" t="s">
        <v>28</v>
      </c>
      <c r="C3687" t="s">
        <v>84</v>
      </c>
      <c r="D3687" s="11">
        <v>44943</v>
      </c>
      <c r="E3687" t="s">
        <v>16</v>
      </c>
      <c r="F3687" t="s">
        <v>12</v>
      </c>
      <c r="G3687">
        <v>709179</v>
      </c>
      <c r="H3687">
        <v>5500022338</v>
      </c>
      <c r="I3687">
        <v>20</v>
      </c>
      <c r="J3687" s="29">
        <v>1</v>
      </c>
      <c r="K3687" s="29" t="s">
        <v>520</v>
      </c>
      <c r="L3687" t="str">
        <f>IFERROR(VLOOKUP(Detalle_OC[[#This Row],[Centro]]&amp;Detalle_OC[[#This Row],[Nro Almacen]],Almacen!A:D,4,FALSE),"")</f>
        <v>Montelima</v>
      </c>
    </row>
    <row r="3688" spans="1:12" x14ac:dyDescent="0.3">
      <c r="A3688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3688" t="s">
        <v>28</v>
      </c>
      <c r="C3688" t="s">
        <v>84</v>
      </c>
      <c r="D3688" s="11">
        <v>44943</v>
      </c>
      <c r="E3688" t="s">
        <v>16</v>
      </c>
      <c r="F3688" t="s">
        <v>12</v>
      </c>
      <c r="G3688">
        <v>801846</v>
      </c>
      <c r="H3688">
        <v>5500022338</v>
      </c>
      <c r="I3688">
        <v>40</v>
      </c>
      <c r="J3688" s="29">
        <v>1</v>
      </c>
      <c r="K3688" s="29" t="s">
        <v>520</v>
      </c>
      <c r="L3688" t="str">
        <f>IFERROR(VLOOKUP(Detalle_OC[[#This Row],[Centro]]&amp;Detalle_OC[[#This Row],[Nro Almacen]],Almacen!A:D,4,FALSE),"")</f>
        <v>Montelima</v>
      </c>
    </row>
    <row r="3689" spans="1:12" x14ac:dyDescent="0.3">
      <c r="A3689" s="29" t="str">
        <f>Detalle_OC[[#This Row],[Centro]]&amp;Detalle_OC[[#This Row],[Nom Almacen]]&amp;Detalle_OC[[#This Row],[Material]]&amp;Detalle_OC[[#This Row],[Pedido]]&amp;Detalle_OC[[#This Row],[Posicion]]</f>
        <v>Agricola del Chira PlantaMontelima708707550002233850</v>
      </c>
      <c r="B3689" t="s">
        <v>28</v>
      </c>
      <c r="C3689" t="s">
        <v>84</v>
      </c>
      <c r="D3689" s="11">
        <v>44943</v>
      </c>
      <c r="E3689" t="s">
        <v>16</v>
      </c>
      <c r="F3689" t="s">
        <v>12</v>
      </c>
      <c r="G3689">
        <v>708707</v>
      </c>
      <c r="H3689">
        <v>5500022338</v>
      </c>
      <c r="I3689">
        <v>50</v>
      </c>
      <c r="J3689" s="29">
        <v>1</v>
      </c>
      <c r="K3689" s="29" t="s">
        <v>520</v>
      </c>
      <c r="L3689" t="str">
        <f>IFERROR(VLOOKUP(Detalle_OC[[#This Row],[Centro]]&amp;Detalle_OC[[#This Row],[Nro Almacen]],Almacen!A:D,4,FALSE),"")</f>
        <v>Montelima</v>
      </c>
    </row>
    <row r="3690" spans="1:12" x14ac:dyDescent="0.3">
      <c r="A3690" s="29" t="str">
        <f>Detalle_OC[[#This Row],[Centro]]&amp;Detalle_OC[[#This Row],[Nom Almacen]]&amp;Detalle_OC[[#This Row],[Material]]&amp;Detalle_OC[[#This Row],[Pedido]]&amp;Detalle_OC[[#This Row],[Posicion]]</f>
        <v>Agricola del Chira PlantaMontelima726335550002233860</v>
      </c>
      <c r="B3690" t="s">
        <v>28</v>
      </c>
      <c r="C3690" t="s">
        <v>84</v>
      </c>
      <c r="D3690" s="11">
        <v>44943</v>
      </c>
      <c r="E3690" t="s">
        <v>16</v>
      </c>
      <c r="F3690" t="s">
        <v>12</v>
      </c>
      <c r="G3690">
        <v>726335</v>
      </c>
      <c r="H3690">
        <v>5500022338</v>
      </c>
      <c r="I3690">
        <v>60</v>
      </c>
      <c r="J3690" s="29">
        <v>1</v>
      </c>
      <c r="K3690" s="29" t="s">
        <v>520</v>
      </c>
      <c r="L3690" t="str">
        <f>IFERROR(VLOOKUP(Detalle_OC[[#This Row],[Centro]]&amp;Detalle_OC[[#This Row],[Nro Almacen]],Almacen!A:D,4,FALSE),"")</f>
        <v>Montelima</v>
      </c>
    </row>
    <row r="3691" spans="1:12" x14ac:dyDescent="0.3">
      <c r="A3691" s="29" t="str">
        <f>Detalle_OC[[#This Row],[Centro]]&amp;Detalle_OC[[#This Row],[Nom Almacen]]&amp;Detalle_OC[[#This Row],[Material]]&amp;Detalle_OC[[#This Row],[Pedido]]&amp;Detalle_OC[[#This Row],[Posicion]]</f>
        <v>Agricola del Chira PlantaMontelima813224550002233870</v>
      </c>
      <c r="B3691" t="s">
        <v>28</v>
      </c>
      <c r="C3691" t="s">
        <v>84</v>
      </c>
      <c r="D3691" s="11">
        <v>44943</v>
      </c>
      <c r="E3691" t="s">
        <v>16</v>
      </c>
      <c r="F3691" t="s">
        <v>12</v>
      </c>
      <c r="G3691">
        <v>813224</v>
      </c>
      <c r="H3691">
        <v>5500022338</v>
      </c>
      <c r="I3691">
        <v>70</v>
      </c>
      <c r="J3691" s="29">
        <v>1</v>
      </c>
      <c r="K3691" s="29" t="s">
        <v>520</v>
      </c>
      <c r="L3691" t="str">
        <f>IFERROR(VLOOKUP(Detalle_OC[[#This Row],[Centro]]&amp;Detalle_OC[[#This Row],[Nro Almacen]],Almacen!A:D,4,FALSE),"")</f>
        <v>Montelima</v>
      </c>
    </row>
    <row r="3692" spans="1:12" x14ac:dyDescent="0.3">
      <c r="A3692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3692" t="s">
        <v>28</v>
      </c>
      <c r="C3692" t="s">
        <v>84</v>
      </c>
      <c r="D3692" s="11">
        <v>44931</v>
      </c>
      <c r="E3692" t="s">
        <v>16</v>
      </c>
      <c r="F3692" t="s">
        <v>85</v>
      </c>
      <c r="G3692">
        <v>801846</v>
      </c>
      <c r="H3692">
        <v>5500022336</v>
      </c>
      <c r="I3692">
        <v>10</v>
      </c>
      <c r="J3692" s="29">
        <v>1</v>
      </c>
      <c r="K3692" s="29" t="s">
        <v>521</v>
      </c>
      <c r="L3692" t="str">
        <f>IFERROR(VLOOKUP(Detalle_OC[[#This Row],[Centro]]&amp;Detalle_OC[[#This Row],[Nro Almacen]],Almacen!A:D,4,FALSE),"")</f>
        <v>Montelima</v>
      </c>
    </row>
    <row r="3693" spans="1:12" x14ac:dyDescent="0.3">
      <c r="A3693" s="29" t="str">
        <f>Detalle_OC[[#This Row],[Centro]]&amp;Detalle_OC[[#This Row],[Nom Almacen]]&amp;Detalle_OC[[#This Row],[Material]]&amp;Detalle_OC[[#This Row],[Pedido]]&amp;Detalle_OC[[#This Row],[Posicion]]</f>
        <v>Agricola del Chira PlantaMontelima8445175500019188340</v>
      </c>
      <c r="B3693" t="s">
        <v>28</v>
      </c>
      <c r="C3693" t="s">
        <v>82</v>
      </c>
      <c r="D3693" s="11">
        <v>44925</v>
      </c>
      <c r="E3693" t="s">
        <v>16</v>
      </c>
      <c r="F3693" t="s">
        <v>12</v>
      </c>
      <c r="G3693">
        <v>844517</v>
      </c>
      <c r="H3693">
        <v>5500019188</v>
      </c>
      <c r="I3693">
        <v>340</v>
      </c>
      <c r="J3693" s="29">
        <v>1</v>
      </c>
      <c r="K3693" s="29" t="s">
        <v>522</v>
      </c>
      <c r="L3693" t="str">
        <f>IFERROR(VLOOKUP(Detalle_OC[[#This Row],[Centro]]&amp;Detalle_OC[[#This Row],[Nro Almacen]],Almacen!A:D,4,FALSE),"")</f>
        <v>Montelima</v>
      </c>
    </row>
    <row r="3694" spans="1:12" x14ac:dyDescent="0.3">
      <c r="A3694" s="29" t="str">
        <f>Detalle_OC[[#This Row],[Centro]]&amp;Detalle_OC[[#This Row],[Nom Almacen]]&amp;Detalle_OC[[#This Row],[Material]]&amp;Detalle_OC[[#This Row],[Pedido]]&amp;Detalle_OC[[#This Row],[Posicion]]</f>
        <v>Agricola del Chira PlantaMontelima83541955000191881470</v>
      </c>
      <c r="B3694" t="s">
        <v>28</v>
      </c>
      <c r="C3694" t="s">
        <v>82</v>
      </c>
      <c r="D3694" s="11">
        <v>44925</v>
      </c>
      <c r="E3694" t="s">
        <v>16</v>
      </c>
      <c r="F3694" t="s">
        <v>12</v>
      </c>
      <c r="G3694">
        <v>835419</v>
      </c>
      <c r="H3694">
        <v>5500019188</v>
      </c>
      <c r="I3694">
        <v>1470</v>
      </c>
      <c r="J3694" s="29">
        <v>1</v>
      </c>
      <c r="K3694" s="29" t="s">
        <v>522</v>
      </c>
      <c r="L3694" t="str">
        <f>IFERROR(VLOOKUP(Detalle_OC[[#This Row],[Centro]]&amp;Detalle_OC[[#This Row],[Nro Almacen]],Almacen!A:D,4,FALSE),"")</f>
        <v>Montelima</v>
      </c>
    </row>
    <row r="3695" spans="1:12" x14ac:dyDescent="0.3">
      <c r="A3695" s="29" t="str">
        <f>Detalle_OC[[#This Row],[Centro]]&amp;Detalle_OC[[#This Row],[Nom Almacen]]&amp;Detalle_OC[[#This Row],[Material]]&amp;Detalle_OC[[#This Row],[Pedido]]&amp;Detalle_OC[[#This Row],[Posicion]]</f>
        <v>Agricola del Chira PlantaMontelima738330550001918820</v>
      </c>
      <c r="B3695" t="s">
        <v>28</v>
      </c>
      <c r="C3695" t="s">
        <v>82</v>
      </c>
      <c r="D3695" s="11">
        <v>44917</v>
      </c>
      <c r="E3695" t="s">
        <v>16</v>
      </c>
      <c r="F3695" t="s">
        <v>12</v>
      </c>
      <c r="G3695">
        <v>738330</v>
      </c>
      <c r="H3695">
        <v>5500019188</v>
      </c>
      <c r="I3695">
        <v>20</v>
      </c>
      <c r="J3695" s="29">
        <v>1</v>
      </c>
      <c r="K3695" s="29" t="s">
        <v>523</v>
      </c>
      <c r="L3695" t="str">
        <f>IFERROR(VLOOKUP(Detalle_OC[[#This Row],[Centro]]&amp;Detalle_OC[[#This Row],[Nro Almacen]],Almacen!A:D,4,FALSE),"")</f>
        <v>Montelima</v>
      </c>
    </row>
    <row r="3696" spans="1:12" x14ac:dyDescent="0.3">
      <c r="A3696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3696" t="s">
        <v>28</v>
      </c>
      <c r="C3696" t="s">
        <v>82</v>
      </c>
      <c r="D3696" s="11">
        <v>44917</v>
      </c>
      <c r="E3696" t="s">
        <v>16</v>
      </c>
      <c r="F3696" t="s">
        <v>12</v>
      </c>
      <c r="G3696">
        <v>844523</v>
      </c>
      <c r="H3696">
        <v>5500019188</v>
      </c>
      <c r="I3696">
        <v>140</v>
      </c>
      <c r="J3696" s="29">
        <v>1</v>
      </c>
      <c r="K3696" s="29" t="s">
        <v>523</v>
      </c>
      <c r="L3696" t="str">
        <f>IFERROR(VLOOKUP(Detalle_OC[[#This Row],[Centro]]&amp;Detalle_OC[[#This Row],[Nro Almacen]],Almacen!A:D,4,FALSE),"")</f>
        <v>Montelima</v>
      </c>
    </row>
    <row r="3697" spans="1:12" x14ac:dyDescent="0.3">
      <c r="A3697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3697" t="s">
        <v>28</v>
      </c>
      <c r="C3697" t="s">
        <v>82</v>
      </c>
      <c r="D3697" s="11">
        <v>44917</v>
      </c>
      <c r="E3697" t="s">
        <v>16</v>
      </c>
      <c r="F3697" t="s">
        <v>12</v>
      </c>
      <c r="G3697">
        <v>844523</v>
      </c>
      <c r="H3697">
        <v>5500019188</v>
      </c>
      <c r="I3697">
        <v>140</v>
      </c>
      <c r="J3697" s="29">
        <v>1</v>
      </c>
      <c r="K3697" s="29" t="s">
        <v>523</v>
      </c>
      <c r="L3697" t="str">
        <f>IFERROR(VLOOKUP(Detalle_OC[[#This Row],[Centro]]&amp;Detalle_OC[[#This Row],[Nro Almacen]],Almacen!A:D,4,FALSE),"")</f>
        <v>Montelima</v>
      </c>
    </row>
    <row r="3698" spans="1:12" x14ac:dyDescent="0.3">
      <c r="A3698" s="29" t="str">
        <f>Detalle_OC[[#This Row],[Centro]]&amp;Detalle_OC[[#This Row],[Nom Almacen]]&amp;Detalle_OC[[#This Row],[Material]]&amp;Detalle_OC[[#This Row],[Pedido]]&amp;Detalle_OC[[#This Row],[Posicion]]</f>
        <v>Agricola del Chira PlantaMontelima8445115500019188180</v>
      </c>
      <c r="B3698" t="s">
        <v>28</v>
      </c>
      <c r="C3698" t="s">
        <v>82</v>
      </c>
      <c r="D3698" s="11">
        <v>44917</v>
      </c>
      <c r="E3698" t="s">
        <v>16</v>
      </c>
      <c r="F3698" t="s">
        <v>12</v>
      </c>
      <c r="G3698">
        <v>844511</v>
      </c>
      <c r="H3698">
        <v>5500019188</v>
      </c>
      <c r="I3698">
        <v>180</v>
      </c>
      <c r="J3698" s="29">
        <v>1</v>
      </c>
      <c r="K3698" s="29" t="s">
        <v>523</v>
      </c>
      <c r="L3698" t="str">
        <f>IFERROR(VLOOKUP(Detalle_OC[[#This Row],[Centro]]&amp;Detalle_OC[[#This Row],[Nro Almacen]],Almacen!A:D,4,FALSE),"")</f>
        <v>Montelima</v>
      </c>
    </row>
    <row r="3699" spans="1:12" x14ac:dyDescent="0.3">
      <c r="A3699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3699" t="s">
        <v>28</v>
      </c>
      <c r="C3699" t="s">
        <v>82</v>
      </c>
      <c r="D3699" s="11">
        <v>44917</v>
      </c>
      <c r="E3699" t="s">
        <v>16</v>
      </c>
      <c r="F3699" t="s">
        <v>12</v>
      </c>
      <c r="G3699">
        <v>844508</v>
      </c>
      <c r="H3699">
        <v>5500019188</v>
      </c>
      <c r="I3699">
        <v>220</v>
      </c>
      <c r="J3699" s="29">
        <v>1</v>
      </c>
      <c r="K3699" s="29" t="s">
        <v>523</v>
      </c>
      <c r="L3699" t="str">
        <f>IFERROR(VLOOKUP(Detalle_OC[[#This Row],[Centro]]&amp;Detalle_OC[[#This Row],[Nro Almacen]],Almacen!A:D,4,FALSE),"")</f>
        <v>Montelima</v>
      </c>
    </row>
    <row r="3700" spans="1:12" x14ac:dyDescent="0.3">
      <c r="A3700" s="29" t="str">
        <f>Detalle_OC[[#This Row],[Centro]]&amp;Detalle_OC[[#This Row],[Nom Almacen]]&amp;Detalle_OC[[#This Row],[Material]]&amp;Detalle_OC[[#This Row],[Pedido]]&amp;Detalle_OC[[#This Row],[Posicion]]</f>
        <v>Agricola del Chira PlantaMontelima8445025500019188250</v>
      </c>
      <c r="B3700" t="s">
        <v>28</v>
      </c>
      <c r="C3700" t="s">
        <v>82</v>
      </c>
      <c r="D3700" s="11">
        <v>44917</v>
      </c>
      <c r="E3700" t="s">
        <v>16</v>
      </c>
      <c r="F3700" t="s">
        <v>12</v>
      </c>
      <c r="G3700">
        <v>844502</v>
      </c>
      <c r="H3700">
        <v>5500019188</v>
      </c>
      <c r="I3700">
        <v>250</v>
      </c>
      <c r="J3700" s="29">
        <v>1</v>
      </c>
      <c r="K3700" s="29" t="s">
        <v>523</v>
      </c>
      <c r="L3700" t="str">
        <f>IFERROR(VLOOKUP(Detalle_OC[[#This Row],[Centro]]&amp;Detalle_OC[[#This Row],[Nro Almacen]],Almacen!A:D,4,FALSE),"")</f>
        <v>Montelima</v>
      </c>
    </row>
    <row r="3701" spans="1:12" x14ac:dyDescent="0.3">
      <c r="A3701" s="29" t="str">
        <f>Detalle_OC[[#This Row],[Centro]]&amp;Detalle_OC[[#This Row],[Nom Almacen]]&amp;Detalle_OC[[#This Row],[Material]]&amp;Detalle_OC[[#This Row],[Pedido]]&amp;Detalle_OC[[#This Row],[Posicion]]</f>
        <v>Agricola del Chira PlantaMontelima8445025500019188250</v>
      </c>
      <c r="B3701" t="s">
        <v>28</v>
      </c>
      <c r="C3701" t="s">
        <v>82</v>
      </c>
      <c r="D3701" s="11">
        <v>44917</v>
      </c>
      <c r="E3701" t="s">
        <v>16</v>
      </c>
      <c r="F3701" t="s">
        <v>12</v>
      </c>
      <c r="G3701">
        <v>844502</v>
      </c>
      <c r="H3701">
        <v>5500019188</v>
      </c>
      <c r="I3701">
        <v>250</v>
      </c>
      <c r="J3701" s="29">
        <v>1</v>
      </c>
      <c r="K3701" s="29" t="s">
        <v>523</v>
      </c>
      <c r="L3701" t="str">
        <f>IFERROR(VLOOKUP(Detalle_OC[[#This Row],[Centro]]&amp;Detalle_OC[[#This Row],[Nro Almacen]],Almacen!A:D,4,FALSE),"")</f>
        <v>Montelima</v>
      </c>
    </row>
    <row r="3702" spans="1:12" x14ac:dyDescent="0.3">
      <c r="A3702" s="29" t="str">
        <f>Detalle_OC[[#This Row],[Centro]]&amp;Detalle_OC[[#This Row],[Nom Almacen]]&amp;Detalle_OC[[#This Row],[Material]]&amp;Detalle_OC[[#This Row],[Pedido]]&amp;Detalle_OC[[#This Row],[Posicion]]</f>
        <v>Agricola del Chira PlantaMontelima8443975500019188280</v>
      </c>
      <c r="B3702" t="s">
        <v>28</v>
      </c>
      <c r="C3702" t="s">
        <v>82</v>
      </c>
      <c r="D3702" s="11">
        <v>44917</v>
      </c>
      <c r="E3702" t="s">
        <v>16</v>
      </c>
      <c r="F3702" t="s">
        <v>12</v>
      </c>
      <c r="G3702">
        <v>844397</v>
      </c>
      <c r="H3702">
        <v>5500019188</v>
      </c>
      <c r="I3702">
        <v>280</v>
      </c>
      <c r="J3702" s="29">
        <v>1</v>
      </c>
      <c r="K3702" s="29" t="s">
        <v>523</v>
      </c>
      <c r="L3702" t="str">
        <f>IFERROR(VLOOKUP(Detalle_OC[[#This Row],[Centro]]&amp;Detalle_OC[[#This Row],[Nro Almacen]],Almacen!A:D,4,FALSE),"")</f>
        <v>Montelima</v>
      </c>
    </row>
    <row r="3703" spans="1:12" x14ac:dyDescent="0.3">
      <c r="A3703" s="29" t="str">
        <f>Detalle_OC[[#This Row],[Centro]]&amp;Detalle_OC[[#This Row],[Nom Almacen]]&amp;Detalle_OC[[#This Row],[Material]]&amp;Detalle_OC[[#This Row],[Pedido]]&amp;Detalle_OC[[#This Row],[Posicion]]</f>
        <v>Agricola del Chira PlantaMontelima8443975500019188280</v>
      </c>
      <c r="B3703" t="s">
        <v>28</v>
      </c>
      <c r="C3703" t="s">
        <v>82</v>
      </c>
      <c r="D3703" s="11">
        <v>44917</v>
      </c>
      <c r="E3703" t="s">
        <v>16</v>
      </c>
      <c r="F3703" t="s">
        <v>12</v>
      </c>
      <c r="G3703">
        <v>844397</v>
      </c>
      <c r="H3703">
        <v>5500019188</v>
      </c>
      <c r="I3703">
        <v>280</v>
      </c>
      <c r="J3703" s="29">
        <v>1</v>
      </c>
      <c r="K3703" s="29" t="s">
        <v>523</v>
      </c>
      <c r="L3703" t="str">
        <f>IFERROR(VLOOKUP(Detalle_OC[[#This Row],[Centro]]&amp;Detalle_OC[[#This Row],[Nro Almacen]],Almacen!A:D,4,FALSE),"")</f>
        <v>Montelima</v>
      </c>
    </row>
    <row r="3704" spans="1:12" x14ac:dyDescent="0.3">
      <c r="A3704" s="29" t="str">
        <f>Detalle_OC[[#This Row],[Centro]]&amp;Detalle_OC[[#This Row],[Nom Almacen]]&amp;Detalle_OC[[#This Row],[Material]]&amp;Detalle_OC[[#This Row],[Pedido]]&amp;Detalle_OC[[#This Row],[Posicion]]</f>
        <v>Agricola del Chira PlantaMontelima8445275500019188310</v>
      </c>
      <c r="B3704" t="s">
        <v>28</v>
      </c>
      <c r="C3704" t="s">
        <v>82</v>
      </c>
      <c r="D3704" s="11">
        <v>44917</v>
      </c>
      <c r="E3704" t="s">
        <v>16</v>
      </c>
      <c r="F3704" t="s">
        <v>12</v>
      </c>
      <c r="G3704">
        <v>844527</v>
      </c>
      <c r="H3704">
        <v>5500019188</v>
      </c>
      <c r="I3704">
        <v>310</v>
      </c>
      <c r="J3704" s="29">
        <v>1</v>
      </c>
      <c r="K3704" s="29" t="s">
        <v>523</v>
      </c>
      <c r="L3704" t="str">
        <f>IFERROR(VLOOKUP(Detalle_OC[[#This Row],[Centro]]&amp;Detalle_OC[[#This Row],[Nro Almacen]],Almacen!A:D,4,FALSE),"")</f>
        <v>Montelima</v>
      </c>
    </row>
    <row r="3705" spans="1:12" x14ac:dyDescent="0.3">
      <c r="A3705" s="29" t="str">
        <f>Detalle_OC[[#This Row],[Centro]]&amp;Detalle_OC[[#This Row],[Nom Almacen]]&amp;Detalle_OC[[#This Row],[Material]]&amp;Detalle_OC[[#This Row],[Pedido]]&amp;Detalle_OC[[#This Row],[Posicion]]</f>
        <v>Agricola del Chira PlantaMontelima8445175500019188340</v>
      </c>
      <c r="B3705" t="s">
        <v>28</v>
      </c>
      <c r="C3705" t="s">
        <v>82</v>
      </c>
      <c r="D3705" s="11">
        <v>44917</v>
      </c>
      <c r="E3705" t="s">
        <v>16</v>
      </c>
      <c r="F3705" t="s">
        <v>12</v>
      </c>
      <c r="G3705">
        <v>844517</v>
      </c>
      <c r="H3705">
        <v>5500019188</v>
      </c>
      <c r="I3705">
        <v>340</v>
      </c>
      <c r="J3705" s="29">
        <v>1</v>
      </c>
      <c r="K3705" s="29" t="s">
        <v>523</v>
      </c>
      <c r="L3705" t="str">
        <f>IFERROR(VLOOKUP(Detalle_OC[[#This Row],[Centro]]&amp;Detalle_OC[[#This Row],[Nro Almacen]],Almacen!A:D,4,FALSE),"")</f>
        <v>Montelima</v>
      </c>
    </row>
    <row r="3706" spans="1:12" x14ac:dyDescent="0.3">
      <c r="A3706" s="29" t="str">
        <f>Detalle_OC[[#This Row],[Centro]]&amp;Detalle_OC[[#This Row],[Nom Almacen]]&amp;Detalle_OC[[#This Row],[Material]]&amp;Detalle_OC[[#This Row],[Pedido]]&amp;Detalle_OC[[#This Row],[Posicion]]</f>
        <v>Agricola del Chira PlantaMontelima8459085500019188350</v>
      </c>
      <c r="B3706" t="s">
        <v>28</v>
      </c>
      <c r="C3706" t="s">
        <v>82</v>
      </c>
      <c r="D3706" s="11">
        <v>44917</v>
      </c>
      <c r="E3706" t="s">
        <v>16</v>
      </c>
      <c r="F3706" t="s">
        <v>12</v>
      </c>
      <c r="G3706">
        <v>845908</v>
      </c>
      <c r="H3706">
        <v>5500019188</v>
      </c>
      <c r="I3706">
        <v>350</v>
      </c>
      <c r="J3706" s="29">
        <v>1</v>
      </c>
      <c r="K3706" s="29" t="s">
        <v>523</v>
      </c>
      <c r="L3706" t="str">
        <f>IFERROR(VLOOKUP(Detalle_OC[[#This Row],[Centro]]&amp;Detalle_OC[[#This Row],[Nro Almacen]],Almacen!A:D,4,FALSE),"")</f>
        <v>Montelima</v>
      </c>
    </row>
    <row r="3707" spans="1:12" x14ac:dyDescent="0.3">
      <c r="A3707" s="29" t="str">
        <f>Detalle_OC[[#This Row],[Centro]]&amp;Detalle_OC[[#This Row],[Nom Almacen]]&amp;Detalle_OC[[#This Row],[Material]]&amp;Detalle_OC[[#This Row],[Pedido]]&amp;Detalle_OC[[#This Row],[Posicion]]</f>
        <v>Agricola del Chira PlantaMontelima8459085500019188350</v>
      </c>
      <c r="B3707" t="s">
        <v>28</v>
      </c>
      <c r="C3707" t="s">
        <v>82</v>
      </c>
      <c r="D3707" s="11">
        <v>44917</v>
      </c>
      <c r="E3707" t="s">
        <v>16</v>
      </c>
      <c r="F3707" t="s">
        <v>12</v>
      </c>
      <c r="G3707">
        <v>845908</v>
      </c>
      <c r="H3707">
        <v>5500019188</v>
      </c>
      <c r="I3707">
        <v>350</v>
      </c>
      <c r="J3707" s="29">
        <v>1</v>
      </c>
      <c r="K3707" s="29" t="s">
        <v>523</v>
      </c>
      <c r="L3707" t="str">
        <f>IFERROR(VLOOKUP(Detalle_OC[[#This Row],[Centro]]&amp;Detalle_OC[[#This Row],[Nro Almacen]],Almacen!A:D,4,FALSE),"")</f>
        <v>Montelima</v>
      </c>
    </row>
    <row r="3708" spans="1:12" x14ac:dyDescent="0.3">
      <c r="A3708" s="29" t="str">
        <f>Detalle_OC[[#This Row],[Centro]]&amp;Detalle_OC[[#This Row],[Nom Almacen]]&amp;Detalle_OC[[#This Row],[Material]]&amp;Detalle_OC[[#This Row],[Pedido]]&amp;Detalle_OC[[#This Row],[Posicion]]</f>
        <v>Agricola del Chira PlantaMontelima8445265500019188390</v>
      </c>
      <c r="B3708" t="s">
        <v>28</v>
      </c>
      <c r="C3708" t="s">
        <v>82</v>
      </c>
      <c r="D3708" s="11">
        <v>44917</v>
      </c>
      <c r="E3708" t="s">
        <v>16</v>
      </c>
      <c r="F3708" t="s">
        <v>12</v>
      </c>
      <c r="G3708">
        <v>844526</v>
      </c>
      <c r="H3708">
        <v>5500019188</v>
      </c>
      <c r="I3708">
        <v>390</v>
      </c>
      <c r="J3708" s="29">
        <v>1</v>
      </c>
      <c r="K3708" s="29" t="s">
        <v>523</v>
      </c>
      <c r="L3708" t="str">
        <f>IFERROR(VLOOKUP(Detalle_OC[[#This Row],[Centro]]&amp;Detalle_OC[[#This Row],[Nro Almacen]],Almacen!A:D,4,FALSE),"")</f>
        <v>Montelima</v>
      </c>
    </row>
    <row r="3709" spans="1:12" x14ac:dyDescent="0.3">
      <c r="A3709" s="29" t="str">
        <f>Detalle_OC[[#This Row],[Centro]]&amp;Detalle_OC[[#This Row],[Nom Almacen]]&amp;Detalle_OC[[#This Row],[Material]]&amp;Detalle_OC[[#This Row],[Pedido]]&amp;Detalle_OC[[#This Row],[Posicion]]</f>
        <v>Agricola del Chira PlantaMontelima8445375500019188420</v>
      </c>
      <c r="B3709" t="s">
        <v>28</v>
      </c>
      <c r="C3709" t="s">
        <v>82</v>
      </c>
      <c r="D3709" s="11">
        <v>44917</v>
      </c>
      <c r="E3709" t="s">
        <v>16</v>
      </c>
      <c r="F3709" t="s">
        <v>12</v>
      </c>
      <c r="G3709">
        <v>844537</v>
      </c>
      <c r="H3709">
        <v>5500019188</v>
      </c>
      <c r="I3709">
        <v>420</v>
      </c>
      <c r="J3709" s="29">
        <v>1</v>
      </c>
      <c r="K3709" s="29" t="s">
        <v>523</v>
      </c>
      <c r="L3709" t="str">
        <f>IFERROR(VLOOKUP(Detalle_OC[[#This Row],[Centro]]&amp;Detalle_OC[[#This Row],[Nro Almacen]],Almacen!A:D,4,FALSE),"")</f>
        <v>Montelima</v>
      </c>
    </row>
    <row r="3710" spans="1:12" x14ac:dyDescent="0.3">
      <c r="A3710" s="29" t="str">
        <f>Detalle_OC[[#This Row],[Centro]]&amp;Detalle_OC[[#This Row],[Nom Almacen]]&amp;Detalle_OC[[#This Row],[Material]]&amp;Detalle_OC[[#This Row],[Pedido]]&amp;Detalle_OC[[#This Row],[Posicion]]</f>
        <v>Agricola del Chira PlantaMontelima8445375500019188420</v>
      </c>
      <c r="B3710" t="s">
        <v>28</v>
      </c>
      <c r="C3710" t="s">
        <v>82</v>
      </c>
      <c r="D3710" s="11">
        <v>44917</v>
      </c>
      <c r="E3710" t="s">
        <v>16</v>
      </c>
      <c r="F3710" t="s">
        <v>12</v>
      </c>
      <c r="G3710">
        <v>844537</v>
      </c>
      <c r="H3710">
        <v>5500019188</v>
      </c>
      <c r="I3710">
        <v>420</v>
      </c>
      <c r="J3710" s="29">
        <v>1</v>
      </c>
      <c r="K3710" s="29" t="s">
        <v>523</v>
      </c>
      <c r="L3710" t="str">
        <f>IFERROR(VLOOKUP(Detalle_OC[[#This Row],[Centro]]&amp;Detalle_OC[[#This Row],[Nro Almacen]],Almacen!A:D,4,FALSE),"")</f>
        <v>Montelima</v>
      </c>
    </row>
    <row r="3711" spans="1:12" x14ac:dyDescent="0.3">
      <c r="A3711" s="29" t="str">
        <f>Detalle_OC[[#This Row],[Centro]]&amp;Detalle_OC[[#This Row],[Nom Almacen]]&amp;Detalle_OC[[#This Row],[Material]]&amp;Detalle_OC[[#This Row],[Pedido]]&amp;Detalle_OC[[#This Row],[Posicion]]</f>
        <v>Agricola del Chira PlantaMontelima8459045500019188720</v>
      </c>
      <c r="B3711" t="s">
        <v>28</v>
      </c>
      <c r="C3711" t="s">
        <v>82</v>
      </c>
      <c r="D3711" s="11">
        <v>44917</v>
      </c>
      <c r="E3711" t="s">
        <v>16</v>
      </c>
      <c r="F3711" t="s">
        <v>12</v>
      </c>
      <c r="G3711">
        <v>845904</v>
      </c>
      <c r="H3711">
        <v>5500019188</v>
      </c>
      <c r="I3711">
        <v>720</v>
      </c>
      <c r="J3711" s="29">
        <v>1</v>
      </c>
      <c r="K3711" s="29" t="s">
        <v>523</v>
      </c>
      <c r="L3711" t="str">
        <f>IFERROR(VLOOKUP(Detalle_OC[[#This Row],[Centro]]&amp;Detalle_OC[[#This Row],[Nro Almacen]],Almacen!A:D,4,FALSE),"")</f>
        <v>Montelima</v>
      </c>
    </row>
    <row r="3712" spans="1:12" x14ac:dyDescent="0.3">
      <c r="A3712" s="29" t="str">
        <f>Detalle_OC[[#This Row],[Centro]]&amp;Detalle_OC[[#This Row],[Nom Almacen]]&amp;Detalle_OC[[#This Row],[Material]]&amp;Detalle_OC[[#This Row],[Pedido]]&amp;Detalle_OC[[#This Row],[Posicion]]</f>
        <v>Agricola del Chira PlantaMontelima8459045500019188720</v>
      </c>
      <c r="B3712" t="s">
        <v>28</v>
      </c>
      <c r="C3712" t="s">
        <v>82</v>
      </c>
      <c r="D3712" s="11">
        <v>44917</v>
      </c>
      <c r="E3712" t="s">
        <v>16</v>
      </c>
      <c r="F3712" t="s">
        <v>12</v>
      </c>
      <c r="G3712">
        <v>845904</v>
      </c>
      <c r="H3712">
        <v>5500019188</v>
      </c>
      <c r="I3712">
        <v>720</v>
      </c>
      <c r="J3712" s="29">
        <v>1</v>
      </c>
      <c r="K3712" s="29" t="s">
        <v>523</v>
      </c>
      <c r="L3712" t="str">
        <f>IFERROR(VLOOKUP(Detalle_OC[[#This Row],[Centro]]&amp;Detalle_OC[[#This Row],[Nro Almacen]],Almacen!A:D,4,FALSE),"")</f>
        <v>Montelima</v>
      </c>
    </row>
    <row r="3713" spans="1:12" x14ac:dyDescent="0.3">
      <c r="A3713" s="29" t="str">
        <f>Detalle_OC[[#This Row],[Centro]]&amp;Detalle_OC[[#This Row],[Nom Almacen]]&amp;Detalle_OC[[#This Row],[Material]]&amp;Detalle_OC[[#This Row],[Pedido]]&amp;Detalle_OC[[#This Row],[Posicion]]</f>
        <v>Agricola del Chira PlantaMontelima8445465500019188890</v>
      </c>
      <c r="B3713" t="s">
        <v>28</v>
      </c>
      <c r="C3713" t="s">
        <v>82</v>
      </c>
      <c r="D3713" s="11">
        <v>44917</v>
      </c>
      <c r="E3713" t="s">
        <v>16</v>
      </c>
      <c r="F3713" t="s">
        <v>12</v>
      </c>
      <c r="G3713">
        <v>844546</v>
      </c>
      <c r="H3713">
        <v>5500019188</v>
      </c>
      <c r="I3713">
        <v>890</v>
      </c>
      <c r="J3713" s="29">
        <v>1</v>
      </c>
      <c r="K3713" s="29" t="s">
        <v>523</v>
      </c>
      <c r="L3713" t="str">
        <f>IFERROR(VLOOKUP(Detalle_OC[[#This Row],[Centro]]&amp;Detalle_OC[[#This Row],[Nro Almacen]],Almacen!A:D,4,FALSE),"")</f>
        <v>Montelima</v>
      </c>
    </row>
    <row r="3714" spans="1:12" x14ac:dyDescent="0.3">
      <c r="A3714" s="29" t="str">
        <f>Detalle_OC[[#This Row],[Centro]]&amp;Detalle_OC[[#This Row],[Nom Almacen]]&amp;Detalle_OC[[#This Row],[Material]]&amp;Detalle_OC[[#This Row],[Pedido]]&amp;Detalle_OC[[#This Row],[Posicion]]</f>
        <v>Agricola del Chira PlantaMontelima8445465500019188890</v>
      </c>
      <c r="B3714" t="s">
        <v>28</v>
      </c>
      <c r="C3714" t="s">
        <v>82</v>
      </c>
      <c r="D3714" s="11">
        <v>44917</v>
      </c>
      <c r="E3714" t="s">
        <v>16</v>
      </c>
      <c r="F3714" t="s">
        <v>12</v>
      </c>
      <c r="G3714">
        <v>844546</v>
      </c>
      <c r="H3714">
        <v>5500019188</v>
      </c>
      <c r="I3714">
        <v>890</v>
      </c>
      <c r="J3714" s="29">
        <v>1</v>
      </c>
      <c r="K3714" s="29" t="s">
        <v>523</v>
      </c>
      <c r="L3714" t="str">
        <f>IFERROR(VLOOKUP(Detalle_OC[[#This Row],[Centro]]&amp;Detalle_OC[[#This Row],[Nro Almacen]],Almacen!A:D,4,FALSE),"")</f>
        <v>Montelima</v>
      </c>
    </row>
    <row r="3715" spans="1:12" x14ac:dyDescent="0.3">
      <c r="A3715" s="29" t="str">
        <f>Detalle_OC[[#This Row],[Centro]]&amp;Detalle_OC[[#This Row],[Nom Almacen]]&amp;Detalle_OC[[#This Row],[Material]]&amp;Detalle_OC[[#This Row],[Pedido]]&amp;Detalle_OC[[#This Row],[Posicion]]</f>
        <v>Agricola del Chira PlantaMontelima83541955000191881470</v>
      </c>
      <c r="B3715" t="s">
        <v>28</v>
      </c>
      <c r="C3715" t="s">
        <v>82</v>
      </c>
      <c r="D3715" s="11">
        <v>44917</v>
      </c>
      <c r="E3715" t="s">
        <v>16</v>
      </c>
      <c r="F3715" t="s">
        <v>12</v>
      </c>
      <c r="G3715">
        <v>835419</v>
      </c>
      <c r="H3715">
        <v>5500019188</v>
      </c>
      <c r="I3715">
        <v>1470</v>
      </c>
      <c r="J3715" s="29">
        <v>1</v>
      </c>
      <c r="K3715" s="29" t="s">
        <v>523</v>
      </c>
      <c r="L3715" t="str">
        <f>IFERROR(VLOOKUP(Detalle_OC[[#This Row],[Centro]]&amp;Detalle_OC[[#This Row],[Nro Almacen]],Almacen!A:D,4,FALSE),"")</f>
        <v>Montelima</v>
      </c>
    </row>
    <row r="3716" spans="1:12" x14ac:dyDescent="0.3">
      <c r="A3716" s="29" t="str">
        <f>Detalle_OC[[#This Row],[Centro]]&amp;Detalle_OC[[#This Row],[Nom Almacen]]&amp;Detalle_OC[[#This Row],[Material]]&amp;Detalle_OC[[#This Row],[Pedido]]&amp;Detalle_OC[[#This Row],[Posicion]]</f>
        <v>Agricola del Chira PlantaMontelima7002963255000191881670</v>
      </c>
      <c r="B3716" t="s">
        <v>28</v>
      </c>
      <c r="C3716" t="s">
        <v>82</v>
      </c>
      <c r="D3716" s="11">
        <v>44917</v>
      </c>
      <c r="E3716" t="s">
        <v>16</v>
      </c>
      <c r="F3716" t="s">
        <v>12</v>
      </c>
      <c r="G3716">
        <v>70029632</v>
      </c>
      <c r="H3716">
        <v>5500019188</v>
      </c>
      <c r="I3716">
        <v>1670</v>
      </c>
      <c r="J3716" s="29">
        <v>1</v>
      </c>
      <c r="K3716" s="29" t="s">
        <v>523</v>
      </c>
      <c r="L3716" t="str">
        <f>IFERROR(VLOOKUP(Detalle_OC[[#This Row],[Centro]]&amp;Detalle_OC[[#This Row],[Nro Almacen]],Almacen!A:D,4,FALSE),"")</f>
        <v>Montelima</v>
      </c>
    </row>
    <row r="3717" spans="1:12" x14ac:dyDescent="0.3">
      <c r="A3717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3717" t="s">
        <v>28</v>
      </c>
      <c r="C3717" t="s">
        <v>84</v>
      </c>
      <c r="D3717" s="11">
        <v>44907</v>
      </c>
      <c r="E3717" t="s">
        <v>16</v>
      </c>
      <c r="F3717" t="s">
        <v>85</v>
      </c>
      <c r="G3717">
        <v>806591</v>
      </c>
      <c r="H3717">
        <v>5500022336</v>
      </c>
      <c r="I3717">
        <v>20</v>
      </c>
      <c r="J3717" s="29">
        <v>1</v>
      </c>
      <c r="K3717" s="29" t="s">
        <v>524</v>
      </c>
      <c r="L3717" t="str">
        <f>IFERROR(VLOOKUP(Detalle_OC[[#This Row],[Centro]]&amp;Detalle_OC[[#This Row],[Nro Almacen]],Almacen!A:D,4,FALSE),"")</f>
        <v>Montelima</v>
      </c>
    </row>
    <row r="3718" spans="1:12" x14ac:dyDescent="0.3">
      <c r="A3718" s="29" t="str">
        <f>Detalle_OC[[#This Row],[Centro]]&amp;Detalle_OC[[#This Row],[Nom Almacen]]&amp;Detalle_OC[[#This Row],[Material]]&amp;Detalle_OC[[#This Row],[Pedido]]&amp;Detalle_OC[[#This Row],[Posicion]]</f>
        <v>Sucroalcolera del Chira PlantaMontelima709179550002233630</v>
      </c>
      <c r="B3718" t="s">
        <v>28</v>
      </c>
      <c r="C3718" t="s">
        <v>84</v>
      </c>
      <c r="D3718" s="11">
        <v>44907</v>
      </c>
      <c r="E3718" t="s">
        <v>16</v>
      </c>
      <c r="F3718" t="s">
        <v>85</v>
      </c>
      <c r="G3718">
        <v>709179</v>
      </c>
      <c r="H3718">
        <v>5500022336</v>
      </c>
      <c r="I3718">
        <v>30</v>
      </c>
      <c r="J3718" s="29">
        <v>1</v>
      </c>
      <c r="K3718" s="29" t="s">
        <v>524</v>
      </c>
      <c r="L3718" t="str">
        <f>IFERROR(VLOOKUP(Detalle_OC[[#This Row],[Centro]]&amp;Detalle_OC[[#This Row],[Nro Almacen]],Almacen!A:D,4,FALSE),"")</f>
        <v>Montelima</v>
      </c>
    </row>
    <row r="3719" spans="1:12" x14ac:dyDescent="0.3">
      <c r="A3719" s="29" t="str">
        <f>Detalle_OC[[#This Row],[Centro]]&amp;Detalle_OC[[#This Row],[Nom Almacen]]&amp;Detalle_OC[[#This Row],[Material]]&amp;Detalle_OC[[#This Row],[Pedido]]&amp;Detalle_OC[[#This Row],[Posicion]]</f>
        <v>Agricola del Chira PlantaMontelima709179550002233820</v>
      </c>
      <c r="B3719" t="s">
        <v>28</v>
      </c>
      <c r="C3719" t="s">
        <v>84</v>
      </c>
      <c r="D3719" s="11">
        <v>44907</v>
      </c>
      <c r="E3719" t="s">
        <v>16</v>
      </c>
      <c r="F3719" t="s">
        <v>12</v>
      </c>
      <c r="G3719">
        <v>709179</v>
      </c>
      <c r="H3719">
        <v>5500022338</v>
      </c>
      <c r="I3719">
        <v>20</v>
      </c>
      <c r="J3719" s="29">
        <v>1</v>
      </c>
      <c r="K3719" s="29" t="s">
        <v>524</v>
      </c>
      <c r="L3719" t="str">
        <f>IFERROR(VLOOKUP(Detalle_OC[[#This Row],[Centro]]&amp;Detalle_OC[[#This Row],[Nro Almacen]],Almacen!A:D,4,FALSE),"")</f>
        <v>Montelima</v>
      </c>
    </row>
    <row r="3720" spans="1:12" x14ac:dyDescent="0.3">
      <c r="A3720" s="29" t="str">
        <f>Detalle_OC[[#This Row],[Centro]]&amp;Detalle_OC[[#This Row],[Nom Almacen]]&amp;Detalle_OC[[#This Row],[Material]]&amp;Detalle_OC[[#This Row],[Pedido]]&amp;Detalle_OC[[#This Row],[Posicion]]</f>
        <v>Agricola del Chira PlantaMontelima808069550002233830</v>
      </c>
      <c r="B3720" t="s">
        <v>28</v>
      </c>
      <c r="C3720" t="s">
        <v>84</v>
      </c>
      <c r="D3720" s="11">
        <v>44907</v>
      </c>
      <c r="E3720" t="s">
        <v>16</v>
      </c>
      <c r="F3720" t="s">
        <v>12</v>
      </c>
      <c r="G3720">
        <v>808069</v>
      </c>
      <c r="H3720">
        <v>5500022338</v>
      </c>
      <c r="I3720">
        <v>30</v>
      </c>
      <c r="J3720" s="29">
        <v>1</v>
      </c>
      <c r="K3720" s="29" t="s">
        <v>524</v>
      </c>
      <c r="L3720" t="str">
        <f>IFERROR(VLOOKUP(Detalle_OC[[#This Row],[Centro]]&amp;Detalle_OC[[#This Row],[Nro Almacen]],Almacen!A:D,4,FALSE),"")</f>
        <v>Montelima</v>
      </c>
    </row>
    <row r="3721" spans="1:12" x14ac:dyDescent="0.3">
      <c r="A3721" s="29" t="str">
        <f>Detalle_OC[[#This Row],[Centro]]&amp;Detalle_OC[[#This Row],[Nom Almacen]]&amp;Detalle_OC[[#This Row],[Material]]&amp;Detalle_OC[[#This Row],[Pedido]]&amp;Detalle_OC[[#This Row],[Posicion]]</f>
        <v>Agricola del Chira PlantaMontelima708707550002233850</v>
      </c>
      <c r="B3721" t="s">
        <v>28</v>
      </c>
      <c r="C3721" t="s">
        <v>84</v>
      </c>
      <c r="D3721" s="11">
        <v>44907</v>
      </c>
      <c r="E3721" t="s">
        <v>16</v>
      </c>
      <c r="F3721" t="s">
        <v>12</v>
      </c>
      <c r="G3721">
        <v>708707</v>
      </c>
      <c r="H3721">
        <v>5500022338</v>
      </c>
      <c r="I3721">
        <v>50</v>
      </c>
      <c r="J3721" s="29">
        <v>1</v>
      </c>
      <c r="K3721" s="29" t="s">
        <v>524</v>
      </c>
      <c r="L3721" t="str">
        <f>IFERROR(VLOOKUP(Detalle_OC[[#This Row],[Centro]]&amp;Detalle_OC[[#This Row],[Nro Almacen]],Almacen!A:D,4,FALSE),"")</f>
        <v>Montelima</v>
      </c>
    </row>
    <row r="3722" spans="1:12" x14ac:dyDescent="0.3">
      <c r="A3722" s="29" t="str">
        <f>Detalle_OC[[#This Row],[Centro]]&amp;Detalle_OC[[#This Row],[Nom Almacen]]&amp;Detalle_OC[[#This Row],[Material]]&amp;Detalle_OC[[#This Row],[Pedido]]&amp;Detalle_OC[[#This Row],[Posicion]]</f>
        <v>Agricola del Chira PlantaMontelima726335550002233860</v>
      </c>
      <c r="B3722" t="s">
        <v>28</v>
      </c>
      <c r="C3722" t="s">
        <v>84</v>
      </c>
      <c r="D3722" s="11">
        <v>44907</v>
      </c>
      <c r="E3722" t="s">
        <v>16</v>
      </c>
      <c r="F3722" t="s">
        <v>12</v>
      </c>
      <c r="G3722">
        <v>726335</v>
      </c>
      <c r="H3722">
        <v>5500022338</v>
      </c>
      <c r="I3722">
        <v>60</v>
      </c>
      <c r="J3722" s="29">
        <v>1</v>
      </c>
      <c r="K3722" s="29" t="s">
        <v>524</v>
      </c>
      <c r="L3722" t="str">
        <f>IFERROR(VLOOKUP(Detalle_OC[[#This Row],[Centro]]&amp;Detalle_OC[[#This Row],[Nro Almacen]],Almacen!A:D,4,FALSE),"")</f>
        <v>Montelima</v>
      </c>
    </row>
    <row r="3723" spans="1:12" x14ac:dyDescent="0.3">
      <c r="A3723" s="29" t="str">
        <f>Detalle_OC[[#This Row],[Centro]]&amp;Detalle_OC[[#This Row],[Nom Almacen]]&amp;Detalle_OC[[#This Row],[Material]]&amp;Detalle_OC[[#This Row],[Pedido]]&amp;Detalle_OC[[#This Row],[Posicion]]</f>
        <v>Agricola del Chira PlantaMontelima813224550002233870</v>
      </c>
      <c r="B3723" t="s">
        <v>28</v>
      </c>
      <c r="C3723" t="s">
        <v>84</v>
      </c>
      <c r="D3723" s="11">
        <v>44907</v>
      </c>
      <c r="E3723" t="s">
        <v>16</v>
      </c>
      <c r="F3723" t="s">
        <v>12</v>
      </c>
      <c r="G3723">
        <v>813224</v>
      </c>
      <c r="H3723">
        <v>5500022338</v>
      </c>
      <c r="I3723">
        <v>70</v>
      </c>
      <c r="J3723" s="29">
        <v>1</v>
      </c>
      <c r="K3723" s="29" t="s">
        <v>524</v>
      </c>
      <c r="L3723" t="str">
        <f>IFERROR(VLOOKUP(Detalle_OC[[#This Row],[Centro]]&amp;Detalle_OC[[#This Row],[Nro Almacen]],Almacen!A:D,4,FALSE),"")</f>
        <v>Montelima</v>
      </c>
    </row>
    <row r="3724" spans="1:12" x14ac:dyDescent="0.3">
      <c r="A3724" s="29" t="str">
        <f>Detalle_OC[[#This Row],[Centro]]&amp;Detalle_OC[[#This Row],[Nom Almacen]]&amp;Detalle_OC[[#This Row],[Material]]&amp;Detalle_OC[[#This Row],[Pedido]]&amp;Detalle_OC[[#This Row],[Posicion]]</f>
        <v>Agricola del Chira PlantaMontelima70032053550002233880</v>
      </c>
      <c r="B3724" t="s">
        <v>28</v>
      </c>
      <c r="C3724" t="s">
        <v>84</v>
      </c>
      <c r="D3724" s="11">
        <v>44907</v>
      </c>
      <c r="E3724" t="s">
        <v>16</v>
      </c>
      <c r="F3724" t="s">
        <v>12</v>
      </c>
      <c r="G3724">
        <v>70032053</v>
      </c>
      <c r="H3724">
        <v>5500022338</v>
      </c>
      <c r="I3724">
        <v>80</v>
      </c>
      <c r="J3724" s="29">
        <v>1</v>
      </c>
      <c r="K3724" s="29" t="s">
        <v>524</v>
      </c>
      <c r="L3724" t="str">
        <f>IFERROR(VLOOKUP(Detalle_OC[[#This Row],[Centro]]&amp;Detalle_OC[[#This Row],[Nro Almacen]],Almacen!A:D,4,FALSE),"")</f>
        <v>Montelima</v>
      </c>
    </row>
    <row r="3725" spans="1:12" x14ac:dyDescent="0.3">
      <c r="A3725" s="29" t="str">
        <f>Detalle_OC[[#This Row],[Centro]]&amp;Detalle_OC[[#This Row],[Nom Almacen]]&amp;Detalle_OC[[#This Row],[Material]]&amp;Detalle_OC[[#This Row],[Pedido]]&amp;Detalle_OC[[#This Row],[Posicion]]</f>
        <v>Agricola del Chira PlantaMontelima762202550001918850</v>
      </c>
      <c r="B3725" t="s">
        <v>28</v>
      </c>
      <c r="C3725" t="s">
        <v>82</v>
      </c>
      <c r="D3725" s="11">
        <v>44895</v>
      </c>
      <c r="E3725" t="s">
        <v>16</v>
      </c>
      <c r="F3725" t="s">
        <v>12</v>
      </c>
      <c r="G3725">
        <v>762202</v>
      </c>
      <c r="H3725">
        <v>5500019188</v>
      </c>
      <c r="I3725">
        <v>50</v>
      </c>
      <c r="J3725" s="29">
        <v>1</v>
      </c>
      <c r="K3725" s="29" t="s">
        <v>525</v>
      </c>
      <c r="L3725" t="str">
        <f>IFERROR(VLOOKUP(Detalle_OC[[#This Row],[Centro]]&amp;Detalle_OC[[#This Row],[Nro Almacen]],Almacen!A:D,4,FALSE),"")</f>
        <v>Montelima</v>
      </c>
    </row>
    <row r="3726" spans="1:12" x14ac:dyDescent="0.3">
      <c r="A3726" s="29" t="str">
        <f>Detalle_OC[[#This Row],[Centro]]&amp;Detalle_OC[[#This Row],[Nom Almacen]]&amp;Detalle_OC[[#This Row],[Material]]&amp;Detalle_OC[[#This Row],[Pedido]]&amp;Detalle_OC[[#This Row],[Posicion]]</f>
        <v>Agricola del Chira PlantaMontelima844601550001918860</v>
      </c>
      <c r="B3726" t="s">
        <v>28</v>
      </c>
      <c r="C3726" t="s">
        <v>82</v>
      </c>
      <c r="D3726" s="11">
        <v>44895</v>
      </c>
      <c r="E3726" t="s">
        <v>16</v>
      </c>
      <c r="F3726" t="s">
        <v>12</v>
      </c>
      <c r="G3726">
        <v>844601</v>
      </c>
      <c r="H3726">
        <v>5500019188</v>
      </c>
      <c r="I3726">
        <v>60</v>
      </c>
      <c r="J3726" s="29">
        <v>1</v>
      </c>
      <c r="K3726" s="29" t="s">
        <v>525</v>
      </c>
      <c r="L3726" t="str">
        <f>IFERROR(VLOOKUP(Detalle_OC[[#This Row],[Centro]]&amp;Detalle_OC[[#This Row],[Nro Almacen]],Almacen!A:D,4,FALSE),"")</f>
        <v>Montelima</v>
      </c>
    </row>
    <row r="3727" spans="1:12" x14ac:dyDescent="0.3">
      <c r="A3727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3727" t="s">
        <v>28</v>
      </c>
      <c r="C3727" t="s">
        <v>82</v>
      </c>
      <c r="D3727" s="11">
        <v>44895</v>
      </c>
      <c r="E3727" t="s">
        <v>16</v>
      </c>
      <c r="F3727" t="s">
        <v>12</v>
      </c>
      <c r="G3727">
        <v>844508</v>
      </c>
      <c r="H3727">
        <v>5500019188</v>
      </c>
      <c r="I3727">
        <v>220</v>
      </c>
      <c r="J3727" s="29">
        <v>1</v>
      </c>
      <c r="K3727" s="29" t="s">
        <v>525</v>
      </c>
      <c r="L3727" t="str">
        <f>IFERROR(VLOOKUP(Detalle_OC[[#This Row],[Centro]]&amp;Detalle_OC[[#This Row],[Nro Almacen]],Almacen!A:D,4,FALSE),"")</f>
        <v>Montelima</v>
      </c>
    </row>
    <row r="3728" spans="1:12" x14ac:dyDescent="0.3">
      <c r="A3728" s="29" t="str">
        <f>Detalle_OC[[#This Row],[Centro]]&amp;Detalle_OC[[#This Row],[Nom Almacen]]&amp;Detalle_OC[[#This Row],[Material]]&amp;Detalle_OC[[#This Row],[Pedido]]&amp;Detalle_OC[[#This Row],[Posicion]]</f>
        <v>Agricola del Chira PlantaMontelima8445095500019188260</v>
      </c>
      <c r="B3728" t="s">
        <v>28</v>
      </c>
      <c r="C3728" t="s">
        <v>82</v>
      </c>
      <c r="D3728" s="11">
        <v>44895</v>
      </c>
      <c r="E3728" t="s">
        <v>16</v>
      </c>
      <c r="F3728" t="s">
        <v>12</v>
      </c>
      <c r="G3728">
        <v>844509</v>
      </c>
      <c r="H3728">
        <v>5500019188</v>
      </c>
      <c r="I3728">
        <v>260</v>
      </c>
      <c r="J3728" s="29">
        <v>1</v>
      </c>
      <c r="K3728" s="29" t="s">
        <v>525</v>
      </c>
      <c r="L3728" t="str">
        <f>IFERROR(VLOOKUP(Detalle_OC[[#This Row],[Centro]]&amp;Detalle_OC[[#This Row],[Nro Almacen]],Almacen!A:D,4,FALSE),"")</f>
        <v>Montelima</v>
      </c>
    </row>
    <row r="3729" spans="1:12" x14ac:dyDescent="0.3">
      <c r="A3729" s="29" t="str">
        <f>Detalle_OC[[#This Row],[Centro]]&amp;Detalle_OC[[#This Row],[Nom Almacen]]&amp;Detalle_OC[[#This Row],[Material]]&amp;Detalle_OC[[#This Row],[Pedido]]&amp;Detalle_OC[[#This Row],[Posicion]]</f>
        <v>Agricola del Chira PlantaMontelima8445185500019188270</v>
      </c>
      <c r="B3729" t="s">
        <v>28</v>
      </c>
      <c r="C3729" t="s">
        <v>82</v>
      </c>
      <c r="D3729" s="11">
        <v>44895</v>
      </c>
      <c r="E3729" t="s">
        <v>16</v>
      </c>
      <c r="F3729" t="s">
        <v>12</v>
      </c>
      <c r="G3729">
        <v>844518</v>
      </c>
      <c r="H3729">
        <v>5500019188</v>
      </c>
      <c r="I3729">
        <v>270</v>
      </c>
      <c r="J3729" s="29">
        <v>1</v>
      </c>
      <c r="K3729" s="29" t="s">
        <v>525</v>
      </c>
      <c r="L3729" t="str">
        <f>IFERROR(VLOOKUP(Detalle_OC[[#This Row],[Centro]]&amp;Detalle_OC[[#This Row],[Nro Almacen]],Almacen!A:D,4,FALSE),"")</f>
        <v>Montelima</v>
      </c>
    </row>
    <row r="3730" spans="1:12" x14ac:dyDescent="0.3">
      <c r="A3730" s="29" t="str">
        <f>Detalle_OC[[#This Row],[Centro]]&amp;Detalle_OC[[#This Row],[Nom Almacen]]&amp;Detalle_OC[[#This Row],[Material]]&amp;Detalle_OC[[#This Row],[Pedido]]&amp;Detalle_OC[[#This Row],[Posicion]]</f>
        <v>Agricola del Chira PlantaMontelima8443975500019188280</v>
      </c>
      <c r="B3730" t="s">
        <v>28</v>
      </c>
      <c r="C3730" t="s">
        <v>82</v>
      </c>
      <c r="D3730" s="11">
        <v>44895</v>
      </c>
      <c r="E3730" t="s">
        <v>16</v>
      </c>
      <c r="F3730" t="s">
        <v>12</v>
      </c>
      <c r="G3730">
        <v>844397</v>
      </c>
      <c r="H3730">
        <v>5500019188</v>
      </c>
      <c r="I3730">
        <v>280</v>
      </c>
      <c r="J3730" s="29">
        <v>1</v>
      </c>
      <c r="K3730" s="29" t="s">
        <v>525</v>
      </c>
      <c r="L3730" t="str">
        <f>IFERROR(VLOOKUP(Detalle_OC[[#This Row],[Centro]]&amp;Detalle_OC[[#This Row],[Nro Almacen]],Almacen!A:D,4,FALSE),"")</f>
        <v>Montelima</v>
      </c>
    </row>
    <row r="3731" spans="1:12" x14ac:dyDescent="0.3">
      <c r="A3731" s="29" t="str">
        <f>Detalle_OC[[#This Row],[Centro]]&amp;Detalle_OC[[#This Row],[Nom Almacen]]&amp;Detalle_OC[[#This Row],[Material]]&amp;Detalle_OC[[#This Row],[Pedido]]&amp;Detalle_OC[[#This Row],[Posicion]]</f>
        <v>Agricola del Chira PlantaMontelima8445295500019188380</v>
      </c>
      <c r="B3731" t="s">
        <v>28</v>
      </c>
      <c r="C3731" t="s">
        <v>82</v>
      </c>
      <c r="D3731" s="11">
        <v>44895</v>
      </c>
      <c r="E3731" t="s">
        <v>16</v>
      </c>
      <c r="F3731" t="s">
        <v>12</v>
      </c>
      <c r="G3731">
        <v>844529</v>
      </c>
      <c r="H3731">
        <v>5500019188</v>
      </c>
      <c r="I3731">
        <v>380</v>
      </c>
      <c r="J3731" s="29">
        <v>1</v>
      </c>
      <c r="K3731" s="29" t="s">
        <v>525</v>
      </c>
      <c r="L3731" t="str">
        <f>IFERROR(VLOOKUP(Detalle_OC[[#This Row],[Centro]]&amp;Detalle_OC[[#This Row],[Nro Almacen]],Almacen!A:D,4,FALSE),"")</f>
        <v>Montelima</v>
      </c>
    </row>
    <row r="3732" spans="1:12" x14ac:dyDescent="0.3">
      <c r="A3732" s="29" t="str">
        <f>Detalle_OC[[#This Row],[Centro]]&amp;Detalle_OC[[#This Row],[Nom Almacen]]&amp;Detalle_OC[[#This Row],[Material]]&amp;Detalle_OC[[#This Row],[Pedido]]&amp;Detalle_OC[[#This Row],[Posicion]]</f>
        <v>Agricola del Chira PlantaMontelima8445215500019188410</v>
      </c>
      <c r="B3732" t="s">
        <v>28</v>
      </c>
      <c r="C3732" t="s">
        <v>82</v>
      </c>
      <c r="D3732" s="11">
        <v>44895</v>
      </c>
      <c r="E3732" t="s">
        <v>16</v>
      </c>
      <c r="F3732" t="s">
        <v>12</v>
      </c>
      <c r="G3732">
        <v>844521</v>
      </c>
      <c r="H3732">
        <v>5500019188</v>
      </c>
      <c r="I3732">
        <v>410</v>
      </c>
      <c r="J3732" s="29">
        <v>1</v>
      </c>
      <c r="K3732" s="29" t="s">
        <v>525</v>
      </c>
      <c r="L3732" t="str">
        <f>IFERROR(VLOOKUP(Detalle_OC[[#This Row],[Centro]]&amp;Detalle_OC[[#This Row],[Nro Almacen]],Almacen!A:D,4,FALSE),"")</f>
        <v>Montelima</v>
      </c>
    </row>
    <row r="3733" spans="1:12" x14ac:dyDescent="0.3">
      <c r="A3733" s="29" t="str">
        <f>Detalle_OC[[#This Row],[Centro]]&amp;Detalle_OC[[#This Row],[Nom Almacen]]&amp;Detalle_OC[[#This Row],[Material]]&amp;Detalle_OC[[#This Row],[Pedido]]&amp;Detalle_OC[[#This Row],[Posicion]]</f>
        <v>Agricola del Chira PlantaMontelima8445435500019188570</v>
      </c>
      <c r="B3733" t="s">
        <v>28</v>
      </c>
      <c r="C3733" t="s">
        <v>82</v>
      </c>
      <c r="D3733" s="11">
        <v>44895</v>
      </c>
      <c r="E3733" t="s">
        <v>16</v>
      </c>
      <c r="F3733" t="s">
        <v>12</v>
      </c>
      <c r="G3733">
        <v>844543</v>
      </c>
      <c r="H3733">
        <v>5500019188</v>
      </c>
      <c r="I3733">
        <v>570</v>
      </c>
      <c r="J3733" s="29">
        <v>1</v>
      </c>
      <c r="K3733" s="29" t="s">
        <v>525</v>
      </c>
      <c r="L3733" t="str">
        <f>IFERROR(VLOOKUP(Detalle_OC[[#This Row],[Centro]]&amp;Detalle_OC[[#This Row],[Nro Almacen]],Almacen!A:D,4,FALSE),"")</f>
        <v>Montelima</v>
      </c>
    </row>
    <row r="3734" spans="1:12" x14ac:dyDescent="0.3">
      <c r="A3734" s="29" t="str">
        <f>Detalle_OC[[#This Row],[Centro]]&amp;Detalle_OC[[#This Row],[Nom Almacen]]&amp;Detalle_OC[[#This Row],[Material]]&amp;Detalle_OC[[#This Row],[Pedido]]&amp;Detalle_OC[[#This Row],[Posicion]]</f>
        <v>Agricola del Chira PlantaMontelima8457155500019188650</v>
      </c>
      <c r="B3734" t="s">
        <v>28</v>
      </c>
      <c r="C3734" t="s">
        <v>82</v>
      </c>
      <c r="D3734" s="11">
        <v>44895</v>
      </c>
      <c r="E3734" t="s">
        <v>16</v>
      </c>
      <c r="F3734" t="s">
        <v>12</v>
      </c>
      <c r="G3734">
        <v>845715</v>
      </c>
      <c r="H3734">
        <v>5500019188</v>
      </c>
      <c r="I3734">
        <v>650</v>
      </c>
      <c r="J3734" s="29">
        <v>1</v>
      </c>
      <c r="K3734" s="29" t="s">
        <v>525</v>
      </c>
      <c r="L3734" t="str">
        <f>IFERROR(VLOOKUP(Detalle_OC[[#This Row],[Centro]]&amp;Detalle_OC[[#This Row],[Nro Almacen]],Almacen!A:D,4,FALSE),"")</f>
        <v>Montelima</v>
      </c>
    </row>
    <row r="3735" spans="1:12" x14ac:dyDescent="0.3">
      <c r="A3735" s="29" t="str">
        <f>Detalle_OC[[#This Row],[Centro]]&amp;Detalle_OC[[#This Row],[Nom Almacen]]&amp;Detalle_OC[[#This Row],[Material]]&amp;Detalle_OC[[#This Row],[Pedido]]&amp;Detalle_OC[[#This Row],[Posicion]]</f>
        <v>Agricola del Chira PlantaMontelima84557255000191881300</v>
      </c>
      <c r="B3735" t="s">
        <v>28</v>
      </c>
      <c r="C3735" t="s">
        <v>82</v>
      </c>
      <c r="D3735" s="11">
        <v>44895</v>
      </c>
      <c r="E3735" t="s">
        <v>16</v>
      </c>
      <c r="F3735" t="s">
        <v>12</v>
      </c>
      <c r="G3735">
        <v>845572</v>
      </c>
      <c r="H3735">
        <v>5500019188</v>
      </c>
      <c r="I3735">
        <v>1300</v>
      </c>
      <c r="J3735" s="29">
        <v>1</v>
      </c>
      <c r="K3735" s="29" t="s">
        <v>525</v>
      </c>
      <c r="L3735" t="str">
        <f>IFERROR(VLOOKUP(Detalle_OC[[#This Row],[Centro]]&amp;Detalle_OC[[#This Row],[Nro Almacen]],Almacen!A:D,4,FALSE),"")</f>
        <v>Montelima</v>
      </c>
    </row>
    <row r="3736" spans="1:12" x14ac:dyDescent="0.3">
      <c r="A3736" s="29" t="str">
        <f>Detalle_OC[[#This Row],[Centro]]&amp;Detalle_OC[[#This Row],[Nom Almacen]]&amp;Detalle_OC[[#This Row],[Material]]&amp;Detalle_OC[[#This Row],[Pedido]]&amp;Detalle_OC[[#This Row],[Posicion]]</f>
        <v>Agricola del Chira PlantaMontelima7002961555000191881570</v>
      </c>
      <c r="B3736" t="s">
        <v>28</v>
      </c>
      <c r="C3736" t="s">
        <v>82</v>
      </c>
      <c r="D3736" s="11">
        <v>44895</v>
      </c>
      <c r="E3736" t="s">
        <v>16</v>
      </c>
      <c r="F3736" t="s">
        <v>12</v>
      </c>
      <c r="G3736">
        <v>70029615</v>
      </c>
      <c r="H3736">
        <v>5500019188</v>
      </c>
      <c r="I3736">
        <v>1570</v>
      </c>
      <c r="J3736" s="29">
        <v>1</v>
      </c>
      <c r="K3736" s="29" t="s">
        <v>525</v>
      </c>
      <c r="L3736" t="str">
        <f>IFERROR(VLOOKUP(Detalle_OC[[#This Row],[Centro]]&amp;Detalle_OC[[#This Row],[Nro Almacen]],Almacen!A:D,4,FALSE),"")</f>
        <v>Montelima</v>
      </c>
    </row>
    <row r="3737" spans="1:12" x14ac:dyDescent="0.3">
      <c r="A3737" s="29" t="str">
        <f>Detalle_OC[[#This Row],[Centro]]&amp;Detalle_OC[[#This Row],[Nom Almacen]]&amp;Detalle_OC[[#This Row],[Material]]&amp;Detalle_OC[[#This Row],[Pedido]]&amp;Detalle_OC[[#This Row],[Posicion]]</f>
        <v>Agricola del Chira PlantaMontelima738248550001918870</v>
      </c>
      <c r="B3737" t="s">
        <v>28</v>
      </c>
      <c r="C3737" t="s">
        <v>82</v>
      </c>
      <c r="D3737" s="11">
        <v>44894</v>
      </c>
      <c r="E3737" t="s">
        <v>16</v>
      </c>
      <c r="F3737" t="s">
        <v>12</v>
      </c>
      <c r="G3737">
        <v>738248</v>
      </c>
      <c r="H3737">
        <v>5500019188</v>
      </c>
      <c r="I3737">
        <v>70</v>
      </c>
      <c r="J3737" s="29">
        <v>1</v>
      </c>
      <c r="K3737" s="29" t="s">
        <v>526</v>
      </c>
      <c r="L3737" t="str">
        <f>IFERROR(VLOOKUP(Detalle_OC[[#This Row],[Centro]]&amp;Detalle_OC[[#This Row],[Nro Almacen]],Almacen!A:D,4,FALSE),"")</f>
        <v>Montelima</v>
      </c>
    </row>
    <row r="3738" spans="1:12" x14ac:dyDescent="0.3">
      <c r="A3738" s="29" t="str">
        <f>Detalle_OC[[#This Row],[Centro]]&amp;Detalle_OC[[#This Row],[Nom Almacen]]&amp;Detalle_OC[[#This Row],[Material]]&amp;Detalle_OC[[#This Row],[Pedido]]&amp;Detalle_OC[[#This Row],[Posicion]]</f>
        <v>Agricola del Chira PlantaMontelima7382475500019188100</v>
      </c>
      <c r="B3738" t="s">
        <v>28</v>
      </c>
      <c r="C3738" t="s">
        <v>82</v>
      </c>
      <c r="D3738" s="11">
        <v>44894</v>
      </c>
      <c r="E3738" t="s">
        <v>16</v>
      </c>
      <c r="F3738" t="s">
        <v>12</v>
      </c>
      <c r="G3738">
        <v>738247</v>
      </c>
      <c r="H3738">
        <v>5500019188</v>
      </c>
      <c r="I3738">
        <v>100</v>
      </c>
      <c r="J3738" s="29">
        <v>1</v>
      </c>
      <c r="K3738" s="29" t="s">
        <v>526</v>
      </c>
      <c r="L3738" t="str">
        <f>IFERROR(VLOOKUP(Detalle_OC[[#This Row],[Centro]]&amp;Detalle_OC[[#This Row],[Nro Almacen]],Almacen!A:D,4,FALSE),"")</f>
        <v>Montelima</v>
      </c>
    </row>
    <row r="3739" spans="1:12" x14ac:dyDescent="0.3">
      <c r="A3739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3739" t="s">
        <v>28</v>
      </c>
      <c r="C3739" t="s">
        <v>82</v>
      </c>
      <c r="D3739" s="11">
        <v>44894</v>
      </c>
      <c r="E3739" t="s">
        <v>16</v>
      </c>
      <c r="F3739" t="s">
        <v>12</v>
      </c>
      <c r="G3739">
        <v>844522</v>
      </c>
      <c r="H3739">
        <v>5500019188</v>
      </c>
      <c r="I3739">
        <v>150</v>
      </c>
      <c r="J3739" s="29">
        <v>1</v>
      </c>
      <c r="K3739" s="29" t="s">
        <v>526</v>
      </c>
      <c r="L3739" t="str">
        <f>IFERROR(VLOOKUP(Detalle_OC[[#This Row],[Centro]]&amp;Detalle_OC[[#This Row],[Nro Almacen]],Almacen!A:D,4,FALSE),"")</f>
        <v>Montelima</v>
      </c>
    </row>
    <row r="3740" spans="1:12" x14ac:dyDescent="0.3">
      <c r="A3740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3740" t="s">
        <v>28</v>
      </c>
      <c r="C3740" t="s">
        <v>82</v>
      </c>
      <c r="D3740" s="11">
        <v>44894</v>
      </c>
      <c r="E3740" t="s">
        <v>16</v>
      </c>
      <c r="F3740" t="s">
        <v>12</v>
      </c>
      <c r="G3740">
        <v>844522</v>
      </c>
      <c r="H3740">
        <v>5500019188</v>
      </c>
      <c r="I3740">
        <v>150</v>
      </c>
      <c r="J3740" s="29">
        <v>1</v>
      </c>
      <c r="K3740" s="29" t="s">
        <v>526</v>
      </c>
      <c r="L3740" t="str">
        <f>IFERROR(VLOOKUP(Detalle_OC[[#This Row],[Centro]]&amp;Detalle_OC[[#This Row],[Nro Almacen]],Almacen!A:D,4,FALSE),"")</f>
        <v>Montelima</v>
      </c>
    </row>
    <row r="3741" spans="1:12" x14ac:dyDescent="0.3">
      <c r="A3741" s="29" t="str">
        <f>Detalle_OC[[#This Row],[Centro]]&amp;Detalle_OC[[#This Row],[Nom Almacen]]&amp;Detalle_OC[[#This Row],[Material]]&amp;Detalle_OC[[#This Row],[Pedido]]&amp;Detalle_OC[[#This Row],[Posicion]]</f>
        <v>Agricola del Chira PlantaMontelima8445115500019188180</v>
      </c>
      <c r="B3741" t="s">
        <v>28</v>
      </c>
      <c r="C3741" t="s">
        <v>82</v>
      </c>
      <c r="D3741" s="11">
        <v>44894</v>
      </c>
      <c r="E3741" t="s">
        <v>16</v>
      </c>
      <c r="F3741" t="s">
        <v>12</v>
      </c>
      <c r="G3741">
        <v>844511</v>
      </c>
      <c r="H3741">
        <v>5500019188</v>
      </c>
      <c r="I3741">
        <v>180</v>
      </c>
      <c r="J3741" s="29">
        <v>1</v>
      </c>
      <c r="K3741" s="29" t="s">
        <v>526</v>
      </c>
      <c r="L3741" t="str">
        <f>IFERROR(VLOOKUP(Detalle_OC[[#This Row],[Centro]]&amp;Detalle_OC[[#This Row],[Nro Almacen]],Almacen!A:D,4,FALSE),"")</f>
        <v>Montelima</v>
      </c>
    </row>
    <row r="3742" spans="1:12" x14ac:dyDescent="0.3">
      <c r="A3742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3742" t="s">
        <v>28</v>
      </c>
      <c r="C3742" t="s">
        <v>82</v>
      </c>
      <c r="D3742" s="11">
        <v>44894</v>
      </c>
      <c r="E3742" t="s">
        <v>16</v>
      </c>
      <c r="F3742" t="s">
        <v>12</v>
      </c>
      <c r="G3742">
        <v>844516</v>
      </c>
      <c r="H3742">
        <v>5500019188</v>
      </c>
      <c r="I3742">
        <v>190</v>
      </c>
      <c r="J3742" s="29">
        <v>1</v>
      </c>
      <c r="K3742" s="29" t="s">
        <v>526</v>
      </c>
      <c r="L3742" t="str">
        <f>IFERROR(VLOOKUP(Detalle_OC[[#This Row],[Centro]]&amp;Detalle_OC[[#This Row],[Nro Almacen]],Almacen!A:D,4,FALSE),"")</f>
        <v>Montelima</v>
      </c>
    </row>
    <row r="3743" spans="1:12" x14ac:dyDescent="0.3">
      <c r="A3743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3743" t="s">
        <v>28</v>
      </c>
      <c r="C3743" t="s">
        <v>82</v>
      </c>
      <c r="D3743" s="11">
        <v>44894</v>
      </c>
      <c r="E3743" t="s">
        <v>16</v>
      </c>
      <c r="F3743" t="s">
        <v>12</v>
      </c>
      <c r="G3743">
        <v>844516</v>
      </c>
      <c r="H3743">
        <v>5500019188</v>
      </c>
      <c r="I3743">
        <v>190</v>
      </c>
      <c r="J3743" s="29">
        <v>1</v>
      </c>
      <c r="K3743" s="29" t="s">
        <v>526</v>
      </c>
      <c r="L3743" t="str">
        <f>IFERROR(VLOOKUP(Detalle_OC[[#This Row],[Centro]]&amp;Detalle_OC[[#This Row],[Nro Almacen]],Almacen!A:D,4,FALSE),"")</f>
        <v>Montelima</v>
      </c>
    </row>
    <row r="3744" spans="1:12" x14ac:dyDescent="0.3">
      <c r="A3744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3744" t="s">
        <v>28</v>
      </c>
      <c r="C3744" t="s">
        <v>82</v>
      </c>
      <c r="D3744" s="11">
        <v>44894</v>
      </c>
      <c r="E3744" t="s">
        <v>16</v>
      </c>
      <c r="F3744" t="s">
        <v>12</v>
      </c>
      <c r="G3744">
        <v>844515</v>
      </c>
      <c r="H3744">
        <v>5500019188</v>
      </c>
      <c r="I3744">
        <v>200</v>
      </c>
      <c r="J3744" s="29">
        <v>1</v>
      </c>
      <c r="K3744" s="29" t="s">
        <v>526</v>
      </c>
      <c r="L3744" t="str">
        <f>IFERROR(VLOOKUP(Detalle_OC[[#This Row],[Centro]]&amp;Detalle_OC[[#This Row],[Nro Almacen]],Almacen!A:D,4,FALSE),"")</f>
        <v>Montelima</v>
      </c>
    </row>
    <row r="3745" spans="1:12" x14ac:dyDescent="0.3">
      <c r="A3745" s="29" t="str">
        <f>Detalle_OC[[#This Row],[Centro]]&amp;Detalle_OC[[#This Row],[Nom Almacen]]&amp;Detalle_OC[[#This Row],[Material]]&amp;Detalle_OC[[#This Row],[Pedido]]&amp;Detalle_OC[[#This Row],[Posicion]]</f>
        <v>Agricola del Chira PlantaMontelima8445245500019188210</v>
      </c>
      <c r="B3745" t="s">
        <v>28</v>
      </c>
      <c r="C3745" t="s">
        <v>82</v>
      </c>
      <c r="D3745" s="11">
        <v>44894</v>
      </c>
      <c r="E3745" t="s">
        <v>16</v>
      </c>
      <c r="F3745" t="s">
        <v>12</v>
      </c>
      <c r="G3745">
        <v>844524</v>
      </c>
      <c r="H3745">
        <v>5500019188</v>
      </c>
      <c r="I3745">
        <v>210</v>
      </c>
      <c r="J3745" s="29">
        <v>1</v>
      </c>
      <c r="K3745" s="29" t="s">
        <v>526</v>
      </c>
      <c r="L3745" t="str">
        <f>IFERROR(VLOOKUP(Detalle_OC[[#This Row],[Centro]]&amp;Detalle_OC[[#This Row],[Nro Almacen]],Almacen!A:D,4,FALSE),"")</f>
        <v>Montelima</v>
      </c>
    </row>
    <row r="3746" spans="1:12" x14ac:dyDescent="0.3">
      <c r="A3746" s="29" t="str">
        <f>Detalle_OC[[#This Row],[Centro]]&amp;Detalle_OC[[#This Row],[Nom Almacen]]&amp;Detalle_OC[[#This Row],[Material]]&amp;Detalle_OC[[#This Row],[Pedido]]&amp;Detalle_OC[[#This Row],[Posicion]]</f>
        <v>Agricola del Chira PlantaMontelima8445025500019188250</v>
      </c>
      <c r="B3746" t="s">
        <v>28</v>
      </c>
      <c r="C3746" t="s">
        <v>82</v>
      </c>
      <c r="D3746" s="11">
        <v>44894</v>
      </c>
      <c r="E3746" t="s">
        <v>16</v>
      </c>
      <c r="F3746" t="s">
        <v>12</v>
      </c>
      <c r="G3746">
        <v>844502</v>
      </c>
      <c r="H3746">
        <v>5500019188</v>
      </c>
      <c r="I3746">
        <v>250</v>
      </c>
      <c r="J3746" s="29">
        <v>1</v>
      </c>
      <c r="K3746" s="29" t="s">
        <v>526</v>
      </c>
      <c r="L3746" t="str">
        <f>IFERROR(VLOOKUP(Detalle_OC[[#This Row],[Centro]]&amp;Detalle_OC[[#This Row],[Nro Almacen]],Almacen!A:D,4,FALSE),"")</f>
        <v>Montelima</v>
      </c>
    </row>
    <row r="3747" spans="1:12" x14ac:dyDescent="0.3">
      <c r="A3747" s="29" t="str">
        <f>Detalle_OC[[#This Row],[Centro]]&amp;Detalle_OC[[#This Row],[Nom Almacen]]&amp;Detalle_OC[[#This Row],[Material]]&amp;Detalle_OC[[#This Row],[Pedido]]&amp;Detalle_OC[[#This Row],[Posicion]]</f>
        <v>Agricola del Chira PlantaMontelima8443985500019188290</v>
      </c>
      <c r="B3747" t="s">
        <v>28</v>
      </c>
      <c r="C3747" t="s">
        <v>82</v>
      </c>
      <c r="D3747" s="11">
        <v>44894</v>
      </c>
      <c r="E3747" t="s">
        <v>16</v>
      </c>
      <c r="F3747" t="s">
        <v>12</v>
      </c>
      <c r="G3747">
        <v>844398</v>
      </c>
      <c r="H3747">
        <v>5500019188</v>
      </c>
      <c r="I3747">
        <v>290</v>
      </c>
      <c r="J3747" s="29">
        <v>1</v>
      </c>
      <c r="K3747" s="29" t="s">
        <v>526</v>
      </c>
      <c r="L3747" t="str">
        <f>IFERROR(VLOOKUP(Detalle_OC[[#This Row],[Centro]]&amp;Detalle_OC[[#This Row],[Nro Almacen]],Almacen!A:D,4,FALSE),"")</f>
        <v>Montelima</v>
      </c>
    </row>
    <row r="3748" spans="1:12" x14ac:dyDescent="0.3">
      <c r="A3748" s="29" t="str">
        <f>Detalle_OC[[#This Row],[Centro]]&amp;Detalle_OC[[#This Row],[Nom Almacen]]&amp;Detalle_OC[[#This Row],[Material]]&amp;Detalle_OC[[#This Row],[Pedido]]&amp;Detalle_OC[[#This Row],[Posicion]]</f>
        <v>Agricola del Chira PlantaMontelima8445285500019188360</v>
      </c>
      <c r="B3748" t="s">
        <v>28</v>
      </c>
      <c r="C3748" t="s">
        <v>82</v>
      </c>
      <c r="D3748" s="11">
        <v>44894</v>
      </c>
      <c r="E3748" t="s">
        <v>16</v>
      </c>
      <c r="F3748" t="s">
        <v>12</v>
      </c>
      <c r="G3748">
        <v>844528</v>
      </c>
      <c r="H3748">
        <v>5500019188</v>
      </c>
      <c r="I3748">
        <v>360</v>
      </c>
      <c r="J3748" s="29">
        <v>1</v>
      </c>
      <c r="K3748" s="29" t="s">
        <v>526</v>
      </c>
      <c r="L3748" t="str">
        <f>IFERROR(VLOOKUP(Detalle_OC[[#This Row],[Centro]]&amp;Detalle_OC[[#This Row],[Nro Almacen]],Almacen!A:D,4,FALSE),"")</f>
        <v>Montelima</v>
      </c>
    </row>
    <row r="3749" spans="1:12" x14ac:dyDescent="0.3">
      <c r="A3749" s="29" t="str">
        <f>Detalle_OC[[#This Row],[Centro]]&amp;Detalle_OC[[#This Row],[Nom Almacen]]&amp;Detalle_OC[[#This Row],[Material]]&amp;Detalle_OC[[#This Row],[Pedido]]&amp;Detalle_OC[[#This Row],[Posicion]]</f>
        <v>Agricola del Chira PlantaMontelima8445325500019188440</v>
      </c>
      <c r="B3749" t="s">
        <v>28</v>
      </c>
      <c r="C3749" t="s">
        <v>82</v>
      </c>
      <c r="D3749" s="11">
        <v>44894</v>
      </c>
      <c r="E3749" t="s">
        <v>16</v>
      </c>
      <c r="F3749" t="s">
        <v>12</v>
      </c>
      <c r="G3749">
        <v>844532</v>
      </c>
      <c r="H3749">
        <v>5500019188</v>
      </c>
      <c r="I3749">
        <v>440</v>
      </c>
      <c r="J3749" s="29">
        <v>1</v>
      </c>
      <c r="K3749" s="29" t="s">
        <v>526</v>
      </c>
      <c r="L3749" t="str">
        <f>IFERROR(VLOOKUP(Detalle_OC[[#This Row],[Centro]]&amp;Detalle_OC[[#This Row],[Nro Almacen]],Almacen!A:D,4,FALSE),"")</f>
        <v>Montelima</v>
      </c>
    </row>
    <row r="3750" spans="1:12" x14ac:dyDescent="0.3">
      <c r="A3750" s="29" t="str">
        <f>Detalle_OC[[#This Row],[Centro]]&amp;Detalle_OC[[#This Row],[Nom Almacen]]&amp;Detalle_OC[[#This Row],[Material]]&amp;Detalle_OC[[#This Row],[Pedido]]&amp;Detalle_OC[[#This Row],[Posicion]]</f>
        <v>Agricola del Chira PlantaMontelima8445135500019188450</v>
      </c>
      <c r="B3750" t="s">
        <v>28</v>
      </c>
      <c r="C3750" t="s">
        <v>82</v>
      </c>
      <c r="D3750" s="11">
        <v>44894</v>
      </c>
      <c r="E3750" t="s">
        <v>16</v>
      </c>
      <c r="F3750" t="s">
        <v>12</v>
      </c>
      <c r="G3750">
        <v>844513</v>
      </c>
      <c r="H3750">
        <v>5500019188</v>
      </c>
      <c r="I3750">
        <v>450</v>
      </c>
      <c r="J3750" s="29">
        <v>1</v>
      </c>
      <c r="K3750" s="29" t="s">
        <v>526</v>
      </c>
      <c r="L3750" t="str">
        <f>IFERROR(VLOOKUP(Detalle_OC[[#This Row],[Centro]]&amp;Detalle_OC[[#This Row],[Nro Almacen]],Almacen!A:D,4,FALSE),"")</f>
        <v>Montelima</v>
      </c>
    </row>
    <row r="3751" spans="1:12" x14ac:dyDescent="0.3">
      <c r="A3751" s="29" t="str">
        <f>Detalle_OC[[#This Row],[Centro]]&amp;Detalle_OC[[#This Row],[Nom Almacen]]&amp;Detalle_OC[[#This Row],[Material]]&amp;Detalle_OC[[#This Row],[Pedido]]&amp;Detalle_OC[[#This Row],[Posicion]]</f>
        <v>Agricola del Chira PlantaMontelima8506365500019188510</v>
      </c>
      <c r="B3751" t="s">
        <v>28</v>
      </c>
      <c r="C3751" t="s">
        <v>82</v>
      </c>
      <c r="D3751" s="11">
        <v>44894</v>
      </c>
      <c r="E3751" t="s">
        <v>16</v>
      </c>
      <c r="F3751" t="s">
        <v>12</v>
      </c>
      <c r="G3751">
        <v>850636</v>
      </c>
      <c r="H3751">
        <v>5500019188</v>
      </c>
      <c r="I3751">
        <v>510</v>
      </c>
      <c r="J3751" s="29">
        <v>1</v>
      </c>
      <c r="K3751" s="29" t="s">
        <v>526</v>
      </c>
      <c r="L3751" t="str">
        <f>IFERROR(VLOOKUP(Detalle_OC[[#This Row],[Centro]]&amp;Detalle_OC[[#This Row],[Nro Almacen]],Almacen!A:D,4,FALSE),"")</f>
        <v>Montelima</v>
      </c>
    </row>
    <row r="3752" spans="1:12" x14ac:dyDescent="0.3">
      <c r="A3752" s="29" t="str">
        <f>Detalle_OC[[#This Row],[Centro]]&amp;Detalle_OC[[#This Row],[Nom Almacen]]&amp;Detalle_OC[[#This Row],[Material]]&amp;Detalle_OC[[#This Row],[Pedido]]&amp;Detalle_OC[[#This Row],[Posicion]]</f>
        <v>Agricola del Chira PlantaMontelima8445195500019188530</v>
      </c>
      <c r="B3752" t="s">
        <v>28</v>
      </c>
      <c r="C3752" t="s">
        <v>82</v>
      </c>
      <c r="D3752" s="11">
        <v>44894</v>
      </c>
      <c r="E3752" t="s">
        <v>16</v>
      </c>
      <c r="F3752" t="s">
        <v>12</v>
      </c>
      <c r="G3752">
        <v>844519</v>
      </c>
      <c r="H3752">
        <v>5500019188</v>
      </c>
      <c r="I3752">
        <v>530</v>
      </c>
      <c r="J3752" s="29">
        <v>1</v>
      </c>
      <c r="K3752" s="29" t="s">
        <v>526</v>
      </c>
      <c r="L3752" t="str">
        <f>IFERROR(VLOOKUP(Detalle_OC[[#This Row],[Centro]]&amp;Detalle_OC[[#This Row],[Nro Almacen]],Almacen!A:D,4,FALSE),"")</f>
        <v>Montelima</v>
      </c>
    </row>
    <row r="3753" spans="1:12" x14ac:dyDescent="0.3">
      <c r="A3753" s="29" t="str">
        <f>Detalle_OC[[#This Row],[Centro]]&amp;Detalle_OC[[#This Row],[Nom Almacen]]&amp;Detalle_OC[[#This Row],[Material]]&amp;Detalle_OC[[#This Row],[Pedido]]&amp;Detalle_OC[[#This Row],[Posicion]]</f>
        <v>Agricola del Chira PlantaMontelima8445145500019188540</v>
      </c>
      <c r="B3753" t="s">
        <v>28</v>
      </c>
      <c r="C3753" t="s">
        <v>82</v>
      </c>
      <c r="D3753" s="11">
        <v>44894</v>
      </c>
      <c r="E3753" t="s">
        <v>16</v>
      </c>
      <c r="F3753" t="s">
        <v>12</v>
      </c>
      <c r="G3753">
        <v>844514</v>
      </c>
      <c r="H3753">
        <v>5500019188</v>
      </c>
      <c r="I3753">
        <v>540</v>
      </c>
      <c r="J3753" s="29">
        <v>1</v>
      </c>
      <c r="K3753" s="29" t="s">
        <v>526</v>
      </c>
      <c r="L3753" t="str">
        <f>IFERROR(VLOOKUP(Detalle_OC[[#This Row],[Centro]]&amp;Detalle_OC[[#This Row],[Nro Almacen]],Almacen!A:D,4,FALSE),"")</f>
        <v>Montelima</v>
      </c>
    </row>
    <row r="3754" spans="1:12" x14ac:dyDescent="0.3">
      <c r="A3754" s="29" t="str">
        <f>Detalle_OC[[#This Row],[Centro]]&amp;Detalle_OC[[#This Row],[Nom Almacen]]&amp;Detalle_OC[[#This Row],[Material]]&amp;Detalle_OC[[#This Row],[Pedido]]&amp;Detalle_OC[[#This Row],[Posicion]]</f>
        <v>Agricola del Chira PlantaMontelima8453145500019188640</v>
      </c>
      <c r="B3754" t="s">
        <v>28</v>
      </c>
      <c r="C3754" t="s">
        <v>82</v>
      </c>
      <c r="D3754" s="11">
        <v>44894</v>
      </c>
      <c r="E3754" t="s">
        <v>16</v>
      </c>
      <c r="F3754" t="s">
        <v>12</v>
      </c>
      <c r="G3754">
        <v>845314</v>
      </c>
      <c r="H3754">
        <v>5500019188</v>
      </c>
      <c r="I3754">
        <v>640</v>
      </c>
      <c r="J3754" s="29">
        <v>1</v>
      </c>
      <c r="K3754" s="29" t="s">
        <v>526</v>
      </c>
      <c r="L3754" t="str">
        <f>IFERROR(VLOOKUP(Detalle_OC[[#This Row],[Centro]]&amp;Detalle_OC[[#This Row],[Nro Almacen]],Almacen!A:D,4,FALSE),"")</f>
        <v>Montelima</v>
      </c>
    </row>
    <row r="3755" spans="1:12" x14ac:dyDescent="0.3">
      <c r="A3755" s="29" t="str">
        <f>Detalle_OC[[#This Row],[Centro]]&amp;Detalle_OC[[#This Row],[Nom Almacen]]&amp;Detalle_OC[[#This Row],[Material]]&amp;Detalle_OC[[#This Row],[Pedido]]&amp;Detalle_OC[[#This Row],[Posicion]]</f>
        <v>Agricola del Chira PlantaMontelima8445425500019188680</v>
      </c>
      <c r="B3755" t="s">
        <v>28</v>
      </c>
      <c r="C3755" t="s">
        <v>82</v>
      </c>
      <c r="D3755" s="11">
        <v>44894</v>
      </c>
      <c r="E3755" t="s">
        <v>16</v>
      </c>
      <c r="F3755" t="s">
        <v>12</v>
      </c>
      <c r="G3755">
        <v>844542</v>
      </c>
      <c r="H3755">
        <v>5500019188</v>
      </c>
      <c r="I3755">
        <v>680</v>
      </c>
      <c r="J3755" s="29">
        <v>1</v>
      </c>
      <c r="K3755" s="29" t="s">
        <v>526</v>
      </c>
      <c r="L3755" t="str">
        <f>IFERROR(VLOOKUP(Detalle_OC[[#This Row],[Centro]]&amp;Detalle_OC[[#This Row],[Nro Almacen]],Almacen!A:D,4,FALSE),"")</f>
        <v>Montelima</v>
      </c>
    </row>
    <row r="3756" spans="1:12" x14ac:dyDescent="0.3">
      <c r="A3756" s="29" t="str">
        <f>Detalle_OC[[#This Row],[Centro]]&amp;Detalle_OC[[#This Row],[Nom Almacen]]&amp;Detalle_OC[[#This Row],[Material]]&amp;Detalle_OC[[#This Row],[Pedido]]&amp;Detalle_OC[[#This Row],[Posicion]]</f>
        <v>Agricola del Chira PlantaMontelima8469355500019188700</v>
      </c>
      <c r="B3756" t="s">
        <v>28</v>
      </c>
      <c r="C3756" t="s">
        <v>82</v>
      </c>
      <c r="D3756" s="11">
        <v>44894</v>
      </c>
      <c r="E3756" t="s">
        <v>16</v>
      </c>
      <c r="F3756" t="s">
        <v>12</v>
      </c>
      <c r="G3756">
        <v>846935</v>
      </c>
      <c r="H3756">
        <v>5500019188</v>
      </c>
      <c r="I3756">
        <v>700</v>
      </c>
      <c r="J3756" s="29">
        <v>1</v>
      </c>
      <c r="K3756" s="29" t="s">
        <v>526</v>
      </c>
      <c r="L3756" t="str">
        <f>IFERROR(VLOOKUP(Detalle_OC[[#This Row],[Centro]]&amp;Detalle_OC[[#This Row],[Nro Almacen]],Almacen!A:D,4,FALSE),"")</f>
        <v>Montelima</v>
      </c>
    </row>
    <row r="3757" spans="1:12" x14ac:dyDescent="0.3">
      <c r="A3757" s="29" t="str">
        <f>Detalle_OC[[#This Row],[Centro]]&amp;Detalle_OC[[#This Row],[Nom Almacen]]&amp;Detalle_OC[[#This Row],[Material]]&amp;Detalle_OC[[#This Row],[Pedido]]&amp;Detalle_OC[[#This Row],[Posicion]]</f>
        <v>Agricola del Chira PlantaMontelima7002966055000191881560</v>
      </c>
      <c r="B3757" t="s">
        <v>28</v>
      </c>
      <c r="C3757" t="s">
        <v>82</v>
      </c>
      <c r="D3757" s="11">
        <v>44894</v>
      </c>
      <c r="E3757" t="s">
        <v>16</v>
      </c>
      <c r="F3757" t="s">
        <v>12</v>
      </c>
      <c r="G3757">
        <v>70029660</v>
      </c>
      <c r="H3757">
        <v>5500019188</v>
      </c>
      <c r="I3757">
        <v>1560</v>
      </c>
      <c r="J3757" s="29">
        <v>1</v>
      </c>
      <c r="K3757" s="29" t="s">
        <v>526</v>
      </c>
      <c r="L3757" t="str">
        <f>IFERROR(VLOOKUP(Detalle_OC[[#This Row],[Centro]]&amp;Detalle_OC[[#This Row],[Nro Almacen]],Almacen!A:D,4,FALSE),"")</f>
        <v>Montelima</v>
      </c>
    </row>
    <row r="3758" spans="1:12" x14ac:dyDescent="0.3">
      <c r="A3758" s="29" t="str">
        <f>Detalle_OC[[#This Row],[Centro]]&amp;Detalle_OC[[#This Row],[Nom Almacen]]&amp;Detalle_OC[[#This Row],[Material]]&amp;Detalle_OC[[#This Row],[Pedido]]&amp;Detalle_OC[[#This Row],[Posicion]]</f>
        <v>Agricola del Chira PlantaMontelima752131550002233810</v>
      </c>
      <c r="B3758" t="s">
        <v>28</v>
      </c>
      <c r="C3758" t="s">
        <v>84</v>
      </c>
      <c r="D3758" s="11">
        <v>44882</v>
      </c>
      <c r="E3758" t="s">
        <v>16</v>
      </c>
      <c r="F3758" t="s">
        <v>12</v>
      </c>
      <c r="G3758">
        <v>752131</v>
      </c>
      <c r="H3758">
        <v>5500022338</v>
      </c>
      <c r="I3758">
        <v>10</v>
      </c>
      <c r="J3758" s="29">
        <v>1</v>
      </c>
      <c r="K3758" s="29" t="s">
        <v>527</v>
      </c>
      <c r="L3758" t="str">
        <f>IFERROR(VLOOKUP(Detalle_OC[[#This Row],[Centro]]&amp;Detalle_OC[[#This Row],[Nro Almacen]],Almacen!A:D,4,FALSE),"")</f>
        <v>Montelima</v>
      </c>
    </row>
    <row r="3759" spans="1:12" x14ac:dyDescent="0.3">
      <c r="A3759" s="29" t="str">
        <f>Detalle_OC[[#This Row],[Centro]]&amp;Detalle_OC[[#This Row],[Nom Almacen]]&amp;Detalle_OC[[#This Row],[Material]]&amp;Detalle_OC[[#This Row],[Pedido]]&amp;Detalle_OC[[#This Row],[Posicion]]</f>
        <v>Agricola del Chira PlantaMontelima752131550002233810</v>
      </c>
      <c r="B3759" t="s">
        <v>28</v>
      </c>
      <c r="C3759" t="s">
        <v>84</v>
      </c>
      <c r="D3759" s="11">
        <v>44882</v>
      </c>
      <c r="E3759" t="s">
        <v>16</v>
      </c>
      <c r="F3759" t="s">
        <v>12</v>
      </c>
      <c r="G3759">
        <v>752131</v>
      </c>
      <c r="H3759">
        <v>5500022338</v>
      </c>
      <c r="I3759">
        <v>10</v>
      </c>
      <c r="J3759" s="29">
        <v>1</v>
      </c>
      <c r="K3759" s="29" t="s">
        <v>527</v>
      </c>
      <c r="L3759" t="str">
        <f>IFERROR(VLOOKUP(Detalle_OC[[#This Row],[Centro]]&amp;Detalle_OC[[#This Row],[Nro Almacen]],Almacen!A:D,4,FALSE),"")</f>
        <v>Montelima</v>
      </c>
    </row>
    <row r="3760" spans="1:12" x14ac:dyDescent="0.3">
      <c r="A3760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3760" t="s">
        <v>28</v>
      </c>
      <c r="C3760" t="s">
        <v>84</v>
      </c>
      <c r="D3760" s="11">
        <v>44874</v>
      </c>
      <c r="E3760" t="s">
        <v>16</v>
      </c>
      <c r="F3760" t="s">
        <v>12</v>
      </c>
      <c r="G3760">
        <v>801846</v>
      </c>
      <c r="H3760">
        <v>5500022338</v>
      </c>
      <c r="I3760">
        <v>40</v>
      </c>
      <c r="J3760" s="29">
        <v>1</v>
      </c>
      <c r="K3760" s="29" t="s">
        <v>528</v>
      </c>
      <c r="L3760" t="str">
        <f>IFERROR(VLOOKUP(Detalle_OC[[#This Row],[Centro]]&amp;Detalle_OC[[#This Row],[Nro Almacen]],Almacen!A:D,4,FALSE),"")</f>
        <v>Montelima</v>
      </c>
    </row>
    <row r="3761" spans="1:12" x14ac:dyDescent="0.3">
      <c r="A3761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3761" t="s">
        <v>28</v>
      </c>
      <c r="C3761" t="s">
        <v>84</v>
      </c>
      <c r="D3761" s="11">
        <v>44874</v>
      </c>
      <c r="E3761" t="s">
        <v>16</v>
      </c>
      <c r="F3761" t="s">
        <v>12</v>
      </c>
      <c r="G3761">
        <v>801846</v>
      </c>
      <c r="H3761">
        <v>5500022338</v>
      </c>
      <c r="I3761">
        <v>40</v>
      </c>
      <c r="J3761" s="29">
        <v>1</v>
      </c>
      <c r="K3761" s="29" t="s">
        <v>528</v>
      </c>
      <c r="L3761" t="str">
        <f>IFERROR(VLOOKUP(Detalle_OC[[#This Row],[Centro]]&amp;Detalle_OC[[#This Row],[Nro Almacen]],Almacen!A:D,4,FALSE),"")</f>
        <v>Montelima</v>
      </c>
    </row>
    <row r="3762" spans="1:12" x14ac:dyDescent="0.3">
      <c r="A3762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3762" t="s">
        <v>28</v>
      </c>
      <c r="C3762" t="s">
        <v>84</v>
      </c>
      <c r="D3762" s="11">
        <v>44867</v>
      </c>
      <c r="E3762" t="s">
        <v>16</v>
      </c>
      <c r="F3762" t="s">
        <v>85</v>
      </c>
      <c r="G3762">
        <v>801846</v>
      </c>
      <c r="H3762">
        <v>5500022336</v>
      </c>
      <c r="I3762">
        <v>10</v>
      </c>
      <c r="J3762" s="29">
        <v>1</v>
      </c>
      <c r="K3762" s="29" t="s">
        <v>529</v>
      </c>
      <c r="L3762" t="str">
        <f>IFERROR(VLOOKUP(Detalle_OC[[#This Row],[Centro]]&amp;Detalle_OC[[#This Row],[Nro Almacen]],Almacen!A:D,4,FALSE),"")</f>
        <v>Montelima</v>
      </c>
    </row>
    <row r="3763" spans="1:12" x14ac:dyDescent="0.3">
      <c r="A3763" s="29" t="str">
        <f>Detalle_OC[[#This Row],[Centro]]&amp;Detalle_OC[[#This Row],[Nom Almacen]]&amp;Detalle_OC[[#This Row],[Material]]&amp;Detalle_OC[[#This Row],[Pedido]]&amp;Detalle_OC[[#This Row],[Posicion]]</f>
        <v>Agricola del Chira PlantaMontelima813224550002233870</v>
      </c>
      <c r="B3763" t="s">
        <v>28</v>
      </c>
      <c r="C3763" t="s">
        <v>84</v>
      </c>
      <c r="D3763" s="11">
        <v>44855</v>
      </c>
      <c r="E3763" t="s">
        <v>16</v>
      </c>
      <c r="F3763" t="s">
        <v>12</v>
      </c>
      <c r="G3763">
        <v>813224</v>
      </c>
      <c r="H3763">
        <v>5500022338</v>
      </c>
      <c r="I3763">
        <v>70</v>
      </c>
      <c r="J3763" s="29">
        <v>1</v>
      </c>
      <c r="K3763" s="29" t="s">
        <v>530</v>
      </c>
      <c r="L3763" t="str">
        <f>IFERROR(VLOOKUP(Detalle_OC[[#This Row],[Centro]]&amp;Detalle_OC[[#This Row],[Nro Almacen]],Almacen!A:D,4,FALSE),"")</f>
        <v>Montelima</v>
      </c>
    </row>
    <row r="3764" spans="1:12" x14ac:dyDescent="0.3">
      <c r="A3764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3764" t="s">
        <v>28</v>
      </c>
      <c r="C3764" t="s">
        <v>84</v>
      </c>
      <c r="D3764" s="11">
        <v>44853</v>
      </c>
      <c r="E3764" t="s">
        <v>16</v>
      </c>
      <c r="F3764" t="s">
        <v>85</v>
      </c>
      <c r="G3764">
        <v>801846</v>
      </c>
      <c r="H3764">
        <v>5500022336</v>
      </c>
      <c r="I3764">
        <v>10</v>
      </c>
      <c r="J3764" s="29">
        <v>1</v>
      </c>
      <c r="K3764" s="29" t="s">
        <v>531</v>
      </c>
      <c r="L3764" t="str">
        <f>IFERROR(VLOOKUP(Detalle_OC[[#This Row],[Centro]]&amp;Detalle_OC[[#This Row],[Nro Almacen]],Almacen!A:D,4,FALSE),"")</f>
        <v>Montelima</v>
      </c>
    </row>
    <row r="3765" spans="1:12" x14ac:dyDescent="0.3">
      <c r="A3765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3765" t="s">
        <v>28</v>
      </c>
      <c r="C3765" t="s">
        <v>84</v>
      </c>
      <c r="D3765" s="11">
        <v>44853</v>
      </c>
      <c r="E3765" t="s">
        <v>16</v>
      </c>
      <c r="F3765" t="s">
        <v>85</v>
      </c>
      <c r="G3765">
        <v>806591</v>
      </c>
      <c r="H3765">
        <v>5500022336</v>
      </c>
      <c r="I3765">
        <v>20</v>
      </c>
      <c r="J3765" s="29">
        <v>1</v>
      </c>
      <c r="K3765" s="29" t="s">
        <v>531</v>
      </c>
      <c r="L3765" t="str">
        <f>IFERROR(VLOOKUP(Detalle_OC[[#This Row],[Centro]]&amp;Detalle_OC[[#This Row],[Nro Almacen]],Almacen!A:D,4,FALSE),"")</f>
        <v>Montelima</v>
      </c>
    </row>
    <row r="3766" spans="1:12" x14ac:dyDescent="0.3">
      <c r="A3766" s="29" t="str">
        <f>Detalle_OC[[#This Row],[Centro]]&amp;Detalle_OC[[#This Row],[Nom Almacen]]&amp;Detalle_OC[[#This Row],[Material]]&amp;Detalle_OC[[#This Row],[Pedido]]&amp;Detalle_OC[[#This Row],[Posicion]]</f>
        <v>Sucroalcolera del Chira PlantaMontelima709179550002233630</v>
      </c>
      <c r="B3766" t="s">
        <v>28</v>
      </c>
      <c r="C3766" t="s">
        <v>84</v>
      </c>
      <c r="D3766" s="11">
        <v>44853</v>
      </c>
      <c r="E3766" t="s">
        <v>16</v>
      </c>
      <c r="F3766" t="s">
        <v>85</v>
      </c>
      <c r="G3766">
        <v>709179</v>
      </c>
      <c r="H3766">
        <v>5500022336</v>
      </c>
      <c r="I3766">
        <v>30</v>
      </c>
      <c r="J3766" s="29">
        <v>1</v>
      </c>
      <c r="K3766" s="29" t="s">
        <v>531</v>
      </c>
      <c r="L3766" t="str">
        <f>IFERROR(VLOOKUP(Detalle_OC[[#This Row],[Centro]]&amp;Detalle_OC[[#This Row],[Nro Almacen]],Almacen!A:D,4,FALSE),"")</f>
        <v>Montelima</v>
      </c>
    </row>
    <row r="3767" spans="1:12" x14ac:dyDescent="0.3">
      <c r="A3767" s="29" t="str">
        <f>Detalle_OC[[#This Row],[Centro]]&amp;Detalle_OC[[#This Row],[Nom Almacen]]&amp;Detalle_OC[[#This Row],[Material]]&amp;Detalle_OC[[#This Row],[Pedido]]&amp;Detalle_OC[[#This Row],[Posicion]]</f>
        <v>Agricola del Chira PlantaMontelima709179550002233820</v>
      </c>
      <c r="B3767" t="s">
        <v>28</v>
      </c>
      <c r="C3767" t="s">
        <v>84</v>
      </c>
      <c r="D3767" s="11">
        <v>44853</v>
      </c>
      <c r="E3767" t="s">
        <v>16</v>
      </c>
      <c r="F3767" t="s">
        <v>12</v>
      </c>
      <c r="G3767">
        <v>709179</v>
      </c>
      <c r="H3767">
        <v>5500022338</v>
      </c>
      <c r="I3767">
        <v>20</v>
      </c>
      <c r="J3767" s="29">
        <v>1</v>
      </c>
      <c r="K3767" s="29" t="s">
        <v>531</v>
      </c>
      <c r="L3767" t="str">
        <f>IFERROR(VLOOKUP(Detalle_OC[[#This Row],[Centro]]&amp;Detalle_OC[[#This Row],[Nro Almacen]],Almacen!A:D,4,FALSE),"")</f>
        <v>Montelima</v>
      </c>
    </row>
    <row r="3768" spans="1:12" x14ac:dyDescent="0.3">
      <c r="A3768" s="29" t="str">
        <f>Detalle_OC[[#This Row],[Centro]]&amp;Detalle_OC[[#This Row],[Nom Almacen]]&amp;Detalle_OC[[#This Row],[Material]]&amp;Detalle_OC[[#This Row],[Pedido]]&amp;Detalle_OC[[#This Row],[Posicion]]</f>
        <v>Agricola del Chira PlantaMontelima808069550002233830</v>
      </c>
      <c r="B3768" t="s">
        <v>28</v>
      </c>
      <c r="C3768" t="s">
        <v>84</v>
      </c>
      <c r="D3768" s="11">
        <v>44853</v>
      </c>
      <c r="E3768" t="s">
        <v>16</v>
      </c>
      <c r="F3768" t="s">
        <v>12</v>
      </c>
      <c r="G3768">
        <v>808069</v>
      </c>
      <c r="H3768">
        <v>5500022338</v>
      </c>
      <c r="I3768">
        <v>30</v>
      </c>
      <c r="J3768" s="29">
        <v>1</v>
      </c>
      <c r="K3768" s="29" t="s">
        <v>531</v>
      </c>
      <c r="L3768" t="str">
        <f>IFERROR(VLOOKUP(Detalle_OC[[#This Row],[Centro]]&amp;Detalle_OC[[#This Row],[Nro Almacen]],Almacen!A:D,4,FALSE),"")</f>
        <v>Montelima</v>
      </c>
    </row>
    <row r="3769" spans="1:12" x14ac:dyDescent="0.3">
      <c r="A3769" s="29" t="str">
        <f>Detalle_OC[[#This Row],[Centro]]&amp;Detalle_OC[[#This Row],[Nom Almacen]]&amp;Detalle_OC[[#This Row],[Material]]&amp;Detalle_OC[[#This Row],[Pedido]]&amp;Detalle_OC[[#This Row],[Posicion]]</f>
        <v>Agricola del Chira PlantaMontelima808069550002233830</v>
      </c>
      <c r="B3769" t="s">
        <v>28</v>
      </c>
      <c r="C3769" t="s">
        <v>84</v>
      </c>
      <c r="D3769" s="11">
        <v>44853</v>
      </c>
      <c r="E3769" t="s">
        <v>16</v>
      </c>
      <c r="F3769" t="s">
        <v>12</v>
      </c>
      <c r="G3769">
        <v>808069</v>
      </c>
      <c r="H3769">
        <v>5500022338</v>
      </c>
      <c r="I3769">
        <v>30</v>
      </c>
      <c r="J3769" s="29">
        <v>1</v>
      </c>
      <c r="K3769" s="29" t="s">
        <v>531</v>
      </c>
      <c r="L3769" t="str">
        <f>IFERROR(VLOOKUP(Detalle_OC[[#This Row],[Centro]]&amp;Detalle_OC[[#This Row],[Nro Almacen]],Almacen!A:D,4,FALSE),"")</f>
        <v>Montelima</v>
      </c>
    </row>
    <row r="3770" spans="1:12" x14ac:dyDescent="0.3">
      <c r="A3770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3770" t="s">
        <v>28</v>
      </c>
      <c r="C3770" t="s">
        <v>84</v>
      </c>
      <c r="D3770" s="11">
        <v>44853</v>
      </c>
      <c r="E3770" t="s">
        <v>16</v>
      </c>
      <c r="F3770" t="s">
        <v>12</v>
      </c>
      <c r="G3770">
        <v>801846</v>
      </c>
      <c r="H3770">
        <v>5500022338</v>
      </c>
      <c r="I3770">
        <v>40</v>
      </c>
      <c r="J3770" s="29">
        <v>1</v>
      </c>
      <c r="K3770" s="29" t="s">
        <v>531</v>
      </c>
      <c r="L3770" t="str">
        <f>IFERROR(VLOOKUP(Detalle_OC[[#This Row],[Centro]]&amp;Detalle_OC[[#This Row],[Nro Almacen]],Almacen!A:D,4,FALSE),"")</f>
        <v>Montelima</v>
      </c>
    </row>
    <row r="3771" spans="1:12" x14ac:dyDescent="0.3">
      <c r="A3771" s="29" t="str">
        <f>Detalle_OC[[#This Row],[Centro]]&amp;Detalle_OC[[#This Row],[Nom Almacen]]&amp;Detalle_OC[[#This Row],[Material]]&amp;Detalle_OC[[#This Row],[Pedido]]&amp;Detalle_OC[[#This Row],[Posicion]]</f>
        <v>Agricola del Chira PlantaMontelima7003087755000191881690</v>
      </c>
      <c r="B3771" t="s">
        <v>28</v>
      </c>
      <c r="C3771" t="s">
        <v>82</v>
      </c>
      <c r="D3771" s="11">
        <v>44831</v>
      </c>
      <c r="E3771" t="s">
        <v>16</v>
      </c>
      <c r="F3771" t="s">
        <v>12</v>
      </c>
      <c r="G3771">
        <v>70030877</v>
      </c>
      <c r="H3771">
        <v>5500019188</v>
      </c>
      <c r="I3771">
        <v>1690</v>
      </c>
      <c r="J3771" s="29">
        <v>1</v>
      </c>
      <c r="K3771" s="29" t="s">
        <v>532</v>
      </c>
      <c r="L3771" t="str">
        <f>IFERROR(VLOOKUP(Detalle_OC[[#This Row],[Centro]]&amp;Detalle_OC[[#This Row],[Nro Almacen]],Almacen!A:D,4,FALSE),"")</f>
        <v>Montelima</v>
      </c>
    </row>
    <row r="3772" spans="1:12" x14ac:dyDescent="0.3">
      <c r="A3772" s="29" t="str">
        <f>Detalle_OC[[#This Row],[Centro]]&amp;Detalle_OC[[#This Row],[Nom Almacen]]&amp;Detalle_OC[[#This Row],[Material]]&amp;Detalle_OC[[#This Row],[Pedido]]&amp;Detalle_OC[[#This Row],[Posicion]]</f>
        <v>Agricola del Chira PlantaMontelima7003087855000191881730</v>
      </c>
      <c r="B3772" t="s">
        <v>28</v>
      </c>
      <c r="C3772" t="s">
        <v>82</v>
      </c>
      <c r="D3772" s="11">
        <v>44831</v>
      </c>
      <c r="E3772" t="s">
        <v>16</v>
      </c>
      <c r="F3772" t="s">
        <v>12</v>
      </c>
      <c r="G3772">
        <v>70030878</v>
      </c>
      <c r="H3772">
        <v>5500019188</v>
      </c>
      <c r="I3772">
        <v>1730</v>
      </c>
      <c r="J3772" s="29">
        <v>1</v>
      </c>
      <c r="K3772" s="29" t="s">
        <v>532</v>
      </c>
      <c r="L3772" t="str">
        <f>IFERROR(VLOOKUP(Detalle_OC[[#This Row],[Centro]]&amp;Detalle_OC[[#This Row],[Nro Almacen]],Almacen!A:D,4,FALSE),"")</f>
        <v>Montelima</v>
      </c>
    </row>
    <row r="3773" spans="1:12" x14ac:dyDescent="0.3">
      <c r="A3773" s="29" t="str">
        <f>Detalle_OC[[#This Row],[Centro]]&amp;Detalle_OC[[#This Row],[Nom Almacen]]&amp;Detalle_OC[[#This Row],[Material]]&amp;Detalle_OC[[#This Row],[Pedido]]&amp;Detalle_OC[[#This Row],[Posicion]]</f>
        <v>Agricola del Chira PlantaMontelima7003088455000191881760</v>
      </c>
      <c r="B3773" t="s">
        <v>28</v>
      </c>
      <c r="C3773" t="s">
        <v>82</v>
      </c>
      <c r="D3773" s="11">
        <v>44831</v>
      </c>
      <c r="E3773" t="s">
        <v>16</v>
      </c>
      <c r="F3773" t="s">
        <v>12</v>
      </c>
      <c r="G3773">
        <v>70030884</v>
      </c>
      <c r="H3773">
        <v>5500019188</v>
      </c>
      <c r="I3773">
        <v>1760</v>
      </c>
      <c r="J3773" s="29">
        <v>1</v>
      </c>
      <c r="K3773" s="29" t="s">
        <v>532</v>
      </c>
      <c r="L3773" t="str">
        <f>IFERROR(VLOOKUP(Detalle_OC[[#This Row],[Centro]]&amp;Detalle_OC[[#This Row],[Nro Almacen]],Almacen!A:D,4,FALSE),"")</f>
        <v>Montelima</v>
      </c>
    </row>
    <row r="3774" spans="1:12" x14ac:dyDescent="0.3">
      <c r="A3774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3774" t="s">
        <v>28</v>
      </c>
      <c r="C3774" t="s">
        <v>82</v>
      </c>
      <c r="D3774" s="11">
        <v>44825</v>
      </c>
      <c r="E3774" t="s">
        <v>16</v>
      </c>
      <c r="F3774" t="s">
        <v>12</v>
      </c>
      <c r="G3774">
        <v>844523</v>
      </c>
      <c r="H3774">
        <v>5500019188</v>
      </c>
      <c r="I3774">
        <v>140</v>
      </c>
      <c r="J3774" s="29">
        <v>1</v>
      </c>
      <c r="K3774" s="29" t="s">
        <v>533</v>
      </c>
      <c r="L3774" t="str">
        <f>IFERROR(VLOOKUP(Detalle_OC[[#This Row],[Centro]]&amp;Detalle_OC[[#This Row],[Nro Almacen]],Almacen!A:D,4,FALSE),"")</f>
        <v>Montelima</v>
      </c>
    </row>
    <row r="3775" spans="1:12" x14ac:dyDescent="0.3">
      <c r="A3775" s="29" t="str">
        <f>Detalle_OC[[#This Row],[Centro]]&amp;Detalle_OC[[#This Row],[Nom Almacen]]&amp;Detalle_OC[[#This Row],[Material]]&amp;Detalle_OC[[#This Row],[Pedido]]&amp;Detalle_OC[[#This Row],[Posicion]]</f>
        <v>Agricola del Chira PlantaMontelima8457155500019188650</v>
      </c>
      <c r="B3775" t="s">
        <v>28</v>
      </c>
      <c r="C3775" t="s">
        <v>82</v>
      </c>
      <c r="D3775" s="11">
        <v>44825</v>
      </c>
      <c r="E3775" t="s">
        <v>16</v>
      </c>
      <c r="F3775" t="s">
        <v>12</v>
      </c>
      <c r="G3775">
        <v>845715</v>
      </c>
      <c r="H3775">
        <v>5500019188</v>
      </c>
      <c r="I3775">
        <v>650</v>
      </c>
      <c r="J3775" s="29">
        <v>1</v>
      </c>
      <c r="K3775" s="29" t="s">
        <v>533</v>
      </c>
      <c r="L3775" t="str">
        <f>IFERROR(VLOOKUP(Detalle_OC[[#This Row],[Centro]]&amp;Detalle_OC[[#This Row],[Nro Almacen]],Almacen!A:D,4,FALSE),"")</f>
        <v>Montelima</v>
      </c>
    </row>
    <row r="3776" spans="1:12" x14ac:dyDescent="0.3">
      <c r="A3776" s="29" t="str">
        <f>Detalle_OC[[#This Row],[Centro]]&amp;Detalle_OC[[#This Row],[Nom Almacen]]&amp;Detalle_OC[[#This Row],[Material]]&amp;Detalle_OC[[#This Row],[Pedido]]&amp;Detalle_OC[[#This Row],[Posicion]]</f>
        <v>Agricola del Chira PlantaMontelima83106655000191881040</v>
      </c>
      <c r="B3776" t="s">
        <v>28</v>
      </c>
      <c r="C3776" t="s">
        <v>82</v>
      </c>
      <c r="D3776" s="11">
        <v>44825</v>
      </c>
      <c r="E3776" t="s">
        <v>16</v>
      </c>
      <c r="F3776" t="s">
        <v>12</v>
      </c>
      <c r="G3776">
        <v>831066</v>
      </c>
      <c r="H3776">
        <v>5500019188</v>
      </c>
      <c r="I3776">
        <v>1040</v>
      </c>
      <c r="J3776" s="29">
        <v>1</v>
      </c>
      <c r="K3776" s="29" t="s">
        <v>533</v>
      </c>
      <c r="L3776" t="str">
        <f>IFERROR(VLOOKUP(Detalle_OC[[#This Row],[Centro]]&amp;Detalle_OC[[#This Row],[Nro Almacen]],Almacen!A:D,4,FALSE),"")</f>
        <v>Montelima</v>
      </c>
    </row>
    <row r="3777" spans="1:12" x14ac:dyDescent="0.3">
      <c r="A3777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3777" t="s">
        <v>28</v>
      </c>
      <c r="C3777" t="s">
        <v>82</v>
      </c>
      <c r="D3777" s="11">
        <v>44818</v>
      </c>
      <c r="E3777" t="s">
        <v>16</v>
      </c>
      <c r="F3777" t="s">
        <v>12</v>
      </c>
      <c r="G3777">
        <v>844516</v>
      </c>
      <c r="H3777">
        <v>5500019188</v>
      </c>
      <c r="I3777">
        <v>190</v>
      </c>
      <c r="J3777" s="29">
        <v>1</v>
      </c>
      <c r="K3777" s="29" t="s">
        <v>534</v>
      </c>
      <c r="L3777" t="str">
        <f>IFERROR(VLOOKUP(Detalle_OC[[#This Row],[Centro]]&amp;Detalle_OC[[#This Row],[Nro Almacen]],Almacen!A:D,4,FALSE),"")</f>
        <v>Montelima</v>
      </c>
    </row>
    <row r="3778" spans="1:12" x14ac:dyDescent="0.3">
      <c r="A3778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3778" t="s">
        <v>28</v>
      </c>
      <c r="C3778" t="s">
        <v>84</v>
      </c>
      <c r="D3778" s="11">
        <v>44818</v>
      </c>
      <c r="E3778" t="s">
        <v>16</v>
      </c>
      <c r="F3778" t="s">
        <v>85</v>
      </c>
      <c r="G3778">
        <v>801846</v>
      </c>
      <c r="H3778">
        <v>5500022336</v>
      </c>
      <c r="I3778">
        <v>10</v>
      </c>
      <c r="J3778" s="29">
        <v>1</v>
      </c>
      <c r="K3778" s="29" t="s">
        <v>535</v>
      </c>
      <c r="L3778" t="str">
        <f>IFERROR(VLOOKUP(Detalle_OC[[#This Row],[Centro]]&amp;Detalle_OC[[#This Row],[Nro Almacen]],Almacen!A:D,4,FALSE),"")</f>
        <v>Montelima</v>
      </c>
    </row>
    <row r="3779" spans="1:12" x14ac:dyDescent="0.3">
      <c r="A3779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3779" t="s">
        <v>28</v>
      </c>
      <c r="C3779" t="s">
        <v>84</v>
      </c>
      <c r="D3779" s="11">
        <v>44818</v>
      </c>
      <c r="E3779" t="s">
        <v>16</v>
      </c>
      <c r="F3779" t="s">
        <v>85</v>
      </c>
      <c r="G3779">
        <v>806591</v>
      </c>
      <c r="H3779">
        <v>5500022336</v>
      </c>
      <c r="I3779">
        <v>20</v>
      </c>
      <c r="J3779" s="29">
        <v>1</v>
      </c>
      <c r="K3779" s="29" t="s">
        <v>535</v>
      </c>
      <c r="L3779" t="str">
        <f>IFERROR(VLOOKUP(Detalle_OC[[#This Row],[Centro]]&amp;Detalle_OC[[#This Row],[Nro Almacen]],Almacen!A:D,4,FALSE),"")</f>
        <v>Montelima</v>
      </c>
    </row>
    <row r="3780" spans="1:12" x14ac:dyDescent="0.3">
      <c r="A3780" s="29" t="str">
        <f>Detalle_OC[[#This Row],[Centro]]&amp;Detalle_OC[[#This Row],[Nom Almacen]]&amp;Detalle_OC[[#This Row],[Material]]&amp;Detalle_OC[[#This Row],[Pedido]]&amp;Detalle_OC[[#This Row],[Posicion]]</f>
        <v>Agricola del Chira PlantaMontelima709179550002233820</v>
      </c>
      <c r="B3780" t="s">
        <v>28</v>
      </c>
      <c r="C3780" t="s">
        <v>84</v>
      </c>
      <c r="D3780" s="11">
        <v>44818</v>
      </c>
      <c r="E3780" t="s">
        <v>16</v>
      </c>
      <c r="F3780" t="s">
        <v>12</v>
      </c>
      <c r="G3780">
        <v>709179</v>
      </c>
      <c r="H3780">
        <v>5500022338</v>
      </c>
      <c r="I3780">
        <v>20</v>
      </c>
      <c r="J3780" s="29">
        <v>1</v>
      </c>
      <c r="K3780" s="29" t="s">
        <v>535</v>
      </c>
      <c r="L3780" t="str">
        <f>IFERROR(VLOOKUP(Detalle_OC[[#This Row],[Centro]]&amp;Detalle_OC[[#This Row],[Nro Almacen]],Almacen!A:D,4,FALSE),"")</f>
        <v>Montelima</v>
      </c>
    </row>
    <row r="3781" spans="1:12" x14ac:dyDescent="0.3">
      <c r="A3781" s="29" t="str">
        <f>Detalle_OC[[#This Row],[Centro]]&amp;Detalle_OC[[#This Row],[Nom Almacen]]&amp;Detalle_OC[[#This Row],[Material]]&amp;Detalle_OC[[#This Row],[Pedido]]&amp;Detalle_OC[[#This Row],[Posicion]]</f>
        <v>Agricola del Chira PlantaMontelima813224550002233870</v>
      </c>
      <c r="B3781" t="s">
        <v>28</v>
      </c>
      <c r="C3781" t="s">
        <v>84</v>
      </c>
      <c r="D3781" s="11">
        <v>44818</v>
      </c>
      <c r="E3781" t="s">
        <v>16</v>
      </c>
      <c r="F3781" t="s">
        <v>12</v>
      </c>
      <c r="G3781">
        <v>813224</v>
      </c>
      <c r="H3781">
        <v>5500022338</v>
      </c>
      <c r="I3781">
        <v>70</v>
      </c>
      <c r="J3781" s="29">
        <v>1</v>
      </c>
      <c r="K3781" s="29" t="s">
        <v>535</v>
      </c>
      <c r="L3781" t="str">
        <f>IFERROR(VLOOKUP(Detalle_OC[[#This Row],[Centro]]&amp;Detalle_OC[[#This Row],[Nro Almacen]],Almacen!A:D,4,FALSE),"")</f>
        <v>Montelima</v>
      </c>
    </row>
    <row r="3782" spans="1:12" x14ac:dyDescent="0.3">
      <c r="A3782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3782" t="s">
        <v>28</v>
      </c>
      <c r="C3782" t="s">
        <v>82</v>
      </c>
      <c r="D3782" s="11">
        <v>44816</v>
      </c>
      <c r="E3782" t="s">
        <v>16</v>
      </c>
      <c r="F3782" t="s">
        <v>12</v>
      </c>
      <c r="G3782">
        <v>844522</v>
      </c>
      <c r="H3782">
        <v>5500019188</v>
      </c>
      <c r="I3782">
        <v>150</v>
      </c>
      <c r="J3782" s="29">
        <v>1</v>
      </c>
      <c r="K3782" s="29" t="s">
        <v>536</v>
      </c>
      <c r="L3782" t="str">
        <f>IFERROR(VLOOKUP(Detalle_OC[[#This Row],[Centro]]&amp;Detalle_OC[[#This Row],[Nro Almacen]],Almacen!A:D,4,FALSE),"")</f>
        <v>Montelima</v>
      </c>
    </row>
    <row r="3783" spans="1:12" x14ac:dyDescent="0.3">
      <c r="A3783" s="29" t="str">
        <f>Detalle_OC[[#This Row],[Centro]]&amp;Detalle_OC[[#This Row],[Nom Almacen]]&amp;Detalle_OC[[#This Row],[Material]]&amp;Detalle_OC[[#This Row],[Pedido]]&amp;Detalle_OC[[#This Row],[Posicion]]</f>
        <v>Agricola del Chira PlantaMontelima8445335500019188170</v>
      </c>
      <c r="B3783" t="s">
        <v>28</v>
      </c>
      <c r="C3783" t="s">
        <v>82</v>
      </c>
      <c r="D3783" s="11">
        <v>44816</v>
      </c>
      <c r="E3783" t="s">
        <v>16</v>
      </c>
      <c r="F3783" t="s">
        <v>12</v>
      </c>
      <c r="G3783">
        <v>844533</v>
      </c>
      <c r="H3783">
        <v>5500019188</v>
      </c>
      <c r="I3783">
        <v>170</v>
      </c>
      <c r="J3783" s="29">
        <v>1</v>
      </c>
      <c r="K3783" s="29" t="s">
        <v>536</v>
      </c>
      <c r="L3783" t="str">
        <f>IFERROR(VLOOKUP(Detalle_OC[[#This Row],[Centro]]&amp;Detalle_OC[[#This Row],[Nro Almacen]],Almacen!A:D,4,FALSE),"")</f>
        <v>Montelima</v>
      </c>
    </row>
    <row r="3784" spans="1:12" x14ac:dyDescent="0.3">
      <c r="A3784" s="29" t="str">
        <f>Detalle_OC[[#This Row],[Centro]]&amp;Detalle_OC[[#This Row],[Nom Almacen]]&amp;Detalle_OC[[#This Row],[Material]]&amp;Detalle_OC[[#This Row],[Pedido]]&amp;Detalle_OC[[#This Row],[Posicion]]</f>
        <v>Agricola del Chira PlantaMontelima8445115500019188180</v>
      </c>
      <c r="B3784" t="s">
        <v>28</v>
      </c>
      <c r="C3784" t="s">
        <v>82</v>
      </c>
      <c r="D3784" s="11">
        <v>44816</v>
      </c>
      <c r="E3784" t="s">
        <v>16</v>
      </c>
      <c r="F3784" t="s">
        <v>12</v>
      </c>
      <c r="G3784">
        <v>844511</v>
      </c>
      <c r="H3784">
        <v>5500019188</v>
      </c>
      <c r="I3784">
        <v>180</v>
      </c>
      <c r="J3784" s="29">
        <v>1</v>
      </c>
      <c r="K3784" s="29" t="s">
        <v>536</v>
      </c>
      <c r="L3784" t="str">
        <f>IFERROR(VLOOKUP(Detalle_OC[[#This Row],[Centro]]&amp;Detalle_OC[[#This Row],[Nro Almacen]],Almacen!A:D,4,FALSE),"")</f>
        <v>Montelima</v>
      </c>
    </row>
    <row r="3785" spans="1:12" x14ac:dyDescent="0.3">
      <c r="A3785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3785" t="s">
        <v>28</v>
      </c>
      <c r="C3785" t="s">
        <v>82</v>
      </c>
      <c r="D3785" s="11">
        <v>44816</v>
      </c>
      <c r="E3785" t="s">
        <v>16</v>
      </c>
      <c r="F3785" t="s">
        <v>12</v>
      </c>
      <c r="G3785">
        <v>844515</v>
      </c>
      <c r="H3785">
        <v>5500019188</v>
      </c>
      <c r="I3785">
        <v>200</v>
      </c>
      <c r="J3785" s="29">
        <v>1</v>
      </c>
      <c r="K3785" s="29" t="s">
        <v>536</v>
      </c>
      <c r="L3785" t="str">
        <f>IFERROR(VLOOKUP(Detalle_OC[[#This Row],[Centro]]&amp;Detalle_OC[[#This Row],[Nro Almacen]],Almacen!A:D,4,FALSE),"")</f>
        <v>Montelima</v>
      </c>
    </row>
    <row r="3786" spans="1:12" x14ac:dyDescent="0.3">
      <c r="A3786" s="29" t="str">
        <f>Detalle_OC[[#This Row],[Centro]]&amp;Detalle_OC[[#This Row],[Nom Almacen]]&amp;Detalle_OC[[#This Row],[Material]]&amp;Detalle_OC[[#This Row],[Pedido]]&amp;Detalle_OC[[#This Row],[Posicion]]</f>
        <v>Agricola del Chira PlantaMontelima8443975500019188280</v>
      </c>
      <c r="B3786" t="s">
        <v>28</v>
      </c>
      <c r="C3786" t="s">
        <v>82</v>
      </c>
      <c r="D3786" s="11">
        <v>44816</v>
      </c>
      <c r="E3786" t="s">
        <v>16</v>
      </c>
      <c r="F3786" t="s">
        <v>12</v>
      </c>
      <c r="G3786">
        <v>844397</v>
      </c>
      <c r="H3786">
        <v>5500019188</v>
      </c>
      <c r="I3786">
        <v>280</v>
      </c>
      <c r="J3786" s="29">
        <v>1</v>
      </c>
      <c r="K3786" s="29" t="s">
        <v>536</v>
      </c>
      <c r="L3786" t="str">
        <f>IFERROR(VLOOKUP(Detalle_OC[[#This Row],[Centro]]&amp;Detalle_OC[[#This Row],[Nro Almacen]],Almacen!A:D,4,FALSE),"")</f>
        <v>Montelima</v>
      </c>
    </row>
    <row r="3787" spans="1:12" x14ac:dyDescent="0.3">
      <c r="A3787" s="29" t="str">
        <f>Detalle_OC[[#This Row],[Centro]]&amp;Detalle_OC[[#This Row],[Nom Almacen]]&amp;Detalle_OC[[#This Row],[Material]]&amp;Detalle_OC[[#This Row],[Pedido]]&amp;Detalle_OC[[#This Row],[Posicion]]</f>
        <v>Agricola del Chira PlantaMontelima8445175500019188340</v>
      </c>
      <c r="B3787" t="s">
        <v>28</v>
      </c>
      <c r="C3787" t="s">
        <v>82</v>
      </c>
      <c r="D3787" s="11">
        <v>44816</v>
      </c>
      <c r="E3787" t="s">
        <v>16</v>
      </c>
      <c r="F3787" t="s">
        <v>12</v>
      </c>
      <c r="G3787">
        <v>844517</v>
      </c>
      <c r="H3787">
        <v>5500019188</v>
      </c>
      <c r="I3787">
        <v>340</v>
      </c>
      <c r="J3787" s="29">
        <v>1</v>
      </c>
      <c r="K3787" s="29" t="s">
        <v>536</v>
      </c>
      <c r="L3787" t="str">
        <f>IFERROR(VLOOKUP(Detalle_OC[[#This Row],[Centro]]&amp;Detalle_OC[[#This Row],[Nro Almacen]],Almacen!A:D,4,FALSE),"")</f>
        <v>Montelima</v>
      </c>
    </row>
    <row r="3788" spans="1:12" x14ac:dyDescent="0.3">
      <c r="A3788" s="29" t="str">
        <f>Detalle_OC[[#This Row],[Centro]]&amp;Detalle_OC[[#This Row],[Nom Almacen]]&amp;Detalle_OC[[#This Row],[Material]]&amp;Detalle_OC[[#This Row],[Pedido]]&amp;Detalle_OC[[#This Row],[Posicion]]</f>
        <v>Agricola del Chira PlantaMontelima8457155500019188650</v>
      </c>
      <c r="B3788" t="s">
        <v>28</v>
      </c>
      <c r="C3788" t="s">
        <v>82</v>
      </c>
      <c r="D3788" s="11">
        <v>44816</v>
      </c>
      <c r="E3788" t="s">
        <v>16</v>
      </c>
      <c r="F3788" t="s">
        <v>12</v>
      </c>
      <c r="G3788">
        <v>845715</v>
      </c>
      <c r="H3788">
        <v>5500019188</v>
      </c>
      <c r="I3788">
        <v>650</v>
      </c>
      <c r="J3788" s="29">
        <v>1</v>
      </c>
      <c r="K3788" s="29" t="s">
        <v>536</v>
      </c>
      <c r="L3788" t="str">
        <f>IFERROR(VLOOKUP(Detalle_OC[[#This Row],[Centro]]&amp;Detalle_OC[[#This Row],[Nro Almacen]],Almacen!A:D,4,FALSE),"")</f>
        <v>Montelima</v>
      </c>
    </row>
    <row r="3789" spans="1:12" x14ac:dyDescent="0.3">
      <c r="A3789" s="29" t="str">
        <f>Detalle_OC[[#This Row],[Centro]]&amp;Detalle_OC[[#This Row],[Nom Almacen]]&amp;Detalle_OC[[#This Row],[Material]]&amp;Detalle_OC[[#This Row],[Pedido]]&amp;Detalle_OC[[#This Row],[Posicion]]</f>
        <v>Agricola del Chira PlantaMontelima83507555000191881310</v>
      </c>
      <c r="B3789" t="s">
        <v>28</v>
      </c>
      <c r="C3789" t="s">
        <v>82</v>
      </c>
      <c r="D3789" s="11">
        <v>44816</v>
      </c>
      <c r="E3789" t="s">
        <v>16</v>
      </c>
      <c r="F3789" t="s">
        <v>12</v>
      </c>
      <c r="G3789">
        <v>835075</v>
      </c>
      <c r="H3789">
        <v>5500019188</v>
      </c>
      <c r="I3789">
        <v>1310</v>
      </c>
      <c r="J3789" s="29">
        <v>1</v>
      </c>
      <c r="K3789" s="29" t="s">
        <v>536</v>
      </c>
      <c r="L3789" t="str">
        <f>IFERROR(VLOOKUP(Detalle_OC[[#This Row],[Centro]]&amp;Detalle_OC[[#This Row],[Nro Almacen]],Almacen!A:D,4,FALSE),"")</f>
        <v>Montelima</v>
      </c>
    </row>
    <row r="3790" spans="1:12" x14ac:dyDescent="0.3">
      <c r="A3790" s="29" t="str">
        <f>Detalle_OC[[#This Row],[Centro]]&amp;Detalle_OC[[#This Row],[Nom Almacen]]&amp;Detalle_OC[[#This Row],[Material]]&amp;Detalle_OC[[#This Row],[Pedido]]&amp;Detalle_OC[[#This Row],[Posicion]]</f>
        <v>Agricola del Chira PlantaMontelima7003087855000191881730</v>
      </c>
      <c r="B3790" t="s">
        <v>28</v>
      </c>
      <c r="C3790" t="s">
        <v>82</v>
      </c>
      <c r="D3790" s="11">
        <v>44817</v>
      </c>
      <c r="E3790" t="s">
        <v>16</v>
      </c>
      <c r="F3790" t="s">
        <v>12</v>
      </c>
      <c r="G3790">
        <v>70030878</v>
      </c>
      <c r="H3790">
        <v>5500019188</v>
      </c>
      <c r="I3790">
        <v>1730</v>
      </c>
      <c r="J3790" s="29">
        <v>1</v>
      </c>
      <c r="K3790" s="29" t="s">
        <v>536</v>
      </c>
      <c r="L3790" t="str">
        <f>IFERROR(VLOOKUP(Detalle_OC[[#This Row],[Centro]]&amp;Detalle_OC[[#This Row],[Nro Almacen]],Almacen!A:D,4,FALSE),"")</f>
        <v>Montelima</v>
      </c>
    </row>
    <row r="3791" spans="1:12" x14ac:dyDescent="0.3">
      <c r="A3791" s="29" t="str">
        <f>Detalle_OC[[#This Row],[Centro]]&amp;Detalle_OC[[#This Row],[Nom Almacen]]&amp;Detalle_OC[[#This Row],[Material]]&amp;Detalle_OC[[#This Row],[Pedido]]&amp;Detalle_OC[[#This Row],[Posicion]]</f>
        <v>Agricola del Chira PlantaMontelima8449175500019188240</v>
      </c>
      <c r="B3791" t="s">
        <v>28</v>
      </c>
      <c r="C3791" t="s">
        <v>82</v>
      </c>
      <c r="D3791" s="11">
        <v>44804</v>
      </c>
      <c r="E3791" t="s">
        <v>16</v>
      </c>
      <c r="F3791" t="s">
        <v>12</v>
      </c>
      <c r="G3791">
        <v>844917</v>
      </c>
      <c r="H3791">
        <v>5500019188</v>
      </c>
      <c r="I3791">
        <v>240</v>
      </c>
      <c r="J3791" s="29">
        <v>1</v>
      </c>
      <c r="K3791" s="29" t="s">
        <v>537</v>
      </c>
      <c r="L3791" t="str">
        <f>IFERROR(VLOOKUP(Detalle_OC[[#This Row],[Centro]]&amp;Detalle_OC[[#This Row],[Nro Almacen]],Almacen!A:D,4,FALSE),"")</f>
        <v>Montelima</v>
      </c>
    </row>
    <row r="3792" spans="1:12" x14ac:dyDescent="0.3">
      <c r="A3792" s="29" t="str">
        <f>Detalle_OC[[#This Row],[Centro]]&amp;Detalle_OC[[#This Row],[Nom Almacen]]&amp;Detalle_OC[[#This Row],[Material]]&amp;Detalle_OC[[#This Row],[Pedido]]&amp;Detalle_OC[[#This Row],[Posicion]]</f>
        <v>Agricola del Chira PlantaMontelima8443975500019188280</v>
      </c>
      <c r="B3792" t="s">
        <v>28</v>
      </c>
      <c r="C3792" t="s">
        <v>82</v>
      </c>
      <c r="D3792" s="11">
        <v>44804</v>
      </c>
      <c r="E3792" t="s">
        <v>16</v>
      </c>
      <c r="F3792" t="s">
        <v>12</v>
      </c>
      <c r="G3792">
        <v>844397</v>
      </c>
      <c r="H3792">
        <v>5500019188</v>
      </c>
      <c r="I3792">
        <v>280</v>
      </c>
      <c r="J3792" s="29">
        <v>1</v>
      </c>
      <c r="K3792" s="29" t="s">
        <v>537</v>
      </c>
      <c r="L3792" t="str">
        <f>IFERROR(VLOOKUP(Detalle_OC[[#This Row],[Centro]]&amp;Detalle_OC[[#This Row],[Nro Almacen]],Almacen!A:D,4,FALSE),"")</f>
        <v>Montelima</v>
      </c>
    </row>
    <row r="3793" spans="1:12" x14ac:dyDescent="0.3">
      <c r="A3793" s="29" t="str">
        <f>Detalle_OC[[#This Row],[Centro]]&amp;Detalle_OC[[#This Row],[Nom Almacen]]&amp;Detalle_OC[[#This Row],[Material]]&amp;Detalle_OC[[#This Row],[Pedido]]&amp;Detalle_OC[[#This Row],[Posicion]]</f>
        <v>Agricola del Chira PlantaMontelima8443985500019188290</v>
      </c>
      <c r="B3793" t="s">
        <v>28</v>
      </c>
      <c r="C3793" t="s">
        <v>82</v>
      </c>
      <c r="D3793" s="11">
        <v>44804</v>
      </c>
      <c r="E3793" t="s">
        <v>16</v>
      </c>
      <c r="F3793" t="s">
        <v>12</v>
      </c>
      <c r="G3793">
        <v>844398</v>
      </c>
      <c r="H3793">
        <v>5500019188</v>
      </c>
      <c r="I3793">
        <v>290</v>
      </c>
      <c r="J3793" s="29">
        <v>1</v>
      </c>
      <c r="K3793" s="29" t="s">
        <v>537</v>
      </c>
      <c r="L3793" t="str">
        <f>IFERROR(VLOOKUP(Detalle_OC[[#This Row],[Centro]]&amp;Detalle_OC[[#This Row],[Nro Almacen]],Almacen!A:D,4,FALSE),"")</f>
        <v>Montelima</v>
      </c>
    </row>
    <row r="3794" spans="1:12" x14ac:dyDescent="0.3">
      <c r="A3794" s="29" t="str">
        <f>Detalle_OC[[#This Row],[Centro]]&amp;Detalle_OC[[#This Row],[Nom Almacen]]&amp;Detalle_OC[[#This Row],[Material]]&amp;Detalle_OC[[#This Row],[Pedido]]&amp;Detalle_OC[[#This Row],[Posicion]]</f>
        <v>Agricola del Chira PlantaMontelima8445175500019188340</v>
      </c>
      <c r="B3794" t="s">
        <v>28</v>
      </c>
      <c r="C3794" t="s">
        <v>82</v>
      </c>
      <c r="D3794" s="11">
        <v>44804</v>
      </c>
      <c r="E3794" t="s">
        <v>16</v>
      </c>
      <c r="F3794" t="s">
        <v>12</v>
      </c>
      <c r="G3794">
        <v>844517</v>
      </c>
      <c r="H3794">
        <v>5500019188</v>
      </c>
      <c r="I3794">
        <v>340</v>
      </c>
      <c r="J3794" s="29">
        <v>1</v>
      </c>
      <c r="K3794" s="29" t="s">
        <v>537</v>
      </c>
      <c r="L3794" t="str">
        <f>IFERROR(VLOOKUP(Detalle_OC[[#This Row],[Centro]]&amp;Detalle_OC[[#This Row],[Nro Almacen]],Almacen!A:D,4,FALSE),"")</f>
        <v>Montelima</v>
      </c>
    </row>
    <row r="3795" spans="1:12" x14ac:dyDescent="0.3">
      <c r="A3795" s="29" t="str">
        <f>Detalle_OC[[#This Row],[Centro]]&amp;Detalle_OC[[#This Row],[Nom Almacen]]&amp;Detalle_OC[[#This Row],[Material]]&amp;Detalle_OC[[#This Row],[Pedido]]&amp;Detalle_OC[[#This Row],[Posicion]]</f>
        <v>Agricola del Chira PlantaMontelima8506365500019188510</v>
      </c>
      <c r="B3795" t="s">
        <v>28</v>
      </c>
      <c r="C3795" t="s">
        <v>82</v>
      </c>
      <c r="D3795" s="11">
        <v>44804</v>
      </c>
      <c r="E3795" t="s">
        <v>16</v>
      </c>
      <c r="F3795" t="s">
        <v>12</v>
      </c>
      <c r="G3795">
        <v>850636</v>
      </c>
      <c r="H3795">
        <v>5500019188</v>
      </c>
      <c r="I3795">
        <v>510</v>
      </c>
      <c r="J3795" s="29">
        <v>1</v>
      </c>
      <c r="K3795" s="29" t="s">
        <v>537</v>
      </c>
      <c r="L3795" t="str">
        <f>IFERROR(VLOOKUP(Detalle_OC[[#This Row],[Centro]]&amp;Detalle_OC[[#This Row],[Nro Almacen]],Almacen!A:D,4,FALSE),"")</f>
        <v>Montelima</v>
      </c>
    </row>
    <row r="3796" spans="1:12" x14ac:dyDescent="0.3">
      <c r="A3796" s="29" t="str">
        <f>Detalle_OC[[#This Row],[Centro]]&amp;Detalle_OC[[#This Row],[Nom Almacen]]&amp;Detalle_OC[[#This Row],[Material]]&amp;Detalle_OC[[#This Row],[Pedido]]&amp;Detalle_OC[[#This Row],[Posicion]]</f>
        <v>Agricola del Chira PlantaMontelima8445435500019188570</v>
      </c>
      <c r="B3796" t="s">
        <v>28</v>
      </c>
      <c r="C3796" t="s">
        <v>82</v>
      </c>
      <c r="D3796" s="11">
        <v>44804</v>
      </c>
      <c r="E3796" t="s">
        <v>16</v>
      </c>
      <c r="F3796" t="s">
        <v>12</v>
      </c>
      <c r="G3796">
        <v>844543</v>
      </c>
      <c r="H3796">
        <v>5500019188</v>
      </c>
      <c r="I3796">
        <v>570</v>
      </c>
      <c r="J3796" s="29">
        <v>1</v>
      </c>
      <c r="K3796" s="29" t="s">
        <v>537</v>
      </c>
      <c r="L3796" t="str">
        <f>IFERROR(VLOOKUP(Detalle_OC[[#This Row],[Centro]]&amp;Detalle_OC[[#This Row],[Nro Almacen]],Almacen!A:D,4,FALSE),"")</f>
        <v>Montelima</v>
      </c>
    </row>
    <row r="3797" spans="1:12" x14ac:dyDescent="0.3">
      <c r="A3797" s="29" t="str">
        <f>Detalle_OC[[#This Row],[Centro]]&amp;Detalle_OC[[#This Row],[Nom Almacen]]&amp;Detalle_OC[[#This Row],[Material]]&amp;Detalle_OC[[#This Row],[Pedido]]&amp;Detalle_OC[[#This Row],[Posicion]]</f>
        <v>Agricola del Chira PlantaMontelima8457155500019188650</v>
      </c>
      <c r="B3797" t="s">
        <v>28</v>
      </c>
      <c r="C3797" t="s">
        <v>82</v>
      </c>
      <c r="D3797" s="11">
        <v>44804</v>
      </c>
      <c r="E3797" t="s">
        <v>16</v>
      </c>
      <c r="F3797" t="s">
        <v>12</v>
      </c>
      <c r="G3797">
        <v>845715</v>
      </c>
      <c r="H3797">
        <v>5500019188</v>
      </c>
      <c r="I3797">
        <v>650</v>
      </c>
      <c r="J3797" s="29">
        <v>1</v>
      </c>
      <c r="K3797" s="29" t="s">
        <v>537</v>
      </c>
      <c r="L3797" t="str">
        <f>IFERROR(VLOOKUP(Detalle_OC[[#This Row],[Centro]]&amp;Detalle_OC[[#This Row],[Nro Almacen]],Almacen!A:D,4,FALSE),"")</f>
        <v>Montelima</v>
      </c>
    </row>
    <row r="3798" spans="1:12" x14ac:dyDescent="0.3">
      <c r="A3798" s="29" t="str">
        <f>Detalle_OC[[#This Row],[Centro]]&amp;Detalle_OC[[#This Row],[Nom Almacen]]&amp;Detalle_OC[[#This Row],[Material]]&amp;Detalle_OC[[#This Row],[Pedido]]&amp;Detalle_OC[[#This Row],[Posicion]]</f>
        <v>Agricola del Chira PlantaMontelima8469355500019188700</v>
      </c>
      <c r="B3798" t="s">
        <v>28</v>
      </c>
      <c r="C3798" t="s">
        <v>82</v>
      </c>
      <c r="D3798" s="11">
        <v>44804</v>
      </c>
      <c r="E3798" t="s">
        <v>16</v>
      </c>
      <c r="F3798" t="s">
        <v>12</v>
      </c>
      <c r="G3798">
        <v>846935</v>
      </c>
      <c r="H3798">
        <v>5500019188</v>
      </c>
      <c r="I3798">
        <v>700</v>
      </c>
      <c r="J3798" s="29">
        <v>1</v>
      </c>
      <c r="K3798" s="29" t="s">
        <v>537</v>
      </c>
      <c r="L3798" t="str">
        <f>IFERROR(VLOOKUP(Detalle_OC[[#This Row],[Centro]]&amp;Detalle_OC[[#This Row],[Nro Almacen]],Almacen!A:D,4,FALSE),"")</f>
        <v>Montelima</v>
      </c>
    </row>
    <row r="3799" spans="1:12" x14ac:dyDescent="0.3">
      <c r="A3799" s="29" t="str">
        <f>Detalle_OC[[#This Row],[Centro]]&amp;Detalle_OC[[#This Row],[Nom Almacen]]&amp;Detalle_OC[[#This Row],[Material]]&amp;Detalle_OC[[#This Row],[Pedido]]&amp;Detalle_OC[[#This Row],[Posicion]]</f>
        <v>Agricola del Chira PlantaMontelima7002963255000191881670</v>
      </c>
      <c r="B3799" t="s">
        <v>28</v>
      </c>
      <c r="C3799" t="s">
        <v>82</v>
      </c>
      <c r="D3799" s="11">
        <v>44804</v>
      </c>
      <c r="E3799" t="s">
        <v>16</v>
      </c>
      <c r="F3799" t="s">
        <v>12</v>
      </c>
      <c r="G3799">
        <v>70029632</v>
      </c>
      <c r="H3799">
        <v>5500019188</v>
      </c>
      <c r="I3799">
        <v>1670</v>
      </c>
      <c r="J3799" s="29">
        <v>1</v>
      </c>
      <c r="K3799" s="29" t="s">
        <v>537</v>
      </c>
      <c r="L3799" t="str">
        <f>IFERROR(VLOOKUP(Detalle_OC[[#This Row],[Centro]]&amp;Detalle_OC[[#This Row],[Nro Almacen]],Almacen!A:D,4,FALSE),"")</f>
        <v>Montelima</v>
      </c>
    </row>
    <row r="3800" spans="1:12" x14ac:dyDescent="0.3">
      <c r="A3800" s="29" t="str">
        <f>Detalle_OC[[#This Row],[Centro]]&amp;Detalle_OC[[#This Row],[Nom Almacen]]&amp;Detalle_OC[[#This Row],[Material]]&amp;Detalle_OC[[#This Row],[Pedido]]&amp;Detalle_OC[[#This Row],[Posicion]]</f>
        <v>Agricola del Chira PlantaMontelima82719955000191881020</v>
      </c>
      <c r="B3800" t="s">
        <v>28</v>
      </c>
      <c r="C3800" t="s">
        <v>82</v>
      </c>
      <c r="D3800" s="11">
        <v>44804</v>
      </c>
      <c r="E3800" t="s">
        <v>16</v>
      </c>
      <c r="F3800" t="s">
        <v>12</v>
      </c>
      <c r="G3800">
        <v>827199</v>
      </c>
      <c r="H3800">
        <v>5500019188</v>
      </c>
      <c r="I3800">
        <v>1020</v>
      </c>
      <c r="J3800" s="29">
        <v>1</v>
      </c>
      <c r="K3800" s="29" t="s">
        <v>538</v>
      </c>
      <c r="L3800" t="str">
        <f>IFERROR(VLOOKUP(Detalle_OC[[#This Row],[Centro]]&amp;Detalle_OC[[#This Row],[Nro Almacen]],Almacen!A:D,4,FALSE),"")</f>
        <v>Montelima</v>
      </c>
    </row>
    <row r="3801" spans="1:12" x14ac:dyDescent="0.3">
      <c r="A3801" s="29" t="str">
        <f>Detalle_OC[[#This Row],[Centro]]&amp;Detalle_OC[[#This Row],[Nom Almacen]]&amp;Detalle_OC[[#This Row],[Material]]&amp;Detalle_OC[[#This Row],[Pedido]]&amp;Detalle_OC[[#This Row],[Posicion]]</f>
        <v>Agricola del Chira PlantaMontelima709179550002233820</v>
      </c>
      <c r="B3801" t="s">
        <v>28</v>
      </c>
      <c r="C3801" t="s">
        <v>84</v>
      </c>
      <c r="D3801" s="11">
        <v>44804</v>
      </c>
      <c r="E3801" t="s">
        <v>16</v>
      </c>
      <c r="F3801" t="s">
        <v>12</v>
      </c>
      <c r="G3801">
        <v>709179</v>
      </c>
      <c r="H3801">
        <v>5500022338</v>
      </c>
      <c r="I3801">
        <v>20</v>
      </c>
      <c r="J3801" s="29">
        <v>1</v>
      </c>
      <c r="K3801" s="29" t="s">
        <v>538</v>
      </c>
      <c r="L3801" t="str">
        <f>IFERROR(VLOOKUP(Detalle_OC[[#This Row],[Centro]]&amp;Detalle_OC[[#This Row],[Nro Almacen]],Almacen!A:D,4,FALSE),"")</f>
        <v>Montelima</v>
      </c>
    </row>
    <row r="3802" spans="1:12" x14ac:dyDescent="0.3">
      <c r="A3802" s="29" t="str">
        <f>Detalle_OC[[#This Row],[Centro]]&amp;Detalle_OC[[#This Row],[Nom Almacen]]&amp;Detalle_OC[[#This Row],[Material]]&amp;Detalle_OC[[#This Row],[Pedido]]&amp;Detalle_OC[[#This Row],[Posicion]]</f>
        <v>Agricola del Chira PlantaMontelima808069550002233830</v>
      </c>
      <c r="B3802" t="s">
        <v>28</v>
      </c>
      <c r="C3802" t="s">
        <v>84</v>
      </c>
      <c r="D3802" s="11">
        <v>44804</v>
      </c>
      <c r="E3802" t="s">
        <v>16</v>
      </c>
      <c r="F3802" t="s">
        <v>12</v>
      </c>
      <c r="G3802">
        <v>808069</v>
      </c>
      <c r="H3802">
        <v>5500022338</v>
      </c>
      <c r="I3802">
        <v>30</v>
      </c>
      <c r="J3802" s="29">
        <v>1</v>
      </c>
      <c r="K3802" s="29" t="s">
        <v>538</v>
      </c>
      <c r="L3802" t="str">
        <f>IFERROR(VLOOKUP(Detalle_OC[[#This Row],[Centro]]&amp;Detalle_OC[[#This Row],[Nro Almacen]],Almacen!A:D,4,FALSE),"")</f>
        <v>Montelima</v>
      </c>
    </row>
    <row r="3803" spans="1:12" x14ac:dyDescent="0.3">
      <c r="A3803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3803" t="s">
        <v>28</v>
      </c>
      <c r="C3803" t="s">
        <v>84</v>
      </c>
      <c r="D3803" s="11">
        <v>44804</v>
      </c>
      <c r="E3803" t="s">
        <v>16</v>
      </c>
      <c r="F3803" t="s">
        <v>12</v>
      </c>
      <c r="G3803">
        <v>801846</v>
      </c>
      <c r="H3803">
        <v>5500022338</v>
      </c>
      <c r="I3803">
        <v>40</v>
      </c>
      <c r="J3803" s="29">
        <v>1</v>
      </c>
      <c r="K3803" s="29" t="s">
        <v>538</v>
      </c>
      <c r="L3803" t="str">
        <f>IFERROR(VLOOKUP(Detalle_OC[[#This Row],[Centro]]&amp;Detalle_OC[[#This Row],[Nro Almacen]],Almacen!A:D,4,FALSE),"")</f>
        <v>Montelima</v>
      </c>
    </row>
    <row r="3804" spans="1:12" x14ac:dyDescent="0.3">
      <c r="A3804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3804" t="s">
        <v>28</v>
      </c>
      <c r="C3804" t="s">
        <v>84</v>
      </c>
      <c r="D3804" s="11">
        <v>44795</v>
      </c>
      <c r="E3804" t="s">
        <v>16</v>
      </c>
      <c r="F3804" t="s">
        <v>85</v>
      </c>
      <c r="G3804">
        <v>801846</v>
      </c>
      <c r="H3804">
        <v>5500022336</v>
      </c>
      <c r="I3804">
        <v>10</v>
      </c>
      <c r="J3804" s="29">
        <v>1</v>
      </c>
      <c r="K3804" s="29" t="s">
        <v>539</v>
      </c>
      <c r="L3804" t="str">
        <f>IFERROR(VLOOKUP(Detalle_OC[[#This Row],[Centro]]&amp;Detalle_OC[[#This Row],[Nro Almacen]],Almacen!A:D,4,FALSE),"")</f>
        <v>Montelima</v>
      </c>
    </row>
    <row r="3805" spans="1:12" x14ac:dyDescent="0.3">
      <c r="A3805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3805" t="s">
        <v>28</v>
      </c>
      <c r="C3805" t="s">
        <v>84</v>
      </c>
      <c r="D3805" s="11">
        <v>44795</v>
      </c>
      <c r="E3805" t="s">
        <v>16</v>
      </c>
      <c r="F3805" t="s">
        <v>12</v>
      </c>
      <c r="G3805">
        <v>801846</v>
      </c>
      <c r="H3805">
        <v>5500022338</v>
      </c>
      <c r="I3805">
        <v>40</v>
      </c>
      <c r="J3805" s="29">
        <v>1</v>
      </c>
      <c r="K3805" s="29" t="s">
        <v>539</v>
      </c>
      <c r="L3805" t="str">
        <f>IFERROR(VLOOKUP(Detalle_OC[[#This Row],[Centro]]&amp;Detalle_OC[[#This Row],[Nro Almacen]],Almacen!A:D,4,FALSE),"")</f>
        <v>Montelima</v>
      </c>
    </row>
    <row r="3806" spans="1:12" x14ac:dyDescent="0.3">
      <c r="A3806" s="29" t="str">
        <f>Detalle_OC[[#This Row],[Centro]]&amp;Detalle_OC[[#This Row],[Nom Almacen]]&amp;Detalle_OC[[#This Row],[Material]]&amp;Detalle_OC[[#This Row],[Pedido]]&amp;Detalle_OC[[#This Row],[Posicion]]</f>
        <v>Agricola del Chira PlantaMontelima70032053550002233880</v>
      </c>
      <c r="B3806" t="s">
        <v>28</v>
      </c>
      <c r="C3806" t="s">
        <v>84</v>
      </c>
      <c r="D3806" s="11">
        <v>44795</v>
      </c>
      <c r="E3806" t="s">
        <v>16</v>
      </c>
      <c r="F3806" t="s">
        <v>12</v>
      </c>
      <c r="G3806">
        <v>70032053</v>
      </c>
      <c r="H3806">
        <v>5500022338</v>
      </c>
      <c r="I3806">
        <v>80</v>
      </c>
      <c r="J3806" s="29">
        <v>1</v>
      </c>
      <c r="K3806" s="29" t="s">
        <v>539</v>
      </c>
      <c r="L3806" t="str">
        <f>IFERROR(VLOOKUP(Detalle_OC[[#This Row],[Centro]]&amp;Detalle_OC[[#This Row],[Nro Almacen]],Almacen!A:D,4,FALSE),"")</f>
        <v>Montelima</v>
      </c>
    </row>
    <row r="3807" spans="1:12" x14ac:dyDescent="0.3">
      <c r="A3807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3807" t="s">
        <v>28</v>
      </c>
      <c r="C3807" t="s">
        <v>84</v>
      </c>
      <c r="D3807" s="11">
        <v>44785</v>
      </c>
      <c r="E3807" t="s">
        <v>16</v>
      </c>
      <c r="F3807" t="s">
        <v>85</v>
      </c>
      <c r="G3807">
        <v>806591</v>
      </c>
      <c r="H3807">
        <v>5500022336</v>
      </c>
      <c r="I3807">
        <v>20</v>
      </c>
      <c r="J3807" s="29">
        <v>1</v>
      </c>
      <c r="K3807" s="29" t="s">
        <v>540</v>
      </c>
      <c r="L3807" t="str">
        <f>IFERROR(VLOOKUP(Detalle_OC[[#This Row],[Centro]]&amp;Detalle_OC[[#This Row],[Nro Almacen]],Almacen!A:D,4,FALSE),"")</f>
        <v>Montelima</v>
      </c>
    </row>
    <row r="3808" spans="1:12" x14ac:dyDescent="0.3">
      <c r="A3808" s="29" t="str">
        <f>Detalle_OC[[#This Row],[Centro]]&amp;Detalle_OC[[#This Row],[Nom Almacen]]&amp;Detalle_OC[[#This Row],[Material]]&amp;Detalle_OC[[#This Row],[Pedido]]&amp;Detalle_OC[[#This Row],[Posicion]]</f>
        <v>Agricola del Chira PlantaMontelima8445285500019188360</v>
      </c>
      <c r="B3808" t="s">
        <v>28</v>
      </c>
      <c r="C3808" t="s">
        <v>82</v>
      </c>
      <c r="D3808" s="11">
        <v>44781</v>
      </c>
      <c r="E3808" t="s">
        <v>16</v>
      </c>
      <c r="F3808" t="s">
        <v>12</v>
      </c>
      <c r="G3808">
        <v>844528</v>
      </c>
      <c r="H3808">
        <v>5500019188</v>
      </c>
      <c r="I3808">
        <v>360</v>
      </c>
      <c r="J3808" s="29">
        <v>1</v>
      </c>
      <c r="K3808" s="29" t="s">
        <v>541</v>
      </c>
      <c r="L3808" t="str">
        <f>IFERROR(VLOOKUP(Detalle_OC[[#This Row],[Centro]]&amp;Detalle_OC[[#This Row],[Nro Almacen]],Almacen!A:D,4,FALSE),"")</f>
        <v>Montelima</v>
      </c>
    </row>
    <row r="3809" spans="1:12" x14ac:dyDescent="0.3">
      <c r="A3809" s="29" t="str">
        <f>Detalle_OC[[#This Row],[Centro]]&amp;Detalle_OC[[#This Row],[Nom Almacen]]&amp;Detalle_OC[[#This Row],[Material]]&amp;Detalle_OC[[#This Row],[Pedido]]&amp;Detalle_OC[[#This Row],[Posicion]]</f>
        <v>Agricola del Chira PlantaMontelima8445295500019188380</v>
      </c>
      <c r="B3809" t="s">
        <v>28</v>
      </c>
      <c r="C3809" t="s">
        <v>82</v>
      </c>
      <c r="D3809" s="11">
        <v>44781</v>
      </c>
      <c r="E3809" t="s">
        <v>16</v>
      </c>
      <c r="F3809" t="s">
        <v>12</v>
      </c>
      <c r="G3809">
        <v>844529</v>
      </c>
      <c r="H3809">
        <v>5500019188</v>
      </c>
      <c r="I3809">
        <v>380</v>
      </c>
      <c r="J3809" s="29">
        <v>1</v>
      </c>
      <c r="K3809" s="29" t="s">
        <v>541</v>
      </c>
      <c r="L3809" t="str">
        <f>IFERROR(VLOOKUP(Detalle_OC[[#This Row],[Centro]]&amp;Detalle_OC[[#This Row],[Nro Almacen]],Almacen!A:D,4,FALSE),"")</f>
        <v>Montelima</v>
      </c>
    </row>
    <row r="3810" spans="1:12" x14ac:dyDescent="0.3">
      <c r="A3810" s="29" t="str">
        <f>Detalle_OC[[#This Row],[Centro]]&amp;Detalle_OC[[#This Row],[Nom Almacen]]&amp;Detalle_OC[[#This Row],[Material]]&amp;Detalle_OC[[#This Row],[Pedido]]&amp;Detalle_OC[[#This Row],[Posicion]]</f>
        <v>Agricola del Chira PlantaMontelima82719955000191881020</v>
      </c>
      <c r="B3810" t="s">
        <v>28</v>
      </c>
      <c r="C3810" t="s">
        <v>82</v>
      </c>
      <c r="D3810" s="11">
        <v>44781</v>
      </c>
      <c r="E3810" t="s">
        <v>16</v>
      </c>
      <c r="F3810" t="s">
        <v>12</v>
      </c>
      <c r="G3810">
        <v>827199</v>
      </c>
      <c r="H3810">
        <v>5500019188</v>
      </c>
      <c r="I3810">
        <v>1020</v>
      </c>
      <c r="J3810" s="29">
        <v>1</v>
      </c>
      <c r="K3810" s="29" t="s">
        <v>541</v>
      </c>
      <c r="L3810" t="str">
        <f>IFERROR(VLOOKUP(Detalle_OC[[#This Row],[Centro]]&amp;Detalle_OC[[#This Row],[Nro Almacen]],Almacen!A:D,4,FALSE),"")</f>
        <v>Montelima</v>
      </c>
    </row>
    <row r="3811" spans="1:12" x14ac:dyDescent="0.3">
      <c r="A3811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3811" t="s">
        <v>28</v>
      </c>
      <c r="C3811" t="s">
        <v>82</v>
      </c>
      <c r="D3811" s="11">
        <v>44781</v>
      </c>
      <c r="E3811" t="s">
        <v>16</v>
      </c>
      <c r="F3811" t="s">
        <v>12</v>
      </c>
      <c r="G3811">
        <v>844508</v>
      </c>
      <c r="H3811">
        <v>5500019188</v>
      </c>
      <c r="I3811">
        <v>220</v>
      </c>
      <c r="J3811" s="29">
        <v>1</v>
      </c>
      <c r="K3811" s="29" t="s">
        <v>542</v>
      </c>
      <c r="L3811" t="str">
        <f>IFERROR(VLOOKUP(Detalle_OC[[#This Row],[Centro]]&amp;Detalle_OC[[#This Row],[Nro Almacen]],Almacen!A:D,4,FALSE),"")</f>
        <v>Montelima</v>
      </c>
    </row>
    <row r="3812" spans="1:12" x14ac:dyDescent="0.3">
      <c r="A3812" s="29" t="str">
        <f>Detalle_OC[[#This Row],[Centro]]&amp;Detalle_OC[[#This Row],[Nom Almacen]]&amp;Detalle_OC[[#This Row],[Material]]&amp;Detalle_OC[[#This Row],[Pedido]]&amp;Detalle_OC[[#This Row],[Posicion]]</f>
        <v>Agricola del Chira PlantaMontelima8445205500019188520</v>
      </c>
      <c r="B3812" t="s">
        <v>28</v>
      </c>
      <c r="C3812" t="s">
        <v>82</v>
      </c>
      <c r="D3812" s="11">
        <v>44781</v>
      </c>
      <c r="E3812" t="s">
        <v>16</v>
      </c>
      <c r="F3812" t="s">
        <v>12</v>
      </c>
      <c r="G3812">
        <v>844520</v>
      </c>
      <c r="H3812">
        <v>5500019188</v>
      </c>
      <c r="I3812">
        <v>520</v>
      </c>
      <c r="J3812" s="29">
        <v>1</v>
      </c>
      <c r="K3812" s="29" t="s">
        <v>542</v>
      </c>
      <c r="L3812" t="str">
        <f>IFERROR(VLOOKUP(Detalle_OC[[#This Row],[Centro]]&amp;Detalle_OC[[#This Row],[Nro Almacen]],Almacen!A:D,4,FALSE),"")</f>
        <v>Montelima</v>
      </c>
    </row>
    <row r="3813" spans="1:12" x14ac:dyDescent="0.3">
      <c r="A3813" s="29" t="str">
        <f>Detalle_OC[[#This Row],[Centro]]&amp;Detalle_OC[[#This Row],[Nom Almacen]]&amp;Detalle_OC[[#This Row],[Material]]&amp;Detalle_OC[[#This Row],[Pedido]]&amp;Detalle_OC[[#This Row],[Posicion]]</f>
        <v>Agricola del Chira PlantaMontelima83106655000191881040</v>
      </c>
      <c r="B3813" t="s">
        <v>28</v>
      </c>
      <c r="C3813" t="s">
        <v>82</v>
      </c>
      <c r="D3813" s="11">
        <v>44781</v>
      </c>
      <c r="E3813" t="s">
        <v>16</v>
      </c>
      <c r="F3813" t="s">
        <v>12</v>
      </c>
      <c r="G3813">
        <v>831066</v>
      </c>
      <c r="H3813">
        <v>5500019188</v>
      </c>
      <c r="I3813">
        <v>1040</v>
      </c>
      <c r="J3813" s="29">
        <v>1</v>
      </c>
      <c r="K3813" s="29" t="s">
        <v>542</v>
      </c>
      <c r="L3813" t="str">
        <f>IFERROR(VLOOKUP(Detalle_OC[[#This Row],[Centro]]&amp;Detalle_OC[[#This Row],[Nro Almacen]],Almacen!A:D,4,FALSE),"")</f>
        <v>Montelima</v>
      </c>
    </row>
    <row r="3814" spans="1:12" x14ac:dyDescent="0.3">
      <c r="A3814" s="29" t="str">
        <f>Detalle_OC[[#This Row],[Centro]]&amp;Detalle_OC[[#This Row],[Nom Almacen]]&amp;Detalle_OC[[#This Row],[Material]]&amp;Detalle_OC[[#This Row],[Pedido]]&amp;Detalle_OC[[#This Row],[Posicion]]</f>
        <v>Agricola del Chira PlantaMontelima808069550002233830</v>
      </c>
      <c r="B3814" t="s">
        <v>28</v>
      </c>
      <c r="C3814" t="s">
        <v>84</v>
      </c>
      <c r="D3814" s="11">
        <v>44778</v>
      </c>
      <c r="E3814" t="s">
        <v>16</v>
      </c>
      <c r="F3814" t="s">
        <v>12</v>
      </c>
      <c r="G3814">
        <v>808069</v>
      </c>
      <c r="H3814">
        <v>5500022338</v>
      </c>
      <c r="I3814">
        <v>30</v>
      </c>
      <c r="J3814" s="29">
        <v>1</v>
      </c>
      <c r="K3814" s="29" t="s">
        <v>543</v>
      </c>
      <c r="L3814" t="str">
        <f>IFERROR(VLOOKUP(Detalle_OC[[#This Row],[Centro]]&amp;Detalle_OC[[#This Row],[Nro Almacen]],Almacen!A:D,4,FALSE),"")</f>
        <v>Montelima</v>
      </c>
    </row>
    <row r="3815" spans="1:12" x14ac:dyDescent="0.3">
      <c r="A3815" s="29" t="str">
        <f>Detalle_OC[[#This Row],[Centro]]&amp;Detalle_OC[[#This Row],[Nom Almacen]]&amp;Detalle_OC[[#This Row],[Material]]&amp;Detalle_OC[[#This Row],[Pedido]]&amp;Detalle_OC[[#This Row],[Posicion]]</f>
        <v>Agricola del Chira PlantaMontelima813224550002233870</v>
      </c>
      <c r="B3815" t="s">
        <v>28</v>
      </c>
      <c r="C3815" t="s">
        <v>84</v>
      </c>
      <c r="D3815" s="11">
        <v>44778</v>
      </c>
      <c r="E3815" t="s">
        <v>16</v>
      </c>
      <c r="F3815" t="s">
        <v>12</v>
      </c>
      <c r="G3815">
        <v>813224</v>
      </c>
      <c r="H3815">
        <v>5500022338</v>
      </c>
      <c r="I3815">
        <v>70</v>
      </c>
      <c r="J3815" s="29">
        <v>1</v>
      </c>
      <c r="K3815" s="29" t="s">
        <v>543</v>
      </c>
      <c r="L3815" t="str">
        <f>IFERROR(VLOOKUP(Detalle_OC[[#This Row],[Centro]]&amp;Detalle_OC[[#This Row],[Nro Almacen]],Almacen!A:D,4,FALSE),"")</f>
        <v>Montelima</v>
      </c>
    </row>
    <row r="3816" spans="1:12" x14ac:dyDescent="0.3">
      <c r="A3816" s="29" t="str">
        <f>Detalle_OC[[#This Row],[Centro]]&amp;Detalle_OC[[#This Row],[Nom Almacen]]&amp;Detalle_OC[[#This Row],[Material]]&amp;Detalle_OC[[#This Row],[Pedido]]&amp;Detalle_OC[[#This Row],[Posicion]]</f>
        <v>Agricola del Chira PlantaMontelima70032053550002233880</v>
      </c>
      <c r="B3816" t="s">
        <v>28</v>
      </c>
      <c r="C3816" t="s">
        <v>84</v>
      </c>
      <c r="D3816" s="11">
        <v>44778</v>
      </c>
      <c r="E3816" t="s">
        <v>16</v>
      </c>
      <c r="F3816" t="s">
        <v>12</v>
      </c>
      <c r="G3816">
        <v>70032053</v>
      </c>
      <c r="H3816">
        <v>5500022338</v>
      </c>
      <c r="I3816">
        <v>80</v>
      </c>
      <c r="J3816" s="29">
        <v>1</v>
      </c>
      <c r="K3816" s="29" t="s">
        <v>543</v>
      </c>
      <c r="L3816" t="str">
        <f>IFERROR(VLOOKUP(Detalle_OC[[#This Row],[Centro]]&amp;Detalle_OC[[#This Row],[Nro Almacen]],Almacen!A:D,4,FALSE),"")</f>
        <v>Montelima</v>
      </c>
    </row>
    <row r="3817" spans="1:12" x14ac:dyDescent="0.3">
      <c r="A3817" s="29" t="str">
        <f>Detalle_OC[[#This Row],[Centro]]&amp;Detalle_OC[[#This Row],[Nom Almacen]]&amp;Detalle_OC[[#This Row],[Material]]&amp;Detalle_OC[[#This Row],[Pedido]]&amp;Detalle_OC[[#This Row],[Posicion]]</f>
        <v>Agricola del Chira PlantaMontelima8445245500019188210</v>
      </c>
      <c r="B3817" t="s">
        <v>28</v>
      </c>
      <c r="C3817" t="s">
        <v>82</v>
      </c>
      <c r="D3817" s="11">
        <v>44774</v>
      </c>
      <c r="E3817" t="s">
        <v>16</v>
      </c>
      <c r="F3817" t="s">
        <v>12</v>
      </c>
      <c r="G3817">
        <v>844524</v>
      </c>
      <c r="H3817">
        <v>5500019188</v>
      </c>
      <c r="I3817">
        <v>210</v>
      </c>
      <c r="J3817" s="29">
        <v>1</v>
      </c>
      <c r="K3817" s="29" t="s">
        <v>544</v>
      </c>
      <c r="L3817" t="str">
        <f>IFERROR(VLOOKUP(Detalle_OC[[#This Row],[Centro]]&amp;Detalle_OC[[#This Row],[Nro Almacen]],Almacen!A:D,4,FALSE),"")</f>
        <v>Montelima</v>
      </c>
    </row>
    <row r="3818" spans="1:12" x14ac:dyDescent="0.3">
      <c r="A3818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3818" t="s">
        <v>28</v>
      </c>
      <c r="C3818" t="s">
        <v>82</v>
      </c>
      <c r="D3818" s="11">
        <v>44774</v>
      </c>
      <c r="E3818" t="s">
        <v>16</v>
      </c>
      <c r="F3818" t="s">
        <v>12</v>
      </c>
      <c r="G3818">
        <v>844523</v>
      </c>
      <c r="H3818">
        <v>5500019188</v>
      </c>
      <c r="I3818">
        <v>140</v>
      </c>
      <c r="J3818" s="29">
        <v>1</v>
      </c>
      <c r="K3818" s="29" t="s">
        <v>545</v>
      </c>
      <c r="L3818" t="str">
        <f>IFERROR(VLOOKUP(Detalle_OC[[#This Row],[Centro]]&amp;Detalle_OC[[#This Row],[Nro Almacen]],Almacen!A:D,4,FALSE),"")</f>
        <v>Montelima</v>
      </c>
    </row>
    <row r="3819" spans="1:12" x14ac:dyDescent="0.3">
      <c r="A3819" s="29" t="str">
        <f>Detalle_OC[[#This Row],[Centro]]&amp;Detalle_OC[[#This Row],[Nom Almacen]]&amp;Detalle_OC[[#This Row],[Material]]&amp;Detalle_OC[[#This Row],[Pedido]]&amp;Detalle_OC[[#This Row],[Posicion]]</f>
        <v>Agricola del Chira PlantaMontelima8445305500019188490</v>
      </c>
      <c r="B3819" t="s">
        <v>28</v>
      </c>
      <c r="C3819" t="s">
        <v>82</v>
      </c>
      <c r="D3819" s="11">
        <v>44774</v>
      </c>
      <c r="E3819" t="s">
        <v>16</v>
      </c>
      <c r="F3819" t="s">
        <v>12</v>
      </c>
      <c r="G3819">
        <v>844530</v>
      </c>
      <c r="H3819">
        <v>5500019188</v>
      </c>
      <c r="I3819">
        <v>490</v>
      </c>
      <c r="J3819" s="29">
        <v>1</v>
      </c>
      <c r="K3819" s="29" t="s">
        <v>545</v>
      </c>
      <c r="L3819" t="str">
        <f>IFERROR(VLOOKUP(Detalle_OC[[#This Row],[Centro]]&amp;Detalle_OC[[#This Row],[Nro Almacen]],Almacen!A:D,4,FALSE),"")</f>
        <v>Montelima</v>
      </c>
    </row>
    <row r="3820" spans="1:12" x14ac:dyDescent="0.3">
      <c r="A3820" s="29" t="str">
        <f>Detalle_OC[[#This Row],[Centro]]&amp;Detalle_OC[[#This Row],[Nom Almacen]]&amp;Detalle_OC[[#This Row],[Material]]&amp;Detalle_OC[[#This Row],[Pedido]]&amp;Detalle_OC[[#This Row],[Posicion]]</f>
        <v>Agricola del Chira PlantaMontelima8445205500019188520</v>
      </c>
      <c r="B3820" t="s">
        <v>28</v>
      </c>
      <c r="C3820" t="s">
        <v>82</v>
      </c>
      <c r="D3820" s="11">
        <v>44774</v>
      </c>
      <c r="E3820" t="s">
        <v>16</v>
      </c>
      <c r="F3820" t="s">
        <v>12</v>
      </c>
      <c r="G3820">
        <v>844520</v>
      </c>
      <c r="H3820">
        <v>5500019188</v>
      </c>
      <c r="I3820">
        <v>520</v>
      </c>
      <c r="J3820" s="29">
        <v>1</v>
      </c>
      <c r="K3820" s="29" t="s">
        <v>545</v>
      </c>
      <c r="L3820" t="str">
        <f>IFERROR(VLOOKUP(Detalle_OC[[#This Row],[Centro]]&amp;Detalle_OC[[#This Row],[Nro Almacen]],Almacen!A:D,4,FALSE),"")</f>
        <v>Montelima</v>
      </c>
    </row>
    <row r="3821" spans="1:12" x14ac:dyDescent="0.3">
      <c r="A3821" s="29" t="str">
        <f>Detalle_OC[[#This Row],[Centro]]&amp;Detalle_OC[[#This Row],[Nom Almacen]]&amp;Detalle_OC[[#This Row],[Material]]&amp;Detalle_OC[[#This Row],[Pedido]]&amp;Detalle_OC[[#This Row],[Posicion]]</f>
        <v>Agricola del Chira PlantaMontelima8459045500019188720</v>
      </c>
      <c r="B3821" t="s">
        <v>28</v>
      </c>
      <c r="C3821" t="s">
        <v>82</v>
      </c>
      <c r="D3821" s="11">
        <v>44774</v>
      </c>
      <c r="E3821" t="s">
        <v>16</v>
      </c>
      <c r="F3821" t="s">
        <v>12</v>
      </c>
      <c r="G3821">
        <v>845904</v>
      </c>
      <c r="H3821">
        <v>5500019188</v>
      </c>
      <c r="I3821">
        <v>720</v>
      </c>
      <c r="J3821" s="29">
        <v>1</v>
      </c>
      <c r="K3821" s="29" t="s">
        <v>545</v>
      </c>
      <c r="L3821" t="str">
        <f>IFERROR(VLOOKUP(Detalle_OC[[#This Row],[Centro]]&amp;Detalle_OC[[#This Row],[Nro Almacen]],Almacen!A:D,4,FALSE),"")</f>
        <v>Montelima</v>
      </c>
    </row>
    <row r="3822" spans="1:12" x14ac:dyDescent="0.3">
      <c r="A3822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3822" t="s">
        <v>28</v>
      </c>
      <c r="C3822" t="s">
        <v>82</v>
      </c>
      <c r="D3822" s="11">
        <v>44761</v>
      </c>
      <c r="E3822" t="s">
        <v>16</v>
      </c>
      <c r="F3822" t="s">
        <v>12</v>
      </c>
      <c r="G3822">
        <v>844522</v>
      </c>
      <c r="H3822">
        <v>5500019188</v>
      </c>
      <c r="I3822">
        <v>150</v>
      </c>
      <c r="J3822" s="29">
        <v>1</v>
      </c>
      <c r="K3822" s="29" t="s">
        <v>546</v>
      </c>
      <c r="L3822" t="str">
        <f>IFERROR(VLOOKUP(Detalle_OC[[#This Row],[Centro]]&amp;Detalle_OC[[#This Row],[Nro Almacen]],Almacen!A:D,4,FALSE),"")</f>
        <v>Montelima</v>
      </c>
    </row>
    <row r="3823" spans="1:12" x14ac:dyDescent="0.3">
      <c r="A3823" s="29" t="str">
        <f>Detalle_OC[[#This Row],[Centro]]&amp;Detalle_OC[[#This Row],[Nom Almacen]]&amp;Detalle_OC[[#This Row],[Material]]&amp;Detalle_OC[[#This Row],[Pedido]]&amp;Detalle_OC[[#This Row],[Posicion]]</f>
        <v>Agricola del Chira PlantaMontelima8959485500019188860</v>
      </c>
      <c r="B3823" t="s">
        <v>28</v>
      </c>
      <c r="C3823" t="s">
        <v>82</v>
      </c>
      <c r="D3823" s="11">
        <v>44761</v>
      </c>
      <c r="E3823" t="s">
        <v>16</v>
      </c>
      <c r="F3823" t="s">
        <v>12</v>
      </c>
      <c r="G3823">
        <v>895948</v>
      </c>
      <c r="H3823">
        <v>5500019188</v>
      </c>
      <c r="I3823">
        <v>860</v>
      </c>
      <c r="J3823" s="29">
        <v>1</v>
      </c>
      <c r="K3823" s="29" t="s">
        <v>546</v>
      </c>
      <c r="L3823" t="str">
        <f>IFERROR(VLOOKUP(Detalle_OC[[#This Row],[Centro]]&amp;Detalle_OC[[#This Row],[Nro Almacen]],Almacen!A:D,4,FALSE),"")</f>
        <v>Montelima</v>
      </c>
    </row>
    <row r="3824" spans="1:12" x14ac:dyDescent="0.3">
      <c r="A3824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3824" t="s">
        <v>28</v>
      </c>
      <c r="C3824" t="s">
        <v>84</v>
      </c>
      <c r="D3824" s="11">
        <v>44757</v>
      </c>
      <c r="E3824" t="s">
        <v>16</v>
      </c>
      <c r="F3824" t="s">
        <v>85</v>
      </c>
      <c r="G3824">
        <v>801846</v>
      </c>
      <c r="H3824">
        <v>5500022336</v>
      </c>
      <c r="I3824">
        <v>10</v>
      </c>
      <c r="J3824" s="29">
        <v>1</v>
      </c>
      <c r="K3824" s="29" t="s">
        <v>547</v>
      </c>
      <c r="L3824" t="str">
        <f>IFERROR(VLOOKUP(Detalle_OC[[#This Row],[Centro]]&amp;Detalle_OC[[#This Row],[Nro Almacen]],Almacen!A:D,4,FALSE),"")</f>
        <v>Montelima</v>
      </c>
    </row>
    <row r="3825" spans="1:12" x14ac:dyDescent="0.3">
      <c r="A3825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3825" t="s">
        <v>28</v>
      </c>
      <c r="C3825" t="s">
        <v>84</v>
      </c>
      <c r="D3825" s="11">
        <v>44757</v>
      </c>
      <c r="E3825" t="s">
        <v>16</v>
      </c>
      <c r="F3825" t="s">
        <v>85</v>
      </c>
      <c r="G3825">
        <v>806591</v>
      </c>
      <c r="H3825">
        <v>5500022336</v>
      </c>
      <c r="I3825">
        <v>20</v>
      </c>
      <c r="J3825" s="29">
        <v>1</v>
      </c>
      <c r="K3825" s="29" t="s">
        <v>547</v>
      </c>
      <c r="L3825" t="str">
        <f>IFERROR(VLOOKUP(Detalle_OC[[#This Row],[Centro]]&amp;Detalle_OC[[#This Row],[Nro Almacen]],Almacen!A:D,4,FALSE),"")</f>
        <v>Montelima</v>
      </c>
    </row>
    <row r="3826" spans="1:12" x14ac:dyDescent="0.3">
      <c r="A3826" s="29" t="str">
        <f>Detalle_OC[[#This Row],[Centro]]&amp;Detalle_OC[[#This Row],[Nom Almacen]]&amp;Detalle_OC[[#This Row],[Material]]&amp;Detalle_OC[[#This Row],[Pedido]]&amp;Detalle_OC[[#This Row],[Posicion]]</f>
        <v>Agricola del Chira PlantaMontelima808069550002233830</v>
      </c>
      <c r="B3826" t="s">
        <v>28</v>
      </c>
      <c r="C3826" t="s">
        <v>84</v>
      </c>
      <c r="D3826" s="11">
        <v>44757</v>
      </c>
      <c r="E3826" t="s">
        <v>16</v>
      </c>
      <c r="F3826" t="s">
        <v>12</v>
      </c>
      <c r="G3826">
        <v>808069</v>
      </c>
      <c r="H3826">
        <v>5500022338</v>
      </c>
      <c r="I3826">
        <v>30</v>
      </c>
      <c r="J3826" s="29">
        <v>1</v>
      </c>
      <c r="K3826" s="29" t="s">
        <v>547</v>
      </c>
      <c r="L3826" t="str">
        <f>IFERROR(VLOOKUP(Detalle_OC[[#This Row],[Centro]]&amp;Detalle_OC[[#This Row],[Nro Almacen]],Almacen!A:D,4,FALSE),"")</f>
        <v>Montelima</v>
      </c>
    </row>
    <row r="3827" spans="1:12" x14ac:dyDescent="0.3">
      <c r="A3827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3827" t="s">
        <v>28</v>
      </c>
      <c r="C3827" t="s">
        <v>84</v>
      </c>
      <c r="D3827" s="11">
        <v>44757</v>
      </c>
      <c r="E3827" t="s">
        <v>16</v>
      </c>
      <c r="F3827" t="s">
        <v>12</v>
      </c>
      <c r="G3827">
        <v>801846</v>
      </c>
      <c r="H3827">
        <v>5500022338</v>
      </c>
      <c r="I3827">
        <v>40</v>
      </c>
      <c r="J3827" s="29">
        <v>1</v>
      </c>
      <c r="K3827" s="29" t="s">
        <v>547</v>
      </c>
      <c r="L3827" t="str">
        <f>IFERROR(VLOOKUP(Detalle_OC[[#This Row],[Centro]]&amp;Detalle_OC[[#This Row],[Nro Almacen]],Almacen!A:D,4,FALSE),"")</f>
        <v>Montelima</v>
      </c>
    </row>
    <row r="3828" spans="1:12" x14ac:dyDescent="0.3">
      <c r="A3828" s="29" t="str">
        <f>Detalle_OC[[#This Row],[Centro]]&amp;Detalle_OC[[#This Row],[Nom Almacen]]&amp;Detalle_OC[[#This Row],[Material]]&amp;Detalle_OC[[#This Row],[Pedido]]&amp;Detalle_OC[[#This Row],[Posicion]]</f>
        <v>Agricola del Chira PlantaMontelima725201550001918830</v>
      </c>
      <c r="B3828" t="s">
        <v>28</v>
      </c>
      <c r="C3828" t="s">
        <v>82</v>
      </c>
      <c r="D3828" s="11">
        <v>44756</v>
      </c>
      <c r="E3828" t="s">
        <v>16</v>
      </c>
      <c r="F3828" t="s">
        <v>12</v>
      </c>
      <c r="G3828">
        <v>725201</v>
      </c>
      <c r="H3828">
        <v>5500019188</v>
      </c>
      <c r="I3828">
        <v>30</v>
      </c>
      <c r="J3828" s="29">
        <v>1</v>
      </c>
      <c r="K3828" s="29" t="s">
        <v>548</v>
      </c>
      <c r="L3828" t="str">
        <f>IFERROR(VLOOKUP(Detalle_OC[[#This Row],[Centro]]&amp;Detalle_OC[[#This Row],[Nro Almacen]],Almacen!A:D,4,FALSE),"")</f>
        <v>Montelima</v>
      </c>
    </row>
    <row r="3829" spans="1:12" x14ac:dyDescent="0.3">
      <c r="A3829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3829" t="s">
        <v>28</v>
      </c>
      <c r="C3829" t="s">
        <v>82</v>
      </c>
      <c r="D3829" s="11">
        <v>44756</v>
      </c>
      <c r="E3829" t="s">
        <v>16</v>
      </c>
      <c r="F3829" t="s">
        <v>12</v>
      </c>
      <c r="G3829">
        <v>844522</v>
      </c>
      <c r="H3829">
        <v>5500019188</v>
      </c>
      <c r="I3829">
        <v>150</v>
      </c>
      <c r="J3829" s="29">
        <v>1</v>
      </c>
      <c r="K3829" s="29" t="s">
        <v>548</v>
      </c>
      <c r="L3829" t="str">
        <f>IFERROR(VLOOKUP(Detalle_OC[[#This Row],[Centro]]&amp;Detalle_OC[[#This Row],[Nro Almacen]],Almacen!A:D,4,FALSE),"")</f>
        <v>Montelima</v>
      </c>
    </row>
    <row r="3830" spans="1:12" x14ac:dyDescent="0.3">
      <c r="A3830" s="29" t="str">
        <f>Detalle_OC[[#This Row],[Centro]]&amp;Detalle_OC[[#This Row],[Nom Almacen]]&amp;Detalle_OC[[#This Row],[Material]]&amp;Detalle_OC[[#This Row],[Pedido]]&amp;Detalle_OC[[#This Row],[Posicion]]</f>
        <v>Agricola del Chira PlantaMontelima8445335500019188170</v>
      </c>
      <c r="B3830" t="s">
        <v>28</v>
      </c>
      <c r="C3830" t="s">
        <v>82</v>
      </c>
      <c r="D3830" s="11">
        <v>44756</v>
      </c>
      <c r="E3830" t="s">
        <v>16</v>
      </c>
      <c r="F3830" t="s">
        <v>12</v>
      </c>
      <c r="G3830">
        <v>844533</v>
      </c>
      <c r="H3830">
        <v>5500019188</v>
      </c>
      <c r="I3830">
        <v>170</v>
      </c>
      <c r="J3830" s="29">
        <v>1</v>
      </c>
      <c r="K3830" s="29" t="s">
        <v>548</v>
      </c>
      <c r="L3830" t="str">
        <f>IFERROR(VLOOKUP(Detalle_OC[[#This Row],[Centro]]&amp;Detalle_OC[[#This Row],[Nro Almacen]],Almacen!A:D,4,FALSE),"")</f>
        <v>Montelima</v>
      </c>
    </row>
    <row r="3831" spans="1:12" x14ac:dyDescent="0.3">
      <c r="A3831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3831" t="s">
        <v>28</v>
      </c>
      <c r="C3831" t="s">
        <v>82</v>
      </c>
      <c r="D3831" s="11">
        <v>44756</v>
      </c>
      <c r="E3831" t="s">
        <v>16</v>
      </c>
      <c r="F3831" t="s">
        <v>12</v>
      </c>
      <c r="G3831">
        <v>844515</v>
      </c>
      <c r="H3831">
        <v>5500019188</v>
      </c>
      <c r="I3831">
        <v>200</v>
      </c>
      <c r="J3831" s="29">
        <v>1</v>
      </c>
      <c r="K3831" s="29" t="s">
        <v>548</v>
      </c>
      <c r="L3831" t="str">
        <f>IFERROR(VLOOKUP(Detalle_OC[[#This Row],[Centro]]&amp;Detalle_OC[[#This Row],[Nro Almacen]],Almacen!A:D,4,FALSE),"")</f>
        <v>Montelima</v>
      </c>
    </row>
    <row r="3832" spans="1:12" x14ac:dyDescent="0.3">
      <c r="A3832" s="29" t="str">
        <f>Detalle_OC[[#This Row],[Centro]]&amp;Detalle_OC[[#This Row],[Nom Almacen]]&amp;Detalle_OC[[#This Row],[Material]]&amp;Detalle_OC[[#This Row],[Pedido]]&amp;Detalle_OC[[#This Row],[Posicion]]</f>
        <v>Agricola del Chira PlantaMontelima8445025500019188250</v>
      </c>
      <c r="B3832" t="s">
        <v>28</v>
      </c>
      <c r="C3832" t="s">
        <v>82</v>
      </c>
      <c r="D3832" s="11">
        <v>44756</v>
      </c>
      <c r="E3832" t="s">
        <v>16</v>
      </c>
      <c r="F3832" t="s">
        <v>12</v>
      </c>
      <c r="G3832">
        <v>844502</v>
      </c>
      <c r="H3832">
        <v>5500019188</v>
      </c>
      <c r="I3832">
        <v>250</v>
      </c>
      <c r="J3832" s="29">
        <v>1</v>
      </c>
      <c r="K3832" s="29" t="s">
        <v>548</v>
      </c>
      <c r="L3832" t="str">
        <f>IFERROR(VLOOKUP(Detalle_OC[[#This Row],[Centro]]&amp;Detalle_OC[[#This Row],[Nro Almacen]],Almacen!A:D,4,FALSE),"")</f>
        <v>Montelima</v>
      </c>
    </row>
    <row r="3833" spans="1:12" x14ac:dyDescent="0.3">
      <c r="A3833" s="29" t="str">
        <f>Detalle_OC[[#This Row],[Centro]]&amp;Detalle_OC[[#This Row],[Nom Almacen]]&amp;Detalle_OC[[#This Row],[Material]]&amp;Detalle_OC[[#This Row],[Pedido]]&amp;Detalle_OC[[#This Row],[Posicion]]</f>
        <v>Agricola del Chira PlantaMontelima8443985500019188290</v>
      </c>
      <c r="B3833" t="s">
        <v>28</v>
      </c>
      <c r="C3833" t="s">
        <v>82</v>
      </c>
      <c r="D3833" s="11">
        <v>44756</v>
      </c>
      <c r="E3833" t="s">
        <v>16</v>
      </c>
      <c r="F3833" t="s">
        <v>12</v>
      </c>
      <c r="G3833">
        <v>844398</v>
      </c>
      <c r="H3833">
        <v>5500019188</v>
      </c>
      <c r="I3833">
        <v>290</v>
      </c>
      <c r="J3833" s="29">
        <v>1</v>
      </c>
      <c r="K3833" s="29" t="s">
        <v>548</v>
      </c>
      <c r="L3833" t="str">
        <f>IFERROR(VLOOKUP(Detalle_OC[[#This Row],[Centro]]&amp;Detalle_OC[[#This Row],[Nro Almacen]],Almacen!A:D,4,FALSE),"")</f>
        <v>Montelima</v>
      </c>
    </row>
    <row r="3834" spans="1:12" x14ac:dyDescent="0.3">
      <c r="A3834" s="29" t="str">
        <f>Detalle_OC[[#This Row],[Centro]]&amp;Detalle_OC[[#This Row],[Nom Almacen]]&amp;Detalle_OC[[#This Row],[Material]]&amp;Detalle_OC[[#This Row],[Pedido]]&amp;Detalle_OC[[#This Row],[Posicion]]</f>
        <v>Agricola del Chira PlantaMontelima7003087855000191881730</v>
      </c>
      <c r="B3834" t="s">
        <v>28</v>
      </c>
      <c r="C3834" t="s">
        <v>82</v>
      </c>
      <c r="D3834" s="11">
        <v>44756</v>
      </c>
      <c r="E3834" t="s">
        <v>16</v>
      </c>
      <c r="F3834" t="s">
        <v>12</v>
      </c>
      <c r="G3834">
        <v>70030878</v>
      </c>
      <c r="H3834">
        <v>5500019188</v>
      </c>
      <c r="I3834">
        <v>1730</v>
      </c>
      <c r="J3834" s="29">
        <v>1</v>
      </c>
      <c r="K3834" s="29" t="s">
        <v>548</v>
      </c>
      <c r="L3834" t="str">
        <f>IFERROR(VLOOKUP(Detalle_OC[[#This Row],[Centro]]&amp;Detalle_OC[[#This Row],[Nro Almacen]],Almacen!A:D,4,FALSE),"")</f>
        <v>Montelima</v>
      </c>
    </row>
    <row r="3835" spans="1:12" x14ac:dyDescent="0.3">
      <c r="A3835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3835" t="s">
        <v>28</v>
      </c>
      <c r="C3835" t="s">
        <v>82</v>
      </c>
      <c r="D3835" s="11">
        <v>44749</v>
      </c>
      <c r="E3835" t="s">
        <v>16</v>
      </c>
      <c r="F3835" t="s">
        <v>12</v>
      </c>
      <c r="G3835">
        <v>844515</v>
      </c>
      <c r="H3835">
        <v>5500019188</v>
      </c>
      <c r="I3835">
        <v>200</v>
      </c>
      <c r="J3835" s="29">
        <v>1</v>
      </c>
      <c r="K3835" s="29" t="s">
        <v>549</v>
      </c>
      <c r="L3835" t="str">
        <f>IFERROR(VLOOKUP(Detalle_OC[[#This Row],[Centro]]&amp;Detalle_OC[[#This Row],[Nro Almacen]],Almacen!A:D,4,FALSE),"")</f>
        <v>Montelima</v>
      </c>
    </row>
    <row r="3836" spans="1:12" x14ac:dyDescent="0.3">
      <c r="A3836" s="29" t="str">
        <f>Detalle_OC[[#This Row],[Centro]]&amp;Detalle_OC[[#This Row],[Nom Almacen]]&amp;Detalle_OC[[#This Row],[Material]]&amp;Detalle_OC[[#This Row],[Pedido]]&amp;Detalle_OC[[#This Row],[Posicion]]</f>
        <v>Agricola del Chira PlantaMontelima8445025500019188250</v>
      </c>
      <c r="B3836" t="s">
        <v>28</v>
      </c>
      <c r="C3836" t="s">
        <v>82</v>
      </c>
      <c r="D3836" s="11">
        <v>44749</v>
      </c>
      <c r="E3836" t="s">
        <v>16</v>
      </c>
      <c r="F3836" t="s">
        <v>12</v>
      </c>
      <c r="G3836">
        <v>844502</v>
      </c>
      <c r="H3836">
        <v>5500019188</v>
      </c>
      <c r="I3836">
        <v>250</v>
      </c>
      <c r="J3836" s="29">
        <v>1</v>
      </c>
      <c r="K3836" s="29" t="s">
        <v>549</v>
      </c>
      <c r="L3836" t="str">
        <f>IFERROR(VLOOKUP(Detalle_OC[[#This Row],[Centro]]&amp;Detalle_OC[[#This Row],[Nro Almacen]],Almacen!A:D,4,FALSE),"")</f>
        <v>Montelima</v>
      </c>
    </row>
    <row r="3837" spans="1:12" x14ac:dyDescent="0.3">
      <c r="A3837" s="29" t="str">
        <f>Detalle_OC[[#This Row],[Centro]]&amp;Detalle_OC[[#This Row],[Nom Almacen]]&amp;Detalle_OC[[#This Row],[Material]]&amp;Detalle_OC[[#This Row],[Pedido]]&amp;Detalle_OC[[#This Row],[Posicion]]</f>
        <v>Agricola del Chira PlantaMontelima8445205500019188520</v>
      </c>
      <c r="B3837" t="s">
        <v>28</v>
      </c>
      <c r="C3837" t="s">
        <v>82</v>
      </c>
      <c r="D3837" s="11">
        <v>44749</v>
      </c>
      <c r="E3837" t="s">
        <v>16</v>
      </c>
      <c r="F3837" t="s">
        <v>12</v>
      </c>
      <c r="G3837">
        <v>844520</v>
      </c>
      <c r="H3837">
        <v>5500019188</v>
      </c>
      <c r="I3837">
        <v>520</v>
      </c>
      <c r="J3837" s="29">
        <v>1</v>
      </c>
      <c r="K3837" s="29" t="s">
        <v>549</v>
      </c>
      <c r="L3837" t="str">
        <f>IFERROR(VLOOKUP(Detalle_OC[[#This Row],[Centro]]&amp;Detalle_OC[[#This Row],[Nro Almacen]],Almacen!A:D,4,FALSE),"")</f>
        <v>Montelima</v>
      </c>
    </row>
    <row r="3838" spans="1:12" x14ac:dyDescent="0.3">
      <c r="A3838" s="29" t="str">
        <f>Detalle_OC[[#This Row],[Centro]]&amp;Detalle_OC[[#This Row],[Nom Almacen]]&amp;Detalle_OC[[#This Row],[Material]]&amp;Detalle_OC[[#This Row],[Pedido]]&amp;Detalle_OC[[#This Row],[Posicion]]</f>
        <v>Agricola del Chira PlantaMontelima738248550001918870</v>
      </c>
      <c r="B3838" t="s">
        <v>28</v>
      </c>
      <c r="C3838" t="s">
        <v>82</v>
      </c>
      <c r="D3838" s="11">
        <v>44747</v>
      </c>
      <c r="E3838" t="s">
        <v>16</v>
      </c>
      <c r="F3838" t="s">
        <v>12</v>
      </c>
      <c r="G3838">
        <v>738248</v>
      </c>
      <c r="H3838">
        <v>5500019188</v>
      </c>
      <c r="I3838">
        <v>70</v>
      </c>
      <c r="J3838" s="29">
        <v>1</v>
      </c>
      <c r="K3838" s="29" t="s">
        <v>550</v>
      </c>
      <c r="L3838" t="str">
        <f>IFERROR(VLOOKUP(Detalle_OC[[#This Row],[Centro]]&amp;Detalle_OC[[#This Row],[Nro Almacen]],Almacen!A:D,4,FALSE),"")</f>
        <v>Montelima</v>
      </c>
    </row>
    <row r="3839" spans="1:12" x14ac:dyDescent="0.3">
      <c r="A3839" s="29" t="str">
        <f>Detalle_OC[[#This Row],[Centro]]&amp;Detalle_OC[[#This Row],[Nom Almacen]]&amp;Detalle_OC[[#This Row],[Material]]&amp;Detalle_OC[[#This Row],[Pedido]]&amp;Detalle_OC[[#This Row],[Posicion]]</f>
        <v>Agricola del Chira PlantaMontelima813224550002233870</v>
      </c>
      <c r="B3839" t="s">
        <v>28</v>
      </c>
      <c r="C3839" t="s">
        <v>84</v>
      </c>
      <c r="D3839" s="11">
        <v>44748</v>
      </c>
      <c r="E3839" t="s">
        <v>16</v>
      </c>
      <c r="F3839" t="s">
        <v>12</v>
      </c>
      <c r="G3839">
        <v>813224</v>
      </c>
      <c r="H3839">
        <v>5500022338</v>
      </c>
      <c r="I3839">
        <v>70</v>
      </c>
      <c r="J3839" s="29">
        <v>1</v>
      </c>
      <c r="K3839" s="29" t="s">
        <v>550</v>
      </c>
      <c r="L3839" t="str">
        <f>IFERROR(VLOOKUP(Detalle_OC[[#This Row],[Centro]]&amp;Detalle_OC[[#This Row],[Nro Almacen]],Almacen!A:D,4,FALSE),"")</f>
        <v>Montelima</v>
      </c>
    </row>
    <row r="3840" spans="1:12" x14ac:dyDescent="0.3">
      <c r="A3840" s="29" t="str">
        <f>Detalle_OC[[#This Row],[Centro]]&amp;Detalle_OC[[#This Row],[Nom Almacen]]&amp;Detalle_OC[[#This Row],[Material]]&amp;Detalle_OC[[#This Row],[Pedido]]&amp;Detalle_OC[[#This Row],[Posicion]]</f>
        <v>Agricola del Chira PlantaMontelima844601550001918860</v>
      </c>
      <c r="B3840" t="s">
        <v>28</v>
      </c>
      <c r="C3840" t="s">
        <v>82</v>
      </c>
      <c r="D3840" s="11">
        <v>44746</v>
      </c>
      <c r="E3840" t="s">
        <v>16</v>
      </c>
      <c r="F3840" t="s">
        <v>12</v>
      </c>
      <c r="G3840">
        <v>844601</v>
      </c>
      <c r="H3840">
        <v>5500019188</v>
      </c>
      <c r="I3840">
        <v>60</v>
      </c>
      <c r="J3840" s="29">
        <v>1</v>
      </c>
      <c r="K3840" s="29" t="s">
        <v>551</v>
      </c>
      <c r="L3840" t="str">
        <f>IFERROR(VLOOKUP(Detalle_OC[[#This Row],[Centro]]&amp;Detalle_OC[[#This Row],[Nro Almacen]],Almacen!A:D,4,FALSE),"")</f>
        <v>Montelima</v>
      </c>
    </row>
    <row r="3841" spans="1:12" x14ac:dyDescent="0.3">
      <c r="A3841" s="29" t="str">
        <f>Detalle_OC[[#This Row],[Centro]]&amp;Detalle_OC[[#This Row],[Nom Almacen]]&amp;Detalle_OC[[#This Row],[Material]]&amp;Detalle_OC[[#This Row],[Pedido]]&amp;Detalle_OC[[#This Row],[Posicion]]</f>
        <v>Agricola del Chira PlantaMontelima8445115500019188180</v>
      </c>
      <c r="B3841" t="s">
        <v>28</v>
      </c>
      <c r="C3841" t="s">
        <v>82</v>
      </c>
      <c r="D3841" s="11">
        <v>44746</v>
      </c>
      <c r="E3841" t="s">
        <v>16</v>
      </c>
      <c r="F3841" t="s">
        <v>12</v>
      </c>
      <c r="G3841">
        <v>844511</v>
      </c>
      <c r="H3841">
        <v>5500019188</v>
      </c>
      <c r="I3841">
        <v>180</v>
      </c>
      <c r="J3841" s="29">
        <v>1</v>
      </c>
      <c r="K3841" s="29" t="s">
        <v>551</v>
      </c>
      <c r="L3841" t="str">
        <f>IFERROR(VLOOKUP(Detalle_OC[[#This Row],[Centro]]&amp;Detalle_OC[[#This Row],[Nro Almacen]],Almacen!A:D,4,FALSE),"")</f>
        <v>Montelima</v>
      </c>
    </row>
    <row r="3842" spans="1:12" x14ac:dyDescent="0.3">
      <c r="A3842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3842" t="s">
        <v>28</v>
      </c>
      <c r="C3842" t="s">
        <v>82</v>
      </c>
      <c r="D3842" s="11">
        <v>44746</v>
      </c>
      <c r="E3842" t="s">
        <v>16</v>
      </c>
      <c r="F3842" t="s">
        <v>12</v>
      </c>
      <c r="G3842">
        <v>844516</v>
      </c>
      <c r="H3842">
        <v>5500019188</v>
      </c>
      <c r="I3842">
        <v>190</v>
      </c>
      <c r="J3842" s="29">
        <v>1</v>
      </c>
      <c r="K3842" s="29" t="s">
        <v>551</v>
      </c>
      <c r="L3842" t="str">
        <f>IFERROR(VLOOKUP(Detalle_OC[[#This Row],[Centro]]&amp;Detalle_OC[[#This Row],[Nro Almacen]],Almacen!A:D,4,FALSE),"")</f>
        <v>Montelima</v>
      </c>
    </row>
    <row r="3843" spans="1:12" x14ac:dyDescent="0.3">
      <c r="A3843" s="29" t="str">
        <f>Detalle_OC[[#This Row],[Centro]]&amp;Detalle_OC[[#This Row],[Nom Almacen]]&amp;Detalle_OC[[#This Row],[Material]]&amp;Detalle_OC[[#This Row],[Pedido]]&amp;Detalle_OC[[#This Row],[Posicion]]</f>
        <v>Agricola del Chira PlantaMontelima8506365500019188510</v>
      </c>
      <c r="B3843" t="s">
        <v>28</v>
      </c>
      <c r="C3843" t="s">
        <v>82</v>
      </c>
      <c r="D3843" s="11">
        <v>44746</v>
      </c>
      <c r="E3843" t="s">
        <v>16</v>
      </c>
      <c r="F3843" t="s">
        <v>12</v>
      </c>
      <c r="G3843">
        <v>850636</v>
      </c>
      <c r="H3843">
        <v>5500019188</v>
      </c>
      <c r="I3843">
        <v>510</v>
      </c>
      <c r="J3843" s="29">
        <v>1</v>
      </c>
      <c r="K3843" s="29" t="s">
        <v>551</v>
      </c>
      <c r="L3843" t="str">
        <f>IFERROR(VLOOKUP(Detalle_OC[[#This Row],[Centro]]&amp;Detalle_OC[[#This Row],[Nro Almacen]],Almacen!A:D,4,FALSE),"")</f>
        <v>Montelima</v>
      </c>
    </row>
    <row r="3844" spans="1:12" x14ac:dyDescent="0.3">
      <c r="A3844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3844" t="s">
        <v>28</v>
      </c>
      <c r="C3844" t="s">
        <v>84</v>
      </c>
      <c r="D3844" s="11">
        <v>44736</v>
      </c>
      <c r="E3844" t="s">
        <v>16</v>
      </c>
      <c r="F3844" t="s">
        <v>85</v>
      </c>
      <c r="G3844">
        <v>806591</v>
      </c>
      <c r="H3844">
        <v>5500022336</v>
      </c>
      <c r="I3844">
        <v>20</v>
      </c>
      <c r="J3844" s="29">
        <v>1</v>
      </c>
      <c r="K3844" s="29" t="s">
        <v>552</v>
      </c>
      <c r="L3844" t="str">
        <f>IFERROR(VLOOKUP(Detalle_OC[[#This Row],[Centro]]&amp;Detalle_OC[[#This Row],[Nro Almacen]],Almacen!A:D,4,FALSE),"")</f>
        <v>Montelima</v>
      </c>
    </row>
    <row r="3845" spans="1:12" x14ac:dyDescent="0.3">
      <c r="A3845" s="29" t="str">
        <f>Detalle_OC[[#This Row],[Centro]]&amp;Detalle_OC[[#This Row],[Nom Almacen]]&amp;Detalle_OC[[#This Row],[Material]]&amp;Detalle_OC[[#This Row],[Pedido]]&amp;Detalle_OC[[#This Row],[Posicion]]</f>
        <v>Agricola del Chira PlantaMontelima761905550001918810</v>
      </c>
      <c r="B3845" t="s">
        <v>28</v>
      </c>
      <c r="C3845" t="s">
        <v>82</v>
      </c>
      <c r="D3845" s="11">
        <v>44734</v>
      </c>
      <c r="E3845" t="s">
        <v>16</v>
      </c>
      <c r="F3845" t="s">
        <v>12</v>
      </c>
      <c r="G3845">
        <v>761905</v>
      </c>
      <c r="H3845">
        <v>5500019188</v>
      </c>
      <c r="I3845">
        <v>10</v>
      </c>
      <c r="J3845" s="29">
        <v>1</v>
      </c>
      <c r="K3845" s="29" t="s">
        <v>553</v>
      </c>
      <c r="L3845" t="str">
        <f>IFERROR(VLOOKUP(Detalle_OC[[#This Row],[Centro]]&amp;Detalle_OC[[#This Row],[Nro Almacen]],Almacen!A:D,4,FALSE),"")</f>
        <v>Montelima</v>
      </c>
    </row>
    <row r="3846" spans="1:12" x14ac:dyDescent="0.3">
      <c r="A3846" s="29" t="str">
        <f>Detalle_OC[[#This Row],[Centro]]&amp;Detalle_OC[[#This Row],[Nom Almacen]]&amp;Detalle_OC[[#This Row],[Material]]&amp;Detalle_OC[[#This Row],[Pedido]]&amp;Detalle_OC[[#This Row],[Posicion]]</f>
        <v>Agricola del Chira PlantaMontelima7382475500019188100</v>
      </c>
      <c r="B3846" t="s">
        <v>28</v>
      </c>
      <c r="C3846" t="s">
        <v>82</v>
      </c>
      <c r="D3846" s="11">
        <v>44734</v>
      </c>
      <c r="E3846" t="s">
        <v>16</v>
      </c>
      <c r="F3846" t="s">
        <v>12</v>
      </c>
      <c r="G3846">
        <v>738247</v>
      </c>
      <c r="H3846">
        <v>5500019188</v>
      </c>
      <c r="I3846">
        <v>100</v>
      </c>
      <c r="J3846" s="29">
        <v>1</v>
      </c>
      <c r="K3846" s="29" t="s">
        <v>553</v>
      </c>
      <c r="L3846" t="str">
        <f>IFERROR(VLOOKUP(Detalle_OC[[#This Row],[Centro]]&amp;Detalle_OC[[#This Row],[Nro Almacen]],Almacen!A:D,4,FALSE),"")</f>
        <v>Montelima</v>
      </c>
    </row>
    <row r="3847" spans="1:12" x14ac:dyDescent="0.3">
      <c r="A3847" s="29" t="str">
        <f>Detalle_OC[[#This Row],[Centro]]&amp;Detalle_OC[[#This Row],[Nom Almacen]]&amp;Detalle_OC[[#This Row],[Material]]&amp;Detalle_OC[[#This Row],[Pedido]]&amp;Detalle_OC[[#This Row],[Posicion]]</f>
        <v>Agricola del Chira PlantaMontelima8445115500019188180</v>
      </c>
      <c r="B3847" t="s">
        <v>28</v>
      </c>
      <c r="C3847" t="s">
        <v>82</v>
      </c>
      <c r="D3847" s="11">
        <v>44734</v>
      </c>
      <c r="E3847" t="s">
        <v>16</v>
      </c>
      <c r="F3847" t="s">
        <v>12</v>
      </c>
      <c r="G3847">
        <v>844511</v>
      </c>
      <c r="H3847">
        <v>5500019188</v>
      </c>
      <c r="I3847">
        <v>180</v>
      </c>
      <c r="J3847" s="29">
        <v>1</v>
      </c>
      <c r="K3847" s="29" t="s">
        <v>553</v>
      </c>
      <c r="L3847" t="str">
        <f>IFERROR(VLOOKUP(Detalle_OC[[#This Row],[Centro]]&amp;Detalle_OC[[#This Row],[Nro Almacen]],Almacen!A:D,4,FALSE),"")</f>
        <v>Montelima</v>
      </c>
    </row>
    <row r="3848" spans="1:12" x14ac:dyDescent="0.3">
      <c r="A3848" s="29" t="str">
        <f>Detalle_OC[[#This Row],[Centro]]&amp;Detalle_OC[[#This Row],[Nom Almacen]]&amp;Detalle_OC[[#This Row],[Material]]&amp;Detalle_OC[[#This Row],[Pedido]]&amp;Detalle_OC[[#This Row],[Posicion]]</f>
        <v>Agricola del Chira PlantaMontelima8459085500019188350</v>
      </c>
      <c r="B3848" t="s">
        <v>28</v>
      </c>
      <c r="C3848" t="s">
        <v>82</v>
      </c>
      <c r="D3848" s="11">
        <v>44734</v>
      </c>
      <c r="E3848" t="s">
        <v>16</v>
      </c>
      <c r="F3848" t="s">
        <v>12</v>
      </c>
      <c r="G3848">
        <v>845908</v>
      </c>
      <c r="H3848">
        <v>5500019188</v>
      </c>
      <c r="I3848">
        <v>350</v>
      </c>
      <c r="J3848" s="29">
        <v>1</v>
      </c>
      <c r="K3848" s="29" t="s">
        <v>553</v>
      </c>
      <c r="L3848" t="str">
        <f>IFERROR(VLOOKUP(Detalle_OC[[#This Row],[Centro]]&amp;Detalle_OC[[#This Row],[Nro Almacen]],Almacen!A:D,4,FALSE),"")</f>
        <v>Montelima</v>
      </c>
    </row>
    <row r="3849" spans="1:12" x14ac:dyDescent="0.3">
      <c r="A3849" s="29" t="str">
        <f>Detalle_OC[[#This Row],[Centro]]&amp;Detalle_OC[[#This Row],[Nom Almacen]]&amp;Detalle_OC[[#This Row],[Material]]&amp;Detalle_OC[[#This Row],[Pedido]]&amp;Detalle_OC[[#This Row],[Posicion]]</f>
        <v>Agricola del Chira PlantaMontelima8445285500019188360</v>
      </c>
      <c r="B3849" t="s">
        <v>28</v>
      </c>
      <c r="C3849" t="s">
        <v>82</v>
      </c>
      <c r="D3849" s="11">
        <v>44734</v>
      </c>
      <c r="E3849" t="s">
        <v>16</v>
      </c>
      <c r="F3849" t="s">
        <v>12</v>
      </c>
      <c r="G3849">
        <v>844528</v>
      </c>
      <c r="H3849">
        <v>5500019188</v>
      </c>
      <c r="I3849">
        <v>360</v>
      </c>
      <c r="J3849" s="29">
        <v>1</v>
      </c>
      <c r="K3849" s="29" t="s">
        <v>553</v>
      </c>
      <c r="L3849" t="str">
        <f>IFERROR(VLOOKUP(Detalle_OC[[#This Row],[Centro]]&amp;Detalle_OC[[#This Row],[Nro Almacen]],Almacen!A:D,4,FALSE),"")</f>
        <v>Montelima</v>
      </c>
    </row>
    <row r="3850" spans="1:12" x14ac:dyDescent="0.3">
      <c r="A3850" s="29" t="str">
        <f>Detalle_OC[[#This Row],[Centro]]&amp;Detalle_OC[[#This Row],[Nom Almacen]]&amp;Detalle_OC[[#This Row],[Material]]&amp;Detalle_OC[[#This Row],[Pedido]]&amp;Detalle_OC[[#This Row],[Posicion]]</f>
        <v>Agricola del Chira PlantaMontelima8445305500019188490</v>
      </c>
      <c r="B3850" t="s">
        <v>28</v>
      </c>
      <c r="C3850" t="s">
        <v>82</v>
      </c>
      <c r="D3850" s="11">
        <v>44734</v>
      </c>
      <c r="E3850" t="s">
        <v>16</v>
      </c>
      <c r="F3850" t="s">
        <v>12</v>
      </c>
      <c r="G3850">
        <v>844530</v>
      </c>
      <c r="H3850">
        <v>5500019188</v>
      </c>
      <c r="I3850">
        <v>490</v>
      </c>
      <c r="J3850" s="29">
        <v>1</v>
      </c>
      <c r="K3850" s="29" t="s">
        <v>553</v>
      </c>
      <c r="L3850" t="str">
        <f>IFERROR(VLOOKUP(Detalle_OC[[#This Row],[Centro]]&amp;Detalle_OC[[#This Row],[Nro Almacen]],Almacen!A:D,4,FALSE),"")</f>
        <v>Montelima</v>
      </c>
    </row>
    <row r="3851" spans="1:12" x14ac:dyDescent="0.3">
      <c r="A3851" s="29" t="str">
        <f>Detalle_OC[[#This Row],[Centro]]&amp;Detalle_OC[[#This Row],[Nom Almacen]]&amp;Detalle_OC[[#This Row],[Material]]&amp;Detalle_OC[[#This Row],[Pedido]]&amp;Detalle_OC[[#This Row],[Posicion]]</f>
        <v>Agricola del Chira PlantaMontelima8443995500019188500</v>
      </c>
      <c r="B3851" t="s">
        <v>28</v>
      </c>
      <c r="C3851" t="s">
        <v>82</v>
      </c>
      <c r="D3851" s="11">
        <v>44734</v>
      </c>
      <c r="E3851" t="s">
        <v>16</v>
      </c>
      <c r="F3851" t="s">
        <v>12</v>
      </c>
      <c r="G3851">
        <v>844399</v>
      </c>
      <c r="H3851">
        <v>5500019188</v>
      </c>
      <c r="I3851">
        <v>500</v>
      </c>
      <c r="J3851" s="29">
        <v>1</v>
      </c>
      <c r="K3851" s="29" t="s">
        <v>553</v>
      </c>
      <c r="L3851" t="str">
        <f>IFERROR(VLOOKUP(Detalle_OC[[#This Row],[Centro]]&amp;Detalle_OC[[#This Row],[Nro Almacen]],Almacen!A:D,4,FALSE),"")</f>
        <v>Montelima</v>
      </c>
    </row>
    <row r="3852" spans="1:12" x14ac:dyDescent="0.3">
      <c r="A3852" s="29" t="str">
        <f>Detalle_OC[[#This Row],[Centro]]&amp;Detalle_OC[[#This Row],[Nom Almacen]]&amp;Detalle_OC[[#This Row],[Material]]&amp;Detalle_OC[[#This Row],[Pedido]]&amp;Detalle_OC[[#This Row],[Posicion]]</f>
        <v>Agricola del Chira PlantaMontelima8506365500019188510</v>
      </c>
      <c r="B3852" t="s">
        <v>28</v>
      </c>
      <c r="C3852" t="s">
        <v>82</v>
      </c>
      <c r="D3852" s="11">
        <v>44734</v>
      </c>
      <c r="E3852" t="s">
        <v>16</v>
      </c>
      <c r="F3852" t="s">
        <v>12</v>
      </c>
      <c r="G3852">
        <v>850636</v>
      </c>
      <c r="H3852">
        <v>5500019188</v>
      </c>
      <c r="I3852">
        <v>510</v>
      </c>
      <c r="J3852" s="29">
        <v>1</v>
      </c>
      <c r="K3852" s="29" t="s">
        <v>553</v>
      </c>
      <c r="L3852" t="str">
        <f>IFERROR(VLOOKUP(Detalle_OC[[#This Row],[Centro]]&amp;Detalle_OC[[#This Row],[Nro Almacen]],Almacen!A:D,4,FALSE),"")</f>
        <v>Montelima</v>
      </c>
    </row>
    <row r="3853" spans="1:12" x14ac:dyDescent="0.3">
      <c r="A3853" s="29" t="str">
        <f>Detalle_OC[[#This Row],[Centro]]&amp;Detalle_OC[[#This Row],[Nom Almacen]]&amp;Detalle_OC[[#This Row],[Material]]&amp;Detalle_OC[[#This Row],[Pedido]]&amp;Detalle_OC[[#This Row],[Posicion]]</f>
        <v>Agricola del Chira PlantaMontelima8445205500019188520</v>
      </c>
      <c r="B3853" t="s">
        <v>28</v>
      </c>
      <c r="C3853" t="s">
        <v>82</v>
      </c>
      <c r="D3853" s="11">
        <v>44734</v>
      </c>
      <c r="E3853" t="s">
        <v>16</v>
      </c>
      <c r="F3853" t="s">
        <v>12</v>
      </c>
      <c r="G3853">
        <v>844520</v>
      </c>
      <c r="H3853">
        <v>5500019188</v>
      </c>
      <c r="I3853">
        <v>520</v>
      </c>
      <c r="J3853" s="29">
        <v>1</v>
      </c>
      <c r="K3853" s="29" t="s">
        <v>553</v>
      </c>
      <c r="L3853" t="str">
        <f>IFERROR(VLOOKUP(Detalle_OC[[#This Row],[Centro]]&amp;Detalle_OC[[#This Row],[Nro Almacen]],Almacen!A:D,4,FALSE),"")</f>
        <v>Montelima</v>
      </c>
    </row>
    <row r="3854" spans="1:12" x14ac:dyDescent="0.3">
      <c r="A3854" s="29" t="str">
        <f>Detalle_OC[[#This Row],[Centro]]&amp;Detalle_OC[[#This Row],[Nom Almacen]]&amp;Detalle_OC[[#This Row],[Material]]&amp;Detalle_OC[[#This Row],[Pedido]]&amp;Detalle_OC[[#This Row],[Posicion]]</f>
        <v>Agricola del Chira PlantaMontelima7002961555000191881570</v>
      </c>
      <c r="B3854" t="s">
        <v>28</v>
      </c>
      <c r="C3854" t="s">
        <v>82</v>
      </c>
      <c r="D3854" s="11">
        <v>44734</v>
      </c>
      <c r="E3854" t="s">
        <v>16</v>
      </c>
      <c r="F3854" t="s">
        <v>12</v>
      </c>
      <c r="G3854">
        <v>70029615</v>
      </c>
      <c r="H3854">
        <v>5500019188</v>
      </c>
      <c r="I3854">
        <v>1570</v>
      </c>
      <c r="J3854" s="29">
        <v>1</v>
      </c>
      <c r="K3854" s="29" t="s">
        <v>553</v>
      </c>
      <c r="L3854" t="str">
        <f>IFERROR(VLOOKUP(Detalle_OC[[#This Row],[Centro]]&amp;Detalle_OC[[#This Row],[Nro Almacen]],Almacen!A:D,4,FALSE),"")</f>
        <v>Montelima</v>
      </c>
    </row>
    <row r="3855" spans="1:12" x14ac:dyDescent="0.3">
      <c r="A3855" s="29" t="str">
        <f>Detalle_OC[[#This Row],[Centro]]&amp;Detalle_OC[[#This Row],[Nom Almacen]]&amp;Detalle_OC[[#This Row],[Material]]&amp;Detalle_OC[[#This Row],[Pedido]]&amp;Detalle_OC[[#This Row],[Posicion]]</f>
        <v>Agricola del Chira PlantaMontelima8445335500019188170</v>
      </c>
      <c r="B3855" t="s">
        <v>28</v>
      </c>
      <c r="C3855" t="s">
        <v>82</v>
      </c>
      <c r="D3855" s="11">
        <v>44718</v>
      </c>
      <c r="E3855" t="s">
        <v>16</v>
      </c>
      <c r="F3855" t="s">
        <v>12</v>
      </c>
      <c r="G3855">
        <v>844533</v>
      </c>
      <c r="H3855">
        <v>5500019188</v>
      </c>
      <c r="I3855">
        <v>170</v>
      </c>
      <c r="J3855" s="29">
        <v>1</v>
      </c>
      <c r="K3855" s="29" t="s">
        <v>554</v>
      </c>
      <c r="L3855" t="str">
        <f>IFERROR(VLOOKUP(Detalle_OC[[#This Row],[Centro]]&amp;Detalle_OC[[#This Row],[Nro Almacen]],Almacen!A:D,4,FALSE),"")</f>
        <v>Montelima</v>
      </c>
    </row>
    <row r="3856" spans="1:12" x14ac:dyDescent="0.3">
      <c r="A3856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3856" t="s">
        <v>28</v>
      </c>
      <c r="C3856" t="s">
        <v>82</v>
      </c>
      <c r="D3856" s="11">
        <v>44718</v>
      </c>
      <c r="E3856" t="s">
        <v>16</v>
      </c>
      <c r="F3856" t="s">
        <v>12</v>
      </c>
      <c r="G3856">
        <v>844523</v>
      </c>
      <c r="H3856">
        <v>5500019188</v>
      </c>
      <c r="I3856">
        <v>140</v>
      </c>
      <c r="J3856" s="29">
        <v>1</v>
      </c>
      <c r="K3856" s="29" t="s">
        <v>555</v>
      </c>
      <c r="L3856" t="str">
        <f>IFERROR(VLOOKUP(Detalle_OC[[#This Row],[Centro]]&amp;Detalle_OC[[#This Row],[Nro Almacen]],Almacen!A:D,4,FALSE),"")</f>
        <v>Montelima</v>
      </c>
    </row>
    <row r="3857" spans="1:12" x14ac:dyDescent="0.3">
      <c r="A3857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3857" t="s">
        <v>28</v>
      </c>
      <c r="C3857" t="s">
        <v>82</v>
      </c>
      <c r="D3857" s="11">
        <v>44718</v>
      </c>
      <c r="E3857" t="s">
        <v>16</v>
      </c>
      <c r="F3857" t="s">
        <v>12</v>
      </c>
      <c r="G3857">
        <v>844508</v>
      </c>
      <c r="H3857">
        <v>5500019188</v>
      </c>
      <c r="I3857">
        <v>220</v>
      </c>
      <c r="J3857" s="29">
        <v>1</v>
      </c>
      <c r="K3857" s="29" t="s">
        <v>555</v>
      </c>
      <c r="L3857" t="str">
        <f>IFERROR(VLOOKUP(Detalle_OC[[#This Row],[Centro]]&amp;Detalle_OC[[#This Row],[Nro Almacen]],Almacen!A:D,4,FALSE),"")</f>
        <v>Montelima</v>
      </c>
    </row>
    <row r="3858" spans="1:12" x14ac:dyDescent="0.3">
      <c r="A3858" s="29" t="str">
        <f>Detalle_OC[[#This Row],[Centro]]&amp;Detalle_OC[[#This Row],[Nom Almacen]]&amp;Detalle_OC[[#This Row],[Material]]&amp;Detalle_OC[[#This Row],[Pedido]]&amp;Detalle_OC[[#This Row],[Posicion]]</f>
        <v>Agricola del Chira PlantaMontelima8445205500019188520</v>
      </c>
      <c r="B3858" t="s">
        <v>28</v>
      </c>
      <c r="C3858" t="s">
        <v>82</v>
      </c>
      <c r="D3858" s="11">
        <v>44718</v>
      </c>
      <c r="E3858" t="s">
        <v>16</v>
      </c>
      <c r="F3858" t="s">
        <v>12</v>
      </c>
      <c r="G3858">
        <v>844520</v>
      </c>
      <c r="H3858">
        <v>5500019188</v>
      </c>
      <c r="I3858">
        <v>520</v>
      </c>
      <c r="J3858" s="29">
        <v>1</v>
      </c>
      <c r="K3858" s="29" t="s">
        <v>555</v>
      </c>
      <c r="L3858" t="str">
        <f>IFERROR(VLOOKUP(Detalle_OC[[#This Row],[Centro]]&amp;Detalle_OC[[#This Row],[Nro Almacen]],Almacen!A:D,4,FALSE),"")</f>
        <v>Montelima</v>
      </c>
    </row>
    <row r="3859" spans="1:12" x14ac:dyDescent="0.3">
      <c r="A3859" s="29" t="str">
        <f>Detalle_OC[[#This Row],[Centro]]&amp;Detalle_OC[[#This Row],[Nom Almacen]]&amp;Detalle_OC[[#This Row],[Material]]&amp;Detalle_OC[[#This Row],[Pedido]]&amp;Detalle_OC[[#This Row],[Posicion]]</f>
        <v>Agricola del Chira PlantaMontelima8457155500019188650</v>
      </c>
      <c r="B3859" t="s">
        <v>28</v>
      </c>
      <c r="C3859" t="s">
        <v>82</v>
      </c>
      <c r="D3859" s="11">
        <v>44718</v>
      </c>
      <c r="E3859" t="s">
        <v>16</v>
      </c>
      <c r="F3859" t="s">
        <v>12</v>
      </c>
      <c r="G3859">
        <v>845715</v>
      </c>
      <c r="H3859">
        <v>5500019188</v>
      </c>
      <c r="I3859">
        <v>650</v>
      </c>
      <c r="J3859" s="29">
        <v>1</v>
      </c>
      <c r="K3859" s="29" t="s">
        <v>555</v>
      </c>
      <c r="L3859" t="str">
        <f>IFERROR(VLOOKUP(Detalle_OC[[#This Row],[Centro]]&amp;Detalle_OC[[#This Row],[Nro Almacen]],Almacen!A:D,4,FALSE),"")</f>
        <v>Montelima</v>
      </c>
    </row>
    <row r="3860" spans="1:12" x14ac:dyDescent="0.3">
      <c r="A3860" s="29" t="str">
        <f>Detalle_OC[[#This Row],[Centro]]&amp;Detalle_OC[[#This Row],[Nom Almacen]]&amp;Detalle_OC[[#This Row],[Material]]&amp;Detalle_OC[[#This Row],[Pedido]]&amp;Detalle_OC[[#This Row],[Posicion]]</f>
        <v>Agricola del Chira PlantaMontelima82720355000191881140</v>
      </c>
      <c r="B3860" t="s">
        <v>28</v>
      </c>
      <c r="C3860" t="s">
        <v>82</v>
      </c>
      <c r="D3860" s="11">
        <v>44718</v>
      </c>
      <c r="E3860" t="s">
        <v>16</v>
      </c>
      <c r="F3860" t="s">
        <v>12</v>
      </c>
      <c r="G3860">
        <v>827203</v>
      </c>
      <c r="H3860">
        <v>5500019188</v>
      </c>
      <c r="I3860">
        <v>1140</v>
      </c>
      <c r="J3860" s="29">
        <v>1</v>
      </c>
      <c r="K3860" s="29" t="s">
        <v>555</v>
      </c>
      <c r="L3860" t="str">
        <f>IFERROR(VLOOKUP(Detalle_OC[[#This Row],[Centro]]&amp;Detalle_OC[[#This Row],[Nro Almacen]],Almacen!A:D,4,FALSE),"")</f>
        <v>Montelima</v>
      </c>
    </row>
    <row r="3861" spans="1:12" x14ac:dyDescent="0.3">
      <c r="A3861" s="29" t="str">
        <f>Detalle_OC[[#This Row],[Centro]]&amp;Detalle_OC[[#This Row],[Nom Almacen]]&amp;Detalle_OC[[#This Row],[Material]]&amp;Detalle_OC[[#This Row],[Pedido]]&amp;Detalle_OC[[#This Row],[Posicion]]</f>
        <v>Agricola del Chira PlantaMontelima83541955000191881470</v>
      </c>
      <c r="B3861" t="s">
        <v>28</v>
      </c>
      <c r="C3861" t="s">
        <v>82</v>
      </c>
      <c r="D3861" s="11">
        <v>44718</v>
      </c>
      <c r="E3861" t="s">
        <v>16</v>
      </c>
      <c r="F3861" t="s">
        <v>12</v>
      </c>
      <c r="G3861">
        <v>835419</v>
      </c>
      <c r="H3861">
        <v>5500019188</v>
      </c>
      <c r="I3861">
        <v>1470</v>
      </c>
      <c r="J3861" s="29">
        <v>1</v>
      </c>
      <c r="K3861" s="29" t="s">
        <v>555</v>
      </c>
      <c r="L3861" t="str">
        <f>IFERROR(VLOOKUP(Detalle_OC[[#This Row],[Centro]]&amp;Detalle_OC[[#This Row],[Nro Almacen]],Almacen!A:D,4,FALSE),"")</f>
        <v>Montelima</v>
      </c>
    </row>
    <row r="3862" spans="1:12" x14ac:dyDescent="0.3">
      <c r="A3862" s="29" t="str">
        <f>Detalle_OC[[#This Row],[Centro]]&amp;Detalle_OC[[#This Row],[Nom Almacen]]&amp;Detalle_OC[[#This Row],[Material]]&amp;Detalle_OC[[#This Row],[Pedido]]&amp;Detalle_OC[[#This Row],[Posicion]]</f>
        <v>Agricola del Chira PlantaMontelima7002961655000191881580</v>
      </c>
      <c r="B3862" t="s">
        <v>28</v>
      </c>
      <c r="C3862" t="s">
        <v>82</v>
      </c>
      <c r="D3862" s="11">
        <v>44718</v>
      </c>
      <c r="E3862" t="s">
        <v>16</v>
      </c>
      <c r="F3862" t="s">
        <v>12</v>
      </c>
      <c r="G3862">
        <v>70029616</v>
      </c>
      <c r="H3862">
        <v>5500019188</v>
      </c>
      <c r="I3862">
        <v>1580</v>
      </c>
      <c r="J3862" s="29">
        <v>1</v>
      </c>
      <c r="K3862" s="29" t="s">
        <v>555</v>
      </c>
      <c r="L3862" t="str">
        <f>IFERROR(VLOOKUP(Detalle_OC[[#This Row],[Centro]]&amp;Detalle_OC[[#This Row],[Nro Almacen]],Almacen!A:D,4,FALSE),"")</f>
        <v>Montelima</v>
      </c>
    </row>
    <row r="3863" spans="1:12" x14ac:dyDescent="0.3">
      <c r="A3863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3863" t="s">
        <v>28</v>
      </c>
      <c r="C3863" t="s">
        <v>84</v>
      </c>
      <c r="D3863" s="11">
        <v>44713</v>
      </c>
      <c r="E3863" t="s">
        <v>16</v>
      </c>
      <c r="F3863" t="s">
        <v>85</v>
      </c>
      <c r="G3863">
        <v>801846</v>
      </c>
      <c r="H3863">
        <v>5500022336</v>
      </c>
      <c r="I3863">
        <v>10</v>
      </c>
      <c r="J3863" s="29">
        <v>1</v>
      </c>
      <c r="K3863" s="29" t="s">
        <v>556</v>
      </c>
      <c r="L3863" t="str">
        <f>IFERROR(VLOOKUP(Detalle_OC[[#This Row],[Centro]]&amp;Detalle_OC[[#This Row],[Nro Almacen]],Almacen!A:D,4,FALSE),"")</f>
        <v>Montelima</v>
      </c>
    </row>
    <row r="3864" spans="1:12" x14ac:dyDescent="0.3">
      <c r="A3864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3864" t="s">
        <v>28</v>
      </c>
      <c r="C3864" t="s">
        <v>82</v>
      </c>
      <c r="D3864" s="11">
        <v>44704</v>
      </c>
      <c r="E3864" t="s">
        <v>16</v>
      </c>
      <c r="F3864" t="s">
        <v>12</v>
      </c>
      <c r="G3864">
        <v>844515</v>
      </c>
      <c r="H3864">
        <v>5500019188</v>
      </c>
      <c r="I3864">
        <v>200</v>
      </c>
      <c r="J3864" s="29">
        <v>1</v>
      </c>
      <c r="K3864" s="29" t="s">
        <v>557</v>
      </c>
      <c r="L3864" t="str">
        <f>IFERROR(VLOOKUP(Detalle_OC[[#This Row],[Centro]]&amp;Detalle_OC[[#This Row],[Nro Almacen]],Almacen!A:D,4,FALSE),"")</f>
        <v>Montelima</v>
      </c>
    </row>
    <row r="3865" spans="1:12" x14ac:dyDescent="0.3">
      <c r="A3865" s="29" t="str">
        <f>Detalle_OC[[#This Row],[Centro]]&amp;Detalle_OC[[#This Row],[Nom Almacen]]&amp;Detalle_OC[[#This Row],[Material]]&amp;Detalle_OC[[#This Row],[Pedido]]&amp;Detalle_OC[[#This Row],[Posicion]]</f>
        <v>Agricola del Chira PlantaMontelima8443985500019188290</v>
      </c>
      <c r="B3865" t="s">
        <v>28</v>
      </c>
      <c r="C3865" t="s">
        <v>82</v>
      </c>
      <c r="D3865" s="11">
        <v>44704</v>
      </c>
      <c r="E3865" t="s">
        <v>16</v>
      </c>
      <c r="F3865" t="s">
        <v>12</v>
      </c>
      <c r="G3865">
        <v>844398</v>
      </c>
      <c r="H3865">
        <v>5500019188</v>
      </c>
      <c r="I3865">
        <v>290</v>
      </c>
      <c r="J3865" s="29">
        <v>1</v>
      </c>
      <c r="K3865" s="29" t="s">
        <v>557</v>
      </c>
      <c r="L3865" t="str">
        <f>IFERROR(VLOOKUP(Detalle_OC[[#This Row],[Centro]]&amp;Detalle_OC[[#This Row],[Nro Almacen]],Almacen!A:D,4,FALSE),"")</f>
        <v>Montelima</v>
      </c>
    </row>
    <row r="3866" spans="1:12" x14ac:dyDescent="0.3">
      <c r="A3866" s="29" t="str">
        <f>Detalle_OC[[#This Row],[Centro]]&amp;Detalle_OC[[#This Row],[Nom Almacen]]&amp;Detalle_OC[[#This Row],[Material]]&amp;Detalle_OC[[#This Row],[Pedido]]&amp;Detalle_OC[[#This Row],[Posicion]]</f>
        <v>Agricola del Chira PlantaMontelima83705855000191881430</v>
      </c>
      <c r="B3866" t="s">
        <v>28</v>
      </c>
      <c r="C3866" t="s">
        <v>82</v>
      </c>
      <c r="D3866" s="11">
        <v>44704</v>
      </c>
      <c r="E3866" t="s">
        <v>16</v>
      </c>
      <c r="F3866" t="s">
        <v>12</v>
      </c>
      <c r="G3866">
        <v>837058</v>
      </c>
      <c r="H3866">
        <v>5500019188</v>
      </c>
      <c r="I3866">
        <v>1430</v>
      </c>
      <c r="J3866" s="29">
        <v>1</v>
      </c>
      <c r="K3866" s="29" t="s">
        <v>557</v>
      </c>
      <c r="L3866" t="str">
        <f>IFERROR(VLOOKUP(Detalle_OC[[#This Row],[Centro]]&amp;Detalle_OC[[#This Row],[Nro Almacen]],Almacen!A:D,4,FALSE),"")</f>
        <v>Montelima</v>
      </c>
    </row>
    <row r="3867" spans="1:12" x14ac:dyDescent="0.3">
      <c r="A3867" s="29" t="str">
        <f>Detalle_OC[[#This Row],[Centro]]&amp;Detalle_OC[[#This Row],[Nom Almacen]]&amp;Detalle_OC[[#This Row],[Material]]&amp;Detalle_OC[[#This Row],[Pedido]]&amp;Detalle_OC[[#This Row],[Posicion]]</f>
        <v>Agricola del Chira PlantaMontelima7002961655000191881580</v>
      </c>
      <c r="B3867" t="s">
        <v>28</v>
      </c>
      <c r="C3867" t="s">
        <v>82</v>
      </c>
      <c r="D3867" s="11">
        <v>44704</v>
      </c>
      <c r="E3867" t="s">
        <v>16</v>
      </c>
      <c r="F3867" t="s">
        <v>12</v>
      </c>
      <c r="G3867">
        <v>70029616</v>
      </c>
      <c r="H3867">
        <v>5500019188</v>
      </c>
      <c r="I3867">
        <v>1580</v>
      </c>
      <c r="J3867" s="29">
        <v>1</v>
      </c>
      <c r="K3867" s="29" t="s">
        <v>557</v>
      </c>
      <c r="L3867" t="str">
        <f>IFERROR(VLOOKUP(Detalle_OC[[#This Row],[Centro]]&amp;Detalle_OC[[#This Row],[Nro Almacen]],Almacen!A:D,4,FALSE),"")</f>
        <v>Montelima</v>
      </c>
    </row>
    <row r="3868" spans="1:12" x14ac:dyDescent="0.3">
      <c r="A3868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3868" t="s">
        <v>28</v>
      </c>
      <c r="C3868" t="s">
        <v>84</v>
      </c>
      <c r="D3868" s="11">
        <v>44699</v>
      </c>
      <c r="E3868" t="s">
        <v>16</v>
      </c>
      <c r="F3868" t="s">
        <v>85</v>
      </c>
      <c r="G3868">
        <v>801846</v>
      </c>
      <c r="H3868">
        <v>5500022336</v>
      </c>
      <c r="I3868">
        <v>10</v>
      </c>
      <c r="J3868" s="29">
        <v>1</v>
      </c>
      <c r="K3868" s="29" t="s">
        <v>558</v>
      </c>
      <c r="L3868" t="str">
        <f>IFERROR(VLOOKUP(Detalle_OC[[#This Row],[Centro]]&amp;Detalle_OC[[#This Row],[Nro Almacen]],Almacen!A:D,4,FALSE),"")</f>
        <v>Montelima</v>
      </c>
    </row>
    <row r="3869" spans="1:12" x14ac:dyDescent="0.3">
      <c r="A3869" s="29" t="str">
        <f>Detalle_OC[[#This Row],[Centro]]&amp;Detalle_OC[[#This Row],[Nom Almacen]]&amp;Detalle_OC[[#This Row],[Material]]&amp;Detalle_OC[[#This Row],[Pedido]]&amp;Detalle_OC[[#This Row],[Posicion]]</f>
        <v>Agricola del Chira PlantaMontelima808069550002233830</v>
      </c>
      <c r="B3869" t="s">
        <v>28</v>
      </c>
      <c r="C3869" t="s">
        <v>84</v>
      </c>
      <c r="D3869" s="11">
        <v>44699</v>
      </c>
      <c r="E3869" t="s">
        <v>16</v>
      </c>
      <c r="F3869" t="s">
        <v>12</v>
      </c>
      <c r="G3869">
        <v>808069</v>
      </c>
      <c r="H3869">
        <v>5500022338</v>
      </c>
      <c r="I3869">
        <v>30</v>
      </c>
      <c r="J3869" s="29">
        <v>1</v>
      </c>
      <c r="K3869" s="29" t="s">
        <v>558</v>
      </c>
      <c r="L3869" t="str">
        <f>IFERROR(VLOOKUP(Detalle_OC[[#This Row],[Centro]]&amp;Detalle_OC[[#This Row],[Nro Almacen]],Almacen!A:D,4,FALSE),"")</f>
        <v>Montelima</v>
      </c>
    </row>
    <row r="3870" spans="1:12" x14ac:dyDescent="0.3">
      <c r="A3870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3870" t="s">
        <v>28</v>
      </c>
      <c r="C3870" t="s">
        <v>84</v>
      </c>
      <c r="D3870" s="11">
        <v>44699</v>
      </c>
      <c r="E3870" t="s">
        <v>16</v>
      </c>
      <c r="F3870" t="s">
        <v>12</v>
      </c>
      <c r="G3870">
        <v>801846</v>
      </c>
      <c r="H3870">
        <v>5500022338</v>
      </c>
      <c r="I3870">
        <v>40</v>
      </c>
      <c r="J3870" s="29">
        <v>1</v>
      </c>
      <c r="K3870" s="29" t="s">
        <v>558</v>
      </c>
      <c r="L3870" t="str">
        <f>IFERROR(VLOOKUP(Detalle_OC[[#This Row],[Centro]]&amp;Detalle_OC[[#This Row],[Nro Almacen]],Almacen!A:D,4,FALSE),"")</f>
        <v>Montelima</v>
      </c>
    </row>
    <row r="3871" spans="1:12" x14ac:dyDescent="0.3">
      <c r="A3871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3871" t="s">
        <v>28</v>
      </c>
      <c r="C3871" t="s">
        <v>82</v>
      </c>
      <c r="D3871" s="11">
        <v>44690</v>
      </c>
      <c r="E3871" t="s">
        <v>16</v>
      </c>
      <c r="F3871" t="s">
        <v>12</v>
      </c>
      <c r="G3871">
        <v>844516</v>
      </c>
      <c r="H3871">
        <v>5500019188</v>
      </c>
      <c r="I3871">
        <v>190</v>
      </c>
      <c r="J3871" s="29">
        <v>1</v>
      </c>
      <c r="K3871" s="29" t="s">
        <v>559</v>
      </c>
      <c r="L3871" t="str">
        <f>IFERROR(VLOOKUP(Detalle_OC[[#This Row],[Centro]]&amp;Detalle_OC[[#This Row],[Nro Almacen]],Almacen!A:D,4,FALSE),"")</f>
        <v>Montelima</v>
      </c>
    </row>
    <row r="3872" spans="1:12" x14ac:dyDescent="0.3">
      <c r="A3872" s="29" t="str">
        <f>Detalle_OC[[#This Row],[Centro]]&amp;Detalle_OC[[#This Row],[Nom Almacen]]&amp;Detalle_OC[[#This Row],[Material]]&amp;Detalle_OC[[#This Row],[Pedido]]&amp;Detalle_OC[[#This Row],[Posicion]]</f>
        <v>Agricola del Chira PlantaMontelima8445185500019188270</v>
      </c>
      <c r="B3872" t="s">
        <v>28</v>
      </c>
      <c r="C3872" t="s">
        <v>82</v>
      </c>
      <c r="D3872" s="11">
        <v>44690</v>
      </c>
      <c r="E3872" t="s">
        <v>16</v>
      </c>
      <c r="F3872" t="s">
        <v>12</v>
      </c>
      <c r="G3872">
        <v>844518</v>
      </c>
      <c r="H3872">
        <v>5500019188</v>
      </c>
      <c r="I3872">
        <v>270</v>
      </c>
      <c r="J3872" s="29">
        <v>1</v>
      </c>
      <c r="K3872" s="29" t="s">
        <v>559</v>
      </c>
      <c r="L3872" t="str">
        <f>IFERROR(VLOOKUP(Detalle_OC[[#This Row],[Centro]]&amp;Detalle_OC[[#This Row],[Nro Almacen]],Almacen!A:D,4,FALSE),"")</f>
        <v>Montelima</v>
      </c>
    </row>
    <row r="3873" spans="1:12" x14ac:dyDescent="0.3">
      <c r="A3873" s="29" t="str">
        <f>Detalle_OC[[#This Row],[Centro]]&amp;Detalle_OC[[#This Row],[Nom Almacen]]&amp;Detalle_OC[[#This Row],[Material]]&amp;Detalle_OC[[#This Row],[Pedido]]&amp;Detalle_OC[[#This Row],[Posicion]]</f>
        <v>Agricola del Chira PlantaMontelima8445375500019188420</v>
      </c>
      <c r="B3873" t="s">
        <v>28</v>
      </c>
      <c r="C3873" t="s">
        <v>82</v>
      </c>
      <c r="D3873" s="11">
        <v>44690</v>
      </c>
      <c r="E3873" t="s">
        <v>16</v>
      </c>
      <c r="F3873" t="s">
        <v>12</v>
      </c>
      <c r="G3873">
        <v>844537</v>
      </c>
      <c r="H3873">
        <v>5500019188</v>
      </c>
      <c r="I3873">
        <v>420</v>
      </c>
      <c r="J3873" s="29">
        <v>1</v>
      </c>
      <c r="K3873" s="29" t="s">
        <v>559</v>
      </c>
      <c r="L3873" t="str">
        <f>IFERROR(VLOOKUP(Detalle_OC[[#This Row],[Centro]]&amp;Detalle_OC[[#This Row],[Nro Almacen]],Almacen!A:D,4,FALSE),"")</f>
        <v>Montelima</v>
      </c>
    </row>
    <row r="3874" spans="1:12" x14ac:dyDescent="0.3">
      <c r="A3874" s="29" t="str">
        <f>Detalle_OC[[#This Row],[Centro]]&amp;Detalle_OC[[#This Row],[Nom Almacen]]&amp;Detalle_OC[[#This Row],[Material]]&amp;Detalle_OC[[#This Row],[Pedido]]&amp;Detalle_OC[[#This Row],[Posicion]]</f>
        <v>Agricola del Chira PlantaMontelima8496185500019188830</v>
      </c>
      <c r="B3874" t="s">
        <v>28</v>
      </c>
      <c r="C3874" t="s">
        <v>82</v>
      </c>
      <c r="D3874" s="11">
        <v>44690</v>
      </c>
      <c r="E3874" t="s">
        <v>16</v>
      </c>
      <c r="F3874" t="s">
        <v>12</v>
      </c>
      <c r="G3874">
        <v>849618</v>
      </c>
      <c r="H3874">
        <v>5500019188</v>
      </c>
      <c r="I3874">
        <v>830</v>
      </c>
      <c r="J3874" s="29">
        <v>1</v>
      </c>
      <c r="K3874" s="29" t="s">
        <v>559</v>
      </c>
      <c r="L3874" t="str">
        <f>IFERROR(VLOOKUP(Detalle_OC[[#This Row],[Centro]]&amp;Detalle_OC[[#This Row],[Nro Almacen]],Almacen!A:D,4,FALSE),"")</f>
        <v>Montelima</v>
      </c>
    </row>
    <row r="3875" spans="1:12" x14ac:dyDescent="0.3">
      <c r="A3875" s="29" t="str">
        <f>Detalle_OC[[#This Row],[Centro]]&amp;Detalle_OC[[#This Row],[Nom Almacen]]&amp;Detalle_OC[[#This Row],[Material]]&amp;Detalle_OC[[#This Row],[Pedido]]&amp;Detalle_OC[[#This Row],[Posicion]]</f>
        <v>Agricola del Chira PlantaMontelima82719955000191881020</v>
      </c>
      <c r="B3875" t="s">
        <v>28</v>
      </c>
      <c r="C3875" t="s">
        <v>82</v>
      </c>
      <c r="D3875" s="11">
        <v>44683</v>
      </c>
      <c r="E3875" t="s">
        <v>16</v>
      </c>
      <c r="F3875" t="s">
        <v>12</v>
      </c>
      <c r="G3875">
        <v>827199</v>
      </c>
      <c r="H3875">
        <v>5500019188</v>
      </c>
      <c r="I3875">
        <v>1020</v>
      </c>
      <c r="J3875" s="29">
        <v>1</v>
      </c>
      <c r="K3875" s="29" t="s">
        <v>560</v>
      </c>
      <c r="L3875" t="str">
        <f>IFERROR(VLOOKUP(Detalle_OC[[#This Row],[Centro]]&amp;Detalle_OC[[#This Row],[Nro Almacen]],Almacen!A:D,4,FALSE),"")</f>
        <v>Montelima</v>
      </c>
    </row>
    <row r="3876" spans="1:12" x14ac:dyDescent="0.3">
      <c r="A3876" s="29" t="str">
        <f>Detalle_OC[[#This Row],[Centro]]&amp;Detalle_OC[[#This Row],[Nom Almacen]]&amp;Detalle_OC[[#This Row],[Material]]&amp;Detalle_OC[[#This Row],[Pedido]]&amp;Detalle_OC[[#This Row],[Posicion]]</f>
        <v>Agricola del Chira PlantaMontelima82638555000191881100</v>
      </c>
      <c r="B3876" t="s">
        <v>28</v>
      </c>
      <c r="C3876" t="s">
        <v>82</v>
      </c>
      <c r="D3876" s="11">
        <v>44683</v>
      </c>
      <c r="E3876" t="s">
        <v>16</v>
      </c>
      <c r="F3876" t="s">
        <v>12</v>
      </c>
      <c r="G3876">
        <v>826385</v>
      </c>
      <c r="H3876">
        <v>5500019188</v>
      </c>
      <c r="I3876">
        <v>1100</v>
      </c>
      <c r="J3876" s="29">
        <v>1</v>
      </c>
      <c r="K3876" s="29" t="s">
        <v>560</v>
      </c>
      <c r="L3876" t="str">
        <f>IFERROR(VLOOKUP(Detalle_OC[[#This Row],[Centro]]&amp;Detalle_OC[[#This Row],[Nro Almacen]],Almacen!A:D,4,FALSE),"")</f>
        <v>Montelima</v>
      </c>
    </row>
    <row r="3877" spans="1:12" x14ac:dyDescent="0.3">
      <c r="A3877" s="29" t="str">
        <f>Detalle_OC[[#This Row],[Centro]]&amp;Detalle_OC[[#This Row],[Nom Almacen]]&amp;Detalle_OC[[#This Row],[Material]]&amp;Detalle_OC[[#This Row],[Pedido]]&amp;Detalle_OC[[#This Row],[Posicion]]</f>
        <v>Agricola del Chira PlantaMontelima82638355000191881150</v>
      </c>
      <c r="B3877" t="s">
        <v>28</v>
      </c>
      <c r="C3877" t="s">
        <v>82</v>
      </c>
      <c r="D3877" s="11">
        <v>44683</v>
      </c>
      <c r="E3877" t="s">
        <v>16</v>
      </c>
      <c r="F3877" t="s">
        <v>12</v>
      </c>
      <c r="G3877">
        <v>826383</v>
      </c>
      <c r="H3877">
        <v>5500019188</v>
      </c>
      <c r="I3877">
        <v>1150</v>
      </c>
      <c r="J3877" s="29">
        <v>1</v>
      </c>
      <c r="K3877" s="29" t="s">
        <v>560</v>
      </c>
      <c r="L3877" t="str">
        <f>IFERROR(VLOOKUP(Detalle_OC[[#This Row],[Centro]]&amp;Detalle_OC[[#This Row],[Nro Almacen]],Almacen!A:D,4,FALSE),"")</f>
        <v>Montelima</v>
      </c>
    </row>
    <row r="3878" spans="1:12" x14ac:dyDescent="0.3">
      <c r="A3878" s="29" t="str">
        <f>Detalle_OC[[#This Row],[Centro]]&amp;Detalle_OC[[#This Row],[Nom Almacen]]&amp;Detalle_OC[[#This Row],[Material]]&amp;Detalle_OC[[#This Row],[Pedido]]&amp;Detalle_OC[[#This Row],[Posicion]]</f>
        <v>Agricola del Chira PlantaMontelima89260455000191881180</v>
      </c>
      <c r="B3878" t="s">
        <v>28</v>
      </c>
      <c r="C3878" t="s">
        <v>82</v>
      </c>
      <c r="D3878" s="11">
        <v>44683</v>
      </c>
      <c r="E3878" t="s">
        <v>16</v>
      </c>
      <c r="F3878" t="s">
        <v>12</v>
      </c>
      <c r="G3878">
        <v>892604</v>
      </c>
      <c r="H3878">
        <v>5500019188</v>
      </c>
      <c r="I3878">
        <v>1180</v>
      </c>
      <c r="J3878" s="29">
        <v>1</v>
      </c>
      <c r="K3878" s="29" t="s">
        <v>560</v>
      </c>
      <c r="L3878" t="str">
        <f>IFERROR(VLOOKUP(Detalle_OC[[#This Row],[Centro]]&amp;Detalle_OC[[#This Row],[Nro Almacen]],Almacen!A:D,4,FALSE),"")</f>
        <v>Montelima</v>
      </c>
    </row>
    <row r="3879" spans="1:12" x14ac:dyDescent="0.3">
      <c r="A3879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3879" t="s">
        <v>28</v>
      </c>
      <c r="C3879" t="s">
        <v>84</v>
      </c>
      <c r="D3879" s="11">
        <v>44680</v>
      </c>
      <c r="E3879" t="s">
        <v>16</v>
      </c>
      <c r="F3879" t="s">
        <v>85</v>
      </c>
      <c r="G3879">
        <v>801846</v>
      </c>
      <c r="H3879">
        <v>5500022336</v>
      </c>
      <c r="I3879">
        <v>10</v>
      </c>
      <c r="J3879" s="29">
        <v>1</v>
      </c>
      <c r="K3879" s="29" t="s">
        <v>561</v>
      </c>
      <c r="L3879" t="str">
        <f>IFERROR(VLOOKUP(Detalle_OC[[#This Row],[Centro]]&amp;Detalle_OC[[#This Row],[Nro Almacen]],Almacen!A:D,4,FALSE),"")</f>
        <v>Montelima</v>
      </c>
    </row>
    <row r="3880" spans="1:12" x14ac:dyDescent="0.3">
      <c r="A3880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3880" t="s">
        <v>28</v>
      </c>
      <c r="C3880" t="s">
        <v>84</v>
      </c>
      <c r="D3880" s="11">
        <v>44680</v>
      </c>
      <c r="E3880" t="s">
        <v>16</v>
      </c>
      <c r="F3880" t="s">
        <v>85</v>
      </c>
      <c r="G3880">
        <v>806591</v>
      </c>
      <c r="H3880">
        <v>5500022336</v>
      </c>
      <c r="I3880">
        <v>20</v>
      </c>
      <c r="J3880" s="29">
        <v>1</v>
      </c>
      <c r="K3880" s="29" t="s">
        <v>561</v>
      </c>
      <c r="L3880" t="str">
        <f>IFERROR(VLOOKUP(Detalle_OC[[#This Row],[Centro]]&amp;Detalle_OC[[#This Row],[Nro Almacen]],Almacen!A:D,4,FALSE),"")</f>
        <v>Montelima</v>
      </c>
    </row>
    <row r="3881" spans="1:12" x14ac:dyDescent="0.3">
      <c r="A3881" s="29" t="str">
        <f>Detalle_OC[[#This Row],[Centro]]&amp;Detalle_OC[[#This Row],[Nom Almacen]]&amp;Detalle_OC[[#This Row],[Material]]&amp;Detalle_OC[[#This Row],[Pedido]]&amp;Detalle_OC[[#This Row],[Posicion]]</f>
        <v>Agricola del Chira PlantaMontelima7382475500019188100</v>
      </c>
      <c r="B3881" t="s">
        <v>28</v>
      </c>
      <c r="C3881" t="s">
        <v>82</v>
      </c>
      <c r="D3881" s="11">
        <v>44676</v>
      </c>
      <c r="E3881" t="s">
        <v>16</v>
      </c>
      <c r="F3881" t="s">
        <v>12</v>
      </c>
      <c r="G3881">
        <v>738247</v>
      </c>
      <c r="H3881">
        <v>5500019188</v>
      </c>
      <c r="I3881">
        <v>100</v>
      </c>
      <c r="J3881" s="29">
        <v>1</v>
      </c>
      <c r="K3881" s="29" t="s">
        <v>562</v>
      </c>
      <c r="L3881" t="str">
        <f>IFERROR(VLOOKUP(Detalle_OC[[#This Row],[Centro]]&amp;Detalle_OC[[#This Row],[Nro Almacen]],Almacen!A:D,4,FALSE),"")</f>
        <v>Montelima</v>
      </c>
    </row>
    <row r="3882" spans="1:12" x14ac:dyDescent="0.3">
      <c r="A3882" s="29" t="str">
        <f>Detalle_OC[[#This Row],[Centro]]&amp;Detalle_OC[[#This Row],[Nom Almacen]]&amp;Detalle_OC[[#This Row],[Material]]&amp;Detalle_OC[[#This Row],[Pedido]]&amp;Detalle_OC[[#This Row],[Posicion]]</f>
        <v>Agricola del Chira PlantaMontelima8445025500019188250</v>
      </c>
      <c r="B3882" t="s">
        <v>28</v>
      </c>
      <c r="C3882" t="s">
        <v>82</v>
      </c>
      <c r="D3882" s="11">
        <v>44676</v>
      </c>
      <c r="E3882" t="s">
        <v>16</v>
      </c>
      <c r="F3882" t="s">
        <v>12</v>
      </c>
      <c r="G3882">
        <v>844502</v>
      </c>
      <c r="H3882">
        <v>5500019188</v>
      </c>
      <c r="I3882">
        <v>250</v>
      </c>
      <c r="J3882" s="29">
        <v>1</v>
      </c>
      <c r="K3882" s="29" t="s">
        <v>562</v>
      </c>
      <c r="L3882" t="str">
        <f>IFERROR(VLOOKUP(Detalle_OC[[#This Row],[Centro]]&amp;Detalle_OC[[#This Row],[Nro Almacen]],Almacen!A:D,4,FALSE),"")</f>
        <v>Montelima</v>
      </c>
    </row>
    <row r="3883" spans="1:12" x14ac:dyDescent="0.3">
      <c r="A3883" s="29" t="str">
        <f>Detalle_OC[[#This Row],[Centro]]&amp;Detalle_OC[[#This Row],[Nom Almacen]]&amp;Detalle_OC[[#This Row],[Material]]&amp;Detalle_OC[[#This Row],[Pedido]]&amp;Detalle_OC[[#This Row],[Posicion]]</f>
        <v>Agricola del Chira PlantaMontelima8445095500019188260</v>
      </c>
      <c r="B3883" t="s">
        <v>28</v>
      </c>
      <c r="C3883" t="s">
        <v>82</v>
      </c>
      <c r="D3883" s="11">
        <v>44676</v>
      </c>
      <c r="E3883" t="s">
        <v>16</v>
      </c>
      <c r="F3883" t="s">
        <v>12</v>
      </c>
      <c r="G3883">
        <v>844509</v>
      </c>
      <c r="H3883">
        <v>5500019188</v>
      </c>
      <c r="I3883">
        <v>260</v>
      </c>
      <c r="J3883" s="29">
        <v>1</v>
      </c>
      <c r="K3883" s="29" t="s">
        <v>562</v>
      </c>
      <c r="L3883" t="str">
        <f>IFERROR(VLOOKUP(Detalle_OC[[#This Row],[Centro]]&amp;Detalle_OC[[#This Row],[Nro Almacen]],Almacen!A:D,4,FALSE),"")</f>
        <v>Montelima</v>
      </c>
    </row>
    <row r="3884" spans="1:12" x14ac:dyDescent="0.3">
      <c r="A3884" s="29" t="str">
        <f>Detalle_OC[[#This Row],[Centro]]&amp;Detalle_OC[[#This Row],[Nom Almacen]]&amp;Detalle_OC[[#This Row],[Material]]&amp;Detalle_OC[[#This Row],[Pedido]]&amp;Detalle_OC[[#This Row],[Posicion]]</f>
        <v>Agricola del Chira PlantaMontelima8443975500019188280</v>
      </c>
      <c r="B3884" t="s">
        <v>28</v>
      </c>
      <c r="C3884" t="s">
        <v>82</v>
      </c>
      <c r="D3884" s="11">
        <v>44676</v>
      </c>
      <c r="E3884" t="s">
        <v>16</v>
      </c>
      <c r="F3884" t="s">
        <v>12</v>
      </c>
      <c r="G3884">
        <v>844397</v>
      </c>
      <c r="H3884">
        <v>5500019188</v>
      </c>
      <c r="I3884">
        <v>280</v>
      </c>
      <c r="J3884" s="29">
        <v>1</v>
      </c>
      <c r="K3884" s="29" t="s">
        <v>562</v>
      </c>
      <c r="L3884" t="str">
        <f>IFERROR(VLOOKUP(Detalle_OC[[#This Row],[Centro]]&amp;Detalle_OC[[#This Row],[Nro Almacen]],Almacen!A:D,4,FALSE),"")</f>
        <v>Montelima</v>
      </c>
    </row>
    <row r="3885" spans="1:12" x14ac:dyDescent="0.3">
      <c r="A3885" s="29" t="str">
        <f>Detalle_OC[[#This Row],[Centro]]&amp;Detalle_OC[[#This Row],[Nom Almacen]]&amp;Detalle_OC[[#This Row],[Material]]&amp;Detalle_OC[[#This Row],[Pedido]]&amp;Detalle_OC[[#This Row],[Posicion]]</f>
        <v>Agricola del Chira PlantaMontelima8445215500019188410</v>
      </c>
      <c r="B3885" t="s">
        <v>28</v>
      </c>
      <c r="C3885" t="s">
        <v>82</v>
      </c>
      <c r="D3885" s="11">
        <v>44676</v>
      </c>
      <c r="E3885" t="s">
        <v>16</v>
      </c>
      <c r="F3885" t="s">
        <v>12</v>
      </c>
      <c r="G3885">
        <v>844521</v>
      </c>
      <c r="H3885">
        <v>5500019188</v>
      </c>
      <c r="I3885">
        <v>410</v>
      </c>
      <c r="J3885" s="29">
        <v>1</v>
      </c>
      <c r="K3885" s="29" t="s">
        <v>562</v>
      </c>
      <c r="L3885" t="str">
        <f>IFERROR(VLOOKUP(Detalle_OC[[#This Row],[Centro]]&amp;Detalle_OC[[#This Row],[Nro Almacen]],Almacen!A:D,4,FALSE),"")</f>
        <v>Montelima</v>
      </c>
    </row>
    <row r="3886" spans="1:12" x14ac:dyDescent="0.3">
      <c r="A3886" s="29" t="str">
        <f>Detalle_OC[[#This Row],[Centro]]&amp;Detalle_OC[[#This Row],[Nom Almacen]]&amp;Detalle_OC[[#This Row],[Material]]&amp;Detalle_OC[[#This Row],[Pedido]]&amp;Detalle_OC[[#This Row],[Posicion]]</f>
        <v>Agricola del Chira PlantaMontelima738245550001918840</v>
      </c>
      <c r="B3886" t="s">
        <v>28</v>
      </c>
      <c r="C3886" t="s">
        <v>82</v>
      </c>
      <c r="D3886" s="11">
        <v>44676</v>
      </c>
      <c r="E3886" t="s">
        <v>16</v>
      </c>
      <c r="F3886" t="s">
        <v>12</v>
      </c>
      <c r="G3886">
        <v>738245</v>
      </c>
      <c r="H3886">
        <v>5500019188</v>
      </c>
      <c r="I3886">
        <v>40</v>
      </c>
      <c r="J3886" s="29">
        <v>1</v>
      </c>
      <c r="K3886" s="29" t="s">
        <v>563</v>
      </c>
      <c r="L3886" t="str">
        <f>IFERROR(VLOOKUP(Detalle_OC[[#This Row],[Centro]]&amp;Detalle_OC[[#This Row],[Nro Almacen]],Almacen!A:D,4,FALSE),"")</f>
        <v>Montelima</v>
      </c>
    </row>
    <row r="3887" spans="1:12" x14ac:dyDescent="0.3">
      <c r="A3887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3887" t="s">
        <v>28</v>
      </c>
      <c r="C3887" t="s">
        <v>82</v>
      </c>
      <c r="D3887" s="11">
        <v>44676</v>
      </c>
      <c r="E3887" t="s">
        <v>16</v>
      </c>
      <c r="F3887" t="s">
        <v>12</v>
      </c>
      <c r="G3887">
        <v>844522</v>
      </c>
      <c r="H3887">
        <v>5500019188</v>
      </c>
      <c r="I3887">
        <v>150</v>
      </c>
      <c r="J3887" s="29">
        <v>1</v>
      </c>
      <c r="K3887" s="29" t="s">
        <v>563</v>
      </c>
      <c r="L3887" t="str">
        <f>IFERROR(VLOOKUP(Detalle_OC[[#This Row],[Centro]]&amp;Detalle_OC[[#This Row],[Nro Almacen]],Almacen!A:D,4,FALSE),"")</f>
        <v>Montelima</v>
      </c>
    </row>
    <row r="3888" spans="1:12" x14ac:dyDescent="0.3">
      <c r="A3888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3888" t="s">
        <v>28</v>
      </c>
      <c r="C3888" t="s">
        <v>82</v>
      </c>
      <c r="D3888" s="11">
        <v>44676</v>
      </c>
      <c r="E3888" t="s">
        <v>16</v>
      </c>
      <c r="F3888" t="s">
        <v>12</v>
      </c>
      <c r="G3888">
        <v>844522</v>
      </c>
      <c r="H3888">
        <v>5500019188</v>
      </c>
      <c r="I3888">
        <v>150</v>
      </c>
      <c r="J3888" s="29">
        <v>1</v>
      </c>
      <c r="K3888" s="29" t="s">
        <v>563</v>
      </c>
      <c r="L3888" t="str">
        <f>IFERROR(VLOOKUP(Detalle_OC[[#This Row],[Centro]]&amp;Detalle_OC[[#This Row],[Nro Almacen]],Almacen!A:D,4,FALSE),"")</f>
        <v>Montelima</v>
      </c>
    </row>
    <row r="3889" spans="1:12" x14ac:dyDescent="0.3">
      <c r="A3889" s="29" t="str">
        <f>Detalle_OC[[#This Row],[Centro]]&amp;Detalle_OC[[#This Row],[Nom Almacen]]&amp;Detalle_OC[[#This Row],[Material]]&amp;Detalle_OC[[#This Row],[Pedido]]&amp;Detalle_OC[[#This Row],[Posicion]]</f>
        <v>Agricola del Chira PlantaMontelima8445115500019188180</v>
      </c>
      <c r="B3889" t="s">
        <v>28</v>
      </c>
      <c r="C3889" t="s">
        <v>82</v>
      </c>
      <c r="D3889" s="11">
        <v>44676</v>
      </c>
      <c r="E3889" t="s">
        <v>16</v>
      </c>
      <c r="F3889" t="s">
        <v>12</v>
      </c>
      <c r="G3889">
        <v>844511</v>
      </c>
      <c r="H3889">
        <v>5500019188</v>
      </c>
      <c r="I3889">
        <v>180</v>
      </c>
      <c r="J3889" s="29">
        <v>1</v>
      </c>
      <c r="K3889" s="29" t="s">
        <v>563</v>
      </c>
      <c r="L3889" t="str">
        <f>IFERROR(VLOOKUP(Detalle_OC[[#This Row],[Centro]]&amp;Detalle_OC[[#This Row],[Nro Almacen]],Almacen!A:D,4,FALSE),"")</f>
        <v>Montelima</v>
      </c>
    </row>
    <row r="3890" spans="1:12" x14ac:dyDescent="0.3">
      <c r="A3890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3890" t="s">
        <v>28</v>
      </c>
      <c r="C3890" t="s">
        <v>82</v>
      </c>
      <c r="D3890" s="11">
        <v>44676</v>
      </c>
      <c r="E3890" t="s">
        <v>16</v>
      </c>
      <c r="F3890" t="s">
        <v>12</v>
      </c>
      <c r="G3890">
        <v>844515</v>
      </c>
      <c r="H3890">
        <v>5500019188</v>
      </c>
      <c r="I3890">
        <v>200</v>
      </c>
      <c r="J3890" s="29">
        <v>1</v>
      </c>
      <c r="K3890" s="29" t="s">
        <v>563</v>
      </c>
      <c r="L3890" t="str">
        <f>IFERROR(VLOOKUP(Detalle_OC[[#This Row],[Centro]]&amp;Detalle_OC[[#This Row],[Nro Almacen]],Almacen!A:D,4,FALSE),"")</f>
        <v>Montelima</v>
      </c>
    </row>
    <row r="3891" spans="1:12" x14ac:dyDescent="0.3">
      <c r="A3891" s="29" t="str">
        <f>Detalle_OC[[#This Row],[Centro]]&amp;Detalle_OC[[#This Row],[Nom Almacen]]&amp;Detalle_OC[[#This Row],[Material]]&amp;Detalle_OC[[#This Row],[Pedido]]&amp;Detalle_OC[[#This Row],[Posicion]]</f>
        <v>Agricola del Chira PlantaMontelima8445245500019188210</v>
      </c>
      <c r="B3891" t="s">
        <v>28</v>
      </c>
      <c r="C3891" t="s">
        <v>82</v>
      </c>
      <c r="D3891" s="11">
        <v>44676</v>
      </c>
      <c r="E3891" t="s">
        <v>16</v>
      </c>
      <c r="F3891" t="s">
        <v>12</v>
      </c>
      <c r="G3891">
        <v>844524</v>
      </c>
      <c r="H3891">
        <v>5500019188</v>
      </c>
      <c r="I3891">
        <v>210</v>
      </c>
      <c r="J3891" s="29">
        <v>1</v>
      </c>
      <c r="K3891" s="29" t="s">
        <v>563</v>
      </c>
      <c r="L3891" t="str">
        <f>IFERROR(VLOOKUP(Detalle_OC[[#This Row],[Centro]]&amp;Detalle_OC[[#This Row],[Nro Almacen]],Almacen!A:D,4,FALSE),"")</f>
        <v>Montelima</v>
      </c>
    </row>
    <row r="3892" spans="1:12" x14ac:dyDescent="0.3">
      <c r="A3892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3892" t="s">
        <v>28</v>
      </c>
      <c r="C3892" t="s">
        <v>82</v>
      </c>
      <c r="D3892" s="11">
        <v>44676</v>
      </c>
      <c r="E3892" t="s">
        <v>16</v>
      </c>
      <c r="F3892" t="s">
        <v>12</v>
      </c>
      <c r="G3892">
        <v>844508</v>
      </c>
      <c r="H3892">
        <v>5500019188</v>
      </c>
      <c r="I3892">
        <v>220</v>
      </c>
      <c r="J3892" s="29">
        <v>1</v>
      </c>
      <c r="K3892" s="29" t="s">
        <v>563</v>
      </c>
      <c r="L3892" t="str">
        <f>IFERROR(VLOOKUP(Detalle_OC[[#This Row],[Centro]]&amp;Detalle_OC[[#This Row],[Nro Almacen]],Almacen!A:D,4,FALSE),"")</f>
        <v>Montelima</v>
      </c>
    </row>
    <row r="3893" spans="1:12" x14ac:dyDescent="0.3">
      <c r="A3893" s="29" t="str">
        <f>Detalle_OC[[#This Row],[Centro]]&amp;Detalle_OC[[#This Row],[Nom Almacen]]&amp;Detalle_OC[[#This Row],[Material]]&amp;Detalle_OC[[#This Row],[Pedido]]&amp;Detalle_OC[[#This Row],[Posicion]]</f>
        <v>Agricola del Chira PlantaMontelima8443975500019188280</v>
      </c>
      <c r="B3893" t="s">
        <v>28</v>
      </c>
      <c r="C3893" t="s">
        <v>82</v>
      </c>
      <c r="D3893" s="11">
        <v>44676</v>
      </c>
      <c r="E3893" t="s">
        <v>16</v>
      </c>
      <c r="F3893" t="s">
        <v>12</v>
      </c>
      <c r="G3893">
        <v>844397</v>
      </c>
      <c r="H3893">
        <v>5500019188</v>
      </c>
      <c r="I3893">
        <v>280</v>
      </c>
      <c r="J3893" s="29">
        <v>1</v>
      </c>
      <c r="K3893" s="29" t="s">
        <v>563</v>
      </c>
      <c r="L3893" t="str">
        <f>IFERROR(VLOOKUP(Detalle_OC[[#This Row],[Centro]]&amp;Detalle_OC[[#This Row],[Nro Almacen]],Almacen!A:D,4,FALSE),"")</f>
        <v>Montelima</v>
      </c>
    </row>
    <row r="3894" spans="1:12" x14ac:dyDescent="0.3">
      <c r="A3894" s="29" t="str">
        <f>Detalle_OC[[#This Row],[Centro]]&amp;Detalle_OC[[#This Row],[Nom Almacen]]&amp;Detalle_OC[[#This Row],[Material]]&amp;Detalle_OC[[#This Row],[Pedido]]&amp;Detalle_OC[[#This Row],[Posicion]]</f>
        <v>Agricola del Chira PlantaMontelima8445395500019188300</v>
      </c>
      <c r="B3894" t="s">
        <v>28</v>
      </c>
      <c r="C3894" t="s">
        <v>82</v>
      </c>
      <c r="D3894" s="11">
        <v>44676</v>
      </c>
      <c r="E3894" t="s">
        <v>16</v>
      </c>
      <c r="F3894" t="s">
        <v>12</v>
      </c>
      <c r="G3894">
        <v>844539</v>
      </c>
      <c r="H3894">
        <v>5500019188</v>
      </c>
      <c r="I3894">
        <v>300</v>
      </c>
      <c r="J3894" s="29">
        <v>1</v>
      </c>
      <c r="K3894" s="29" t="s">
        <v>563</v>
      </c>
      <c r="L3894" t="str">
        <f>IFERROR(VLOOKUP(Detalle_OC[[#This Row],[Centro]]&amp;Detalle_OC[[#This Row],[Nro Almacen]],Almacen!A:D,4,FALSE),"")</f>
        <v>Montelima</v>
      </c>
    </row>
    <row r="3895" spans="1:12" x14ac:dyDescent="0.3">
      <c r="A3895" s="29" t="str">
        <f>Detalle_OC[[#This Row],[Centro]]&amp;Detalle_OC[[#This Row],[Nom Almacen]]&amp;Detalle_OC[[#This Row],[Material]]&amp;Detalle_OC[[#This Row],[Pedido]]&amp;Detalle_OC[[#This Row],[Posicion]]</f>
        <v>Agricola del Chira PlantaMontelima8445395500019188300</v>
      </c>
      <c r="B3895" t="s">
        <v>28</v>
      </c>
      <c r="C3895" t="s">
        <v>82</v>
      </c>
      <c r="D3895" s="11">
        <v>44676</v>
      </c>
      <c r="E3895" t="s">
        <v>16</v>
      </c>
      <c r="F3895" t="s">
        <v>12</v>
      </c>
      <c r="G3895">
        <v>844539</v>
      </c>
      <c r="H3895">
        <v>5500019188</v>
      </c>
      <c r="I3895">
        <v>300</v>
      </c>
      <c r="J3895" s="29">
        <v>1</v>
      </c>
      <c r="K3895" s="29" t="s">
        <v>563</v>
      </c>
      <c r="L3895" t="str">
        <f>IFERROR(VLOOKUP(Detalle_OC[[#This Row],[Centro]]&amp;Detalle_OC[[#This Row],[Nro Almacen]],Almacen!A:D,4,FALSE),"")</f>
        <v>Montelima</v>
      </c>
    </row>
    <row r="3896" spans="1:12" x14ac:dyDescent="0.3">
      <c r="A3896" s="29" t="str">
        <f>Detalle_OC[[#This Row],[Centro]]&amp;Detalle_OC[[#This Row],[Nom Almacen]]&amp;Detalle_OC[[#This Row],[Material]]&amp;Detalle_OC[[#This Row],[Pedido]]&amp;Detalle_OC[[#This Row],[Posicion]]</f>
        <v>Agricola del Chira PlantaMontelima8445275500019188310</v>
      </c>
      <c r="B3896" t="s">
        <v>28</v>
      </c>
      <c r="C3896" t="s">
        <v>82</v>
      </c>
      <c r="D3896" s="11">
        <v>44676</v>
      </c>
      <c r="E3896" t="s">
        <v>16</v>
      </c>
      <c r="F3896" t="s">
        <v>12</v>
      </c>
      <c r="G3896">
        <v>844527</v>
      </c>
      <c r="H3896">
        <v>5500019188</v>
      </c>
      <c r="I3896">
        <v>310</v>
      </c>
      <c r="J3896" s="29">
        <v>1</v>
      </c>
      <c r="K3896" s="29" t="s">
        <v>563</v>
      </c>
      <c r="L3896" t="str">
        <f>IFERROR(VLOOKUP(Detalle_OC[[#This Row],[Centro]]&amp;Detalle_OC[[#This Row],[Nro Almacen]],Almacen!A:D,4,FALSE),"")</f>
        <v>Montelima</v>
      </c>
    </row>
    <row r="3897" spans="1:12" x14ac:dyDescent="0.3">
      <c r="A3897" s="29" t="str">
        <f>Detalle_OC[[#This Row],[Centro]]&amp;Detalle_OC[[#This Row],[Nom Almacen]]&amp;Detalle_OC[[#This Row],[Material]]&amp;Detalle_OC[[#This Row],[Pedido]]&amp;Detalle_OC[[#This Row],[Posicion]]</f>
        <v>Agricola del Chira PlantaMontelima8445515500019188320</v>
      </c>
      <c r="B3897" t="s">
        <v>28</v>
      </c>
      <c r="C3897" t="s">
        <v>82</v>
      </c>
      <c r="D3897" s="11">
        <v>44676</v>
      </c>
      <c r="E3897" t="s">
        <v>16</v>
      </c>
      <c r="F3897" t="s">
        <v>12</v>
      </c>
      <c r="G3897">
        <v>844551</v>
      </c>
      <c r="H3897">
        <v>5500019188</v>
      </c>
      <c r="I3897">
        <v>320</v>
      </c>
      <c r="J3897" s="29">
        <v>1</v>
      </c>
      <c r="K3897" s="29" t="s">
        <v>563</v>
      </c>
      <c r="L3897" t="str">
        <f>IFERROR(VLOOKUP(Detalle_OC[[#This Row],[Centro]]&amp;Detalle_OC[[#This Row],[Nro Almacen]],Almacen!A:D,4,FALSE),"")</f>
        <v>Montelima</v>
      </c>
    </row>
    <row r="3898" spans="1:12" x14ac:dyDescent="0.3">
      <c r="A3898" s="29" t="str">
        <f>Detalle_OC[[#This Row],[Centro]]&amp;Detalle_OC[[#This Row],[Nom Almacen]]&amp;Detalle_OC[[#This Row],[Material]]&amp;Detalle_OC[[#This Row],[Pedido]]&amp;Detalle_OC[[#This Row],[Posicion]]</f>
        <v>Agricola del Chira PlantaMontelima8445175500019188340</v>
      </c>
      <c r="B3898" t="s">
        <v>28</v>
      </c>
      <c r="C3898" t="s">
        <v>82</v>
      </c>
      <c r="D3898" s="11">
        <v>44676</v>
      </c>
      <c r="E3898" t="s">
        <v>16</v>
      </c>
      <c r="F3898" t="s">
        <v>12</v>
      </c>
      <c r="G3898">
        <v>844517</v>
      </c>
      <c r="H3898">
        <v>5500019188</v>
      </c>
      <c r="I3898">
        <v>340</v>
      </c>
      <c r="J3898" s="29">
        <v>1</v>
      </c>
      <c r="K3898" s="29" t="s">
        <v>563</v>
      </c>
      <c r="L3898" t="str">
        <f>IFERROR(VLOOKUP(Detalle_OC[[#This Row],[Centro]]&amp;Detalle_OC[[#This Row],[Nro Almacen]],Almacen!A:D,4,FALSE),"")</f>
        <v>Montelima</v>
      </c>
    </row>
    <row r="3899" spans="1:12" x14ac:dyDescent="0.3">
      <c r="A3899" s="29" t="str">
        <f>Detalle_OC[[#This Row],[Centro]]&amp;Detalle_OC[[#This Row],[Nom Almacen]]&amp;Detalle_OC[[#This Row],[Material]]&amp;Detalle_OC[[#This Row],[Pedido]]&amp;Detalle_OC[[#This Row],[Posicion]]</f>
        <v>Agricola del Chira PlantaMontelima8445175500019188340</v>
      </c>
      <c r="B3899" t="s">
        <v>28</v>
      </c>
      <c r="C3899" t="s">
        <v>82</v>
      </c>
      <c r="D3899" s="11">
        <v>44676</v>
      </c>
      <c r="E3899" t="s">
        <v>16</v>
      </c>
      <c r="F3899" t="s">
        <v>12</v>
      </c>
      <c r="G3899">
        <v>844517</v>
      </c>
      <c r="H3899">
        <v>5500019188</v>
      </c>
      <c r="I3899">
        <v>340</v>
      </c>
      <c r="J3899" s="29">
        <v>1</v>
      </c>
      <c r="K3899" s="29" t="s">
        <v>563</v>
      </c>
      <c r="L3899" t="str">
        <f>IFERROR(VLOOKUP(Detalle_OC[[#This Row],[Centro]]&amp;Detalle_OC[[#This Row],[Nro Almacen]],Almacen!A:D,4,FALSE),"")</f>
        <v>Montelima</v>
      </c>
    </row>
    <row r="3900" spans="1:12" x14ac:dyDescent="0.3">
      <c r="A3900" s="29" t="str">
        <f>Detalle_OC[[#This Row],[Centro]]&amp;Detalle_OC[[#This Row],[Nom Almacen]]&amp;Detalle_OC[[#This Row],[Material]]&amp;Detalle_OC[[#This Row],[Pedido]]&amp;Detalle_OC[[#This Row],[Posicion]]</f>
        <v>Agricola del Chira PlantaMontelima8445285500019188360</v>
      </c>
      <c r="B3900" t="s">
        <v>28</v>
      </c>
      <c r="C3900" t="s">
        <v>82</v>
      </c>
      <c r="D3900" s="11">
        <v>44676</v>
      </c>
      <c r="E3900" t="s">
        <v>16</v>
      </c>
      <c r="F3900" t="s">
        <v>12</v>
      </c>
      <c r="G3900">
        <v>844528</v>
      </c>
      <c r="H3900">
        <v>5500019188</v>
      </c>
      <c r="I3900">
        <v>360</v>
      </c>
      <c r="J3900" s="29">
        <v>1</v>
      </c>
      <c r="K3900" s="29" t="s">
        <v>563</v>
      </c>
      <c r="L3900" t="str">
        <f>IFERROR(VLOOKUP(Detalle_OC[[#This Row],[Centro]]&amp;Detalle_OC[[#This Row],[Nro Almacen]],Almacen!A:D,4,FALSE),"")</f>
        <v>Montelima</v>
      </c>
    </row>
    <row r="3901" spans="1:12" x14ac:dyDescent="0.3">
      <c r="A3901" s="29" t="str">
        <f>Detalle_OC[[#This Row],[Centro]]&amp;Detalle_OC[[#This Row],[Nom Almacen]]&amp;Detalle_OC[[#This Row],[Material]]&amp;Detalle_OC[[#This Row],[Pedido]]&amp;Detalle_OC[[#This Row],[Posicion]]</f>
        <v>Agricola del Chira PlantaMontelima8445215500019188410</v>
      </c>
      <c r="B3901" t="s">
        <v>28</v>
      </c>
      <c r="C3901" t="s">
        <v>82</v>
      </c>
      <c r="D3901" s="11">
        <v>44676</v>
      </c>
      <c r="E3901" t="s">
        <v>16</v>
      </c>
      <c r="F3901" t="s">
        <v>12</v>
      </c>
      <c r="G3901">
        <v>844521</v>
      </c>
      <c r="H3901">
        <v>5500019188</v>
      </c>
      <c r="I3901">
        <v>410</v>
      </c>
      <c r="J3901" s="29">
        <v>1</v>
      </c>
      <c r="K3901" s="29" t="s">
        <v>563</v>
      </c>
      <c r="L3901" t="str">
        <f>IFERROR(VLOOKUP(Detalle_OC[[#This Row],[Centro]]&amp;Detalle_OC[[#This Row],[Nro Almacen]],Almacen!A:D,4,FALSE),"")</f>
        <v>Montelima</v>
      </c>
    </row>
    <row r="3902" spans="1:12" x14ac:dyDescent="0.3">
      <c r="A3902" s="29" t="str">
        <f>Detalle_OC[[#This Row],[Centro]]&amp;Detalle_OC[[#This Row],[Nom Almacen]]&amp;Detalle_OC[[#This Row],[Material]]&amp;Detalle_OC[[#This Row],[Pedido]]&amp;Detalle_OC[[#This Row],[Posicion]]</f>
        <v>Agricola del Chira PlantaMontelima8445315500019188430</v>
      </c>
      <c r="B3902" t="s">
        <v>28</v>
      </c>
      <c r="C3902" t="s">
        <v>82</v>
      </c>
      <c r="D3902" s="11">
        <v>44676</v>
      </c>
      <c r="E3902" t="s">
        <v>16</v>
      </c>
      <c r="F3902" t="s">
        <v>12</v>
      </c>
      <c r="G3902">
        <v>844531</v>
      </c>
      <c r="H3902">
        <v>5500019188</v>
      </c>
      <c r="I3902">
        <v>430</v>
      </c>
      <c r="J3902" s="29">
        <v>1</v>
      </c>
      <c r="K3902" s="29" t="s">
        <v>563</v>
      </c>
      <c r="L3902" t="str">
        <f>IFERROR(VLOOKUP(Detalle_OC[[#This Row],[Centro]]&amp;Detalle_OC[[#This Row],[Nro Almacen]],Almacen!A:D,4,FALSE),"")</f>
        <v>Montelima</v>
      </c>
    </row>
    <row r="3903" spans="1:12" x14ac:dyDescent="0.3">
      <c r="A3903" s="29" t="str">
        <f>Detalle_OC[[#This Row],[Centro]]&amp;Detalle_OC[[#This Row],[Nom Almacen]]&amp;Detalle_OC[[#This Row],[Material]]&amp;Detalle_OC[[#This Row],[Pedido]]&amp;Detalle_OC[[#This Row],[Posicion]]</f>
        <v>Agricola del Chira PlantaMontelima8445045500019188480</v>
      </c>
      <c r="B3903" t="s">
        <v>28</v>
      </c>
      <c r="C3903" t="s">
        <v>82</v>
      </c>
      <c r="D3903" s="11">
        <v>44676</v>
      </c>
      <c r="E3903" t="s">
        <v>16</v>
      </c>
      <c r="F3903" t="s">
        <v>12</v>
      </c>
      <c r="G3903">
        <v>844504</v>
      </c>
      <c r="H3903">
        <v>5500019188</v>
      </c>
      <c r="I3903">
        <v>480</v>
      </c>
      <c r="J3903" s="29">
        <v>1</v>
      </c>
      <c r="K3903" s="29" t="s">
        <v>563</v>
      </c>
      <c r="L3903" t="str">
        <f>IFERROR(VLOOKUP(Detalle_OC[[#This Row],[Centro]]&amp;Detalle_OC[[#This Row],[Nro Almacen]],Almacen!A:D,4,FALSE),"")</f>
        <v>Montelima</v>
      </c>
    </row>
    <row r="3904" spans="1:12" x14ac:dyDescent="0.3">
      <c r="A3904" s="29" t="str">
        <f>Detalle_OC[[#This Row],[Centro]]&amp;Detalle_OC[[#This Row],[Nom Almacen]]&amp;Detalle_OC[[#This Row],[Material]]&amp;Detalle_OC[[#This Row],[Pedido]]&amp;Detalle_OC[[#This Row],[Posicion]]</f>
        <v>Agricola del Chira PlantaMontelima8445205500019188520</v>
      </c>
      <c r="B3904" t="s">
        <v>28</v>
      </c>
      <c r="C3904" t="s">
        <v>82</v>
      </c>
      <c r="D3904" s="11">
        <v>44676</v>
      </c>
      <c r="E3904" t="s">
        <v>16</v>
      </c>
      <c r="F3904" t="s">
        <v>12</v>
      </c>
      <c r="G3904">
        <v>844520</v>
      </c>
      <c r="H3904">
        <v>5500019188</v>
      </c>
      <c r="I3904">
        <v>520</v>
      </c>
      <c r="J3904" s="29">
        <v>1</v>
      </c>
      <c r="K3904" s="29" t="s">
        <v>563</v>
      </c>
      <c r="L3904" t="str">
        <f>IFERROR(VLOOKUP(Detalle_OC[[#This Row],[Centro]]&amp;Detalle_OC[[#This Row],[Nro Almacen]],Almacen!A:D,4,FALSE),"")</f>
        <v>Montelima</v>
      </c>
    </row>
    <row r="3905" spans="1:12" x14ac:dyDescent="0.3">
      <c r="A3905" s="29" t="str">
        <f>Detalle_OC[[#This Row],[Centro]]&amp;Detalle_OC[[#This Row],[Nom Almacen]]&amp;Detalle_OC[[#This Row],[Material]]&amp;Detalle_OC[[#This Row],[Pedido]]&amp;Detalle_OC[[#This Row],[Posicion]]</f>
        <v>Agricola del Chira PlantaMontelima8445205500019188520</v>
      </c>
      <c r="B3905" t="s">
        <v>28</v>
      </c>
      <c r="C3905" t="s">
        <v>82</v>
      </c>
      <c r="D3905" s="11">
        <v>44676</v>
      </c>
      <c r="E3905" t="s">
        <v>16</v>
      </c>
      <c r="F3905" t="s">
        <v>12</v>
      </c>
      <c r="G3905">
        <v>844520</v>
      </c>
      <c r="H3905">
        <v>5500019188</v>
      </c>
      <c r="I3905">
        <v>520</v>
      </c>
      <c r="J3905" s="29">
        <v>1</v>
      </c>
      <c r="K3905" s="29" t="s">
        <v>563</v>
      </c>
      <c r="L3905" t="str">
        <f>IFERROR(VLOOKUP(Detalle_OC[[#This Row],[Centro]]&amp;Detalle_OC[[#This Row],[Nro Almacen]],Almacen!A:D,4,FALSE),"")</f>
        <v>Montelima</v>
      </c>
    </row>
    <row r="3906" spans="1:12" x14ac:dyDescent="0.3">
      <c r="A3906" s="29" t="str">
        <f>Detalle_OC[[#This Row],[Centro]]&amp;Detalle_OC[[#This Row],[Nom Almacen]]&amp;Detalle_OC[[#This Row],[Material]]&amp;Detalle_OC[[#This Row],[Pedido]]&amp;Detalle_OC[[#This Row],[Posicion]]</f>
        <v>Agricola del Chira PlantaMontelima8445195500019188530</v>
      </c>
      <c r="B3906" t="s">
        <v>28</v>
      </c>
      <c r="C3906" t="s">
        <v>82</v>
      </c>
      <c r="D3906" s="11">
        <v>44676</v>
      </c>
      <c r="E3906" t="s">
        <v>16</v>
      </c>
      <c r="F3906" t="s">
        <v>12</v>
      </c>
      <c r="G3906">
        <v>844519</v>
      </c>
      <c r="H3906">
        <v>5500019188</v>
      </c>
      <c r="I3906">
        <v>530</v>
      </c>
      <c r="J3906" s="29">
        <v>1</v>
      </c>
      <c r="K3906" s="29" t="s">
        <v>563</v>
      </c>
      <c r="L3906" t="str">
        <f>IFERROR(VLOOKUP(Detalle_OC[[#This Row],[Centro]]&amp;Detalle_OC[[#This Row],[Nro Almacen]],Almacen!A:D,4,FALSE),"")</f>
        <v>Montelima</v>
      </c>
    </row>
    <row r="3907" spans="1:12" x14ac:dyDescent="0.3">
      <c r="A3907" s="29" t="str">
        <f>Detalle_OC[[#This Row],[Centro]]&amp;Detalle_OC[[#This Row],[Nom Almacen]]&amp;Detalle_OC[[#This Row],[Material]]&amp;Detalle_OC[[#This Row],[Pedido]]&amp;Detalle_OC[[#This Row],[Posicion]]</f>
        <v>Agricola del Chira PlantaMontelima8445435500019188570</v>
      </c>
      <c r="B3907" t="s">
        <v>28</v>
      </c>
      <c r="C3907" t="s">
        <v>82</v>
      </c>
      <c r="D3907" s="11">
        <v>44676</v>
      </c>
      <c r="E3907" t="s">
        <v>16</v>
      </c>
      <c r="F3907" t="s">
        <v>12</v>
      </c>
      <c r="G3907">
        <v>844543</v>
      </c>
      <c r="H3907">
        <v>5500019188</v>
      </c>
      <c r="I3907">
        <v>570</v>
      </c>
      <c r="J3907" s="29">
        <v>1</v>
      </c>
      <c r="K3907" s="29" t="s">
        <v>563</v>
      </c>
      <c r="L3907" t="str">
        <f>IFERROR(VLOOKUP(Detalle_OC[[#This Row],[Centro]]&amp;Detalle_OC[[#This Row],[Nro Almacen]],Almacen!A:D,4,FALSE),"")</f>
        <v>Montelima</v>
      </c>
    </row>
    <row r="3908" spans="1:12" x14ac:dyDescent="0.3">
      <c r="A3908" s="29" t="str">
        <f>Detalle_OC[[#This Row],[Centro]]&amp;Detalle_OC[[#This Row],[Nom Almacen]]&amp;Detalle_OC[[#This Row],[Material]]&amp;Detalle_OC[[#This Row],[Pedido]]&amp;Detalle_OC[[#This Row],[Posicion]]</f>
        <v>Agricola del Chira PlantaMontelima8457155500019188650</v>
      </c>
      <c r="B3908" t="s">
        <v>28</v>
      </c>
      <c r="C3908" t="s">
        <v>82</v>
      </c>
      <c r="D3908" s="11">
        <v>44676</v>
      </c>
      <c r="E3908" t="s">
        <v>16</v>
      </c>
      <c r="F3908" t="s">
        <v>12</v>
      </c>
      <c r="G3908">
        <v>845715</v>
      </c>
      <c r="H3908">
        <v>5500019188</v>
      </c>
      <c r="I3908">
        <v>650</v>
      </c>
      <c r="J3908" s="29">
        <v>1</v>
      </c>
      <c r="K3908" s="29" t="s">
        <v>563</v>
      </c>
      <c r="L3908" t="str">
        <f>IFERROR(VLOOKUP(Detalle_OC[[#This Row],[Centro]]&amp;Detalle_OC[[#This Row],[Nro Almacen]],Almacen!A:D,4,FALSE),"")</f>
        <v>Montelima</v>
      </c>
    </row>
    <row r="3909" spans="1:12" x14ac:dyDescent="0.3">
      <c r="A3909" s="29" t="str">
        <f>Detalle_OC[[#This Row],[Centro]]&amp;Detalle_OC[[#This Row],[Nom Almacen]]&amp;Detalle_OC[[#This Row],[Material]]&amp;Detalle_OC[[#This Row],[Pedido]]&amp;Detalle_OC[[#This Row],[Posicion]]</f>
        <v>Agricola del Chira PlantaMontelima8469355500019188700</v>
      </c>
      <c r="B3909" t="s">
        <v>28</v>
      </c>
      <c r="C3909" t="s">
        <v>82</v>
      </c>
      <c r="D3909" s="11">
        <v>44676</v>
      </c>
      <c r="E3909" t="s">
        <v>16</v>
      </c>
      <c r="F3909" t="s">
        <v>12</v>
      </c>
      <c r="G3909">
        <v>846935</v>
      </c>
      <c r="H3909">
        <v>5500019188</v>
      </c>
      <c r="I3909">
        <v>700</v>
      </c>
      <c r="J3909" s="29">
        <v>1</v>
      </c>
      <c r="K3909" s="29" t="s">
        <v>563</v>
      </c>
      <c r="L3909" t="str">
        <f>IFERROR(VLOOKUP(Detalle_OC[[#This Row],[Centro]]&amp;Detalle_OC[[#This Row],[Nro Almacen]],Almacen!A:D,4,FALSE),"")</f>
        <v>Montelima</v>
      </c>
    </row>
    <row r="3910" spans="1:12" x14ac:dyDescent="0.3">
      <c r="A3910" s="29" t="str">
        <f>Detalle_OC[[#This Row],[Centro]]&amp;Detalle_OC[[#This Row],[Nom Almacen]]&amp;Detalle_OC[[#This Row],[Material]]&amp;Detalle_OC[[#This Row],[Pedido]]&amp;Detalle_OC[[#This Row],[Posicion]]</f>
        <v>Agricola del Chira PlantaMontelima8445015500019188760</v>
      </c>
      <c r="B3910" t="s">
        <v>28</v>
      </c>
      <c r="C3910" t="s">
        <v>82</v>
      </c>
      <c r="D3910" s="11">
        <v>44676</v>
      </c>
      <c r="E3910" t="s">
        <v>16</v>
      </c>
      <c r="F3910" t="s">
        <v>12</v>
      </c>
      <c r="G3910">
        <v>844501</v>
      </c>
      <c r="H3910">
        <v>5500019188</v>
      </c>
      <c r="I3910">
        <v>760</v>
      </c>
      <c r="J3910" s="29">
        <v>1</v>
      </c>
      <c r="K3910" s="29" t="s">
        <v>563</v>
      </c>
      <c r="L3910" t="str">
        <f>IFERROR(VLOOKUP(Detalle_OC[[#This Row],[Centro]]&amp;Detalle_OC[[#This Row],[Nro Almacen]],Almacen!A:D,4,FALSE),"")</f>
        <v>Montelima</v>
      </c>
    </row>
    <row r="3911" spans="1:12" x14ac:dyDescent="0.3">
      <c r="A3911" s="29" t="str">
        <f>Detalle_OC[[#This Row],[Centro]]&amp;Detalle_OC[[#This Row],[Nom Almacen]]&amp;Detalle_OC[[#This Row],[Material]]&amp;Detalle_OC[[#This Row],[Pedido]]&amp;Detalle_OC[[#This Row],[Posicion]]</f>
        <v>Agricola del Chira PlantaMontelima8959485500019188860</v>
      </c>
      <c r="B3911" t="s">
        <v>28</v>
      </c>
      <c r="C3911" t="s">
        <v>82</v>
      </c>
      <c r="D3911" s="11">
        <v>44676</v>
      </c>
      <c r="E3911" t="s">
        <v>16</v>
      </c>
      <c r="F3911" t="s">
        <v>12</v>
      </c>
      <c r="G3911">
        <v>895948</v>
      </c>
      <c r="H3911">
        <v>5500019188</v>
      </c>
      <c r="I3911">
        <v>860</v>
      </c>
      <c r="J3911" s="29">
        <v>1</v>
      </c>
      <c r="K3911" s="29" t="s">
        <v>563</v>
      </c>
      <c r="L3911" t="str">
        <f>IFERROR(VLOOKUP(Detalle_OC[[#This Row],[Centro]]&amp;Detalle_OC[[#This Row],[Nro Almacen]],Almacen!A:D,4,FALSE),"")</f>
        <v>Montelima</v>
      </c>
    </row>
    <row r="3912" spans="1:12" x14ac:dyDescent="0.3">
      <c r="A3912" s="29" t="str">
        <f>Detalle_OC[[#This Row],[Centro]]&amp;Detalle_OC[[#This Row],[Nom Almacen]]&amp;Detalle_OC[[#This Row],[Material]]&amp;Detalle_OC[[#This Row],[Pedido]]&amp;Detalle_OC[[#This Row],[Posicion]]</f>
        <v>Agricola del Chira PlantaMontelima8959485500019188860</v>
      </c>
      <c r="B3912" t="s">
        <v>28</v>
      </c>
      <c r="C3912" t="s">
        <v>82</v>
      </c>
      <c r="D3912" s="11">
        <v>44676</v>
      </c>
      <c r="E3912" t="s">
        <v>16</v>
      </c>
      <c r="F3912" t="s">
        <v>12</v>
      </c>
      <c r="G3912">
        <v>895948</v>
      </c>
      <c r="H3912">
        <v>5500019188</v>
      </c>
      <c r="I3912">
        <v>860</v>
      </c>
      <c r="J3912" s="29">
        <v>1</v>
      </c>
      <c r="K3912" s="29" t="s">
        <v>563</v>
      </c>
      <c r="L3912" t="str">
        <f>IFERROR(VLOOKUP(Detalle_OC[[#This Row],[Centro]]&amp;Detalle_OC[[#This Row],[Nro Almacen]],Almacen!A:D,4,FALSE),"")</f>
        <v>Montelima</v>
      </c>
    </row>
    <row r="3913" spans="1:12" x14ac:dyDescent="0.3">
      <c r="A3913" s="29" t="str">
        <f>Detalle_OC[[#This Row],[Centro]]&amp;Detalle_OC[[#This Row],[Nom Almacen]]&amp;Detalle_OC[[#This Row],[Material]]&amp;Detalle_OC[[#This Row],[Pedido]]&amp;Detalle_OC[[#This Row],[Posicion]]</f>
        <v>Agricola del Chira PlantaMontelima82638555000191881100</v>
      </c>
      <c r="B3913" t="s">
        <v>28</v>
      </c>
      <c r="C3913" t="s">
        <v>82</v>
      </c>
      <c r="D3913" s="11">
        <v>44676</v>
      </c>
      <c r="E3913" t="s">
        <v>16</v>
      </c>
      <c r="F3913" t="s">
        <v>12</v>
      </c>
      <c r="G3913">
        <v>826385</v>
      </c>
      <c r="H3913">
        <v>5500019188</v>
      </c>
      <c r="I3913">
        <v>1100</v>
      </c>
      <c r="J3913" s="29">
        <v>1</v>
      </c>
      <c r="K3913" s="29" t="s">
        <v>563</v>
      </c>
      <c r="L3913" t="str">
        <f>IFERROR(VLOOKUP(Detalle_OC[[#This Row],[Centro]]&amp;Detalle_OC[[#This Row],[Nro Almacen]],Almacen!A:D,4,FALSE),"")</f>
        <v>Montelima</v>
      </c>
    </row>
    <row r="3914" spans="1:12" x14ac:dyDescent="0.3">
      <c r="A3914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3914" t="s">
        <v>28</v>
      </c>
      <c r="C3914" t="s">
        <v>84</v>
      </c>
      <c r="D3914" s="11">
        <v>44673</v>
      </c>
      <c r="E3914" t="s">
        <v>16</v>
      </c>
      <c r="F3914" t="s">
        <v>85</v>
      </c>
      <c r="G3914">
        <v>801846</v>
      </c>
      <c r="H3914">
        <v>5500022336</v>
      </c>
      <c r="I3914">
        <v>10</v>
      </c>
      <c r="J3914" s="29">
        <v>1</v>
      </c>
      <c r="K3914" s="29" t="s">
        <v>564</v>
      </c>
      <c r="L3914" t="str">
        <f>IFERROR(VLOOKUP(Detalle_OC[[#This Row],[Centro]]&amp;Detalle_OC[[#This Row],[Nro Almacen]],Almacen!A:D,4,FALSE),"")</f>
        <v>Montelima</v>
      </c>
    </row>
    <row r="3915" spans="1:12" x14ac:dyDescent="0.3">
      <c r="A3915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3915" t="s">
        <v>28</v>
      </c>
      <c r="C3915" t="s">
        <v>84</v>
      </c>
      <c r="D3915" s="11">
        <v>44673</v>
      </c>
      <c r="E3915" t="s">
        <v>16</v>
      </c>
      <c r="F3915" t="s">
        <v>85</v>
      </c>
      <c r="G3915">
        <v>806591</v>
      </c>
      <c r="H3915">
        <v>5500022336</v>
      </c>
      <c r="I3915">
        <v>20</v>
      </c>
      <c r="J3915" s="29">
        <v>1</v>
      </c>
      <c r="K3915" s="29" t="s">
        <v>564</v>
      </c>
      <c r="L3915" t="str">
        <f>IFERROR(VLOOKUP(Detalle_OC[[#This Row],[Centro]]&amp;Detalle_OC[[#This Row],[Nro Almacen]],Almacen!A:D,4,FALSE),"")</f>
        <v>Montelima</v>
      </c>
    </row>
    <row r="3916" spans="1:12" x14ac:dyDescent="0.3">
      <c r="A3916" s="29" t="str">
        <f>Detalle_OC[[#This Row],[Centro]]&amp;Detalle_OC[[#This Row],[Nom Almacen]]&amp;Detalle_OC[[#This Row],[Material]]&amp;Detalle_OC[[#This Row],[Pedido]]&amp;Detalle_OC[[#This Row],[Posicion]]</f>
        <v>Agricola del Chira PlantaMontelima808069550002233830</v>
      </c>
      <c r="B3916" t="s">
        <v>28</v>
      </c>
      <c r="C3916" t="s">
        <v>84</v>
      </c>
      <c r="D3916" s="11">
        <v>44673</v>
      </c>
      <c r="E3916" t="s">
        <v>16</v>
      </c>
      <c r="F3916" t="s">
        <v>12</v>
      </c>
      <c r="G3916">
        <v>808069</v>
      </c>
      <c r="H3916">
        <v>5500022338</v>
      </c>
      <c r="I3916">
        <v>30</v>
      </c>
      <c r="J3916" s="29">
        <v>1</v>
      </c>
      <c r="K3916" s="29" t="s">
        <v>564</v>
      </c>
      <c r="L3916" t="str">
        <f>IFERROR(VLOOKUP(Detalle_OC[[#This Row],[Centro]]&amp;Detalle_OC[[#This Row],[Nro Almacen]],Almacen!A:D,4,FALSE),"")</f>
        <v>Montelima</v>
      </c>
    </row>
    <row r="3917" spans="1:12" x14ac:dyDescent="0.3">
      <c r="A3917" s="29" t="str">
        <f>Detalle_OC[[#This Row],[Centro]]&amp;Detalle_OC[[#This Row],[Nom Almacen]]&amp;Detalle_OC[[#This Row],[Material]]&amp;Detalle_OC[[#This Row],[Pedido]]&amp;Detalle_OC[[#This Row],[Posicion]]</f>
        <v>Agricola del Chira PlantaMontelima70032053550002233880</v>
      </c>
      <c r="B3917" t="s">
        <v>28</v>
      </c>
      <c r="C3917" t="s">
        <v>84</v>
      </c>
      <c r="D3917" s="11">
        <v>44673</v>
      </c>
      <c r="E3917" t="s">
        <v>16</v>
      </c>
      <c r="F3917" t="s">
        <v>12</v>
      </c>
      <c r="G3917">
        <v>70032053</v>
      </c>
      <c r="H3917">
        <v>5500022338</v>
      </c>
      <c r="I3917">
        <v>80</v>
      </c>
      <c r="J3917" s="29">
        <v>1</v>
      </c>
      <c r="K3917" s="29" t="s">
        <v>564</v>
      </c>
      <c r="L3917" t="str">
        <f>IFERROR(VLOOKUP(Detalle_OC[[#This Row],[Centro]]&amp;Detalle_OC[[#This Row],[Nro Almacen]],Almacen!A:D,4,FALSE),"")</f>
        <v>Montelima</v>
      </c>
    </row>
    <row r="3918" spans="1:12" x14ac:dyDescent="0.3">
      <c r="A3918" s="29" t="str">
        <f>Detalle_OC[[#This Row],[Centro]]&amp;Detalle_OC[[#This Row],[Nom Almacen]]&amp;Detalle_OC[[#This Row],[Material]]&amp;Detalle_OC[[#This Row],[Pedido]]&amp;Detalle_OC[[#This Row],[Posicion]]</f>
        <v>Agricola del Chira PlantaMontelima8445265500019188390</v>
      </c>
      <c r="B3918" t="s">
        <v>28</v>
      </c>
      <c r="C3918" t="s">
        <v>82</v>
      </c>
      <c r="D3918" s="11">
        <v>44669</v>
      </c>
      <c r="E3918" t="s">
        <v>16</v>
      </c>
      <c r="F3918" t="s">
        <v>12</v>
      </c>
      <c r="G3918">
        <v>844526</v>
      </c>
      <c r="H3918">
        <v>5500019188</v>
      </c>
      <c r="I3918">
        <v>390</v>
      </c>
      <c r="J3918" s="29">
        <v>1</v>
      </c>
      <c r="K3918" s="29" t="s">
        <v>565</v>
      </c>
      <c r="L3918" t="str">
        <f>IFERROR(VLOOKUP(Detalle_OC[[#This Row],[Centro]]&amp;Detalle_OC[[#This Row],[Nro Almacen]],Almacen!A:D,4,FALSE),"")</f>
        <v>Montelima</v>
      </c>
    </row>
    <row r="3919" spans="1:12" x14ac:dyDescent="0.3">
      <c r="A3919" s="29" t="str">
        <f>Detalle_OC[[#This Row],[Centro]]&amp;Detalle_OC[[#This Row],[Nom Almacen]]&amp;Detalle_OC[[#This Row],[Material]]&amp;Detalle_OC[[#This Row],[Pedido]]&amp;Detalle_OC[[#This Row],[Posicion]]</f>
        <v>Agricola del Chira PlantaMontelima82640155000191881130</v>
      </c>
      <c r="B3919" t="s">
        <v>28</v>
      </c>
      <c r="C3919" t="s">
        <v>82</v>
      </c>
      <c r="D3919" s="11">
        <v>44669</v>
      </c>
      <c r="E3919" t="s">
        <v>16</v>
      </c>
      <c r="F3919" t="s">
        <v>12</v>
      </c>
      <c r="G3919">
        <v>826401</v>
      </c>
      <c r="H3919">
        <v>5500019188</v>
      </c>
      <c r="I3919">
        <v>1130</v>
      </c>
      <c r="J3919" s="29">
        <v>1</v>
      </c>
      <c r="K3919" s="29" t="s">
        <v>565</v>
      </c>
      <c r="L3919" t="str">
        <f>IFERROR(VLOOKUP(Detalle_OC[[#This Row],[Centro]]&amp;Detalle_OC[[#This Row],[Nro Almacen]],Almacen!A:D,4,FALSE),"")</f>
        <v>Montelima</v>
      </c>
    </row>
    <row r="3920" spans="1:12" x14ac:dyDescent="0.3">
      <c r="A3920" s="29" t="str">
        <f>Detalle_OC[[#This Row],[Centro]]&amp;Detalle_OC[[#This Row],[Nom Almacen]]&amp;Detalle_OC[[#This Row],[Material]]&amp;Detalle_OC[[#This Row],[Pedido]]&amp;Detalle_OC[[#This Row],[Posicion]]</f>
        <v>Agricola del Chira PlantaMontelima8445265500019188390</v>
      </c>
      <c r="B3920" t="s">
        <v>28</v>
      </c>
      <c r="C3920" t="s">
        <v>82</v>
      </c>
      <c r="D3920" s="11">
        <v>44651</v>
      </c>
      <c r="E3920" t="s">
        <v>16</v>
      </c>
      <c r="F3920" t="s">
        <v>12</v>
      </c>
      <c r="G3920">
        <v>844526</v>
      </c>
      <c r="H3920">
        <v>5500019188</v>
      </c>
      <c r="I3920">
        <v>390</v>
      </c>
      <c r="J3920" s="29">
        <v>1</v>
      </c>
      <c r="K3920" s="29" t="s">
        <v>566</v>
      </c>
      <c r="L3920" t="str">
        <f>IFERROR(VLOOKUP(Detalle_OC[[#This Row],[Centro]]&amp;Detalle_OC[[#This Row],[Nro Almacen]],Almacen!A:D,4,FALSE),"")</f>
        <v>Montelima</v>
      </c>
    </row>
    <row r="3921" spans="1:12" x14ac:dyDescent="0.3">
      <c r="A3921" s="29" t="str">
        <f>Detalle_OC[[#This Row],[Centro]]&amp;Detalle_OC[[#This Row],[Nom Almacen]]&amp;Detalle_OC[[#This Row],[Material]]&amp;Detalle_OC[[#This Row],[Pedido]]&amp;Detalle_OC[[#This Row],[Posicion]]</f>
        <v>Agricola del Chira PlantaMontelima82640155000191881130</v>
      </c>
      <c r="B3921" t="s">
        <v>28</v>
      </c>
      <c r="C3921" t="s">
        <v>82</v>
      </c>
      <c r="D3921" s="11">
        <v>44651</v>
      </c>
      <c r="E3921" t="s">
        <v>16</v>
      </c>
      <c r="F3921" t="s">
        <v>12</v>
      </c>
      <c r="G3921">
        <v>826401</v>
      </c>
      <c r="H3921">
        <v>5500019188</v>
      </c>
      <c r="I3921">
        <v>1130</v>
      </c>
      <c r="J3921" s="29">
        <v>1</v>
      </c>
      <c r="K3921" s="29" t="s">
        <v>566</v>
      </c>
      <c r="L3921" t="str">
        <f>IFERROR(VLOOKUP(Detalle_OC[[#This Row],[Centro]]&amp;Detalle_OC[[#This Row],[Nro Almacen]],Almacen!A:D,4,FALSE),"")</f>
        <v>Montelima</v>
      </c>
    </row>
    <row r="3922" spans="1:12" x14ac:dyDescent="0.3">
      <c r="A3922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3922" t="s">
        <v>28</v>
      </c>
      <c r="C3922" t="s">
        <v>84</v>
      </c>
      <c r="D3922" s="11">
        <v>44642</v>
      </c>
      <c r="E3922" t="s">
        <v>16</v>
      </c>
      <c r="F3922" t="s">
        <v>85</v>
      </c>
      <c r="G3922">
        <v>801846</v>
      </c>
      <c r="H3922">
        <v>5500022336</v>
      </c>
      <c r="I3922">
        <v>10</v>
      </c>
      <c r="J3922" s="29">
        <v>1</v>
      </c>
      <c r="K3922" s="29" t="s">
        <v>567</v>
      </c>
      <c r="L3922" t="str">
        <f>IFERROR(VLOOKUP(Detalle_OC[[#This Row],[Centro]]&amp;Detalle_OC[[#This Row],[Nro Almacen]],Almacen!A:D,4,FALSE),"")</f>
        <v>Montelima</v>
      </c>
    </row>
    <row r="3923" spans="1:12" x14ac:dyDescent="0.3">
      <c r="A3923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3923" t="s">
        <v>28</v>
      </c>
      <c r="C3923" t="s">
        <v>84</v>
      </c>
      <c r="D3923" s="11">
        <v>44636</v>
      </c>
      <c r="E3923" t="s">
        <v>16</v>
      </c>
      <c r="F3923" t="s">
        <v>85</v>
      </c>
      <c r="G3923">
        <v>801846</v>
      </c>
      <c r="H3923">
        <v>5500022336</v>
      </c>
      <c r="I3923">
        <v>10</v>
      </c>
      <c r="J3923" s="29">
        <v>1</v>
      </c>
      <c r="K3923" s="29" t="s">
        <v>568</v>
      </c>
      <c r="L3923" t="str">
        <f>IFERROR(VLOOKUP(Detalle_OC[[#This Row],[Centro]]&amp;Detalle_OC[[#This Row],[Nro Almacen]],Almacen!A:D,4,FALSE),"")</f>
        <v>Montelima</v>
      </c>
    </row>
    <row r="3924" spans="1:12" x14ac:dyDescent="0.3">
      <c r="A3924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3924" t="s">
        <v>28</v>
      </c>
      <c r="C3924" t="s">
        <v>84</v>
      </c>
      <c r="D3924" s="11">
        <v>44636</v>
      </c>
      <c r="E3924" t="s">
        <v>16</v>
      </c>
      <c r="F3924" t="s">
        <v>85</v>
      </c>
      <c r="G3924">
        <v>806591</v>
      </c>
      <c r="H3924">
        <v>5500022336</v>
      </c>
      <c r="I3924">
        <v>20</v>
      </c>
      <c r="J3924" s="29">
        <v>1</v>
      </c>
      <c r="K3924" s="29" t="s">
        <v>568</v>
      </c>
      <c r="L3924" t="str">
        <f>IFERROR(VLOOKUP(Detalle_OC[[#This Row],[Centro]]&amp;Detalle_OC[[#This Row],[Nro Almacen]],Almacen!A:D,4,FALSE),"")</f>
        <v>Montelima</v>
      </c>
    </row>
    <row r="3925" spans="1:12" x14ac:dyDescent="0.3">
      <c r="A3925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3925" t="s">
        <v>28</v>
      </c>
      <c r="C3925" t="s">
        <v>84</v>
      </c>
      <c r="D3925" s="11">
        <v>44636</v>
      </c>
      <c r="E3925" t="s">
        <v>16</v>
      </c>
      <c r="F3925" t="s">
        <v>85</v>
      </c>
      <c r="G3925">
        <v>806591</v>
      </c>
      <c r="H3925">
        <v>5500022336</v>
      </c>
      <c r="I3925">
        <v>20</v>
      </c>
      <c r="J3925" s="29">
        <v>1</v>
      </c>
      <c r="K3925" s="29" t="s">
        <v>568</v>
      </c>
      <c r="L3925" t="str">
        <f>IFERROR(VLOOKUP(Detalle_OC[[#This Row],[Centro]]&amp;Detalle_OC[[#This Row],[Nro Almacen]],Almacen!A:D,4,FALSE),"")</f>
        <v>Montelima</v>
      </c>
    </row>
    <row r="3926" spans="1:12" x14ac:dyDescent="0.3">
      <c r="A3926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3926" t="s">
        <v>28</v>
      </c>
      <c r="C3926" t="s">
        <v>84</v>
      </c>
      <c r="D3926" s="11">
        <v>44636</v>
      </c>
      <c r="E3926" t="s">
        <v>16</v>
      </c>
      <c r="F3926" t="s">
        <v>12</v>
      </c>
      <c r="G3926">
        <v>801846</v>
      </c>
      <c r="H3926">
        <v>5500022338</v>
      </c>
      <c r="I3926">
        <v>40</v>
      </c>
      <c r="J3926" s="29">
        <v>1</v>
      </c>
      <c r="K3926" s="29" t="s">
        <v>568</v>
      </c>
      <c r="L3926" t="str">
        <f>IFERROR(VLOOKUP(Detalle_OC[[#This Row],[Centro]]&amp;Detalle_OC[[#This Row],[Nro Almacen]],Almacen!A:D,4,FALSE),"")</f>
        <v>Montelima</v>
      </c>
    </row>
    <row r="3927" spans="1:12" x14ac:dyDescent="0.3">
      <c r="A3927" s="29" t="str">
        <f>Detalle_OC[[#This Row],[Centro]]&amp;Detalle_OC[[#This Row],[Nom Almacen]]&amp;Detalle_OC[[#This Row],[Material]]&amp;Detalle_OC[[#This Row],[Pedido]]&amp;Detalle_OC[[#This Row],[Posicion]]</f>
        <v>Agricola del Chira PlantaMontelima738330550001918820</v>
      </c>
      <c r="B3927" t="s">
        <v>28</v>
      </c>
      <c r="C3927" t="s">
        <v>82</v>
      </c>
      <c r="D3927" s="11">
        <v>44627</v>
      </c>
      <c r="E3927" t="s">
        <v>16</v>
      </c>
      <c r="F3927" t="s">
        <v>12</v>
      </c>
      <c r="G3927">
        <v>738330</v>
      </c>
      <c r="H3927">
        <v>5500019188</v>
      </c>
      <c r="I3927">
        <v>20</v>
      </c>
      <c r="J3927" s="29">
        <v>1</v>
      </c>
      <c r="K3927" s="29" t="s">
        <v>569</v>
      </c>
      <c r="L3927" t="str">
        <f>IFERROR(VLOOKUP(Detalle_OC[[#This Row],[Centro]]&amp;Detalle_OC[[#This Row],[Nro Almacen]],Almacen!A:D,4,FALSE),"")</f>
        <v>Montelima</v>
      </c>
    </row>
    <row r="3928" spans="1:12" x14ac:dyDescent="0.3">
      <c r="A3928" s="29" t="str">
        <f>Detalle_OC[[#This Row],[Centro]]&amp;Detalle_OC[[#This Row],[Nom Almacen]]&amp;Detalle_OC[[#This Row],[Material]]&amp;Detalle_OC[[#This Row],[Pedido]]&amp;Detalle_OC[[#This Row],[Posicion]]</f>
        <v>Agricola del Chira PlantaMontelima83507855000191881330</v>
      </c>
      <c r="B3928" t="s">
        <v>28</v>
      </c>
      <c r="C3928" t="s">
        <v>82</v>
      </c>
      <c r="D3928" s="11">
        <v>44627</v>
      </c>
      <c r="E3928" t="s">
        <v>16</v>
      </c>
      <c r="F3928" t="s">
        <v>12</v>
      </c>
      <c r="G3928">
        <v>835078</v>
      </c>
      <c r="H3928">
        <v>5500019188</v>
      </c>
      <c r="I3928">
        <v>1330</v>
      </c>
      <c r="J3928" s="29">
        <v>1</v>
      </c>
      <c r="K3928" s="29" t="s">
        <v>570</v>
      </c>
      <c r="L3928" t="str">
        <f>IFERROR(VLOOKUP(Detalle_OC[[#This Row],[Centro]]&amp;Detalle_OC[[#This Row],[Nro Almacen]],Almacen!A:D,4,FALSE),"")</f>
        <v>Montelima</v>
      </c>
    </row>
    <row r="3929" spans="1:12" x14ac:dyDescent="0.3">
      <c r="A3929" s="29" t="str">
        <f>Detalle_OC[[#This Row],[Centro]]&amp;Detalle_OC[[#This Row],[Nom Almacen]]&amp;Detalle_OC[[#This Row],[Material]]&amp;Detalle_OC[[#This Row],[Pedido]]&amp;Detalle_OC[[#This Row],[Posicion]]</f>
        <v>Agricola del Chira PlantaMontelima762202550001918850</v>
      </c>
      <c r="B3929" t="s">
        <v>28</v>
      </c>
      <c r="C3929" t="s">
        <v>82</v>
      </c>
      <c r="D3929" s="11">
        <v>44627</v>
      </c>
      <c r="E3929" t="s">
        <v>16</v>
      </c>
      <c r="F3929" t="s">
        <v>12</v>
      </c>
      <c r="G3929">
        <v>762202</v>
      </c>
      <c r="H3929">
        <v>5500019188</v>
      </c>
      <c r="I3929">
        <v>50</v>
      </c>
      <c r="J3929" s="29">
        <v>1</v>
      </c>
      <c r="K3929" s="29" t="s">
        <v>571</v>
      </c>
      <c r="L3929" t="str">
        <f>IFERROR(VLOOKUP(Detalle_OC[[#This Row],[Centro]]&amp;Detalle_OC[[#This Row],[Nro Almacen]],Almacen!A:D,4,FALSE),"")</f>
        <v>Montelima</v>
      </c>
    </row>
    <row r="3930" spans="1:12" x14ac:dyDescent="0.3">
      <c r="A3930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3930" t="s">
        <v>28</v>
      </c>
      <c r="C3930" t="s">
        <v>82</v>
      </c>
      <c r="D3930" s="11">
        <v>44627</v>
      </c>
      <c r="E3930" t="s">
        <v>16</v>
      </c>
      <c r="F3930" t="s">
        <v>12</v>
      </c>
      <c r="G3930">
        <v>844523</v>
      </c>
      <c r="H3930">
        <v>5500019188</v>
      </c>
      <c r="I3930">
        <v>140</v>
      </c>
      <c r="J3930" s="29">
        <v>1</v>
      </c>
      <c r="K3930" s="29" t="s">
        <v>571</v>
      </c>
      <c r="L3930" t="str">
        <f>IFERROR(VLOOKUP(Detalle_OC[[#This Row],[Centro]]&amp;Detalle_OC[[#This Row],[Nro Almacen]],Almacen!A:D,4,FALSE),"")</f>
        <v>Montelima</v>
      </c>
    </row>
    <row r="3931" spans="1:12" x14ac:dyDescent="0.3">
      <c r="A3931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3931" t="s">
        <v>28</v>
      </c>
      <c r="C3931" t="s">
        <v>82</v>
      </c>
      <c r="D3931" s="11">
        <v>44627</v>
      </c>
      <c r="E3931" t="s">
        <v>16</v>
      </c>
      <c r="F3931" t="s">
        <v>12</v>
      </c>
      <c r="G3931">
        <v>844522</v>
      </c>
      <c r="H3931">
        <v>5500019188</v>
      </c>
      <c r="I3931">
        <v>150</v>
      </c>
      <c r="J3931" s="29">
        <v>1</v>
      </c>
      <c r="K3931" s="29" t="s">
        <v>571</v>
      </c>
      <c r="L3931" t="str">
        <f>IFERROR(VLOOKUP(Detalle_OC[[#This Row],[Centro]]&amp;Detalle_OC[[#This Row],[Nro Almacen]],Almacen!A:D,4,FALSE),"")</f>
        <v>Montelima</v>
      </c>
    </row>
    <row r="3932" spans="1:12" x14ac:dyDescent="0.3">
      <c r="A3932" s="29" t="str">
        <f>Detalle_OC[[#This Row],[Centro]]&amp;Detalle_OC[[#This Row],[Nom Almacen]]&amp;Detalle_OC[[#This Row],[Material]]&amp;Detalle_OC[[#This Row],[Pedido]]&amp;Detalle_OC[[#This Row],[Posicion]]</f>
        <v>Agricola del Chira PlantaMontelima8445115500019188180</v>
      </c>
      <c r="B3932" t="s">
        <v>28</v>
      </c>
      <c r="C3932" t="s">
        <v>82</v>
      </c>
      <c r="D3932" s="11">
        <v>44627</v>
      </c>
      <c r="E3932" t="s">
        <v>16</v>
      </c>
      <c r="F3932" t="s">
        <v>12</v>
      </c>
      <c r="G3932">
        <v>844511</v>
      </c>
      <c r="H3932">
        <v>5500019188</v>
      </c>
      <c r="I3932">
        <v>180</v>
      </c>
      <c r="J3932" s="29">
        <v>1</v>
      </c>
      <c r="K3932" s="29" t="s">
        <v>571</v>
      </c>
      <c r="L3932" t="str">
        <f>IFERROR(VLOOKUP(Detalle_OC[[#This Row],[Centro]]&amp;Detalle_OC[[#This Row],[Nro Almacen]],Almacen!A:D,4,FALSE),"")</f>
        <v>Montelima</v>
      </c>
    </row>
    <row r="3933" spans="1:12" x14ac:dyDescent="0.3">
      <c r="A3933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3933" t="s">
        <v>28</v>
      </c>
      <c r="C3933" t="s">
        <v>82</v>
      </c>
      <c r="D3933" s="11">
        <v>44627</v>
      </c>
      <c r="E3933" t="s">
        <v>16</v>
      </c>
      <c r="F3933" t="s">
        <v>12</v>
      </c>
      <c r="G3933">
        <v>844516</v>
      </c>
      <c r="H3933">
        <v>5500019188</v>
      </c>
      <c r="I3933">
        <v>190</v>
      </c>
      <c r="J3933" s="29">
        <v>1</v>
      </c>
      <c r="K3933" s="29" t="s">
        <v>571</v>
      </c>
      <c r="L3933" t="str">
        <f>IFERROR(VLOOKUP(Detalle_OC[[#This Row],[Centro]]&amp;Detalle_OC[[#This Row],[Nro Almacen]],Almacen!A:D,4,FALSE),"")</f>
        <v>Montelima</v>
      </c>
    </row>
    <row r="3934" spans="1:12" x14ac:dyDescent="0.3">
      <c r="A3934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3934" t="s">
        <v>28</v>
      </c>
      <c r="C3934" t="s">
        <v>82</v>
      </c>
      <c r="D3934" s="11">
        <v>44627</v>
      </c>
      <c r="E3934" t="s">
        <v>16</v>
      </c>
      <c r="F3934" t="s">
        <v>12</v>
      </c>
      <c r="G3934">
        <v>844515</v>
      </c>
      <c r="H3934">
        <v>5500019188</v>
      </c>
      <c r="I3934">
        <v>200</v>
      </c>
      <c r="J3934" s="29">
        <v>1</v>
      </c>
      <c r="K3934" s="29" t="s">
        <v>571</v>
      </c>
      <c r="L3934" t="str">
        <f>IFERROR(VLOOKUP(Detalle_OC[[#This Row],[Centro]]&amp;Detalle_OC[[#This Row],[Nro Almacen]],Almacen!A:D,4,FALSE),"")</f>
        <v>Montelima</v>
      </c>
    </row>
    <row r="3935" spans="1:12" x14ac:dyDescent="0.3">
      <c r="A3935" s="29" t="str">
        <f>Detalle_OC[[#This Row],[Centro]]&amp;Detalle_OC[[#This Row],[Nom Almacen]]&amp;Detalle_OC[[#This Row],[Material]]&amp;Detalle_OC[[#This Row],[Pedido]]&amp;Detalle_OC[[#This Row],[Posicion]]</f>
        <v>Agricola del Chira PlantaMontelima8445185500019188270</v>
      </c>
      <c r="B3935" t="s">
        <v>28</v>
      </c>
      <c r="C3935" t="s">
        <v>82</v>
      </c>
      <c r="D3935" s="11">
        <v>44627</v>
      </c>
      <c r="E3935" t="s">
        <v>16</v>
      </c>
      <c r="F3935" t="s">
        <v>12</v>
      </c>
      <c r="G3935">
        <v>844518</v>
      </c>
      <c r="H3935">
        <v>5500019188</v>
      </c>
      <c r="I3935">
        <v>270</v>
      </c>
      <c r="J3935" s="29">
        <v>1</v>
      </c>
      <c r="K3935" s="29" t="s">
        <v>571</v>
      </c>
      <c r="L3935" t="str">
        <f>IFERROR(VLOOKUP(Detalle_OC[[#This Row],[Centro]]&amp;Detalle_OC[[#This Row],[Nro Almacen]],Almacen!A:D,4,FALSE),"")</f>
        <v>Montelima</v>
      </c>
    </row>
    <row r="3936" spans="1:12" x14ac:dyDescent="0.3">
      <c r="A3936" s="29" t="str">
        <f>Detalle_OC[[#This Row],[Centro]]&amp;Detalle_OC[[#This Row],[Nom Almacen]]&amp;Detalle_OC[[#This Row],[Material]]&amp;Detalle_OC[[#This Row],[Pedido]]&amp;Detalle_OC[[#This Row],[Posicion]]</f>
        <v>Agricola del Chira PlantaMontelima8443975500019188280</v>
      </c>
      <c r="B3936" t="s">
        <v>28</v>
      </c>
      <c r="C3936" t="s">
        <v>82</v>
      </c>
      <c r="D3936" s="11">
        <v>44627</v>
      </c>
      <c r="E3936" t="s">
        <v>16</v>
      </c>
      <c r="F3936" t="s">
        <v>12</v>
      </c>
      <c r="G3936">
        <v>844397</v>
      </c>
      <c r="H3936">
        <v>5500019188</v>
      </c>
      <c r="I3936">
        <v>280</v>
      </c>
      <c r="J3936" s="29">
        <v>1</v>
      </c>
      <c r="K3936" s="29" t="s">
        <v>571</v>
      </c>
      <c r="L3936" t="str">
        <f>IFERROR(VLOOKUP(Detalle_OC[[#This Row],[Centro]]&amp;Detalle_OC[[#This Row],[Nro Almacen]],Almacen!A:D,4,FALSE),"")</f>
        <v>Montelima</v>
      </c>
    </row>
    <row r="3937" spans="1:12" x14ac:dyDescent="0.3">
      <c r="A3937" s="29" t="str">
        <f>Detalle_OC[[#This Row],[Centro]]&amp;Detalle_OC[[#This Row],[Nom Almacen]]&amp;Detalle_OC[[#This Row],[Material]]&amp;Detalle_OC[[#This Row],[Pedido]]&amp;Detalle_OC[[#This Row],[Posicion]]</f>
        <v>Agricola del Chira PlantaMontelima8443985500019188290</v>
      </c>
      <c r="B3937" t="s">
        <v>28</v>
      </c>
      <c r="C3937" t="s">
        <v>82</v>
      </c>
      <c r="D3937" s="11">
        <v>44627</v>
      </c>
      <c r="E3937" t="s">
        <v>16</v>
      </c>
      <c r="F3937" t="s">
        <v>12</v>
      </c>
      <c r="G3937">
        <v>844398</v>
      </c>
      <c r="H3937">
        <v>5500019188</v>
      </c>
      <c r="I3937">
        <v>290</v>
      </c>
      <c r="J3937" s="29">
        <v>1</v>
      </c>
      <c r="K3937" s="29" t="s">
        <v>571</v>
      </c>
      <c r="L3937" t="str">
        <f>IFERROR(VLOOKUP(Detalle_OC[[#This Row],[Centro]]&amp;Detalle_OC[[#This Row],[Nro Almacen]],Almacen!A:D,4,FALSE),"")</f>
        <v>Montelima</v>
      </c>
    </row>
    <row r="3938" spans="1:12" x14ac:dyDescent="0.3">
      <c r="A3938" s="29" t="str">
        <f>Detalle_OC[[#This Row],[Centro]]&amp;Detalle_OC[[#This Row],[Nom Almacen]]&amp;Detalle_OC[[#This Row],[Material]]&amp;Detalle_OC[[#This Row],[Pedido]]&amp;Detalle_OC[[#This Row],[Posicion]]</f>
        <v>Agricola del Chira PlantaMontelima8445395500019188300</v>
      </c>
      <c r="B3938" t="s">
        <v>28</v>
      </c>
      <c r="C3938" t="s">
        <v>82</v>
      </c>
      <c r="D3938" s="11">
        <v>44627</v>
      </c>
      <c r="E3938" t="s">
        <v>16</v>
      </c>
      <c r="F3938" t="s">
        <v>12</v>
      </c>
      <c r="G3938">
        <v>844539</v>
      </c>
      <c r="H3938">
        <v>5500019188</v>
      </c>
      <c r="I3938">
        <v>300</v>
      </c>
      <c r="J3938" s="29">
        <v>1</v>
      </c>
      <c r="K3938" s="29" t="s">
        <v>571</v>
      </c>
      <c r="L3938" t="str">
        <f>IFERROR(VLOOKUP(Detalle_OC[[#This Row],[Centro]]&amp;Detalle_OC[[#This Row],[Nro Almacen]],Almacen!A:D,4,FALSE),"")</f>
        <v>Montelima</v>
      </c>
    </row>
    <row r="3939" spans="1:12" x14ac:dyDescent="0.3">
      <c r="A3939" s="29" t="str">
        <f>Detalle_OC[[#This Row],[Centro]]&amp;Detalle_OC[[#This Row],[Nom Almacen]]&amp;Detalle_OC[[#This Row],[Material]]&amp;Detalle_OC[[#This Row],[Pedido]]&amp;Detalle_OC[[#This Row],[Posicion]]</f>
        <v>Agricola del Chira PlantaMontelima8445515500019188320</v>
      </c>
      <c r="B3939" t="s">
        <v>28</v>
      </c>
      <c r="C3939" t="s">
        <v>82</v>
      </c>
      <c r="D3939" s="11">
        <v>44627</v>
      </c>
      <c r="E3939" t="s">
        <v>16</v>
      </c>
      <c r="F3939" t="s">
        <v>12</v>
      </c>
      <c r="G3939">
        <v>844551</v>
      </c>
      <c r="H3939">
        <v>5500019188</v>
      </c>
      <c r="I3939">
        <v>320</v>
      </c>
      <c r="J3939" s="29">
        <v>1</v>
      </c>
      <c r="K3939" s="29" t="s">
        <v>571</v>
      </c>
      <c r="L3939" t="str">
        <f>IFERROR(VLOOKUP(Detalle_OC[[#This Row],[Centro]]&amp;Detalle_OC[[#This Row],[Nro Almacen]],Almacen!A:D,4,FALSE),"")</f>
        <v>Montelima</v>
      </c>
    </row>
    <row r="3940" spans="1:12" x14ac:dyDescent="0.3">
      <c r="A3940" s="29" t="str">
        <f>Detalle_OC[[#This Row],[Centro]]&amp;Detalle_OC[[#This Row],[Nom Almacen]]&amp;Detalle_OC[[#This Row],[Material]]&amp;Detalle_OC[[#This Row],[Pedido]]&amp;Detalle_OC[[#This Row],[Posicion]]</f>
        <v>Agricola del Chira PlantaMontelima8445515500019188320</v>
      </c>
      <c r="B3940" t="s">
        <v>28</v>
      </c>
      <c r="C3940" t="s">
        <v>82</v>
      </c>
      <c r="D3940" s="11">
        <v>44627</v>
      </c>
      <c r="E3940" t="s">
        <v>16</v>
      </c>
      <c r="F3940" t="s">
        <v>12</v>
      </c>
      <c r="G3940">
        <v>844551</v>
      </c>
      <c r="H3940">
        <v>5500019188</v>
      </c>
      <c r="I3940">
        <v>320</v>
      </c>
      <c r="J3940" s="29">
        <v>1</v>
      </c>
      <c r="K3940" s="29" t="s">
        <v>571</v>
      </c>
      <c r="L3940" t="str">
        <f>IFERROR(VLOOKUP(Detalle_OC[[#This Row],[Centro]]&amp;Detalle_OC[[#This Row],[Nro Almacen]],Almacen!A:D,4,FALSE),"")</f>
        <v>Montelima</v>
      </c>
    </row>
    <row r="3941" spans="1:12" x14ac:dyDescent="0.3">
      <c r="A3941" s="29" t="str">
        <f>Detalle_OC[[#This Row],[Centro]]&amp;Detalle_OC[[#This Row],[Nom Almacen]]&amp;Detalle_OC[[#This Row],[Material]]&amp;Detalle_OC[[#This Row],[Pedido]]&amp;Detalle_OC[[#This Row],[Posicion]]</f>
        <v>Agricola del Chira PlantaMontelima8445175500019188340</v>
      </c>
      <c r="B3941" t="s">
        <v>28</v>
      </c>
      <c r="C3941" t="s">
        <v>82</v>
      </c>
      <c r="D3941" s="11">
        <v>44627</v>
      </c>
      <c r="E3941" t="s">
        <v>16</v>
      </c>
      <c r="F3941" t="s">
        <v>12</v>
      </c>
      <c r="G3941">
        <v>844517</v>
      </c>
      <c r="H3941">
        <v>5500019188</v>
      </c>
      <c r="I3941">
        <v>340</v>
      </c>
      <c r="J3941" s="29">
        <v>1</v>
      </c>
      <c r="K3941" s="29" t="s">
        <v>571</v>
      </c>
      <c r="L3941" t="str">
        <f>IFERROR(VLOOKUP(Detalle_OC[[#This Row],[Centro]]&amp;Detalle_OC[[#This Row],[Nro Almacen]],Almacen!A:D,4,FALSE),"")</f>
        <v>Montelima</v>
      </c>
    </row>
    <row r="3942" spans="1:12" x14ac:dyDescent="0.3">
      <c r="A3942" s="29" t="str">
        <f>Detalle_OC[[#This Row],[Centro]]&amp;Detalle_OC[[#This Row],[Nom Almacen]]&amp;Detalle_OC[[#This Row],[Material]]&amp;Detalle_OC[[#This Row],[Pedido]]&amp;Detalle_OC[[#This Row],[Posicion]]</f>
        <v>Agricola del Chira PlantaMontelima8459085500019188350</v>
      </c>
      <c r="B3942" t="s">
        <v>28</v>
      </c>
      <c r="C3942" t="s">
        <v>82</v>
      </c>
      <c r="D3942" s="11">
        <v>44627</v>
      </c>
      <c r="E3942" t="s">
        <v>16</v>
      </c>
      <c r="F3942" t="s">
        <v>12</v>
      </c>
      <c r="G3942">
        <v>845908</v>
      </c>
      <c r="H3942">
        <v>5500019188</v>
      </c>
      <c r="I3942">
        <v>350</v>
      </c>
      <c r="J3942" s="29">
        <v>1</v>
      </c>
      <c r="K3942" s="29" t="s">
        <v>571</v>
      </c>
      <c r="L3942" t="str">
        <f>IFERROR(VLOOKUP(Detalle_OC[[#This Row],[Centro]]&amp;Detalle_OC[[#This Row],[Nro Almacen]],Almacen!A:D,4,FALSE),"")</f>
        <v>Montelima</v>
      </c>
    </row>
    <row r="3943" spans="1:12" x14ac:dyDescent="0.3">
      <c r="A3943" s="29" t="str">
        <f>Detalle_OC[[#This Row],[Centro]]&amp;Detalle_OC[[#This Row],[Nom Almacen]]&amp;Detalle_OC[[#This Row],[Material]]&amp;Detalle_OC[[#This Row],[Pedido]]&amp;Detalle_OC[[#This Row],[Posicion]]</f>
        <v>Agricola del Chira PlantaMontelima8445035500019188370</v>
      </c>
      <c r="B3943" t="s">
        <v>28</v>
      </c>
      <c r="C3943" t="s">
        <v>82</v>
      </c>
      <c r="D3943" s="11">
        <v>44627</v>
      </c>
      <c r="E3943" t="s">
        <v>16</v>
      </c>
      <c r="F3943" t="s">
        <v>12</v>
      </c>
      <c r="G3943">
        <v>844503</v>
      </c>
      <c r="H3943">
        <v>5500019188</v>
      </c>
      <c r="I3943">
        <v>370</v>
      </c>
      <c r="J3943" s="29">
        <v>1</v>
      </c>
      <c r="K3943" s="29" t="s">
        <v>571</v>
      </c>
      <c r="L3943" t="str">
        <f>IFERROR(VLOOKUP(Detalle_OC[[#This Row],[Centro]]&amp;Detalle_OC[[#This Row],[Nro Almacen]],Almacen!A:D,4,FALSE),"")</f>
        <v>Montelima</v>
      </c>
    </row>
    <row r="3944" spans="1:12" x14ac:dyDescent="0.3">
      <c r="A3944" s="29" t="str">
        <f>Detalle_OC[[#This Row],[Centro]]&amp;Detalle_OC[[#This Row],[Nom Almacen]]&amp;Detalle_OC[[#This Row],[Material]]&amp;Detalle_OC[[#This Row],[Pedido]]&amp;Detalle_OC[[#This Row],[Posicion]]</f>
        <v>Agricola del Chira PlantaMontelima8445265500019188390</v>
      </c>
      <c r="B3944" t="s">
        <v>28</v>
      </c>
      <c r="C3944" t="s">
        <v>82</v>
      </c>
      <c r="D3944" s="11">
        <v>44627</v>
      </c>
      <c r="E3944" t="s">
        <v>16</v>
      </c>
      <c r="F3944" t="s">
        <v>12</v>
      </c>
      <c r="G3944">
        <v>844526</v>
      </c>
      <c r="H3944">
        <v>5500019188</v>
      </c>
      <c r="I3944">
        <v>390</v>
      </c>
      <c r="J3944" s="29">
        <v>1</v>
      </c>
      <c r="K3944" s="29" t="s">
        <v>571</v>
      </c>
      <c r="L3944" t="str">
        <f>IFERROR(VLOOKUP(Detalle_OC[[#This Row],[Centro]]&amp;Detalle_OC[[#This Row],[Nro Almacen]],Almacen!A:D,4,FALSE),"")</f>
        <v>Montelima</v>
      </c>
    </row>
    <row r="3945" spans="1:12" x14ac:dyDescent="0.3">
      <c r="A3945" s="29" t="str">
        <f>Detalle_OC[[#This Row],[Centro]]&amp;Detalle_OC[[#This Row],[Nom Almacen]]&amp;Detalle_OC[[#This Row],[Material]]&amp;Detalle_OC[[#This Row],[Pedido]]&amp;Detalle_OC[[#This Row],[Posicion]]</f>
        <v>Agricola del Chira PlantaMontelima8445325500019188440</v>
      </c>
      <c r="B3945" t="s">
        <v>28</v>
      </c>
      <c r="C3945" t="s">
        <v>82</v>
      </c>
      <c r="D3945" s="11">
        <v>44627</v>
      </c>
      <c r="E3945" t="s">
        <v>16</v>
      </c>
      <c r="F3945" t="s">
        <v>12</v>
      </c>
      <c r="G3945">
        <v>844532</v>
      </c>
      <c r="H3945">
        <v>5500019188</v>
      </c>
      <c r="I3945">
        <v>440</v>
      </c>
      <c r="J3945" s="29">
        <v>1</v>
      </c>
      <c r="K3945" s="29" t="s">
        <v>571</v>
      </c>
      <c r="L3945" t="str">
        <f>IFERROR(VLOOKUP(Detalle_OC[[#This Row],[Centro]]&amp;Detalle_OC[[#This Row],[Nro Almacen]],Almacen!A:D,4,FALSE),"")</f>
        <v>Montelima</v>
      </c>
    </row>
    <row r="3946" spans="1:12" x14ac:dyDescent="0.3">
      <c r="A3946" s="29" t="str">
        <f>Detalle_OC[[#This Row],[Centro]]&amp;Detalle_OC[[#This Row],[Nom Almacen]]&amp;Detalle_OC[[#This Row],[Material]]&amp;Detalle_OC[[#This Row],[Pedido]]&amp;Detalle_OC[[#This Row],[Posicion]]</f>
        <v>Agricola del Chira PlantaMontelima8445325500019188440</v>
      </c>
      <c r="B3946" t="s">
        <v>28</v>
      </c>
      <c r="C3946" t="s">
        <v>82</v>
      </c>
      <c r="D3946" s="11">
        <v>44627</v>
      </c>
      <c r="E3946" t="s">
        <v>16</v>
      </c>
      <c r="F3946" t="s">
        <v>12</v>
      </c>
      <c r="G3946">
        <v>844532</v>
      </c>
      <c r="H3946">
        <v>5500019188</v>
      </c>
      <c r="I3946">
        <v>440</v>
      </c>
      <c r="J3946" s="29">
        <v>1</v>
      </c>
      <c r="K3946" s="29" t="s">
        <v>571</v>
      </c>
      <c r="L3946" t="str">
        <f>IFERROR(VLOOKUP(Detalle_OC[[#This Row],[Centro]]&amp;Detalle_OC[[#This Row],[Nro Almacen]],Almacen!A:D,4,FALSE),"")</f>
        <v>Montelima</v>
      </c>
    </row>
    <row r="3947" spans="1:12" x14ac:dyDescent="0.3">
      <c r="A3947" s="29" t="str">
        <f>Detalle_OC[[#This Row],[Centro]]&amp;Detalle_OC[[#This Row],[Nom Almacen]]&amp;Detalle_OC[[#This Row],[Material]]&amp;Detalle_OC[[#This Row],[Pedido]]&amp;Detalle_OC[[#This Row],[Posicion]]</f>
        <v>Agricola del Chira PlantaMontelima8445135500019188450</v>
      </c>
      <c r="B3947" t="s">
        <v>28</v>
      </c>
      <c r="C3947" t="s">
        <v>82</v>
      </c>
      <c r="D3947" s="11">
        <v>44627</v>
      </c>
      <c r="E3947" t="s">
        <v>16</v>
      </c>
      <c r="F3947" t="s">
        <v>12</v>
      </c>
      <c r="G3947">
        <v>844513</v>
      </c>
      <c r="H3947">
        <v>5500019188</v>
      </c>
      <c r="I3947">
        <v>450</v>
      </c>
      <c r="J3947" s="29">
        <v>1</v>
      </c>
      <c r="K3947" s="29" t="s">
        <v>571</v>
      </c>
      <c r="L3947" t="str">
        <f>IFERROR(VLOOKUP(Detalle_OC[[#This Row],[Centro]]&amp;Detalle_OC[[#This Row],[Nro Almacen]],Almacen!A:D,4,FALSE),"")</f>
        <v>Montelima</v>
      </c>
    </row>
    <row r="3948" spans="1:12" x14ac:dyDescent="0.3">
      <c r="A3948" s="29" t="str">
        <f>Detalle_OC[[#This Row],[Centro]]&amp;Detalle_OC[[#This Row],[Nom Almacen]]&amp;Detalle_OC[[#This Row],[Material]]&amp;Detalle_OC[[#This Row],[Pedido]]&amp;Detalle_OC[[#This Row],[Posicion]]</f>
        <v>Agricola del Chira PlantaMontelima8445305500019188490</v>
      </c>
      <c r="B3948" t="s">
        <v>28</v>
      </c>
      <c r="C3948" t="s">
        <v>82</v>
      </c>
      <c r="D3948" s="11">
        <v>44627</v>
      </c>
      <c r="E3948" t="s">
        <v>16</v>
      </c>
      <c r="F3948" t="s">
        <v>12</v>
      </c>
      <c r="G3948">
        <v>844530</v>
      </c>
      <c r="H3948">
        <v>5500019188</v>
      </c>
      <c r="I3948">
        <v>490</v>
      </c>
      <c r="J3948" s="29">
        <v>1</v>
      </c>
      <c r="K3948" s="29" t="s">
        <v>571</v>
      </c>
      <c r="L3948" t="str">
        <f>IFERROR(VLOOKUP(Detalle_OC[[#This Row],[Centro]]&amp;Detalle_OC[[#This Row],[Nro Almacen]],Almacen!A:D,4,FALSE),"")</f>
        <v>Montelima</v>
      </c>
    </row>
    <row r="3949" spans="1:12" x14ac:dyDescent="0.3">
      <c r="A3949" s="29" t="str">
        <f>Detalle_OC[[#This Row],[Centro]]&amp;Detalle_OC[[#This Row],[Nom Almacen]]&amp;Detalle_OC[[#This Row],[Material]]&amp;Detalle_OC[[#This Row],[Pedido]]&amp;Detalle_OC[[#This Row],[Posicion]]</f>
        <v>Agricola del Chira PlantaMontelima8443995500019188500</v>
      </c>
      <c r="B3949" t="s">
        <v>28</v>
      </c>
      <c r="C3949" t="s">
        <v>82</v>
      </c>
      <c r="D3949" s="11">
        <v>44627</v>
      </c>
      <c r="E3949" t="s">
        <v>16</v>
      </c>
      <c r="F3949" t="s">
        <v>12</v>
      </c>
      <c r="G3949">
        <v>844399</v>
      </c>
      <c r="H3949">
        <v>5500019188</v>
      </c>
      <c r="I3949">
        <v>500</v>
      </c>
      <c r="J3949" s="29">
        <v>1</v>
      </c>
      <c r="K3949" s="29" t="s">
        <v>571</v>
      </c>
      <c r="L3949" t="str">
        <f>IFERROR(VLOOKUP(Detalle_OC[[#This Row],[Centro]]&amp;Detalle_OC[[#This Row],[Nro Almacen]],Almacen!A:D,4,FALSE),"")</f>
        <v>Montelima</v>
      </c>
    </row>
    <row r="3950" spans="1:12" x14ac:dyDescent="0.3">
      <c r="A3950" s="29" t="str">
        <f>Detalle_OC[[#This Row],[Centro]]&amp;Detalle_OC[[#This Row],[Nom Almacen]]&amp;Detalle_OC[[#This Row],[Material]]&amp;Detalle_OC[[#This Row],[Pedido]]&amp;Detalle_OC[[#This Row],[Posicion]]</f>
        <v>Agricola del Chira PlantaMontelima8445205500019188520</v>
      </c>
      <c r="B3950" t="s">
        <v>28</v>
      </c>
      <c r="C3950" t="s">
        <v>82</v>
      </c>
      <c r="D3950" s="11">
        <v>44627</v>
      </c>
      <c r="E3950" t="s">
        <v>16</v>
      </c>
      <c r="F3950" t="s">
        <v>12</v>
      </c>
      <c r="G3950">
        <v>844520</v>
      </c>
      <c r="H3950">
        <v>5500019188</v>
      </c>
      <c r="I3950">
        <v>520</v>
      </c>
      <c r="J3950" s="29">
        <v>1</v>
      </c>
      <c r="K3950" s="29" t="s">
        <v>571</v>
      </c>
      <c r="L3950" t="str">
        <f>IFERROR(VLOOKUP(Detalle_OC[[#This Row],[Centro]]&amp;Detalle_OC[[#This Row],[Nro Almacen]],Almacen!A:D,4,FALSE),"")</f>
        <v>Montelima</v>
      </c>
    </row>
    <row r="3951" spans="1:12" x14ac:dyDescent="0.3">
      <c r="A3951" s="29" t="str">
        <f>Detalle_OC[[#This Row],[Centro]]&amp;Detalle_OC[[#This Row],[Nom Almacen]]&amp;Detalle_OC[[#This Row],[Material]]&amp;Detalle_OC[[#This Row],[Pedido]]&amp;Detalle_OC[[#This Row],[Posicion]]</f>
        <v>Agricola del Chira PlantaMontelima8445195500019188530</v>
      </c>
      <c r="B3951" t="s">
        <v>28</v>
      </c>
      <c r="C3951" t="s">
        <v>82</v>
      </c>
      <c r="D3951" s="11">
        <v>44627</v>
      </c>
      <c r="E3951" t="s">
        <v>16</v>
      </c>
      <c r="F3951" t="s">
        <v>12</v>
      </c>
      <c r="G3951">
        <v>844519</v>
      </c>
      <c r="H3951">
        <v>5500019188</v>
      </c>
      <c r="I3951">
        <v>530</v>
      </c>
      <c r="J3951" s="29">
        <v>1</v>
      </c>
      <c r="K3951" s="29" t="s">
        <v>571</v>
      </c>
      <c r="L3951" t="str">
        <f>IFERROR(VLOOKUP(Detalle_OC[[#This Row],[Centro]]&amp;Detalle_OC[[#This Row],[Nro Almacen]],Almacen!A:D,4,FALSE),"")</f>
        <v>Montelima</v>
      </c>
    </row>
    <row r="3952" spans="1:12" x14ac:dyDescent="0.3">
      <c r="A3952" s="29" t="str">
        <f>Detalle_OC[[#This Row],[Centro]]&amp;Detalle_OC[[#This Row],[Nom Almacen]]&amp;Detalle_OC[[#This Row],[Material]]&amp;Detalle_OC[[#This Row],[Pedido]]&amp;Detalle_OC[[#This Row],[Posicion]]</f>
        <v>Agricola del Chira PlantaMontelima8445145500019188540</v>
      </c>
      <c r="B3952" t="s">
        <v>28</v>
      </c>
      <c r="C3952" t="s">
        <v>82</v>
      </c>
      <c r="D3952" s="11">
        <v>44627</v>
      </c>
      <c r="E3952" t="s">
        <v>16</v>
      </c>
      <c r="F3952" t="s">
        <v>12</v>
      </c>
      <c r="G3952">
        <v>844514</v>
      </c>
      <c r="H3952">
        <v>5500019188</v>
      </c>
      <c r="I3952">
        <v>540</v>
      </c>
      <c r="J3952" s="29">
        <v>1</v>
      </c>
      <c r="K3952" s="29" t="s">
        <v>571</v>
      </c>
      <c r="L3952" t="str">
        <f>IFERROR(VLOOKUP(Detalle_OC[[#This Row],[Centro]]&amp;Detalle_OC[[#This Row],[Nro Almacen]],Almacen!A:D,4,FALSE),"")</f>
        <v>Montelima</v>
      </c>
    </row>
    <row r="3953" spans="1:12" x14ac:dyDescent="0.3">
      <c r="A3953" s="29" t="str">
        <f>Detalle_OC[[#This Row],[Centro]]&amp;Detalle_OC[[#This Row],[Nom Almacen]]&amp;Detalle_OC[[#This Row],[Material]]&amp;Detalle_OC[[#This Row],[Pedido]]&amp;Detalle_OC[[#This Row],[Posicion]]</f>
        <v>Agricola del Chira PlantaMontelima8457155500019188650</v>
      </c>
      <c r="B3953" t="s">
        <v>28</v>
      </c>
      <c r="C3953" t="s">
        <v>82</v>
      </c>
      <c r="D3953" s="11">
        <v>44627</v>
      </c>
      <c r="E3953" t="s">
        <v>16</v>
      </c>
      <c r="F3953" t="s">
        <v>12</v>
      </c>
      <c r="G3953">
        <v>845715</v>
      </c>
      <c r="H3953">
        <v>5500019188</v>
      </c>
      <c r="I3953">
        <v>650</v>
      </c>
      <c r="J3953" s="29">
        <v>1</v>
      </c>
      <c r="K3953" s="29" t="s">
        <v>571</v>
      </c>
      <c r="L3953" t="str">
        <f>IFERROR(VLOOKUP(Detalle_OC[[#This Row],[Centro]]&amp;Detalle_OC[[#This Row],[Nro Almacen]],Almacen!A:D,4,FALSE),"")</f>
        <v>Montelima</v>
      </c>
    </row>
    <row r="3954" spans="1:12" x14ac:dyDescent="0.3">
      <c r="A3954" s="29" t="str">
        <f>Detalle_OC[[#This Row],[Centro]]&amp;Detalle_OC[[#This Row],[Nom Almacen]]&amp;Detalle_OC[[#This Row],[Material]]&amp;Detalle_OC[[#This Row],[Pedido]]&amp;Detalle_OC[[#This Row],[Posicion]]</f>
        <v>Agricola del Chira PlantaMontelima8794985500019188670</v>
      </c>
      <c r="B3954" t="s">
        <v>28</v>
      </c>
      <c r="C3954" t="s">
        <v>82</v>
      </c>
      <c r="D3954" s="11">
        <v>44627</v>
      </c>
      <c r="E3954" t="s">
        <v>16</v>
      </c>
      <c r="F3954" t="s">
        <v>12</v>
      </c>
      <c r="G3954">
        <v>879498</v>
      </c>
      <c r="H3954">
        <v>5500019188</v>
      </c>
      <c r="I3954">
        <v>670</v>
      </c>
      <c r="J3954" s="29">
        <v>1</v>
      </c>
      <c r="K3954" s="29" t="s">
        <v>571</v>
      </c>
      <c r="L3954" t="str">
        <f>IFERROR(VLOOKUP(Detalle_OC[[#This Row],[Centro]]&amp;Detalle_OC[[#This Row],[Nro Almacen]],Almacen!A:D,4,FALSE),"")</f>
        <v>Montelima</v>
      </c>
    </row>
    <row r="3955" spans="1:12" x14ac:dyDescent="0.3">
      <c r="A3955" s="29" t="str">
        <f>Detalle_OC[[#This Row],[Centro]]&amp;Detalle_OC[[#This Row],[Nom Almacen]]&amp;Detalle_OC[[#This Row],[Material]]&amp;Detalle_OC[[#This Row],[Pedido]]&amp;Detalle_OC[[#This Row],[Posicion]]</f>
        <v>Agricola del Chira PlantaMontelima8794985500019188670</v>
      </c>
      <c r="B3955" t="s">
        <v>28</v>
      </c>
      <c r="C3955" t="s">
        <v>82</v>
      </c>
      <c r="D3955" s="11">
        <v>44627</v>
      </c>
      <c r="E3955" t="s">
        <v>16</v>
      </c>
      <c r="F3955" t="s">
        <v>12</v>
      </c>
      <c r="G3955">
        <v>879498</v>
      </c>
      <c r="H3955">
        <v>5500019188</v>
      </c>
      <c r="I3955">
        <v>670</v>
      </c>
      <c r="J3955" s="29">
        <v>1</v>
      </c>
      <c r="K3955" s="29" t="s">
        <v>571</v>
      </c>
      <c r="L3955" t="str">
        <f>IFERROR(VLOOKUP(Detalle_OC[[#This Row],[Centro]]&amp;Detalle_OC[[#This Row],[Nro Almacen]],Almacen!A:D,4,FALSE),"")</f>
        <v>Montelima</v>
      </c>
    </row>
    <row r="3956" spans="1:12" x14ac:dyDescent="0.3">
      <c r="A3956" s="29" t="str">
        <f>Detalle_OC[[#This Row],[Centro]]&amp;Detalle_OC[[#This Row],[Nom Almacen]]&amp;Detalle_OC[[#This Row],[Material]]&amp;Detalle_OC[[#This Row],[Pedido]]&amp;Detalle_OC[[#This Row],[Posicion]]</f>
        <v>Agricola del Chira PlantaMontelima8459045500019188720</v>
      </c>
      <c r="B3956" t="s">
        <v>28</v>
      </c>
      <c r="C3956" t="s">
        <v>82</v>
      </c>
      <c r="D3956" s="11">
        <v>44627</v>
      </c>
      <c r="E3956" t="s">
        <v>16</v>
      </c>
      <c r="F3956" t="s">
        <v>12</v>
      </c>
      <c r="G3956">
        <v>845904</v>
      </c>
      <c r="H3956">
        <v>5500019188</v>
      </c>
      <c r="I3956">
        <v>720</v>
      </c>
      <c r="J3956" s="29">
        <v>1</v>
      </c>
      <c r="K3956" s="29" t="s">
        <v>571</v>
      </c>
      <c r="L3956" t="str">
        <f>IFERROR(VLOOKUP(Detalle_OC[[#This Row],[Centro]]&amp;Detalle_OC[[#This Row],[Nro Almacen]],Almacen!A:D,4,FALSE),"")</f>
        <v>Montelima</v>
      </c>
    </row>
    <row r="3957" spans="1:12" x14ac:dyDescent="0.3">
      <c r="A3957" s="29" t="str">
        <f>Detalle_OC[[#This Row],[Centro]]&amp;Detalle_OC[[#This Row],[Nom Almacen]]&amp;Detalle_OC[[#This Row],[Material]]&amp;Detalle_OC[[#This Row],[Pedido]]&amp;Detalle_OC[[#This Row],[Posicion]]</f>
        <v>Agricola del Chira PlantaMontelima8444995500019188740</v>
      </c>
      <c r="B3957" t="s">
        <v>28</v>
      </c>
      <c r="C3957" t="s">
        <v>82</v>
      </c>
      <c r="D3957" s="11">
        <v>44627</v>
      </c>
      <c r="E3957" t="s">
        <v>16</v>
      </c>
      <c r="F3957" t="s">
        <v>12</v>
      </c>
      <c r="G3957">
        <v>844499</v>
      </c>
      <c r="H3957">
        <v>5500019188</v>
      </c>
      <c r="I3957">
        <v>740</v>
      </c>
      <c r="J3957" s="29">
        <v>1</v>
      </c>
      <c r="K3957" s="29" t="s">
        <v>571</v>
      </c>
      <c r="L3957" t="str">
        <f>IFERROR(VLOOKUP(Detalle_OC[[#This Row],[Centro]]&amp;Detalle_OC[[#This Row],[Nro Almacen]],Almacen!A:D,4,FALSE),"")</f>
        <v>Montelima</v>
      </c>
    </row>
    <row r="3958" spans="1:12" x14ac:dyDescent="0.3">
      <c r="A3958" s="29" t="str">
        <f>Detalle_OC[[#This Row],[Centro]]&amp;Detalle_OC[[#This Row],[Nom Almacen]]&amp;Detalle_OC[[#This Row],[Material]]&amp;Detalle_OC[[#This Row],[Pedido]]&amp;Detalle_OC[[#This Row],[Posicion]]</f>
        <v>Agricola del Chira PlantaMontelima8445015500019188760</v>
      </c>
      <c r="B3958" t="s">
        <v>28</v>
      </c>
      <c r="C3958" t="s">
        <v>82</v>
      </c>
      <c r="D3958" s="11">
        <v>44627</v>
      </c>
      <c r="E3958" t="s">
        <v>16</v>
      </c>
      <c r="F3958" t="s">
        <v>12</v>
      </c>
      <c r="G3958">
        <v>844501</v>
      </c>
      <c r="H3958">
        <v>5500019188</v>
      </c>
      <c r="I3958">
        <v>760</v>
      </c>
      <c r="J3958" s="29">
        <v>1</v>
      </c>
      <c r="K3958" s="29" t="s">
        <v>571</v>
      </c>
      <c r="L3958" t="str">
        <f>IFERROR(VLOOKUP(Detalle_OC[[#This Row],[Centro]]&amp;Detalle_OC[[#This Row],[Nro Almacen]],Almacen!A:D,4,FALSE),"")</f>
        <v>Montelima</v>
      </c>
    </row>
    <row r="3959" spans="1:12" x14ac:dyDescent="0.3">
      <c r="A3959" s="29" t="str">
        <f>Detalle_OC[[#This Row],[Centro]]&amp;Detalle_OC[[#This Row],[Nom Almacen]]&amp;Detalle_OC[[#This Row],[Material]]&amp;Detalle_OC[[#This Row],[Pedido]]&amp;Detalle_OC[[#This Row],[Posicion]]</f>
        <v>Agricola del Chira PlantaMontelima8959485500019188860</v>
      </c>
      <c r="B3959" t="s">
        <v>28</v>
      </c>
      <c r="C3959" t="s">
        <v>82</v>
      </c>
      <c r="D3959" s="11">
        <v>44627</v>
      </c>
      <c r="E3959" t="s">
        <v>16</v>
      </c>
      <c r="F3959" t="s">
        <v>12</v>
      </c>
      <c r="G3959">
        <v>895948</v>
      </c>
      <c r="H3959">
        <v>5500019188</v>
      </c>
      <c r="I3959">
        <v>860</v>
      </c>
      <c r="J3959" s="29">
        <v>1</v>
      </c>
      <c r="K3959" s="29" t="s">
        <v>571</v>
      </c>
      <c r="L3959" t="str">
        <f>IFERROR(VLOOKUP(Detalle_OC[[#This Row],[Centro]]&amp;Detalle_OC[[#This Row],[Nro Almacen]],Almacen!A:D,4,FALSE),"")</f>
        <v>Montelima</v>
      </c>
    </row>
    <row r="3960" spans="1:12" x14ac:dyDescent="0.3">
      <c r="A3960" s="29" t="str">
        <f>Detalle_OC[[#This Row],[Centro]]&amp;Detalle_OC[[#This Row],[Nom Almacen]]&amp;Detalle_OC[[#This Row],[Material]]&amp;Detalle_OC[[#This Row],[Pedido]]&amp;Detalle_OC[[#This Row],[Posicion]]</f>
        <v>Agricola del Chira PlantaMontelima8457915500019188990</v>
      </c>
      <c r="B3960" t="s">
        <v>28</v>
      </c>
      <c r="C3960" t="s">
        <v>82</v>
      </c>
      <c r="D3960" s="11">
        <v>44627</v>
      </c>
      <c r="E3960" t="s">
        <v>16</v>
      </c>
      <c r="F3960" t="s">
        <v>12</v>
      </c>
      <c r="G3960">
        <v>845791</v>
      </c>
      <c r="H3960">
        <v>5500019188</v>
      </c>
      <c r="I3960">
        <v>990</v>
      </c>
      <c r="J3960" s="29">
        <v>1</v>
      </c>
      <c r="K3960" s="29" t="s">
        <v>571</v>
      </c>
      <c r="L3960" t="str">
        <f>IFERROR(VLOOKUP(Detalle_OC[[#This Row],[Centro]]&amp;Detalle_OC[[#This Row],[Nro Almacen]],Almacen!A:D,4,FALSE),"")</f>
        <v>Montelima</v>
      </c>
    </row>
    <row r="3961" spans="1:12" x14ac:dyDescent="0.3">
      <c r="A3961" s="29" t="str">
        <f>Detalle_OC[[#This Row],[Centro]]&amp;Detalle_OC[[#This Row],[Nom Almacen]]&amp;Detalle_OC[[#This Row],[Material]]&amp;Detalle_OC[[#This Row],[Pedido]]&amp;Detalle_OC[[#This Row],[Posicion]]</f>
        <v>Agricola del Chira PlantaMontelima82638255000191881070</v>
      </c>
      <c r="B3961" t="s">
        <v>28</v>
      </c>
      <c r="C3961" t="s">
        <v>82</v>
      </c>
      <c r="D3961" s="11">
        <v>44627</v>
      </c>
      <c r="E3961" t="s">
        <v>16</v>
      </c>
      <c r="F3961" t="s">
        <v>12</v>
      </c>
      <c r="G3961">
        <v>826382</v>
      </c>
      <c r="H3961">
        <v>5500019188</v>
      </c>
      <c r="I3961">
        <v>1070</v>
      </c>
      <c r="J3961" s="29">
        <v>1</v>
      </c>
      <c r="K3961" s="29" t="s">
        <v>571</v>
      </c>
      <c r="L3961" t="str">
        <f>IFERROR(VLOOKUP(Detalle_OC[[#This Row],[Centro]]&amp;Detalle_OC[[#This Row],[Nro Almacen]],Almacen!A:D,4,FALSE),"")</f>
        <v>Montelima</v>
      </c>
    </row>
    <row r="3962" spans="1:12" x14ac:dyDescent="0.3">
      <c r="A3962" s="29" t="str">
        <f>Detalle_OC[[#This Row],[Centro]]&amp;Detalle_OC[[#This Row],[Nom Almacen]]&amp;Detalle_OC[[#This Row],[Material]]&amp;Detalle_OC[[#This Row],[Pedido]]&amp;Detalle_OC[[#This Row],[Posicion]]</f>
        <v>Agricola del Chira PlantaMontelima89260455000191881180</v>
      </c>
      <c r="B3962" t="s">
        <v>28</v>
      </c>
      <c r="C3962" t="s">
        <v>82</v>
      </c>
      <c r="D3962" s="11">
        <v>44627</v>
      </c>
      <c r="E3962" t="s">
        <v>16</v>
      </c>
      <c r="F3962" t="s">
        <v>12</v>
      </c>
      <c r="G3962">
        <v>892604</v>
      </c>
      <c r="H3962">
        <v>5500019188</v>
      </c>
      <c r="I3962">
        <v>1180</v>
      </c>
      <c r="J3962" s="29">
        <v>1</v>
      </c>
      <c r="K3962" s="29" t="s">
        <v>571</v>
      </c>
      <c r="L3962" t="str">
        <f>IFERROR(VLOOKUP(Detalle_OC[[#This Row],[Centro]]&amp;Detalle_OC[[#This Row],[Nro Almacen]],Almacen!A:D,4,FALSE),"")</f>
        <v>Montelima</v>
      </c>
    </row>
    <row r="3963" spans="1:12" x14ac:dyDescent="0.3">
      <c r="A3963" s="29" t="str">
        <f>Detalle_OC[[#This Row],[Centro]]&amp;Detalle_OC[[#This Row],[Nom Almacen]]&amp;Detalle_OC[[#This Row],[Material]]&amp;Detalle_OC[[#This Row],[Pedido]]&amp;Detalle_OC[[#This Row],[Posicion]]</f>
        <v>Agricola del Chira PlantaMontelima82705755000191881210</v>
      </c>
      <c r="B3963" t="s">
        <v>28</v>
      </c>
      <c r="C3963" t="s">
        <v>82</v>
      </c>
      <c r="D3963" s="11">
        <v>44627</v>
      </c>
      <c r="E3963" t="s">
        <v>16</v>
      </c>
      <c r="F3963" t="s">
        <v>12</v>
      </c>
      <c r="G3963">
        <v>827057</v>
      </c>
      <c r="H3963">
        <v>5500019188</v>
      </c>
      <c r="I3963">
        <v>1210</v>
      </c>
      <c r="J3963" s="29">
        <v>1</v>
      </c>
      <c r="K3963" s="29" t="s">
        <v>571</v>
      </c>
      <c r="L3963" t="str">
        <f>IFERROR(VLOOKUP(Detalle_OC[[#This Row],[Centro]]&amp;Detalle_OC[[#This Row],[Nro Almacen]],Almacen!A:D,4,FALSE),"")</f>
        <v>Montelima</v>
      </c>
    </row>
    <row r="3964" spans="1:12" x14ac:dyDescent="0.3">
      <c r="A3964" s="29" t="str">
        <f>Detalle_OC[[#This Row],[Centro]]&amp;Detalle_OC[[#This Row],[Nom Almacen]]&amp;Detalle_OC[[#This Row],[Material]]&amp;Detalle_OC[[#This Row],[Pedido]]&amp;Detalle_OC[[#This Row],[Posicion]]</f>
        <v>Agricola del Chira PlantaMontelima88064955000191881270</v>
      </c>
      <c r="B3964" t="s">
        <v>28</v>
      </c>
      <c r="C3964" t="s">
        <v>82</v>
      </c>
      <c r="D3964" s="11">
        <v>44627</v>
      </c>
      <c r="E3964" t="s">
        <v>16</v>
      </c>
      <c r="F3964" t="s">
        <v>12</v>
      </c>
      <c r="G3964">
        <v>880649</v>
      </c>
      <c r="H3964">
        <v>5500019188</v>
      </c>
      <c r="I3964">
        <v>1270</v>
      </c>
      <c r="J3964" s="29">
        <v>1</v>
      </c>
      <c r="K3964" s="29" t="s">
        <v>571</v>
      </c>
      <c r="L3964" t="str">
        <f>IFERROR(VLOOKUP(Detalle_OC[[#This Row],[Centro]]&amp;Detalle_OC[[#This Row],[Nro Almacen]],Almacen!A:D,4,FALSE),"")</f>
        <v>Montelima</v>
      </c>
    </row>
    <row r="3965" spans="1:12" x14ac:dyDescent="0.3">
      <c r="A3965" s="29" t="str">
        <f>Detalle_OC[[#This Row],[Centro]]&amp;Detalle_OC[[#This Row],[Nom Almacen]]&amp;Detalle_OC[[#This Row],[Material]]&amp;Detalle_OC[[#This Row],[Pedido]]&amp;Detalle_OC[[#This Row],[Posicion]]</f>
        <v>Agricola del Chira PlantaMontelima84557255000191881300</v>
      </c>
      <c r="B3965" t="s">
        <v>28</v>
      </c>
      <c r="C3965" t="s">
        <v>82</v>
      </c>
      <c r="D3965" s="11">
        <v>44627</v>
      </c>
      <c r="E3965" t="s">
        <v>16</v>
      </c>
      <c r="F3965" t="s">
        <v>12</v>
      </c>
      <c r="G3965">
        <v>845572</v>
      </c>
      <c r="H3965">
        <v>5500019188</v>
      </c>
      <c r="I3965">
        <v>1300</v>
      </c>
      <c r="J3965" s="29">
        <v>1</v>
      </c>
      <c r="K3965" s="29" t="s">
        <v>571</v>
      </c>
      <c r="L3965" t="str">
        <f>IFERROR(VLOOKUP(Detalle_OC[[#This Row],[Centro]]&amp;Detalle_OC[[#This Row],[Nro Almacen]],Almacen!A:D,4,FALSE),"")</f>
        <v>Montelima</v>
      </c>
    </row>
    <row r="3966" spans="1:12" x14ac:dyDescent="0.3">
      <c r="A3966" s="29" t="str">
        <f>Detalle_OC[[#This Row],[Centro]]&amp;Detalle_OC[[#This Row],[Nom Almacen]]&amp;Detalle_OC[[#This Row],[Material]]&amp;Detalle_OC[[#This Row],[Pedido]]&amp;Detalle_OC[[#This Row],[Posicion]]</f>
        <v>Agricola del Chira PlantaMontelima85063755000191881390</v>
      </c>
      <c r="B3966" t="s">
        <v>28</v>
      </c>
      <c r="C3966" t="s">
        <v>82</v>
      </c>
      <c r="D3966" s="11">
        <v>44627</v>
      </c>
      <c r="E3966" t="s">
        <v>16</v>
      </c>
      <c r="F3966" t="s">
        <v>12</v>
      </c>
      <c r="G3966">
        <v>850637</v>
      </c>
      <c r="H3966">
        <v>5500019188</v>
      </c>
      <c r="I3966">
        <v>1390</v>
      </c>
      <c r="J3966" s="29">
        <v>1</v>
      </c>
      <c r="K3966" s="29" t="s">
        <v>571</v>
      </c>
      <c r="L3966" t="str">
        <f>IFERROR(VLOOKUP(Detalle_OC[[#This Row],[Centro]]&amp;Detalle_OC[[#This Row],[Nro Almacen]],Almacen!A:D,4,FALSE),"")</f>
        <v>Montelima</v>
      </c>
    </row>
    <row r="3967" spans="1:12" x14ac:dyDescent="0.3">
      <c r="A3967" s="29" t="str">
        <f>Detalle_OC[[#This Row],[Centro]]&amp;Detalle_OC[[#This Row],[Nom Almacen]]&amp;Detalle_OC[[#This Row],[Material]]&amp;Detalle_OC[[#This Row],[Pedido]]&amp;Detalle_OC[[#This Row],[Posicion]]</f>
        <v>Agricola del Chira PlantaMontelima7002963055000191881640</v>
      </c>
      <c r="B3967" t="s">
        <v>28</v>
      </c>
      <c r="C3967" t="s">
        <v>82</v>
      </c>
      <c r="D3967" s="11">
        <v>44627</v>
      </c>
      <c r="E3967" t="s">
        <v>16</v>
      </c>
      <c r="F3967" t="s">
        <v>12</v>
      </c>
      <c r="G3967">
        <v>70029630</v>
      </c>
      <c r="H3967">
        <v>5500019188</v>
      </c>
      <c r="I3967">
        <v>1640</v>
      </c>
      <c r="J3967" s="29">
        <v>1</v>
      </c>
      <c r="K3967" s="29" t="s">
        <v>571</v>
      </c>
      <c r="L3967" t="str">
        <f>IFERROR(VLOOKUP(Detalle_OC[[#This Row],[Centro]]&amp;Detalle_OC[[#This Row],[Nro Almacen]],Almacen!A:D,4,FALSE),"")</f>
        <v>Montelima</v>
      </c>
    </row>
    <row r="3968" spans="1:12" x14ac:dyDescent="0.3">
      <c r="A3968" s="29" t="str">
        <f>Detalle_OC[[#This Row],[Centro]]&amp;Detalle_OC[[#This Row],[Nom Almacen]]&amp;Detalle_OC[[#This Row],[Material]]&amp;Detalle_OC[[#This Row],[Pedido]]&amp;Detalle_OC[[#This Row],[Posicion]]</f>
        <v>Agricola del Chira PlantaMontelima7003070555000191881780</v>
      </c>
      <c r="B3968" t="s">
        <v>28</v>
      </c>
      <c r="C3968" t="s">
        <v>82</v>
      </c>
      <c r="D3968" s="11">
        <v>44627</v>
      </c>
      <c r="E3968" t="s">
        <v>16</v>
      </c>
      <c r="F3968" t="s">
        <v>12</v>
      </c>
      <c r="G3968">
        <v>70030705</v>
      </c>
      <c r="H3968">
        <v>5500019188</v>
      </c>
      <c r="I3968">
        <v>1780</v>
      </c>
      <c r="J3968" s="29">
        <v>1</v>
      </c>
      <c r="K3968" s="29" t="s">
        <v>571</v>
      </c>
      <c r="L3968" t="str">
        <f>IFERROR(VLOOKUP(Detalle_OC[[#This Row],[Centro]]&amp;Detalle_OC[[#This Row],[Nro Almacen]],Almacen!A:D,4,FALSE),"")</f>
        <v>Montelima</v>
      </c>
    </row>
    <row r="3969" spans="1:12" x14ac:dyDescent="0.3">
      <c r="A3969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3969" t="s">
        <v>28</v>
      </c>
      <c r="C3969" t="s">
        <v>84</v>
      </c>
      <c r="D3969" s="11">
        <v>44629</v>
      </c>
      <c r="E3969" t="s">
        <v>16</v>
      </c>
      <c r="F3969" t="s">
        <v>85</v>
      </c>
      <c r="G3969">
        <v>801846</v>
      </c>
      <c r="H3969">
        <v>5500022336</v>
      </c>
      <c r="I3969">
        <v>10</v>
      </c>
      <c r="J3969" s="29">
        <v>1</v>
      </c>
      <c r="K3969" s="29" t="s">
        <v>571</v>
      </c>
      <c r="L3969" t="str">
        <f>IFERROR(VLOOKUP(Detalle_OC[[#This Row],[Centro]]&amp;Detalle_OC[[#This Row],[Nro Almacen]],Almacen!A:D,4,FALSE),"")</f>
        <v>Montelima</v>
      </c>
    </row>
    <row r="3970" spans="1:12" x14ac:dyDescent="0.3">
      <c r="A3970" s="29" t="str">
        <f>Detalle_OC[[#This Row],[Centro]]&amp;Detalle_OC[[#This Row],[Nom Almacen]]&amp;Detalle_OC[[#This Row],[Material]]&amp;Detalle_OC[[#This Row],[Pedido]]&amp;Detalle_OC[[#This Row],[Posicion]]</f>
        <v>Sucroalcolera del Chira PlantaMontelima709179550002233630</v>
      </c>
      <c r="B3970" t="s">
        <v>28</v>
      </c>
      <c r="C3970" t="s">
        <v>84</v>
      </c>
      <c r="D3970" s="11">
        <v>44629</v>
      </c>
      <c r="E3970" t="s">
        <v>16</v>
      </c>
      <c r="F3970" t="s">
        <v>85</v>
      </c>
      <c r="G3970">
        <v>709179</v>
      </c>
      <c r="H3970">
        <v>5500022336</v>
      </c>
      <c r="I3970">
        <v>30</v>
      </c>
      <c r="J3970" s="29">
        <v>1</v>
      </c>
      <c r="K3970" s="29" t="s">
        <v>571</v>
      </c>
      <c r="L3970" t="str">
        <f>IFERROR(VLOOKUP(Detalle_OC[[#This Row],[Centro]]&amp;Detalle_OC[[#This Row],[Nro Almacen]],Almacen!A:D,4,FALSE),"")</f>
        <v>Montelima</v>
      </c>
    </row>
    <row r="3971" spans="1:12" x14ac:dyDescent="0.3">
      <c r="A3971" s="29" t="str">
        <f>Detalle_OC[[#This Row],[Centro]]&amp;Detalle_OC[[#This Row],[Nom Almacen]]&amp;Detalle_OC[[#This Row],[Material]]&amp;Detalle_OC[[#This Row],[Pedido]]&amp;Detalle_OC[[#This Row],[Posicion]]</f>
        <v>Sucroalcolera del Chira PlantaMontelima708707550002233640</v>
      </c>
      <c r="B3971" t="s">
        <v>28</v>
      </c>
      <c r="C3971" t="s">
        <v>84</v>
      </c>
      <c r="D3971" s="11">
        <v>44629</v>
      </c>
      <c r="E3971" t="s">
        <v>16</v>
      </c>
      <c r="F3971" t="s">
        <v>85</v>
      </c>
      <c r="G3971">
        <v>708707</v>
      </c>
      <c r="H3971">
        <v>5500022336</v>
      </c>
      <c r="I3971">
        <v>40</v>
      </c>
      <c r="J3971" s="29">
        <v>1</v>
      </c>
      <c r="K3971" s="29" t="s">
        <v>571</v>
      </c>
      <c r="L3971" t="str">
        <f>IFERROR(VLOOKUP(Detalle_OC[[#This Row],[Centro]]&amp;Detalle_OC[[#This Row],[Nro Almacen]],Almacen!A:D,4,FALSE),"")</f>
        <v>Montelima</v>
      </c>
    </row>
    <row r="3972" spans="1:12" x14ac:dyDescent="0.3">
      <c r="A3972" s="29" t="str">
        <f>Detalle_OC[[#This Row],[Centro]]&amp;Detalle_OC[[#This Row],[Nom Almacen]]&amp;Detalle_OC[[#This Row],[Material]]&amp;Detalle_OC[[#This Row],[Pedido]]&amp;Detalle_OC[[#This Row],[Posicion]]</f>
        <v>Sucroalcolera del Chira PlantaMontelima813224550002233650</v>
      </c>
      <c r="B3972" t="s">
        <v>28</v>
      </c>
      <c r="C3972" t="s">
        <v>84</v>
      </c>
      <c r="D3972" s="11">
        <v>44629</v>
      </c>
      <c r="E3972" t="s">
        <v>16</v>
      </c>
      <c r="F3972" t="s">
        <v>85</v>
      </c>
      <c r="G3972">
        <v>813224</v>
      </c>
      <c r="H3972">
        <v>5500022336</v>
      </c>
      <c r="I3972">
        <v>50</v>
      </c>
      <c r="J3972" s="29">
        <v>1</v>
      </c>
      <c r="K3972" s="29" t="s">
        <v>571</v>
      </c>
      <c r="L3972" t="str">
        <f>IFERROR(VLOOKUP(Detalle_OC[[#This Row],[Centro]]&amp;Detalle_OC[[#This Row],[Nro Almacen]],Almacen!A:D,4,FALSE),"")</f>
        <v>Montelima</v>
      </c>
    </row>
    <row r="3973" spans="1:12" x14ac:dyDescent="0.3">
      <c r="A3973" s="29" t="str">
        <f>Detalle_OC[[#This Row],[Centro]]&amp;Detalle_OC[[#This Row],[Nom Almacen]]&amp;Detalle_OC[[#This Row],[Material]]&amp;Detalle_OC[[#This Row],[Pedido]]&amp;Detalle_OC[[#This Row],[Posicion]]</f>
        <v>Sucroalcolera del Chira PlantaMontelima813224550002233650</v>
      </c>
      <c r="B3973" t="s">
        <v>28</v>
      </c>
      <c r="C3973" t="s">
        <v>84</v>
      </c>
      <c r="D3973" s="11">
        <v>44629</v>
      </c>
      <c r="E3973" t="s">
        <v>16</v>
      </c>
      <c r="F3973" t="s">
        <v>85</v>
      </c>
      <c r="G3973">
        <v>813224</v>
      </c>
      <c r="H3973">
        <v>5500022336</v>
      </c>
      <c r="I3973">
        <v>50</v>
      </c>
      <c r="J3973" s="29">
        <v>1</v>
      </c>
      <c r="K3973" s="29" t="s">
        <v>571</v>
      </c>
      <c r="L3973" t="str">
        <f>IFERROR(VLOOKUP(Detalle_OC[[#This Row],[Centro]]&amp;Detalle_OC[[#This Row],[Nro Almacen]],Almacen!A:D,4,FALSE),"")</f>
        <v>Montelima</v>
      </c>
    </row>
    <row r="3974" spans="1:12" x14ac:dyDescent="0.3">
      <c r="A3974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3974" t="s">
        <v>28</v>
      </c>
      <c r="C3974" t="s">
        <v>84</v>
      </c>
      <c r="D3974" s="11">
        <v>44629</v>
      </c>
      <c r="E3974" t="s">
        <v>16</v>
      </c>
      <c r="F3974" t="s">
        <v>12</v>
      </c>
      <c r="G3974">
        <v>801846</v>
      </c>
      <c r="H3974">
        <v>5500022338</v>
      </c>
      <c r="I3974">
        <v>40</v>
      </c>
      <c r="J3974" s="29">
        <v>1</v>
      </c>
      <c r="K3974" s="29" t="s">
        <v>571</v>
      </c>
      <c r="L3974" t="str">
        <f>IFERROR(VLOOKUP(Detalle_OC[[#This Row],[Centro]]&amp;Detalle_OC[[#This Row],[Nro Almacen]],Almacen!A:D,4,FALSE),"")</f>
        <v>Montelima</v>
      </c>
    </row>
    <row r="3975" spans="1:12" x14ac:dyDescent="0.3">
      <c r="A3975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3975" t="s">
        <v>28</v>
      </c>
      <c r="C3975" t="s">
        <v>84</v>
      </c>
      <c r="D3975" s="11">
        <v>44629</v>
      </c>
      <c r="E3975" t="s">
        <v>16</v>
      </c>
      <c r="F3975" t="s">
        <v>12</v>
      </c>
      <c r="G3975">
        <v>801846</v>
      </c>
      <c r="H3975">
        <v>5500022338</v>
      </c>
      <c r="I3975">
        <v>40</v>
      </c>
      <c r="J3975" s="29">
        <v>1</v>
      </c>
      <c r="K3975" s="29" t="s">
        <v>571</v>
      </c>
      <c r="L3975" t="str">
        <f>IFERROR(VLOOKUP(Detalle_OC[[#This Row],[Centro]]&amp;Detalle_OC[[#This Row],[Nro Almacen]],Almacen!A:D,4,FALSE),"")</f>
        <v>Montelima</v>
      </c>
    </row>
    <row r="3976" spans="1:12" x14ac:dyDescent="0.3">
      <c r="A3976" s="29" t="str">
        <f>Detalle_OC[[#This Row],[Centro]]&amp;Detalle_OC[[#This Row],[Nom Almacen]]&amp;Detalle_OC[[#This Row],[Material]]&amp;Detalle_OC[[#This Row],[Pedido]]&amp;Detalle_OC[[#This Row],[Posicion]]</f>
        <v>Agricola del Chira PlantaMontelima752131550002233810</v>
      </c>
      <c r="B3976" t="s">
        <v>28</v>
      </c>
      <c r="C3976" t="s">
        <v>84</v>
      </c>
      <c r="D3976" s="11">
        <v>44627</v>
      </c>
      <c r="E3976" t="s">
        <v>16</v>
      </c>
      <c r="F3976" t="s">
        <v>12</v>
      </c>
      <c r="G3976">
        <v>752131</v>
      </c>
      <c r="H3976">
        <v>5500022338</v>
      </c>
      <c r="I3976">
        <v>10</v>
      </c>
      <c r="J3976" s="29">
        <v>1</v>
      </c>
      <c r="K3976" s="29" t="s">
        <v>572</v>
      </c>
      <c r="L3976" t="str">
        <f>IFERROR(VLOOKUP(Detalle_OC[[#This Row],[Centro]]&amp;Detalle_OC[[#This Row],[Nro Almacen]],Almacen!A:D,4,FALSE),"")</f>
        <v>Montelima</v>
      </c>
    </row>
    <row r="3977" spans="1:12" x14ac:dyDescent="0.3">
      <c r="A3977" s="29" t="str">
        <f>Detalle_OC[[#This Row],[Centro]]&amp;Detalle_OC[[#This Row],[Nom Almacen]]&amp;Detalle_OC[[#This Row],[Material]]&amp;Detalle_OC[[#This Row],[Pedido]]&amp;Detalle_OC[[#This Row],[Posicion]]</f>
        <v>Agricola del Chira PlantaMontelima8445195500019188530</v>
      </c>
      <c r="B3977" t="s">
        <v>28</v>
      </c>
      <c r="C3977" t="s">
        <v>82</v>
      </c>
      <c r="D3977" s="11">
        <v>44615</v>
      </c>
      <c r="E3977" t="s">
        <v>16</v>
      </c>
      <c r="F3977" t="s">
        <v>12</v>
      </c>
      <c r="G3977">
        <v>844519</v>
      </c>
      <c r="H3977">
        <v>5500019188</v>
      </c>
      <c r="I3977">
        <v>530</v>
      </c>
      <c r="J3977" s="29">
        <v>1</v>
      </c>
      <c r="K3977" s="29" t="s">
        <v>573</v>
      </c>
      <c r="L3977" t="str">
        <f>IFERROR(VLOOKUP(Detalle_OC[[#This Row],[Centro]]&amp;Detalle_OC[[#This Row],[Nro Almacen]],Almacen!A:D,4,FALSE),"")</f>
        <v>Montelima</v>
      </c>
    </row>
    <row r="3978" spans="1:12" x14ac:dyDescent="0.3">
      <c r="A3978" s="29" t="str">
        <f>Detalle_OC[[#This Row],[Centro]]&amp;Detalle_OC[[#This Row],[Nom Almacen]]&amp;Detalle_OC[[#This Row],[Material]]&amp;Detalle_OC[[#This Row],[Pedido]]&amp;Detalle_OC[[#This Row],[Posicion]]</f>
        <v>Agricola del Chira PlantaMontelima83106655000191881040</v>
      </c>
      <c r="B3978" t="s">
        <v>28</v>
      </c>
      <c r="C3978" t="s">
        <v>82</v>
      </c>
      <c r="D3978" s="11">
        <v>44615</v>
      </c>
      <c r="E3978" t="s">
        <v>16</v>
      </c>
      <c r="F3978" t="s">
        <v>12</v>
      </c>
      <c r="G3978">
        <v>831066</v>
      </c>
      <c r="H3978">
        <v>5500019188</v>
      </c>
      <c r="I3978">
        <v>1040</v>
      </c>
      <c r="J3978" s="29">
        <v>1</v>
      </c>
      <c r="K3978" s="29" t="s">
        <v>573</v>
      </c>
      <c r="L3978" t="str">
        <f>IFERROR(VLOOKUP(Detalle_OC[[#This Row],[Centro]]&amp;Detalle_OC[[#This Row],[Nro Almacen]],Almacen!A:D,4,FALSE),"")</f>
        <v>Montelima</v>
      </c>
    </row>
    <row r="3979" spans="1:12" x14ac:dyDescent="0.3">
      <c r="A3979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3979" t="s">
        <v>28</v>
      </c>
      <c r="C3979" t="s">
        <v>82</v>
      </c>
      <c r="D3979" s="11">
        <v>44614</v>
      </c>
      <c r="E3979" t="s">
        <v>16</v>
      </c>
      <c r="F3979" t="s">
        <v>12</v>
      </c>
      <c r="G3979">
        <v>844523</v>
      </c>
      <c r="H3979">
        <v>5500019188</v>
      </c>
      <c r="I3979">
        <v>140</v>
      </c>
      <c r="J3979" s="29">
        <v>1</v>
      </c>
      <c r="K3979" s="29" t="s">
        <v>574</v>
      </c>
      <c r="L3979" t="str">
        <f>IFERROR(VLOOKUP(Detalle_OC[[#This Row],[Centro]]&amp;Detalle_OC[[#This Row],[Nro Almacen]],Almacen!A:D,4,FALSE),"")</f>
        <v>Montelima</v>
      </c>
    </row>
    <row r="3980" spans="1:12" x14ac:dyDescent="0.3">
      <c r="A3980" s="29" t="str">
        <f>Detalle_OC[[#This Row],[Centro]]&amp;Detalle_OC[[#This Row],[Nom Almacen]]&amp;Detalle_OC[[#This Row],[Material]]&amp;Detalle_OC[[#This Row],[Pedido]]&amp;Detalle_OC[[#This Row],[Posicion]]</f>
        <v>Agricola del Chira PlantaMontelima8445335500019188170</v>
      </c>
      <c r="B3980" t="s">
        <v>28</v>
      </c>
      <c r="C3980" t="s">
        <v>82</v>
      </c>
      <c r="D3980" s="11">
        <v>44614</v>
      </c>
      <c r="E3980" t="s">
        <v>16</v>
      </c>
      <c r="F3980" t="s">
        <v>12</v>
      </c>
      <c r="G3980">
        <v>844533</v>
      </c>
      <c r="H3980">
        <v>5500019188</v>
      </c>
      <c r="I3980">
        <v>170</v>
      </c>
      <c r="J3980" s="29">
        <v>1</v>
      </c>
      <c r="K3980" s="29" t="s">
        <v>574</v>
      </c>
      <c r="L3980" t="str">
        <f>IFERROR(VLOOKUP(Detalle_OC[[#This Row],[Centro]]&amp;Detalle_OC[[#This Row],[Nro Almacen]],Almacen!A:D,4,FALSE),"")</f>
        <v>Montelima</v>
      </c>
    </row>
    <row r="3981" spans="1:12" x14ac:dyDescent="0.3">
      <c r="A3981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3981" t="s">
        <v>28</v>
      </c>
      <c r="C3981" t="s">
        <v>82</v>
      </c>
      <c r="D3981" s="11">
        <v>44614</v>
      </c>
      <c r="E3981" t="s">
        <v>16</v>
      </c>
      <c r="F3981" t="s">
        <v>12</v>
      </c>
      <c r="G3981">
        <v>844516</v>
      </c>
      <c r="H3981">
        <v>5500019188</v>
      </c>
      <c r="I3981">
        <v>190</v>
      </c>
      <c r="J3981" s="29">
        <v>1</v>
      </c>
      <c r="K3981" s="29" t="s">
        <v>574</v>
      </c>
      <c r="L3981" t="str">
        <f>IFERROR(VLOOKUP(Detalle_OC[[#This Row],[Centro]]&amp;Detalle_OC[[#This Row],[Nro Almacen]],Almacen!A:D,4,FALSE),"")</f>
        <v>Montelima</v>
      </c>
    </row>
    <row r="3982" spans="1:12" x14ac:dyDescent="0.3">
      <c r="A3982" s="29" t="str">
        <f>Detalle_OC[[#This Row],[Centro]]&amp;Detalle_OC[[#This Row],[Nom Almacen]]&amp;Detalle_OC[[#This Row],[Material]]&amp;Detalle_OC[[#This Row],[Pedido]]&amp;Detalle_OC[[#This Row],[Posicion]]</f>
        <v>Agricola del Chira PlantaMontelima8445175500019188340</v>
      </c>
      <c r="B3982" t="s">
        <v>28</v>
      </c>
      <c r="C3982" t="s">
        <v>82</v>
      </c>
      <c r="D3982" s="11">
        <v>44614</v>
      </c>
      <c r="E3982" t="s">
        <v>16</v>
      </c>
      <c r="F3982" t="s">
        <v>12</v>
      </c>
      <c r="G3982">
        <v>844517</v>
      </c>
      <c r="H3982">
        <v>5500019188</v>
      </c>
      <c r="I3982">
        <v>340</v>
      </c>
      <c r="J3982" s="29">
        <v>1</v>
      </c>
      <c r="K3982" s="29" t="s">
        <v>574</v>
      </c>
      <c r="L3982" t="str">
        <f>IFERROR(VLOOKUP(Detalle_OC[[#This Row],[Centro]]&amp;Detalle_OC[[#This Row],[Nro Almacen]],Almacen!A:D,4,FALSE),"")</f>
        <v>Montelima</v>
      </c>
    </row>
    <row r="3983" spans="1:12" x14ac:dyDescent="0.3">
      <c r="A3983" s="29" t="str">
        <f>Detalle_OC[[#This Row],[Centro]]&amp;Detalle_OC[[#This Row],[Nom Almacen]]&amp;Detalle_OC[[#This Row],[Material]]&amp;Detalle_OC[[#This Row],[Pedido]]&amp;Detalle_OC[[#This Row],[Posicion]]</f>
        <v>Agricola del Chira PlantaMontelima8445415500019188460</v>
      </c>
      <c r="B3983" t="s">
        <v>28</v>
      </c>
      <c r="C3983" t="s">
        <v>82</v>
      </c>
      <c r="D3983" s="11">
        <v>44614</v>
      </c>
      <c r="E3983" t="s">
        <v>16</v>
      </c>
      <c r="F3983" t="s">
        <v>12</v>
      </c>
      <c r="G3983">
        <v>844541</v>
      </c>
      <c r="H3983">
        <v>5500019188</v>
      </c>
      <c r="I3983">
        <v>460</v>
      </c>
      <c r="J3983" s="29">
        <v>1</v>
      </c>
      <c r="K3983" s="29" t="s">
        <v>574</v>
      </c>
      <c r="L3983" t="str">
        <f>IFERROR(VLOOKUP(Detalle_OC[[#This Row],[Centro]]&amp;Detalle_OC[[#This Row],[Nro Almacen]],Almacen!A:D,4,FALSE),"")</f>
        <v>Montelima</v>
      </c>
    </row>
    <row r="3984" spans="1:12" x14ac:dyDescent="0.3">
      <c r="A3984" s="29" t="str">
        <f>Detalle_OC[[#This Row],[Centro]]&amp;Detalle_OC[[#This Row],[Nom Almacen]]&amp;Detalle_OC[[#This Row],[Material]]&amp;Detalle_OC[[#This Row],[Pedido]]&amp;Detalle_OC[[#This Row],[Posicion]]</f>
        <v>Agricola del Chira PlantaMontelima8445205500019188520</v>
      </c>
      <c r="B3984" t="s">
        <v>28</v>
      </c>
      <c r="C3984" t="s">
        <v>82</v>
      </c>
      <c r="D3984" s="11">
        <v>44614</v>
      </c>
      <c r="E3984" t="s">
        <v>16</v>
      </c>
      <c r="F3984" t="s">
        <v>12</v>
      </c>
      <c r="G3984">
        <v>844520</v>
      </c>
      <c r="H3984">
        <v>5500019188</v>
      </c>
      <c r="I3984">
        <v>520</v>
      </c>
      <c r="J3984" s="29">
        <v>1</v>
      </c>
      <c r="K3984" s="29" t="s">
        <v>574</v>
      </c>
      <c r="L3984" t="str">
        <f>IFERROR(VLOOKUP(Detalle_OC[[#This Row],[Centro]]&amp;Detalle_OC[[#This Row],[Nro Almacen]],Almacen!A:D,4,FALSE),"")</f>
        <v>Montelima</v>
      </c>
    </row>
    <row r="3985" spans="1:12" x14ac:dyDescent="0.3">
      <c r="A3985" s="29" t="str">
        <f>Detalle_OC[[#This Row],[Centro]]&amp;Detalle_OC[[#This Row],[Nom Almacen]]&amp;Detalle_OC[[#This Row],[Material]]&amp;Detalle_OC[[#This Row],[Pedido]]&amp;Detalle_OC[[#This Row],[Posicion]]</f>
        <v>Agricola del Chira PlantaMontelima83507355000191881320</v>
      </c>
      <c r="B3985" t="s">
        <v>28</v>
      </c>
      <c r="C3985" t="s">
        <v>82</v>
      </c>
      <c r="D3985" s="11">
        <v>44614</v>
      </c>
      <c r="E3985" t="s">
        <v>16</v>
      </c>
      <c r="F3985" t="s">
        <v>12</v>
      </c>
      <c r="G3985">
        <v>835073</v>
      </c>
      <c r="H3985">
        <v>5500019188</v>
      </c>
      <c r="I3985">
        <v>1320</v>
      </c>
      <c r="J3985" s="29">
        <v>1</v>
      </c>
      <c r="K3985" s="29" t="s">
        <v>574</v>
      </c>
      <c r="L3985" t="str">
        <f>IFERROR(VLOOKUP(Detalle_OC[[#This Row],[Centro]]&amp;Detalle_OC[[#This Row],[Nro Almacen]],Almacen!A:D,4,FALSE),"")</f>
        <v>Montelima</v>
      </c>
    </row>
    <row r="3986" spans="1:12" x14ac:dyDescent="0.3">
      <c r="A3986" s="29" t="str">
        <f>Detalle_OC[[#This Row],[Centro]]&amp;Detalle_OC[[#This Row],[Nom Almacen]]&amp;Detalle_OC[[#This Row],[Material]]&amp;Detalle_OC[[#This Row],[Pedido]]&amp;Detalle_OC[[#This Row],[Posicion]]</f>
        <v>Agricola del Chira PlantaMontelima7002963055000191881640</v>
      </c>
      <c r="B3986" t="s">
        <v>28</v>
      </c>
      <c r="C3986" t="s">
        <v>82</v>
      </c>
      <c r="D3986" s="11">
        <v>44614</v>
      </c>
      <c r="E3986" t="s">
        <v>16</v>
      </c>
      <c r="F3986" t="s">
        <v>12</v>
      </c>
      <c r="G3986">
        <v>70029630</v>
      </c>
      <c r="H3986">
        <v>5500019188</v>
      </c>
      <c r="I3986">
        <v>1640</v>
      </c>
      <c r="J3986" s="29">
        <v>1</v>
      </c>
      <c r="K3986" s="29" t="s">
        <v>574</v>
      </c>
      <c r="L3986" t="str">
        <f>IFERROR(VLOOKUP(Detalle_OC[[#This Row],[Centro]]&amp;Detalle_OC[[#This Row],[Nro Almacen]],Almacen!A:D,4,FALSE),"")</f>
        <v>Montelima</v>
      </c>
    </row>
    <row r="3987" spans="1:12" x14ac:dyDescent="0.3">
      <c r="A3987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3987" t="s">
        <v>28</v>
      </c>
      <c r="C3987" t="s">
        <v>82</v>
      </c>
      <c r="D3987" s="11">
        <v>44606</v>
      </c>
      <c r="E3987" t="s">
        <v>16</v>
      </c>
      <c r="F3987" t="s">
        <v>12</v>
      </c>
      <c r="G3987">
        <v>844523</v>
      </c>
      <c r="H3987">
        <v>5500019188</v>
      </c>
      <c r="I3987">
        <v>140</v>
      </c>
      <c r="J3987" s="29">
        <v>1</v>
      </c>
      <c r="K3987" s="29" t="s">
        <v>575</v>
      </c>
      <c r="L3987" t="str">
        <f>IFERROR(VLOOKUP(Detalle_OC[[#This Row],[Centro]]&amp;Detalle_OC[[#This Row],[Nro Almacen]],Almacen!A:D,4,FALSE),"")</f>
        <v>Montelima</v>
      </c>
    </row>
    <row r="3988" spans="1:12" x14ac:dyDescent="0.3">
      <c r="A3988" s="29" t="str">
        <f>Detalle_OC[[#This Row],[Centro]]&amp;Detalle_OC[[#This Row],[Nom Almacen]]&amp;Detalle_OC[[#This Row],[Material]]&amp;Detalle_OC[[#This Row],[Pedido]]&amp;Detalle_OC[[#This Row],[Posicion]]</f>
        <v>Agricola del Chira PlantaMontelima8445285500019188360</v>
      </c>
      <c r="B3988" t="s">
        <v>28</v>
      </c>
      <c r="C3988" t="s">
        <v>82</v>
      </c>
      <c r="D3988" s="11">
        <v>44606</v>
      </c>
      <c r="E3988" t="s">
        <v>16</v>
      </c>
      <c r="F3988" t="s">
        <v>12</v>
      </c>
      <c r="G3988">
        <v>844528</v>
      </c>
      <c r="H3988">
        <v>5500019188</v>
      </c>
      <c r="I3988">
        <v>360</v>
      </c>
      <c r="J3988" s="29">
        <v>1</v>
      </c>
      <c r="K3988" s="29" t="s">
        <v>575</v>
      </c>
      <c r="L3988" t="str">
        <f>IFERROR(VLOOKUP(Detalle_OC[[#This Row],[Centro]]&amp;Detalle_OC[[#This Row],[Nro Almacen]],Almacen!A:D,4,FALSE),"")</f>
        <v>Montelima</v>
      </c>
    </row>
    <row r="3989" spans="1:12" x14ac:dyDescent="0.3">
      <c r="A3989" s="29" t="str">
        <f>Detalle_OC[[#This Row],[Centro]]&amp;Detalle_OC[[#This Row],[Nom Almacen]]&amp;Detalle_OC[[#This Row],[Material]]&amp;Detalle_OC[[#This Row],[Pedido]]&amp;Detalle_OC[[#This Row],[Posicion]]</f>
        <v>Agricola del Chira PlantaMontelima8445375500019188420</v>
      </c>
      <c r="B3989" t="s">
        <v>28</v>
      </c>
      <c r="C3989" t="s">
        <v>82</v>
      </c>
      <c r="D3989" s="11">
        <v>44606</v>
      </c>
      <c r="E3989" t="s">
        <v>16</v>
      </c>
      <c r="F3989" t="s">
        <v>12</v>
      </c>
      <c r="G3989">
        <v>844537</v>
      </c>
      <c r="H3989">
        <v>5500019188</v>
      </c>
      <c r="I3989">
        <v>420</v>
      </c>
      <c r="J3989" s="29">
        <v>1</v>
      </c>
      <c r="K3989" s="29" t="s">
        <v>575</v>
      </c>
      <c r="L3989" t="str">
        <f>IFERROR(VLOOKUP(Detalle_OC[[#This Row],[Centro]]&amp;Detalle_OC[[#This Row],[Nro Almacen]],Almacen!A:D,4,FALSE),"")</f>
        <v>Montelima</v>
      </c>
    </row>
    <row r="3990" spans="1:12" x14ac:dyDescent="0.3">
      <c r="A3990" s="29" t="str">
        <f>Detalle_OC[[#This Row],[Centro]]&amp;Detalle_OC[[#This Row],[Nom Almacen]]&amp;Detalle_OC[[#This Row],[Material]]&amp;Detalle_OC[[#This Row],[Pedido]]&amp;Detalle_OC[[#This Row],[Posicion]]</f>
        <v>Agricola del Chira PlantaMontelima8506365500019188510</v>
      </c>
      <c r="B3990" t="s">
        <v>28</v>
      </c>
      <c r="C3990" t="s">
        <v>82</v>
      </c>
      <c r="D3990" s="11">
        <v>44606</v>
      </c>
      <c r="E3990" t="s">
        <v>16</v>
      </c>
      <c r="F3990" t="s">
        <v>12</v>
      </c>
      <c r="G3990">
        <v>850636</v>
      </c>
      <c r="H3990">
        <v>5500019188</v>
      </c>
      <c r="I3990">
        <v>510</v>
      </c>
      <c r="J3990" s="29">
        <v>1</v>
      </c>
      <c r="K3990" s="29" t="s">
        <v>575</v>
      </c>
      <c r="L3990" t="str">
        <f>IFERROR(VLOOKUP(Detalle_OC[[#This Row],[Centro]]&amp;Detalle_OC[[#This Row],[Nro Almacen]],Almacen!A:D,4,FALSE),"")</f>
        <v>Montelima</v>
      </c>
    </row>
    <row r="3991" spans="1:12" x14ac:dyDescent="0.3">
      <c r="A3991" s="29" t="str">
        <f>Detalle_OC[[#This Row],[Centro]]&amp;Detalle_OC[[#This Row],[Nom Almacen]]&amp;Detalle_OC[[#This Row],[Material]]&amp;Detalle_OC[[#This Row],[Pedido]]&amp;Detalle_OC[[#This Row],[Posicion]]</f>
        <v>Agricola del Chira PlantaMontelima8453135500019188950</v>
      </c>
      <c r="B3991" t="s">
        <v>28</v>
      </c>
      <c r="C3991" t="s">
        <v>82</v>
      </c>
      <c r="D3991" s="11">
        <v>44606</v>
      </c>
      <c r="E3991" t="s">
        <v>16</v>
      </c>
      <c r="F3991" t="s">
        <v>12</v>
      </c>
      <c r="G3991">
        <v>845313</v>
      </c>
      <c r="H3991">
        <v>5500019188</v>
      </c>
      <c r="I3991">
        <v>950</v>
      </c>
      <c r="J3991" s="29">
        <v>1</v>
      </c>
      <c r="K3991" s="29" t="s">
        <v>575</v>
      </c>
      <c r="L3991" t="str">
        <f>IFERROR(VLOOKUP(Detalle_OC[[#This Row],[Centro]]&amp;Detalle_OC[[#This Row],[Nro Almacen]],Almacen!A:D,4,FALSE),"")</f>
        <v>Montelima</v>
      </c>
    </row>
    <row r="3992" spans="1:12" x14ac:dyDescent="0.3">
      <c r="A3992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3992" t="s">
        <v>28</v>
      </c>
      <c r="C3992" t="s">
        <v>82</v>
      </c>
      <c r="D3992" s="11">
        <v>44599</v>
      </c>
      <c r="E3992" t="s">
        <v>16</v>
      </c>
      <c r="F3992" t="s">
        <v>12</v>
      </c>
      <c r="G3992">
        <v>844522</v>
      </c>
      <c r="H3992">
        <v>5500019188</v>
      </c>
      <c r="I3992">
        <v>150</v>
      </c>
      <c r="J3992" s="29">
        <v>1</v>
      </c>
      <c r="K3992" s="29" t="s">
        <v>576</v>
      </c>
      <c r="L3992" t="str">
        <f>IFERROR(VLOOKUP(Detalle_OC[[#This Row],[Centro]]&amp;Detalle_OC[[#This Row],[Nro Almacen]],Almacen!A:D,4,FALSE),"")</f>
        <v>Montelima</v>
      </c>
    </row>
    <row r="3993" spans="1:12" x14ac:dyDescent="0.3">
      <c r="A3993" s="29" t="str">
        <f>Detalle_OC[[#This Row],[Centro]]&amp;Detalle_OC[[#This Row],[Nom Almacen]]&amp;Detalle_OC[[#This Row],[Material]]&amp;Detalle_OC[[#This Row],[Pedido]]&amp;Detalle_OC[[#This Row],[Posicion]]</f>
        <v>Agricola del Chira PlantaMontelima7002962855000191881530</v>
      </c>
      <c r="B3993" t="s">
        <v>28</v>
      </c>
      <c r="C3993" t="s">
        <v>82</v>
      </c>
      <c r="D3993" s="11">
        <v>44600</v>
      </c>
      <c r="E3993" t="s">
        <v>16</v>
      </c>
      <c r="F3993" t="s">
        <v>12</v>
      </c>
      <c r="G3993">
        <v>70029628</v>
      </c>
      <c r="H3993">
        <v>5500019188</v>
      </c>
      <c r="I3993">
        <v>1530</v>
      </c>
      <c r="J3993" s="29">
        <v>1</v>
      </c>
      <c r="K3993" s="29" t="s">
        <v>576</v>
      </c>
      <c r="L3993" t="str">
        <f>IFERROR(VLOOKUP(Detalle_OC[[#This Row],[Centro]]&amp;Detalle_OC[[#This Row],[Nro Almacen]],Almacen!A:D,4,FALSE),"")</f>
        <v>Montelima</v>
      </c>
    </row>
    <row r="3994" spans="1:12" x14ac:dyDescent="0.3">
      <c r="A3994" s="29" t="str">
        <f>Detalle_OC[[#This Row],[Centro]]&amp;Detalle_OC[[#This Row],[Nom Almacen]]&amp;Detalle_OC[[#This Row],[Material]]&amp;Detalle_OC[[#This Row],[Pedido]]&amp;Detalle_OC[[#This Row],[Posicion]]</f>
        <v>Sucroalcolera del Chira PlantaMontelima709179550002233630</v>
      </c>
      <c r="B3994" t="s">
        <v>28</v>
      </c>
      <c r="C3994" t="s">
        <v>84</v>
      </c>
      <c r="D3994" s="11">
        <v>44600</v>
      </c>
      <c r="E3994" t="s">
        <v>16</v>
      </c>
      <c r="F3994" t="s">
        <v>85</v>
      </c>
      <c r="G3994">
        <v>709179</v>
      </c>
      <c r="H3994">
        <v>5500022336</v>
      </c>
      <c r="I3994">
        <v>30</v>
      </c>
      <c r="J3994" s="29">
        <v>1</v>
      </c>
      <c r="K3994" s="29" t="s">
        <v>576</v>
      </c>
      <c r="L3994" t="str">
        <f>IFERROR(VLOOKUP(Detalle_OC[[#This Row],[Centro]]&amp;Detalle_OC[[#This Row],[Nro Almacen]],Almacen!A:D,4,FALSE),"")</f>
        <v>Montelima</v>
      </c>
    </row>
    <row r="3995" spans="1:12" x14ac:dyDescent="0.3">
      <c r="A3995" s="29" t="str">
        <f>Detalle_OC[[#This Row],[Centro]]&amp;Detalle_OC[[#This Row],[Nom Almacen]]&amp;Detalle_OC[[#This Row],[Material]]&amp;Detalle_OC[[#This Row],[Pedido]]&amp;Detalle_OC[[#This Row],[Posicion]]</f>
        <v>Sucroalcolera del Chira PlantaMontelima708707550002233640</v>
      </c>
      <c r="B3995" t="s">
        <v>28</v>
      </c>
      <c r="C3995" t="s">
        <v>84</v>
      </c>
      <c r="D3995" s="11">
        <v>44600</v>
      </c>
      <c r="E3995" t="s">
        <v>16</v>
      </c>
      <c r="F3995" t="s">
        <v>85</v>
      </c>
      <c r="G3995">
        <v>708707</v>
      </c>
      <c r="H3995">
        <v>5500022336</v>
      </c>
      <c r="I3995">
        <v>40</v>
      </c>
      <c r="J3995" s="29">
        <v>1</v>
      </c>
      <c r="K3995" s="29" t="s">
        <v>576</v>
      </c>
      <c r="L3995" t="str">
        <f>IFERROR(VLOOKUP(Detalle_OC[[#This Row],[Centro]]&amp;Detalle_OC[[#This Row],[Nro Almacen]],Almacen!A:D,4,FALSE),"")</f>
        <v>Montelima</v>
      </c>
    </row>
    <row r="3996" spans="1:12" x14ac:dyDescent="0.3">
      <c r="A3996" s="29" t="str">
        <f>Detalle_OC[[#This Row],[Centro]]&amp;Detalle_OC[[#This Row],[Nom Almacen]]&amp;Detalle_OC[[#This Row],[Material]]&amp;Detalle_OC[[#This Row],[Pedido]]&amp;Detalle_OC[[#This Row],[Posicion]]</f>
        <v>Agricola del Chira PlantaMontelima709179550002233820</v>
      </c>
      <c r="B3996" t="s">
        <v>28</v>
      </c>
      <c r="C3996" t="s">
        <v>84</v>
      </c>
      <c r="D3996" s="11">
        <v>44600</v>
      </c>
      <c r="E3996" t="s">
        <v>16</v>
      </c>
      <c r="F3996" t="s">
        <v>12</v>
      </c>
      <c r="G3996">
        <v>709179</v>
      </c>
      <c r="H3996">
        <v>5500022338</v>
      </c>
      <c r="I3996">
        <v>20</v>
      </c>
      <c r="J3996" s="29">
        <v>1</v>
      </c>
      <c r="K3996" s="29" t="s">
        <v>576</v>
      </c>
      <c r="L3996" t="str">
        <f>IFERROR(VLOOKUP(Detalle_OC[[#This Row],[Centro]]&amp;Detalle_OC[[#This Row],[Nro Almacen]],Almacen!A:D,4,FALSE),"")</f>
        <v>Montelima</v>
      </c>
    </row>
    <row r="3997" spans="1:12" x14ac:dyDescent="0.3">
      <c r="A3997" s="29" t="str">
        <f>Detalle_OC[[#This Row],[Centro]]&amp;Detalle_OC[[#This Row],[Nom Almacen]]&amp;Detalle_OC[[#This Row],[Material]]&amp;Detalle_OC[[#This Row],[Pedido]]&amp;Detalle_OC[[#This Row],[Posicion]]</f>
        <v>Agricola del Chira PlantaMontelima808069550002233830</v>
      </c>
      <c r="B3997" t="s">
        <v>28</v>
      </c>
      <c r="C3997" t="s">
        <v>84</v>
      </c>
      <c r="D3997" s="11">
        <v>44600</v>
      </c>
      <c r="E3997" t="s">
        <v>16</v>
      </c>
      <c r="F3997" t="s">
        <v>12</v>
      </c>
      <c r="G3997">
        <v>808069</v>
      </c>
      <c r="H3997">
        <v>5500022338</v>
      </c>
      <c r="I3997">
        <v>30</v>
      </c>
      <c r="J3997" s="29">
        <v>1</v>
      </c>
      <c r="K3997" s="29" t="s">
        <v>576</v>
      </c>
      <c r="L3997" t="str">
        <f>IFERROR(VLOOKUP(Detalle_OC[[#This Row],[Centro]]&amp;Detalle_OC[[#This Row],[Nro Almacen]],Almacen!A:D,4,FALSE),"")</f>
        <v>Montelima</v>
      </c>
    </row>
    <row r="3998" spans="1:12" x14ac:dyDescent="0.3">
      <c r="A3998" s="29" t="str">
        <f>Detalle_OC[[#This Row],[Centro]]&amp;Detalle_OC[[#This Row],[Nom Almacen]]&amp;Detalle_OC[[#This Row],[Material]]&amp;Detalle_OC[[#This Row],[Pedido]]&amp;Detalle_OC[[#This Row],[Posicion]]</f>
        <v>Agricola del Chira PlantaMontelima708707550002233850</v>
      </c>
      <c r="B3998" t="s">
        <v>28</v>
      </c>
      <c r="C3998" t="s">
        <v>84</v>
      </c>
      <c r="D3998" s="11">
        <v>44600</v>
      </c>
      <c r="E3998" t="s">
        <v>16</v>
      </c>
      <c r="F3998" t="s">
        <v>12</v>
      </c>
      <c r="G3998">
        <v>708707</v>
      </c>
      <c r="H3998">
        <v>5500022338</v>
      </c>
      <c r="I3998">
        <v>50</v>
      </c>
      <c r="J3998" s="29">
        <v>1</v>
      </c>
      <c r="K3998" s="29" t="s">
        <v>576</v>
      </c>
      <c r="L3998" t="str">
        <f>IFERROR(VLOOKUP(Detalle_OC[[#This Row],[Centro]]&amp;Detalle_OC[[#This Row],[Nro Almacen]],Almacen!A:D,4,FALSE),"")</f>
        <v>Montelima</v>
      </c>
    </row>
    <row r="3999" spans="1:12" x14ac:dyDescent="0.3">
      <c r="A3999" s="29" t="str">
        <f>Detalle_OC[[#This Row],[Centro]]&amp;Detalle_OC[[#This Row],[Nom Almacen]]&amp;Detalle_OC[[#This Row],[Material]]&amp;Detalle_OC[[#This Row],[Pedido]]&amp;Detalle_OC[[#This Row],[Posicion]]</f>
        <v>Agricola del Chira PlantaMontelima70032053550002233880</v>
      </c>
      <c r="B3999" t="s">
        <v>28</v>
      </c>
      <c r="C3999" t="s">
        <v>84</v>
      </c>
      <c r="D3999" s="11">
        <v>44600</v>
      </c>
      <c r="E3999" t="s">
        <v>16</v>
      </c>
      <c r="F3999" t="s">
        <v>12</v>
      </c>
      <c r="G3999">
        <v>70032053</v>
      </c>
      <c r="H3999">
        <v>5500022338</v>
      </c>
      <c r="I3999">
        <v>80</v>
      </c>
      <c r="J3999" s="29">
        <v>1</v>
      </c>
      <c r="K3999" s="29" t="s">
        <v>576</v>
      </c>
      <c r="L3999" t="str">
        <f>IFERROR(VLOOKUP(Detalle_OC[[#This Row],[Centro]]&amp;Detalle_OC[[#This Row],[Nro Almacen]],Almacen!A:D,4,FALSE),"")</f>
        <v>Montelima</v>
      </c>
    </row>
    <row r="4000" spans="1:12" x14ac:dyDescent="0.3">
      <c r="A4000" s="29" t="str">
        <f>Detalle_OC[[#This Row],[Centro]]&amp;Detalle_OC[[#This Row],[Nom Almacen]]&amp;Detalle_OC[[#This Row],[Material]]&amp;Detalle_OC[[#This Row],[Pedido]]&amp;Detalle_OC[[#This Row],[Posicion]]</f>
        <v>Agricola del Chira PlantaMontelima8445415500019188460</v>
      </c>
      <c r="B4000" t="s">
        <v>28</v>
      </c>
      <c r="C4000" t="s">
        <v>82</v>
      </c>
      <c r="D4000" s="11">
        <v>44597</v>
      </c>
      <c r="E4000" t="s">
        <v>16</v>
      </c>
      <c r="F4000" t="s">
        <v>12</v>
      </c>
      <c r="G4000">
        <v>844541</v>
      </c>
      <c r="H4000">
        <v>5500019188</v>
      </c>
      <c r="I4000">
        <v>460</v>
      </c>
      <c r="J4000" s="29">
        <v>1</v>
      </c>
      <c r="K4000" s="29" t="s">
        <v>577</v>
      </c>
      <c r="L4000" t="str">
        <f>IFERROR(VLOOKUP(Detalle_OC[[#This Row],[Centro]]&amp;Detalle_OC[[#This Row],[Nro Almacen]],Almacen!A:D,4,FALSE),"")</f>
        <v>Montelima</v>
      </c>
    </row>
    <row r="4001" spans="1:12" x14ac:dyDescent="0.3">
      <c r="A4001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4001" t="s">
        <v>28</v>
      </c>
      <c r="C4001" t="s">
        <v>84</v>
      </c>
      <c r="D4001" s="11">
        <v>44597</v>
      </c>
      <c r="E4001" t="s">
        <v>16</v>
      </c>
      <c r="F4001" t="s">
        <v>85</v>
      </c>
      <c r="G4001">
        <v>801846</v>
      </c>
      <c r="H4001">
        <v>5500022336</v>
      </c>
      <c r="I4001">
        <v>10</v>
      </c>
      <c r="J4001" s="29">
        <v>1</v>
      </c>
      <c r="K4001" s="29" t="s">
        <v>577</v>
      </c>
      <c r="L4001" t="str">
        <f>IFERROR(VLOOKUP(Detalle_OC[[#This Row],[Centro]]&amp;Detalle_OC[[#This Row],[Nro Almacen]],Almacen!A:D,4,FALSE),"")</f>
        <v>Montelima</v>
      </c>
    </row>
    <row r="4002" spans="1:12" x14ac:dyDescent="0.3">
      <c r="A4002" s="29" t="str">
        <f>Detalle_OC[[#This Row],[Centro]]&amp;Detalle_OC[[#This Row],[Nom Almacen]]&amp;Detalle_OC[[#This Row],[Material]]&amp;Detalle_OC[[#This Row],[Pedido]]&amp;Detalle_OC[[#This Row],[Posicion]]</f>
        <v>Agricola del Chira PlantaMontelima813224550002233870</v>
      </c>
      <c r="B4002" t="s">
        <v>28</v>
      </c>
      <c r="C4002" t="s">
        <v>84</v>
      </c>
      <c r="D4002" s="11">
        <v>44597</v>
      </c>
      <c r="E4002" t="s">
        <v>16</v>
      </c>
      <c r="F4002" t="s">
        <v>12</v>
      </c>
      <c r="G4002">
        <v>813224</v>
      </c>
      <c r="H4002">
        <v>5500022338</v>
      </c>
      <c r="I4002">
        <v>70</v>
      </c>
      <c r="J4002" s="29">
        <v>1</v>
      </c>
      <c r="K4002" s="29" t="s">
        <v>577</v>
      </c>
      <c r="L4002" t="str">
        <f>IFERROR(VLOOKUP(Detalle_OC[[#This Row],[Centro]]&amp;Detalle_OC[[#This Row],[Nro Almacen]],Almacen!A:D,4,FALSE),"")</f>
        <v>Montelima</v>
      </c>
    </row>
    <row r="4003" spans="1:12" x14ac:dyDescent="0.3">
      <c r="A4003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4003" t="s">
        <v>28</v>
      </c>
      <c r="C4003" t="s">
        <v>84</v>
      </c>
      <c r="D4003" s="11">
        <v>44596</v>
      </c>
      <c r="E4003" t="s">
        <v>16</v>
      </c>
      <c r="F4003" t="s">
        <v>85</v>
      </c>
      <c r="G4003">
        <v>806591</v>
      </c>
      <c r="H4003">
        <v>5500022336</v>
      </c>
      <c r="I4003">
        <v>20</v>
      </c>
      <c r="J4003" s="29">
        <v>1</v>
      </c>
      <c r="K4003" s="29" t="s">
        <v>578</v>
      </c>
      <c r="L4003" t="str">
        <f>IFERROR(VLOOKUP(Detalle_OC[[#This Row],[Centro]]&amp;Detalle_OC[[#This Row],[Nro Almacen]],Almacen!A:D,4,FALSE),"")</f>
        <v>Montelima</v>
      </c>
    </row>
    <row r="4004" spans="1:12" x14ac:dyDescent="0.3">
      <c r="A4004" s="29" t="str">
        <f>Detalle_OC[[#This Row],[Centro]]&amp;Detalle_OC[[#This Row],[Nom Almacen]]&amp;Detalle_OC[[#This Row],[Material]]&amp;Detalle_OC[[#This Row],[Pedido]]&amp;Detalle_OC[[#This Row],[Posicion]]</f>
        <v>Agricola del Chira PlantaMontelima762202550001918850</v>
      </c>
      <c r="B4004" t="s">
        <v>28</v>
      </c>
      <c r="C4004" t="s">
        <v>82</v>
      </c>
      <c r="D4004" s="11">
        <v>44587</v>
      </c>
      <c r="E4004" t="s">
        <v>16</v>
      </c>
      <c r="F4004" t="s">
        <v>12</v>
      </c>
      <c r="G4004">
        <v>762202</v>
      </c>
      <c r="H4004">
        <v>5500019188</v>
      </c>
      <c r="I4004">
        <v>50</v>
      </c>
      <c r="J4004" s="29">
        <v>1</v>
      </c>
      <c r="K4004" s="29" t="s">
        <v>579</v>
      </c>
      <c r="L4004" t="str">
        <f>IFERROR(VLOOKUP(Detalle_OC[[#This Row],[Centro]]&amp;Detalle_OC[[#This Row],[Nro Almacen]],Almacen!A:D,4,FALSE),"")</f>
        <v>Montelima</v>
      </c>
    </row>
    <row r="4005" spans="1:12" x14ac:dyDescent="0.3">
      <c r="A4005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4005" t="s">
        <v>28</v>
      </c>
      <c r="C4005" t="s">
        <v>82</v>
      </c>
      <c r="D4005" s="11">
        <v>44587</v>
      </c>
      <c r="E4005" t="s">
        <v>16</v>
      </c>
      <c r="F4005" t="s">
        <v>12</v>
      </c>
      <c r="G4005">
        <v>844508</v>
      </c>
      <c r="H4005">
        <v>5500019188</v>
      </c>
      <c r="I4005">
        <v>220</v>
      </c>
      <c r="J4005" s="29">
        <v>1</v>
      </c>
      <c r="K4005" s="29" t="s">
        <v>579</v>
      </c>
      <c r="L4005" t="str">
        <f>IFERROR(VLOOKUP(Detalle_OC[[#This Row],[Centro]]&amp;Detalle_OC[[#This Row],[Nro Almacen]],Almacen!A:D,4,FALSE),"")</f>
        <v>Montelima</v>
      </c>
    </row>
    <row r="4006" spans="1:12" x14ac:dyDescent="0.3">
      <c r="A4006" s="29" t="str">
        <f>Detalle_OC[[#This Row],[Centro]]&amp;Detalle_OC[[#This Row],[Nom Almacen]]&amp;Detalle_OC[[#This Row],[Material]]&amp;Detalle_OC[[#This Row],[Pedido]]&amp;Detalle_OC[[#This Row],[Posicion]]</f>
        <v>Agricola del Chira PlantaMontelima8445025500019188250</v>
      </c>
      <c r="B4006" t="s">
        <v>28</v>
      </c>
      <c r="C4006" t="s">
        <v>82</v>
      </c>
      <c r="D4006" s="11">
        <v>44587</v>
      </c>
      <c r="E4006" t="s">
        <v>16</v>
      </c>
      <c r="F4006" t="s">
        <v>12</v>
      </c>
      <c r="G4006">
        <v>844502</v>
      </c>
      <c r="H4006">
        <v>5500019188</v>
      </c>
      <c r="I4006">
        <v>250</v>
      </c>
      <c r="J4006" s="29">
        <v>1</v>
      </c>
      <c r="K4006" s="29" t="s">
        <v>579</v>
      </c>
      <c r="L4006" t="str">
        <f>IFERROR(VLOOKUP(Detalle_OC[[#This Row],[Centro]]&amp;Detalle_OC[[#This Row],[Nro Almacen]],Almacen!A:D,4,FALSE),"")</f>
        <v>Montelima</v>
      </c>
    </row>
    <row r="4007" spans="1:12" x14ac:dyDescent="0.3">
      <c r="A4007" s="29" t="str">
        <f>Detalle_OC[[#This Row],[Centro]]&amp;Detalle_OC[[#This Row],[Nom Almacen]]&amp;Detalle_OC[[#This Row],[Material]]&amp;Detalle_OC[[#This Row],[Pedido]]&amp;Detalle_OC[[#This Row],[Posicion]]</f>
        <v>Agricola del Chira PlantaMontelima8445095500019188260</v>
      </c>
      <c r="B4007" t="s">
        <v>28</v>
      </c>
      <c r="C4007" t="s">
        <v>82</v>
      </c>
      <c r="D4007" s="11">
        <v>44587</v>
      </c>
      <c r="E4007" t="s">
        <v>16</v>
      </c>
      <c r="F4007" t="s">
        <v>12</v>
      </c>
      <c r="G4007">
        <v>844509</v>
      </c>
      <c r="H4007">
        <v>5500019188</v>
      </c>
      <c r="I4007">
        <v>260</v>
      </c>
      <c r="J4007" s="29">
        <v>1</v>
      </c>
      <c r="K4007" s="29" t="s">
        <v>579</v>
      </c>
      <c r="L4007" t="str">
        <f>IFERROR(VLOOKUP(Detalle_OC[[#This Row],[Centro]]&amp;Detalle_OC[[#This Row],[Nro Almacen]],Almacen!A:D,4,FALSE),"")</f>
        <v>Montelima</v>
      </c>
    </row>
    <row r="4008" spans="1:12" x14ac:dyDescent="0.3">
      <c r="A4008" s="29" t="str">
        <f>Detalle_OC[[#This Row],[Centro]]&amp;Detalle_OC[[#This Row],[Nom Almacen]]&amp;Detalle_OC[[#This Row],[Material]]&amp;Detalle_OC[[#This Row],[Pedido]]&amp;Detalle_OC[[#This Row],[Posicion]]</f>
        <v>Agricola del Chira PlantaMontelima8445515500019188320</v>
      </c>
      <c r="B4008" t="s">
        <v>28</v>
      </c>
      <c r="C4008" t="s">
        <v>82</v>
      </c>
      <c r="D4008" s="11">
        <v>44587</v>
      </c>
      <c r="E4008" t="s">
        <v>16</v>
      </c>
      <c r="F4008" t="s">
        <v>12</v>
      </c>
      <c r="G4008">
        <v>844551</v>
      </c>
      <c r="H4008">
        <v>5500019188</v>
      </c>
      <c r="I4008">
        <v>320</v>
      </c>
      <c r="J4008" s="29">
        <v>1</v>
      </c>
      <c r="K4008" s="29" t="s">
        <v>579</v>
      </c>
      <c r="L4008" t="str">
        <f>IFERROR(VLOOKUP(Detalle_OC[[#This Row],[Centro]]&amp;Detalle_OC[[#This Row],[Nro Almacen]],Almacen!A:D,4,FALSE),"")</f>
        <v>Montelima</v>
      </c>
    </row>
    <row r="4009" spans="1:12" x14ac:dyDescent="0.3">
      <c r="A4009" s="29" t="str">
        <f>Detalle_OC[[#This Row],[Centro]]&amp;Detalle_OC[[#This Row],[Nom Almacen]]&amp;Detalle_OC[[#This Row],[Material]]&amp;Detalle_OC[[#This Row],[Pedido]]&amp;Detalle_OC[[#This Row],[Posicion]]</f>
        <v>Agricola del Chira PlantaMontelima8444905500019188400</v>
      </c>
      <c r="B4009" t="s">
        <v>28</v>
      </c>
      <c r="C4009" t="s">
        <v>82</v>
      </c>
      <c r="D4009" s="11">
        <v>44587</v>
      </c>
      <c r="E4009" t="s">
        <v>16</v>
      </c>
      <c r="F4009" t="s">
        <v>12</v>
      </c>
      <c r="G4009">
        <v>844490</v>
      </c>
      <c r="H4009">
        <v>5500019188</v>
      </c>
      <c r="I4009">
        <v>400</v>
      </c>
      <c r="J4009" s="29">
        <v>1</v>
      </c>
      <c r="K4009" s="29" t="s">
        <v>579</v>
      </c>
      <c r="L4009" t="str">
        <f>IFERROR(VLOOKUP(Detalle_OC[[#This Row],[Centro]]&amp;Detalle_OC[[#This Row],[Nro Almacen]],Almacen!A:D,4,FALSE),"")</f>
        <v>Montelima</v>
      </c>
    </row>
    <row r="4010" spans="1:12" x14ac:dyDescent="0.3">
      <c r="A4010" s="29" t="str">
        <f>Detalle_OC[[#This Row],[Centro]]&amp;Detalle_OC[[#This Row],[Nom Almacen]]&amp;Detalle_OC[[#This Row],[Material]]&amp;Detalle_OC[[#This Row],[Pedido]]&amp;Detalle_OC[[#This Row],[Posicion]]</f>
        <v>Agricola del Chira PlantaMontelima83507655000191881340</v>
      </c>
      <c r="B4010" t="s">
        <v>28</v>
      </c>
      <c r="C4010" t="s">
        <v>82</v>
      </c>
      <c r="D4010" s="11">
        <v>44587</v>
      </c>
      <c r="E4010" t="s">
        <v>16</v>
      </c>
      <c r="F4010" t="s">
        <v>12</v>
      </c>
      <c r="G4010">
        <v>835076</v>
      </c>
      <c r="H4010">
        <v>5500019188</v>
      </c>
      <c r="I4010">
        <v>1340</v>
      </c>
      <c r="J4010" s="29">
        <v>1</v>
      </c>
      <c r="K4010" s="29" t="s">
        <v>579</v>
      </c>
      <c r="L4010" t="str">
        <f>IFERROR(VLOOKUP(Detalle_OC[[#This Row],[Centro]]&amp;Detalle_OC[[#This Row],[Nro Almacen]],Almacen!A:D,4,FALSE),"")</f>
        <v>Montelima</v>
      </c>
    </row>
    <row r="4011" spans="1:12" x14ac:dyDescent="0.3">
      <c r="A4011" s="29" t="str">
        <f>Detalle_OC[[#This Row],[Centro]]&amp;Detalle_OC[[#This Row],[Nom Almacen]]&amp;Detalle_OC[[#This Row],[Material]]&amp;Detalle_OC[[#This Row],[Pedido]]&amp;Detalle_OC[[#This Row],[Posicion]]</f>
        <v>Agricola del Chira PlantaMontelima82718155000191881520</v>
      </c>
      <c r="B4011" t="s">
        <v>28</v>
      </c>
      <c r="C4011" t="s">
        <v>82</v>
      </c>
      <c r="D4011" s="11">
        <v>44587</v>
      </c>
      <c r="E4011" t="s">
        <v>16</v>
      </c>
      <c r="F4011" t="s">
        <v>12</v>
      </c>
      <c r="G4011">
        <v>827181</v>
      </c>
      <c r="H4011">
        <v>5500019188</v>
      </c>
      <c r="I4011">
        <v>1520</v>
      </c>
      <c r="J4011" s="29">
        <v>1</v>
      </c>
      <c r="K4011" s="29" t="s">
        <v>579</v>
      </c>
      <c r="L4011" t="str">
        <f>IFERROR(VLOOKUP(Detalle_OC[[#This Row],[Centro]]&amp;Detalle_OC[[#This Row],[Nro Almacen]],Almacen!A:D,4,FALSE),"")</f>
        <v>Montelima</v>
      </c>
    </row>
    <row r="4012" spans="1:12" x14ac:dyDescent="0.3">
      <c r="A4012" s="29" t="str">
        <f>Detalle_OC[[#This Row],[Centro]]&amp;Detalle_OC[[#This Row],[Nom Almacen]]&amp;Detalle_OC[[#This Row],[Material]]&amp;Detalle_OC[[#This Row],[Pedido]]&amp;Detalle_OC[[#This Row],[Posicion]]</f>
        <v>Agricola del Chira PlantaMontelima7002962955000191881540</v>
      </c>
      <c r="B4012" t="s">
        <v>28</v>
      </c>
      <c r="C4012" t="s">
        <v>82</v>
      </c>
      <c r="D4012" s="11">
        <v>44587</v>
      </c>
      <c r="E4012" t="s">
        <v>16</v>
      </c>
      <c r="F4012" t="s">
        <v>12</v>
      </c>
      <c r="G4012">
        <v>70029629</v>
      </c>
      <c r="H4012">
        <v>5500019188</v>
      </c>
      <c r="I4012">
        <v>1540</v>
      </c>
      <c r="J4012" s="29">
        <v>1</v>
      </c>
      <c r="K4012" s="29" t="s">
        <v>579</v>
      </c>
      <c r="L4012" t="str">
        <f>IFERROR(VLOOKUP(Detalle_OC[[#This Row],[Centro]]&amp;Detalle_OC[[#This Row],[Nro Almacen]],Almacen!A:D,4,FALSE),"")</f>
        <v>Montelima</v>
      </c>
    </row>
    <row r="4013" spans="1:12" x14ac:dyDescent="0.3">
      <c r="A4013" s="29" t="str">
        <f>Detalle_OC[[#This Row],[Centro]]&amp;Detalle_OC[[#This Row],[Nom Almacen]]&amp;Detalle_OC[[#This Row],[Material]]&amp;Detalle_OC[[#This Row],[Pedido]]&amp;Detalle_OC[[#This Row],[Posicion]]</f>
        <v>Agricola del Chira PlantaMontelima7382475500019188100</v>
      </c>
      <c r="B4013" t="s">
        <v>28</v>
      </c>
      <c r="C4013" t="s">
        <v>82</v>
      </c>
      <c r="D4013" s="11">
        <v>44586</v>
      </c>
      <c r="E4013" t="s">
        <v>16</v>
      </c>
      <c r="F4013" t="s">
        <v>12</v>
      </c>
      <c r="G4013">
        <v>738247</v>
      </c>
      <c r="H4013">
        <v>5500019188</v>
      </c>
      <c r="I4013">
        <v>100</v>
      </c>
      <c r="J4013" s="29">
        <v>1</v>
      </c>
      <c r="K4013" s="29" t="s">
        <v>580</v>
      </c>
      <c r="L4013" t="str">
        <f>IFERROR(VLOOKUP(Detalle_OC[[#This Row],[Centro]]&amp;Detalle_OC[[#This Row],[Nro Almacen]],Almacen!A:D,4,FALSE),"")</f>
        <v>Montelima</v>
      </c>
    </row>
    <row r="4014" spans="1:12" x14ac:dyDescent="0.3">
      <c r="A4014" s="29" t="str">
        <f>Detalle_OC[[#This Row],[Centro]]&amp;Detalle_OC[[#This Row],[Nom Almacen]]&amp;Detalle_OC[[#This Row],[Material]]&amp;Detalle_OC[[#This Row],[Pedido]]&amp;Detalle_OC[[#This Row],[Posicion]]</f>
        <v>Agricola del Chira PlantaMontelima8445295500019188380</v>
      </c>
      <c r="B4014" t="s">
        <v>28</v>
      </c>
      <c r="C4014" t="s">
        <v>82</v>
      </c>
      <c r="D4014" s="11">
        <v>44586</v>
      </c>
      <c r="E4014" t="s">
        <v>16</v>
      </c>
      <c r="F4014" t="s">
        <v>12</v>
      </c>
      <c r="G4014">
        <v>844529</v>
      </c>
      <c r="H4014">
        <v>5500019188</v>
      </c>
      <c r="I4014">
        <v>380</v>
      </c>
      <c r="J4014" s="29">
        <v>1</v>
      </c>
      <c r="K4014" s="29" t="s">
        <v>580</v>
      </c>
      <c r="L4014" t="str">
        <f>IFERROR(VLOOKUP(Detalle_OC[[#This Row],[Centro]]&amp;Detalle_OC[[#This Row],[Nro Almacen]],Almacen!A:D,4,FALSE),"")</f>
        <v>Montelima</v>
      </c>
    </row>
    <row r="4015" spans="1:12" x14ac:dyDescent="0.3">
      <c r="A4015" s="29" t="str">
        <f>Detalle_OC[[#This Row],[Centro]]&amp;Detalle_OC[[#This Row],[Nom Almacen]]&amp;Detalle_OC[[#This Row],[Material]]&amp;Detalle_OC[[#This Row],[Pedido]]&amp;Detalle_OC[[#This Row],[Posicion]]</f>
        <v>Agricola del Chira PlantaMontelima8506365500019188510</v>
      </c>
      <c r="B4015" t="s">
        <v>28</v>
      </c>
      <c r="C4015" t="s">
        <v>82</v>
      </c>
      <c r="D4015" s="11">
        <v>44586</v>
      </c>
      <c r="E4015" t="s">
        <v>16</v>
      </c>
      <c r="F4015" t="s">
        <v>12</v>
      </c>
      <c r="G4015">
        <v>850636</v>
      </c>
      <c r="H4015">
        <v>5500019188</v>
      </c>
      <c r="I4015">
        <v>510</v>
      </c>
      <c r="J4015" s="29">
        <v>1</v>
      </c>
      <c r="K4015" s="29" t="s">
        <v>580</v>
      </c>
      <c r="L4015" t="str">
        <f>IFERROR(VLOOKUP(Detalle_OC[[#This Row],[Centro]]&amp;Detalle_OC[[#This Row],[Nro Almacen]],Almacen!A:D,4,FALSE),"")</f>
        <v>Montelima</v>
      </c>
    </row>
    <row r="4016" spans="1:12" x14ac:dyDescent="0.3">
      <c r="A4016" s="29" t="str">
        <f>Detalle_OC[[#This Row],[Centro]]&amp;Detalle_OC[[#This Row],[Nom Almacen]]&amp;Detalle_OC[[#This Row],[Material]]&amp;Detalle_OC[[#This Row],[Pedido]]&amp;Detalle_OC[[#This Row],[Posicion]]</f>
        <v>Agricola del Chira PlantaMontelima82718155000191881520</v>
      </c>
      <c r="B4016" t="s">
        <v>28</v>
      </c>
      <c r="C4016" t="s">
        <v>82</v>
      </c>
      <c r="D4016" s="11">
        <v>44586</v>
      </c>
      <c r="E4016" t="s">
        <v>16</v>
      </c>
      <c r="F4016" t="s">
        <v>12</v>
      </c>
      <c r="G4016">
        <v>827181</v>
      </c>
      <c r="H4016">
        <v>5500019188</v>
      </c>
      <c r="I4016">
        <v>1520</v>
      </c>
      <c r="J4016" s="29">
        <v>1</v>
      </c>
      <c r="K4016" s="29" t="s">
        <v>580</v>
      </c>
      <c r="L4016" t="str">
        <f>IFERROR(VLOOKUP(Detalle_OC[[#This Row],[Centro]]&amp;Detalle_OC[[#This Row],[Nro Almacen]],Almacen!A:D,4,FALSE),"")</f>
        <v>Montelima</v>
      </c>
    </row>
    <row r="4017" spans="1:12" x14ac:dyDescent="0.3">
      <c r="A4017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4017" t="s">
        <v>28</v>
      </c>
      <c r="C4017" t="s">
        <v>82</v>
      </c>
      <c r="D4017" s="11">
        <v>44581</v>
      </c>
      <c r="E4017" t="s">
        <v>16</v>
      </c>
      <c r="F4017" t="s">
        <v>12</v>
      </c>
      <c r="G4017">
        <v>844523</v>
      </c>
      <c r="H4017">
        <v>5500019188</v>
      </c>
      <c r="I4017">
        <v>140</v>
      </c>
      <c r="J4017" s="29">
        <v>1</v>
      </c>
      <c r="K4017" s="29" t="s">
        <v>581</v>
      </c>
      <c r="L4017" t="str">
        <f>IFERROR(VLOOKUP(Detalle_OC[[#This Row],[Centro]]&amp;Detalle_OC[[#This Row],[Nro Almacen]],Almacen!A:D,4,FALSE),"")</f>
        <v>Montelima</v>
      </c>
    </row>
    <row r="4018" spans="1:12" x14ac:dyDescent="0.3">
      <c r="A4018" s="29" t="str">
        <f>Detalle_OC[[#This Row],[Centro]]&amp;Detalle_OC[[#This Row],[Nom Almacen]]&amp;Detalle_OC[[#This Row],[Material]]&amp;Detalle_OC[[#This Row],[Pedido]]&amp;Detalle_OC[[#This Row],[Posicion]]</f>
        <v>Agricola del Chira PlantaMontelima8445335500019188170</v>
      </c>
      <c r="B4018" t="s">
        <v>28</v>
      </c>
      <c r="C4018" t="s">
        <v>82</v>
      </c>
      <c r="D4018" s="11">
        <v>44581</v>
      </c>
      <c r="E4018" t="s">
        <v>16</v>
      </c>
      <c r="F4018" t="s">
        <v>12</v>
      </c>
      <c r="G4018">
        <v>844533</v>
      </c>
      <c r="H4018">
        <v>5500019188</v>
      </c>
      <c r="I4018">
        <v>170</v>
      </c>
      <c r="J4018" s="29">
        <v>1</v>
      </c>
      <c r="K4018" s="29" t="s">
        <v>581</v>
      </c>
      <c r="L4018" t="str">
        <f>IFERROR(VLOOKUP(Detalle_OC[[#This Row],[Centro]]&amp;Detalle_OC[[#This Row],[Nro Almacen]],Almacen!A:D,4,FALSE),"")</f>
        <v>Montelima</v>
      </c>
    </row>
    <row r="4019" spans="1:12" x14ac:dyDescent="0.3">
      <c r="A4019" s="29" t="str">
        <f>Detalle_OC[[#This Row],[Centro]]&amp;Detalle_OC[[#This Row],[Nom Almacen]]&amp;Detalle_OC[[#This Row],[Material]]&amp;Detalle_OC[[#This Row],[Pedido]]&amp;Detalle_OC[[#This Row],[Posicion]]</f>
        <v>Agricola del Chira PlantaMontelima8445245500019188210</v>
      </c>
      <c r="B4019" t="s">
        <v>28</v>
      </c>
      <c r="C4019" t="s">
        <v>82</v>
      </c>
      <c r="D4019" s="11">
        <v>44581</v>
      </c>
      <c r="E4019" t="s">
        <v>16</v>
      </c>
      <c r="F4019" t="s">
        <v>12</v>
      </c>
      <c r="G4019">
        <v>844524</v>
      </c>
      <c r="H4019">
        <v>5500019188</v>
      </c>
      <c r="I4019">
        <v>210</v>
      </c>
      <c r="J4019" s="29">
        <v>1</v>
      </c>
      <c r="K4019" s="29" t="s">
        <v>581</v>
      </c>
      <c r="L4019" t="str">
        <f>IFERROR(VLOOKUP(Detalle_OC[[#This Row],[Centro]]&amp;Detalle_OC[[#This Row],[Nro Almacen]],Almacen!A:D,4,FALSE),"")</f>
        <v>Montelima</v>
      </c>
    </row>
    <row r="4020" spans="1:12" x14ac:dyDescent="0.3">
      <c r="A4020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4020" t="s">
        <v>28</v>
      </c>
      <c r="C4020" t="s">
        <v>82</v>
      </c>
      <c r="D4020" s="11">
        <v>44586</v>
      </c>
      <c r="E4020" t="s">
        <v>16</v>
      </c>
      <c r="F4020" t="s">
        <v>12</v>
      </c>
      <c r="G4020">
        <v>844508</v>
      </c>
      <c r="H4020">
        <v>5500019188</v>
      </c>
      <c r="I4020">
        <v>220</v>
      </c>
      <c r="J4020" s="29">
        <v>1</v>
      </c>
      <c r="K4020" s="29" t="s">
        <v>581</v>
      </c>
      <c r="L4020" t="str">
        <f>IFERROR(VLOOKUP(Detalle_OC[[#This Row],[Centro]]&amp;Detalle_OC[[#This Row],[Nro Almacen]],Almacen!A:D,4,FALSE),"")</f>
        <v>Montelima</v>
      </c>
    </row>
    <row r="4021" spans="1:12" x14ac:dyDescent="0.3">
      <c r="A4021" s="29" t="str">
        <f>Detalle_OC[[#This Row],[Centro]]&amp;Detalle_OC[[#This Row],[Nom Almacen]]&amp;Detalle_OC[[#This Row],[Material]]&amp;Detalle_OC[[#This Row],[Pedido]]&amp;Detalle_OC[[#This Row],[Posicion]]</f>
        <v>Agricola del Chira PlantaMontelima8445185500019188270</v>
      </c>
      <c r="B4021" t="s">
        <v>28</v>
      </c>
      <c r="C4021" t="s">
        <v>82</v>
      </c>
      <c r="D4021" s="11">
        <v>44581</v>
      </c>
      <c r="E4021" t="s">
        <v>16</v>
      </c>
      <c r="F4021" t="s">
        <v>12</v>
      </c>
      <c r="G4021">
        <v>844518</v>
      </c>
      <c r="H4021">
        <v>5500019188</v>
      </c>
      <c r="I4021">
        <v>270</v>
      </c>
      <c r="J4021" s="29">
        <v>1</v>
      </c>
      <c r="K4021" s="29" t="s">
        <v>581</v>
      </c>
      <c r="L4021" t="str">
        <f>IFERROR(VLOOKUP(Detalle_OC[[#This Row],[Centro]]&amp;Detalle_OC[[#This Row],[Nro Almacen]],Almacen!A:D,4,FALSE),"")</f>
        <v>Montelima</v>
      </c>
    </row>
    <row r="4022" spans="1:12" x14ac:dyDescent="0.3">
      <c r="A4022" s="29" t="str">
        <f>Detalle_OC[[#This Row],[Centro]]&amp;Detalle_OC[[#This Row],[Nom Almacen]]&amp;Detalle_OC[[#This Row],[Material]]&amp;Detalle_OC[[#This Row],[Pedido]]&amp;Detalle_OC[[#This Row],[Posicion]]</f>
        <v>Agricola del Chira PlantaMontelima8443975500019188280</v>
      </c>
      <c r="B4022" t="s">
        <v>28</v>
      </c>
      <c r="C4022" t="s">
        <v>82</v>
      </c>
      <c r="D4022" s="11">
        <v>44581</v>
      </c>
      <c r="E4022" t="s">
        <v>16</v>
      </c>
      <c r="F4022" t="s">
        <v>12</v>
      </c>
      <c r="G4022">
        <v>844397</v>
      </c>
      <c r="H4022">
        <v>5500019188</v>
      </c>
      <c r="I4022">
        <v>280</v>
      </c>
      <c r="J4022" s="29">
        <v>1</v>
      </c>
      <c r="K4022" s="29" t="s">
        <v>581</v>
      </c>
      <c r="L4022" t="str">
        <f>IFERROR(VLOOKUP(Detalle_OC[[#This Row],[Centro]]&amp;Detalle_OC[[#This Row],[Nro Almacen]],Almacen!A:D,4,FALSE),"")</f>
        <v>Montelima</v>
      </c>
    </row>
    <row r="4023" spans="1:12" x14ac:dyDescent="0.3">
      <c r="A4023" s="29" t="str">
        <f>Detalle_OC[[#This Row],[Centro]]&amp;Detalle_OC[[#This Row],[Nom Almacen]]&amp;Detalle_OC[[#This Row],[Material]]&amp;Detalle_OC[[#This Row],[Pedido]]&amp;Detalle_OC[[#This Row],[Posicion]]</f>
        <v>Agricola del Chira PlantaMontelima8445365500019188330</v>
      </c>
      <c r="B4023" t="s">
        <v>28</v>
      </c>
      <c r="C4023" t="s">
        <v>82</v>
      </c>
      <c r="D4023" s="11">
        <v>44581</v>
      </c>
      <c r="E4023" t="s">
        <v>16</v>
      </c>
      <c r="F4023" t="s">
        <v>12</v>
      </c>
      <c r="G4023">
        <v>844536</v>
      </c>
      <c r="H4023">
        <v>5500019188</v>
      </c>
      <c r="I4023">
        <v>330</v>
      </c>
      <c r="J4023" s="29">
        <v>1</v>
      </c>
      <c r="K4023" s="29" t="s">
        <v>581</v>
      </c>
      <c r="L4023" t="str">
        <f>IFERROR(VLOOKUP(Detalle_OC[[#This Row],[Centro]]&amp;Detalle_OC[[#This Row],[Nro Almacen]],Almacen!A:D,4,FALSE),"")</f>
        <v>Montelima</v>
      </c>
    </row>
    <row r="4024" spans="1:12" x14ac:dyDescent="0.3">
      <c r="A4024" s="29" t="str">
        <f>Detalle_OC[[#This Row],[Centro]]&amp;Detalle_OC[[#This Row],[Nom Almacen]]&amp;Detalle_OC[[#This Row],[Material]]&amp;Detalle_OC[[#This Row],[Pedido]]&amp;Detalle_OC[[#This Row],[Posicion]]</f>
        <v>Agricola del Chira PlantaMontelima8445415500019188460</v>
      </c>
      <c r="B4024" t="s">
        <v>28</v>
      </c>
      <c r="C4024" t="s">
        <v>82</v>
      </c>
      <c r="D4024" s="11">
        <v>44581</v>
      </c>
      <c r="E4024" t="s">
        <v>16</v>
      </c>
      <c r="F4024" t="s">
        <v>12</v>
      </c>
      <c r="G4024">
        <v>844541</v>
      </c>
      <c r="H4024">
        <v>5500019188</v>
      </c>
      <c r="I4024">
        <v>460</v>
      </c>
      <c r="J4024" s="29">
        <v>1</v>
      </c>
      <c r="K4024" s="29" t="s">
        <v>581</v>
      </c>
      <c r="L4024" t="str">
        <f>IFERROR(VLOOKUP(Detalle_OC[[#This Row],[Centro]]&amp;Detalle_OC[[#This Row],[Nro Almacen]],Almacen!A:D,4,FALSE),"")</f>
        <v>Montelima</v>
      </c>
    </row>
    <row r="4025" spans="1:12" x14ac:dyDescent="0.3">
      <c r="A4025" s="29" t="str">
        <f>Detalle_OC[[#This Row],[Centro]]&amp;Detalle_OC[[#This Row],[Nom Almacen]]&amp;Detalle_OC[[#This Row],[Material]]&amp;Detalle_OC[[#This Row],[Pedido]]&amp;Detalle_OC[[#This Row],[Posicion]]</f>
        <v>Agricola del Chira PlantaMontelima8445385500019188560</v>
      </c>
      <c r="B4025" t="s">
        <v>28</v>
      </c>
      <c r="C4025" t="s">
        <v>82</v>
      </c>
      <c r="D4025" s="11">
        <v>44581</v>
      </c>
      <c r="E4025" t="s">
        <v>16</v>
      </c>
      <c r="F4025" t="s">
        <v>12</v>
      </c>
      <c r="G4025">
        <v>844538</v>
      </c>
      <c r="H4025">
        <v>5500019188</v>
      </c>
      <c r="I4025">
        <v>560</v>
      </c>
      <c r="J4025" s="29">
        <v>1</v>
      </c>
      <c r="K4025" s="29" t="s">
        <v>581</v>
      </c>
      <c r="L4025" t="str">
        <f>IFERROR(VLOOKUP(Detalle_OC[[#This Row],[Centro]]&amp;Detalle_OC[[#This Row],[Nro Almacen]],Almacen!A:D,4,FALSE),"")</f>
        <v>Montelima</v>
      </c>
    </row>
    <row r="4026" spans="1:12" x14ac:dyDescent="0.3">
      <c r="A4026" s="29" t="str">
        <f>Detalle_OC[[#This Row],[Centro]]&amp;Detalle_OC[[#This Row],[Nom Almacen]]&amp;Detalle_OC[[#This Row],[Material]]&amp;Detalle_OC[[#This Row],[Pedido]]&amp;Detalle_OC[[#This Row],[Posicion]]</f>
        <v>Agricola del Chira PlantaMontelima8457155500019188650</v>
      </c>
      <c r="B4026" t="s">
        <v>28</v>
      </c>
      <c r="C4026" t="s">
        <v>82</v>
      </c>
      <c r="D4026" s="11">
        <v>44581</v>
      </c>
      <c r="E4026" t="s">
        <v>16</v>
      </c>
      <c r="F4026" t="s">
        <v>12</v>
      </c>
      <c r="G4026">
        <v>845715</v>
      </c>
      <c r="H4026">
        <v>5500019188</v>
      </c>
      <c r="I4026">
        <v>650</v>
      </c>
      <c r="J4026" s="29">
        <v>1</v>
      </c>
      <c r="K4026" s="29" t="s">
        <v>581</v>
      </c>
      <c r="L4026" t="str">
        <f>IFERROR(VLOOKUP(Detalle_OC[[#This Row],[Centro]]&amp;Detalle_OC[[#This Row],[Nro Almacen]],Almacen!A:D,4,FALSE),"")</f>
        <v>Montelima</v>
      </c>
    </row>
    <row r="4027" spans="1:12" x14ac:dyDescent="0.3">
      <c r="A4027" s="29" t="str">
        <f>Detalle_OC[[#This Row],[Centro]]&amp;Detalle_OC[[#This Row],[Nom Almacen]]&amp;Detalle_OC[[#This Row],[Material]]&amp;Detalle_OC[[#This Row],[Pedido]]&amp;Detalle_OC[[#This Row],[Posicion]]</f>
        <v>Agricola del Chira PlantaMontelima85063755000191881390</v>
      </c>
      <c r="B4027" t="s">
        <v>28</v>
      </c>
      <c r="C4027" t="s">
        <v>82</v>
      </c>
      <c r="D4027" s="11">
        <v>44581</v>
      </c>
      <c r="E4027" t="s">
        <v>16</v>
      </c>
      <c r="F4027" t="s">
        <v>12</v>
      </c>
      <c r="G4027">
        <v>850637</v>
      </c>
      <c r="H4027">
        <v>5500019188</v>
      </c>
      <c r="I4027">
        <v>1390</v>
      </c>
      <c r="J4027" s="29">
        <v>1</v>
      </c>
      <c r="K4027" s="29" t="s">
        <v>581</v>
      </c>
      <c r="L4027" t="str">
        <f>IFERROR(VLOOKUP(Detalle_OC[[#This Row],[Centro]]&amp;Detalle_OC[[#This Row],[Nro Almacen]],Almacen!A:D,4,FALSE),"")</f>
        <v>Montelima</v>
      </c>
    </row>
    <row r="4028" spans="1:12" x14ac:dyDescent="0.3">
      <c r="A4028" s="29" t="str">
        <f>Detalle_OC[[#This Row],[Centro]]&amp;Detalle_OC[[#This Row],[Nom Almacen]]&amp;Detalle_OC[[#This Row],[Material]]&amp;Detalle_OC[[#This Row],[Pedido]]&amp;Detalle_OC[[#This Row],[Posicion]]</f>
        <v>Agricola del Chira PlantaMontelima7002961455000191881550</v>
      </c>
      <c r="B4028" t="s">
        <v>28</v>
      </c>
      <c r="C4028" t="s">
        <v>82</v>
      </c>
      <c r="D4028" s="11">
        <v>44581</v>
      </c>
      <c r="E4028" t="s">
        <v>16</v>
      </c>
      <c r="F4028" t="s">
        <v>12</v>
      </c>
      <c r="G4028">
        <v>70029614</v>
      </c>
      <c r="H4028">
        <v>5500019188</v>
      </c>
      <c r="I4028">
        <v>1550</v>
      </c>
      <c r="J4028" s="29">
        <v>1</v>
      </c>
      <c r="K4028" s="29" t="s">
        <v>581</v>
      </c>
      <c r="L4028" t="str">
        <f>IFERROR(VLOOKUP(Detalle_OC[[#This Row],[Centro]]&amp;Detalle_OC[[#This Row],[Nro Almacen]],Almacen!A:D,4,FALSE),"")</f>
        <v>Montelima</v>
      </c>
    </row>
    <row r="4029" spans="1:12" x14ac:dyDescent="0.3">
      <c r="A4029" s="29" t="str">
        <f>Detalle_OC[[#This Row],[Centro]]&amp;Detalle_OC[[#This Row],[Nom Almacen]]&amp;Detalle_OC[[#This Row],[Material]]&amp;Detalle_OC[[#This Row],[Pedido]]&amp;Detalle_OC[[#This Row],[Posicion]]</f>
        <v>Agricola del Chira PlantaMontelima7003088155000191881770</v>
      </c>
      <c r="B4029" t="s">
        <v>28</v>
      </c>
      <c r="C4029" t="s">
        <v>82</v>
      </c>
      <c r="D4029" s="11">
        <v>44586</v>
      </c>
      <c r="E4029" t="s">
        <v>16</v>
      </c>
      <c r="F4029" t="s">
        <v>12</v>
      </c>
      <c r="G4029">
        <v>70030881</v>
      </c>
      <c r="H4029">
        <v>5500019188</v>
      </c>
      <c r="I4029">
        <v>1770</v>
      </c>
      <c r="J4029" s="29">
        <v>1</v>
      </c>
      <c r="K4029" s="29" t="s">
        <v>582</v>
      </c>
      <c r="L4029" t="str">
        <f>IFERROR(VLOOKUP(Detalle_OC[[#This Row],[Centro]]&amp;Detalle_OC[[#This Row],[Nro Almacen]],Almacen!A:D,4,FALSE),"")</f>
        <v>Montelima</v>
      </c>
    </row>
    <row r="4030" spans="1:12" x14ac:dyDescent="0.3">
      <c r="A4030" s="29" t="str">
        <f>Detalle_OC[[#This Row],[Centro]]&amp;Detalle_OC[[#This Row],[Nom Almacen]]&amp;Detalle_OC[[#This Row],[Material]]&amp;Detalle_OC[[#This Row],[Pedido]]&amp;Detalle_OC[[#This Row],[Posicion]]</f>
        <v>Agricola del Chira PlantaMontelima8445335500019188170</v>
      </c>
      <c r="B4030" t="s">
        <v>28</v>
      </c>
      <c r="C4030" t="s">
        <v>82</v>
      </c>
      <c r="D4030" s="11">
        <v>44586</v>
      </c>
      <c r="E4030" t="s">
        <v>16</v>
      </c>
      <c r="F4030" t="s">
        <v>12</v>
      </c>
      <c r="G4030">
        <v>844533</v>
      </c>
      <c r="H4030">
        <v>5500019188</v>
      </c>
      <c r="I4030">
        <v>170</v>
      </c>
      <c r="J4030" s="29">
        <v>1</v>
      </c>
      <c r="K4030" s="29" t="s">
        <v>583</v>
      </c>
      <c r="L4030" t="str">
        <f>IFERROR(VLOOKUP(Detalle_OC[[#This Row],[Centro]]&amp;Detalle_OC[[#This Row],[Nro Almacen]],Almacen!A:D,4,FALSE),"")</f>
        <v>Montelima</v>
      </c>
    </row>
    <row r="4031" spans="1:12" x14ac:dyDescent="0.3">
      <c r="A4031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4031" t="s">
        <v>28</v>
      </c>
      <c r="C4031" t="s">
        <v>82</v>
      </c>
      <c r="D4031" s="11">
        <v>44571</v>
      </c>
      <c r="E4031" t="s">
        <v>16</v>
      </c>
      <c r="F4031" t="s">
        <v>12</v>
      </c>
      <c r="G4031">
        <v>844516</v>
      </c>
      <c r="H4031">
        <v>5500019188</v>
      </c>
      <c r="I4031">
        <v>190</v>
      </c>
      <c r="J4031" s="29">
        <v>1</v>
      </c>
      <c r="K4031" s="29" t="s">
        <v>583</v>
      </c>
      <c r="L4031" t="str">
        <f>IFERROR(VLOOKUP(Detalle_OC[[#This Row],[Centro]]&amp;Detalle_OC[[#This Row],[Nro Almacen]],Almacen!A:D,4,FALSE),"")</f>
        <v>Montelima</v>
      </c>
    </row>
    <row r="4032" spans="1:12" x14ac:dyDescent="0.3">
      <c r="A4032" s="29" t="str">
        <f>Detalle_OC[[#This Row],[Centro]]&amp;Detalle_OC[[#This Row],[Nom Almacen]]&amp;Detalle_OC[[#This Row],[Material]]&amp;Detalle_OC[[#This Row],[Pedido]]&amp;Detalle_OC[[#This Row],[Posicion]]</f>
        <v>Agricola del Chira PlantaMontelima8445245500019188210</v>
      </c>
      <c r="B4032" t="s">
        <v>28</v>
      </c>
      <c r="C4032" t="s">
        <v>82</v>
      </c>
      <c r="D4032" s="11">
        <v>44572</v>
      </c>
      <c r="E4032" t="s">
        <v>16</v>
      </c>
      <c r="F4032" t="s">
        <v>12</v>
      </c>
      <c r="G4032">
        <v>844524</v>
      </c>
      <c r="H4032">
        <v>5500019188</v>
      </c>
      <c r="I4032">
        <v>210</v>
      </c>
      <c r="J4032" s="29">
        <v>1</v>
      </c>
      <c r="K4032" s="29" t="s">
        <v>583</v>
      </c>
      <c r="L4032" t="str">
        <f>IFERROR(VLOOKUP(Detalle_OC[[#This Row],[Centro]]&amp;Detalle_OC[[#This Row],[Nro Almacen]],Almacen!A:D,4,FALSE),"")</f>
        <v>Montelima</v>
      </c>
    </row>
    <row r="4033" spans="1:12" x14ac:dyDescent="0.3">
      <c r="A4033" s="29" t="str">
        <f>Detalle_OC[[#This Row],[Centro]]&amp;Detalle_OC[[#This Row],[Nom Almacen]]&amp;Detalle_OC[[#This Row],[Material]]&amp;Detalle_OC[[#This Row],[Pedido]]&amp;Detalle_OC[[#This Row],[Posicion]]</f>
        <v>Agricola del Chira PlantaMontelima8443975500019188280</v>
      </c>
      <c r="B4033" t="s">
        <v>28</v>
      </c>
      <c r="C4033" t="s">
        <v>82</v>
      </c>
      <c r="D4033" s="11">
        <v>44572</v>
      </c>
      <c r="E4033" t="s">
        <v>16</v>
      </c>
      <c r="F4033" t="s">
        <v>12</v>
      </c>
      <c r="G4033">
        <v>844397</v>
      </c>
      <c r="H4033">
        <v>5500019188</v>
      </c>
      <c r="I4033">
        <v>280</v>
      </c>
      <c r="J4033" s="29">
        <v>1</v>
      </c>
      <c r="K4033" s="29" t="s">
        <v>583</v>
      </c>
      <c r="L4033" t="str">
        <f>IFERROR(VLOOKUP(Detalle_OC[[#This Row],[Centro]]&amp;Detalle_OC[[#This Row],[Nro Almacen]],Almacen!A:D,4,FALSE),"")</f>
        <v>Montelima</v>
      </c>
    </row>
    <row r="4034" spans="1:12" x14ac:dyDescent="0.3">
      <c r="A4034" s="29" t="str">
        <f>Detalle_OC[[#This Row],[Centro]]&amp;Detalle_OC[[#This Row],[Nom Almacen]]&amp;Detalle_OC[[#This Row],[Material]]&amp;Detalle_OC[[#This Row],[Pedido]]&amp;Detalle_OC[[#This Row],[Posicion]]</f>
        <v>Agricola del Chira PlantaMontelima8445365500019188330</v>
      </c>
      <c r="B4034" t="s">
        <v>28</v>
      </c>
      <c r="C4034" t="s">
        <v>82</v>
      </c>
      <c r="D4034" s="11">
        <v>44572</v>
      </c>
      <c r="E4034" t="s">
        <v>16</v>
      </c>
      <c r="F4034" t="s">
        <v>12</v>
      </c>
      <c r="G4034">
        <v>844536</v>
      </c>
      <c r="H4034">
        <v>5500019188</v>
      </c>
      <c r="I4034">
        <v>330</v>
      </c>
      <c r="J4034" s="29">
        <v>1</v>
      </c>
      <c r="K4034" s="29" t="s">
        <v>583</v>
      </c>
      <c r="L4034" t="str">
        <f>IFERROR(VLOOKUP(Detalle_OC[[#This Row],[Centro]]&amp;Detalle_OC[[#This Row],[Nro Almacen]],Almacen!A:D,4,FALSE),"")</f>
        <v>Montelima</v>
      </c>
    </row>
    <row r="4035" spans="1:12" x14ac:dyDescent="0.3">
      <c r="A4035" s="29" t="str">
        <f>Detalle_OC[[#This Row],[Centro]]&amp;Detalle_OC[[#This Row],[Nom Almacen]]&amp;Detalle_OC[[#This Row],[Material]]&amp;Detalle_OC[[#This Row],[Pedido]]&amp;Detalle_OC[[#This Row],[Posicion]]</f>
        <v>Agricola del Chira PlantaMontelima8445305500019188490</v>
      </c>
      <c r="B4035" t="s">
        <v>28</v>
      </c>
      <c r="C4035" t="s">
        <v>82</v>
      </c>
      <c r="D4035" s="11">
        <v>44572</v>
      </c>
      <c r="E4035" t="s">
        <v>16</v>
      </c>
      <c r="F4035" t="s">
        <v>12</v>
      </c>
      <c r="G4035">
        <v>844530</v>
      </c>
      <c r="H4035">
        <v>5500019188</v>
      </c>
      <c r="I4035">
        <v>490</v>
      </c>
      <c r="J4035" s="29">
        <v>1</v>
      </c>
      <c r="K4035" s="29" t="s">
        <v>583</v>
      </c>
      <c r="L4035" t="str">
        <f>IFERROR(VLOOKUP(Detalle_OC[[#This Row],[Centro]]&amp;Detalle_OC[[#This Row],[Nro Almacen]],Almacen!A:D,4,FALSE),"")</f>
        <v>Montelima</v>
      </c>
    </row>
    <row r="4036" spans="1:12" x14ac:dyDescent="0.3">
      <c r="A4036" s="29" t="str">
        <f>Detalle_OC[[#This Row],[Centro]]&amp;Detalle_OC[[#This Row],[Nom Almacen]]&amp;Detalle_OC[[#This Row],[Material]]&amp;Detalle_OC[[#This Row],[Pedido]]&amp;Detalle_OC[[#This Row],[Posicion]]</f>
        <v>Agricola del Chira PlantaMontelima8445385500019188560</v>
      </c>
      <c r="B4036" t="s">
        <v>28</v>
      </c>
      <c r="C4036" t="s">
        <v>82</v>
      </c>
      <c r="D4036" s="11">
        <v>44586</v>
      </c>
      <c r="E4036" t="s">
        <v>16</v>
      </c>
      <c r="F4036" t="s">
        <v>12</v>
      </c>
      <c r="G4036">
        <v>844538</v>
      </c>
      <c r="H4036">
        <v>5500019188</v>
      </c>
      <c r="I4036">
        <v>560</v>
      </c>
      <c r="J4036" s="29">
        <v>1</v>
      </c>
      <c r="K4036" s="29" t="s">
        <v>583</v>
      </c>
      <c r="L4036" t="str">
        <f>IFERROR(VLOOKUP(Detalle_OC[[#This Row],[Centro]]&amp;Detalle_OC[[#This Row],[Nro Almacen]],Almacen!A:D,4,FALSE),"")</f>
        <v>Montelima</v>
      </c>
    </row>
    <row r="4037" spans="1:12" x14ac:dyDescent="0.3">
      <c r="A4037" s="29" t="str">
        <f>Detalle_OC[[#This Row],[Centro]]&amp;Detalle_OC[[#This Row],[Nom Almacen]]&amp;Detalle_OC[[#This Row],[Material]]&amp;Detalle_OC[[#This Row],[Pedido]]&amp;Detalle_OC[[#This Row],[Posicion]]</f>
        <v>Agricola del Chira PlantaMontelima83507655000191881340</v>
      </c>
      <c r="B4037" t="s">
        <v>28</v>
      </c>
      <c r="C4037" t="s">
        <v>82</v>
      </c>
      <c r="D4037" s="11">
        <v>44572</v>
      </c>
      <c r="E4037" t="s">
        <v>16</v>
      </c>
      <c r="F4037" t="s">
        <v>12</v>
      </c>
      <c r="G4037">
        <v>835076</v>
      </c>
      <c r="H4037">
        <v>5500019188</v>
      </c>
      <c r="I4037">
        <v>1340</v>
      </c>
      <c r="J4037" s="29">
        <v>1</v>
      </c>
      <c r="K4037" s="29" t="s">
        <v>583</v>
      </c>
      <c r="L4037" t="str">
        <f>IFERROR(VLOOKUP(Detalle_OC[[#This Row],[Centro]]&amp;Detalle_OC[[#This Row],[Nro Almacen]],Almacen!A:D,4,FALSE),"")</f>
        <v>Montelima</v>
      </c>
    </row>
    <row r="4038" spans="1:12" x14ac:dyDescent="0.3">
      <c r="A4038" s="29" t="str">
        <f>Detalle_OC[[#This Row],[Centro]]&amp;Detalle_OC[[#This Row],[Nom Almacen]]&amp;Detalle_OC[[#This Row],[Material]]&amp;Detalle_OC[[#This Row],[Pedido]]&amp;Detalle_OC[[#This Row],[Posicion]]</f>
        <v>Agricola del Chira PlantaMontelima7002962855000191881530</v>
      </c>
      <c r="B4038" t="s">
        <v>28</v>
      </c>
      <c r="C4038" t="s">
        <v>82</v>
      </c>
      <c r="D4038" s="11">
        <v>44572</v>
      </c>
      <c r="E4038" t="s">
        <v>16</v>
      </c>
      <c r="F4038" t="s">
        <v>12</v>
      </c>
      <c r="G4038">
        <v>70029628</v>
      </c>
      <c r="H4038">
        <v>5500019188</v>
      </c>
      <c r="I4038">
        <v>1530</v>
      </c>
      <c r="J4038" s="29">
        <v>1</v>
      </c>
      <c r="K4038" s="29" t="s">
        <v>583</v>
      </c>
      <c r="L4038" t="str">
        <f>IFERROR(VLOOKUP(Detalle_OC[[#This Row],[Centro]]&amp;Detalle_OC[[#This Row],[Nro Almacen]],Almacen!A:D,4,FALSE),"")</f>
        <v>Montelima</v>
      </c>
    </row>
    <row r="4039" spans="1:12" x14ac:dyDescent="0.3">
      <c r="A4039" s="29" t="str">
        <f>Detalle_OC[[#This Row],[Centro]]&amp;Detalle_OC[[#This Row],[Nom Almacen]]&amp;Detalle_OC[[#This Row],[Material]]&amp;Detalle_OC[[#This Row],[Pedido]]&amp;Detalle_OC[[#This Row],[Posicion]]</f>
        <v>Agricola del Chira PlantaMontelima7002962955000191881540</v>
      </c>
      <c r="B4039" t="s">
        <v>28</v>
      </c>
      <c r="C4039" t="s">
        <v>82</v>
      </c>
      <c r="D4039" s="11">
        <v>44572</v>
      </c>
      <c r="E4039" t="s">
        <v>16</v>
      </c>
      <c r="F4039" t="s">
        <v>12</v>
      </c>
      <c r="G4039">
        <v>70029629</v>
      </c>
      <c r="H4039">
        <v>5500019188</v>
      </c>
      <c r="I4039">
        <v>1540</v>
      </c>
      <c r="J4039" s="29">
        <v>1</v>
      </c>
      <c r="K4039" s="29" t="s">
        <v>583</v>
      </c>
      <c r="L4039" t="str">
        <f>IFERROR(VLOOKUP(Detalle_OC[[#This Row],[Centro]]&amp;Detalle_OC[[#This Row],[Nro Almacen]],Almacen!A:D,4,FALSE),"")</f>
        <v>Montelima</v>
      </c>
    </row>
    <row r="4040" spans="1:12" x14ac:dyDescent="0.3">
      <c r="A4040" s="29" t="str">
        <f>Detalle_OC[[#This Row],[Centro]]&amp;Detalle_OC[[#This Row],[Nom Almacen]]&amp;Detalle_OC[[#This Row],[Material]]&amp;Detalle_OC[[#This Row],[Pedido]]&amp;Detalle_OC[[#This Row],[Posicion]]</f>
        <v>Agricola del Chira PlantaMontelima808069550002233830</v>
      </c>
      <c r="B4040" t="s">
        <v>28</v>
      </c>
      <c r="C4040" t="s">
        <v>84</v>
      </c>
      <c r="D4040" s="11">
        <v>44568</v>
      </c>
      <c r="E4040" t="s">
        <v>16</v>
      </c>
      <c r="F4040" t="s">
        <v>12</v>
      </c>
      <c r="G4040">
        <v>808069</v>
      </c>
      <c r="H4040">
        <v>5500022338</v>
      </c>
      <c r="I4040">
        <v>30</v>
      </c>
      <c r="J4040" s="29">
        <v>1</v>
      </c>
      <c r="K4040" s="29" t="s">
        <v>584</v>
      </c>
      <c r="L4040" t="str">
        <f>IFERROR(VLOOKUP(Detalle_OC[[#This Row],[Centro]]&amp;Detalle_OC[[#This Row],[Nro Almacen]],Almacen!A:D,4,FALSE),"")</f>
        <v>Montelima</v>
      </c>
    </row>
    <row r="4041" spans="1:12" x14ac:dyDescent="0.3">
      <c r="A4041" s="29" t="str">
        <f>Detalle_OC[[#This Row],[Centro]]&amp;Detalle_OC[[#This Row],[Nom Almacen]]&amp;Detalle_OC[[#This Row],[Material]]&amp;Detalle_OC[[#This Row],[Pedido]]&amp;Detalle_OC[[#This Row],[Posicion]]</f>
        <v>Agricola del Chira PlantaMontelima725201550001918830</v>
      </c>
      <c r="B4041" t="s">
        <v>28</v>
      </c>
      <c r="C4041" t="s">
        <v>82</v>
      </c>
      <c r="D4041" s="11">
        <v>44546</v>
      </c>
      <c r="E4041" t="s">
        <v>16</v>
      </c>
      <c r="F4041" t="s">
        <v>12</v>
      </c>
      <c r="G4041">
        <v>725201</v>
      </c>
      <c r="H4041">
        <v>5500019188</v>
      </c>
      <c r="I4041">
        <v>30</v>
      </c>
      <c r="J4041" s="29">
        <v>1</v>
      </c>
      <c r="K4041" s="29" t="s">
        <v>585</v>
      </c>
      <c r="L4041" t="str">
        <f>IFERROR(VLOOKUP(Detalle_OC[[#This Row],[Centro]]&amp;Detalle_OC[[#This Row],[Nro Almacen]],Almacen!A:D,4,FALSE),"")</f>
        <v>Montelima</v>
      </c>
    </row>
    <row r="4042" spans="1:12" x14ac:dyDescent="0.3">
      <c r="A4042" s="29" t="str">
        <f>Detalle_OC[[#This Row],[Centro]]&amp;Detalle_OC[[#This Row],[Nom Almacen]]&amp;Detalle_OC[[#This Row],[Material]]&amp;Detalle_OC[[#This Row],[Pedido]]&amp;Detalle_OC[[#This Row],[Posicion]]</f>
        <v>Agricola del Chira PlantaMontelima83507555000191881310</v>
      </c>
      <c r="B4042" t="s">
        <v>28</v>
      </c>
      <c r="C4042" t="s">
        <v>82</v>
      </c>
      <c r="D4042" s="11">
        <v>44546</v>
      </c>
      <c r="E4042" t="s">
        <v>16</v>
      </c>
      <c r="F4042" t="s">
        <v>12</v>
      </c>
      <c r="G4042">
        <v>835075</v>
      </c>
      <c r="H4042">
        <v>5500019188</v>
      </c>
      <c r="I4042">
        <v>1310</v>
      </c>
      <c r="J4042" s="29">
        <v>1</v>
      </c>
      <c r="K4042" s="29" t="s">
        <v>585</v>
      </c>
      <c r="L4042" t="str">
        <f>IFERROR(VLOOKUP(Detalle_OC[[#This Row],[Centro]]&amp;Detalle_OC[[#This Row],[Nro Almacen]],Almacen!A:D,4,FALSE),"")</f>
        <v>Montelima</v>
      </c>
    </row>
    <row r="4043" spans="1:12" x14ac:dyDescent="0.3">
      <c r="A4043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4043" t="s">
        <v>28</v>
      </c>
      <c r="C4043" t="s">
        <v>84</v>
      </c>
      <c r="D4043" s="11">
        <v>44545</v>
      </c>
      <c r="E4043" t="s">
        <v>16</v>
      </c>
      <c r="F4043" t="s">
        <v>85</v>
      </c>
      <c r="G4043">
        <v>806591</v>
      </c>
      <c r="H4043">
        <v>5500022336</v>
      </c>
      <c r="I4043">
        <v>20</v>
      </c>
      <c r="J4043" s="29">
        <v>1</v>
      </c>
      <c r="K4043" s="29" t="s">
        <v>586</v>
      </c>
      <c r="L4043" t="str">
        <f>IFERROR(VLOOKUP(Detalle_OC[[#This Row],[Centro]]&amp;Detalle_OC[[#This Row],[Nro Almacen]],Almacen!A:D,4,FALSE),"")</f>
        <v>Montelima</v>
      </c>
    </row>
    <row r="4044" spans="1:12" x14ac:dyDescent="0.3">
      <c r="A4044" s="29" t="str">
        <f>Detalle_OC[[#This Row],[Centro]]&amp;Detalle_OC[[#This Row],[Nom Almacen]]&amp;Detalle_OC[[#This Row],[Material]]&amp;Detalle_OC[[#This Row],[Pedido]]&amp;Detalle_OC[[#This Row],[Posicion]]</f>
        <v>Agricola del Chira PlantaMontelima808069550002233830</v>
      </c>
      <c r="B4044" t="s">
        <v>28</v>
      </c>
      <c r="C4044" t="s">
        <v>84</v>
      </c>
      <c r="D4044" s="11">
        <v>44544</v>
      </c>
      <c r="E4044" t="s">
        <v>16</v>
      </c>
      <c r="F4044" t="s">
        <v>12</v>
      </c>
      <c r="G4044">
        <v>808069</v>
      </c>
      <c r="H4044">
        <v>5500022338</v>
      </c>
      <c r="I4044">
        <v>30</v>
      </c>
      <c r="J4044" s="29">
        <v>1</v>
      </c>
      <c r="K4044" s="29" t="s">
        <v>587</v>
      </c>
      <c r="L4044" t="str">
        <f>IFERROR(VLOOKUP(Detalle_OC[[#This Row],[Centro]]&amp;Detalle_OC[[#This Row],[Nro Almacen]],Almacen!A:D,4,FALSE),"")</f>
        <v>Montelima</v>
      </c>
    </row>
    <row r="4045" spans="1:12" x14ac:dyDescent="0.3">
      <c r="A4045" s="29" t="str">
        <f>Detalle_OC[[#This Row],[Centro]]&amp;Detalle_OC[[#This Row],[Nom Almacen]]&amp;Detalle_OC[[#This Row],[Material]]&amp;Detalle_OC[[#This Row],[Pedido]]&amp;Detalle_OC[[#This Row],[Posicion]]</f>
        <v>Agricola del Chira PlantaMontelima709179550002233820</v>
      </c>
      <c r="B4045" t="s">
        <v>28</v>
      </c>
      <c r="C4045" t="s">
        <v>84</v>
      </c>
      <c r="D4045" s="11">
        <v>44543</v>
      </c>
      <c r="E4045" t="s">
        <v>16</v>
      </c>
      <c r="F4045" t="s">
        <v>12</v>
      </c>
      <c r="G4045">
        <v>709179</v>
      </c>
      <c r="H4045">
        <v>5500022338</v>
      </c>
      <c r="I4045">
        <v>20</v>
      </c>
      <c r="J4045" s="29">
        <v>1</v>
      </c>
      <c r="K4045" s="29" t="s">
        <v>588</v>
      </c>
      <c r="L4045" t="str">
        <f>IFERROR(VLOOKUP(Detalle_OC[[#This Row],[Centro]]&amp;Detalle_OC[[#This Row],[Nro Almacen]],Almacen!A:D,4,FALSE),"")</f>
        <v>Montelima</v>
      </c>
    </row>
    <row r="4046" spans="1:12" x14ac:dyDescent="0.3">
      <c r="A4046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4046" t="s">
        <v>28</v>
      </c>
      <c r="C4046" t="s">
        <v>84</v>
      </c>
      <c r="D4046" s="11">
        <v>44543</v>
      </c>
      <c r="E4046" t="s">
        <v>16</v>
      </c>
      <c r="F4046" t="s">
        <v>12</v>
      </c>
      <c r="G4046">
        <v>801846</v>
      </c>
      <c r="H4046">
        <v>5500022338</v>
      </c>
      <c r="I4046">
        <v>40</v>
      </c>
      <c r="J4046" s="29">
        <v>1</v>
      </c>
      <c r="K4046" s="29" t="s">
        <v>588</v>
      </c>
      <c r="L4046" t="str">
        <f>IFERROR(VLOOKUP(Detalle_OC[[#This Row],[Centro]]&amp;Detalle_OC[[#This Row],[Nro Almacen]],Almacen!A:D,4,FALSE),"")</f>
        <v>Montelima</v>
      </c>
    </row>
    <row r="4047" spans="1:12" x14ac:dyDescent="0.3">
      <c r="A4047" s="29" t="str">
        <f>Detalle_OC[[#This Row],[Centro]]&amp;Detalle_OC[[#This Row],[Nom Almacen]]&amp;Detalle_OC[[#This Row],[Material]]&amp;Detalle_OC[[#This Row],[Pedido]]&amp;Detalle_OC[[#This Row],[Posicion]]</f>
        <v>Agricola del Chira PlantaMontelima708707550002233850</v>
      </c>
      <c r="B4047" t="s">
        <v>28</v>
      </c>
      <c r="C4047" t="s">
        <v>84</v>
      </c>
      <c r="D4047" s="11">
        <v>44543</v>
      </c>
      <c r="E4047" t="s">
        <v>16</v>
      </c>
      <c r="F4047" t="s">
        <v>12</v>
      </c>
      <c r="G4047">
        <v>708707</v>
      </c>
      <c r="H4047">
        <v>5500022338</v>
      </c>
      <c r="I4047">
        <v>50</v>
      </c>
      <c r="J4047" s="29">
        <v>1</v>
      </c>
      <c r="K4047" s="29" t="s">
        <v>588</v>
      </c>
      <c r="L4047" t="str">
        <f>IFERROR(VLOOKUP(Detalle_OC[[#This Row],[Centro]]&amp;Detalle_OC[[#This Row],[Nro Almacen]],Almacen!A:D,4,FALSE),"")</f>
        <v>Montelima</v>
      </c>
    </row>
    <row r="4048" spans="1:12" x14ac:dyDescent="0.3">
      <c r="A4048" s="29" t="str">
        <f>Detalle_OC[[#This Row],[Centro]]&amp;Detalle_OC[[#This Row],[Nom Almacen]]&amp;Detalle_OC[[#This Row],[Material]]&amp;Detalle_OC[[#This Row],[Pedido]]&amp;Detalle_OC[[#This Row],[Posicion]]</f>
        <v>Agricola del Chira PlantaMontelima813224550002233870</v>
      </c>
      <c r="B4048" t="s">
        <v>28</v>
      </c>
      <c r="C4048" t="s">
        <v>84</v>
      </c>
      <c r="D4048" s="11">
        <v>44543</v>
      </c>
      <c r="E4048" t="s">
        <v>16</v>
      </c>
      <c r="F4048" t="s">
        <v>12</v>
      </c>
      <c r="G4048">
        <v>813224</v>
      </c>
      <c r="H4048">
        <v>5500022338</v>
      </c>
      <c r="I4048">
        <v>70</v>
      </c>
      <c r="J4048" s="29">
        <v>1</v>
      </c>
      <c r="K4048" s="29" t="s">
        <v>588</v>
      </c>
      <c r="L4048" t="str">
        <f>IFERROR(VLOOKUP(Detalle_OC[[#This Row],[Centro]]&amp;Detalle_OC[[#This Row],[Nro Almacen]],Almacen!A:D,4,FALSE),"")</f>
        <v>Montelima</v>
      </c>
    </row>
    <row r="4049" spans="1:12" x14ac:dyDescent="0.3">
      <c r="A4049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4049" t="s">
        <v>28</v>
      </c>
      <c r="C4049" t="s">
        <v>82</v>
      </c>
      <c r="D4049" s="11">
        <v>44537</v>
      </c>
      <c r="E4049" t="s">
        <v>16</v>
      </c>
      <c r="F4049" t="s">
        <v>12</v>
      </c>
      <c r="G4049">
        <v>844523</v>
      </c>
      <c r="H4049">
        <v>5500019188</v>
      </c>
      <c r="I4049">
        <v>140</v>
      </c>
      <c r="J4049" s="29">
        <v>1</v>
      </c>
      <c r="K4049" s="29" t="s">
        <v>589</v>
      </c>
      <c r="L4049" t="str">
        <f>IFERROR(VLOOKUP(Detalle_OC[[#This Row],[Centro]]&amp;Detalle_OC[[#This Row],[Nro Almacen]],Almacen!A:D,4,FALSE),"")</f>
        <v>Montelima</v>
      </c>
    </row>
    <row r="4050" spans="1:12" x14ac:dyDescent="0.3">
      <c r="A4050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4050" t="s">
        <v>28</v>
      </c>
      <c r="C4050" t="s">
        <v>82</v>
      </c>
      <c r="D4050" s="11">
        <v>44537</v>
      </c>
      <c r="E4050" t="s">
        <v>16</v>
      </c>
      <c r="F4050" t="s">
        <v>12</v>
      </c>
      <c r="G4050">
        <v>844508</v>
      </c>
      <c r="H4050">
        <v>5500019188</v>
      </c>
      <c r="I4050">
        <v>220</v>
      </c>
      <c r="J4050" s="29">
        <v>1</v>
      </c>
      <c r="K4050" s="29" t="s">
        <v>589</v>
      </c>
      <c r="L4050" t="str">
        <f>IFERROR(VLOOKUP(Detalle_OC[[#This Row],[Centro]]&amp;Detalle_OC[[#This Row],[Nro Almacen]],Almacen!A:D,4,FALSE),"")</f>
        <v>Montelima</v>
      </c>
    </row>
    <row r="4051" spans="1:12" x14ac:dyDescent="0.3">
      <c r="A4051" s="29" t="str">
        <f>Detalle_OC[[#This Row],[Centro]]&amp;Detalle_OC[[#This Row],[Nom Almacen]]&amp;Detalle_OC[[#This Row],[Material]]&amp;Detalle_OC[[#This Row],[Pedido]]&amp;Detalle_OC[[#This Row],[Posicion]]</f>
        <v>Agricola del Chira PlantaMontelima8445025500019188250</v>
      </c>
      <c r="B4051" t="s">
        <v>28</v>
      </c>
      <c r="C4051" t="s">
        <v>82</v>
      </c>
      <c r="D4051" s="11">
        <v>44537</v>
      </c>
      <c r="E4051" t="s">
        <v>16</v>
      </c>
      <c r="F4051" t="s">
        <v>12</v>
      </c>
      <c r="G4051">
        <v>844502</v>
      </c>
      <c r="H4051">
        <v>5500019188</v>
      </c>
      <c r="I4051">
        <v>250</v>
      </c>
      <c r="J4051" s="29">
        <v>1</v>
      </c>
      <c r="K4051" s="29" t="s">
        <v>589</v>
      </c>
      <c r="L4051" t="str">
        <f>IFERROR(VLOOKUP(Detalle_OC[[#This Row],[Centro]]&amp;Detalle_OC[[#This Row],[Nro Almacen]],Almacen!A:D,4,FALSE),"")</f>
        <v>Montelima</v>
      </c>
    </row>
    <row r="4052" spans="1:12" x14ac:dyDescent="0.3">
      <c r="A4052" s="29" t="str">
        <f>Detalle_OC[[#This Row],[Centro]]&amp;Detalle_OC[[#This Row],[Nom Almacen]]&amp;Detalle_OC[[#This Row],[Material]]&amp;Detalle_OC[[#This Row],[Pedido]]&amp;Detalle_OC[[#This Row],[Posicion]]</f>
        <v>Agricola del Chira PlantaMontelima8443975500019188280</v>
      </c>
      <c r="B4052" t="s">
        <v>28</v>
      </c>
      <c r="C4052" t="s">
        <v>82</v>
      </c>
      <c r="D4052" s="11">
        <v>44537</v>
      </c>
      <c r="E4052" t="s">
        <v>16</v>
      </c>
      <c r="F4052" t="s">
        <v>12</v>
      </c>
      <c r="G4052">
        <v>844397</v>
      </c>
      <c r="H4052">
        <v>5500019188</v>
      </c>
      <c r="I4052">
        <v>280</v>
      </c>
      <c r="J4052" s="29">
        <v>1</v>
      </c>
      <c r="K4052" s="29" t="s">
        <v>589</v>
      </c>
      <c r="L4052" t="str">
        <f>IFERROR(VLOOKUP(Detalle_OC[[#This Row],[Centro]]&amp;Detalle_OC[[#This Row],[Nro Almacen]],Almacen!A:D,4,FALSE),"")</f>
        <v>Montelima</v>
      </c>
    </row>
    <row r="4053" spans="1:12" x14ac:dyDescent="0.3">
      <c r="A4053" s="29" t="str">
        <f>Detalle_OC[[#This Row],[Centro]]&amp;Detalle_OC[[#This Row],[Nom Almacen]]&amp;Detalle_OC[[#This Row],[Material]]&amp;Detalle_OC[[#This Row],[Pedido]]&amp;Detalle_OC[[#This Row],[Posicion]]</f>
        <v>Agricola del Chira PlantaMontelima8445295500019188380</v>
      </c>
      <c r="B4053" t="s">
        <v>28</v>
      </c>
      <c r="C4053" t="s">
        <v>82</v>
      </c>
      <c r="D4053" s="11">
        <v>44537</v>
      </c>
      <c r="E4053" t="s">
        <v>16</v>
      </c>
      <c r="F4053" t="s">
        <v>12</v>
      </c>
      <c r="G4053">
        <v>844529</v>
      </c>
      <c r="H4053">
        <v>5500019188</v>
      </c>
      <c r="I4053">
        <v>380</v>
      </c>
      <c r="J4053" s="29">
        <v>1</v>
      </c>
      <c r="K4053" s="29" t="s">
        <v>589</v>
      </c>
      <c r="L4053" t="str">
        <f>IFERROR(VLOOKUP(Detalle_OC[[#This Row],[Centro]]&amp;Detalle_OC[[#This Row],[Nro Almacen]],Almacen!A:D,4,FALSE),"")</f>
        <v>Montelima</v>
      </c>
    </row>
    <row r="4054" spans="1:12" x14ac:dyDescent="0.3">
      <c r="A4054" s="29" t="str">
        <f>Detalle_OC[[#This Row],[Centro]]&amp;Detalle_OC[[#This Row],[Nom Almacen]]&amp;Detalle_OC[[#This Row],[Material]]&amp;Detalle_OC[[#This Row],[Pedido]]&amp;Detalle_OC[[#This Row],[Posicion]]</f>
        <v>Agricola del Chira PlantaMontelima82718155000191881520</v>
      </c>
      <c r="B4054" t="s">
        <v>28</v>
      </c>
      <c r="C4054" t="s">
        <v>82</v>
      </c>
      <c r="D4054" s="11">
        <v>44537</v>
      </c>
      <c r="E4054" t="s">
        <v>16</v>
      </c>
      <c r="F4054" t="s">
        <v>12</v>
      </c>
      <c r="G4054">
        <v>827181</v>
      </c>
      <c r="H4054">
        <v>5500019188</v>
      </c>
      <c r="I4054">
        <v>1520</v>
      </c>
      <c r="J4054" s="29">
        <v>1</v>
      </c>
      <c r="K4054" s="29" t="s">
        <v>589</v>
      </c>
      <c r="L4054" t="str">
        <f>IFERROR(VLOOKUP(Detalle_OC[[#This Row],[Centro]]&amp;Detalle_OC[[#This Row],[Nro Almacen]],Almacen!A:D,4,FALSE),"")</f>
        <v>Montelima</v>
      </c>
    </row>
    <row r="4055" spans="1:12" x14ac:dyDescent="0.3">
      <c r="A4055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4055" t="s">
        <v>28</v>
      </c>
      <c r="C4055" t="s">
        <v>84</v>
      </c>
      <c r="D4055" s="11">
        <v>44533</v>
      </c>
      <c r="E4055" t="s">
        <v>16</v>
      </c>
      <c r="F4055" t="s">
        <v>85</v>
      </c>
      <c r="G4055">
        <v>801846</v>
      </c>
      <c r="H4055">
        <v>5500022336</v>
      </c>
      <c r="I4055">
        <v>10</v>
      </c>
      <c r="J4055" s="29">
        <v>1</v>
      </c>
      <c r="K4055" s="29" t="s">
        <v>590</v>
      </c>
      <c r="L4055" t="str">
        <f>IFERROR(VLOOKUP(Detalle_OC[[#This Row],[Centro]]&amp;Detalle_OC[[#This Row],[Nro Almacen]],Almacen!A:D,4,FALSE),"")</f>
        <v>Montelima</v>
      </c>
    </row>
    <row r="4056" spans="1:12" x14ac:dyDescent="0.3">
      <c r="A4056" s="29" t="str">
        <f>Detalle_OC[[#This Row],[Centro]]&amp;Detalle_OC[[#This Row],[Nom Almacen]]&amp;Detalle_OC[[#This Row],[Material]]&amp;Detalle_OC[[#This Row],[Pedido]]&amp;Detalle_OC[[#This Row],[Posicion]]</f>
        <v>Agricola del Chira PlantaMontelima808069550002233830</v>
      </c>
      <c r="B4056" t="s">
        <v>28</v>
      </c>
      <c r="C4056" t="s">
        <v>84</v>
      </c>
      <c r="D4056" s="11">
        <v>44533</v>
      </c>
      <c r="E4056" t="s">
        <v>16</v>
      </c>
      <c r="F4056" t="s">
        <v>12</v>
      </c>
      <c r="G4056">
        <v>808069</v>
      </c>
      <c r="H4056">
        <v>5500022338</v>
      </c>
      <c r="I4056">
        <v>30</v>
      </c>
      <c r="J4056" s="29">
        <v>1</v>
      </c>
      <c r="K4056" s="29" t="s">
        <v>590</v>
      </c>
      <c r="L4056" t="str">
        <f>IFERROR(VLOOKUP(Detalle_OC[[#This Row],[Centro]]&amp;Detalle_OC[[#This Row],[Nro Almacen]],Almacen!A:D,4,FALSE),"")</f>
        <v>Montelima</v>
      </c>
    </row>
    <row r="4057" spans="1:12" x14ac:dyDescent="0.3">
      <c r="A4057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4057" t="s">
        <v>28</v>
      </c>
      <c r="C4057" t="s">
        <v>84</v>
      </c>
      <c r="D4057" s="11">
        <v>44533</v>
      </c>
      <c r="E4057" t="s">
        <v>16</v>
      </c>
      <c r="F4057" t="s">
        <v>12</v>
      </c>
      <c r="G4057">
        <v>801846</v>
      </c>
      <c r="H4057">
        <v>5500022338</v>
      </c>
      <c r="I4057">
        <v>40</v>
      </c>
      <c r="J4057" s="29">
        <v>1</v>
      </c>
      <c r="K4057" s="29" t="s">
        <v>590</v>
      </c>
      <c r="L4057" t="str">
        <f>IFERROR(VLOOKUP(Detalle_OC[[#This Row],[Centro]]&amp;Detalle_OC[[#This Row],[Nro Almacen]],Almacen!A:D,4,FALSE),"")</f>
        <v>Montelima</v>
      </c>
    </row>
    <row r="4058" spans="1:12" x14ac:dyDescent="0.3">
      <c r="A4058" s="29" t="str">
        <f>Detalle_OC[[#This Row],[Centro]]&amp;Detalle_OC[[#This Row],[Nom Almacen]]&amp;Detalle_OC[[#This Row],[Material]]&amp;Detalle_OC[[#This Row],[Pedido]]&amp;Detalle_OC[[#This Row],[Posicion]]</f>
        <v>Agricola del Chira PlantaMontelima8449175500019188240</v>
      </c>
      <c r="B4058" t="s">
        <v>28</v>
      </c>
      <c r="C4058" t="s">
        <v>82</v>
      </c>
      <c r="D4058" s="11">
        <v>44530</v>
      </c>
      <c r="E4058" t="s">
        <v>16</v>
      </c>
      <c r="F4058" t="s">
        <v>12</v>
      </c>
      <c r="G4058">
        <v>844917</v>
      </c>
      <c r="H4058">
        <v>5500019188</v>
      </c>
      <c r="I4058">
        <v>240</v>
      </c>
      <c r="J4058" s="29">
        <v>1</v>
      </c>
      <c r="K4058" s="29" t="s">
        <v>591</v>
      </c>
      <c r="L4058" t="str">
        <f>IFERROR(VLOOKUP(Detalle_OC[[#This Row],[Centro]]&amp;Detalle_OC[[#This Row],[Nro Almacen]],Almacen!A:D,4,FALSE),"")</f>
        <v>Montelima</v>
      </c>
    </row>
    <row r="4059" spans="1:12" x14ac:dyDescent="0.3">
      <c r="A4059" s="29" t="str">
        <f>Detalle_OC[[#This Row],[Centro]]&amp;Detalle_OC[[#This Row],[Nom Almacen]]&amp;Detalle_OC[[#This Row],[Material]]&amp;Detalle_OC[[#This Row],[Pedido]]&amp;Detalle_OC[[#This Row],[Posicion]]</f>
        <v>Agricola del Chira PlantaMontelima738330550001918820</v>
      </c>
      <c r="B4059" t="s">
        <v>28</v>
      </c>
      <c r="C4059" t="s">
        <v>82</v>
      </c>
      <c r="D4059" s="11">
        <v>44529</v>
      </c>
      <c r="E4059" t="s">
        <v>16</v>
      </c>
      <c r="F4059" t="s">
        <v>12</v>
      </c>
      <c r="G4059">
        <v>738330</v>
      </c>
      <c r="H4059">
        <v>5500019188</v>
      </c>
      <c r="I4059">
        <v>20</v>
      </c>
      <c r="J4059" s="29">
        <v>1</v>
      </c>
      <c r="K4059" s="29" t="s">
        <v>592</v>
      </c>
      <c r="L4059" t="str">
        <f>IFERROR(VLOOKUP(Detalle_OC[[#This Row],[Centro]]&amp;Detalle_OC[[#This Row],[Nro Almacen]],Almacen!A:D,4,FALSE),"")</f>
        <v>Montelima</v>
      </c>
    </row>
    <row r="4060" spans="1:12" x14ac:dyDescent="0.3">
      <c r="A4060" s="29" t="str">
        <f>Detalle_OC[[#This Row],[Centro]]&amp;Detalle_OC[[#This Row],[Nom Almacen]]&amp;Detalle_OC[[#This Row],[Material]]&amp;Detalle_OC[[#This Row],[Pedido]]&amp;Detalle_OC[[#This Row],[Posicion]]</f>
        <v>Agricola del Chira PlantaMontelima725201550001918830</v>
      </c>
      <c r="B4060" t="s">
        <v>28</v>
      </c>
      <c r="C4060" t="s">
        <v>82</v>
      </c>
      <c r="D4060" s="11">
        <v>44529</v>
      </c>
      <c r="E4060" t="s">
        <v>16</v>
      </c>
      <c r="F4060" t="s">
        <v>12</v>
      </c>
      <c r="G4060">
        <v>725201</v>
      </c>
      <c r="H4060">
        <v>5500019188</v>
      </c>
      <c r="I4060">
        <v>30</v>
      </c>
      <c r="J4060" s="29">
        <v>1</v>
      </c>
      <c r="K4060" s="29" t="s">
        <v>592</v>
      </c>
      <c r="L4060" t="str">
        <f>IFERROR(VLOOKUP(Detalle_OC[[#This Row],[Centro]]&amp;Detalle_OC[[#This Row],[Nro Almacen]],Almacen!A:D,4,FALSE),"")</f>
        <v>Montelima</v>
      </c>
    </row>
    <row r="4061" spans="1:12" x14ac:dyDescent="0.3">
      <c r="A4061" s="29" t="str">
        <f>Detalle_OC[[#This Row],[Centro]]&amp;Detalle_OC[[#This Row],[Nom Almacen]]&amp;Detalle_OC[[#This Row],[Material]]&amp;Detalle_OC[[#This Row],[Pedido]]&amp;Detalle_OC[[#This Row],[Posicion]]</f>
        <v>Agricola del Chira PlantaMontelima738248550001918870</v>
      </c>
      <c r="B4061" t="s">
        <v>28</v>
      </c>
      <c r="C4061" t="s">
        <v>82</v>
      </c>
      <c r="D4061" s="11">
        <v>44529</v>
      </c>
      <c r="E4061" t="s">
        <v>16</v>
      </c>
      <c r="F4061" t="s">
        <v>12</v>
      </c>
      <c r="G4061">
        <v>738248</v>
      </c>
      <c r="H4061">
        <v>5500019188</v>
      </c>
      <c r="I4061">
        <v>70</v>
      </c>
      <c r="J4061" s="29">
        <v>1</v>
      </c>
      <c r="K4061" s="29" t="s">
        <v>592</v>
      </c>
      <c r="L4061" t="str">
        <f>IFERROR(VLOOKUP(Detalle_OC[[#This Row],[Centro]]&amp;Detalle_OC[[#This Row],[Nro Almacen]],Almacen!A:D,4,FALSE),"")</f>
        <v>Montelima</v>
      </c>
    </row>
    <row r="4062" spans="1:12" x14ac:dyDescent="0.3">
      <c r="A4062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4062" t="s">
        <v>28</v>
      </c>
      <c r="C4062" t="s">
        <v>82</v>
      </c>
      <c r="D4062" s="11">
        <v>44537</v>
      </c>
      <c r="E4062" t="s">
        <v>16</v>
      </c>
      <c r="F4062" t="s">
        <v>12</v>
      </c>
      <c r="G4062">
        <v>844515</v>
      </c>
      <c r="H4062">
        <v>5500019188</v>
      </c>
      <c r="I4062">
        <v>200</v>
      </c>
      <c r="J4062" s="29">
        <v>1</v>
      </c>
      <c r="K4062" s="29" t="s">
        <v>592</v>
      </c>
      <c r="L4062" t="str">
        <f>IFERROR(VLOOKUP(Detalle_OC[[#This Row],[Centro]]&amp;Detalle_OC[[#This Row],[Nro Almacen]],Almacen!A:D,4,FALSE),"")</f>
        <v>Montelima</v>
      </c>
    </row>
    <row r="4063" spans="1:12" x14ac:dyDescent="0.3">
      <c r="A4063" s="29" t="str">
        <f>Detalle_OC[[#This Row],[Centro]]&amp;Detalle_OC[[#This Row],[Nom Almacen]]&amp;Detalle_OC[[#This Row],[Material]]&amp;Detalle_OC[[#This Row],[Pedido]]&amp;Detalle_OC[[#This Row],[Posicion]]</f>
        <v>Agricola del Chira PlantaMontelima8445245500019188210</v>
      </c>
      <c r="B4063" t="s">
        <v>28</v>
      </c>
      <c r="C4063" t="s">
        <v>82</v>
      </c>
      <c r="D4063" s="11">
        <v>44529</v>
      </c>
      <c r="E4063" t="s">
        <v>16</v>
      </c>
      <c r="F4063" t="s">
        <v>12</v>
      </c>
      <c r="G4063">
        <v>844524</v>
      </c>
      <c r="H4063">
        <v>5500019188</v>
      </c>
      <c r="I4063">
        <v>210</v>
      </c>
      <c r="J4063" s="29">
        <v>1</v>
      </c>
      <c r="K4063" s="29" t="s">
        <v>592</v>
      </c>
      <c r="L4063" t="str">
        <f>IFERROR(VLOOKUP(Detalle_OC[[#This Row],[Centro]]&amp;Detalle_OC[[#This Row],[Nro Almacen]],Almacen!A:D,4,FALSE),"")</f>
        <v>Montelima</v>
      </c>
    </row>
    <row r="4064" spans="1:12" x14ac:dyDescent="0.3">
      <c r="A4064" s="29" t="str">
        <f>Detalle_OC[[#This Row],[Centro]]&amp;Detalle_OC[[#This Row],[Nom Almacen]]&amp;Detalle_OC[[#This Row],[Material]]&amp;Detalle_OC[[#This Row],[Pedido]]&amp;Detalle_OC[[#This Row],[Posicion]]</f>
        <v>Agricola del Chira PlantaMontelima8445185500019188270</v>
      </c>
      <c r="B4064" t="s">
        <v>28</v>
      </c>
      <c r="C4064" t="s">
        <v>82</v>
      </c>
      <c r="D4064" s="11">
        <v>44529</v>
      </c>
      <c r="E4064" t="s">
        <v>16</v>
      </c>
      <c r="F4064" t="s">
        <v>12</v>
      </c>
      <c r="G4064">
        <v>844518</v>
      </c>
      <c r="H4064">
        <v>5500019188</v>
      </c>
      <c r="I4064">
        <v>270</v>
      </c>
      <c r="J4064" s="29">
        <v>1</v>
      </c>
      <c r="K4064" s="29" t="s">
        <v>592</v>
      </c>
      <c r="L4064" t="str">
        <f>IFERROR(VLOOKUP(Detalle_OC[[#This Row],[Centro]]&amp;Detalle_OC[[#This Row],[Nro Almacen]],Almacen!A:D,4,FALSE),"")</f>
        <v>Montelima</v>
      </c>
    </row>
    <row r="4065" spans="1:12" x14ac:dyDescent="0.3">
      <c r="A4065" s="29" t="str">
        <f>Detalle_OC[[#This Row],[Centro]]&amp;Detalle_OC[[#This Row],[Nom Almacen]]&amp;Detalle_OC[[#This Row],[Material]]&amp;Detalle_OC[[#This Row],[Pedido]]&amp;Detalle_OC[[#This Row],[Posicion]]</f>
        <v>Agricola del Chira PlantaMontelima8445365500019188330</v>
      </c>
      <c r="B4065" t="s">
        <v>28</v>
      </c>
      <c r="C4065" t="s">
        <v>82</v>
      </c>
      <c r="D4065" s="11">
        <v>44529</v>
      </c>
      <c r="E4065" t="s">
        <v>16</v>
      </c>
      <c r="F4065" t="s">
        <v>12</v>
      </c>
      <c r="G4065">
        <v>844536</v>
      </c>
      <c r="H4065">
        <v>5500019188</v>
      </c>
      <c r="I4065">
        <v>330</v>
      </c>
      <c r="J4065" s="29">
        <v>1</v>
      </c>
      <c r="K4065" s="29" t="s">
        <v>592</v>
      </c>
      <c r="L4065" t="str">
        <f>IFERROR(VLOOKUP(Detalle_OC[[#This Row],[Centro]]&amp;Detalle_OC[[#This Row],[Nro Almacen]],Almacen!A:D,4,FALSE),"")</f>
        <v>Montelima</v>
      </c>
    </row>
    <row r="4066" spans="1:12" x14ac:dyDescent="0.3">
      <c r="A4066" s="29" t="str">
        <f>Detalle_OC[[#This Row],[Centro]]&amp;Detalle_OC[[#This Row],[Nom Almacen]]&amp;Detalle_OC[[#This Row],[Material]]&amp;Detalle_OC[[#This Row],[Pedido]]&amp;Detalle_OC[[#This Row],[Posicion]]</f>
        <v>Agricola del Chira PlantaMontelima8459085500019188350</v>
      </c>
      <c r="B4066" t="s">
        <v>28</v>
      </c>
      <c r="C4066" t="s">
        <v>82</v>
      </c>
      <c r="D4066" s="11">
        <v>44529</v>
      </c>
      <c r="E4066" t="s">
        <v>16</v>
      </c>
      <c r="F4066" t="s">
        <v>12</v>
      </c>
      <c r="G4066">
        <v>845908</v>
      </c>
      <c r="H4066">
        <v>5500019188</v>
      </c>
      <c r="I4066">
        <v>350</v>
      </c>
      <c r="J4066" s="29">
        <v>1</v>
      </c>
      <c r="K4066" s="29" t="s">
        <v>592</v>
      </c>
      <c r="L4066" t="str">
        <f>IFERROR(VLOOKUP(Detalle_OC[[#This Row],[Centro]]&amp;Detalle_OC[[#This Row],[Nro Almacen]],Almacen!A:D,4,FALSE),"")</f>
        <v>Montelima</v>
      </c>
    </row>
    <row r="4067" spans="1:12" x14ac:dyDescent="0.3">
      <c r="A4067" s="29" t="str">
        <f>Detalle_OC[[#This Row],[Centro]]&amp;Detalle_OC[[#This Row],[Nom Almacen]]&amp;Detalle_OC[[#This Row],[Material]]&amp;Detalle_OC[[#This Row],[Pedido]]&amp;Detalle_OC[[#This Row],[Posicion]]</f>
        <v>Agricola del Chira PlantaMontelima8445315500019188430</v>
      </c>
      <c r="B4067" t="s">
        <v>28</v>
      </c>
      <c r="C4067" t="s">
        <v>82</v>
      </c>
      <c r="D4067" s="11">
        <v>44529</v>
      </c>
      <c r="E4067" t="s">
        <v>16</v>
      </c>
      <c r="F4067" t="s">
        <v>12</v>
      </c>
      <c r="G4067">
        <v>844531</v>
      </c>
      <c r="H4067">
        <v>5500019188</v>
      </c>
      <c r="I4067">
        <v>430</v>
      </c>
      <c r="J4067" s="29">
        <v>1</v>
      </c>
      <c r="K4067" s="29" t="s">
        <v>592</v>
      </c>
      <c r="L4067" t="str">
        <f>IFERROR(VLOOKUP(Detalle_OC[[#This Row],[Centro]]&amp;Detalle_OC[[#This Row],[Nro Almacen]],Almacen!A:D,4,FALSE),"")</f>
        <v>Montelima</v>
      </c>
    </row>
    <row r="4068" spans="1:12" x14ac:dyDescent="0.3">
      <c r="A4068" s="29" t="str">
        <f>Detalle_OC[[#This Row],[Centro]]&amp;Detalle_OC[[#This Row],[Nom Almacen]]&amp;Detalle_OC[[#This Row],[Material]]&amp;Detalle_OC[[#This Row],[Pedido]]&amp;Detalle_OC[[#This Row],[Posicion]]</f>
        <v>Agricola del Chira PlantaMontelima8445415500019188460</v>
      </c>
      <c r="B4068" t="s">
        <v>28</v>
      </c>
      <c r="C4068" t="s">
        <v>82</v>
      </c>
      <c r="D4068" s="11">
        <v>44529</v>
      </c>
      <c r="E4068" t="s">
        <v>16</v>
      </c>
      <c r="F4068" t="s">
        <v>12</v>
      </c>
      <c r="G4068">
        <v>844541</v>
      </c>
      <c r="H4068">
        <v>5500019188</v>
      </c>
      <c r="I4068">
        <v>460</v>
      </c>
      <c r="J4068" s="29">
        <v>1</v>
      </c>
      <c r="K4068" s="29" t="s">
        <v>592</v>
      </c>
      <c r="L4068" t="str">
        <f>IFERROR(VLOOKUP(Detalle_OC[[#This Row],[Centro]]&amp;Detalle_OC[[#This Row],[Nro Almacen]],Almacen!A:D,4,FALSE),"")</f>
        <v>Montelima</v>
      </c>
    </row>
    <row r="4069" spans="1:12" x14ac:dyDescent="0.3">
      <c r="A4069" s="29" t="str">
        <f>Detalle_OC[[#This Row],[Centro]]&amp;Detalle_OC[[#This Row],[Nom Almacen]]&amp;Detalle_OC[[#This Row],[Material]]&amp;Detalle_OC[[#This Row],[Pedido]]&amp;Detalle_OC[[#This Row],[Posicion]]</f>
        <v>Agricola del Chira PlantaMontelima8506365500019188510</v>
      </c>
      <c r="B4069" t="s">
        <v>28</v>
      </c>
      <c r="C4069" t="s">
        <v>82</v>
      </c>
      <c r="D4069" s="11">
        <v>44529</v>
      </c>
      <c r="E4069" t="s">
        <v>16</v>
      </c>
      <c r="F4069" t="s">
        <v>12</v>
      </c>
      <c r="G4069">
        <v>850636</v>
      </c>
      <c r="H4069">
        <v>5500019188</v>
      </c>
      <c r="I4069">
        <v>510</v>
      </c>
      <c r="J4069" s="29">
        <v>1</v>
      </c>
      <c r="K4069" s="29" t="s">
        <v>592</v>
      </c>
      <c r="L4069" t="str">
        <f>IFERROR(VLOOKUP(Detalle_OC[[#This Row],[Centro]]&amp;Detalle_OC[[#This Row],[Nro Almacen]],Almacen!A:D,4,FALSE),"")</f>
        <v>Montelima</v>
      </c>
    </row>
    <row r="4070" spans="1:12" x14ac:dyDescent="0.3">
      <c r="A4070" s="29" t="str">
        <f>Detalle_OC[[#This Row],[Centro]]&amp;Detalle_OC[[#This Row],[Nom Almacen]]&amp;Detalle_OC[[#This Row],[Material]]&amp;Detalle_OC[[#This Row],[Pedido]]&amp;Detalle_OC[[#This Row],[Posicion]]</f>
        <v>Agricola del Chira PlantaMontelima8445195500019188530</v>
      </c>
      <c r="B4070" t="s">
        <v>28</v>
      </c>
      <c r="C4070" t="s">
        <v>82</v>
      </c>
      <c r="D4070" s="11">
        <v>44529</v>
      </c>
      <c r="E4070" t="s">
        <v>16</v>
      </c>
      <c r="F4070" t="s">
        <v>12</v>
      </c>
      <c r="G4070">
        <v>844519</v>
      </c>
      <c r="H4070">
        <v>5500019188</v>
      </c>
      <c r="I4070">
        <v>530</v>
      </c>
      <c r="J4070" s="29">
        <v>1</v>
      </c>
      <c r="K4070" s="29" t="s">
        <v>592</v>
      </c>
      <c r="L4070" t="str">
        <f>IFERROR(VLOOKUP(Detalle_OC[[#This Row],[Centro]]&amp;Detalle_OC[[#This Row],[Nro Almacen]],Almacen!A:D,4,FALSE),"")</f>
        <v>Montelima</v>
      </c>
    </row>
    <row r="4071" spans="1:12" x14ac:dyDescent="0.3">
      <c r="A4071" s="29" t="str">
        <f>Detalle_OC[[#This Row],[Centro]]&amp;Detalle_OC[[#This Row],[Nom Almacen]]&amp;Detalle_OC[[#This Row],[Material]]&amp;Detalle_OC[[#This Row],[Pedido]]&amp;Detalle_OC[[#This Row],[Posicion]]</f>
        <v>Agricola del Chira PlantaMontelima8457155500019188650</v>
      </c>
      <c r="B4071" t="s">
        <v>28</v>
      </c>
      <c r="C4071" t="s">
        <v>82</v>
      </c>
      <c r="D4071" s="11">
        <v>44529</v>
      </c>
      <c r="E4071" t="s">
        <v>16</v>
      </c>
      <c r="F4071" t="s">
        <v>12</v>
      </c>
      <c r="G4071">
        <v>845715</v>
      </c>
      <c r="H4071">
        <v>5500019188</v>
      </c>
      <c r="I4071">
        <v>650</v>
      </c>
      <c r="J4071" s="29">
        <v>1</v>
      </c>
      <c r="K4071" s="29" t="s">
        <v>592</v>
      </c>
      <c r="L4071" t="str">
        <f>IFERROR(VLOOKUP(Detalle_OC[[#This Row],[Centro]]&amp;Detalle_OC[[#This Row],[Nro Almacen]],Almacen!A:D,4,FALSE),"")</f>
        <v>Montelima</v>
      </c>
    </row>
    <row r="4072" spans="1:12" x14ac:dyDescent="0.3">
      <c r="A4072" s="29" t="str">
        <f>Detalle_OC[[#This Row],[Centro]]&amp;Detalle_OC[[#This Row],[Nom Almacen]]&amp;Detalle_OC[[#This Row],[Material]]&amp;Detalle_OC[[#This Row],[Pedido]]&amp;Detalle_OC[[#This Row],[Posicion]]</f>
        <v>Agricola del Chira PlantaMontelima82720355000191881140</v>
      </c>
      <c r="B4072" t="s">
        <v>28</v>
      </c>
      <c r="C4072" t="s">
        <v>82</v>
      </c>
      <c r="D4072" s="11">
        <v>44529</v>
      </c>
      <c r="E4072" t="s">
        <v>16</v>
      </c>
      <c r="F4072" t="s">
        <v>12</v>
      </c>
      <c r="G4072">
        <v>827203</v>
      </c>
      <c r="H4072">
        <v>5500019188</v>
      </c>
      <c r="I4072">
        <v>1140</v>
      </c>
      <c r="J4072" s="29">
        <v>1</v>
      </c>
      <c r="K4072" s="29" t="s">
        <v>592</v>
      </c>
      <c r="L4072" t="str">
        <f>IFERROR(VLOOKUP(Detalle_OC[[#This Row],[Centro]]&amp;Detalle_OC[[#This Row],[Nro Almacen]],Almacen!A:D,4,FALSE),"")</f>
        <v>Montelima</v>
      </c>
    </row>
    <row r="4073" spans="1:12" x14ac:dyDescent="0.3">
      <c r="A4073" s="29" t="str">
        <f>Detalle_OC[[#This Row],[Centro]]&amp;Detalle_OC[[#This Row],[Nom Almacen]]&amp;Detalle_OC[[#This Row],[Material]]&amp;Detalle_OC[[#This Row],[Pedido]]&amp;Detalle_OC[[#This Row],[Posicion]]</f>
        <v>Agricola del Chira PlantaMontelima83507555000191881310</v>
      </c>
      <c r="B4073" t="s">
        <v>28</v>
      </c>
      <c r="C4073" t="s">
        <v>82</v>
      </c>
      <c r="D4073" s="11">
        <v>44529</v>
      </c>
      <c r="E4073" t="s">
        <v>16</v>
      </c>
      <c r="F4073" t="s">
        <v>12</v>
      </c>
      <c r="G4073">
        <v>835075</v>
      </c>
      <c r="H4073">
        <v>5500019188</v>
      </c>
      <c r="I4073">
        <v>1310</v>
      </c>
      <c r="J4073" s="29">
        <v>1</v>
      </c>
      <c r="K4073" s="29" t="s">
        <v>592</v>
      </c>
      <c r="L4073" t="str">
        <f>IFERROR(VLOOKUP(Detalle_OC[[#This Row],[Centro]]&amp;Detalle_OC[[#This Row],[Nro Almacen]],Almacen!A:D,4,FALSE),"")</f>
        <v>Montelima</v>
      </c>
    </row>
    <row r="4074" spans="1:12" x14ac:dyDescent="0.3">
      <c r="A4074" s="29" t="str">
        <f>Detalle_OC[[#This Row],[Centro]]&amp;Detalle_OC[[#This Row],[Nom Almacen]]&amp;Detalle_OC[[#This Row],[Material]]&amp;Detalle_OC[[#This Row],[Pedido]]&amp;Detalle_OC[[#This Row],[Posicion]]</f>
        <v>Agricola del Chira PlantaMontelima7002962855000191881530</v>
      </c>
      <c r="B4074" t="s">
        <v>28</v>
      </c>
      <c r="C4074" t="s">
        <v>82</v>
      </c>
      <c r="D4074" s="11">
        <v>44529</v>
      </c>
      <c r="E4074" t="s">
        <v>16</v>
      </c>
      <c r="F4074" t="s">
        <v>12</v>
      </c>
      <c r="G4074">
        <v>70029628</v>
      </c>
      <c r="H4074">
        <v>5500019188</v>
      </c>
      <c r="I4074">
        <v>1530</v>
      </c>
      <c r="J4074" s="29">
        <v>1</v>
      </c>
      <c r="K4074" s="29" t="s">
        <v>592</v>
      </c>
      <c r="L4074" t="str">
        <f>IFERROR(VLOOKUP(Detalle_OC[[#This Row],[Centro]]&amp;Detalle_OC[[#This Row],[Nro Almacen]],Almacen!A:D,4,FALSE),"")</f>
        <v>Montelima</v>
      </c>
    </row>
    <row r="4075" spans="1:12" x14ac:dyDescent="0.3">
      <c r="A4075" s="29" t="str">
        <f>Detalle_OC[[#This Row],[Centro]]&amp;Detalle_OC[[#This Row],[Nom Almacen]]&amp;Detalle_OC[[#This Row],[Material]]&amp;Detalle_OC[[#This Row],[Pedido]]&amp;Detalle_OC[[#This Row],[Posicion]]</f>
        <v>Agricola del Chira PlantaMontelima7002961555000191881570</v>
      </c>
      <c r="B4075" t="s">
        <v>28</v>
      </c>
      <c r="C4075" t="s">
        <v>82</v>
      </c>
      <c r="D4075" s="11">
        <v>44529</v>
      </c>
      <c r="E4075" t="s">
        <v>16</v>
      </c>
      <c r="F4075" t="s">
        <v>12</v>
      </c>
      <c r="G4075">
        <v>70029615</v>
      </c>
      <c r="H4075">
        <v>5500019188</v>
      </c>
      <c r="I4075">
        <v>1570</v>
      </c>
      <c r="J4075" s="29">
        <v>1</v>
      </c>
      <c r="K4075" s="29" t="s">
        <v>592</v>
      </c>
      <c r="L4075" t="str">
        <f>IFERROR(VLOOKUP(Detalle_OC[[#This Row],[Centro]]&amp;Detalle_OC[[#This Row],[Nro Almacen]],Almacen!A:D,4,FALSE),"")</f>
        <v>Montelima</v>
      </c>
    </row>
    <row r="4076" spans="1:12" x14ac:dyDescent="0.3">
      <c r="A4076" s="29" t="str">
        <f>Detalle_OC[[#This Row],[Centro]]&amp;Detalle_OC[[#This Row],[Nom Almacen]]&amp;Detalle_OC[[#This Row],[Material]]&amp;Detalle_OC[[#This Row],[Pedido]]&amp;Detalle_OC[[#This Row],[Posicion]]</f>
        <v>Agricola del Chira PlantaMontelima808069550002233830</v>
      </c>
      <c r="B4076" t="s">
        <v>28</v>
      </c>
      <c r="C4076" t="s">
        <v>84</v>
      </c>
      <c r="D4076" s="11">
        <v>44524</v>
      </c>
      <c r="E4076" t="s">
        <v>16</v>
      </c>
      <c r="F4076" t="s">
        <v>12</v>
      </c>
      <c r="G4076">
        <v>808069</v>
      </c>
      <c r="H4076">
        <v>5500022338</v>
      </c>
      <c r="I4076">
        <v>30</v>
      </c>
      <c r="J4076" s="29">
        <v>1</v>
      </c>
      <c r="K4076" s="29" t="s">
        <v>593</v>
      </c>
      <c r="L4076" t="str">
        <f>IFERROR(VLOOKUP(Detalle_OC[[#This Row],[Centro]]&amp;Detalle_OC[[#This Row],[Nro Almacen]],Almacen!A:D,4,FALSE),"")</f>
        <v>Montelima</v>
      </c>
    </row>
    <row r="4077" spans="1:12" x14ac:dyDescent="0.3">
      <c r="A4077" s="29" t="str">
        <f>Detalle_OC[[#This Row],[Centro]]&amp;Detalle_OC[[#This Row],[Nom Almacen]]&amp;Detalle_OC[[#This Row],[Material]]&amp;Detalle_OC[[#This Row],[Pedido]]&amp;Detalle_OC[[#This Row],[Posicion]]</f>
        <v>Agricola del Chira PlantaMontelima726335550002233860</v>
      </c>
      <c r="B4077" t="s">
        <v>28</v>
      </c>
      <c r="C4077" t="s">
        <v>84</v>
      </c>
      <c r="D4077" s="11">
        <v>44524</v>
      </c>
      <c r="E4077" t="s">
        <v>16</v>
      </c>
      <c r="F4077" t="s">
        <v>12</v>
      </c>
      <c r="G4077">
        <v>726335</v>
      </c>
      <c r="H4077">
        <v>5500022338</v>
      </c>
      <c r="I4077">
        <v>60</v>
      </c>
      <c r="J4077" s="29">
        <v>1</v>
      </c>
      <c r="K4077" s="29" t="s">
        <v>593</v>
      </c>
      <c r="L4077" t="str">
        <f>IFERROR(VLOOKUP(Detalle_OC[[#This Row],[Centro]]&amp;Detalle_OC[[#This Row],[Nro Almacen]],Almacen!A:D,4,FALSE),"")</f>
        <v>Montelima</v>
      </c>
    </row>
    <row r="4078" spans="1:12" x14ac:dyDescent="0.3">
      <c r="A4078" s="29" t="str">
        <f>Detalle_OC[[#This Row],[Centro]]&amp;Detalle_OC[[#This Row],[Nom Almacen]]&amp;Detalle_OC[[#This Row],[Material]]&amp;Detalle_OC[[#This Row],[Pedido]]&amp;Detalle_OC[[#This Row],[Posicion]]</f>
        <v>Agricola del Chira PlantaMontelima70032053550002233880</v>
      </c>
      <c r="B4078" t="s">
        <v>28</v>
      </c>
      <c r="C4078" t="s">
        <v>84</v>
      </c>
      <c r="D4078" s="11">
        <v>44524</v>
      </c>
      <c r="E4078" t="s">
        <v>16</v>
      </c>
      <c r="F4078" t="s">
        <v>12</v>
      </c>
      <c r="G4078">
        <v>70032053</v>
      </c>
      <c r="H4078">
        <v>5500022338</v>
      </c>
      <c r="I4078">
        <v>80</v>
      </c>
      <c r="J4078" s="29">
        <v>1</v>
      </c>
      <c r="K4078" s="29" t="s">
        <v>593</v>
      </c>
      <c r="L4078" t="str">
        <f>IFERROR(VLOOKUP(Detalle_OC[[#This Row],[Centro]]&amp;Detalle_OC[[#This Row],[Nro Almacen]],Almacen!A:D,4,FALSE),"")</f>
        <v>Montelima</v>
      </c>
    </row>
    <row r="4079" spans="1:12" x14ac:dyDescent="0.3">
      <c r="A4079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4079" t="s">
        <v>28</v>
      </c>
      <c r="C4079" t="s">
        <v>84</v>
      </c>
      <c r="D4079" s="11">
        <v>44517</v>
      </c>
      <c r="E4079" t="s">
        <v>16</v>
      </c>
      <c r="F4079" t="s">
        <v>85</v>
      </c>
      <c r="G4079">
        <v>806591</v>
      </c>
      <c r="H4079">
        <v>5500022336</v>
      </c>
      <c r="I4079">
        <v>20</v>
      </c>
      <c r="J4079" s="29">
        <v>1</v>
      </c>
      <c r="K4079" s="29" t="s">
        <v>594</v>
      </c>
      <c r="L4079" t="str">
        <f>IFERROR(VLOOKUP(Detalle_OC[[#This Row],[Centro]]&amp;Detalle_OC[[#This Row],[Nro Almacen]],Almacen!A:D,4,FALSE),"")</f>
        <v>Montelima</v>
      </c>
    </row>
    <row r="4080" spans="1:12" x14ac:dyDescent="0.3">
      <c r="A4080" s="29" t="str">
        <f>Detalle_OC[[#This Row],[Centro]]&amp;Detalle_OC[[#This Row],[Nom Almacen]]&amp;Detalle_OC[[#This Row],[Material]]&amp;Detalle_OC[[#This Row],[Pedido]]&amp;Detalle_OC[[#This Row],[Posicion]]</f>
        <v>Agricola del Chira PlantaMontelima752131550002233810</v>
      </c>
      <c r="B4080" t="s">
        <v>28</v>
      </c>
      <c r="C4080" t="s">
        <v>84</v>
      </c>
      <c r="D4080" s="11">
        <v>44512</v>
      </c>
      <c r="E4080" t="s">
        <v>16</v>
      </c>
      <c r="F4080" t="s">
        <v>12</v>
      </c>
      <c r="G4080">
        <v>752131</v>
      </c>
      <c r="H4080">
        <v>5500022338</v>
      </c>
      <c r="I4080">
        <v>10</v>
      </c>
      <c r="J4080" s="29">
        <v>1</v>
      </c>
      <c r="K4080" s="29" t="s">
        <v>595</v>
      </c>
      <c r="L4080" t="str">
        <f>IFERROR(VLOOKUP(Detalle_OC[[#This Row],[Centro]]&amp;Detalle_OC[[#This Row],[Nro Almacen]],Almacen!A:D,4,FALSE),"")</f>
        <v>Montelima</v>
      </c>
    </row>
    <row r="4081" spans="1:12" x14ac:dyDescent="0.3">
      <c r="A4081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4081" t="s">
        <v>28</v>
      </c>
      <c r="C4081" t="s">
        <v>84</v>
      </c>
      <c r="D4081" s="11">
        <v>44512</v>
      </c>
      <c r="E4081" t="s">
        <v>16</v>
      </c>
      <c r="F4081" t="s">
        <v>12</v>
      </c>
      <c r="G4081">
        <v>801846</v>
      </c>
      <c r="H4081">
        <v>5500022338</v>
      </c>
      <c r="I4081">
        <v>40</v>
      </c>
      <c r="J4081" s="29">
        <v>1</v>
      </c>
      <c r="K4081" s="29" t="s">
        <v>595</v>
      </c>
      <c r="L4081" t="str">
        <f>IFERROR(VLOOKUP(Detalle_OC[[#This Row],[Centro]]&amp;Detalle_OC[[#This Row],[Nro Almacen]],Almacen!A:D,4,FALSE),"")</f>
        <v>Montelima</v>
      </c>
    </row>
    <row r="4082" spans="1:12" x14ac:dyDescent="0.3">
      <c r="A4082" s="29" t="str">
        <f>Detalle_OC[[#This Row],[Centro]]&amp;Detalle_OC[[#This Row],[Nom Almacen]]&amp;Detalle_OC[[#This Row],[Material]]&amp;Detalle_OC[[#This Row],[Pedido]]&amp;Detalle_OC[[#This Row],[Posicion]]</f>
        <v>Agricola del Chira PlantaMontelima738248550001918870</v>
      </c>
      <c r="B4082" t="s">
        <v>28</v>
      </c>
      <c r="C4082" t="s">
        <v>82</v>
      </c>
      <c r="D4082" s="11">
        <v>44529</v>
      </c>
      <c r="E4082" t="s">
        <v>16</v>
      </c>
      <c r="F4082" t="s">
        <v>12</v>
      </c>
      <c r="G4082">
        <v>738248</v>
      </c>
      <c r="H4082">
        <v>5500019188</v>
      </c>
      <c r="I4082">
        <v>70</v>
      </c>
      <c r="J4082" s="29">
        <v>1</v>
      </c>
      <c r="K4082" s="29" t="s">
        <v>596</v>
      </c>
      <c r="L4082" t="str">
        <f>IFERROR(VLOOKUP(Detalle_OC[[#This Row],[Centro]]&amp;Detalle_OC[[#This Row],[Nro Almacen]],Almacen!A:D,4,FALSE),"")</f>
        <v>Montelima</v>
      </c>
    </row>
    <row r="4083" spans="1:12" x14ac:dyDescent="0.3">
      <c r="A4083" s="29" t="str">
        <f>Detalle_OC[[#This Row],[Centro]]&amp;Detalle_OC[[#This Row],[Nom Almacen]]&amp;Detalle_OC[[#This Row],[Material]]&amp;Detalle_OC[[#This Row],[Pedido]]&amp;Detalle_OC[[#This Row],[Posicion]]</f>
        <v>Agricola del Chira PlantaMontelima808069550002233830</v>
      </c>
      <c r="B4083" t="s">
        <v>28</v>
      </c>
      <c r="C4083" t="s">
        <v>84</v>
      </c>
      <c r="D4083" s="11">
        <v>44505</v>
      </c>
      <c r="E4083" t="s">
        <v>16</v>
      </c>
      <c r="F4083" t="s">
        <v>12</v>
      </c>
      <c r="G4083">
        <v>808069</v>
      </c>
      <c r="H4083">
        <v>5500022338</v>
      </c>
      <c r="I4083">
        <v>30</v>
      </c>
      <c r="J4083" s="29">
        <v>1</v>
      </c>
      <c r="K4083" s="29" t="s">
        <v>597</v>
      </c>
      <c r="L4083" t="str">
        <f>IFERROR(VLOOKUP(Detalle_OC[[#This Row],[Centro]]&amp;Detalle_OC[[#This Row],[Nro Almacen]],Almacen!A:D,4,FALSE),"")</f>
        <v>Montelima</v>
      </c>
    </row>
    <row r="4084" spans="1:12" x14ac:dyDescent="0.3">
      <c r="A4084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4084" t="s">
        <v>28</v>
      </c>
      <c r="C4084" t="s">
        <v>84</v>
      </c>
      <c r="D4084" s="11">
        <v>44505</v>
      </c>
      <c r="E4084" t="s">
        <v>16</v>
      </c>
      <c r="F4084" t="s">
        <v>12</v>
      </c>
      <c r="G4084">
        <v>801846</v>
      </c>
      <c r="H4084">
        <v>5500022338</v>
      </c>
      <c r="I4084">
        <v>40</v>
      </c>
      <c r="J4084" s="29">
        <v>1</v>
      </c>
      <c r="K4084" s="29" t="s">
        <v>597</v>
      </c>
      <c r="L4084" t="str">
        <f>IFERROR(VLOOKUP(Detalle_OC[[#This Row],[Centro]]&amp;Detalle_OC[[#This Row],[Nro Almacen]],Almacen!A:D,4,FALSE),"")</f>
        <v>Montelima</v>
      </c>
    </row>
    <row r="4085" spans="1:12" x14ac:dyDescent="0.3">
      <c r="A4085" s="29" t="str">
        <f>Detalle_OC[[#This Row],[Centro]]&amp;Detalle_OC[[#This Row],[Nom Almacen]]&amp;Detalle_OC[[#This Row],[Material]]&amp;Detalle_OC[[#This Row],[Pedido]]&amp;Detalle_OC[[#This Row],[Posicion]]</f>
        <v>Agricola del Chira PlantaMontelima708707550002233850</v>
      </c>
      <c r="B4085" t="s">
        <v>28</v>
      </c>
      <c r="C4085" t="s">
        <v>84</v>
      </c>
      <c r="D4085" s="11">
        <v>44505</v>
      </c>
      <c r="E4085" t="s">
        <v>16</v>
      </c>
      <c r="F4085" t="s">
        <v>12</v>
      </c>
      <c r="G4085">
        <v>708707</v>
      </c>
      <c r="H4085">
        <v>5500022338</v>
      </c>
      <c r="I4085">
        <v>50</v>
      </c>
      <c r="J4085" s="29">
        <v>1</v>
      </c>
      <c r="K4085" s="29" t="s">
        <v>597</v>
      </c>
      <c r="L4085" t="str">
        <f>IFERROR(VLOOKUP(Detalle_OC[[#This Row],[Centro]]&amp;Detalle_OC[[#This Row],[Nro Almacen]],Almacen!A:D,4,FALSE),"")</f>
        <v>Montelima</v>
      </c>
    </row>
    <row r="4086" spans="1:12" x14ac:dyDescent="0.3">
      <c r="A4086" s="29" t="str">
        <f>Detalle_OC[[#This Row],[Centro]]&amp;Detalle_OC[[#This Row],[Nom Almacen]]&amp;Detalle_OC[[#This Row],[Material]]&amp;Detalle_OC[[#This Row],[Pedido]]&amp;Detalle_OC[[#This Row],[Posicion]]</f>
        <v>Agricola del Chira PlantaMontelima7382475500019188100</v>
      </c>
      <c r="B4086" t="s">
        <v>28</v>
      </c>
      <c r="C4086" t="s">
        <v>82</v>
      </c>
      <c r="D4086" s="11">
        <v>44501</v>
      </c>
      <c r="E4086" t="s">
        <v>16</v>
      </c>
      <c r="F4086" t="s">
        <v>12</v>
      </c>
      <c r="G4086">
        <v>738247</v>
      </c>
      <c r="H4086">
        <v>5500019188</v>
      </c>
      <c r="I4086">
        <v>100</v>
      </c>
      <c r="J4086" s="29">
        <v>1</v>
      </c>
      <c r="K4086" s="29" t="s">
        <v>598</v>
      </c>
      <c r="L4086" t="str">
        <f>IFERROR(VLOOKUP(Detalle_OC[[#This Row],[Centro]]&amp;Detalle_OC[[#This Row],[Nro Almacen]],Almacen!A:D,4,FALSE),"")</f>
        <v>Montelima</v>
      </c>
    </row>
    <row r="4087" spans="1:12" x14ac:dyDescent="0.3">
      <c r="A4087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4087" t="s">
        <v>28</v>
      </c>
      <c r="C4087" t="s">
        <v>82</v>
      </c>
      <c r="D4087" s="11">
        <v>44529</v>
      </c>
      <c r="E4087" t="s">
        <v>16</v>
      </c>
      <c r="F4087" t="s">
        <v>12</v>
      </c>
      <c r="G4087">
        <v>844523</v>
      </c>
      <c r="H4087">
        <v>5500019188</v>
      </c>
      <c r="I4087">
        <v>140</v>
      </c>
      <c r="J4087" s="29">
        <v>1</v>
      </c>
      <c r="K4087" s="29" t="s">
        <v>598</v>
      </c>
      <c r="L4087" t="str">
        <f>IFERROR(VLOOKUP(Detalle_OC[[#This Row],[Centro]]&amp;Detalle_OC[[#This Row],[Nro Almacen]],Almacen!A:D,4,FALSE),"")</f>
        <v>Montelima</v>
      </c>
    </row>
    <row r="4088" spans="1:12" x14ac:dyDescent="0.3">
      <c r="A4088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4088" t="s">
        <v>28</v>
      </c>
      <c r="C4088" t="s">
        <v>82</v>
      </c>
      <c r="D4088" s="11">
        <v>44529</v>
      </c>
      <c r="E4088" t="s">
        <v>16</v>
      </c>
      <c r="F4088" t="s">
        <v>12</v>
      </c>
      <c r="G4088">
        <v>844522</v>
      </c>
      <c r="H4088">
        <v>5500019188</v>
      </c>
      <c r="I4088">
        <v>150</v>
      </c>
      <c r="J4088" s="29">
        <v>1</v>
      </c>
      <c r="K4088" s="29" t="s">
        <v>598</v>
      </c>
      <c r="L4088" t="str">
        <f>IFERROR(VLOOKUP(Detalle_OC[[#This Row],[Centro]]&amp;Detalle_OC[[#This Row],[Nro Almacen]],Almacen!A:D,4,FALSE),"")</f>
        <v>Montelima</v>
      </c>
    </row>
    <row r="4089" spans="1:12" x14ac:dyDescent="0.3">
      <c r="A4089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4089" t="s">
        <v>28</v>
      </c>
      <c r="C4089" t="s">
        <v>82</v>
      </c>
      <c r="D4089" s="11">
        <v>44529</v>
      </c>
      <c r="E4089" t="s">
        <v>16</v>
      </c>
      <c r="F4089" t="s">
        <v>12</v>
      </c>
      <c r="G4089">
        <v>844516</v>
      </c>
      <c r="H4089">
        <v>5500019188</v>
      </c>
      <c r="I4089">
        <v>190</v>
      </c>
      <c r="J4089" s="29">
        <v>1</v>
      </c>
      <c r="K4089" s="29" t="s">
        <v>598</v>
      </c>
      <c r="L4089" t="str">
        <f>IFERROR(VLOOKUP(Detalle_OC[[#This Row],[Centro]]&amp;Detalle_OC[[#This Row],[Nro Almacen]],Almacen!A:D,4,FALSE),"")</f>
        <v>Montelima</v>
      </c>
    </row>
    <row r="4090" spans="1:12" x14ac:dyDescent="0.3">
      <c r="A4090" s="29" t="str">
        <f>Detalle_OC[[#This Row],[Centro]]&amp;Detalle_OC[[#This Row],[Nom Almacen]]&amp;Detalle_OC[[#This Row],[Material]]&amp;Detalle_OC[[#This Row],[Pedido]]&amp;Detalle_OC[[#This Row],[Posicion]]</f>
        <v>Agricola del Chira PlantaMontelima8445025500019188250</v>
      </c>
      <c r="B4090" t="s">
        <v>28</v>
      </c>
      <c r="C4090" t="s">
        <v>82</v>
      </c>
      <c r="D4090" s="11">
        <v>44501</v>
      </c>
      <c r="E4090" t="s">
        <v>16</v>
      </c>
      <c r="F4090" t="s">
        <v>12</v>
      </c>
      <c r="G4090">
        <v>844502</v>
      </c>
      <c r="H4090">
        <v>5500019188</v>
      </c>
      <c r="I4090">
        <v>250</v>
      </c>
      <c r="J4090" s="29">
        <v>1</v>
      </c>
      <c r="K4090" s="29" t="s">
        <v>598</v>
      </c>
      <c r="L4090" t="str">
        <f>IFERROR(VLOOKUP(Detalle_OC[[#This Row],[Centro]]&amp;Detalle_OC[[#This Row],[Nro Almacen]],Almacen!A:D,4,FALSE),"")</f>
        <v>Montelima</v>
      </c>
    </row>
    <row r="4091" spans="1:12" x14ac:dyDescent="0.3">
      <c r="A4091" s="29" t="str">
        <f>Detalle_OC[[#This Row],[Centro]]&amp;Detalle_OC[[#This Row],[Nom Almacen]]&amp;Detalle_OC[[#This Row],[Material]]&amp;Detalle_OC[[#This Row],[Pedido]]&amp;Detalle_OC[[#This Row],[Posicion]]</f>
        <v>Agricola del Chira PlantaMontelima8445285500019188360</v>
      </c>
      <c r="B4091" t="s">
        <v>28</v>
      </c>
      <c r="C4091" t="s">
        <v>82</v>
      </c>
      <c r="D4091" s="11">
        <v>44501</v>
      </c>
      <c r="E4091" t="s">
        <v>16</v>
      </c>
      <c r="F4091" t="s">
        <v>12</v>
      </c>
      <c r="G4091">
        <v>844528</v>
      </c>
      <c r="H4091">
        <v>5500019188</v>
      </c>
      <c r="I4091">
        <v>360</v>
      </c>
      <c r="J4091" s="29">
        <v>1</v>
      </c>
      <c r="K4091" s="29" t="s">
        <v>598</v>
      </c>
      <c r="L4091" t="str">
        <f>IFERROR(VLOOKUP(Detalle_OC[[#This Row],[Centro]]&amp;Detalle_OC[[#This Row],[Nro Almacen]],Almacen!A:D,4,FALSE),"")</f>
        <v>Montelima</v>
      </c>
    </row>
    <row r="4092" spans="1:12" x14ac:dyDescent="0.3">
      <c r="A4092" s="29" t="str">
        <f>Detalle_OC[[#This Row],[Centro]]&amp;Detalle_OC[[#This Row],[Nom Almacen]]&amp;Detalle_OC[[#This Row],[Material]]&amp;Detalle_OC[[#This Row],[Pedido]]&amp;Detalle_OC[[#This Row],[Posicion]]</f>
        <v>Agricola del Chira PlantaMontelima8445045500019188480</v>
      </c>
      <c r="B4092" t="s">
        <v>28</v>
      </c>
      <c r="C4092" t="s">
        <v>82</v>
      </c>
      <c r="D4092" s="11">
        <v>44529</v>
      </c>
      <c r="E4092" t="s">
        <v>16</v>
      </c>
      <c r="F4092" t="s">
        <v>12</v>
      </c>
      <c r="G4092">
        <v>844504</v>
      </c>
      <c r="H4092">
        <v>5500019188</v>
      </c>
      <c r="I4092">
        <v>480</v>
      </c>
      <c r="J4092" s="29">
        <v>1</v>
      </c>
      <c r="K4092" s="29" t="s">
        <v>598</v>
      </c>
      <c r="L4092" t="str">
        <f>IFERROR(VLOOKUP(Detalle_OC[[#This Row],[Centro]]&amp;Detalle_OC[[#This Row],[Nro Almacen]],Almacen!A:D,4,FALSE),"")</f>
        <v>Montelima</v>
      </c>
    </row>
    <row r="4093" spans="1:12" x14ac:dyDescent="0.3">
      <c r="A4093" s="29" t="str">
        <f>Detalle_OC[[#This Row],[Centro]]&amp;Detalle_OC[[#This Row],[Nom Almacen]]&amp;Detalle_OC[[#This Row],[Material]]&amp;Detalle_OC[[#This Row],[Pedido]]&amp;Detalle_OC[[#This Row],[Posicion]]</f>
        <v>Agricola del Chira PlantaMontelima8457155500019188650</v>
      </c>
      <c r="B4093" t="s">
        <v>28</v>
      </c>
      <c r="C4093" t="s">
        <v>82</v>
      </c>
      <c r="D4093" s="11">
        <v>44501</v>
      </c>
      <c r="E4093" t="s">
        <v>16</v>
      </c>
      <c r="F4093" t="s">
        <v>12</v>
      </c>
      <c r="G4093">
        <v>845715</v>
      </c>
      <c r="H4093">
        <v>5500019188</v>
      </c>
      <c r="I4093">
        <v>650</v>
      </c>
      <c r="J4093" s="29">
        <v>1</v>
      </c>
      <c r="K4093" s="29" t="s">
        <v>598</v>
      </c>
      <c r="L4093" t="str">
        <f>IFERROR(VLOOKUP(Detalle_OC[[#This Row],[Centro]]&amp;Detalle_OC[[#This Row],[Nro Almacen]],Almacen!A:D,4,FALSE),"")</f>
        <v>Montelima</v>
      </c>
    </row>
    <row r="4094" spans="1:12" x14ac:dyDescent="0.3">
      <c r="A4094" s="29" t="str">
        <f>Detalle_OC[[#This Row],[Centro]]&amp;Detalle_OC[[#This Row],[Nom Almacen]]&amp;Detalle_OC[[#This Row],[Material]]&amp;Detalle_OC[[#This Row],[Pedido]]&amp;Detalle_OC[[#This Row],[Posicion]]</f>
        <v>Agricola del Chira PlantaMontelima83106655000191881040</v>
      </c>
      <c r="B4094" t="s">
        <v>28</v>
      </c>
      <c r="C4094" t="s">
        <v>82</v>
      </c>
      <c r="D4094" s="11">
        <v>44529</v>
      </c>
      <c r="E4094" t="s">
        <v>16</v>
      </c>
      <c r="F4094" t="s">
        <v>12</v>
      </c>
      <c r="G4094">
        <v>831066</v>
      </c>
      <c r="H4094">
        <v>5500019188</v>
      </c>
      <c r="I4094">
        <v>1040</v>
      </c>
      <c r="J4094" s="29">
        <v>1</v>
      </c>
      <c r="K4094" s="29" t="s">
        <v>598</v>
      </c>
      <c r="L4094" t="str">
        <f>IFERROR(VLOOKUP(Detalle_OC[[#This Row],[Centro]]&amp;Detalle_OC[[#This Row],[Nro Almacen]],Almacen!A:D,4,FALSE),"")</f>
        <v>Montelima</v>
      </c>
    </row>
    <row r="4095" spans="1:12" x14ac:dyDescent="0.3">
      <c r="A4095" s="29" t="str">
        <f>Detalle_OC[[#This Row],[Centro]]&amp;Detalle_OC[[#This Row],[Nom Almacen]]&amp;Detalle_OC[[#This Row],[Material]]&amp;Detalle_OC[[#This Row],[Pedido]]&amp;Detalle_OC[[#This Row],[Posicion]]</f>
        <v>Agricola del Chira PlantaMontelima84557255000191881300</v>
      </c>
      <c r="B4095" t="s">
        <v>28</v>
      </c>
      <c r="C4095" t="s">
        <v>82</v>
      </c>
      <c r="D4095" s="11">
        <v>44501</v>
      </c>
      <c r="E4095" t="s">
        <v>16</v>
      </c>
      <c r="F4095" t="s">
        <v>12</v>
      </c>
      <c r="G4095">
        <v>845572</v>
      </c>
      <c r="H4095">
        <v>5500019188</v>
      </c>
      <c r="I4095">
        <v>1300</v>
      </c>
      <c r="J4095" s="29">
        <v>1</v>
      </c>
      <c r="K4095" s="29" t="s">
        <v>598</v>
      </c>
      <c r="L4095" t="str">
        <f>IFERROR(VLOOKUP(Detalle_OC[[#This Row],[Centro]]&amp;Detalle_OC[[#This Row],[Nro Almacen]],Almacen!A:D,4,FALSE),"")</f>
        <v>Montelima</v>
      </c>
    </row>
    <row r="4096" spans="1:12" x14ac:dyDescent="0.3">
      <c r="A4096" s="29" t="str">
        <f>Detalle_OC[[#This Row],[Centro]]&amp;Detalle_OC[[#This Row],[Nom Almacen]]&amp;Detalle_OC[[#This Row],[Material]]&amp;Detalle_OC[[#This Row],[Pedido]]&amp;Detalle_OC[[#This Row],[Posicion]]</f>
        <v>Agricola del Chira PlantaMontelima83507355000191881320</v>
      </c>
      <c r="B4096" t="s">
        <v>28</v>
      </c>
      <c r="C4096" t="s">
        <v>82</v>
      </c>
      <c r="D4096" s="11">
        <v>44501</v>
      </c>
      <c r="E4096" t="s">
        <v>16</v>
      </c>
      <c r="F4096" t="s">
        <v>12</v>
      </c>
      <c r="G4096">
        <v>835073</v>
      </c>
      <c r="H4096">
        <v>5500019188</v>
      </c>
      <c r="I4096">
        <v>1320</v>
      </c>
      <c r="J4096" s="29">
        <v>1</v>
      </c>
      <c r="K4096" s="29" t="s">
        <v>598</v>
      </c>
      <c r="L4096" t="str">
        <f>IFERROR(VLOOKUP(Detalle_OC[[#This Row],[Centro]]&amp;Detalle_OC[[#This Row],[Nro Almacen]],Almacen!A:D,4,FALSE),"")</f>
        <v>Montelima</v>
      </c>
    </row>
    <row r="4097" spans="1:12" x14ac:dyDescent="0.3">
      <c r="A4097" s="29" t="str">
        <f>Detalle_OC[[#This Row],[Centro]]&amp;Detalle_OC[[#This Row],[Nom Almacen]]&amp;Detalle_OC[[#This Row],[Material]]&amp;Detalle_OC[[#This Row],[Pedido]]&amp;Detalle_OC[[#This Row],[Posicion]]</f>
        <v>Agricola del Chira PlantaMontelima83541955000191881470</v>
      </c>
      <c r="B4097" t="s">
        <v>28</v>
      </c>
      <c r="C4097" t="s">
        <v>82</v>
      </c>
      <c r="D4097" s="11">
        <v>44501</v>
      </c>
      <c r="E4097" t="s">
        <v>16</v>
      </c>
      <c r="F4097" t="s">
        <v>12</v>
      </c>
      <c r="G4097">
        <v>835419</v>
      </c>
      <c r="H4097">
        <v>5500019188</v>
      </c>
      <c r="I4097">
        <v>1470</v>
      </c>
      <c r="J4097" s="29">
        <v>1</v>
      </c>
      <c r="K4097" s="29" t="s">
        <v>598</v>
      </c>
      <c r="L4097" t="str">
        <f>IFERROR(VLOOKUP(Detalle_OC[[#This Row],[Centro]]&amp;Detalle_OC[[#This Row],[Nro Almacen]],Almacen!A:D,4,FALSE),"")</f>
        <v>Montelima</v>
      </c>
    </row>
    <row r="4098" spans="1:12" x14ac:dyDescent="0.3">
      <c r="A4098" s="29" t="str">
        <f>Detalle_OC[[#This Row],[Centro]]&amp;Detalle_OC[[#This Row],[Nom Almacen]]&amp;Detalle_OC[[#This Row],[Material]]&amp;Detalle_OC[[#This Row],[Pedido]]&amp;Detalle_OC[[#This Row],[Posicion]]</f>
        <v>Agricola del Chira PlantaMontelima82718155000191881520</v>
      </c>
      <c r="B4098" t="s">
        <v>28</v>
      </c>
      <c r="C4098" t="s">
        <v>82</v>
      </c>
      <c r="D4098" s="11">
        <v>44501</v>
      </c>
      <c r="E4098" t="s">
        <v>16</v>
      </c>
      <c r="F4098" t="s">
        <v>12</v>
      </c>
      <c r="G4098">
        <v>827181</v>
      </c>
      <c r="H4098">
        <v>5500019188</v>
      </c>
      <c r="I4098">
        <v>1520</v>
      </c>
      <c r="J4098" s="29">
        <v>1</v>
      </c>
      <c r="K4098" s="29" t="s">
        <v>598</v>
      </c>
      <c r="L4098" t="str">
        <f>IFERROR(VLOOKUP(Detalle_OC[[#This Row],[Centro]]&amp;Detalle_OC[[#This Row],[Nro Almacen]],Almacen!A:D,4,FALSE),"")</f>
        <v>Montelima</v>
      </c>
    </row>
    <row r="4099" spans="1:12" x14ac:dyDescent="0.3">
      <c r="A4099" s="29" t="str">
        <f>Detalle_OC[[#This Row],[Centro]]&amp;Detalle_OC[[#This Row],[Nom Almacen]]&amp;Detalle_OC[[#This Row],[Material]]&amp;Detalle_OC[[#This Row],[Pedido]]&amp;Detalle_OC[[#This Row],[Posicion]]</f>
        <v>Agricola del Chira PlantaMontelima762202550001918850</v>
      </c>
      <c r="B4099" t="s">
        <v>28</v>
      </c>
      <c r="C4099" t="s">
        <v>82</v>
      </c>
      <c r="D4099" s="11">
        <v>44481</v>
      </c>
      <c r="E4099" t="s">
        <v>16</v>
      </c>
      <c r="F4099" t="s">
        <v>12</v>
      </c>
      <c r="G4099">
        <v>762202</v>
      </c>
      <c r="H4099">
        <v>5500019188</v>
      </c>
      <c r="I4099">
        <v>50</v>
      </c>
      <c r="J4099" s="29">
        <v>1</v>
      </c>
      <c r="K4099" s="29" t="s">
        <v>599</v>
      </c>
      <c r="L4099" t="str">
        <f>IFERROR(VLOOKUP(Detalle_OC[[#This Row],[Centro]]&amp;Detalle_OC[[#This Row],[Nro Almacen]],Almacen!A:D,4,FALSE),"")</f>
        <v>Montelima</v>
      </c>
    </row>
    <row r="4100" spans="1:12" x14ac:dyDescent="0.3">
      <c r="A4100" s="29" t="str">
        <f>Detalle_OC[[#This Row],[Centro]]&amp;Detalle_OC[[#This Row],[Nom Almacen]]&amp;Detalle_OC[[#This Row],[Material]]&amp;Detalle_OC[[#This Row],[Pedido]]&amp;Detalle_OC[[#This Row],[Posicion]]</f>
        <v>Agricola del Chira PlantaMontelima844601550001918860</v>
      </c>
      <c r="B4100" t="s">
        <v>28</v>
      </c>
      <c r="C4100" t="s">
        <v>82</v>
      </c>
      <c r="D4100" s="11">
        <v>44481</v>
      </c>
      <c r="E4100" t="s">
        <v>16</v>
      </c>
      <c r="F4100" t="s">
        <v>12</v>
      </c>
      <c r="G4100">
        <v>844601</v>
      </c>
      <c r="H4100">
        <v>5500019188</v>
      </c>
      <c r="I4100">
        <v>60</v>
      </c>
      <c r="J4100" s="29">
        <v>1</v>
      </c>
      <c r="K4100" s="29" t="s">
        <v>599</v>
      </c>
      <c r="L4100" t="str">
        <f>IFERROR(VLOOKUP(Detalle_OC[[#This Row],[Centro]]&amp;Detalle_OC[[#This Row],[Nro Almacen]],Almacen!A:D,4,FALSE),"")</f>
        <v>Montelima</v>
      </c>
    </row>
    <row r="4101" spans="1:12" x14ac:dyDescent="0.3">
      <c r="A4101" s="29" t="str">
        <f>Detalle_OC[[#This Row],[Centro]]&amp;Detalle_OC[[#This Row],[Nom Almacen]]&amp;Detalle_OC[[#This Row],[Material]]&amp;Detalle_OC[[#This Row],[Pedido]]&amp;Detalle_OC[[#This Row],[Posicion]]</f>
        <v>Agricola del Chira PlantaMontelima7382475500019188100</v>
      </c>
      <c r="B4101" t="s">
        <v>28</v>
      </c>
      <c r="C4101" t="s">
        <v>82</v>
      </c>
      <c r="D4101" s="11">
        <v>44481</v>
      </c>
      <c r="E4101" t="s">
        <v>16</v>
      </c>
      <c r="F4101" t="s">
        <v>12</v>
      </c>
      <c r="G4101">
        <v>738247</v>
      </c>
      <c r="H4101">
        <v>5500019188</v>
      </c>
      <c r="I4101">
        <v>100</v>
      </c>
      <c r="J4101" s="29">
        <v>1</v>
      </c>
      <c r="K4101" s="29" t="s">
        <v>599</v>
      </c>
      <c r="L4101" t="str">
        <f>IFERROR(VLOOKUP(Detalle_OC[[#This Row],[Centro]]&amp;Detalle_OC[[#This Row],[Nro Almacen]],Almacen!A:D,4,FALSE),"")</f>
        <v>Montelima</v>
      </c>
    </row>
    <row r="4102" spans="1:12" x14ac:dyDescent="0.3">
      <c r="A4102" s="29" t="str">
        <f>Detalle_OC[[#This Row],[Centro]]&amp;Detalle_OC[[#This Row],[Nom Almacen]]&amp;Detalle_OC[[#This Row],[Material]]&amp;Detalle_OC[[#This Row],[Pedido]]&amp;Detalle_OC[[#This Row],[Posicion]]</f>
        <v>Agricola del Chira PlantaMontelima8446025500019188110</v>
      </c>
      <c r="B4102" t="s">
        <v>28</v>
      </c>
      <c r="C4102" t="s">
        <v>82</v>
      </c>
      <c r="D4102" s="11">
        <v>44481</v>
      </c>
      <c r="E4102" t="s">
        <v>16</v>
      </c>
      <c r="F4102" t="s">
        <v>12</v>
      </c>
      <c r="G4102">
        <v>844602</v>
      </c>
      <c r="H4102">
        <v>5500019188</v>
      </c>
      <c r="I4102">
        <v>110</v>
      </c>
      <c r="J4102" s="29">
        <v>1</v>
      </c>
      <c r="K4102" s="29" t="s">
        <v>599</v>
      </c>
      <c r="L4102" t="str">
        <f>IFERROR(VLOOKUP(Detalle_OC[[#This Row],[Centro]]&amp;Detalle_OC[[#This Row],[Nro Almacen]],Almacen!A:D,4,FALSE),"")</f>
        <v>Montelima</v>
      </c>
    </row>
    <row r="4103" spans="1:12" x14ac:dyDescent="0.3">
      <c r="A4103" s="29" t="str">
        <f>Detalle_OC[[#This Row],[Centro]]&amp;Detalle_OC[[#This Row],[Nom Almacen]]&amp;Detalle_OC[[#This Row],[Material]]&amp;Detalle_OC[[#This Row],[Pedido]]&amp;Detalle_OC[[#This Row],[Posicion]]</f>
        <v>Agricola del Chira PlantaMontelima8445335500019188170</v>
      </c>
      <c r="B4103" t="s">
        <v>28</v>
      </c>
      <c r="C4103" t="s">
        <v>82</v>
      </c>
      <c r="D4103" s="11">
        <v>44501</v>
      </c>
      <c r="E4103" t="s">
        <v>16</v>
      </c>
      <c r="F4103" t="s">
        <v>12</v>
      </c>
      <c r="G4103">
        <v>844533</v>
      </c>
      <c r="H4103">
        <v>5500019188</v>
      </c>
      <c r="I4103">
        <v>170</v>
      </c>
      <c r="J4103" s="29">
        <v>1</v>
      </c>
      <c r="K4103" s="29" t="s">
        <v>599</v>
      </c>
      <c r="L4103" t="str">
        <f>IFERROR(VLOOKUP(Detalle_OC[[#This Row],[Centro]]&amp;Detalle_OC[[#This Row],[Nro Almacen]],Almacen!A:D,4,FALSE),"")</f>
        <v>Montelima</v>
      </c>
    </row>
    <row r="4104" spans="1:12" x14ac:dyDescent="0.3">
      <c r="A4104" s="29" t="str">
        <f>Detalle_OC[[#This Row],[Centro]]&amp;Detalle_OC[[#This Row],[Nom Almacen]]&amp;Detalle_OC[[#This Row],[Material]]&amp;Detalle_OC[[#This Row],[Pedido]]&amp;Detalle_OC[[#This Row],[Posicion]]</f>
        <v>Agricola del Chira PlantaMontelima8445115500019188180</v>
      </c>
      <c r="B4104" t="s">
        <v>28</v>
      </c>
      <c r="C4104" t="s">
        <v>82</v>
      </c>
      <c r="D4104" s="11">
        <v>44481</v>
      </c>
      <c r="E4104" t="s">
        <v>16</v>
      </c>
      <c r="F4104" t="s">
        <v>12</v>
      </c>
      <c r="G4104">
        <v>844511</v>
      </c>
      <c r="H4104">
        <v>5500019188</v>
      </c>
      <c r="I4104">
        <v>180</v>
      </c>
      <c r="J4104" s="29">
        <v>1</v>
      </c>
      <c r="K4104" s="29" t="s">
        <v>599</v>
      </c>
      <c r="L4104" t="str">
        <f>IFERROR(VLOOKUP(Detalle_OC[[#This Row],[Centro]]&amp;Detalle_OC[[#This Row],[Nro Almacen]],Almacen!A:D,4,FALSE),"")</f>
        <v>Montelima</v>
      </c>
    </row>
    <row r="4105" spans="1:12" x14ac:dyDescent="0.3">
      <c r="A4105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4105" t="s">
        <v>28</v>
      </c>
      <c r="C4105" t="s">
        <v>82</v>
      </c>
      <c r="D4105" s="11">
        <v>44501</v>
      </c>
      <c r="E4105" t="s">
        <v>16</v>
      </c>
      <c r="F4105" t="s">
        <v>12</v>
      </c>
      <c r="G4105">
        <v>844516</v>
      </c>
      <c r="H4105">
        <v>5500019188</v>
      </c>
      <c r="I4105">
        <v>190</v>
      </c>
      <c r="J4105" s="29">
        <v>1</v>
      </c>
      <c r="K4105" s="29" t="s">
        <v>599</v>
      </c>
      <c r="L4105" t="str">
        <f>IFERROR(VLOOKUP(Detalle_OC[[#This Row],[Centro]]&amp;Detalle_OC[[#This Row],[Nro Almacen]],Almacen!A:D,4,FALSE),"")</f>
        <v>Montelima</v>
      </c>
    </row>
    <row r="4106" spans="1:12" x14ac:dyDescent="0.3">
      <c r="A4106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4106" t="s">
        <v>28</v>
      </c>
      <c r="C4106" t="s">
        <v>82</v>
      </c>
      <c r="D4106" s="11">
        <v>44501</v>
      </c>
      <c r="E4106" t="s">
        <v>16</v>
      </c>
      <c r="F4106" t="s">
        <v>12</v>
      </c>
      <c r="G4106">
        <v>844515</v>
      </c>
      <c r="H4106">
        <v>5500019188</v>
      </c>
      <c r="I4106">
        <v>200</v>
      </c>
      <c r="J4106" s="29">
        <v>1</v>
      </c>
      <c r="K4106" s="29" t="s">
        <v>599</v>
      </c>
      <c r="L4106" t="str">
        <f>IFERROR(VLOOKUP(Detalle_OC[[#This Row],[Centro]]&amp;Detalle_OC[[#This Row],[Nro Almacen]],Almacen!A:D,4,FALSE),"")</f>
        <v>Montelima</v>
      </c>
    </row>
    <row r="4107" spans="1:12" x14ac:dyDescent="0.3">
      <c r="A4107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4107" t="s">
        <v>28</v>
      </c>
      <c r="C4107" t="s">
        <v>82</v>
      </c>
      <c r="D4107" s="11">
        <v>44529</v>
      </c>
      <c r="E4107" t="s">
        <v>16</v>
      </c>
      <c r="F4107" t="s">
        <v>12</v>
      </c>
      <c r="G4107">
        <v>844508</v>
      </c>
      <c r="H4107">
        <v>5500019188</v>
      </c>
      <c r="I4107">
        <v>220</v>
      </c>
      <c r="J4107" s="29">
        <v>1</v>
      </c>
      <c r="K4107" s="29" t="s">
        <v>599</v>
      </c>
      <c r="L4107" t="str">
        <f>IFERROR(VLOOKUP(Detalle_OC[[#This Row],[Centro]]&amp;Detalle_OC[[#This Row],[Nro Almacen]],Almacen!A:D,4,FALSE),"")</f>
        <v>Montelima</v>
      </c>
    </row>
    <row r="4108" spans="1:12" x14ac:dyDescent="0.3">
      <c r="A4108" s="29" t="str">
        <f>Detalle_OC[[#This Row],[Centro]]&amp;Detalle_OC[[#This Row],[Nom Almacen]]&amp;Detalle_OC[[#This Row],[Material]]&amp;Detalle_OC[[#This Row],[Pedido]]&amp;Detalle_OC[[#This Row],[Posicion]]</f>
        <v>Agricola del Chira PlantaMontelima8445405500019188230</v>
      </c>
      <c r="B4108" t="s">
        <v>28</v>
      </c>
      <c r="C4108" t="s">
        <v>82</v>
      </c>
      <c r="D4108" s="11">
        <v>44481</v>
      </c>
      <c r="E4108" t="s">
        <v>16</v>
      </c>
      <c r="F4108" t="s">
        <v>12</v>
      </c>
      <c r="G4108">
        <v>844540</v>
      </c>
      <c r="H4108">
        <v>5500019188</v>
      </c>
      <c r="I4108">
        <v>230</v>
      </c>
      <c r="J4108" s="29">
        <v>1</v>
      </c>
      <c r="K4108" s="29" t="s">
        <v>599</v>
      </c>
      <c r="L4108" t="str">
        <f>IFERROR(VLOOKUP(Detalle_OC[[#This Row],[Centro]]&amp;Detalle_OC[[#This Row],[Nro Almacen]],Almacen!A:D,4,FALSE),"")</f>
        <v>Montelima</v>
      </c>
    </row>
    <row r="4109" spans="1:12" x14ac:dyDescent="0.3">
      <c r="A4109" s="29" t="str">
        <f>Detalle_OC[[#This Row],[Centro]]&amp;Detalle_OC[[#This Row],[Nom Almacen]]&amp;Detalle_OC[[#This Row],[Material]]&amp;Detalle_OC[[#This Row],[Pedido]]&amp;Detalle_OC[[#This Row],[Posicion]]</f>
        <v>Agricola del Chira PlantaMontelima8445185500019188270</v>
      </c>
      <c r="B4109" t="s">
        <v>28</v>
      </c>
      <c r="C4109" t="s">
        <v>82</v>
      </c>
      <c r="D4109" s="11">
        <v>44481</v>
      </c>
      <c r="E4109" t="s">
        <v>16</v>
      </c>
      <c r="F4109" t="s">
        <v>12</v>
      </c>
      <c r="G4109">
        <v>844518</v>
      </c>
      <c r="H4109">
        <v>5500019188</v>
      </c>
      <c r="I4109">
        <v>270</v>
      </c>
      <c r="J4109" s="29">
        <v>1</v>
      </c>
      <c r="K4109" s="29" t="s">
        <v>599</v>
      </c>
      <c r="L4109" t="str">
        <f>IFERROR(VLOOKUP(Detalle_OC[[#This Row],[Centro]]&amp;Detalle_OC[[#This Row],[Nro Almacen]],Almacen!A:D,4,FALSE),"")</f>
        <v>Montelima</v>
      </c>
    </row>
    <row r="4110" spans="1:12" x14ac:dyDescent="0.3">
      <c r="A4110" s="29" t="str">
        <f>Detalle_OC[[#This Row],[Centro]]&amp;Detalle_OC[[#This Row],[Nom Almacen]]&amp;Detalle_OC[[#This Row],[Material]]&amp;Detalle_OC[[#This Row],[Pedido]]&amp;Detalle_OC[[#This Row],[Posicion]]</f>
        <v>Agricola del Chira PlantaMontelima8443975500019188280</v>
      </c>
      <c r="B4110" t="s">
        <v>28</v>
      </c>
      <c r="C4110" t="s">
        <v>82</v>
      </c>
      <c r="D4110" s="11">
        <v>44481</v>
      </c>
      <c r="E4110" t="s">
        <v>16</v>
      </c>
      <c r="F4110" t="s">
        <v>12</v>
      </c>
      <c r="G4110">
        <v>844397</v>
      </c>
      <c r="H4110">
        <v>5500019188</v>
      </c>
      <c r="I4110">
        <v>280</v>
      </c>
      <c r="J4110" s="29">
        <v>1</v>
      </c>
      <c r="K4110" s="29" t="s">
        <v>599</v>
      </c>
      <c r="L4110" t="str">
        <f>IFERROR(VLOOKUP(Detalle_OC[[#This Row],[Centro]]&amp;Detalle_OC[[#This Row],[Nro Almacen]],Almacen!A:D,4,FALSE),"")</f>
        <v>Montelima</v>
      </c>
    </row>
    <row r="4111" spans="1:12" x14ac:dyDescent="0.3">
      <c r="A4111" s="29" t="str">
        <f>Detalle_OC[[#This Row],[Centro]]&amp;Detalle_OC[[#This Row],[Nom Almacen]]&amp;Detalle_OC[[#This Row],[Material]]&amp;Detalle_OC[[#This Row],[Pedido]]&amp;Detalle_OC[[#This Row],[Posicion]]</f>
        <v>Agricola del Chira PlantaMontelima8445365500019188330</v>
      </c>
      <c r="B4111" t="s">
        <v>28</v>
      </c>
      <c r="C4111" t="s">
        <v>82</v>
      </c>
      <c r="D4111" s="11">
        <v>44501</v>
      </c>
      <c r="E4111" t="s">
        <v>16</v>
      </c>
      <c r="F4111" t="s">
        <v>12</v>
      </c>
      <c r="G4111">
        <v>844536</v>
      </c>
      <c r="H4111">
        <v>5500019188</v>
      </c>
      <c r="I4111">
        <v>330</v>
      </c>
      <c r="J4111" s="29">
        <v>1</v>
      </c>
      <c r="K4111" s="29" t="s">
        <v>599</v>
      </c>
      <c r="L4111" t="str">
        <f>IFERROR(VLOOKUP(Detalle_OC[[#This Row],[Centro]]&amp;Detalle_OC[[#This Row],[Nro Almacen]],Almacen!A:D,4,FALSE),"")</f>
        <v>Montelima</v>
      </c>
    </row>
    <row r="4112" spans="1:12" x14ac:dyDescent="0.3">
      <c r="A4112" s="29" t="str">
        <f>Detalle_OC[[#This Row],[Centro]]&amp;Detalle_OC[[#This Row],[Nom Almacen]]&amp;Detalle_OC[[#This Row],[Material]]&amp;Detalle_OC[[#This Row],[Pedido]]&amp;Detalle_OC[[#This Row],[Posicion]]</f>
        <v>Agricola del Chira PlantaMontelima8445175500019188340</v>
      </c>
      <c r="B4112" t="s">
        <v>28</v>
      </c>
      <c r="C4112" t="s">
        <v>82</v>
      </c>
      <c r="D4112" s="11">
        <v>44481</v>
      </c>
      <c r="E4112" t="s">
        <v>16</v>
      </c>
      <c r="F4112" t="s">
        <v>12</v>
      </c>
      <c r="G4112">
        <v>844517</v>
      </c>
      <c r="H4112">
        <v>5500019188</v>
      </c>
      <c r="I4112">
        <v>340</v>
      </c>
      <c r="J4112" s="29">
        <v>1</v>
      </c>
      <c r="K4112" s="29" t="s">
        <v>599</v>
      </c>
      <c r="L4112" t="str">
        <f>IFERROR(VLOOKUP(Detalle_OC[[#This Row],[Centro]]&amp;Detalle_OC[[#This Row],[Nro Almacen]],Almacen!A:D,4,FALSE),"")</f>
        <v>Montelima</v>
      </c>
    </row>
    <row r="4113" spans="1:12" x14ac:dyDescent="0.3">
      <c r="A4113" s="29" t="str">
        <f>Detalle_OC[[#This Row],[Centro]]&amp;Detalle_OC[[#This Row],[Nom Almacen]]&amp;Detalle_OC[[#This Row],[Material]]&amp;Detalle_OC[[#This Row],[Pedido]]&amp;Detalle_OC[[#This Row],[Posicion]]</f>
        <v>Agricola del Chira PlantaMontelima8445285500019188360</v>
      </c>
      <c r="B4113" t="s">
        <v>28</v>
      </c>
      <c r="C4113" t="s">
        <v>82</v>
      </c>
      <c r="D4113" s="11">
        <v>44481</v>
      </c>
      <c r="E4113" t="s">
        <v>16</v>
      </c>
      <c r="F4113" t="s">
        <v>12</v>
      </c>
      <c r="G4113">
        <v>844528</v>
      </c>
      <c r="H4113">
        <v>5500019188</v>
      </c>
      <c r="I4113">
        <v>360</v>
      </c>
      <c r="J4113" s="29">
        <v>1</v>
      </c>
      <c r="K4113" s="29" t="s">
        <v>599</v>
      </c>
      <c r="L4113" t="str">
        <f>IFERROR(VLOOKUP(Detalle_OC[[#This Row],[Centro]]&amp;Detalle_OC[[#This Row],[Nro Almacen]],Almacen!A:D,4,FALSE),"")</f>
        <v>Montelima</v>
      </c>
    </row>
    <row r="4114" spans="1:12" x14ac:dyDescent="0.3">
      <c r="A4114" s="29" t="str">
        <f>Detalle_OC[[#This Row],[Centro]]&amp;Detalle_OC[[#This Row],[Nom Almacen]]&amp;Detalle_OC[[#This Row],[Material]]&amp;Detalle_OC[[#This Row],[Pedido]]&amp;Detalle_OC[[#This Row],[Posicion]]</f>
        <v>Agricola del Chira PlantaMontelima8444905500019188400</v>
      </c>
      <c r="B4114" t="s">
        <v>28</v>
      </c>
      <c r="C4114" t="s">
        <v>82</v>
      </c>
      <c r="D4114" s="11">
        <v>44501</v>
      </c>
      <c r="E4114" t="s">
        <v>16</v>
      </c>
      <c r="F4114" t="s">
        <v>12</v>
      </c>
      <c r="G4114">
        <v>844490</v>
      </c>
      <c r="H4114">
        <v>5500019188</v>
      </c>
      <c r="I4114">
        <v>400</v>
      </c>
      <c r="J4114" s="29">
        <v>1</v>
      </c>
      <c r="K4114" s="29" t="s">
        <v>599</v>
      </c>
      <c r="L4114" t="str">
        <f>IFERROR(VLOOKUP(Detalle_OC[[#This Row],[Centro]]&amp;Detalle_OC[[#This Row],[Nro Almacen]],Almacen!A:D,4,FALSE),"")</f>
        <v>Montelima</v>
      </c>
    </row>
    <row r="4115" spans="1:12" x14ac:dyDescent="0.3">
      <c r="A4115" s="29" t="str">
        <f>Detalle_OC[[#This Row],[Centro]]&amp;Detalle_OC[[#This Row],[Nom Almacen]]&amp;Detalle_OC[[#This Row],[Material]]&amp;Detalle_OC[[#This Row],[Pedido]]&amp;Detalle_OC[[#This Row],[Posicion]]</f>
        <v>Agricola del Chira PlantaMontelima8445215500019188410</v>
      </c>
      <c r="B4115" t="s">
        <v>28</v>
      </c>
      <c r="C4115" t="s">
        <v>82</v>
      </c>
      <c r="D4115" s="11">
        <v>44481</v>
      </c>
      <c r="E4115" t="s">
        <v>16</v>
      </c>
      <c r="F4115" t="s">
        <v>12</v>
      </c>
      <c r="G4115">
        <v>844521</v>
      </c>
      <c r="H4115">
        <v>5500019188</v>
      </c>
      <c r="I4115">
        <v>410</v>
      </c>
      <c r="J4115" s="29">
        <v>1</v>
      </c>
      <c r="K4115" s="29" t="s">
        <v>599</v>
      </c>
      <c r="L4115" t="str">
        <f>IFERROR(VLOOKUP(Detalle_OC[[#This Row],[Centro]]&amp;Detalle_OC[[#This Row],[Nro Almacen]],Almacen!A:D,4,FALSE),"")</f>
        <v>Montelima</v>
      </c>
    </row>
    <row r="4116" spans="1:12" x14ac:dyDescent="0.3">
      <c r="A4116" s="29" t="str">
        <f>Detalle_OC[[#This Row],[Centro]]&amp;Detalle_OC[[#This Row],[Nom Almacen]]&amp;Detalle_OC[[#This Row],[Material]]&amp;Detalle_OC[[#This Row],[Pedido]]&amp;Detalle_OC[[#This Row],[Posicion]]</f>
        <v>Agricola del Chira PlantaMontelima8445305500019188490</v>
      </c>
      <c r="B4116" t="s">
        <v>28</v>
      </c>
      <c r="C4116" t="s">
        <v>82</v>
      </c>
      <c r="D4116" s="11">
        <v>44501</v>
      </c>
      <c r="E4116" t="s">
        <v>16</v>
      </c>
      <c r="F4116" t="s">
        <v>12</v>
      </c>
      <c r="G4116">
        <v>844530</v>
      </c>
      <c r="H4116">
        <v>5500019188</v>
      </c>
      <c r="I4116">
        <v>490</v>
      </c>
      <c r="J4116" s="29">
        <v>1</v>
      </c>
      <c r="K4116" s="29" t="s">
        <v>599</v>
      </c>
      <c r="L4116" t="str">
        <f>IFERROR(VLOOKUP(Detalle_OC[[#This Row],[Centro]]&amp;Detalle_OC[[#This Row],[Nro Almacen]],Almacen!A:D,4,FALSE),"")</f>
        <v>Montelima</v>
      </c>
    </row>
    <row r="4117" spans="1:12" x14ac:dyDescent="0.3">
      <c r="A4117" s="29" t="str">
        <f>Detalle_OC[[#This Row],[Centro]]&amp;Detalle_OC[[#This Row],[Nom Almacen]]&amp;Detalle_OC[[#This Row],[Material]]&amp;Detalle_OC[[#This Row],[Pedido]]&amp;Detalle_OC[[#This Row],[Posicion]]</f>
        <v>Agricola del Chira PlantaMontelima8445385500019188560</v>
      </c>
      <c r="B4117" t="s">
        <v>28</v>
      </c>
      <c r="C4117" t="s">
        <v>82</v>
      </c>
      <c r="D4117" s="11">
        <v>44501</v>
      </c>
      <c r="E4117" t="s">
        <v>16</v>
      </c>
      <c r="F4117" t="s">
        <v>12</v>
      </c>
      <c r="G4117">
        <v>844538</v>
      </c>
      <c r="H4117">
        <v>5500019188</v>
      </c>
      <c r="I4117">
        <v>560</v>
      </c>
      <c r="J4117" s="29">
        <v>1</v>
      </c>
      <c r="K4117" s="29" t="s">
        <v>599</v>
      </c>
      <c r="L4117" t="str">
        <f>IFERROR(VLOOKUP(Detalle_OC[[#This Row],[Centro]]&amp;Detalle_OC[[#This Row],[Nro Almacen]],Almacen!A:D,4,FALSE),"")</f>
        <v>Montelima</v>
      </c>
    </row>
    <row r="4118" spans="1:12" x14ac:dyDescent="0.3">
      <c r="A4118" s="29" t="str">
        <f>Detalle_OC[[#This Row],[Centro]]&amp;Detalle_OC[[#This Row],[Nom Almacen]]&amp;Detalle_OC[[#This Row],[Material]]&amp;Detalle_OC[[#This Row],[Pedido]]&amp;Detalle_OC[[#This Row],[Posicion]]</f>
        <v>Agricola del Chira PlantaMontelima8445435500019188570</v>
      </c>
      <c r="B4118" t="s">
        <v>28</v>
      </c>
      <c r="C4118" t="s">
        <v>82</v>
      </c>
      <c r="D4118" s="11">
        <v>44481</v>
      </c>
      <c r="E4118" t="s">
        <v>16</v>
      </c>
      <c r="F4118" t="s">
        <v>12</v>
      </c>
      <c r="G4118">
        <v>844543</v>
      </c>
      <c r="H4118">
        <v>5500019188</v>
      </c>
      <c r="I4118">
        <v>570</v>
      </c>
      <c r="J4118" s="29">
        <v>1</v>
      </c>
      <c r="K4118" s="29" t="s">
        <v>599</v>
      </c>
      <c r="L4118" t="str">
        <f>IFERROR(VLOOKUP(Detalle_OC[[#This Row],[Centro]]&amp;Detalle_OC[[#This Row],[Nro Almacen]],Almacen!A:D,4,FALSE),"")</f>
        <v>Montelima</v>
      </c>
    </row>
    <row r="4119" spans="1:12" x14ac:dyDescent="0.3">
      <c r="A4119" s="29" t="str">
        <f>Detalle_OC[[#This Row],[Centro]]&amp;Detalle_OC[[#This Row],[Nom Almacen]]&amp;Detalle_OC[[#This Row],[Material]]&amp;Detalle_OC[[#This Row],[Pedido]]&amp;Detalle_OC[[#This Row],[Posicion]]</f>
        <v>Agricola del Chira PlantaMontelima8457585500019188980</v>
      </c>
      <c r="B4119" t="s">
        <v>28</v>
      </c>
      <c r="C4119" t="s">
        <v>82</v>
      </c>
      <c r="D4119" s="11">
        <v>44481</v>
      </c>
      <c r="E4119" t="s">
        <v>16</v>
      </c>
      <c r="F4119" t="s">
        <v>12</v>
      </c>
      <c r="G4119">
        <v>845758</v>
      </c>
      <c r="H4119">
        <v>5500019188</v>
      </c>
      <c r="I4119">
        <v>980</v>
      </c>
      <c r="J4119" s="29">
        <v>1</v>
      </c>
      <c r="K4119" s="29" t="s">
        <v>599</v>
      </c>
      <c r="L4119" t="str">
        <f>IFERROR(VLOOKUP(Detalle_OC[[#This Row],[Centro]]&amp;Detalle_OC[[#This Row],[Nro Almacen]],Almacen!A:D,4,FALSE),"")</f>
        <v>Montelima</v>
      </c>
    </row>
    <row r="4120" spans="1:12" x14ac:dyDescent="0.3">
      <c r="A4120" s="29" t="str">
        <f>Detalle_OC[[#This Row],[Centro]]&amp;Detalle_OC[[#This Row],[Nom Almacen]]&amp;Detalle_OC[[#This Row],[Material]]&amp;Detalle_OC[[#This Row],[Pedido]]&amp;Detalle_OC[[#This Row],[Posicion]]</f>
        <v>Agricola del Chira PlantaMontelima83507555000191881310</v>
      </c>
      <c r="B4120" t="s">
        <v>28</v>
      </c>
      <c r="C4120" t="s">
        <v>82</v>
      </c>
      <c r="D4120" s="11">
        <v>44481</v>
      </c>
      <c r="E4120" t="s">
        <v>16</v>
      </c>
      <c r="F4120" t="s">
        <v>12</v>
      </c>
      <c r="G4120">
        <v>835075</v>
      </c>
      <c r="H4120">
        <v>5500019188</v>
      </c>
      <c r="I4120">
        <v>1310</v>
      </c>
      <c r="J4120" s="29">
        <v>1</v>
      </c>
      <c r="K4120" s="29" t="s">
        <v>599</v>
      </c>
      <c r="L4120" t="str">
        <f>IFERROR(VLOOKUP(Detalle_OC[[#This Row],[Centro]]&amp;Detalle_OC[[#This Row],[Nro Almacen]],Almacen!A:D,4,FALSE),"")</f>
        <v>Montelima</v>
      </c>
    </row>
    <row r="4121" spans="1:12" x14ac:dyDescent="0.3">
      <c r="A4121" s="29" t="str">
        <f>Detalle_OC[[#This Row],[Centro]]&amp;Detalle_OC[[#This Row],[Nom Almacen]]&amp;Detalle_OC[[#This Row],[Material]]&amp;Detalle_OC[[#This Row],[Pedido]]&amp;Detalle_OC[[#This Row],[Posicion]]</f>
        <v>Agricola del Chira PlantaMontelima83507655000191881340</v>
      </c>
      <c r="B4121" t="s">
        <v>28</v>
      </c>
      <c r="C4121" t="s">
        <v>82</v>
      </c>
      <c r="D4121" s="11">
        <v>44481</v>
      </c>
      <c r="E4121" t="s">
        <v>16</v>
      </c>
      <c r="F4121" t="s">
        <v>12</v>
      </c>
      <c r="G4121">
        <v>835076</v>
      </c>
      <c r="H4121">
        <v>5500019188</v>
      </c>
      <c r="I4121">
        <v>1340</v>
      </c>
      <c r="J4121" s="29">
        <v>1</v>
      </c>
      <c r="K4121" s="29" t="s">
        <v>599</v>
      </c>
      <c r="L4121" t="str">
        <f>IFERROR(VLOOKUP(Detalle_OC[[#This Row],[Centro]]&amp;Detalle_OC[[#This Row],[Nro Almacen]],Almacen!A:D,4,FALSE),"")</f>
        <v>Montelima</v>
      </c>
    </row>
    <row r="4122" spans="1:12" x14ac:dyDescent="0.3">
      <c r="A4122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4122" t="s">
        <v>28</v>
      </c>
      <c r="C4122" t="s">
        <v>84</v>
      </c>
      <c r="D4122" s="11">
        <v>44458</v>
      </c>
      <c r="E4122" t="s">
        <v>16</v>
      </c>
      <c r="F4122" t="s">
        <v>85</v>
      </c>
      <c r="G4122">
        <v>806591</v>
      </c>
      <c r="H4122">
        <v>5500022336</v>
      </c>
      <c r="I4122">
        <v>20</v>
      </c>
      <c r="J4122" s="29">
        <v>1</v>
      </c>
      <c r="K4122" s="29" t="s">
        <v>600</v>
      </c>
      <c r="L4122" t="str">
        <f>IFERROR(VLOOKUP(Detalle_OC[[#This Row],[Centro]]&amp;Detalle_OC[[#This Row],[Nro Almacen]],Almacen!A:D,4,FALSE),"")</f>
        <v>Montelima</v>
      </c>
    </row>
    <row r="4123" spans="1:12" x14ac:dyDescent="0.3">
      <c r="A4123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4123" t="s">
        <v>28</v>
      </c>
      <c r="C4123" t="s">
        <v>84</v>
      </c>
      <c r="D4123" s="11">
        <v>44456</v>
      </c>
      <c r="E4123" t="s">
        <v>16</v>
      </c>
      <c r="F4123" t="s">
        <v>85</v>
      </c>
      <c r="G4123">
        <v>806591</v>
      </c>
      <c r="H4123">
        <v>5500022336</v>
      </c>
      <c r="I4123">
        <v>20</v>
      </c>
      <c r="J4123" s="29">
        <v>1</v>
      </c>
      <c r="K4123" s="29" t="s">
        <v>600</v>
      </c>
      <c r="L4123" t="str">
        <f>IFERROR(VLOOKUP(Detalle_OC[[#This Row],[Centro]]&amp;Detalle_OC[[#This Row],[Nro Almacen]],Almacen!A:D,4,FALSE),"")</f>
        <v>Montelima</v>
      </c>
    </row>
    <row r="4124" spans="1:12" x14ac:dyDescent="0.3">
      <c r="A4124" s="29" t="str">
        <f>Detalle_OC[[#This Row],[Centro]]&amp;Detalle_OC[[#This Row],[Nom Almacen]]&amp;Detalle_OC[[#This Row],[Material]]&amp;Detalle_OC[[#This Row],[Pedido]]&amp;Detalle_OC[[#This Row],[Posicion]]</f>
        <v>Sucroalcolera del Chira PlantaMontelima709179550002233630</v>
      </c>
      <c r="B4124" t="s">
        <v>28</v>
      </c>
      <c r="C4124" t="s">
        <v>84</v>
      </c>
      <c r="D4124" s="11">
        <v>44215</v>
      </c>
      <c r="E4124" t="s">
        <v>16</v>
      </c>
      <c r="F4124" t="s">
        <v>85</v>
      </c>
      <c r="G4124">
        <v>709179</v>
      </c>
      <c r="H4124">
        <v>5500022336</v>
      </c>
      <c r="I4124">
        <v>30</v>
      </c>
      <c r="J4124" s="29">
        <v>1</v>
      </c>
      <c r="K4124" s="29" t="s">
        <v>600</v>
      </c>
      <c r="L4124" t="str">
        <f>IFERROR(VLOOKUP(Detalle_OC[[#This Row],[Centro]]&amp;Detalle_OC[[#This Row],[Nro Almacen]],Almacen!A:D,4,FALSE),"")</f>
        <v>Montelima</v>
      </c>
    </row>
    <row r="4125" spans="1:12" x14ac:dyDescent="0.3">
      <c r="A4125" s="29" t="str">
        <f>Detalle_OC[[#This Row],[Centro]]&amp;Detalle_OC[[#This Row],[Nom Almacen]]&amp;Detalle_OC[[#This Row],[Material]]&amp;Detalle_OC[[#This Row],[Pedido]]&amp;Detalle_OC[[#This Row],[Posicion]]</f>
        <v>Sucroalcolera del Chira PlantaMontelima708707550002233640</v>
      </c>
      <c r="B4125" t="s">
        <v>28</v>
      </c>
      <c r="C4125" t="s">
        <v>84</v>
      </c>
      <c r="D4125" s="11">
        <v>44215</v>
      </c>
      <c r="E4125" t="s">
        <v>16</v>
      </c>
      <c r="F4125" t="s">
        <v>85</v>
      </c>
      <c r="G4125">
        <v>708707</v>
      </c>
      <c r="H4125">
        <v>5500022336</v>
      </c>
      <c r="I4125">
        <v>40</v>
      </c>
      <c r="J4125" s="29">
        <v>1</v>
      </c>
      <c r="K4125" s="29" t="s">
        <v>600</v>
      </c>
      <c r="L4125" t="str">
        <f>IFERROR(VLOOKUP(Detalle_OC[[#This Row],[Centro]]&amp;Detalle_OC[[#This Row],[Nro Almacen]],Almacen!A:D,4,FALSE),"")</f>
        <v>Montelima</v>
      </c>
    </row>
    <row r="4126" spans="1:12" x14ac:dyDescent="0.3">
      <c r="A4126" s="29" t="str">
        <f>Detalle_OC[[#This Row],[Centro]]&amp;Detalle_OC[[#This Row],[Nom Almacen]]&amp;Detalle_OC[[#This Row],[Material]]&amp;Detalle_OC[[#This Row],[Pedido]]&amp;Detalle_OC[[#This Row],[Posicion]]</f>
        <v>Sucroalcolera del Chira PlantaMontelima813224550002233650</v>
      </c>
      <c r="B4126" t="s">
        <v>28</v>
      </c>
      <c r="C4126" t="s">
        <v>84</v>
      </c>
      <c r="D4126" s="11">
        <v>44215</v>
      </c>
      <c r="E4126" t="s">
        <v>16</v>
      </c>
      <c r="F4126" t="s">
        <v>85</v>
      </c>
      <c r="G4126">
        <v>813224</v>
      </c>
      <c r="H4126">
        <v>5500022336</v>
      </c>
      <c r="I4126">
        <v>50</v>
      </c>
      <c r="J4126" s="29">
        <v>1</v>
      </c>
      <c r="K4126" s="29" t="s">
        <v>600</v>
      </c>
      <c r="L4126" t="str">
        <f>IFERROR(VLOOKUP(Detalle_OC[[#This Row],[Centro]]&amp;Detalle_OC[[#This Row],[Nro Almacen]],Almacen!A:D,4,FALSE),"")</f>
        <v>Montelima</v>
      </c>
    </row>
    <row r="4127" spans="1:12" x14ac:dyDescent="0.3">
      <c r="A4127" s="29" t="str">
        <f>Detalle_OC[[#This Row],[Centro]]&amp;Detalle_OC[[#This Row],[Nom Almacen]]&amp;Detalle_OC[[#This Row],[Material]]&amp;Detalle_OC[[#This Row],[Pedido]]&amp;Detalle_OC[[#This Row],[Posicion]]</f>
        <v>Agricola del Chira PlantaMontelima761905550001918810</v>
      </c>
      <c r="B4127" t="s">
        <v>28</v>
      </c>
      <c r="C4127" t="s">
        <v>82</v>
      </c>
      <c r="D4127" s="11">
        <v>44450</v>
      </c>
      <c r="E4127" t="s">
        <v>16</v>
      </c>
      <c r="F4127" t="s">
        <v>12</v>
      </c>
      <c r="G4127">
        <v>761905</v>
      </c>
      <c r="H4127">
        <v>5500019188</v>
      </c>
      <c r="I4127">
        <v>10</v>
      </c>
      <c r="J4127" s="29">
        <v>1</v>
      </c>
      <c r="K4127" s="29" t="s">
        <v>601</v>
      </c>
      <c r="L4127" t="str">
        <f>IFERROR(VLOOKUP(Detalle_OC[[#This Row],[Centro]]&amp;Detalle_OC[[#This Row],[Nro Almacen]],Almacen!A:D,4,FALSE),"")</f>
        <v>Montelima</v>
      </c>
    </row>
    <row r="4128" spans="1:12" x14ac:dyDescent="0.3">
      <c r="A4128" s="29" t="str">
        <f>Detalle_OC[[#This Row],[Centro]]&amp;Detalle_OC[[#This Row],[Nom Almacen]]&amp;Detalle_OC[[#This Row],[Material]]&amp;Detalle_OC[[#This Row],[Pedido]]&amp;Detalle_OC[[#This Row],[Posicion]]</f>
        <v>Agricola del Chira PlantaMontelima844601550001918860</v>
      </c>
      <c r="B4128" t="s">
        <v>28</v>
      </c>
      <c r="C4128" t="s">
        <v>82</v>
      </c>
      <c r="D4128" s="11">
        <v>44481</v>
      </c>
      <c r="E4128" t="s">
        <v>16</v>
      </c>
      <c r="F4128" t="s">
        <v>12</v>
      </c>
      <c r="G4128">
        <v>844601</v>
      </c>
      <c r="H4128">
        <v>5500019188</v>
      </c>
      <c r="I4128">
        <v>60</v>
      </c>
      <c r="J4128" s="29">
        <v>1</v>
      </c>
      <c r="K4128" s="29" t="s">
        <v>601</v>
      </c>
      <c r="L4128" t="str">
        <f>IFERROR(VLOOKUP(Detalle_OC[[#This Row],[Centro]]&amp;Detalle_OC[[#This Row],[Nro Almacen]],Almacen!A:D,4,FALSE),"")</f>
        <v>Montelima</v>
      </c>
    </row>
    <row r="4129" spans="1:12" x14ac:dyDescent="0.3">
      <c r="A4129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4129" t="s">
        <v>28</v>
      </c>
      <c r="C4129" t="s">
        <v>82</v>
      </c>
      <c r="D4129" s="11">
        <v>44481</v>
      </c>
      <c r="E4129" t="s">
        <v>16</v>
      </c>
      <c r="F4129" t="s">
        <v>12</v>
      </c>
      <c r="G4129">
        <v>844522</v>
      </c>
      <c r="H4129">
        <v>5500019188</v>
      </c>
      <c r="I4129">
        <v>150</v>
      </c>
      <c r="J4129" s="29">
        <v>1</v>
      </c>
      <c r="K4129" s="29" t="s">
        <v>601</v>
      </c>
      <c r="L4129" t="str">
        <f>IFERROR(VLOOKUP(Detalle_OC[[#This Row],[Centro]]&amp;Detalle_OC[[#This Row],[Nro Almacen]],Almacen!A:D,4,FALSE),"")</f>
        <v>Montelima</v>
      </c>
    </row>
    <row r="4130" spans="1:12" x14ac:dyDescent="0.3">
      <c r="A4130" s="29" t="str">
        <f>Detalle_OC[[#This Row],[Centro]]&amp;Detalle_OC[[#This Row],[Nom Almacen]]&amp;Detalle_OC[[#This Row],[Material]]&amp;Detalle_OC[[#This Row],[Pedido]]&amp;Detalle_OC[[#This Row],[Posicion]]</f>
        <v>Agricola del Chira PlantaMontelima8445115500019188180</v>
      </c>
      <c r="B4130" t="s">
        <v>28</v>
      </c>
      <c r="C4130" t="s">
        <v>82</v>
      </c>
      <c r="D4130" s="11">
        <v>44450</v>
      </c>
      <c r="E4130" t="s">
        <v>16</v>
      </c>
      <c r="F4130" t="s">
        <v>12</v>
      </c>
      <c r="G4130">
        <v>844511</v>
      </c>
      <c r="H4130">
        <v>5500019188</v>
      </c>
      <c r="I4130">
        <v>180</v>
      </c>
      <c r="J4130" s="29">
        <v>1</v>
      </c>
      <c r="K4130" s="29" t="s">
        <v>601</v>
      </c>
      <c r="L4130" t="str">
        <f>IFERROR(VLOOKUP(Detalle_OC[[#This Row],[Centro]]&amp;Detalle_OC[[#This Row],[Nro Almacen]],Almacen!A:D,4,FALSE),"")</f>
        <v>Montelima</v>
      </c>
    </row>
    <row r="4131" spans="1:12" x14ac:dyDescent="0.3">
      <c r="A4131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4131" t="s">
        <v>28</v>
      </c>
      <c r="C4131" t="s">
        <v>82</v>
      </c>
      <c r="D4131" s="11">
        <v>44481</v>
      </c>
      <c r="E4131" t="s">
        <v>16</v>
      </c>
      <c r="F4131" t="s">
        <v>12</v>
      </c>
      <c r="G4131">
        <v>844516</v>
      </c>
      <c r="H4131">
        <v>5500019188</v>
      </c>
      <c r="I4131">
        <v>190</v>
      </c>
      <c r="J4131" s="29">
        <v>1</v>
      </c>
      <c r="K4131" s="29" t="s">
        <v>601</v>
      </c>
      <c r="L4131" t="str">
        <f>IFERROR(VLOOKUP(Detalle_OC[[#This Row],[Centro]]&amp;Detalle_OC[[#This Row],[Nro Almacen]],Almacen!A:D,4,FALSE),"")</f>
        <v>Montelima</v>
      </c>
    </row>
    <row r="4132" spans="1:12" x14ac:dyDescent="0.3">
      <c r="A4132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4132" t="s">
        <v>28</v>
      </c>
      <c r="C4132" t="s">
        <v>82</v>
      </c>
      <c r="D4132" s="11">
        <v>44481</v>
      </c>
      <c r="E4132" t="s">
        <v>16</v>
      </c>
      <c r="F4132" t="s">
        <v>12</v>
      </c>
      <c r="G4132">
        <v>844515</v>
      </c>
      <c r="H4132">
        <v>5500019188</v>
      </c>
      <c r="I4132">
        <v>200</v>
      </c>
      <c r="J4132" s="29">
        <v>1</v>
      </c>
      <c r="K4132" s="29" t="s">
        <v>601</v>
      </c>
      <c r="L4132" t="str">
        <f>IFERROR(VLOOKUP(Detalle_OC[[#This Row],[Centro]]&amp;Detalle_OC[[#This Row],[Nro Almacen]],Almacen!A:D,4,FALSE),"")</f>
        <v>Montelima</v>
      </c>
    </row>
    <row r="4133" spans="1:12" x14ac:dyDescent="0.3">
      <c r="A4133" s="29" t="str">
        <f>Detalle_OC[[#This Row],[Centro]]&amp;Detalle_OC[[#This Row],[Nom Almacen]]&amp;Detalle_OC[[#This Row],[Material]]&amp;Detalle_OC[[#This Row],[Pedido]]&amp;Detalle_OC[[#This Row],[Posicion]]</f>
        <v>Agricola del Chira PlantaMontelima8445245500019188210</v>
      </c>
      <c r="B4133" t="s">
        <v>28</v>
      </c>
      <c r="C4133" t="s">
        <v>82</v>
      </c>
      <c r="D4133" s="11">
        <v>44501</v>
      </c>
      <c r="E4133" t="s">
        <v>16</v>
      </c>
      <c r="F4133" t="s">
        <v>12</v>
      </c>
      <c r="G4133">
        <v>844524</v>
      </c>
      <c r="H4133">
        <v>5500019188</v>
      </c>
      <c r="I4133">
        <v>210</v>
      </c>
      <c r="J4133" s="29">
        <v>1</v>
      </c>
      <c r="K4133" s="29" t="s">
        <v>601</v>
      </c>
      <c r="L4133" t="str">
        <f>IFERROR(VLOOKUP(Detalle_OC[[#This Row],[Centro]]&amp;Detalle_OC[[#This Row],[Nro Almacen]],Almacen!A:D,4,FALSE),"")</f>
        <v>Montelima</v>
      </c>
    </row>
    <row r="4134" spans="1:12" x14ac:dyDescent="0.3">
      <c r="A4134" s="29" t="str">
        <f>Detalle_OC[[#This Row],[Centro]]&amp;Detalle_OC[[#This Row],[Nom Almacen]]&amp;Detalle_OC[[#This Row],[Material]]&amp;Detalle_OC[[#This Row],[Pedido]]&amp;Detalle_OC[[#This Row],[Posicion]]</f>
        <v>Agricola del Chira PlantaMontelima8443975500019188280</v>
      </c>
      <c r="B4134" t="s">
        <v>28</v>
      </c>
      <c r="C4134" t="s">
        <v>82</v>
      </c>
      <c r="D4134" s="11">
        <v>44450</v>
      </c>
      <c r="E4134" t="s">
        <v>16</v>
      </c>
      <c r="F4134" t="s">
        <v>12</v>
      </c>
      <c r="G4134">
        <v>844397</v>
      </c>
      <c r="H4134">
        <v>5500019188</v>
      </c>
      <c r="I4134">
        <v>280</v>
      </c>
      <c r="J4134" s="29">
        <v>1</v>
      </c>
      <c r="K4134" s="29" t="s">
        <v>601</v>
      </c>
      <c r="L4134" t="str">
        <f>IFERROR(VLOOKUP(Detalle_OC[[#This Row],[Centro]]&amp;Detalle_OC[[#This Row],[Nro Almacen]],Almacen!A:D,4,FALSE),"")</f>
        <v>Montelima</v>
      </c>
    </row>
    <row r="4135" spans="1:12" x14ac:dyDescent="0.3">
      <c r="A4135" s="29" t="str">
        <f>Detalle_OC[[#This Row],[Centro]]&amp;Detalle_OC[[#This Row],[Nom Almacen]]&amp;Detalle_OC[[#This Row],[Material]]&amp;Detalle_OC[[#This Row],[Pedido]]&amp;Detalle_OC[[#This Row],[Posicion]]</f>
        <v>Agricola del Chira PlantaMontelima8443985500019188290</v>
      </c>
      <c r="B4135" t="s">
        <v>28</v>
      </c>
      <c r="C4135" t="s">
        <v>82</v>
      </c>
      <c r="D4135" s="11">
        <v>44481</v>
      </c>
      <c r="E4135" t="s">
        <v>16</v>
      </c>
      <c r="F4135" t="s">
        <v>12</v>
      </c>
      <c r="G4135">
        <v>844398</v>
      </c>
      <c r="H4135">
        <v>5500019188</v>
      </c>
      <c r="I4135">
        <v>290</v>
      </c>
      <c r="J4135" s="29">
        <v>1</v>
      </c>
      <c r="K4135" s="29" t="s">
        <v>601</v>
      </c>
      <c r="L4135" t="str">
        <f>IFERROR(VLOOKUP(Detalle_OC[[#This Row],[Centro]]&amp;Detalle_OC[[#This Row],[Nro Almacen]],Almacen!A:D,4,FALSE),"")</f>
        <v>Montelima</v>
      </c>
    </row>
    <row r="4136" spans="1:12" x14ac:dyDescent="0.3">
      <c r="A4136" s="29" t="str">
        <f>Detalle_OC[[#This Row],[Centro]]&amp;Detalle_OC[[#This Row],[Nom Almacen]]&amp;Detalle_OC[[#This Row],[Material]]&amp;Detalle_OC[[#This Row],[Pedido]]&amp;Detalle_OC[[#This Row],[Posicion]]</f>
        <v>Agricola del Chira PlantaMontelima8445515500019188320</v>
      </c>
      <c r="B4136" t="s">
        <v>28</v>
      </c>
      <c r="C4136" t="s">
        <v>82</v>
      </c>
      <c r="D4136" s="11">
        <v>44481</v>
      </c>
      <c r="E4136" t="s">
        <v>16</v>
      </c>
      <c r="F4136" t="s">
        <v>12</v>
      </c>
      <c r="G4136">
        <v>844551</v>
      </c>
      <c r="H4136">
        <v>5500019188</v>
      </c>
      <c r="I4136">
        <v>320</v>
      </c>
      <c r="J4136" s="29">
        <v>1</v>
      </c>
      <c r="K4136" s="29" t="s">
        <v>601</v>
      </c>
      <c r="L4136" t="str">
        <f>IFERROR(VLOOKUP(Detalle_OC[[#This Row],[Centro]]&amp;Detalle_OC[[#This Row],[Nro Almacen]],Almacen!A:D,4,FALSE),"")</f>
        <v>Montelima</v>
      </c>
    </row>
    <row r="4137" spans="1:12" x14ac:dyDescent="0.3">
      <c r="A4137" s="29" t="str">
        <f>Detalle_OC[[#This Row],[Centro]]&amp;Detalle_OC[[#This Row],[Nom Almacen]]&amp;Detalle_OC[[#This Row],[Material]]&amp;Detalle_OC[[#This Row],[Pedido]]&amp;Detalle_OC[[#This Row],[Posicion]]</f>
        <v>Agricola del Chira PlantaMontelima8445295500019188380</v>
      </c>
      <c r="B4137" t="s">
        <v>28</v>
      </c>
      <c r="C4137" t="s">
        <v>82</v>
      </c>
      <c r="D4137" s="11">
        <v>44450</v>
      </c>
      <c r="E4137" t="s">
        <v>16</v>
      </c>
      <c r="F4137" t="s">
        <v>12</v>
      </c>
      <c r="G4137">
        <v>844529</v>
      </c>
      <c r="H4137">
        <v>5500019188</v>
      </c>
      <c r="I4137">
        <v>380</v>
      </c>
      <c r="J4137" s="29">
        <v>1</v>
      </c>
      <c r="K4137" s="29" t="s">
        <v>601</v>
      </c>
      <c r="L4137" t="str">
        <f>IFERROR(VLOOKUP(Detalle_OC[[#This Row],[Centro]]&amp;Detalle_OC[[#This Row],[Nro Almacen]],Almacen!A:D,4,FALSE),"")</f>
        <v>Montelima</v>
      </c>
    </row>
    <row r="4138" spans="1:12" x14ac:dyDescent="0.3">
      <c r="A4138" s="29" t="str">
        <f>Detalle_OC[[#This Row],[Centro]]&amp;Detalle_OC[[#This Row],[Nom Almacen]]&amp;Detalle_OC[[#This Row],[Material]]&amp;Detalle_OC[[#This Row],[Pedido]]&amp;Detalle_OC[[#This Row],[Posicion]]</f>
        <v>Agricola del Chira PlantaMontelima8445215500019188410</v>
      </c>
      <c r="B4138" t="s">
        <v>28</v>
      </c>
      <c r="C4138" t="s">
        <v>82</v>
      </c>
      <c r="D4138" s="11">
        <v>44481</v>
      </c>
      <c r="E4138" t="s">
        <v>16</v>
      </c>
      <c r="F4138" t="s">
        <v>12</v>
      </c>
      <c r="G4138">
        <v>844521</v>
      </c>
      <c r="H4138">
        <v>5500019188</v>
      </c>
      <c r="I4138">
        <v>410</v>
      </c>
      <c r="J4138" s="29">
        <v>1</v>
      </c>
      <c r="K4138" s="29" t="s">
        <v>601</v>
      </c>
      <c r="L4138" t="str">
        <f>IFERROR(VLOOKUP(Detalle_OC[[#This Row],[Centro]]&amp;Detalle_OC[[#This Row],[Nro Almacen]],Almacen!A:D,4,FALSE),"")</f>
        <v>Montelima</v>
      </c>
    </row>
    <row r="4139" spans="1:12" x14ac:dyDescent="0.3">
      <c r="A4139" s="29" t="str">
        <f>Detalle_OC[[#This Row],[Centro]]&amp;Detalle_OC[[#This Row],[Nom Almacen]]&amp;Detalle_OC[[#This Row],[Material]]&amp;Detalle_OC[[#This Row],[Pedido]]&amp;Detalle_OC[[#This Row],[Posicion]]</f>
        <v>Agricola del Chira PlantaMontelima8445375500019188420</v>
      </c>
      <c r="B4139" t="s">
        <v>28</v>
      </c>
      <c r="C4139" t="s">
        <v>82</v>
      </c>
      <c r="D4139" s="11">
        <v>44481</v>
      </c>
      <c r="E4139" t="s">
        <v>16</v>
      </c>
      <c r="F4139" t="s">
        <v>12</v>
      </c>
      <c r="G4139">
        <v>844537</v>
      </c>
      <c r="H4139">
        <v>5500019188</v>
      </c>
      <c r="I4139">
        <v>420</v>
      </c>
      <c r="J4139" s="29">
        <v>1</v>
      </c>
      <c r="K4139" s="29" t="s">
        <v>601</v>
      </c>
      <c r="L4139" t="str">
        <f>IFERROR(VLOOKUP(Detalle_OC[[#This Row],[Centro]]&amp;Detalle_OC[[#This Row],[Nro Almacen]],Almacen!A:D,4,FALSE),"")</f>
        <v>Montelima</v>
      </c>
    </row>
    <row r="4140" spans="1:12" x14ac:dyDescent="0.3">
      <c r="A4140" s="29" t="str">
        <f>Detalle_OC[[#This Row],[Centro]]&amp;Detalle_OC[[#This Row],[Nom Almacen]]&amp;Detalle_OC[[#This Row],[Material]]&amp;Detalle_OC[[#This Row],[Pedido]]&amp;Detalle_OC[[#This Row],[Posicion]]</f>
        <v>Agricola del Chira PlantaMontelima8445195500019188530</v>
      </c>
      <c r="B4140" t="s">
        <v>28</v>
      </c>
      <c r="C4140" t="s">
        <v>82</v>
      </c>
      <c r="D4140" s="11">
        <v>44481</v>
      </c>
      <c r="E4140" t="s">
        <v>16</v>
      </c>
      <c r="F4140" t="s">
        <v>12</v>
      </c>
      <c r="G4140">
        <v>844519</v>
      </c>
      <c r="H4140">
        <v>5500019188</v>
      </c>
      <c r="I4140">
        <v>530</v>
      </c>
      <c r="J4140" s="29">
        <v>1</v>
      </c>
      <c r="K4140" s="29" t="s">
        <v>601</v>
      </c>
      <c r="L4140" t="str">
        <f>IFERROR(VLOOKUP(Detalle_OC[[#This Row],[Centro]]&amp;Detalle_OC[[#This Row],[Nro Almacen]],Almacen!A:D,4,FALSE),"")</f>
        <v>Montelima</v>
      </c>
    </row>
    <row r="4141" spans="1:12" x14ac:dyDescent="0.3">
      <c r="A4141" s="29" t="str">
        <f>Detalle_OC[[#This Row],[Centro]]&amp;Detalle_OC[[#This Row],[Nom Almacen]]&amp;Detalle_OC[[#This Row],[Material]]&amp;Detalle_OC[[#This Row],[Pedido]]&amp;Detalle_OC[[#This Row],[Posicion]]</f>
        <v>Agricola del Chira PlantaMontelima8445385500019188560</v>
      </c>
      <c r="B4141" t="s">
        <v>28</v>
      </c>
      <c r="C4141" t="s">
        <v>82</v>
      </c>
      <c r="D4141" s="11">
        <v>44450</v>
      </c>
      <c r="E4141" t="s">
        <v>16</v>
      </c>
      <c r="F4141" t="s">
        <v>12</v>
      </c>
      <c r="G4141">
        <v>844538</v>
      </c>
      <c r="H4141">
        <v>5500019188</v>
      </c>
      <c r="I4141">
        <v>560</v>
      </c>
      <c r="J4141" s="29">
        <v>1</v>
      </c>
      <c r="K4141" s="29" t="s">
        <v>601</v>
      </c>
      <c r="L4141" t="str">
        <f>IFERROR(VLOOKUP(Detalle_OC[[#This Row],[Centro]]&amp;Detalle_OC[[#This Row],[Nro Almacen]],Almacen!A:D,4,FALSE),"")</f>
        <v>Montelima</v>
      </c>
    </row>
    <row r="4142" spans="1:12" x14ac:dyDescent="0.3">
      <c r="A4142" s="29" t="str">
        <f>Detalle_OC[[#This Row],[Centro]]&amp;Detalle_OC[[#This Row],[Nom Almacen]]&amp;Detalle_OC[[#This Row],[Material]]&amp;Detalle_OC[[#This Row],[Pedido]]&amp;Detalle_OC[[#This Row],[Posicion]]</f>
        <v>Agricola del Chira PlantaMontelima8459035500019188630</v>
      </c>
      <c r="B4142" t="s">
        <v>28</v>
      </c>
      <c r="C4142" t="s">
        <v>82</v>
      </c>
      <c r="D4142" s="11">
        <v>44481</v>
      </c>
      <c r="E4142" t="s">
        <v>16</v>
      </c>
      <c r="F4142" t="s">
        <v>12</v>
      </c>
      <c r="G4142">
        <v>845903</v>
      </c>
      <c r="H4142">
        <v>5500019188</v>
      </c>
      <c r="I4142">
        <v>630</v>
      </c>
      <c r="J4142" s="29">
        <v>1</v>
      </c>
      <c r="K4142" s="29" t="s">
        <v>601</v>
      </c>
      <c r="L4142" t="str">
        <f>IFERROR(VLOOKUP(Detalle_OC[[#This Row],[Centro]]&amp;Detalle_OC[[#This Row],[Nro Almacen]],Almacen!A:D,4,FALSE),"")</f>
        <v>Montelima</v>
      </c>
    </row>
    <row r="4143" spans="1:12" x14ac:dyDescent="0.3">
      <c r="A4143" s="29" t="str">
        <f>Detalle_OC[[#This Row],[Centro]]&amp;Detalle_OC[[#This Row],[Nom Almacen]]&amp;Detalle_OC[[#This Row],[Material]]&amp;Detalle_OC[[#This Row],[Pedido]]&amp;Detalle_OC[[#This Row],[Posicion]]</f>
        <v>Agricola del Chira PlantaMontelima8445255500019188870</v>
      </c>
      <c r="B4143" t="s">
        <v>28</v>
      </c>
      <c r="C4143" t="s">
        <v>82</v>
      </c>
      <c r="D4143" s="11">
        <v>44481</v>
      </c>
      <c r="E4143" t="s">
        <v>16</v>
      </c>
      <c r="F4143" t="s">
        <v>12</v>
      </c>
      <c r="G4143">
        <v>844525</v>
      </c>
      <c r="H4143">
        <v>5500019188</v>
      </c>
      <c r="I4143">
        <v>870</v>
      </c>
      <c r="J4143" s="29">
        <v>1</v>
      </c>
      <c r="K4143" s="29" t="s">
        <v>601</v>
      </c>
      <c r="L4143" t="str">
        <f>IFERROR(VLOOKUP(Detalle_OC[[#This Row],[Centro]]&amp;Detalle_OC[[#This Row],[Nro Almacen]],Almacen!A:D,4,FALSE),"")</f>
        <v>Montelima</v>
      </c>
    </row>
    <row r="4144" spans="1:12" x14ac:dyDescent="0.3">
      <c r="A4144" s="29" t="str">
        <f>Detalle_OC[[#This Row],[Centro]]&amp;Detalle_OC[[#This Row],[Nom Almacen]]&amp;Detalle_OC[[#This Row],[Material]]&amp;Detalle_OC[[#This Row],[Pedido]]&amp;Detalle_OC[[#This Row],[Posicion]]</f>
        <v>Agricola del Chira PlantaMontelima7002962955000191881540</v>
      </c>
      <c r="B4144" t="s">
        <v>28</v>
      </c>
      <c r="C4144" t="s">
        <v>82</v>
      </c>
      <c r="D4144" s="11">
        <v>44450</v>
      </c>
      <c r="E4144" t="s">
        <v>16</v>
      </c>
      <c r="F4144" t="s">
        <v>12</v>
      </c>
      <c r="G4144">
        <v>70029629</v>
      </c>
      <c r="H4144">
        <v>5500019188</v>
      </c>
      <c r="I4144">
        <v>1540</v>
      </c>
      <c r="J4144" s="29">
        <v>1</v>
      </c>
      <c r="K4144" s="29" t="s">
        <v>601</v>
      </c>
      <c r="L4144" t="str">
        <f>IFERROR(VLOOKUP(Detalle_OC[[#This Row],[Centro]]&amp;Detalle_OC[[#This Row],[Nro Almacen]],Almacen!A:D,4,FALSE),"")</f>
        <v>Montelima</v>
      </c>
    </row>
    <row r="4145" spans="1:12" x14ac:dyDescent="0.3">
      <c r="A4145" s="29" t="str">
        <f>Detalle_OC[[#This Row],[Centro]]&amp;Detalle_OC[[#This Row],[Nom Almacen]]&amp;Detalle_OC[[#This Row],[Material]]&amp;Detalle_OC[[#This Row],[Pedido]]&amp;Detalle_OC[[#This Row],[Posicion]]</f>
        <v>Agricola del Chira PlantaMontelima752131550002233810</v>
      </c>
      <c r="B4145" t="s">
        <v>28</v>
      </c>
      <c r="C4145" t="s">
        <v>84</v>
      </c>
      <c r="D4145" s="11">
        <v>44435</v>
      </c>
      <c r="E4145" t="s">
        <v>16</v>
      </c>
      <c r="F4145" t="s">
        <v>12</v>
      </c>
      <c r="G4145">
        <v>752131</v>
      </c>
      <c r="H4145">
        <v>5500022338</v>
      </c>
      <c r="I4145">
        <v>10</v>
      </c>
      <c r="J4145" s="29">
        <v>1</v>
      </c>
      <c r="K4145" s="29" t="s">
        <v>602</v>
      </c>
      <c r="L4145" t="str">
        <f>IFERROR(VLOOKUP(Detalle_OC[[#This Row],[Centro]]&amp;Detalle_OC[[#This Row],[Nro Almacen]],Almacen!A:D,4,FALSE),"")</f>
        <v>Montelima</v>
      </c>
    </row>
    <row r="4146" spans="1:12" x14ac:dyDescent="0.3">
      <c r="A4146" s="29" t="str">
        <f>Detalle_OC[[#This Row],[Centro]]&amp;Detalle_OC[[#This Row],[Nom Almacen]]&amp;Detalle_OC[[#This Row],[Material]]&amp;Detalle_OC[[#This Row],[Pedido]]&amp;Detalle_OC[[#This Row],[Posicion]]</f>
        <v>Agricola del Chira PlantaMontelima709179550002233820</v>
      </c>
      <c r="B4146" t="s">
        <v>28</v>
      </c>
      <c r="C4146" t="s">
        <v>84</v>
      </c>
      <c r="D4146" s="11">
        <v>44435</v>
      </c>
      <c r="E4146" t="s">
        <v>16</v>
      </c>
      <c r="F4146" t="s">
        <v>12</v>
      </c>
      <c r="G4146">
        <v>709179</v>
      </c>
      <c r="H4146">
        <v>5500022338</v>
      </c>
      <c r="I4146">
        <v>20</v>
      </c>
      <c r="J4146" s="29">
        <v>1</v>
      </c>
      <c r="K4146" s="29" t="s">
        <v>602</v>
      </c>
      <c r="L4146" t="str">
        <f>IFERROR(VLOOKUP(Detalle_OC[[#This Row],[Centro]]&amp;Detalle_OC[[#This Row],[Nro Almacen]],Almacen!A:D,4,FALSE),"")</f>
        <v>Montelima</v>
      </c>
    </row>
    <row r="4147" spans="1:12" x14ac:dyDescent="0.3">
      <c r="A4147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4147" t="s">
        <v>28</v>
      </c>
      <c r="C4147" t="s">
        <v>84</v>
      </c>
      <c r="D4147" s="11">
        <v>44435</v>
      </c>
      <c r="E4147" t="s">
        <v>16</v>
      </c>
      <c r="F4147" t="s">
        <v>12</v>
      </c>
      <c r="G4147">
        <v>801846</v>
      </c>
      <c r="H4147">
        <v>5500022338</v>
      </c>
      <c r="I4147">
        <v>40</v>
      </c>
      <c r="J4147" s="29">
        <v>1</v>
      </c>
      <c r="K4147" s="29" t="s">
        <v>602</v>
      </c>
      <c r="L4147" t="str">
        <f>IFERROR(VLOOKUP(Detalle_OC[[#This Row],[Centro]]&amp;Detalle_OC[[#This Row],[Nro Almacen]],Almacen!A:D,4,FALSE),"")</f>
        <v>Montelima</v>
      </c>
    </row>
    <row r="4148" spans="1:12" x14ac:dyDescent="0.3">
      <c r="A4148" s="29" t="str">
        <f>Detalle_OC[[#This Row],[Centro]]&amp;Detalle_OC[[#This Row],[Nom Almacen]]&amp;Detalle_OC[[#This Row],[Material]]&amp;Detalle_OC[[#This Row],[Pedido]]&amp;Detalle_OC[[#This Row],[Posicion]]</f>
        <v>Agricola del Chira PlantaMontelima70032053550002233880</v>
      </c>
      <c r="B4148" t="s">
        <v>28</v>
      </c>
      <c r="C4148" t="s">
        <v>84</v>
      </c>
      <c r="D4148" s="11">
        <v>44435</v>
      </c>
      <c r="E4148" t="s">
        <v>16</v>
      </c>
      <c r="F4148" t="s">
        <v>12</v>
      </c>
      <c r="G4148">
        <v>70032053</v>
      </c>
      <c r="H4148">
        <v>5500022338</v>
      </c>
      <c r="I4148">
        <v>80</v>
      </c>
      <c r="J4148" s="29">
        <v>1</v>
      </c>
      <c r="K4148" s="29" t="s">
        <v>602</v>
      </c>
      <c r="L4148" t="str">
        <f>IFERROR(VLOOKUP(Detalle_OC[[#This Row],[Centro]]&amp;Detalle_OC[[#This Row],[Nro Almacen]],Almacen!A:D,4,FALSE),"")</f>
        <v>Montelima</v>
      </c>
    </row>
    <row r="4149" spans="1:12" x14ac:dyDescent="0.3">
      <c r="A4149" s="29" t="str">
        <f>Detalle_OC[[#This Row],[Centro]]&amp;Detalle_OC[[#This Row],[Nom Almacen]]&amp;Detalle_OC[[#This Row],[Material]]&amp;Detalle_OC[[#This Row],[Pedido]]&amp;Detalle_OC[[#This Row],[Posicion]]</f>
        <v>Agricola del Chira PlantaMontelima8445285500019188360</v>
      </c>
      <c r="B4149" t="s">
        <v>28</v>
      </c>
      <c r="C4149" t="s">
        <v>82</v>
      </c>
      <c r="D4149" s="11">
        <v>44428</v>
      </c>
      <c r="E4149" t="s">
        <v>16</v>
      </c>
      <c r="F4149" t="s">
        <v>12</v>
      </c>
      <c r="G4149">
        <v>844528</v>
      </c>
      <c r="H4149">
        <v>5500019188</v>
      </c>
      <c r="I4149">
        <v>360</v>
      </c>
      <c r="J4149" s="29">
        <v>1</v>
      </c>
      <c r="K4149" s="29" t="s">
        <v>603</v>
      </c>
      <c r="L4149" t="str">
        <f>IFERROR(VLOOKUP(Detalle_OC[[#This Row],[Centro]]&amp;Detalle_OC[[#This Row],[Nro Almacen]],Almacen!A:D,4,FALSE),"")</f>
        <v>Montelima</v>
      </c>
    </row>
    <row r="4150" spans="1:12" x14ac:dyDescent="0.3">
      <c r="A4150" s="29" t="str">
        <f>Detalle_OC[[#This Row],[Centro]]&amp;Detalle_OC[[#This Row],[Nom Almacen]]&amp;Detalle_OC[[#This Row],[Material]]&amp;Detalle_OC[[#This Row],[Pedido]]&amp;Detalle_OC[[#This Row],[Posicion]]</f>
        <v>Agricola del Chira PlantaMontelima8445205500019188520</v>
      </c>
      <c r="B4150" t="s">
        <v>28</v>
      </c>
      <c r="C4150" t="s">
        <v>82</v>
      </c>
      <c r="D4150" s="11">
        <v>44431</v>
      </c>
      <c r="E4150" t="s">
        <v>16</v>
      </c>
      <c r="F4150" t="s">
        <v>12</v>
      </c>
      <c r="G4150">
        <v>844520</v>
      </c>
      <c r="H4150">
        <v>5500019188</v>
      </c>
      <c r="I4150">
        <v>520</v>
      </c>
      <c r="J4150" s="29">
        <v>1</v>
      </c>
      <c r="K4150" s="29" t="s">
        <v>603</v>
      </c>
      <c r="L4150" t="str">
        <f>IFERROR(VLOOKUP(Detalle_OC[[#This Row],[Centro]]&amp;Detalle_OC[[#This Row],[Nro Almacen]],Almacen!A:D,4,FALSE),"")</f>
        <v>Montelima</v>
      </c>
    </row>
    <row r="4151" spans="1:12" x14ac:dyDescent="0.3">
      <c r="A4151" s="29" t="str">
        <f>Detalle_OC[[#This Row],[Centro]]&amp;Detalle_OC[[#This Row],[Nom Almacen]]&amp;Detalle_OC[[#This Row],[Material]]&amp;Detalle_OC[[#This Row],[Pedido]]&amp;Detalle_OC[[#This Row],[Posicion]]</f>
        <v>Agricola del Chira PlantaMontelima83106655000191881040</v>
      </c>
      <c r="B4151" t="s">
        <v>28</v>
      </c>
      <c r="C4151" t="s">
        <v>82</v>
      </c>
      <c r="D4151" s="11">
        <v>44501</v>
      </c>
      <c r="E4151" t="s">
        <v>16</v>
      </c>
      <c r="F4151" t="s">
        <v>12</v>
      </c>
      <c r="G4151">
        <v>831066</v>
      </c>
      <c r="H4151">
        <v>5500019188</v>
      </c>
      <c r="I4151">
        <v>1040</v>
      </c>
      <c r="J4151" s="29">
        <v>1</v>
      </c>
      <c r="K4151" s="29" t="s">
        <v>603</v>
      </c>
      <c r="L4151" t="str">
        <f>IFERROR(VLOOKUP(Detalle_OC[[#This Row],[Centro]]&amp;Detalle_OC[[#This Row],[Nro Almacen]],Almacen!A:D,4,FALSE),"")</f>
        <v>Montelima</v>
      </c>
    </row>
    <row r="4152" spans="1:12" x14ac:dyDescent="0.3">
      <c r="A4152" s="29" t="str">
        <f>Detalle_OC[[#This Row],[Centro]]&amp;Detalle_OC[[#This Row],[Nom Almacen]]&amp;Detalle_OC[[#This Row],[Material]]&amp;Detalle_OC[[#This Row],[Pedido]]&amp;Detalle_OC[[#This Row],[Posicion]]</f>
        <v>Agricola del Chira PlantaMontelima8445185500019188270</v>
      </c>
      <c r="B4152" t="s">
        <v>28</v>
      </c>
      <c r="C4152" t="s">
        <v>82</v>
      </c>
      <c r="D4152" s="11">
        <v>44429</v>
      </c>
      <c r="E4152" t="s">
        <v>16</v>
      </c>
      <c r="F4152" t="s">
        <v>12</v>
      </c>
      <c r="G4152">
        <v>844518</v>
      </c>
      <c r="H4152">
        <v>5500019188</v>
      </c>
      <c r="I4152">
        <v>270</v>
      </c>
      <c r="J4152" s="29">
        <v>1</v>
      </c>
      <c r="K4152" s="29" t="s">
        <v>604</v>
      </c>
      <c r="L4152" t="str">
        <f>IFERROR(VLOOKUP(Detalle_OC[[#This Row],[Centro]]&amp;Detalle_OC[[#This Row],[Nro Almacen]],Almacen!A:D,4,FALSE),"")</f>
        <v>Montelima</v>
      </c>
    </row>
    <row r="4153" spans="1:12" x14ac:dyDescent="0.3">
      <c r="A4153" s="29" t="str">
        <f>Detalle_OC[[#This Row],[Centro]]&amp;Detalle_OC[[#This Row],[Nom Almacen]]&amp;Detalle_OC[[#This Row],[Material]]&amp;Detalle_OC[[#This Row],[Pedido]]&amp;Detalle_OC[[#This Row],[Posicion]]</f>
        <v>Agricola del Chira PlantaMontelima84557255000191881300</v>
      </c>
      <c r="B4153" t="s">
        <v>28</v>
      </c>
      <c r="C4153" t="s">
        <v>82</v>
      </c>
      <c r="D4153" s="11">
        <v>44429</v>
      </c>
      <c r="E4153" t="s">
        <v>16</v>
      </c>
      <c r="F4153" t="s">
        <v>12</v>
      </c>
      <c r="G4153">
        <v>845572</v>
      </c>
      <c r="H4153">
        <v>5500019188</v>
      </c>
      <c r="I4153">
        <v>1300</v>
      </c>
      <c r="J4153" s="29">
        <v>1</v>
      </c>
      <c r="K4153" s="29" t="s">
        <v>604</v>
      </c>
      <c r="L4153" t="str">
        <f>IFERROR(VLOOKUP(Detalle_OC[[#This Row],[Centro]]&amp;Detalle_OC[[#This Row],[Nro Almacen]],Almacen!A:D,4,FALSE),"")</f>
        <v>Montelima</v>
      </c>
    </row>
    <row r="4154" spans="1:12" x14ac:dyDescent="0.3">
      <c r="A4154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4154" t="s">
        <v>28</v>
      </c>
      <c r="C4154" t="s">
        <v>82</v>
      </c>
      <c r="D4154" s="11">
        <v>44428</v>
      </c>
      <c r="E4154" t="s">
        <v>16</v>
      </c>
      <c r="F4154" t="s">
        <v>12</v>
      </c>
      <c r="G4154">
        <v>844516</v>
      </c>
      <c r="H4154">
        <v>5500019188</v>
      </c>
      <c r="I4154">
        <v>190</v>
      </c>
      <c r="J4154" s="29">
        <v>1</v>
      </c>
      <c r="K4154" s="29" t="s">
        <v>605</v>
      </c>
      <c r="L4154" t="str">
        <f>IFERROR(VLOOKUP(Detalle_OC[[#This Row],[Centro]]&amp;Detalle_OC[[#This Row],[Nro Almacen]],Almacen!A:D,4,FALSE),"")</f>
        <v>Montelima</v>
      </c>
    </row>
    <row r="4155" spans="1:12" x14ac:dyDescent="0.3">
      <c r="A4155" s="29" t="str">
        <f>Detalle_OC[[#This Row],[Centro]]&amp;Detalle_OC[[#This Row],[Nom Almacen]]&amp;Detalle_OC[[#This Row],[Material]]&amp;Detalle_OC[[#This Row],[Pedido]]&amp;Detalle_OC[[#This Row],[Posicion]]</f>
        <v>Agricola del Chira PlantaMontelima8445025500019188250</v>
      </c>
      <c r="B4155" t="s">
        <v>28</v>
      </c>
      <c r="C4155" t="s">
        <v>82</v>
      </c>
      <c r="D4155" s="11">
        <v>44428</v>
      </c>
      <c r="E4155" t="s">
        <v>16</v>
      </c>
      <c r="F4155" t="s">
        <v>12</v>
      </c>
      <c r="G4155">
        <v>844502</v>
      </c>
      <c r="H4155">
        <v>5500019188</v>
      </c>
      <c r="I4155">
        <v>250</v>
      </c>
      <c r="J4155" s="29">
        <v>1</v>
      </c>
      <c r="K4155" s="29" t="s">
        <v>605</v>
      </c>
      <c r="L4155" t="str">
        <f>IFERROR(VLOOKUP(Detalle_OC[[#This Row],[Centro]]&amp;Detalle_OC[[#This Row],[Nro Almacen]],Almacen!A:D,4,FALSE),"")</f>
        <v>Montelima</v>
      </c>
    </row>
    <row r="4156" spans="1:12" x14ac:dyDescent="0.3">
      <c r="A4156" s="29" t="str">
        <f>Detalle_OC[[#This Row],[Centro]]&amp;Detalle_OC[[#This Row],[Nom Almacen]]&amp;Detalle_OC[[#This Row],[Material]]&amp;Detalle_OC[[#This Row],[Pedido]]&amp;Detalle_OC[[#This Row],[Posicion]]</f>
        <v>Agricola del Chira PlantaMontelima8445365500019188330</v>
      </c>
      <c r="B4156" t="s">
        <v>28</v>
      </c>
      <c r="C4156" t="s">
        <v>82</v>
      </c>
      <c r="D4156" s="11">
        <v>44428</v>
      </c>
      <c r="E4156" t="s">
        <v>16</v>
      </c>
      <c r="F4156" t="s">
        <v>12</v>
      </c>
      <c r="G4156">
        <v>844536</v>
      </c>
      <c r="H4156">
        <v>5500019188</v>
      </c>
      <c r="I4156">
        <v>330</v>
      </c>
      <c r="J4156" s="29">
        <v>1</v>
      </c>
      <c r="K4156" s="29" t="s">
        <v>605</v>
      </c>
      <c r="L4156" t="str">
        <f>IFERROR(VLOOKUP(Detalle_OC[[#This Row],[Centro]]&amp;Detalle_OC[[#This Row],[Nro Almacen]],Almacen!A:D,4,FALSE),"")</f>
        <v>Montelima</v>
      </c>
    </row>
    <row r="4157" spans="1:12" x14ac:dyDescent="0.3">
      <c r="A4157" s="29" t="str">
        <f>Detalle_OC[[#This Row],[Centro]]&amp;Detalle_OC[[#This Row],[Nom Almacen]]&amp;Detalle_OC[[#This Row],[Material]]&amp;Detalle_OC[[#This Row],[Pedido]]&amp;Detalle_OC[[#This Row],[Posicion]]</f>
        <v>Agricola del Chira PlantaMontelima82719955000191881020</v>
      </c>
      <c r="B4157" t="s">
        <v>28</v>
      </c>
      <c r="C4157" t="s">
        <v>82</v>
      </c>
      <c r="D4157" s="11">
        <v>44428</v>
      </c>
      <c r="E4157" t="s">
        <v>16</v>
      </c>
      <c r="F4157" t="s">
        <v>12</v>
      </c>
      <c r="G4157">
        <v>827199</v>
      </c>
      <c r="H4157">
        <v>5500019188</v>
      </c>
      <c r="I4157">
        <v>1020</v>
      </c>
      <c r="J4157" s="29">
        <v>1</v>
      </c>
      <c r="K4157" s="29" t="s">
        <v>605</v>
      </c>
      <c r="L4157" t="str">
        <f>IFERROR(VLOOKUP(Detalle_OC[[#This Row],[Centro]]&amp;Detalle_OC[[#This Row],[Nro Almacen]],Almacen!A:D,4,FALSE),"")</f>
        <v>Montelima</v>
      </c>
    </row>
    <row r="4158" spans="1:12" x14ac:dyDescent="0.3">
      <c r="A4158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4158" t="s">
        <v>28</v>
      </c>
      <c r="C4158" t="s">
        <v>84</v>
      </c>
      <c r="D4158" s="11">
        <v>44428</v>
      </c>
      <c r="E4158" t="s">
        <v>16</v>
      </c>
      <c r="F4158" t="s">
        <v>85</v>
      </c>
      <c r="G4158">
        <v>801846</v>
      </c>
      <c r="H4158">
        <v>5500022336</v>
      </c>
      <c r="I4158">
        <v>10</v>
      </c>
      <c r="J4158" s="29">
        <v>1</v>
      </c>
      <c r="K4158" s="29" t="s">
        <v>605</v>
      </c>
      <c r="L4158" t="str">
        <f>IFERROR(VLOOKUP(Detalle_OC[[#This Row],[Centro]]&amp;Detalle_OC[[#This Row],[Nro Almacen]],Almacen!A:D,4,FALSE),"")</f>
        <v>Montelima</v>
      </c>
    </row>
    <row r="4159" spans="1:12" x14ac:dyDescent="0.3">
      <c r="A4159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4159" t="s">
        <v>28</v>
      </c>
      <c r="C4159" t="s">
        <v>84</v>
      </c>
      <c r="D4159" s="11">
        <v>44428</v>
      </c>
      <c r="E4159" t="s">
        <v>16</v>
      </c>
      <c r="F4159" t="s">
        <v>12</v>
      </c>
      <c r="G4159">
        <v>801846</v>
      </c>
      <c r="H4159">
        <v>5500022338</v>
      </c>
      <c r="I4159">
        <v>40</v>
      </c>
      <c r="J4159" s="29">
        <v>1</v>
      </c>
      <c r="K4159" s="29" t="s">
        <v>605</v>
      </c>
      <c r="L4159" t="str">
        <f>IFERROR(VLOOKUP(Detalle_OC[[#This Row],[Centro]]&amp;Detalle_OC[[#This Row],[Nro Almacen]],Almacen!A:D,4,FALSE),"")</f>
        <v>Montelima</v>
      </c>
    </row>
    <row r="4160" spans="1:12" x14ac:dyDescent="0.3">
      <c r="A4160" s="29" t="str">
        <f>Detalle_OC[[#This Row],[Centro]]&amp;Detalle_OC[[#This Row],[Nom Almacen]]&amp;Detalle_OC[[#This Row],[Material]]&amp;Detalle_OC[[#This Row],[Pedido]]&amp;Detalle_OC[[#This Row],[Posicion]]</f>
        <v>Agricola del Chira PlantaMontelima813224550002233870</v>
      </c>
      <c r="B4160" t="s">
        <v>28</v>
      </c>
      <c r="C4160" t="s">
        <v>84</v>
      </c>
      <c r="D4160" s="11">
        <v>44428</v>
      </c>
      <c r="E4160" t="s">
        <v>16</v>
      </c>
      <c r="F4160" t="s">
        <v>12</v>
      </c>
      <c r="G4160">
        <v>813224</v>
      </c>
      <c r="H4160">
        <v>5500022338</v>
      </c>
      <c r="I4160">
        <v>70</v>
      </c>
      <c r="J4160" s="29">
        <v>1</v>
      </c>
      <c r="K4160" s="29" t="s">
        <v>605</v>
      </c>
      <c r="L4160" t="str">
        <f>IFERROR(VLOOKUP(Detalle_OC[[#This Row],[Centro]]&amp;Detalle_OC[[#This Row],[Nro Almacen]],Almacen!A:D,4,FALSE),"")</f>
        <v>Montelima</v>
      </c>
    </row>
    <row r="4161" spans="1:12" x14ac:dyDescent="0.3">
      <c r="A4161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4161" t="s">
        <v>28</v>
      </c>
      <c r="C4161" t="s">
        <v>84</v>
      </c>
      <c r="D4161" s="11">
        <v>44426</v>
      </c>
      <c r="E4161" t="s">
        <v>16</v>
      </c>
      <c r="F4161" t="s">
        <v>85</v>
      </c>
      <c r="G4161">
        <v>801846</v>
      </c>
      <c r="H4161">
        <v>5500022336</v>
      </c>
      <c r="I4161">
        <v>10</v>
      </c>
      <c r="J4161" s="29">
        <v>1</v>
      </c>
      <c r="K4161" s="29" t="s">
        <v>606</v>
      </c>
      <c r="L4161" t="str">
        <f>IFERROR(VLOOKUP(Detalle_OC[[#This Row],[Centro]]&amp;Detalle_OC[[#This Row],[Nro Almacen]],Almacen!A:D,4,FALSE),"")</f>
        <v>Montelima</v>
      </c>
    </row>
    <row r="4162" spans="1:12" x14ac:dyDescent="0.3">
      <c r="A4162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4162" t="s">
        <v>28</v>
      </c>
      <c r="C4162" t="s">
        <v>84</v>
      </c>
      <c r="D4162" s="11">
        <v>44426</v>
      </c>
      <c r="E4162" t="s">
        <v>16</v>
      </c>
      <c r="F4162" t="s">
        <v>85</v>
      </c>
      <c r="G4162">
        <v>806591</v>
      </c>
      <c r="H4162">
        <v>5500022336</v>
      </c>
      <c r="I4162">
        <v>20</v>
      </c>
      <c r="J4162" s="29">
        <v>1</v>
      </c>
      <c r="K4162" s="29" t="s">
        <v>606</v>
      </c>
      <c r="L4162" t="str">
        <f>IFERROR(VLOOKUP(Detalle_OC[[#This Row],[Centro]]&amp;Detalle_OC[[#This Row],[Nro Almacen]],Almacen!A:D,4,FALSE),"")</f>
        <v>Montelima</v>
      </c>
    </row>
    <row r="4163" spans="1:12" x14ac:dyDescent="0.3">
      <c r="A4163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4163" t="s">
        <v>28</v>
      </c>
      <c r="C4163" t="s">
        <v>82</v>
      </c>
      <c r="D4163" s="11">
        <v>44411</v>
      </c>
      <c r="E4163" t="s">
        <v>16</v>
      </c>
      <c r="F4163" t="s">
        <v>12</v>
      </c>
      <c r="G4163">
        <v>844523</v>
      </c>
      <c r="H4163">
        <v>5500019188</v>
      </c>
      <c r="I4163">
        <v>140</v>
      </c>
      <c r="J4163" s="29">
        <v>1</v>
      </c>
      <c r="K4163" s="29" t="s">
        <v>607</v>
      </c>
      <c r="L4163" t="str">
        <f>IFERROR(VLOOKUP(Detalle_OC[[#This Row],[Centro]]&amp;Detalle_OC[[#This Row],[Nro Almacen]],Almacen!A:D,4,FALSE),"")</f>
        <v>Montelima</v>
      </c>
    </row>
    <row r="4164" spans="1:12" x14ac:dyDescent="0.3">
      <c r="A4164" s="29" t="str">
        <f>Detalle_OC[[#This Row],[Centro]]&amp;Detalle_OC[[#This Row],[Nom Almacen]]&amp;Detalle_OC[[#This Row],[Material]]&amp;Detalle_OC[[#This Row],[Pedido]]&amp;Detalle_OC[[#This Row],[Posicion]]</f>
        <v>Agricola del Chira PlantaMontelima808069550002233830</v>
      </c>
      <c r="B4164" t="s">
        <v>28</v>
      </c>
      <c r="C4164" t="s">
        <v>84</v>
      </c>
      <c r="D4164" s="11">
        <v>44411</v>
      </c>
      <c r="E4164" t="s">
        <v>16</v>
      </c>
      <c r="F4164" t="s">
        <v>12</v>
      </c>
      <c r="G4164">
        <v>808069</v>
      </c>
      <c r="H4164">
        <v>5500022338</v>
      </c>
      <c r="I4164">
        <v>30</v>
      </c>
      <c r="J4164" s="29">
        <v>1</v>
      </c>
      <c r="K4164" s="29" t="s">
        <v>607</v>
      </c>
      <c r="L4164" t="str">
        <f>IFERROR(VLOOKUP(Detalle_OC[[#This Row],[Centro]]&amp;Detalle_OC[[#This Row],[Nro Almacen]],Almacen!A:D,4,FALSE),"")</f>
        <v>Montelima</v>
      </c>
    </row>
    <row r="4165" spans="1:12" x14ac:dyDescent="0.3">
      <c r="A4165" s="29" t="str">
        <f>Detalle_OC[[#This Row],[Centro]]&amp;Detalle_OC[[#This Row],[Nom Almacen]]&amp;Detalle_OC[[#This Row],[Material]]&amp;Detalle_OC[[#This Row],[Pedido]]&amp;Detalle_OC[[#This Row],[Posicion]]</f>
        <v>Agricola del Chira PlantaMontelima726335550002233860</v>
      </c>
      <c r="B4165" t="s">
        <v>28</v>
      </c>
      <c r="C4165" t="s">
        <v>84</v>
      </c>
      <c r="D4165" s="11">
        <v>44410</v>
      </c>
      <c r="E4165" t="s">
        <v>16</v>
      </c>
      <c r="F4165" t="s">
        <v>12</v>
      </c>
      <c r="G4165">
        <v>726335</v>
      </c>
      <c r="H4165">
        <v>5500022338</v>
      </c>
      <c r="I4165">
        <v>60</v>
      </c>
      <c r="J4165" s="29">
        <v>1</v>
      </c>
      <c r="K4165" s="29" t="s">
        <v>607</v>
      </c>
      <c r="L4165" t="str">
        <f>IFERROR(VLOOKUP(Detalle_OC[[#This Row],[Centro]]&amp;Detalle_OC[[#This Row],[Nro Almacen]],Almacen!A:D,4,FALSE),"")</f>
        <v>Montelima</v>
      </c>
    </row>
    <row r="4166" spans="1:12" x14ac:dyDescent="0.3">
      <c r="A4166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4166" t="s">
        <v>28</v>
      </c>
      <c r="C4166" t="s">
        <v>84</v>
      </c>
      <c r="D4166" s="11">
        <v>44410</v>
      </c>
      <c r="E4166" t="s">
        <v>16</v>
      </c>
      <c r="F4166" t="s">
        <v>85</v>
      </c>
      <c r="G4166">
        <v>806591</v>
      </c>
      <c r="H4166">
        <v>5500022336</v>
      </c>
      <c r="I4166">
        <v>20</v>
      </c>
      <c r="J4166" s="29">
        <v>1</v>
      </c>
      <c r="K4166" s="29" t="s">
        <v>608</v>
      </c>
      <c r="L4166" t="str">
        <f>IFERROR(VLOOKUP(Detalle_OC[[#This Row],[Centro]]&amp;Detalle_OC[[#This Row],[Nro Almacen]],Almacen!A:D,4,FALSE),"")</f>
        <v>Montelima</v>
      </c>
    </row>
    <row r="4167" spans="1:12" x14ac:dyDescent="0.3">
      <c r="A4167" s="29" t="str">
        <f>Detalle_OC[[#This Row],[Centro]]&amp;Detalle_OC[[#This Row],[Nom Almacen]]&amp;Detalle_OC[[#This Row],[Material]]&amp;Detalle_OC[[#This Row],[Pedido]]&amp;Detalle_OC[[#This Row],[Posicion]]</f>
        <v>Sucroalcolera del Chira PlantaMontelima813224550002233650</v>
      </c>
      <c r="B4167" t="s">
        <v>28</v>
      </c>
      <c r="C4167" t="s">
        <v>84</v>
      </c>
      <c r="D4167" s="11">
        <v>44410</v>
      </c>
      <c r="E4167" t="s">
        <v>16</v>
      </c>
      <c r="F4167" t="s">
        <v>85</v>
      </c>
      <c r="G4167">
        <v>813224</v>
      </c>
      <c r="H4167">
        <v>5500022336</v>
      </c>
      <c r="I4167">
        <v>50</v>
      </c>
      <c r="J4167" s="29">
        <v>1</v>
      </c>
      <c r="K4167" s="29" t="s">
        <v>608</v>
      </c>
      <c r="L4167" t="str">
        <f>IFERROR(VLOOKUP(Detalle_OC[[#This Row],[Centro]]&amp;Detalle_OC[[#This Row],[Nro Almacen]],Almacen!A:D,4,FALSE),"")</f>
        <v>Montelima</v>
      </c>
    </row>
    <row r="4168" spans="1:12" x14ac:dyDescent="0.3">
      <c r="A4168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4168" t="s">
        <v>28</v>
      </c>
      <c r="C4168" t="s">
        <v>84</v>
      </c>
      <c r="D4168" s="11">
        <v>44407</v>
      </c>
      <c r="E4168" t="s">
        <v>16</v>
      </c>
      <c r="F4168" t="s">
        <v>85</v>
      </c>
      <c r="G4168">
        <v>801846</v>
      </c>
      <c r="H4168">
        <v>5500022336</v>
      </c>
      <c r="I4168">
        <v>10</v>
      </c>
      <c r="J4168" s="29">
        <v>1</v>
      </c>
      <c r="K4168" s="29" t="s">
        <v>609</v>
      </c>
      <c r="L4168" t="str">
        <f>IFERROR(VLOOKUP(Detalle_OC[[#This Row],[Centro]]&amp;Detalle_OC[[#This Row],[Nro Almacen]],Almacen!A:D,4,FALSE),"")</f>
        <v>Montelima</v>
      </c>
    </row>
    <row r="4169" spans="1:12" x14ac:dyDescent="0.3">
      <c r="A4169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4169" t="s">
        <v>28</v>
      </c>
      <c r="C4169" t="s">
        <v>84</v>
      </c>
      <c r="D4169" s="11">
        <v>44407</v>
      </c>
      <c r="E4169" t="s">
        <v>16</v>
      </c>
      <c r="F4169" t="s">
        <v>85</v>
      </c>
      <c r="G4169">
        <v>806591</v>
      </c>
      <c r="H4169">
        <v>5500022336</v>
      </c>
      <c r="I4169">
        <v>20</v>
      </c>
      <c r="J4169" s="29">
        <v>1</v>
      </c>
      <c r="K4169" s="29" t="s">
        <v>609</v>
      </c>
      <c r="L4169" t="str">
        <f>IFERROR(VLOOKUP(Detalle_OC[[#This Row],[Centro]]&amp;Detalle_OC[[#This Row],[Nro Almacen]],Almacen!A:D,4,FALSE),"")</f>
        <v>Montelima</v>
      </c>
    </row>
    <row r="4170" spans="1:12" x14ac:dyDescent="0.3">
      <c r="A4170" s="29" t="str">
        <f>Detalle_OC[[#This Row],[Centro]]&amp;Detalle_OC[[#This Row],[Nom Almacen]]&amp;Detalle_OC[[#This Row],[Material]]&amp;Detalle_OC[[#This Row],[Pedido]]&amp;Detalle_OC[[#This Row],[Posicion]]</f>
        <v>Agricola del Chira PlantaMontelima709179550002233820</v>
      </c>
      <c r="B4170" t="s">
        <v>28</v>
      </c>
      <c r="C4170" t="s">
        <v>84</v>
      </c>
      <c r="D4170" s="11">
        <v>44400</v>
      </c>
      <c r="E4170" t="s">
        <v>16</v>
      </c>
      <c r="F4170" t="s">
        <v>12</v>
      </c>
      <c r="G4170">
        <v>709179</v>
      </c>
      <c r="H4170">
        <v>5500022338</v>
      </c>
      <c r="I4170">
        <v>20</v>
      </c>
      <c r="J4170" s="29">
        <v>1</v>
      </c>
      <c r="K4170" s="29" t="s">
        <v>610</v>
      </c>
      <c r="L4170" t="str">
        <f>IFERROR(VLOOKUP(Detalle_OC[[#This Row],[Centro]]&amp;Detalle_OC[[#This Row],[Nro Almacen]],Almacen!A:D,4,FALSE),"")</f>
        <v>Montelima</v>
      </c>
    </row>
    <row r="4171" spans="1:12" x14ac:dyDescent="0.3">
      <c r="A4171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4171" t="s">
        <v>28</v>
      </c>
      <c r="C4171" t="s">
        <v>84</v>
      </c>
      <c r="D4171" s="11">
        <v>44379</v>
      </c>
      <c r="E4171" t="s">
        <v>16</v>
      </c>
      <c r="F4171" t="s">
        <v>85</v>
      </c>
      <c r="G4171">
        <v>801846</v>
      </c>
      <c r="H4171">
        <v>5500022336</v>
      </c>
      <c r="I4171">
        <v>10</v>
      </c>
      <c r="J4171" s="29">
        <v>1</v>
      </c>
      <c r="K4171" s="29" t="s">
        <v>611</v>
      </c>
      <c r="L4171" t="str">
        <f>IFERROR(VLOOKUP(Detalle_OC[[#This Row],[Centro]]&amp;Detalle_OC[[#This Row],[Nro Almacen]],Almacen!A:D,4,FALSE),"")</f>
        <v>Montelima</v>
      </c>
    </row>
    <row r="4172" spans="1:12" x14ac:dyDescent="0.3">
      <c r="A4172" s="29" t="str">
        <f>Detalle_OC[[#This Row],[Centro]]&amp;Detalle_OC[[#This Row],[Nom Almacen]]&amp;Detalle_OC[[#This Row],[Material]]&amp;Detalle_OC[[#This Row],[Pedido]]&amp;Detalle_OC[[#This Row],[Posicion]]</f>
        <v>Agricola del Chira PlantaMontelima808069550002233830</v>
      </c>
      <c r="B4172" t="s">
        <v>28</v>
      </c>
      <c r="C4172" t="s">
        <v>84</v>
      </c>
      <c r="D4172" s="11">
        <v>44379</v>
      </c>
      <c r="E4172" t="s">
        <v>16</v>
      </c>
      <c r="F4172" t="s">
        <v>12</v>
      </c>
      <c r="G4172">
        <v>808069</v>
      </c>
      <c r="H4172">
        <v>5500022338</v>
      </c>
      <c r="I4172">
        <v>30</v>
      </c>
      <c r="J4172" s="29">
        <v>1</v>
      </c>
      <c r="K4172" s="29" t="s">
        <v>611</v>
      </c>
      <c r="L4172" t="str">
        <f>IFERROR(VLOOKUP(Detalle_OC[[#This Row],[Centro]]&amp;Detalle_OC[[#This Row],[Nro Almacen]],Almacen!A:D,4,FALSE),"")</f>
        <v>Montelima</v>
      </c>
    </row>
    <row r="4173" spans="1:12" x14ac:dyDescent="0.3">
      <c r="A4173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4173" t="s">
        <v>28</v>
      </c>
      <c r="C4173" t="s">
        <v>84</v>
      </c>
      <c r="D4173" s="11">
        <v>44379</v>
      </c>
      <c r="E4173" t="s">
        <v>16</v>
      </c>
      <c r="F4173" t="s">
        <v>12</v>
      </c>
      <c r="G4173">
        <v>801846</v>
      </c>
      <c r="H4173">
        <v>5500022338</v>
      </c>
      <c r="I4173">
        <v>40</v>
      </c>
      <c r="J4173" s="29">
        <v>1</v>
      </c>
      <c r="K4173" s="29" t="s">
        <v>611</v>
      </c>
      <c r="L4173" t="str">
        <f>IFERROR(VLOOKUP(Detalle_OC[[#This Row],[Centro]]&amp;Detalle_OC[[#This Row],[Nro Almacen]],Almacen!A:D,4,FALSE),"")</f>
        <v>Montelima</v>
      </c>
    </row>
    <row r="4174" spans="1:12" x14ac:dyDescent="0.3">
      <c r="A4174" s="29" t="str">
        <f>Detalle_OC[[#This Row],[Centro]]&amp;Detalle_OC[[#This Row],[Nom Almacen]]&amp;Detalle_OC[[#This Row],[Material]]&amp;Detalle_OC[[#This Row],[Pedido]]&amp;Detalle_OC[[#This Row],[Posicion]]</f>
        <v>Agricola del Chira PlantaMontelima738330550001918820</v>
      </c>
      <c r="B4174" t="s">
        <v>28</v>
      </c>
      <c r="C4174" t="s">
        <v>82</v>
      </c>
      <c r="D4174" s="11">
        <v>44377</v>
      </c>
      <c r="E4174" t="s">
        <v>16</v>
      </c>
      <c r="F4174" t="s">
        <v>12</v>
      </c>
      <c r="G4174">
        <v>738330</v>
      </c>
      <c r="H4174">
        <v>5500019188</v>
      </c>
      <c r="I4174">
        <v>20</v>
      </c>
      <c r="J4174" s="29">
        <v>1</v>
      </c>
      <c r="K4174" s="29" t="s">
        <v>612</v>
      </c>
      <c r="L4174" t="str">
        <f>IFERROR(VLOOKUP(Detalle_OC[[#This Row],[Centro]]&amp;Detalle_OC[[#This Row],[Nro Almacen]],Almacen!A:D,4,FALSE),"")</f>
        <v>Montelima</v>
      </c>
    </row>
    <row r="4175" spans="1:12" x14ac:dyDescent="0.3">
      <c r="A4175" s="29" t="str">
        <f>Detalle_OC[[#This Row],[Centro]]&amp;Detalle_OC[[#This Row],[Nom Almacen]]&amp;Detalle_OC[[#This Row],[Material]]&amp;Detalle_OC[[#This Row],[Pedido]]&amp;Detalle_OC[[#This Row],[Posicion]]</f>
        <v>Agricola del Chira PlantaMontelima7382475500019188100</v>
      </c>
      <c r="B4175" t="s">
        <v>28</v>
      </c>
      <c r="C4175" t="s">
        <v>82</v>
      </c>
      <c r="D4175" s="11">
        <v>44377</v>
      </c>
      <c r="E4175" t="s">
        <v>16</v>
      </c>
      <c r="F4175" t="s">
        <v>12</v>
      </c>
      <c r="G4175">
        <v>738247</v>
      </c>
      <c r="H4175">
        <v>5500019188</v>
      </c>
      <c r="I4175">
        <v>100</v>
      </c>
      <c r="J4175" s="29">
        <v>1</v>
      </c>
      <c r="K4175" s="29" t="s">
        <v>612</v>
      </c>
      <c r="L4175" t="str">
        <f>IFERROR(VLOOKUP(Detalle_OC[[#This Row],[Centro]]&amp;Detalle_OC[[#This Row],[Nro Almacen]],Almacen!A:D,4,FALSE),"")</f>
        <v>Montelima</v>
      </c>
    </row>
    <row r="4176" spans="1:12" x14ac:dyDescent="0.3">
      <c r="A4176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4176" t="s">
        <v>28</v>
      </c>
      <c r="C4176" t="s">
        <v>82</v>
      </c>
      <c r="D4176" s="11">
        <v>44377</v>
      </c>
      <c r="E4176" t="s">
        <v>16</v>
      </c>
      <c r="F4176" t="s">
        <v>12</v>
      </c>
      <c r="G4176">
        <v>844523</v>
      </c>
      <c r="H4176">
        <v>5500019188</v>
      </c>
      <c r="I4176">
        <v>140</v>
      </c>
      <c r="J4176" s="29">
        <v>1</v>
      </c>
      <c r="K4176" s="29" t="s">
        <v>612</v>
      </c>
      <c r="L4176" t="str">
        <f>IFERROR(VLOOKUP(Detalle_OC[[#This Row],[Centro]]&amp;Detalle_OC[[#This Row],[Nro Almacen]],Almacen!A:D,4,FALSE),"")</f>
        <v>Montelima</v>
      </c>
    </row>
    <row r="4177" spans="1:12" x14ac:dyDescent="0.3">
      <c r="A4177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4177" t="s">
        <v>28</v>
      </c>
      <c r="C4177" t="s">
        <v>82</v>
      </c>
      <c r="D4177" s="11">
        <v>44377</v>
      </c>
      <c r="E4177" t="s">
        <v>16</v>
      </c>
      <c r="F4177" t="s">
        <v>12</v>
      </c>
      <c r="G4177">
        <v>844523</v>
      </c>
      <c r="H4177">
        <v>5500019188</v>
      </c>
      <c r="I4177">
        <v>140</v>
      </c>
      <c r="J4177" s="29">
        <v>1</v>
      </c>
      <c r="K4177" s="29" t="s">
        <v>612</v>
      </c>
      <c r="L4177" t="str">
        <f>IFERROR(VLOOKUP(Detalle_OC[[#This Row],[Centro]]&amp;Detalle_OC[[#This Row],[Nro Almacen]],Almacen!A:D,4,FALSE),"")</f>
        <v>Montelima</v>
      </c>
    </row>
    <row r="4178" spans="1:12" x14ac:dyDescent="0.3">
      <c r="A4178" s="29" t="str">
        <f>Detalle_OC[[#This Row],[Centro]]&amp;Detalle_OC[[#This Row],[Nom Almacen]]&amp;Detalle_OC[[#This Row],[Material]]&amp;Detalle_OC[[#This Row],[Pedido]]&amp;Detalle_OC[[#This Row],[Posicion]]</f>
        <v>Agricola del Chira PlantaMontelima8449175500019188240</v>
      </c>
      <c r="B4178" t="s">
        <v>28</v>
      </c>
      <c r="C4178" t="s">
        <v>82</v>
      </c>
      <c r="D4178" s="11">
        <v>44377</v>
      </c>
      <c r="E4178" t="s">
        <v>16</v>
      </c>
      <c r="F4178" t="s">
        <v>12</v>
      </c>
      <c r="G4178">
        <v>844917</v>
      </c>
      <c r="H4178">
        <v>5500019188</v>
      </c>
      <c r="I4178">
        <v>240</v>
      </c>
      <c r="J4178" s="29">
        <v>1</v>
      </c>
      <c r="K4178" s="29" t="s">
        <v>612</v>
      </c>
      <c r="L4178" t="str">
        <f>IFERROR(VLOOKUP(Detalle_OC[[#This Row],[Centro]]&amp;Detalle_OC[[#This Row],[Nro Almacen]],Almacen!A:D,4,FALSE),"")</f>
        <v>Montelima</v>
      </c>
    </row>
    <row r="4179" spans="1:12" x14ac:dyDescent="0.3">
      <c r="A4179" s="29" t="str">
        <f>Detalle_OC[[#This Row],[Centro]]&amp;Detalle_OC[[#This Row],[Nom Almacen]]&amp;Detalle_OC[[#This Row],[Material]]&amp;Detalle_OC[[#This Row],[Pedido]]&amp;Detalle_OC[[#This Row],[Posicion]]</f>
        <v>Agricola del Chira PlantaMontelima8443975500019188280</v>
      </c>
      <c r="B4179" t="s">
        <v>28</v>
      </c>
      <c r="C4179" t="s">
        <v>82</v>
      </c>
      <c r="D4179" s="11">
        <v>44377</v>
      </c>
      <c r="E4179" t="s">
        <v>16</v>
      </c>
      <c r="F4179" t="s">
        <v>12</v>
      </c>
      <c r="G4179">
        <v>844397</v>
      </c>
      <c r="H4179">
        <v>5500019188</v>
      </c>
      <c r="I4179">
        <v>280</v>
      </c>
      <c r="J4179" s="29">
        <v>1</v>
      </c>
      <c r="K4179" s="29" t="s">
        <v>612</v>
      </c>
      <c r="L4179" t="str">
        <f>IFERROR(VLOOKUP(Detalle_OC[[#This Row],[Centro]]&amp;Detalle_OC[[#This Row],[Nro Almacen]],Almacen!A:D,4,FALSE),"")</f>
        <v>Montelima</v>
      </c>
    </row>
    <row r="4180" spans="1:12" x14ac:dyDescent="0.3">
      <c r="A4180" s="29" t="str">
        <f>Detalle_OC[[#This Row],[Centro]]&amp;Detalle_OC[[#This Row],[Nom Almacen]]&amp;Detalle_OC[[#This Row],[Material]]&amp;Detalle_OC[[#This Row],[Pedido]]&amp;Detalle_OC[[#This Row],[Posicion]]</f>
        <v>Agricola del Chira PlantaMontelima8445365500019188330</v>
      </c>
      <c r="B4180" t="s">
        <v>28</v>
      </c>
      <c r="C4180" t="s">
        <v>82</v>
      </c>
      <c r="D4180" s="11">
        <v>44377</v>
      </c>
      <c r="E4180" t="s">
        <v>16</v>
      </c>
      <c r="F4180" t="s">
        <v>12</v>
      </c>
      <c r="G4180">
        <v>844536</v>
      </c>
      <c r="H4180">
        <v>5500019188</v>
      </c>
      <c r="I4180">
        <v>330</v>
      </c>
      <c r="J4180" s="29">
        <v>1</v>
      </c>
      <c r="K4180" s="29" t="s">
        <v>612</v>
      </c>
      <c r="L4180" t="str">
        <f>IFERROR(VLOOKUP(Detalle_OC[[#This Row],[Centro]]&amp;Detalle_OC[[#This Row],[Nro Almacen]],Almacen!A:D,4,FALSE),"")</f>
        <v>Montelima</v>
      </c>
    </row>
    <row r="4181" spans="1:12" x14ac:dyDescent="0.3">
      <c r="A4181" s="29" t="str">
        <f>Detalle_OC[[#This Row],[Centro]]&amp;Detalle_OC[[#This Row],[Nom Almacen]]&amp;Detalle_OC[[#This Row],[Material]]&amp;Detalle_OC[[#This Row],[Pedido]]&amp;Detalle_OC[[#This Row],[Posicion]]</f>
        <v>Agricola del Chira PlantaMontelima8445045500019188480</v>
      </c>
      <c r="B4181" t="s">
        <v>28</v>
      </c>
      <c r="C4181" t="s">
        <v>82</v>
      </c>
      <c r="D4181" s="11">
        <v>44377</v>
      </c>
      <c r="E4181" t="s">
        <v>16</v>
      </c>
      <c r="F4181" t="s">
        <v>12</v>
      </c>
      <c r="G4181">
        <v>844504</v>
      </c>
      <c r="H4181">
        <v>5500019188</v>
      </c>
      <c r="I4181">
        <v>480</v>
      </c>
      <c r="J4181" s="29">
        <v>1</v>
      </c>
      <c r="K4181" s="29" t="s">
        <v>612</v>
      </c>
      <c r="L4181" t="str">
        <f>IFERROR(VLOOKUP(Detalle_OC[[#This Row],[Centro]]&amp;Detalle_OC[[#This Row],[Nro Almacen]],Almacen!A:D,4,FALSE),"")</f>
        <v>Montelima</v>
      </c>
    </row>
    <row r="4182" spans="1:12" x14ac:dyDescent="0.3">
      <c r="A4182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4182" t="s">
        <v>28</v>
      </c>
      <c r="C4182" t="s">
        <v>84</v>
      </c>
      <c r="D4182" s="11">
        <v>44357</v>
      </c>
      <c r="E4182" t="s">
        <v>16</v>
      </c>
      <c r="F4182" t="s">
        <v>12</v>
      </c>
      <c r="G4182">
        <v>801846</v>
      </c>
      <c r="H4182">
        <v>5500022338</v>
      </c>
      <c r="I4182">
        <v>40</v>
      </c>
      <c r="J4182" s="29">
        <v>1</v>
      </c>
      <c r="K4182" s="29" t="s">
        <v>613</v>
      </c>
      <c r="L4182" t="str">
        <f>IFERROR(VLOOKUP(Detalle_OC[[#This Row],[Centro]]&amp;Detalle_OC[[#This Row],[Nro Almacen]],Almacen!A:D,4,FALSE),"")</f>
        <v>Montelima</v>
      </c>
    </row>
    <row r="4183" spans="1:12" x14ac:dyDescent="0.3">
      <c r="A4183" s="29" t="str">
        <f>Detalle_OC[[#This Row],[Centro]]&amp;Detalle_OC[[#This Row],[Nom Almacen]]&amp;Detalle_OC[[#This Row],[Material]]&amp;Detalle_OC[[#This Row],[Pedido]]&amp;Detalle_OC[[#This Row],[Posicion]]</f>
        <v>Agricola del Chira PlantaMontelima70032053550002233880</v>
      </c>
      <c r="B4183" t="s">
        <v>28</v>
      </c>
      <c r="C4183" t="s">
        <v>84</v>
      </c>
      <c r="D4183" s="11">
        <v>44357</v>
      </c>
      <c r="E4183" t="s">
        <v>16</v>
      </c>
      <c r="F4183" t="s">
        <v>12</v>
      </c>
      <c r="G4183">
        <v>70032053</v>
      </c>
      <c r="H4183">
        <v>5500022338</v>
      </c>
      <c r="I4183">
        <v>80</v>
      </c>
      <c r="J4183" s="29">
        <v>1</v>
      </c>
      <c r="K4183" s="29" t="s">
        <v>613</v>
      </c>
      <c r="L4183" t="str">
        <f>IFERROR(VLOOKUP(Detalle_OC[[#This Row],[Centro]]&amp;Detalle_OC[[#This Row],[Nro Almacen]],Almacen!A:D,4,FALSE),"")</f>
        <v>Montelima</v>
      </c>
    </row>
    <row r="4184" spans="1:12" x14ac:dyDescent="0.3">
      <c r="A4184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4184" t="s">
        <v>28</v>
      </c>
      <c r="C4184" t="s">
        <v>82</v>
      </c>
      <c r="D4184" s="11">
        <v>44356</v>
      </c>
      <c r="E4184" t="s">
        <v>16</v>
      </c>
      <c r="F4184" t="s">
        <v>12</v>
      </c>
      <c r="G4184">
        <v>844508</v>
      </c>
      <c r="H4184">
        <v>5500019188</v>
      </c>
      <c r="I4184">
        <v>220</v>
      </c>
      <c r="J4184" s="29">
        <v>1</v>
      </c>
      <c r="K4184" s="29" t="s">
        <v>614</v>
      </c>
      <c r="L4184" t="str">
        <f>IFERROR(VLOOKUP(Detalle_OC[[#This Row],[Centro]]&amp;Detalle_OC[[#This Row],[Nro Almacen]],Almacen!A:D,4,FALSE),"")</f>
        <v>Montelima</v>
      </c>
    </row>
    <row r="4185" spans="1:12" x14ac:dyDescent="0.3">
      <c r="A4185" s="29" t="str">
        <f>Detalle_OC[[#This Row],[Centro]]&amp;Detalle_OC[[#This Row],[Nom Almacen]]&amp;Detalle_OC[[#This Row],[Material]]&amp;Detalle_OC[[#This Row],[Pedido]]&amp;Detalle_OC[[#This Row],[Posicion]]</f>
        <v>Agricola del Chira PlantaMontelima8445215500019188410</v>
      </c>
      <c r="B4185" t="s">
        <v>28</v>
      </c>
      <c r="C4185" t="s">
        <v>82</v>
      </c>
      <c r="D4185" s="11">
        <v>44356</v>
      </c>
      <c r="E4185" t="s">
        <v>16</v>
      </c>
      <c r="F4185" t="s">
        <v>12</v>
      </c>
      <c r="G4185">
        <v>844521</v>
      </c>
      <c r="H4185">
        <v>5500019188</v>
      </c>
      <c r="I4185">
        <v>410</v>
      </c>
      <c r="J4185" s="29">
        <v>1</v>
      </c>
      <c r="K4185" s="29" t="s">
        <v>614</v>
      </c>
      <c r="L4185" t="str">
        <f>IFERROR(VLOOKUP(Detalle_OC[[#This Row],[Centro]]&amp;Detalle_OC[[#This Row],[Nro Almacen]],Almacen!A:D,4,FALSE),"")</f>
        <v>Montelima</v>
      </c>
    </row>
    <row r="4186" spans="1:12" x14ac:dyDescent="0.3">
      <c r="A4186" s="29" t="str">
        <f>Detalle_OC[[#This Row],[Centro]]&amp;Detalle_OC[[#This Row],[Nom Almacen]]&amp;Detalle_OC[[#This Row],[Material]]&amp;Detalle_OC[[#This Row],[Pedido]]&amp;Detalle_OC[[#This Row],[Posicion]]</f>
        <v>Agricola del Chira PlantaMontelima83106655000191881040</v>
      </c>
      <c r="B4186" t="s">
        <v>28</v>
      </c>
      <c r="C4186" t="s">
        <v>82</v>
      </c>
      <c r="D4186" s="11">
        <v>44356</v>
      </c>
      <c r="E4186" t="s">
        <v>16</v>
      </c>
      <c r="F4186" t="s">
        <v>12</v>
      </c>
      <c r="G4186">
        <v>831066</v>
      </c>
      <c r="H4186">
        <v>5500019188</v>
      </c>
      <c r="I4186">
        <v>1040</v>
      </c>
      <c r="J4186" s="29">
        <v>1</v>
      </c>
      <c r="K4186" s="29" t="s">
        <v>614</v>
      </c>
      <c r="L4186" t="str">
        <f>IFERROR(VLOOKUP(Detalle_OC[[#This Row],[Centro]]&amp;Detalle_OC[[#This Row],[Nro Almacen]],Almacen!A:D,4,FALSE),"")</f>
        <v>Montelima</v>
      </c>
    </row>
    <row r="4187" spans="1:12" x14ac:dyDescent="0.3">
      <c r="A4187" s="29" t="str">
        <f>Detalle_OC[[#This Row],[Centro]]&amp;Detalle_OC[[#This Row],[Nom Almacen]]&amp;Detalle_OC[[#This Row],[Material]]&amp;Detalle_OC[[#This Row],[Pedido]]&amp;Detalle_OC[[#This Row],[Posicion]]</f>
        <v>Agricola del Chira PlantaMontelima82638355000191881150</v>
      </c>
      <c r="B4187" t="s">
        <v>28</v>
      </c>
      <c r="C4187" t="s">
        <v>82</v>
      </c>
      <c r="D4187" s="11">
        <v>44356</v>
      </c>
      <c r="E4187" t="s">
        <v>16</v>
      </c>
      <c r="F4187" t="s">
        <v>12</v>
      </c>
      <c r="G4187">
        <v>826383</v>
      </c>
      <c r="H4187">
        <v>5500019188</v>
      </c>
      <c r="I4187">
        <v>1150</v>
      </c>
      <c r="J4187" s="29">
        <v>1</v>
      </c>
      <c r="K4187" s="29" t="s">
        <v>614</v>
      </c>
      <c r="L4187" t="str">
        <f>IFERROR(VLOOKUP(Detalle_OC[[#This Row],[Centro]]&amp;Detalle_OC[[#This Row],[Nro Almacen]],Almacen!A:D,4,FALSE),"")</f>
        <v>Montelima</v>
      </c>
    </row>
    <row r="4188" spans="1:12" x14ac:dyDescent="0.3">
      <c r="A4188" s="29" t="str">
        <f>Detalle_OC[[#This Row],[Centro]]&amp;Detalle_OC[[#This Row],[Nom Almacen]]&amp;Detalle_OC[[#This Row],[Material]]&amp;Detalle_OC[[#This Row],[Pedido]]&amp;Detalle_OC[[#This Row],[Posicion]]</f>
        <v>Agricola del Chira PlantaMontelima89230155000191881220</v>
      </c>
      <c r="B4188" t="s">
        <v>28</v>
      </c>
      <c r="C4188" t="s">
        <v>82</v>
      </c>
      <c r="D4188" s="11">
        <v>44356</v>
      </c>
      <c r="E4188" t="s">
        <v>16</v>
      </c>
      <c r="F4188" t="s">
        <v>12</v>
      </c>
      <c r="G4188">
        <v>892301</v>
      </c>
      <c r="H4188">
        <v>5500019188</v>
      </c>
      <c r="I4188">
        <v>1220</v>
      </c>
      <c r="J4188" s="29">
        <v>1</v>
      </c>
      <c r="K4188" s="29" t="s">
        <v>614</v>
      </c>
      <c r="L4188" t="str">
        <f>IFERROR(VLOOKUP(Detalle_OC[[#This Row],[Centro]]&amp;Detalle_OC[[#This Row],[Nro Almacen]],Almacen!A:D,4,FALSE),"")</f>
        <v>Montelima</v>
      </c>
    </row>
    <row r="4189" spans="1:12" x14ac:dyDescent="0.3">
      <c r="A4189" s="29" t="str">
        <f>Detalle_OC[[#This Row],[Centro]]&amp;Detalle_OC[[#This Row],[Nom Almacen]]&amp;Detalle_OC[[#This Row],[Material]]&amp;Detalle_OC[[#This Row],[Pedido]]&amp;Detalle_OC[[#This Row],[Posicion]]</f>
        <v>Agricola del Chira PlantaMontelima82718155000191881520</v>
      </c>
      <c r="B4189" t="s">
        <v>28</v>
      </c>
      <c r="C4189" t="s">
        <v>82</v>
      </c>
      <c r="D4189" s="11">
        <v>44356</v>
      </c>
      <c r="E4189" t="s">
        <v>16</v>
      </c>
      <c r="F4189" t="s">
        <v>12</v>
      </c>
      <c r="G4189">
        <v>827181</v>
      </c>
      <c r="H4189">
        <v>5500019188</v>
      </c>
      <c r="I4189">
        <v>1520</v>
      </c>
      <c r="J4189" s="29">
        <v>1</v>
      </c>
      <c r="K4189" s="29" t="s">
        <v>614</v>
      </c>
      <c r="L4189" t="str">
        <f>IFERROR(VLOOKUP(Detalle_OC[[#This Row],[Centro]]&amp;Detalle_OC[[#This Row],[Nro Almacen]],Almacen!A:D,4,FALSE),"")</f>
        <v>Montelima</v>
      </c>
    </row>
    <row r="4190" spans="1:12" x14ac:dyDescent="0.3">
      <c r="A4190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4190" t="s">
        <v>28</v>
      </c>
      <c r="C4190" t="s">
        <v>82</v>
      </c>
      <c r="D4190" s="11">
        <v>44350</v>
      </c>
      <c r="E4190" t="s">
        <v>16</v>
      </c>
      <c r="F4190" t="s">
        <v>12</v>
      </c>
      <c r="G4190">
        <v>844515</v>
      </c>
      <c r="H4190">
        <v>5500019188</v>
      </c>
      <c r="I4190">
        <v>200</v>
      </c>
      <c r="J4190" s="29">
        <v>1</v>
      </c>
      <c r="K4190" s="29" t="s">
        <v>615</v>
      </c>
      <c r="L4190" t="str">
        <f>IFERROR(VLOOKUP(Detalle_OC[[#This Row],[Centro]]&amp;Detalle_OC[[#This Row],[Nro Almacen]],Almacen!A:D,4,FALSE),"")</f>
        <v>Montelima</v>
      </c>
    </row>
    <row r="4191" spans="1:12" x14ac:dyDescent="0.3">
      <c r="A4191" s="29" t="str">
        <f>Detalle_OC[[#This Row],[Centro]]&amp;Detalle_OC[[#This Row],[Nom Almacen]]&amp;Detalle_OC[[#This Row],[Material]]&amp;Detalle_OC[[#This Row],[Pedido]]&amp;Detalle_OC[[#This Row],[Posicion]]</f>
        <v>Agricola del Chira PlantaMontelima8445025500019188250</v>
      </c>
      <c r="B4191" t="s">
        <v>28</v>
      </c>
      <c r="C4191" t="s">
        <v>82</v>
      </c>
      <c r="D4191" s="11">
        <v>44350</v>
      </c>
      <c r="E4191" t="s">
        <v>16</v>
      </c>
      <c r="F4191" t="s">
        <v>12</v>
      </c>
      <c r="G4191">
        <v>844502</v>
      </c>
      <c r="H4191">
        <v>5500019188</v>
      </c>
      <c r="I4191">
        <v>250</v>
      </c>
      <c r="J4191" s="29">
        <v>1</v>
      </c>
      <c r="K4191" s="29" t="s">
        <v>615</v>
      </c>
      <c r="L4191" t="str">
        <f>IFERROR(VLOOKUP(Detalle_OC[[#This Row],[Centro]]&amp;Detalle_OC[[#This Row],[Nro Almacen]],Almacen!A:D,4,FALSE),"")</f>
        <v>Montelima</v>
      </c>
    </row>
    <row r="4192" spans="1:12" x14ac:dyDescent="0.3">
      <c r="A4192" s="29" t="str">
        <f>Detalle_OC[[#This Row],[Centro]]&amp;Detalle_OC[[#This Row],[Nom Almacen]]&amp;Detalle_OC[[#This Row],[Material]]&amp;Detalle_OC[[#This Row],[Pedido]]&amp;Detalle_OC[[#This Row],[Posicion]]</f>
        <v>Agricola del Chira PlantaMontelima8459085500019188350</v>
      </c>
      <c r="B4192" t="s">
        <v>28</v>
      </c>
      <c r="C4192" t="s">
        <v>82</v>
      </c>
      <c r="D4192" s="11">
        <v>44349</v>
      </c>
      <c r="E4192" t="s">
        <v>16</v>
      </c>
      <c r="F4192" t="s">
        <v>12</v>
      </c>
      <c r="G4192">
        <v>845908</v>
      </c>
      <c r="H4192">
        <v>5500019188</v>
      </c>
      <c r="I4192">
        <v>350</v>
      </c>
      <c r="J4192" s="29">
        <v>1</v>
      </c>
      <c r="K4192" s="29" t="s">
        <v>616</v>
      </c>
      <c r="L4192" t="str">
        <f>IFERROR(VLOOKUP(Detalle_OC[[#This Row],[Centro]]&amp;Detalle_OC[[#This Row],[Nro Almacen]],Almacen!A:D,4,FALSE),"")</f>
        <v>Montelima</v>
      </c>
    </row>
    <row r="4193" spans="1:12" x14ac:dyDescent="0.3">
      <c r="A4193" s="29" t="str">
        <f>Detalle_OC[[#This Row],[Centro]]&amp;Detalle_OC[[#This Row],[Nom Almacen]]&amp;Detalle_OC[[#This Row],[Material]]&amp;Detalle_OC[[#This Row],[Pedido]]&amp;Detalle_OC[[#This Row],[Posicion]]</f>
        <v>Agricola del Chira PlantaMontelima8445495500019188770</v>
      </c>
      <c r="B4193" t="s">
        <v>28</v>
      </c>
      <c r="C4193" t="s">
        <v>82</v>
      </c>
      <c r="D4193" s="11">
        <v>44349</v>
      </c>
      <c r="E4193" t="s">
        <v>16</v>
      </c>
      <c r="F4193" t="s">
        <v>12</v>
      </c>
      <c r="G4193">
        <v>844549</v>
      </c>
      <c r="H4193">
        <v>5500019188</v>
      </c>
      <c r="I4193">
        <v>770</v>
      </c>
      <c r="J4193" s="29">
        <v>1</v>
      </c>
      <c r="K4193" s="29" t="s">
        <v>616</v>
      </c>
      <c r="L4193" t="str">
        <f>IFERROR(VLOOKUP(Detalle_OC[[#This Row],[Centro]]&amp;Detalle_OC[[#This Row],[Nro Almacen]],Almacen!A:D,4,FALSE),"")</f>
        <v>Montelima</v>
      </c>
    </row>
    <row r="4194" spans="1:12" x14ac:dyDescent="0.3">
      <c r="A4194" s="29" t="str">
        <f>Detalle_OC[[#This Row],[Centro]]&amp;Detalle_OC[[#This Row],[Nom Almacen]]&amp;Detalle_OC[[#This Row],[Material]]&amp;Detalle_OC[[#This Row],[Pedido]]&amp;Detalle_OC[[#This Row],[Posicion]]</f>
        <v>Agricola del Chira PlantaMontelima762202550001918850</v>
      </c>
      <c r="B4194" t="s">
        <v>28</v>
      </c>
      <c r="C4194" t="s">
        <v>82</v>
      </c>
      <c r="D4194" s="11">
        <v>44450</v>
      </c>
      <c r="E4194" t="s">
        <v>16</v>
      </c>
      <c r="F4194" t="s">
        <v>12</v>
      </c>
      <c r="G4194">
        <v>762202</v>
      </c>
      <c r="H4194">
        <v>5500019188</v>
      </c>
      <c r="I4194">
        <v>50</v>
      </c>
      <c r="J4194" s="29">
        <v>1</v>
      </c>
      <c r="K4194" s="29" t="s">
        <v>617</v>
      </c>
      <c r="L4194" t="str">
        <f>IFERROR(VLOOKUP(Detalle_OC[[#This Row],[Centro]]&amp;Detalle_OC[[#This Row],[Nro Almacen]],Almacen!A:D,4,FALSE),"")</f>
        <v>Montelima</v>
      </c>
    </row>
    <row r="4195" spans="1:12" x14ac:dyDescent="0.3">
      <c r="A4195" s="29" t="str">
        <f>Detalle_OC[[#This Row],[Centro]]&amp;Detalle_OC[[#This Row],[Nom Almacen]]&amp;Detalle_OC[[#This Row],[Material]]&amp;Detalle_OC[[#This Row],[Pedido]]&amp;Detalle_OC[[#This Row],[Posicion]]</f>
        <v>Agricola del Chira PlantaMontelima7382475500019188100</v>
      </c>
      <c r="B4195" t="s">
        <v>28</v>
      </c>
      <c r="C4195" t="s">
        <v>82</v>
      </c>
      <c r="D4195" s="11">
        <v>44343</v>
      </c>
      <c r="E4195" t="s">
        <v>16</v>
      </c>
      <c r="F4195" t="s">
        <v>12</v>
      </c>
      <c r="G4195">
        <v>738247</v>
      </c>
      <c r="H4195">
        <v>5500019188</v>
      </c>
      <c r="I4195">
        <v>100</v>
      </c>
      <c r="J4195" s="29">
        <v>1</v>
      </c>
      <c r="K4195" s="29" t="s">
        <v>617</v>
      </c>
      <c r="L4195" t="str">
        <f>IFERROR(VLOOKUP(Detalle_OC[[#This Row],[Centro]]&amp;Detalle_OC[[#This Row],[Nro Almacen]],Almacen!A:D,4,FALSE),"")</f>
        <v>Montelima</v>
      </c>
    </row>
    <row r="4196" spans="1:12" x14ac:dyDescent="0.3">
      <c r="A4196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4196" t="s">
        <v>28</v>
      </c>
      <c r="C4196" t="s">
        <v>82</v>
      </c>
      <c r="D4196" s="11">
        <v>44343</v>
      </c>
      <c r="E4196" t="s">
        <v>16</v>
      </c>
      <c r="F4196" t="s">
        <v>12</v>
      </c>
      <c r="G4196">
        <v>844523</v>
      </c>
      <c r="H4196">
        <v>5500019188</v>
      </c>
      <c r="I4196">
        <v>140</v>
      </c>
      <c r="J4196" s="29">
        <v>1</v>
      </c>
      <c r="K4196" s="29" t="s">
        <v>617</v>
      </c>
      <c r="L4196" t="str">
        <f>IFERROR(VLOOKUP(Detalle_OC[[#This Row],[Centro]]&amp;Detalle_OC[[#This Row],[Nro Almacen]],Almacen!A:D,4,FALSE),"")</f>
        <v>Montelima</v>
      </c>
    </row>
    <row r="4197" spans="1:12" x14ac:dyDescent="0.3">
      <c r="A4197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4197" t="s">
        <v>28</v>
      </c>
      <c r="C4197" t="s">
        <v>82</v>
      </c>
      <c r="D4197" s="11">
        <v>44411</v>
      </c>
      <c r="E4197" t="s">
        <v>16</v>
      </c>
      <c r="F4197" t="s">
        <v>12</v>
      </c>
      <c r="G4197">
        <v>844522</v>
      </c>
      <c r="H4197">
        <v>5500019188</v>
      </c>
      <c r="I4197">
        <v>150</v>
      </c>
      <c r="J4197" s="29">
        <v>1</v>
      </c>
      <c r="K4197" s="29" t="s">
        <v>617</v>
      </c>
      <c r="L4197" t="str">
        <f>IFERROR(VLOOKUP(Detalle_OC[[#This Row],[Centro]]&amp;Detalle_OC[[#This Row],[Nro Almacen]],Almacen!A:D,4,FALSE),"")</f>
        <v>Montelima</v>
      </c>
    </row>
    <row r="4198" spans="1:12" x14ac:dyDescent="0.3">
      <c r="A4198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4198" t="s">
        <v>28</v>
      </c>
      <c r="C4198" t="s">
        <v>82</v>
      </c>
      <c r="D4198" s="11">
        <v>44343</v>
      </c>
      <c r="E4198" t="s">
        <v>16</v>
      </c>
      <c r="F4198" t="s">
        <v>12</v>
      </c>
      <c r="G4198">
        <v>844516</v>
      </c>
      <c r="H4198">
        <v>5500019188</v>
      </c>
      <c r="I4198">
        <v>190</v>
      </c>
      <c r="J4198" s="29">
        <v>1</v>
      </c>
      <c r="K4198" s="29" t="s">
        <v>617</v>
      </c>
      <c r="L4198" t="str">
        <f>IFERROR(VLOOKUP(Detalle_OC[[#This Row],[Centro]]&amp;Detalle_OC[[#This Row],[Nro Almacen]],Almacen!A:D,4,FALSE),"")</f>
        <v>Montelima</v>
      </c>
    </row>
    <row r="4199" spans="1:12" x14ac:dyDescent="0.3">
      <c r="A4199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4199" t="s">
        <v>28</v>
      </c>
      <c r="C4199" t="s">
        <v>82</v>
      </c>
      <c r="D4199" s="11">
        <v>44343</v>
      </c>
      <c r="E4199" t="s">
        <v>16</v>
      </c>
      <c r="F4199" t="s">
        <v>12</v>
      </c>
      <c r="G4199">
        <v>844515</v>
      </c>
      <c r="H4199">
        <v>5500019188</v>
      </c>
      <c r="I4199">
        <v>200</v>
      </c>
      <c r="J4199" s="29">
        <v>1</v>
      </c>
      <c r="K4199" s="29" t="s">
        <v>617</v>
      </c>
      <c r="L4199" t="str">
        <f>IFERROR(VLOOKUP(Detalle_OC[[#This Row],[Centro]]&amp;Detalle_OC[[#This Row],[Nro Almacen]],Almacen!A:D,4,FALSE),"")</f>
        <v>Montelima</v>
      </c>
    </row>
    <row r="4200" spans="1:12" x14ac:dyDescent="0.3">
      <c r="A4200" s="29" t="str">
        <f>Detalle_OC[[#This Row],[Centro]]&amp;Detalle_OC[[#This Row],[Nom Almacen]]&amp;Detalle_OC[[#This Row],[Material]]&amp;Detalle_OC[[#This Row],[Pedido]]&amp;Detalle_OC[[#This Row],[Posicion]]</f>
        <v>Agricola del Chira PlantaMontelima8445095500019188260</v>
      </c>
      <c r="B4200" t="s">
        <v>28</v>
      </c>
      <c r="C4200" t="s">
        <v>82</v>
      </c>
      <c r="D4200" s="11">
        <v>44343</v>
      </c>
      <c r="E4200" t="s">
        <v>16</v>
      </c>
      <c r="F4200" t="s">
        <v>12</v>
      </c>
      <c r="G4200">
        <v>844509</v>
      </c>
      <c r="H4200">
        <v>5500019188</v>
      </c>
      <c r="I4200">
        <v>260</v>
      </c>
      <c r="J4200" s="29">
        <v>1</v>
      </c>
      <c r="K4200" s="29" t="s">
        <v>617</v>
      </c>
      <c r="L4200" t="str">
        <f>IFERROR(VLOOKUP(Detalle_OC[[#This Row],[Centro]]&amp;Detalle_OC[[#This Row],[Nro Almacen]],Almacen!A:D,4,FALSE),"")</f>
        <v>Montelima</v>
      </c>
    </row>
    <row r="4201" spans="1:12" x14ac:dyDescent="0.3">
      <c r="A4201" s="29" t="str">
        <f>Detalle_OC[[#This Row],[Centro]]&amp;Detalle_OC[[#This Row],[Nom Almacen]]&amp;Detalle_OC[[#This Row],[Material]]&amp;Detalle_OC[[#This Row],[Pedido]]&amp;Detalle_OC[[#This Row],[Posicion]]</f>
        <v>Agricola del Chira PlantaMontelima8443975500019188280</v>
      </c>
      <c r="B4201" t="s">
        <v>28</v>
      </c>
      <c r="C4201" t="s">
        <v>82</v>
      </c>
      <c r="D4201" s="11">
        <v>44343</v>
      </c>
      <c r="E4201" t="s">
        <v>16</v>
      </c>
      <c r="F4201" t="s">
        <v>12</v>
      </c>
      <c r="G4201">
        <v>844397</v>
      </c>
      <c r="H4201">
        <v>5500019188</v>
      </c>
      <c r="I4201">
        <v>280</v>
      </c>
      <c r="J4201" s="29">
        <v>1</v>
      </c>
      <c r="K4201" s="29" t="s">
        <v>617</v>
      </c>
      <c r="L4201" t="str">
        <f>IFERROR(VLOOKUP(Detalle_OC[[#This Row],[Centro]]&amp;Detalle_OC[[#This Row],[Nro Almacen]],Almacen!A:D,4,FALSE),"")</f>
        <v>Montelima</v>
      </c>
    </row>
    <row r="4202" spans="1:12" x14ac:dyDescent="0.3">
      <c r="A4202" s="29" t="str">
        <f>Detalle_OC[[#This Row],[Centro]]&amp;Detalle_OC[[#This Row],[Nom Almacen]]&amp;Detalle_OC[[#This Row],[Material]]&amp;Detalle_OC[[#This Row],[Pedido]]&amp;Detalle_OC[[#This Row],[Posicion]]</f>
        <v>Agricola del Chira PlantaMontelima8445515500019188320</v>
      </c>
      <c r="B4202" t="s">
        <v>28</v>
      </c>
      <c r="C4202" t="s">
        <v>82</v>
      </c>
      <c r="D4202" s="11">
        <v>44428</v>
      </c>
      <c r="E4202" t="s">
        <v>16</v>
      </c>
      <c r="F4202" t="s">
        <v>12</v>
      </c>
      <c r="G4202">
        <v>844551</v>
      </c>
      <c r="H4202">
        <v>5500019188</v>
      </c>
      <c r="I4202">
        <v>320</v>
      </c>
      <c r="J4202" s="29">
        <v>1</v>
      </c>
      <c r="K4202" s="29" t="s">
        <v>617</v>
      </c>
      <c r="L4202" t="str">
        <f>IFERROR(VLOOKUP(Detalle_OC[[#This Row],[Centro]]&amp;Detalle_OC[[#This Row],[Nro Almacen]],Almacen!A:D,4,FALSE),"")</f>
        <v>Montelima</v>
      </c>
    </row>
    <row r="4203" spans="1:12" x14ac:dyDescent="0.3">
      <c r="A4203" s="29" t="str">
        <f>Detalle_OC[[#This Row],[Centro]]&amp;Detalle_OC[[#This Row],[Nom Almacen]]&amp;Detalle_OC[[#This Row],[Material]]&amp;Detalle_OC[[#This Row],[Pedido]]&amp;Detalle_OC[[#This Row],[Posicion]]</f>
        <v>Agricola del Chira PlantaMontelima8445215500019188410</v>
      </c>
      <c r="B4203" t="s">
        <v>28</v>
      </c>
      <c r="C4203" t="s">
        <v>82</v>
      </c>
      <c r="D4203" s="11">
        <v>44343</v>
      </c>
      <c r="E4203" t="s">
        <v>16</v>
      </c>
      <c r="F4203" t="s">
        <v>12</v>
      </c>
      <c r="G4203">
        <v>844521</v>
      </c>
      <c r="H4203">
        <v>5500019188</v>
      </c>
      <c r="I4203">
        <v>410</v>
      </c>
      <c r="J4203" s="29">
        <v>1</v>
      </c>
      <c r="K4203" s="29" t="s">
        <v>617</v>
      </c>
      <c r="L4203" t="str">
        <f>IFERROR(VLOOKUP(Detalle_OC[[#This Row],[Centro]]&amp;Detalle_OC[[#This Row],[Nro Almacen]],Almacen!A:D,4,FALSE),"")</f>
        <v>Montelima</v>
      </c>
    </row>
    <row r="4204" spans="1:12" x14ac:dyDescent="0.3">
      <c r="A4204" s="29" t="str">
        <f>Detalle_OC[[#This Row],[Centro]]&amp;Detalle_OC[[#This Row],[Nom Almacen]]&amp;Detalle_OC[[#This Row],[Material]]&amp;Detalle_OC[[#This Row],[Pedido]]&amp;Detalle_OC[[#This Row],[Posicion]]</f>
        <v>Agricola del Chira PlantaMontelima8445325500019188440</v>
      </c>
      <c r="B4204" t="s">
        <v>28</v>
      </c>
      <c r="C4204" t="s">
        <v>82</v>
      </c>
      <c r="D4204" s="11">
        <v>44343</v>
      </c>
      <c r="E4204" t="s">
        <v>16</v>
      </c>
      <c r="F4204" t="s">
        <v>12</v>
      </c>
      <c r="G4204">
        <v>844532</v>
      </c>
      <c r="H4204">
        <v>5500019188</v>
      </c>
      <c r="I4204">
        <v>440</v>
      </c>
      <c r="J4204" s="29">
        <v>1</v>
      </c>
      <c r="K4204" s="29" t="s">
        <v>617</v>
      </c>
      <c r="L4204" t="str">
        <f>IFERROR(VLOOKUP(Detalle_OC[[#This Row],[Centro]]&amp;Detalle_OC[[#This Row],[Nro Almacen]],Almacen!A:D,4,FALSE),"")</f>
        <v>Montelima</v>
      </c>
    </row>
    <row r="4205" spans="1:12" x14ac:dyDescent="0.3">
      <c r="A4205" s="29" t="str">
        <f>Detalle_OC[[#This Row],[Centro]]&amp;Detalle_OC[[#This Row],[Nom Almacen]]&amp;Detalle_OC[[#This Row],[Material]]&amp;Detalle_OC[[#This Row],[Pedido]]&amp;Detalle_OC[[#This Row],[Posicion]]</f>
        <v>Agricola del Chira PlantaMontelima8445195500019188530</v>
      </c>
      <c r="B4205" t="s">
        <v>28</v>
      </c>
      <c r="C4205" t="s">
        <v>82</v>
      </c>
      <c r="D4205" s="11">
        <v>44343</v>
      </c>
      <c r="E4205" t="s">
        <v>16</v>
      </c>
      <c r="F4205" t="s">
        <v>12</v>
      </c>
      <c r="G4205">
        <v>844519</v>
      </c>
      <c r="H4205">
        <v>5500019188</v>
      </c>
      <c r="I4205">
        <v>530</v>
      </c>
      <c r="J4205" s="29">
        <v>1</v>
      </c>
      <c r="K4205" s="29" t="s">
        <v>617</v>
      </c>
      <c r="L4205" t="str">
        <f>IFERROR(VLOOKUP(Detalle_OC[[#This Row],[Centro]]&amp;Detalle_OC[[#This Row],[Nro Almacen]],Almacen!A:D,4,FALSE),"")</f>
        <v>Montelima</v>
      </c>
    </row>
    <row r="4206" spans="1:12" x14ac:dyDescent="0.3">
      <c r="A4206" s="29" t="str">
        <f>Detalle_OC[[#This Row],[Centro]]&amp;Detalle_OC[[#This Row],[Nom Almacen]]&amp;Detalle_OC[[#This Row],[Material]]&amp;Detalle_OC[[#This Row],[Pedido]]&amp;Detalle_OC[[#This Row],[Posicion]]</f>
        <v>Agricola del Chira PlantaMontelima8445385500019188560</v>
      </c>
      <c r="B4206" t="s">
        <v>28</v>
      </c>
      <c r="C4206" t="s">
        <v>82</v>
      </c>
      <c r="D4206" s="11">
        <v>44450</v>
      </c>
      <c r="E4206" t="s">
        <v>16</v>
      </c>
      <c r="F4206" t="s">
        <v>12</v>
      </c>
      <c r="G4206">
        <v>844538</v>
      </c>
      <c r="H4206">
        <v>5500019188</v>
      </c>
      <c r="I4206">
        <v>560</v>
      </c>
      <c r="J4206" s="29">
        <v>1</v>
      </c>
      <c r="K4206" s="29" t="s">
        <v>617</v>
      </c>
      <c r="L4206" t="str">
        <f>IFERROR(VLOOKUP(Detalle_OC[[#This Row],[Centro]]&amp;Detalle_OC[[#This Row],[Nro Almacen]],Almacen!A:D,4,FALSE),"")</f>
        <v>Montelima</v>
      </c>
    </row>
    <row r="4207" spans="1:12" x14ac:dyDescent="0.3">
      <c r="A4207" s="29" t="str">
        <f>Detalle_OC[[#This Row],[Centro]]&amp;Detalle_OC[[#This Row],[Nom Almacen]]&amp;Detalle_OC[[#This Row],[Material]]&amp;Detalle_OC[[#This Row],[Pedido]]&amp;Detalle_OC[[#This Row],[Posicion]]</f>
        <v>Agricola del Chira PlantaMontelima8445465500019188890</v>
      </c>
      <c r="B4207" t="s">
        <v>28</v>
      </c>
      <c r="C4207" t="s">
        <v>82</v>
      </c>
      <c r="D4207" s="11">
        <v>44411</v>
      </c>
      <c r="E4207" t="s">
        <v>16</v>
      </c>
      <c r="F4207" t="s">
        <v>12</v>
      </c>
      <c r="G4207">
        <v>844546</v>
      </c>
      <c r="H4207">
        <v>5500019188</v>
      </c>
      <c r="I4207">
        <v>890</v>
      </c>
      <c r="J4207" s="29">
        <v>1</v>
      </c>
      <c r="K4207" s="29" t="s">
        <v>617</v>
      </c>
      <c r="L4207" t="str">
        <f>IFERROR(VLOOKUP(Detalle_OC[[#This Row],[Centro]]&amp;Detalle_OC[[#This Row],[Nro Almacen]],Almacen!A:D,4,FALSE),"")</f>
        <v>Montelima</v>
      </c>
    </row>
    <row r="4208" spans="1:12" x14ac:dyDescent="0.3">
      <c r="A4208" s="29" t="str">
        <f>Detalle_OC[[#This Row],[Centro]]&amp;Detalle_OC[[#This Row],[Nom Almacen]]&amp;Detalle_OC[[#This Row],[Material]]&amp;Detalle_OC[[#This Row],[Pedido]]&amp;Detalle_OC[[#This Row],[Posicion]]</f>
        <v>Agricola del Chira PlantaMontelima83106655000191881040</v>
      </c>
      <c r="B4208" t="s">
        <v>28</v>
      </c>
      <c r="C4208" t="s">
        <v>82</v>
      </c>
      <c r="D4208" s="11">
        <v>44343</v>
      </c>
      <c r="E4208" t="s">
        <v>16</v>
      </c>
      <c r="F4208" t="s">
        <v>12</v>
      </c>
      <c r="G4208">
        <v>831066</v>
      </c>
      <c r="H4208">
        <v>5500019188</v>
      </c>
      <c r="I4208">
        <v>1040</v>
      </c>
      <c r="J4208" s="29">
        <v>1</v>
      </c>
      <c r="K4208" s="29" t="s">
        <v>617</v>
      </c>
      <c r="L4208" t="str">
        <f>IFERROR(VLOOKUP(Detalle_OC[[#This Row],[Centro]]&amp;Detalle_OC[[#This Row],[Nro Almacen]],Almacen!A:D,4,FALSE),"")</f>
        <v>Montelima</v>
      </c>
    </row>
    <row r="4209" spans="1:12" x14ac:dyDescent="0.3">
      <c r="A4209" s="29" t="str">
        <f>Detalle_OC[[#This Row],[Centro]]&amp;Detalle_OC[[#This Row],[Nom Almacen]]&amp;Detalle_OC[[#This Row],[Material]]&amp;Detalle_OC[[#This Row],[Pedido]]&amp;Detalle_OC[[#This Row],[Posicion]]</f>
        <v>Agricola del Chira PlantaMontelima82720355000191881140</v>
      </c>
      <c r="B4209" t="s">
        <v>28</v>
      </c>
      <c r="C4209" t="s">
        <v>82</v>
      </c>
      <c r="D4209" s="11">
        <v>44343</v>
      </c>
      <c r="E4209" t="s">
        <v>16</v>
      </c>
      <c r="F4209" t="s">
        <v>12</v>
      </c>
      <c r="G4209">
        <v>827203</v>
      </c>
      <c r="H4209">
        <v>5500019188</v>
      </c>
      <c r="I4209">
        <v>1140</v>
      </c>
      <c r="J4209" s="29">
        <v>1</v>
      </c>
      <c r="K4209" s="29" t="s">
        <v>617</v>
      </c>
      <c r="L4209" t="str">
        <f>IFERROR(VLOOKUP(Detalle_OC[[#This Row],[Centro]]&amp;Detalle_OC[[#This Row],[Nro Almacen]],Almacen!A:D,4,FALSE),"")</f>
        <v>Montelima</v>
      </c>
    </row>
    <row r="4210" spans="1:12" x14ac:dyDescent="0.3">
      <c r="A4210" s="29" t="str">
        <f>Detalle_OC[[#This Row],[Centro]]&amp;Detalle_OC[[#This Row],[Nom Almacen]]&amp;Detalle_OC[[#This Row],[Material]]&amp;Detalle_OC[[#This Row],[Pedido]]&amp;Detalle_OC[[#This Row],[Posicion]]</f>
        <v>Agricola del Chira PlantaMontelima82638355000191881150</v>
      </c>
      <c r="B4210" t="s">
        <v>28</v>
      </c>
      <c r="C4210" t="s">
        <v>82</v>
      </c>
      <c r="D4210" s="11">
        <v>44343</v>
      </c>
      <c r="E4210" t="s">
        <v>16</v>
      </c>
      <c r="F4210" t="s">
        <v>12</v>
      </c>
      <c r="G4210">
        <v>826383</v>
      </c>
      <c r="H4210">
        <v>5500019188</v>
      </c>
      <c r="I4210">
        <v>1150</v>
      </c>
      <c r="J4210" s="29">
        <v>1</v>
      </c>
      <c r="K4210" s="29" t="s">
        <v>617</v>
      </c>
      <c r="L4210" t="str">
        <f>IFERROR(VLOOKUP(Detalle_OC[[#This Row],[Centro]]&amp;Detalle_OC[[#This Row],[Nro Almacen]],Almacen!A:D,4,FALSE),"")</f>
        <v>Montelima</v>
      </c>
    </row>
    <row r="4211" spans="1:12" x14ac:dyDescent="0.3">
      <c r="A4211" s="29" t="str">
        <f>Detalle_OC[[#This Row],[Centro]]&amp;Detalle_OC[[#This Row],[Nom Almacen]]&amp;Detalle_OC[[#This Row],[Material]]&amp;Detalle_OC[[#This Row],[Pedido]]&amp;Detalle_OC[[#This Row],[Posicion]]</f>
        <v>Agricola del Chira PlantaMontelima89230155000191881220</v>
      </c>
      <c r="B4211" t="s">
        <v>28</v>
      </c>
      <c r="C4211" t="s">
        <v>82</v>
      </c>
      <c r="D4211" s="11">
        <v>44343</v>
      </c>
      <c r="E4211" t="s">
        <v>16</v>
      </c>
      <c r="F4211" t="s">
        <v>12</v>
      </c>
      <c r="G4211">
        <v>892301</v>
      </c>
      <c r="H4211">
        <v>5500019188</v>
      </c>
      <c r="I4211">
        <v>1220</v>
      </c>
      <c r="J4211" s="29">
        <v>1</v>
      </c>
      <c r="K4211" s="29" t="s">
        <v>617</v>
      </c>
      <c r="L4211" t="str">
        <f>IFERROR(VLOOKUP(Detalle_OC[[#This Row],[Centro]]&amp;Detalle_OC[[#This Row],[Nro Almacen]],Almacen!A:D,4,FALSE),"")</f>
        <v>Montelima</v>
      </c>
    </row>
    <row r="4212" spans="1:12" x14ac:dyDescent="0.3">
      <c r="A4212" s="29" t="str">
        <f>Detalle_OC[[#This Row],[Centro]]&amp;Detalle_OC[[#This Row],[Nom Almacen]]&amp;Detalle_OC[[#This Row],[Material]]&amp;Detalle_OC[[#This Row],[Pedido]]&amp;Detalle_OC[[#This Row],[Posicion]]</f>
        <v>Agricola del Chira PlantaMontelima82718155000191881520</v>
      </c>
      <c r="B4212" t="s">
        <v>28</v>
      </c>
      <c r="C4212" t="s">
        <v>82</v>
      </c>
      <c r="D4212" s="11">
        <v>44343</v>
      </c>
      <c r="E4212" t="s">
        <v>16</v>
      </c>
      <c r="F4212" t="s">
        <v>12</v>
      </c>
      <c r="G4212">
        <v>827181</v>
      </c>
      <c r="H4212">
        <v>5500019188</v>
      </c>
      <c r="I4212">
        <v>1520</v>
      </c>
      <c r="J4212" s="29">
        <v>1</v>
      </c>
      <c r="K4212" s="29" t="s">
        <v>617</v>
      </c>
      <c r="L4212" t="str">
        <f>IFERROR(VLOOKUP(Detalle_OC[[#This Row],[Centro]]&amp;Detalle_OC[[#This Row],[Nro Almacen]],Almacen!A:D,4,FALSE),"")</f>
        <v>Montelima</v>
      </c>
    </row>
    <row r="4213" spans="1:12" x14ac:dyDescent="0.3">
      <c r="A4213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4213" t="s">
        <v>28</v>
      </c>
      <c r="C4213" t="s">
        <v>84</v>
      </c>
      <c r="D4213" s="11">
        <v>44343</v>
      </c>
      <c r="E4213" t="s">
        <v>16</v>
      </c>
      <c r="F4213" t="s">
        <v>12</v>
      </c>
      <c r="G4213">
        <v>801846</v>
      </c>
      <c r="H4213">
        <v>5500022338</v>
      </c>
      <c r="I4213">
        <v>40</v>
      </c>
      <c r="J4213" s="29">
        <v>1</v>
      </c>
      <c r="K4213" s="29" t="s">
        <v>617</v>
      </c>
      <c r="L4213" t="str">
        <f>IFERROR(VLOOKUP(Detalle_OC[[#This Row],[Centro]]&amp;Detalle_OC[[#This Row],[Nro Almacen]],Almacen!A:D,4,FALSE),"")</f>
        <v>Montelima</v>
      </c>
    </row>
    <row r="4214" spans="1:12" x14ac:dyDescent="0.3">
      <c r="A4214" s="29" t="str">
        <f>Detalle_OC[[#This Row],[Centro]]&amp;Detalle_OC[[#This Row],[Nom Almacen]]&amp;Detalle_OC[[#This Row],[Material]]&amp;Detalle_OC[[#This Row],[Pedido]]&amp;Detalle_OC[[#This Row],[Posicion]]</f>
        <v>Agricola del Chira PlantaMontelima708707550002233850</v>
      </c>
      <c r="B4214" t="s">
        <v>28</v>
      </c>
      <c r="C4214" t="s">
        <v>84</v>
      </c>
      <c r="D4214" s="11">
        <v>44343</v>
      </c>
      <c r="E4214" t="s">
        <v>16</v>
      </c>
      <c r="F4214" t="s">
        <v>12</v>
      </c>
      <c r="G4214">
        <v>708707</v>
      </c>
      <c r="H4214">
        <v>5500022338</v>
      </c>
      <c r="I4214">
        <v>50</v>
      </c>
      <c r="J4214" s="29">
        <v>1</v>
      </c>
      <c r="K4214" s="29" t="s">
        <v>617</v>
      </c>
      <c r="L4214" t="str">
        <f>IFERROR(VLOOKUP(Detalle_OC[[#This Row],[Centro]]&amp;Detalle_OC[[#This Row],[Nro Almacen]],Almacen!A:D,4,FALSE),"")</f>
        <v>Montelima</v>
      </c>
    </row>
    <row r="4215" spans="1:12" x14ac:dyDescent="0.3">
      <c r="A4215" s="29" t="str">
        <f>Detalle_OC[[#This Row],[Centro]]&amp;Detalle_OC[[#This Row],[Nom Almacen]]&amp;Detalle_OC[[#This Row],[Material]]&amp;Detalle_OC[[#This Row],[Pedido]]&amp;Detalle_OC[[#This Row],[Posicion]]</f>
        <v>Agricola del Chira PlantaMontelima808069550002233830</v>
      </c>
      <c r="B4215" t="s">
        <v>28</v>
      </c>
      <c r="C4215" t="s">
        <v>84</v>
      </c>
      <c r="D4215" s="11">
        <v>44337</v>
      </c>
      <c r="E4215" t="s">
        <v>16</v>
      </c>
      <c r="F4215" t="s">
        <v>12</v>
      </c>
      <c r="G4215">
        <v>808069</v>
      </c>
      <c r="H4215">
        <v>5500022338</v>
      </c>
      <c r="I4215">
        <v>30</v>
      </c>
      <c r="J4215" s="29">
        <v>1</v>
      </c>
      <c r="K4215" s="29" t="s">
        <v>618</v>
      </c>
      <c r="L4215" t="str">
        <f>IFERROR(VLOOKUP(Detalle_OC[[#This Row],[Centro]]&amp;Detalle_OC[[#This Row],[Nro Almacen]],Almacen!A:D,4,FALSE),"")</f>
        <v>Montelima</v>
      </c>
    </row>
    <row r="4216" spans="1:12" x14ac:dyDescent="0.3">
      <c r="A4216" s="29" t="str">
        <f>Detalle_OC[[#This Row],[Centro]]&amp;Detalle_OC[[#This Row],[Nom Almacen]]&amp;Detalle_OC[[#This Row],[Material]]&amp;Detalle_OC[[#This Row],[Pedido]]&amp;Detalle_OC[[#This Row],[Posicion]]</f>
        <v>Agricola del Chira PlantaMontelima709179550002233820</v>
      </c>
      <c r="B4216" t="s">
        <v>28</v>
      </c>
      <c r="C4216" t="s">
        <v>84</v>
      </c>
      <c r="D4216" s="11">
        <v>44336</v>
      </c>
      <c r="E4216" t="s">
        <v>16</v>
      </c>
      <c r="F4216" t="s">
        <v>12</v>
      </c>
      <c r="G4216">
        <v>709179</v>
      </c>
      <c r="H4216">
        <v>5500022338</v>
      </c>
      <c r="I4216">
        <v>20</v>
      </c>
      <c r="J4216" s="29">
        <v>1</v>
      </c>
      <c r="K4216" s="29" t="s">
        <v>619</v>
      </c>
      <c r="L4216" t="str">
        <f>IFERROR(VLOOKUP(Detalle_OC[[#This Row],[Centro]]&amp;Detalle_OC[[#This Row],[Nro Almacen]],Almacen!A:D,4,FALSE),"")</f>
        <v>Montelima</v>
      </c>
    </row>
    <row r="4217" spans="1:12" x14ac:dyDescent="0.3">
      <c r="A4217" s="29" t="str">
        <f>Detalle_OC[[#This Row],[Centro]]&amp;Detalle_OC[[#This Row],[Nom Almacen]]&amp;Detalle_OC[[#This Row],[Material]]&amp;Detalle_OC[[#This Row],[Pedido]]&amp;Detalle_OC[[#This Row],[Posicion]]</f>
        <v>Sucroalcolera del Chira PlantaMontelima709179550002233630</v>
      </c>
      <c r="B4217" t="s">
        <v>28</v>
      </c>
      <c r="C4217" t="s">
        <v>84</v>
      </c>
      <c r="D4217" s="11">
        <v>44331</v>
      </c>
      <c r="E4217" t="s">
        <v>16</v>
      </c>
      <c r="F4217" t="s">
        <v>85</v>
      </c>
      <c r="G4217">
        <v>709179</v>
      </c>
      <c r="H4217">
        <v>5500022336</v>
      </c>
      <c r="I4217">
        <v>30</v>
      </c>
      <c r="J4217" s="29">
        <v>1</v>
      </c>
      <c r="K4217" s="29" t="s">
        <v>620</v>
      </c>
      <c r="L4217" t="str">
        <f>IFERROR(VLOOKUP(Detalle_OC[[#This Row],[Centro]]&amp;Detalle_OC[[#This Row],[Nro Almacen]],Almacen!A:D,4,FALSE),"")</f>
        <v>Montelima</v>
      </c>
    </row>
    <row r="4218" spans="1:12" x14ac:dyDescent="0.3">
      <c r="A4218" s="29" t="str">
        <f>Detalle_OC[[#This Row],[Centro]]&amp;Detalle_OC[[#This Row],[Nom Almacen]]&amp;Detalle_OC[[#This Row],[Material]]&amp;Detalle_OC[[#This Row],[Pedido]]&amp;Detalle_OC[[#This Row],[Posicion]]</f>
        <v>Agricola del Chira PlantaMontelima752131550002233810</v>
      </c>
      <c r="B4218" t="s">
        <v>28</v>
      </c>
      <c r="C4218" t="s">
        <v>84</v>
      </c>
      <c r="D4218" s="11">
        <v>44330</v>
      </c>
      <c r="E4218" t="s">
        <v>16</v>
      </c>
      <c r="F4218" t="s">
        <v>12</v>
      </c>
      <c r="G4218">
        <v>752131</v>
      </c>
      <c r="H4218">
        <v>5500022338</v>
      </c>
      <c r="I4218">
        <v>10</v>
      </c>
      <c r="J4218" s="29">
        <v>1</v>
      </c>
      <c r="K4218" s="29" t="s">
        <v>620</v>
      </c>
      <c r="L4218" t="str">
        <f>IFERROR(VLOOKUP(Detalle_OC[[#This Row],[Centro]]&amp;Detalle_OC[[#This Row],[Nro Almacen]],Almacen!A:D,4,FALSE),"")</f>
        <v>Montelima</v>
      </c>
    </row>
    <row r="4219" spans="1:12" x14ac:dyDescent="0.3">
      <c r="A4219" s="29" t="str">
        <f>Detalle_OC[[#This Row],[Centro]]&amp;Detalle_OC[[#This Row],[Nom Almacen]]&amp;Detalle_OC[[#This Row],[Material]]&amp;Detalle_OC[[#This Row],[Pedido]]&amp;Detalle_OC[[#This Row],[Posicion]]</f>
        <v>Agricola del Chira PlantaMontelima808069550002233830</v>
      </c>
      <c r="B4219" t="s">
        <v>28</v>
      </c>
      <c r="C4219" t="s">
        <v>84</v>
      </c>
      <c r="D4219" s="11">
        <v>44330</v>
      </c>
      <c r="E4219" t="s">
        <v>16</v>
      </c>
      <c r="F4219" t="s">
        <v>12</v>
      </c>
      <c r="G4219">
        <v>808069</v>
      </c>
      <c r="H4219">
        <v>5500022338</v>
      </c>
      <c r="I4219">
        <v>30</v>
      </c>
      <c r="J4219" s="29">
        <v>1</v>
      </c>
      <c r="K4219" s="29" t="s">
        <v>620</v>
      </c>
      <c r="L4219" t="str">
        <f>IFERROR(VLOOKUP(Detalle_OC[[#This Row],[Centro]]&amp;Detalle_OC[[#This Row],[Nro Almacen]],Almacen!A:D,4,FALSE),"")</f>
        <v>Montelima</v>
      </c>
    </row>
    <row r="4220" spans="1:12" x14ac:dyDescent="0.3">
      <c r="A4220" s="29" t="str">
        <f>Detalle_OC[[#This Row],[Centro]]&amp;Detalle_OC[[#This Row],[Nom Almacen]]&amp;Detalle_OC[[#This Row],[Material]]&amp;Detalle_OC[[#This Row],[Pedido]]&amp;Detalle_OC[[#This Row],[Posicion]]</f>
        <v>Agricola del Chira PlantaMontelima726335550002233860</v>
      </c>
      <c r="B4220" t="s">
        <v>28</v>
      </c>
      <c r="C4220" t="s">
        <v>84</v>
      </c>
      <c r="D4220" s="11">
        <v>44330</v>
      </c>
      <c r="E4220" t="s">
        <v>16</v>
      </c>
      <c r="F4220" t="s">
        <v>12</v>
      </c>
      <c r="G4220">
        <v>726335</v>
      </c>
      <c r="H4220">
        <v>5500022338</v>
      </c>
      <c r="I4220">
        <v>60</v>
      </c>
      <c r="J4220" s="29">
        <v>1</v>
      </c>
      <c r="K4220" s="29" t="s">
        <v>620</v>
      </c>
      <c r="L4220" t="str">
        <f>IFERROR(VLOOKUP(Detalle_OC[[#This Row],[Centro]]&amp;Detalle_OC[[#This Row],[Nro Almacen]],Almacen!A:D,4,FALSE),"")</f>
        <v>Montelima</v>
      </c>
    </row>
    <row r="4221" spans="1:12" x14ac:dyDescent="0.3">
      <c r="A4221" s="29" t="str">
        <f>Detalle_OC[[#This Row],[Centro]]&amp;Detalle_OC[[#This Row],[Nom Almacen]]&amp;Detalle_OC[[#This Row],[Material]]&amp;Detalle_OC[[#This Row],[Pedido]]&amp;Detalle_OC[[#This Row],[Posicion]]</f>
        <v>Agricola del Chira PlantaMontelima8966395500019188120</v>
      </c>
      <c r="B4221" t="s">
        <v>28</v>
      </c>
      <c r="C4221" t="s">
        <v>82</v>
      </c>
      <c r="D4221" s="11">
        <v>44327</v>
      </c>
      <c r="E4221" t="s">
        <v>16</v>
      </c>
      <c r="F4221" t="s">
        <v>12</v>
      </c>
      <c r="G4221">
        <v>896639</v>
      </c>
      <c r="H4221">
        <v>5500019188</v>
      </c>
      <c r="I4221">
        <v>120</v>
      </c>
      <c r="J4221" s="29">
        <v>1</v>
      </c>
      <c r="K4221" s="29" t="s">
        <v>621</v>
      </c>
      <c r="L4221" t="str">
        <f>IFERROR(VLOOKUP(Detalle_OC[[#This Row],[Centro]]&amp;Detalle_OC[[#This Row],[Nro Almacen]],Almacen!A:D,4,FALSE),"")</f>
        <v>Montelima</v>
      </c>
    </row>
    <row r="4222" spans="1:12" x14ac:dyDescent="0.3">
      <c r="A4222" s="29" t="str">
        <f>Detalle_OC[[#This Row],[Centro]]&amp;Detalle_OC[[#This Row],[Nom Almacen]]&amp;Detalle_OC[[#This Row],[Material]]&amp;Detalle_OC[[#This Row],[Pedido]]&amp;Detalle_OC[[#This Row],[Posicion]]</f>
        <v>Agricola del Chira PlantaMontelima84557255000191881300</v>
      </c>
      <c r="B4222" t="s">
        <v>28</v>
      </c>
      <c r="C4222" t="s">
        <v>82</v>
      </c>
      <c r="D4222" s="11">
        <v>44323</v>
      </c>
      <c r="E4222" t="s">
        <v>16</v>
      </c>
      <c r="F4222" t="s">
        <v>12</v>
      </c>
      <c r="G4222">
        <v>845572</v>
      </c>
      <c r="H4222">
        <v>5500019188</v>
      </c>
      <c r="I4222">
        <v>1300</v>
      </c>
      <c r="J4222" s="29">
        <v>1</v>
      </c>
      <c r="K4222" s="29" t="s">
        <v>622</v>
      </c>
      <c r="L4222" t="str">
        <f>IFERROR(VLOOKUP(Detalle_OC[[#This Row],[Centro]]&amp;Detalle_OC[[#This Row],[Nro Almacen]],Almacen!A:D,4,FALSE),"")</f>
        <v>Montelima</v>
      </c>
    </row>
    <row r="4223" spans="1:12" x14ac:dyDescent="0.3">
      <c r="A4223" s="29" t="str">
        <f>Detalle_OC[[#This Row],[Centro]]&amp;Detalle_OC[[#This Row],[Nom Almacen]]&amp;Detalle_OC[[#This Row],[Material]]&amp;Detalle_OC[[#This Row],[Pedido]]&amp;Detalle_OC[[#This Row],[Posicion]]</f>
        <v>Agricola del Chira PlantaMontelima761905550001918810</v>
      </c>
      <c r="B4223" t="s">
        <v>28</v>
      </c>
      <c r="C4223" t="s">
        <v>82</v>
      </c>
      <c r="D4223" s="11">
        <v>44322</v>
      </c>
      <c r="E4223" t="s">
        <v>16</v>
      </c>
      <c r="F4223" t="s">
        <v>12</v>
      </c>
      <c r="G4223">
        <v>761905</v>
      </c>
      <c r="H4223">
        <v>5500019188</v>
      </c>
      <c r="I4223">
        <v>10</v>
      </c>
      <c r="J4223" s="29">
        <v>1</v>
      </c>
      <c r="K4223" s="29" t="s">
        <v>623</v>
      </c>
      <c r="L4223" t="str">
        <f>IFERROR(VLOOKUP(Detalle_OC[[#This Row],[Centro]]&amp;Detalle_OC[[#This Row],[Nro Almacen]],Almacen!A:D,4,FALSE),"")</f>
        <v>Montelima</v>
      </c>
    </row>
    <row r="4224" spans="1:12" x14ac:dyDescent="0.3">
      <c r="A4224" s="29" t="str">
        <f>Detalle_OC[[#This Row],[Centro]]&amp;Detalle_OC[[#This Row],[Nom Almacen]]&amp;Detalle_OC[[#This Row],[Material]]&amp;Detalle_OC[[#This Row],[Pedido]]&amp;Detalle_OC[[#This Row],[Posicion]]</f>
        <v>Agricola del Chira PlantaMontelima8445095500019188260</v>
      </c>
      <c r="B4224" t="s">
        <v>28</v>
      </c>
      <c r="C4224" t="s">
        <v>82</v>
      </c>
      <c r="D4224" s="11">
        <v>44322</v>
      </c>
      <c r="E4224" t="s">
        <v>16</v>
      </c>
      <c r="F4224" t="s">
        <v>12</v>
      </c>
      <c r="G4224">
        <v>844509</v>
      </c>
      <c r="H4224">
        <v>5500019188</v>
      </c>
      <c r="I4224">
        <v>260</v>
      </c>
      <c r="J4224" s="29">
        <v>1</v>
      </c>
      <c r="K4224" s="29" t="s">
        <v>623</v>
      </c>
      <c r="L4224" t="str">
        <f>IFERROR(VLOOKUP(Detalle_OC[[#This Row],[Centro]]&amp;Detalle_OC[[#This Row],[Nro Almacen]],Almacen!A:D,4,FALSE),"")</f>
        <v>Montelima</v>
      </c>
    </row>
    <row r="4225" spans="1:12" x14ac:dyDescent="0.3">
      <c r="A4225" s="29" t="str">
        <f>Detalle_OC[[#This Row],[Centro]]&amp;Detalle_OC[[#This Row],[Nom Almacen]]&amp;Detalle_OC[[#This Row],[Material]]&amp;Detalle_OC[[#This Row],[Pedido]]&amp;Detalle_OC[[#This Row],[Posicion]]</f>
        <v>Agricola del Chira PlantaMontelima8445295500019188380</v>
      </c>
      <c r="B4225" t="s">
        <v>28</v>
      </c>
      <c r="C4225" t="s">
        <v>82</v>
      </c>
      <c r="D4225" s="11">
        <v>44322</v>
      </c>
      <c r="E4225" t="s">
        <v>16</v>
      </c>
      <c r="F4225" t="s">
        <v>12</v>
      </c>
      <c r="G4225">
        <v>844529</v>
      </c>
      <c r="H4225">
        <v>5500019188</v>
      </c>
      <c r="I4225">
        <v>380</v>
      </c>
      <c r="J4225" s="29">
        <v>1</v>
      </c>
      <c r="K4225" s="29" t="s">
        <v>623</v>
      </c>
      <c r="L4225" t="str">
        <f>IFERROR(VLOOKUP(Detalle_OC[[#This Row],[Centro]]&amp;Detalle_OC[[#This Row],[Nro Almacen]],Almacen!A:D,4,FALSE),"")</f>
        <v>Montelima</v>
      </c>
    </row>
    <row r="4226" spans="1:12" x14ac:dyDescent="0.3">
      <c r="A4226" s="29" t="str">
        <f>Detalle_OC[[#This Row],[Centro]]&amp;Detalle_OC[[#This Row],[Nom Almacen]]&amp;Detalle_OC[[#This Row],[Material]]&amp;Detalle_OC[[#This Row],[Pedido]]&amp;Detalle_OC[[#This Row],[Posicion]]</f>
        <v>Agricola del Chira PlantaMontelima83541955000191881470</v>
      </c>
      <c r="B4226" t="s">
        <v>28</v>
      </c>
      <c r="C4226" t="s">
        <v>82</v>
      </c>
      <c r="D4226" s="11">
        <v>44322</v>
      </c>
      <c r="E4226" t="s">
        <v>16</v>
      </c>
      <c r="F4226" t="s">
        <v>12</v>
      </c>
      <c r="G4226">
        <v>835419</v>
      </c>
      <c r="H4226">
        <v>5500019188</v>
      </c>
      <c r="I4226">
        <v>1470</v>
      </c>
      <c r="J4226" s="29">
        <v>1</v>
      </c>
      <c r="K4226" s="29" t="s">
        <v>623</v>
      </c>
      <c r="L4226" t="str">
        <f>IFERROR(VLOOKUP(Detalle_OC[[#This Row],[Centro]]&amp;Detalle_OC[[#This Row],[Nro Almacen]],Almacen!A:D,4,FALSE),"")</f>
        <v>Montelima</v>
      </c>
    </row>
    <row r="4227" spans="1:12" x14ac:dyDescent="0.3">
      <c r="A4227" s="29" t="str">
        <f>Detalle_OC[[#This Row],[Centro]]&amp;Detalle_OC[[#This Row],[Nom Almacen]]&amp;Detalle_OC[[#This Row],[Material]]&amp;Detalle_OC[[#This Row],[Pedido]]&amp;Detalle_OC[[#This Row],[Posicion]]</f>
        <v>Agricola del Chira PlantaMontelima8443985500019188290</v>
      </c>
      <c r="B4227" t="s">
        <v>28</v>
      </c>
      <c r="C4227" t="s">
        <v>82</v>
      </c>
      <c r="D4227" s="11">
        <v>44321</v>
      </c>
      <c r="E4227" t="s">
        <v>16</v>
      </c>
      <c r="F4227" t="s">
        <v>12</v>
      </c>
      <c r="G4227">
        <v>844398</v>
      </c>
      <c r="H4227">
        <v>5500019188</v>
      </c>
      <c r="I4227">
        <v>290</v>
      </c>
      <c r="J4227" s="29">
        <v>1</v>
      </c>
      <c r="K4227" s="29" t="s">
        <v>624</v>
      </c>
      <c r="L4227" t="str">
        <f>IFERROR(VLOOKUP(Detalle_OC[[#This Row],[Centro]]&amp;Detalle_OC[[#This Row],[Nro Almacen]],Almacen!A:D,4,FALSE),"")</f>
        <v>Montelima</v>
      </c>
    </row>
    <row r="4228" spans="1:12" x14ac:dyDescent="0.3">
      <c r="A4228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4228" t="s">
        <v>28</v>
      </c>
      <c r="C4228" t="s">
        <v>84</v>
      </c>
      <c r="D4228" s="11">
        <v>44312</v>
      </c>
      <c r="E4228" t="s">
        <v>16</v>
      </c>
      <c r="F4228" t="s">
        <v>85</v>
      </c>
      <c r="G4228">
        <v>801846</v>
      </c>
      <c r="H4228">
        <v>5500022336</v>
      </c>
      <c r="I4228">
        <v>10</v>
      </c>
      <c r="J4228" s="29">
        <v>1</v>
      </c>
      <c r="K4228" s="29" t="s">
        <v>625</v>
      </c>
      <c r="L4228" t="str">
        <f>IFERROR(VLOOKUP(Detalle_OC[[#This Row],[Centro]]&amp;Detalle_OC[[#This Row],[Nro Almacen]],Almacen!A:D,4,FALSE),"")</f>
        <v>Montelima</v>
      </c>
    </row>
    <row r="4229" spans="1:12" x14ac:dyDescent="0.3">
      <c r="A4229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4229" t="s">
        <v>28</v>
      </c>
      <c r="C4229" t="s">
        <v>84</v>
      </c>
      <c r="D4229" s="11">
        <v>44312</v>
      </c>
      <c r="E4229" t="s">
        <v>16</v>
      </c>
      <c r="F4229" t="s">
        <v>85</v>
      </c>
      <c r="G4229">
        <v>806591</v>
      </c>
      <c r="H4229">
        <v>5500022336</v>
      </c>
      <c r="I4229">
        <v>20</v>
      </c>
      <c r="J4229" s="29">
        <v>1</v>
      </c>
      <c r="K4229" s="29" t="s">
        <v>625</v>
      </c>
      <c r="L4229" t="str">
        <f>IFERROR(VLOOKUP(Detalle_OC[[#This Row],[Centro]]&amp;Detalle_OC[[#This Row],[Nro Almacen]],Almacen!A:D,4,FALSE),"")</f>
        <v>Montelima</v>
      </c>
    </row>
    <row r="4230" spans="1:12" x14ac:dyDescent="0.3">
      <c r="A4230" s="29" t="str">
        <f>Detalle_OC[[#This Row],[Centro]]&amp;Detalle_OC[[#This Row],[Nom Almacen]]&amp;Detalle_OC[[#This Row],[Material]]&amp;Detalle_OC[[#This Row],[Pedido]]&amp;Detalle_OC[[#This Row],[Posicion]]</f>
        <v>Agricola del Chira PlantaMontelima709179550002233820</v>
      </c>
      <c r="B4230" t="s">
        <v>28</v>
      </c>
      <c r="C4230" t="s">
        <v>84</v>
      </c>
      <c r="D4230" s="11">
        <v>44312</v>
      </c>
      <c r="E4230" t="s">
        <v>16</v>
      </c>
      <c r="F4230" t="s">
        <v>12</v>
      </c>
      <c r="G4230">
        <v>709179</v>
      </c>
      <c r="H4230">
        <v>5500022338</v>
      </c>
      <c r="I4230">
        <v>20</v>
      </c>
      <c r="J4230" s="29">
        <v>1</v>
      </c>
      <c r="K4230" s="29" t="s">
        <v>625</v>
      </c>
      <c r="L4230" t="str">
        <f>IFERROR(VLOOKUP(Detalle_OC[[#This Row],[Centro]]&amp;Detalle_OC[[#This Row],[Nro Almacen]],Almacen!A:D,4,FALSE),"")</f>
        <v>Montelima</v>
      </c>
    </row>
    <row r="4231" spans="1:12" x14ac:dyDescent="0.3">
      <c r="A4231" s="29" t="str">
        <f>Detalle_OC[[#This Row],[Centro]]&amp;Detalle_OC[[#This Row],[Nom Almacen]]&amp;Detalle_OC[[#This Row],[Material]]&amp;Detalle_OC[[#This Row],[Pedido]]&amp;Detalle_OC[[#This Row],[Posicion]]</f>
        <v>Agricola del Chira PlantaMontelima808069550002233830</v>
      </c>
      <c r="B4231" t="s">
        <v>28</v>
      </c>
      <c r="C4231" t="s">
        <v>84</v>
      </c>
      <c r="D4231" s="11">
        <v>44312</v>
      </c>
      <c r="E4231" t="s">
        <v>16</v>
      </c>
      <c r="F4231" t="s">
        <v>12</v>
      </c>
      <c r="G4231">
        <v>808069</v>
      </c>
      <c r="H4231">
        <v>5500022338</v>
      </c>
      <c r="I4231">
        <v>30</v>
      </c>
      <c r="J4231" s="29">
        <v>1</v>
      </c>
      <c r="K4231" s="29" t="s">
        <v>625</v>
      </c>
      <c r="L4231" t="str">
        <f>IFERROR(VLOOKUP(Detalle_OC[[#This Row],[Centro]]&amp;Detalle_OC[[#This Row],[Nro Almacen]],Almacen!A:D,4,FALSE),"")</f>
        <v>Montelima</v>
      </c>
    </row>
    <row r="4232" spans="1:12" x14ac:dyDescent="0.3">
      <c r="A4232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4232" t="s">
        <v>28</v>
      </c>
      <c r="C4232" t="s">
        <v>84</v>
      </c>
      <c r="D4232" s="11">
        <v>44301</v>
      </c>
      <c r="E4232" t="s">
        <v>16</v>
      </c>
      <c r="F4232" t="s">
        <v>85</v>
      </c>
      <c r="G4232">
        <v>801846</v>
      </c>
      <c r="H4232">
        <v>5500022336</v>
      </c>
      <c r="I4232">
        <v>10</v>
      </c>
      <c r="J4232" s="29">
        <v>1</v>
      </c>
      <c r="K4232" s="29" t="s">
        <v>626</v>
      </c>
      <c r="L4232" t="str">
        <f>IFERROR(VLOOKUP(Detalle_OC[[#This Row],[Centro]]&amp;Detalle_OC[[#This Row],[Nro Almacen]],Almacen!A:D,4,FALSE),"")</f>
        <v>Montelima</v>
      </c>
    </row>
    <row r="4233" spans="1:12" x14ac:dyDescent="0.3">
      <c r="A4233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4233" t="s">
        <v>28</v>
      </c>
      <c r="C4233" t="s">
        <v>84</v>
      </c>
      <c r="D4233" s="11">
        <v>44301</v>
      </c>
      <c r="E4233" t="s">
        <v>16</v>
      </c>
      <c r="F4233" t="s">
        <v>12</v>
      </c>
      <c r="G4233">
        <v>801846</v>
      </c>
      <c r="H4233">
        <v>5500022338</v>
      </c>
      <c r="I4233">
        <v>40</v>
      </c>
      <c r="J4233" s="29">
        <v>1</v>
      </c>
      <c r="K4233" s="29" t="s">
        <v>626</v>
      </c>
      <c r="L4233" t="str">
        <f>IFERROR(VLOOKUP(Detalle_OC[[#This Row],[Centro]]&amp;Detalle_OC[[#This Row],[Nro Almacen]],Almacen!A:D,4,FALSE),"")</f>
        <v>Montelima</v>
      </c>
    </row>
    <row r="4234" spans="1:12" x14ac:dyDescent="0.3">
      <c r="A4234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4234" t="s">
        <v>28</v>
      </c>
      <c r="C4234" t="s">
        <v>84</v>
      </c>
      <c r="D4234" s="11">
        <v>44301</v>
      </c>
      <c r="E4234" t="s">
        <v>16</v>
      </c>
      <c r="F4234" t="s">
        <v>12</v>
      </c>
      <c r="G4234">
        <v>801846</v>
      </c>
      <c r="H4234">
        <v>5500022338</v>
      </c>
      <c r="I4234">
        <v>40</v>
      </c>
      <c r="J4234" s="29">
        <v>1</v>
      </c>
      <c r="K4234" s="29" t="s">
        <v>626</v>
      </c>
      <c r="L4234" t="str">
        <f>IFERROR(VLOOKUP(Detalle_OC[[#This Row],[Centro]]&amp;Detalle_OC[[#This Row],[Nro Almacen]],Almacen!A:D,4,FALSE),"")</f>
        <v>Montelima</v>
      </c>
    </row>
    <row r="4235" spans="1:12" x14ac:dyDescent="0.3">
      <c r="A4235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4235" t="s">
        <v>28</v>
      </c>
      <c r="C4235" t="s">
        <v>82</v>
      </c>
      <c r="D4235" s="11">
        <v>44289</v>
      </c>
      <c r="E4235" t="s">
        <v>16</v>
      </c>
      <c r="F4235" t="s">
        <v>12</v>
      </c>
      <c r="G4235">
        <v>844522</v>
      </c>
      <c r="H4235">
        <v>5500019188</v>
      </c>
      <c r="I4235">
        <v>150</v>
      </c>
      <c r="J4235" s="29">
        <v>1</v>
      </c>
      <c r="K4235" s="29" t="s">
        <v>627</v>
      </c>
      <c r="L4235" t="str">
        <f>IFERROR(VLOOKUP(Detalle_OC[[#This Row],[Centro]]&amp;Detalle_OC[[#This Row],[Nro Almacen]],Almacen!A:D,4,FALSE),"")</f>
        <v>Montelima</v>
      </c>
    </row>
    <row r="4236" spans="1:12" x14ac:dyDescent="0.3">
      <c r="A4236" s="29" t="str">
        <f>Detalle_OC[[#This Row],[Centro]]&amp;Detalle_OC[[#This Row],[Nom Almacen]]&amp;Detalle_OC[[#This Row],[Material]]&amp;Detalle_OC[[#This Row],[Pedido]]&amp;Detalle_OC[[#This Row],[Posicion]]</f>
        <v>Agricola del Chira PlantaMontelima8443975500019188280</v>
      </c>
      <c r="B4236" t="s">
        <v>28</v>
      </c>
      <c r="C4236" t="s">
        <v>82</v>
      </c>
      <c r="D4236" s="11">
        <v>44289</v>
      </c>
      <c r="E4236" t="s">
        <v>16</v>
      </c>
      <c r="F4236" t="s">
        <v>12</v>
      </c>
      <c r="G4236">
        <v>844397</v>
      </c>
      <c r="H4236">
        <v>5500019188</v>
      </c>
      <c r="I4236">
        <v>280</v>
      </c>
      <c r="J4236" s="29">
        <v>1</v>
      </c>
      <c r="K4236" s="29" t="s">
        <v>627</v>
      </c>
      <c r="L4236" t="str">
        <f>IFERROR(VLOOKUP(Detalle_OC[[#This Row],[Centro]]&amp;Detalle_OC[[#This Row],[Nro Almacen]],Almacen!A:D,4,FALSE),"")</f>
        <v>Montelima</v>
      </c>
    </row>
    <row r="4237" spans="1:12" x14ac:dyDescent="0.3">
      <c r="A4237" s="29" t="str">
        <f>Detalle_OC[[#This Row],[Centro]]&amp;Detalle_OC[[#This Row],[Nom Almacen]]&amp;Detalle_OC[[#This Row],[Material]]&amp;Detalle_OC[[#This Row],[Pedido]]&amp;Detalle_OC[[#This Row],[Posicion]]</f>
        <v>Agricola del Chira PlantaMontelima8445415500019188460</v>
      </c>
      <c r="B4237" t="s">
        <v>28</v>
      </c>
      <c r="C4237" t="s">
        <v>82</v>
      </c>
      <c r="D4237" s="11">
        <v>44289</v>
      </c>
      <c r="E4237" t="s">
        <v>16</v>
      </c>
      <c r="F4237" t="s">
        <v>12</v>
      </c>
      <c r="G4237">
        <v>844541</v>
      </c>
      <c r="H4237">
        <v>5500019188</v>
      </c>
      <c r="I4237">
        <v>460</v>
      </c>
      <c r="J4237" s="29">
        <v>1</v>
      </c>
      <c r="K4237" s="29" t="s">
        <v>627</v>
      </c>
      <c r="L4237" t="str">
        <f>IFERROR(VLOOKUP(Detalle_OC[[#This Row],[Centro]]&amp;Detalle_OC[[#This Row],[Nro Almacen]],Almacen!A:D,4,FALSE),"")</f>
        <v>Montelima</v>
      </c>
    </row>
    <row r="4238" spans="1:12" x14ac:dyDescent="0.3">
      <c r="A4238" s="29" t="str">
        <f>Detalle_OC[[#This Row],[Centro]]&amp;Detalle_OC[[#This Row],[Nom Almacen]]&amp;Detalle_OC[[#This Row],[Material]]&amp;Detalle_OC[[#This Row],[Pedido]]&amp;Detalle_OC[[#This Row],[Posicion]]</f>
        <v>Agricola del Chira PlantaMontelima8443995500019188500</v>
      </c>
      <c r="B4238" t="s">
        <v>28</v>
      </c>
      <c r="C4238" t="s">
        <v>82</v>
      </c>
      <c r="D4238" s="11">
        <v>44289</v>
      </c>
      <c r="E4238" t="s">
        <v>16</v>
      </c>
      <c r="F4238" t="s">
        <v>12</v>
      </c>
      <c r="G4238">
        <v>844399</v>
      </c>
      <c r="H4238">
        <v>5500019188</v>
      </c>
      <c r="I4238">
        <v>500</v>
      </c>
      <c r="J4238" s="29">
        <v>1</v>
      </c>
      <c r="K4238" s="29" t="s">
        <v>627</v>
      </c>
      <c r="L4238" t="str">
        <f>IFERROR(VLOOKUP(Detalle_OC[[#This Row],[Centro]]&amp;Detalle_OC[[#This Row],[Nro Almacen]],Almacen!A:D,4,FALSE),"")</f>
        <v>Montelima</v>
      </c>
    </row>
    <row r="4239" spans="1:12" x14ac:dyDescent="0.3">
      <c r="A4239" s="29" t="str">
        <f>Detalle_OC[[#This Row],[Centro]]&amp;Detalle_OC[[#This Row],[Nom Almacen]]&amp;Detalle_OC[[#This Row],[Material]]&amp;Detalle_OC[[#This Row],[Pedido]]&amp;Detalle_OC[[#This Row],[Posicion]]</f>
        <v>Agricola del Chira PlantaMontelima8445345500019188820</v>
      </c>
      <c r="B4239" t="s">
        <v>28</v>
      </c>
      <c r="C4239" t="s">
        <v>82</v>
      </c>
      <c r="D4239" s="11">
        <v>44411</v>
      </c>
      <c r="E4239" t="s">
        <v>16</v>
      </c>
      <c r="F4239" t="s">
        <v>12</v>
      </c>
      <c r="G4239">
        <v>844534</v>
      </c>
      <c r="H4239">
        <v>5500019188</v>
      </c>
      <c r="I4239">
        <v>820</v>
      </c>
      <c r="J4239" s="29">
        <v>1</v>
      </c>
      <c r="K4239" s="29" t="s">
        <v>628</v>
      </c>
      <c r="L4239" t="str">
        <f>IFERROR(VLOOKUP(Detalle_OC[[#This Row],[Centro]]&amp;Detalle_OC[[#This Row],[Nro Almacen]],Almacen!A:D,4,FALSE),"")</f>
        <v>Montelima</v>
      </c>
    </row>
    <row r="4240" spans="1:12" x14ac:dyDescent="0.3">
      <c r="A4240" s="29" t="str">
        <f>Detalle_OC[[#This Row],[Centro]]&amp;Detalle_OC[[#This Row],[Nom Almacen]]&amp;Detalle_OC[[#This Row],[Material]]&amp;Detalle_OC[[#This Row],[Pedido]]&amp;Detalle_OC[[#This Row],[Posicion]]</f>
        <v>Agricola del Chira PlantaMontelima83507355000191881320</v>
      </c>
      <c r="B4240" t="s">
        <v>28</v>
      </c>
      <c r="C4240" t="s">
        <v>82</v>
      </c>
      <c r="D4240" s="11">
        <v>44285</v>
      </c>
      <c r="E4240" t="s">
        <v>16</v>
      </c>
      <c r="F4240" t="s">
        <v>12</v>
      </c>
      <c r="G4240">
        <v>835073</v>
      </c>
      <c r="H4240">
        <v>5500019188</v>
      </c>
      <c r="I4240">
        <v>1320</v>
      </c>
      <c r="J4240" s="29">
        <v>1</v>
      </c>
      <c r="K4240" s="29" t="s">
        <v>628</v>
      </c>
      <c r="L4240" t="str">
        <f>IFERROR(VLOOKUP(Detalle_OC[[#This Row],[Centro]]&amp;Detalle_OC[[#This Row],[Nro Almacen]],Almacen!A:D,4,FALSE),"")</f>
        <v>Montelima</v>
      </c>
    </row>
    <row r="4241" spans="1:12" x14ac:dyDescent="0.3">
      <c r="A4241" s="29" t="str">
        <f>Detalle_OC[[#This Row],[Centro]]&amp;Detalle_OC[[#This Row],[Nom Almacen]]&amp;Detalle_OC[[#This Row],[Material]]&amp;Detalle_OC[[#This Row],[Pedido]]&amp;Detalle_OC[[#This Row],[Posicion]]</f>
        <v>Agricola del Chira PlantaMontelima8445175500019188340</v>
      </c>
      <c r="B4241" t="s">
        <v>28</v>
      </c>
      <c r="C4241" t="s">
        <v>82</v>
      </c>
      <c r="D4241" s="11">
        <v>44282</v>
      </c>
      <c r="E4241" t="s">
        <v>16</v>
      </c>
      <c r="F4241" t="s">
        <v>12</v>
      </c>
      <c r="G4241">
        <v>844517</v>
      </c>
      <c r="H4241">
        <v>5500019188</v>
      </c>
      <c r="I4241">
        <v>340</v>
      </c>
      <c r="J4241" s="29">
        <v>1</v>
      </c>
      <c r="K4241" s="29" t="s">
        <v>629</v>
      </c>
      <c r="L4241" t="str">
        <f>IFERROR(VLOOKUP(Detalle_OC[[#This Row],[Centro]]&amp;Detalle_OC[[#This Row],[Nro Almacen]],Almacen!A:D,4,FALSE),"")</f>
        <v>Montelima</v>
      </c>
    </row>
    <row r="4242" spans="1:12" x14ac:dyDescent="0.3">
      <c r="A4242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4242" t="s">
        <v>28</v>
      </c>
      <c r="C4242" t="s">
        <v>82</v>
      </c>
      <c r="D4242" s="11">
        <v>44278</v>
      </c>
      <c r="E4242" t="s">
        <v>16</v>
      </c>
      <c r="F4242" t="s">
        <v>12</v>
      </c>
      <c r="G4242">
        <v>844523</v>
      </c>
      <c r="H4242">
        <v>5500019188</v>
      </c>
      <c r="I4242">
        <v>140</v>
      </c>
      <c r="J4242" s="29">
        <v>1</v>
      </c>
      <c r="K4242" s="29" t="s">
        <v>630</v>
      </c>
      <c r="L4242" t="str">
        <f>IFERROR(VLOOKUP(Detalle_OC[[#This Row],[Centro]]&amp;Detalle_OC[[#This Row],[Nro Almacen]],Almacen!A:D,4,FALSE),"")</f>
        <v>Montelima</v>
      </c>
    </row>
    <row r="4243" spans="1:12" x14ac:dyDescent="0.3">
      <c r="A4243" s="29" t="str">
        <f>Detalle_OC[[#This Row],[Centro]]&amp;Detalle_OC[[#This Row],[Nom Almacen]]&amp;Detalle_OC[[#This Row],[Material]]&amp;Detalle_OC[[#This Row],[Pedido]]&amp;Detalle_OC[[#This Row],[Posicion]]</f>
        <v>Agricola del Chira PlantaMontelima8445435500019188570</v>
      </c>
      <c r="B4243" t="s">
        <v>28</v>
      </c>
      <c r="C4243" t="s">
        <v>82</v>
      </c>
      <c r="D4243" s="11">
        <v>44280</v>
      </c>
      <c r="E4243" t="s">
        <v>16</v>
      </c>
      <c r="F4243" t="s">
        <v>12</v>
      </c>
      <c r="G4243">
        <v>844543</v>
      </c>
      <c r="H4243">
        <v>5500019188</v>
      </c>
      <c r="I4243">
        <v>570</v>
      </c>
      <c r="J4243" s="29">
        <v>1</v>
      </c>
      <c r="K4243" s="29" t="s">
        <v>630</v>
      </c>
      <c r="L4243" t="str">
        <f>IFERROR(VLOOKUP(Detalle_OC[[#This Row],[Centro]]&amp;Detalle_OC[[#This Row],[Nro Almacen]],Almacen!A:D,4,FALSE),"")</f>
        <v>Montelima</v>
      </c>
    </row>
    <row r="4244" spans="1:12" x14ac:dyDescent="0.3">
      <c r="A4244" s="29" t="str">
        <f>Detalle_OC[[#This Row],[Centro]]&amp;Detalle_OC[[#This Row],[Nom Almacen]]&amp;Detalle_OC[[#This Row],[Material]]&amp;Detalle_OC[[#This Row],[Pedido]]&amp;Detalle_OC[[#This Row],[Posicion]]</f>
        <v>Agricola del Chira PlantaMontelima8445425500019188680</v>
      </c>
      <c r="B4244" t="s">
        <v>28</v>
      </c>
      <c r="C4244" t="s">
        <v>82</v>
      </c>
      <c r="D4244" s="11">
        <v>44281</v>
      </c>
      <c r="E4244" t="s">
        <v>16</v>
      </c>
      <c r="F4244" t="s">
        <v>12</v>
      </c>
      <c r="G4244">
        <v>844542</v>
      </c>
      <c r="H4244">
        <v>5500019188</v>
      </c>
      <c r="I4244">
        <v>680</v>
      </c>
      <c r="J4244" s="29">
        <v>1</v>
      </c>
      <c r="K4244" s="29" t="s">
        <v>630</v>
      </c>
      <c r="L4244" t="str">
        <f>IFERROR(VLOOKUP(Detalle_OC[[#This Row],[Centro]]&amp;Detalle_OC[[#This Row],[Nro Almacen]],Almacen!A:D,4,FALSE),"")</f>
        <v>Montelima</v>
      </c>
    </row>
    <row r="4245" spans="1:12" x14ac:dyDescent="0.3">
      <c r="A4245" s="29" t="str">
        <f>Detalle_OC[[#This Row],[Centro]]&amp;Detalle_OC[[#This Row],[Nom Almacen]]&amp;Detalle_OC[[#This Row],[Material]]&amp;Detalle_OC[[#This Row],[Pedido]]&amp;Detalle_OC[[#This Row],[Posicion]]</f>
        <v>Agricola del Chira PlantaMontelima8445015500019188760</v>
      </c>
      <c r="B4245" t="s">
        <v>28</v>
      </c>
      <c r="C4245" t="s">
        <v>82</v>
      </c>
      <c r="D4245" s="11">
        <v>44281</v>
      </c>
      <c r="E4245" t="s">
        <v>16</v>
      </c>
      <c r="F4245" t="s">
        <v>12</v>
      </c>
      <c r="G4245">
        <v>844501</v>
      </c>
      <c r="H4245">
        <v>5500019188</v>
      </c>
      <c r="I4245">
        <v>760</v>
      </c>
      <c r="J4245" s="29">
        <v>1</v>
      </c>
      <c r="K4245" s="29" t="s">
        <v>630</v>
      </c>
      <c r="L4245" t="str">
        <f>IFERROR(VLOOKUP(Detalle_OC[[#This Row],[Centro]]&amp;Detalle_OC[[#This Row],[Nro Almacen]],Almacen!A:D,4,FALSE),"")</f>
        <v>Montelima</v>
      </c>
    </row>
    <row r="4246" spans="1:12" x14ac:dyDescent="0.3">
      <c r="A4246" s="29" t="str">
        <f>Detalle_OC[[#This Row],[Centro]]&amp;Detalle_OC[[#This Row],[Nom Almacen]]&amp;Detalle_OC[[#This Row],[Material]]&amp;Detalle_OC[[#This Row],[Pedido]]&amp;Detalle_OC[[#This Row],[Posicion]]</f>
        <v>Agricola del Chira PlantaMontelima89230155000191881220</v>
      </c>
      <c r="B4246" t="s">
        <v>28</v>
      </c>
      <c r="C4246" t="s">
        <v>82</v>
      </c>
      <c r="D4246" s="11">
        <v>44281</v>
      </c>
      <c r="E4246" t="s">
        <v>16</v>
      </c>
      <c r="F4246" t="s">
        <v>12</v>
      </c>
      <c r="G4246">
        <v>892301</v>
      </c>
      <c r="H4246">
        <v>5500019188</v>
      </c>
      <c r="I4246">
        <v>1220</v>
      </c>
      <c r="J4246" s="29">
        <v>1</v>
      </c>
      <c r="K4246" s="29" t="s">
        <v>630</v>
      </c>
      <c r="L4246" t="str">
        <f>IFERROR(VLOOKUP(Detalle_OC[[#This Row],[Centro]]&amp;Detalle_OC[[#This Row],[Nro Almacen]],Almacen!A:D,4,FALSE),"")</f>
        <v>Montelima</v>
      </c>
    </row>
    <row r="4247" spans="1:12" x14ac:dyDescent="0.3">
      <c r="A4247" s="29" t="str">
        <f>Detalle_OC[[#This Row],[Centro]]&amp;Detalle_OC[[#This Row],[Nom Almacen]]&amp;Detalle_OC[[#This Row],[Material]]&amp;Detalle_OC[[#This Row],[Pedido]]&amp;Detalle_OC[[#This Row],[Posicion]]</f>
        <v>Agricola del Chira PlantaMontelima83705855000191881430</v>
      </c>
      <c r="B4247" t="s">
        <v>28</v>
      </c>
      <c r="C4247" t="s">
        <v>82</v>
      </c>
      <c r="D4247" s="11">
        <v>44281</v>
      </c>
      <c r="E4247" t="s">
        <v>16</v>
      </c>
      <c r="F4247" t="s">
        <v>12</v>
      </c>
      <c r="G4247">
        <v>837058</v>
      </c>
      <c r="H4247">
        <v>5500019188</v>
      </c>
      <c r="I4247">
        <v>1430</v>
      </c>
      <c r="J4247" s="29">
        <v>1</v>
      </c>
      <c r="K4247" s="29" t="s">
        <v>630</v>
      </c>
      <c r="L4247" t="str">
        <f>IFERROR(VLOOKUP(Detalle_OC[[#This Row],[Centro]]&amp;Detalle_OC[[#This Row],[Nro Almacen]],Almacen!A:D,4,FALSE),"")</f>
        <v>Montelima</v>
      </c>
    </row>
    <row r="4248" spans="1:12" x14ac:dyDescent="0.3">
      <c r="A4248" s="29" t="str">
        <f>Detalle_OC[[#This Row],[Centro]]&amp;Detalle_OC[[#This Row],[Nom Almacen]]&amp;Detalle_OC[[#This Row],[Material]]&amp;Detalle_OC[[#This Row],[Pedido]]&amp;Detalle_OC[[#This Row],[Posicion]]</f>
        <v>Agricola del Chira PlantaMontelima7002962855000191881530</v>
      </c>
      <c r="B4248" t="s">
        <v>28</v>
      </c>
      <c r="C4248" t="s">
        <v>82</v>
      </c>
      <c r="D4248" s="11">
        <v>44281</v>
      </c>
      <c r="E4248" t="s">
        <v>16</v>
      </c>
      <c r="F4248" t="s">
        <v>12</v>
      </c>
      <c r="G4248">
        <v>70029628</v>
      </c>
      <c r="H4248">
        <v>5500019188</v>
      </c>
      <c r="I4248">
        <v>1530</v>
      </c>
      <c r="J4248" s="29">
        <v>1</v>
      </c>
      <c r="K4248" s="29" t="s">
        <v>630</v>
      </c>
      <c r="L4248" t="str">
        <f>IFERROR(VLOOKUP(Detalle_OC[[#This Row],[Centro]]&amp;Detalle_OC[[#This Row],[Nro Almacen]],Almacen!A:D,4,FALSE),"")</f>
        <v>Montelima</v>
      </c>
    </row>
    <row r="4249" spans="1:12" x14ac:dyDescent="0.3">
      <c r="A4249" s="29" t="str">
        <f>Detalle_OC[[#This Row],[Centro]]&amp;Detalle_OC[[#This Row],[Nom Almacen]]&amp;Detalle_OC[[#This Row],[Material]]&amp;Detalle_OC[[#This Row],[Pedido]]&amp;Detalle_OC[[#This Row],[Posicion]]</f>
        <v>Agricola del Chira PlantaMontelima7002962955000191881540</v>
      </c>
      <c r="B4249" t="s">
        <v>28</v>
      </c>
      <c r="C4249" t="s">
        <v>82</v>
      </c>
      <c r="D4249" s="11">
        <v>44281</v>
      </c>
      <c r="E4249" t="s">
        <v>16</v>
      </c>
      <c r="F4249" t="s">
        <v>12</v>
      </c>
      <c r="G4249">
        <v>70029629</v>
      </c>
      <c r="H4249">
        <v>5500019188</v>
      </c>
      <c r="I4249">
        <v>1540</v>
      </c>
      <c r="J4249" s="29">
        <v>1</v>
      </c>
      <c r="K4249" s="29" t="s">
        <v>630</v>
      </c>
      <c r="L4249" t="str">
        <f>IFERROR(VLOOKUP(Detalle_OC[[#This Row],[Centro]]&amp;Detalle_OC[[#This Row],[Nro Almacen]],Almacen!A:D,4,FALSE),"")</f>
        <v>Montelima</v>
      </c>
    </row>
    <row r="4250" spans="1:12" x14ac:dyDescent="0.3">
      <c r="A4250" s="29" t="str">
        <f>Detalle_OC[[#This Row],[Centro]]&amp;Detalle_OC[[#This Row],[Nom Almacen]]&amp;Detalle_OC[[#This Row],[Material]]&amp;Detalle_OC[[#This Row],[Pedido]]&amp;Detalle_OC[[#This Row],[Posicion]]</f>
        <v>Agricola del Chira PlantaMontelima7003088155000191881770</v>
      </c>
      <c r="B4250" t="s">
        <v>28</v>
      </c>
      <c r="C4250" t="s">
        <v>82</v>
      </c>
      <c r="D4250" s="11">
        <v>44281</v>
      </c>
      <c r="E4250" t="s">
        <v>16</v>
      </c>
      <c r="F4250" t="s">
        <v>12</v>
      </c>
      <c r="G4250">
        <v>70030881</v>
      </c>
      <c r="H4250">
        <v>5500019188</v>
      </c>
      <c r="I4250">
        <v>1770</v>
      </c>
      <c r="J4250" s="29">
        <v>1</v>
      </c>
      <c r="K4250" s="29" t="s">
        <v>630</v>
      </c>
      <c r="L4250" t="str">
        <f>IFERROR(VLOOKUP(Detalle_OC[[#This Row],[Centro]]&amp;Detalle_OC[[#This Row],[Nro Almacen]],Almacen!A:D,4,FALSE),"")</f>
        <v>Montelima</v>
      </c>
    </row>
    <row r="4251" spans="1:12" x14ac:dyDescent="0.3">
      <c r="A4251" s="29" t="str">
        <f>Detalle_OC[[#This Row],[Centro]]&amp;Detalle_OC[[#This Row],[Nom Almacen]]&amp;Detalle_OC[[#This Row],[Material]]&amp;Detalle_OC[[#This Row],[Pedido]]&amp;Detalle_OC[[#This Row],[Posicion]]</f>
        <v>Agricola del Chira PlantaMontelima8445095500019188260</v>
      </c>
      <c r="B4251" t="s">
        <v>28</v>
      </c>
      <c r="C4251" t="s">
        <v>82</v>
      </c>
      <c r="D4251" s="11">
        <v>44280</v>
      </c>
      <c r="E4251" t="s">
        <v>16</v>
      </c>
      <c r="F4251" t="s">
        <v>12</v>
      </c>
      <c r="G4251">
        <v>844509</v>
      </c>
      <c r="H4251">
        <v>5500019188</v>
      </c>
      <c r="I4251">
        <v>260</v>
      </c>
      <c r="J4251" s="29">
        <v>1</v>
      </c>
      <c r="K4251" s="29" t="s">
        <v>631</v>
      </c>
      <c r="L4251" t="str">
        <f>IFERROR(VLOOKUP(Detalle_OC[[#This Row],[Centro]]&amp;Detalle_OC[[#This Row],[Nro Almacen]],Almacen!A:D,4,FALSE),"")</f>
        <v>Montelima</v>
      </c>
    </row>
    <row r="4252" spans="1:12" x14ac:dyDescent="0.3">
      <c r="A4252" s="29" t="str">
        <f>Detalle_OC[[#This Row],[Centro]]&amp;Detalle_OC[[#This Row],[Nom Almacen]]&amp;Detalle_OC[[#This Row],[Material]]&amp;Detalle_OC[[#This Row],[Pedido]]&amp;Detalle_OC[[#This Row],[Posicion]]</f>
        <v>Agricola del Chira PlantaMontelima8445365500019188330</v>
      </c>
      <c r="B4252" t="s">
        <v>28</v>
      </c>
      <c r="C4252" t="s">
        <v>82</v>
      </c>
      <c r="D4252" s="11">
        <v>44280</v>
      </c>
      <c r="E4252" t="s">
        <v>16</v>
      </c>
      <c r="F4252" t="s">
        <v>12</v>
      </c>
      <c r="G4252">
        <v>844536</v>
      </c>
      <c r="H4252">
        <v>5500019188</v>
      </c>
      <c r="I4252">
        <v>330</v>
      </c>
      <c r="J4252" s="29">
        <v>1</v>
      </c>
      <c r="K4252" s="29" t="s">
        <v>631</v>
      </c>
      <c r="L4252" t="str">
        <f>IFERROR(VLOOKUP(Detalle_OC[[#This Row],[Centro]]&amp;Detalle_OC[[#This Row],[Nro Almacen]],Almacen!A:D,4,FALSE),"")</f>
        <v>Montelima</v>
      </c>
    </row>
    <row r="4253" spans="1:12" x14ac:dyDescent="0.3">
      <c r="A4253" s="29" t="str">
        <f>Detalle_OC[[#This Row],[Centro]]&amp;Detalle_OC[[#This Row],[Nom Almacen]]&amp;Detalle_OC[[#This Row],[Material]]&amp;Detalle_OC[[#This Row],[Pedido]]&amp;Detalle_OC[[#This Row],[Posicion]]</f>
        <v>Agricola del Chira PlantaMontelima7002963055000191881640</v>
      </c>
      <c r="B4253" t="s">
        <v>28</v>
      </c>
      <c r="C4253" t="s">
        <v>82</v>
      </c>
      <c r="D4253" s="11">
        <v>44280</v>
      </c>
      <c r="E4253" t="s">
        <v>16</v>
      </c>
      <c r="F4253" t="s">
        <v>12</v>
      </c>
      <c r="G4253">
        <v>70029630</v>
      </c>
      <c r="H4253">
        <v>5500019188</v>
      </c>
      <c r="I4253">
        <v>1640</v>
      </c>
      <c r="J4253" s="29">
        <v>1</v>
      </c>
      <c r="K4253" s="29" t="s">
        <v>631</v>
      </c>
      <c r="L4253" t="str">
        <f>IFERROR(VLOOKUP(Detalle_OC[[#This Row],[Centro]]&amp;Detalle_OC[[#This Row],[Nro Almacen]],Almacen!A:D,4,FALSE),"")</f>
        <v>Montelima</v>
      </c>
    </row>
    <row r="4254" spans="1:12" x14ac:dyDescent="0.3">
      <c r="A4254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4254" t="s">
        <v>28</v>
      </c>
      <c r="C4254" t="s">
        <v>84</v>
      </c>
      <c r="D4254" s="11">
        <v>44280</v>
      </c>
      <c r="E4254" t="s">
        <v>16</v>
      </c>
      <c r="F4254" t="s">
        <v>85</v>
      </c>
      <c r="G4254">
        <v>801846</v>
      </c>
      <c r="H4254">
        <v>5500022336</v>
      </c>
      <c r="I4254">
        <v>10</v>
      </c>
      <c r="J4254" s="29">
        <v>1</v>
      </c>
      <c r="K4254" s="29" t="s">
        <v>631</v>
      </c>
      <c r="L4254" t="str">
        <f>IFERROR(VLOOKUP(Detalle_OC[[#This Row],[Centro]]&amp;Detalle_OC[[#This Row],[Nro Almacen]],Almacen!A:D,4,FALSE),"")</f>
        <v>Montelima</v>
      </c>
    </row>
    <row r="4255" spans="1:12" x14ac:dyDescent="0.3">
      <c r="A4255" s="29" t="str">
        <f>Detalle_OC[[#This Row],[Centro]]&amp;Detalle_OC[[#This Row],[Nom Almacen]]&amp;Detalle_OC[[#This Row],[Material]]&amp;Detalle_OC[[#This Row],[Pedido]]&amp;Detalle_OC[[#This Row],[Posicion]]</f>
        <v>Sucroalcolera del Chira PlantaMontelima813224550002233650</v>
      </c>
      <c r="B4255" t="s">
        <v>28</v>
      </c>
      <c r="C4255" t="s">
        <v>84</v>
      </c>
      <c r="D4255" s="11">
        <v>44280</v>
      </c>
      <c r="E4255" t="s">
        <v>16</v>
      </c>
      <c r="F4255" t="s">
        <v>85</v>
      </c>
      <c r="G4255">
        <v>813224</v>
      </c>
      <c r="H4255">
        <v>5500022336</v>
      </c>
      <c r="I4255">
        <v>50</v>
      </c>
      <c r="J4255" s="29">
        <v>1</v>
      </c>
      <c r="K4255" s="29" t="s">
        <v>631</v>
      </c>
      <c r="L4255" t="str">
        <f>IFERROR(VLOOKUP(Detalle_OC[[#This Row],[Centro]]&amp;Detalle_OC[[#This Row],[Nro Almacen]],Almacen!A:D,4,FALSE),"")</f>
        <v>Montelima</v>
      </c>
    </row>
    <row r="4256" spans="1:12" x14ac:dyDescent="0.3">
      <c r="A4256" s="29" t="str">
        <f>Detalle_OC[[#This Row],[Centro]]&amp;Detalle_OC[[#This Row],[Nom Almacen]]&amp;Detalle_OC[[#This Row],[Material]]&amp;Detalle_OC[[#This Row],[Pedido]]&amp;Detalle_OC[[#This Row],[Posicion]]</f>
        <v>Agricola del Chira PlantaMontelima808069550002233830</v>
      </c>
      <c r="B4256" t="s">
        <v>28</v>
      </c>
      <c r="C4256" t="s">
        <v>84</v>
      </c>
      <c r="D4256" s="11">
        <v>44280</v>
      </c>
      <c r="E4256" t="s">
        <v>16</v>
      </c>
      <c r="F4256" t="s">
        <v>12</v>
      </c>
      <c r="G4256">
        <v>808069</v>
      </c>
      <c r="H4256">
        <v>5500022338</v>
      </c>
      <c r="I4256">
        <v>30</v>
      </c>
      <c r="J4256" s="29">
        <v>1</v>
      </c>
      <c r="K4256" s="29" t="s">
        <v>631</v>
      </c>
      <c r="L4256" t="str">
        <f>IFERROR(VLOOKUP(Detalle_OC[[#This Row],[Centro]]&amp;Detalle_OC[[#This Row],[Nro Almacen]],Almacen!A:D,4,FALSE),"")</f>
        <v>Montelima</v>
      </c>
    </row>
    <row r="4257" spans="1:12" x14ac:dyDescent="0.3">
      <c r="A4257" s="29" t="str">
        <f>Detalle_OC[[#This Row],[Centro]]&amp;Detalle_OC[[#This Row],[Nom Almacen]]&amp;Detalle_OC[[#This Row],[Material]]&amp;Detalle_OC[[#This Row],[Pedido]]&amp;Detalle_OC[[#This Row],[Posicion]]</f>
        <v>Agricola del Chira PlantaMontelima708707550002233850</v>
      </c>
      <c r="B4257" t="s">
        <v>28</v>
      </c>
      <c r="C4257" t="s">
        <v>84</v>
      </c>
      <c r="D4257" s="11">
        <v>44280</v>
      </c>
      <c r="E4257" t="s">
        <v>16</v>
      </c>
      <c r="F4257" t="s">
        <v>12</v>
      </c>
      <c r="G4257">
        <v>708707</v>
      </c>
      <c r="H4257">
        <v>5500022338</v>
      </c>
      <c r="I4257">
        <v>50</v>
      </c>
      <c r="J4257" s="29">
        <v>1</v>
      </c>
      <c r="K4257" s="29" t="s">
        <v>631</v>
      </c>
      <c r="L4257" t="str">
        <f>IFERROR(VLOOKUP(Detalle_OC[[#This Row],[Centro]]&amp;Detalle_OC[[#This Row],[Nro Almacen]],Almacen!A:D,4,FALSE),"")</f>
        <v>Montelima</v>
      </c>
    </row>
    <row r="4258" spans="1:12" x14ac:dyDescent="0.3">
      <c r="A4258" s="29" t="str">
        <f>Detalle_OC[[#This Row],[Centro]]&amp;Detalle_OC[[#This Row],[Nom Almacen]]&amp;Detalle_OC[[#This Row],[Material]]&amp;Detalle_OC[[#This Row],[Pedido]]&amp;Detalle_OC[[#This Row],[Posicion]]</f>
        <v>Agricola del Chira PlantaMontelima813224550002233870</v>
      </c>
      <c r="B4258" t="s">
        <v>28</v>
      </c>
      <c r="C4258" t="s">
        <v>84</v>
      </c>
      <c r="D4258" s="11">
        <v>44280</v>
      </c>
      <c r="E4258" t="s">
        <v>16</v>
      </c>
      <c r="F4258" t="s">
        <v>12</v>
      </c>
      <c r="G4258">
        <v>813224</v>
      </c>
      <c r="H4258">
        <v>5500022338</v>
      </c>
      <c r="I4258">
        <v>70</v>
      </c>
      <c r="J4258" s="29">
        <v>1</v>
      </c>
      <c r="K4258" s="29" t="s">
        <v>631</v>
      </c>
      <c r="L4258" t="str">
        <f>IFERROR(VLOOKUP(Detalle_OC[[#This Row],[Centro]]&amp;Detalle_OC[[#This Row],[Nro Almacen]],Almacen!A:D,4,FALSE),"")</f>
        <v>Montelima</v>
      </c>
    </row>
    <row r="4259" spans="1:12" x14ac:dyDescent="0.3">
      <c r="A4259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4259" t="s">
        <v>28</v>
      </c>
      <c r="C4259" t="s">
        <v>84</v>
      </c>
      <c r="D4259" s="11">
        <v>44274</v>
      </c>
      <c r="E4259" t="s">
        <v>16</v>
      </c>
      <c r="F4259" t="s">
        <v>85</v>
      </c>
      <c r="G4259">
        <v>801846</v>
      </c>
      <c r="H4259">
        <v>5500022336</v>
      </c>
      <c r="I4259">
        <v>10</v>
      </c>
      <c r="J4259" s="29">
        <v>1</v>
      </c>
      <c r="K4259" s="29" t="s">
        <v>632</v>
      </c>
      <c r="L4259" t="str">
        <f>IFERROR(VLOOKUP(Detalle_OC[[#This Row],[Centro]]&amp;Detalle_OC[[#This Row],[Nro Almacen]],Almacen!A:D,4,FALSE),"")</f>
        <v>Montelima</v>
      </c>
    </row>
    <row r="4260" spans="1:12" x14ac:dyDescent="0.3">
      <c r="A4260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4260" t="s">
        <v>28</v>
      </c>
      <c r="C4260" t="s">
        <v>84</v>
      </c>
      <c r="D4260" s="11">
        <v>44265</v>
      </c>
      <c r="E4260" t="s">
        <v>16</v>
      </c>
      <c r="F4260" t="s">
        <v>85</v>
      </c>
      <c r="G4260">
        <v>801846</v>
      </c>
      <c r="H4260">
        <v>5500022336</v>
      </c>
      <c r="I4260">
        <v>10</v>
      </c>
      <c r="J4260" s="29">
        <v>1</v>
      </c>
      <c r="K4260" s="29" t="s">
        <v>633</v>
      </c>
      <c r="L4260" t="str">
        <f>IFERROR(VLOOKUP(Detalle_OC[[#This Row],[Centro]]&amp;Detalle_OC[[#This Row],[Nro Almacen]],Almacen!A:D,4,FALSE),"")</f>
        <v>Montelima</v>
      </c>
    </row>
    <row r="4261" spans="1:12" x14ac:dyDescent="0.3">
      <c r="A4261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4261" t="s">
        <v>28</v>
      </c>
      <c r="C4261" t="s">
        <v>84</v>
      </c>
      <c r="D4261" s="11">
        <v>44265</v>
      </c>
      <c r="E4261" t="s">
        <v>16</v>
      </c>
      <c r="F4261" t="s">
        <v>85</v>
      </c>
      <c r="G4261">
        <v>806591</v>
      </c>
      <c r="H4261">
        <v>5500022336</v>
      </c>
      <c r="I4261">
        <v>20</v>
      </c>
      <c r="J4261" s="29">
        <v>1</v>
      </c>
      <c r="K4261" s="29" t="s">
        <v>633</v>
      </c>
      <c r="L4261" t="str">
        <f>IFERROR(VLOOKUP(Detalle_OC[[#This Row],[Centro]]&amp;Detalle_OC[[#This Row],[Nro Almacen]],Almacen!A:D,4,FALSE),"")</f>
        <v>Montelima</v>
      </c>
    </row>
    <row r="4262" spans="1:12" x14ac:dyDescent="0.3">
      <c r="A4262" s="29" t="str">
        <f>Detalle_OC[[#This Row],[Centro]]&amp;Detalle_OC[[#This Row],[Nom Almacen]]&amp;Detalle_OC[[#This Row],[Material]]&amp;Detalle_OC[[#This Row],[Pedido]]&amp;Detalle_OC[[#This Row],[Posicion]]</f>
        <v>Agricola del Chira PlantaMontelima726335550002233860</v>
      </c>
      <c r="B4262" t="s">
        <v>28</v>
      </c>
      <c r="C4262" t="s">
        <v>84</v>
      </c>
      <c r="D4262" s="11">
        <v>44265</v>
      </c>
      <c r="E4262" t="s">
        <v>16</v>
      </c>
      <c r="F4262" t="s">
        <v>12</v>
      </c>
      <c r="G4262">
        <v>726335</v>
      </c>
      <c r="H4262">
        <v>5500022338</v>
      </c>
      <c r="I4262">
        <v>60</v>
      </c>
      <c r="J4262" s="29">
        <v>1</v>
      </c>
      <c r="K4262" s="29" t="s">
        <v>633</v>
      </c>
      <c r="L4262" t="str">
        <f>IFERROR(VLOOKUP(Detalle_OC[[#This Row],[Centro]]&amp;Detalle_OC[[#This Row],[Nro Almacen]],Almacen!A:D,4,FALSE),"")</f>
        <v>Montelima</v>
      </c>
    </row>
    <row r="4263" spans="1:12" x14ac:dyDescent="0.3">
      <c r="A4263" s="29" t="str">
        <f>Detalle_OC[[#This Row],[Centro]]&amp;Detalle_OC[[#This Row],[Nom Almacen]]&amp;Detalle_OC[[#This Row],[Material]]&amp;Detalle_OC[[#This Row],[Pedido]]&amp;Detalle_OC[[#This Row],[Posicion]]</f>
        <v>Agricola del Chira PlantaMontelima738241550001918880</v>
      </c>
      <c r="B4263" t="s">
        <v>28</v>
      </c>
      <c r="C4263" t="s">
        <v>82</v>
      </c>
      <c r="D4263" s="11">
        <v>44264</v>
      </c>
      <c r="E4263" t="s">
        <v>16</v>
      </c>
      <c r="F4263" t="s">
        <v>12</v>
      </c>
      <c r="G4263">
        <v>738241</v>
      </c>
      <c r="H4263">
        <v>5500019188</v>
      </c>
      <c r="I4263">
        <v>80</v>
      </c>
      <c r="J4263" s="29">
        <v>1</v>
      </c>
      <c r="K4263" s="29" t="s">
        <v>634</v>
      </c>
      <c r="L4263" t="str">
        <f>IFERROR(VLOOKUP(Detalle_OC[[#This Row],[Centro]]&amp;Detalle_OC[[#This Row],[Nro Almacen]],Almacen!A:D,4,FALSE),"")</f>
        <v>Montelima</v>
      </c>
    </row>
    <row r="4264" spans="1:12" x14ac:dyDescent="0.3">
      <c r="A4264" s="29" t="str">
        <f>Detalle_OC[[#This Row],[Centro]]&amp;Detalle_OC[[#This Row],[Nom Almacen]]&amp;Detalle_OC[[#This Row],[Material]]&amp;Detalle_OC[[#This Row],[Pedido]]&amp;Detalle_OC[[#This Row],[Posicion]]</f>
        <v>Agricola del Chira PlantaMontelima8443985500019188290</v>
      </c>
      <c r="B4264" t="s">
        <v>28</v>
      </c>
      <c r="C4264" t="s">
        <v>82</v>
      </c>
      <c r="D4264" s="11">
        <v>44264</v>
      </c>
      <c r="E4264" t="s">
        <v>16</v>
      </c>
      <c r="F4264" t="s">
        <v>12</v>
      </c>
      <c r="G4264">
        <v>844398</v>
      </c>
      <c r="H4264">
        <v>5500019188</v>
      </c>
      <c r="I4264">
        <v>290</v>
      </c>
      <c r="J4264" s="29">
        <v>1</v>
      </c>
      <c r="K4264" s="29" t="s">
        <v>634</v>
      </c>
      <c r="L4264" t="str">
        <f>IFERROR(VLOOKUP(Detalle_OC[[#This Row],[Centro]]&amp;Detalle_OC[[#This Row],[Nro Almacen]],Almacen!A:D,4,FALSE),"")</f>
        <v>Montelima</v>
      </c>
    </row>
    <row r="4265" spans="1:12" x14ac:dyDescent="0.3">
      <c r="A4265" s="29" t="str">
        <f>Detalle_OC[[#This Row],[Centro]]&amp;Detalle_OC[[#This Row],[Nom Almacen]]&amp;Detalle_OC[[#This Row],[Material]]&amp;Detalle_OC[[#This Row],[Pedido]]&amp;Detalle_OC[[#This Row],[Posicion]]</f>
        <v>Agricola del Chira PlantaMontelima8445395500019188300</v>
      </c>
      <c r="B4265" t="s">
        <v>28</v>
      </c>
      <c r="C4265" t="s">
        <v>82</v>
      </c>
      <c r="D4265" s="11">
        <v>44264</v>
      </c>
      <c r="E4265" t="s">
        <v>16</v>
      </c>
      <c r="F4265" t="s">
        <v>12</v>
      </c>
      <c r="G4265">
        <v>844539</v>
      </c>
      <c r="H4265">
        <v>5500019188</v>
      </c>
      <c r="I4265">
        <v>300</v>
      </c>
      <c r="J4265" s="29">
        <v>1</v>
      </c>
      <c r="K4265" s="29" t="s">
        <v>634</v>
      </c>
      <c r="L4265" t="str">
        <f>IFERROR(VLOOKUP(Detalle_OC[[#This Row],[Centro]]&amp;Detalle_OC[[#This Row],[Nro Almacen]],Almacen!A:D,4,FALSE),"")</f>
        <v>Montelima</v>
      </c>
    </row>
    <row r="4266" spans="1:12" x14ac:dyDescent="0.3">
      <c r="A4266" s="29" t="str">
        <f>Detalle_OC[[#This Row],[Centro]]&amp;Detalle_OC[[#This Row],[Nom Almacen]]&amp;Detalle_OC[[#This Row],[Material]]&amp;Detalle_OC[[#This Row],[Pedido]]&amp;Detalle_OC[[#This Row],[Posicion]]</f>
        <v>Agricola del Chira PlantaMontelima8445295500019188380</v>
      </c>
      <c r="B4266" t="s">
        <v>28</v>
      </c>
      <c r="C4266" t="s">
        <v>82</v>
      </c>
      <c r="D4266" s="11">
        <v>44264</v>
      </c>
      <c r="E4266" t="s">
        <v>16</v>
      </c>
      <c r="F4266" t="s">
        <v>12</v>
      </c>
      <c r="G4266">
        <v>844529</v>
      </c>
      <c r="H4266">
        <v>5500019188</v>
      </c>
      <c r="I4266">
        <v>380</v>
      </c>
      <c r="J4266" s="29">
        <v>1</v>
      </c>
      <c r="K4266" s="29" t="s">
        <v>634</v>
      </c>
      <c r="L4266" t="str">
        <f>IFERROR(VLOOKUP(Detalle_OC[[#This Row],[Centro]]&amp;Detalle_OC[[#This Row],[Nro Almacen]],Almacen!A:D,4,FALSE),"")</f>
        <v>Montelima</v>
      </c>
    </row>
    <row r="4267" spans="1:12" x14ac:dyDescent="0.3">
      <c r="A4267" s="29" t="str">
        <f>Detalle_OC[[#This Row],[Centro]]&amp;Detalle_OC[[#This Row],[Nom Almacen]]&amp;Detalle_OC[[#This Row],[Material]]&amp;Detalle_OC[[#This Row],[Pedido]]&amp;Detalle_OC[[#This Row],[Posicion]]</f>
        <v>Agricola del Chira PlantaMontelima8445375500019188420</v>
      </c>
      <c r="B4267" t="s">
        <v>28</v>
      </c>
      <c r="C4267" t="s">
        <v>82</v>
      </c>
      <c r="D4267" s="11">
        <v>44264</v>
      </c>
      <c r="E4267" t="s">
        <v>16</v>
      </c>
      <c r="F4267" t="s">
        <v>12</v>
      </c>
      <c r="G4267">
        <v>844537</v>
      </c>
      <c r="H4267">
        <v>5500019188</v>
      </c>
      <c r="I4267">
        <v>420</v>
      </c>
      <c r="J4267" s="29">
        <v>1</v>
      </c>
      <c r="K4267" s="29" t="s">
        <v>634</v>
      </c>
      <c r="L4267" t="str">
        <f>IFERROR(VLOOKUP(Detalle_OC[[#This Row],[Centro]]&amp;Detalle_OC[[#This Row],[Nro Almacen]],Almacen!A:D,4,FALSE),"")</f>
        <v>Montelima</v>
      </c>
    </row>
    <row r="4268" spans="1:12" x14ac:dyDescent="0.3">
      <c r="A4268" s="29" t="str">
        <f>Detalle_OC[[#This Row],[Centro]]&amp;Detalle_OC[[#This Row],[Nom Almacen]]&amp;Detalle_OC[[#This Row],[Material]]&amp;Detalle_OC[[#This Row],[Pedido]]&amp;Detalle_OC[[#This Row],[Posicion]]</f>
        <v>Agricola del Chira PlantaMontelima8457155500019188650</v>
      </c>
      <c r="B4268" t="s">
        <v>28</v>
      </c>
      <c r="C4268" t="s">
        <v>82</v>
      </c>
      <c r="D4268" s="11">
        <v>44264</v>
      </c>
      <c r="E4268" t="s">
        <v>16</v>
      </c>
      <c r="F4268" t="s">
        <v>12</v>
      </c>
      <c r="G4268">
        <v>845715</v>
      </c>
      <c r="H4268">
        <v>5500019188</v>
      </c>
      <c r="I4268">
        <v>650</v>
      </c>
      <c r="J4268" s="29">
        <v>1</v>
      </c>
      <c r="K4268" s="29" t="s">
        <v>634</v>
      </c>
      <c r="L4268" t="str">
        <f>IFERROR(VLOOKUP(Detalle_OC[[#This Row],[Centro]]&amp;Detalle_OC[[#This Row],[Nro Almacen]],Almacen!A:D,4,FALSE),"")</f>
        <v>Montelima</v>
      </c>
    </row>
    <row r="4269" spans="1:12" x14ac:dyDescent="0.3">
      <c r="A4269" s="29" t="str">
        <f>Detalle_OC[[#This Row],[Centro]]&amp;Detalle_OC[[#This Row],[Nom Almacen]]&amp;Detalle_OC[[#This Row],[Material]]&amp;Detalle_OC[[#This Row],[Pedido]]&amp;Detalle_OC[[#This Row],[Posicion]]</f>
        <v>Agricola del Chira PlantaMontelima83106655000191881040</v>
      </c>
      <c r="B4269" t="s">
        <v>28</v>
      </c>
      <c r="C4269" t="s">
        <v>82</v>
      </c>
      <c r="D4269" s="11">
        <v>44264</v>
      </c>
      <c r="E4269" t="s">
        <v>16</v>
      </c>
      <c r="F4269" t="s">
        <v>12</v>
      </c>
      <c r="G4269">
        <v>831066</v>
      </c>
      <c r="H4269">
        <v>5500019188</v>
      </c>
      <c r="I4269">
        <v>1040</v>
      </c>
      <c r="J4269" s="29">
        <v>1</v>
      </c>
      <c r="K4269" s="29" t="s">
        <v>634</v>
      </c>
      <c r="L4269" t="str">
        <f>IFERROR(VLOOKUP(Detalle_OC[[#This Row],[Centro]]&amp;Detalle_OC[[#This Row],[Nro Almacen]],Almacen!A:D,4,FALSE),"")</f>
        <v>Montelima</v>
      </c>
    </row>
    <row r="4270" spans="1:12" x14ac:dyDescent="0.3">
      <c r="A4270" s="29" t="str">
        <f>Detalle_OC[[#This Row],[Centro]]&amp;Detalle_OC[[#This Row],[Nom Almacen]]&amp;Detalle_OC[[#This Row],[Material]]&amp;Detalle_OC[[#This Row],[Pedido]]&amp;Detalle_OC[[#This Row],[Posicion]]</f>
        <v>Agricola del Chira PlantaMontelima83507855000191881330</v>
      </c>
      <c r="B4270" t="s">
        <v>28</v>
      </c>
      <c r="C4270" t="s">
        <v>82</v>
      </c>
      <c r="D4270" s="11">
        <v>44264</v>
      </c>
      <c r="E4270" t="s">
        <v>16</v>
      </c>
      <c r="F4270" t="s">
        <v>12</v>
      </c>
      <c r="G4270">
        <v>835078</v>
      </c>
      <c r="H4270">
        <v>5500019188</v>
      </c>
      <c r="I4270">
        <v>1330</v>
      </c>
      <c r="J4270" s="29">
        <v>1</v>
      </c>
      <c r="K4270" s="29" t="s">
        <v>634</v>
      </c>
      <c r="L4270" t="str">
        <f>IFERROR(VLOOKUP(Detalle_OC[[#This Row],[Centro]]&amp;Detalle_OC[[#This Row],[Nro Almacen]],Almacen!A:D,4,FALSE),"")</f>
        <v>Montelima</v>
      </c>
    </row>
    <row r="4271" spans="1:12" x14ac:dyDescent="0.3">
      <c r="A4271" s="29" t="str">
        <f>Detalle_OC[[#This Row],[Centro]]&amp;Detalle_OC[[#This Row],[Nom Almacen]]&amp;Detalle_OC[[#This Row],[Material]]&amp;Detalle_OC[[#This Row],[Pedido]]&amp;Detalle_OC[[#This Row],[Posicion]]</f>
        <v>Agricola del Chira PlantaMontelima7002963255000191881670</v>
      </c>
      <c r="B4271" t="s">
        <v>28</v>
      </c>
      <c r="C4271" t="s">
        <v>82</v>
      </c>
      <c r="D4271" s="11">
        <v>44264</v>
      </c>
      <c r="E4271" t="s">
        <v>16</v>
      </c>
      <c r="F4271" t="s">
        <v>12</v>
      </c>
      <c r="G4271">
        <v>70029632</v>
      </c>
      <c r="H4271">
        <v>5500019188</v>
      </c>
      <c r="I4271">
        <v>1670</v>
      </c>
      <c r="J4271" s="29">
        <v>1</v>
      </c>
      <c r="K4271" s="29" t="s">
        <v>634</v>
      </c>
      <c r="L4271" t="str">
        <f>IFERROR(VLOOKUP(Detalle_OC[[#This Row],[Centro]]&amp;Detalle_OC[[#This Row],[Nro Almacen]],Almacen!A:D,4,FALSE),"")</f>
        <v>Montelima</v>
      </c>
    </row>
    <row r="4272" spans="1:12" x14ac:dyDescent="0.3">
      <c r="A4272" s="29" t="str">
        <f>Detalle_OC[[#This Row],[Centro]]&amp;Detalle_OC[[#This Row],[Nom Almacen]]&amp;Detalle_OC[[#This Row],[Material]]&amp;Detalle_OC[[#This Row],[Pedido]]&amp;Detalle_OC[[#This Row],[Posicion]]</f>
        <v>Agricola del Chira PlantaMontelima7003087855000191881730</v>
      </c>
      <c r="B4272" t="s">
        <v>28</v>
      </c>
      <c r="C4272" t="s">
        <v>82</v>
      </c>
      <c r="D4272" s="11">
        <v>44264</v>
      </c>
      <c r="E4272" t="s">
        <v>16</v>
      </c>
      <c r="F4272" t="s">
        <v>12</v>
      </c>
      <c r="G4272">
        <v>70030878</v>
      </c>
      <c r="H4272">
        <v>5500019188</v>
      </c>
      <c r="I4272">
        <v>1730</v>
      </c>
      <c r="J4272" s="29">
        <v>1</v>
      </c>
      <c r="K4272" s="29" t="s">
        <v>634</v>
      </c>
      <c r="L4272" t="str">
        <f>IFERROR(VLOOKUP(Detalle_OC[[#This Row],[Centro]]&amp;Detalle_OC[[#This Row],[Nro Almacen]],Almacen!A:D,4,FALSE),"")</f>
        <v>Montelima</v>
      </c>
    </row>
    <row r="4273" spans="1:12" x14ac:dyDescent="0.3">
      <c r="A4273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4273" t="s">
        <v>28</v>
      </c>
      <c r="C4273" t="s">
        <v>84</v>
      </c>
      <c r="D4273" s="11">
        <v>44260</v>
      </c>
      <c r="E4273" t="s">
        <v>16</v>
      </c>
      <c r="F4273" t="s">
        <v>85</v>
      </c>
      <c r="G4273">
        <v>801846</v>
      </c>
      <c r="H4273">
        <v>5500022336</v>
      </c>
      <c r="I4273">
        <v>10</v>
      </c>
      <c r="J4273" s="29">
        <v>1</v>
      </c>
      <c r="K4273" s="29" t="s">
        <v>635</v>
      </c>
      <c r="L4273" t="str">
        <f>IFERROR(VLOOKUP(Detalle_OC[[#This Row],[Centro]]&amp;Detalle_OC[[#This Row],[Nro Almacen]],Almacen!A:D,4,FALSE),"")</f>
        <v>Montelima</v>
      </c>
    </row>
    <row r="4274" spans="1:12" x14ac:dyDescent="0.3">
      <c r="A4274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4274" t="s">
        <v>28</v>
      </c>
      <c r="C4274" t="s">
        <v>84</v>
      </c>
      <c r="D4274" s="11">
        <v>44260</v>
      </c>
      <c r="E4274" t="s">
        <v>16</v>
      </c>
      <c r="F4274" t="s">
        <v>85</v>
      </c>
      <c r="G4274">
        <v>806591</v>
      </c>
      <c r="H4274">
        <v>5500022336</v>
      </c>
      <c r="I4274">
        <v>20</v>
      </c>
      <c r="J4274" s="29">
        <v>1</v>
      </c>
      <c r="K4274" s="29" t="s">
        <v>635</v>
      </c>
      <c r="L4274" t="str">
        <f>IFERROR(VLOOKUP(Detalle_OC[[#This Row],[Centro]]&amp;Detalle_OC[[#This Row],[Nro Almacen]],Almacen!A:D,4,FALSE),"")</f>
        <v>Montelima</v>
      </c>
    </row>
    <row r="4275" spans="1:12" x14ac:dyDescent="0.3">
      <c r="A4275" s="29" t="str">
        <f>Detalle_OC[[#This Row],[Centro]]&amp;Detalle_OC[[#This Row],[Nom Almacen]]&amp;Detalle_OC[[#This Row],[Material]]&amp;Detalle_OC[[#This Row],[Pedido]]&amp;Detalle_OC[[#This Row],[Posicion]]</f>
        <v>Sucroalcolera del Chira PlantaMontelima709179550002233630</v>
      </c>
      <c r="B4275" t="s">
        <v>28</v>
      </c>
      <c r="C4275" t="s">
        <v>84</v>
      </c>
      <c r="D4275" s="11">
        <v>44260</v>
      </c>
      <c r="E4275" t="s">
        <v>16</v>
      </c>
      <c r="F4275" t="s">
        <v>85</v>
      </c>
      <c r="G4275">
        <v>709179</v>
      </c>
      <c r="H4275">
        <v>5500022336</v>
      </c>
      <c r="I4275">
        <v>30</v>
      </c>
      <c r="J4275" s="29">
        <v>1</v>
      </c>
      <c r="K4275" s="29" t="s">
        <v>635</v>
      </c>
      <c r="L4275" t="str">
        <f>IFERROR(VLOOKUP(Detalle_OC[[#This Row],[Centro]]&amp;Detalle_OC[[#This Row],[Nro Almacen]],Almacen!A:D,4,FALSE),"")</f>
        <v>Montelima</v>
      </c>
    </row>
    <row r="4276" spans="1:12" x14ac:dyDescent="0.3">
      <c r="A4276" s="29" t="str">
        <f>Detalle_OC[[#This Row],[Centro]]&amp;Detalle_OC[[#This Row],[Nom Almacen]]&amp;Detalle_OC[[#This Row],[Material]]&amp;Detalle_OC[[#This Row],[Pedido]]&amp;Detalle_OC[[#This Row],[Posicion]]</f>
        <v>Sucroalcolera del Chira PlantaMontelima708707550002233640</v>
      </c>
      <c r="B4276" t="s">
        <v>28</v>
      </c>
      <c r="C4276" t="s">
        <v>84</v>
      </c>
      <c r="D4276" s="11">
        <v>44260</v>
      </c>
      <c r="E4276" t="s">
        <v>16</v>
      </c>
      <c r="F4276" t="s">
        <v>85</v>
      </c>
      <c r="G4276">
        <v>708707</v>
      </c>
      <c r="H4276">
        <v>5500022336</v>
      </c>
      <c r="I4276">
        <v>40</v>
      </c>
      <c r="J4276" s="29">
        <v>1</v>
      </c>
      <c r="K4276" s="29" t="s">
        <v>635</v>
      </c>
      <c r="L4276" t="str">
        <f>IFERROR(VLOOKUP(Detalle_OC[[#This Row],[Centro]]&amp;Detalle_OC[[#This Row],[Nro Almacen]],Almacen!A:D,4,FALSE),"")</f>
        <v>Montelima</v>
      </c>
    </row>
    <row r="4277" spans="1:12" x14ac:dyDescent="0.3">
      <c r="A4277" s="29" t="str">
        <f>Detalle_OC[[#This Row],[Centro]]&amp;Detalle_OC[[#This Row],[Nom Almacen]]&amp;Detalle_OC[[#This Row],[Material]]&amp;Detalle_OC[[#This Row],[Pedido]]&amp;Detalle_OC[[#This Row],[Posicion]]</f>
        <v>Sucroalcolera del Chira PlantaMontelima708707550002233640</v>
      </c>
      <c r="B4277" t="s">
        <v>28</v>
      </c>
      <c r="C4277" t="s">
        <v>84</v>
      </c>
      <c r="D4277" s="11">
        <v>44260</v>
      </c>
      <c r="E4277" t="s">
        <v>16</v>
      </c>
      <c r="F4277" t="s">
        <v>85</v>
      </c>
      <c r="G4277">
        <v>708707</v>
      </c>
      <c r="H4277">
        <v>5500022336</v>
      </c>
      <c r="I4277">
        <v>40</v>
      </c>
      <c r="J4277" s="29">
        <v>1</v>
      </c>
      <c r="K4277" s="29" t="s">
        <v>635</v>
      </c>
      <c r="L4277" t="str">
        <f>IFERROR(VLOOKUP(Detalle_OC[[#This Row],[Centro]]&amp;Detalle_OC[[#This Row],[Nro Almacen]],Almacen!A:D,4,FALSE),"")</f>
        <v>Montelima</v>
      </c>
    </row>
    <row r="4278" spans="1:12" x14ac:dyDescent="0.3">
      <c r="A4278" s="29" t="str">
        <f>Detalle_OC[[#This Row],[Centro]]&amp;Detalle_OC[[#This Row],[Nom Almacen]]&amp;Detalle_OC[[#This Row],[Material]]&amp;Detalle_OC[[#This Row],[Pedido]]&amp;Detalle_OC[[#This Row],[Posicion]]</f>
        <v>Sucroalcolera del Chira PlantaMontelima813224550002233650</v>
      </c>
      <c r="B4278" t="s">
        <v>28</v>
      </c>
      <c r="C4278" t="s">
        <v>84</v>
      </c>
      <c r="D4278" s="11">
        <v>44260</v>
      </c>
      <c r="E4278" t="s">
        <v>16</v>
      </c>
      <c r="F4278" t="s">
        <v>85</v>
      </c>
      <c r="G4278">
        <v>813224</v>
      </c>
      <c r="H4278">
        <v>5500022336</v>
      </c>
      <c r="I4278">
        <v>50</v>
      </c>
      <c r="J4278" s="29">
        <v>1</v>
      </c>
      <c r="K4278" s="29" t="s">
        <v>635</v>
      </c>
      <c r="L4278" t="str">
        <f>IFERROR(VLOOKUP(Detalle_OC[[#This Row],[Centro]]&amp;Detalle_OC[[#This Row],[Nro Almacen]],Almacen!A:D,4,FALSE),"")</f>
        <v>Montelima</v>
      </c>
    </row>
    <row r="4279" spans="1:12" x14ac:dyDescent="0.3">
      <c r="A4279" s="29" t="str">
        <f>Detalle_OC[[#This Row],[Centro]]&amp;Detalle_OC[[#This Row],[Nom Almacen]]&amp;Detalle_OC[[#This Row],[Material]]&amp;Detalle_OC[[#This Row],[Pedido]]&amp;Detalle_OC[[#This Row],[Posicion]]</f>
        <v>Agricola del Chira PlantaMontelima82719955000191881020</v>
      </c>
      <c r="B4279" t="s">
        <v>28</v>
      </c>
      <c r="C4279" t="s">
        <v>82</v>
      </c>
      <c r="D4279" s="11">
        <v>44259</v>
      </c>
      <c r="E4279" t="s">
        <v>16</v>
      </c>
      <c r="F4279" t="s">
        <v>12</v>
      </c>
      <c r="G4279">
        <v>827199</v>
      </c>
      <c r="H4279">
        <v>5500019188</v>
      </c>
      <c r="I4279">
        <v>1020</v>
      </c>
      <c r="J4279" s="29">
        <v>1</v>
      </c>
      <c r="K4279" s="29" t="s">
        <v>636</v>
      </c>
      <c r="L4279" t="str">
        <f>IFERROR(VLOOKUP(Detalle_OC[[#This Row],[Centro]]&amp;Detalle_OC[[#This Row],[Nro Almacen]],Almacen!A:D,4,FALSE),"")</f>
        <v>Montelima</v>
      </c>
    </row>
    <row r="4280" spans="1:12" x14ac:dyDescent="0.3">
      <c r="A4280" s="29" t="str">
        <f>Detalle_OC[[#This Row],[Centro]]&amp;Detalle_OC[[#This Row],[Nom Almacen]]&amp;Detalle_OC[[#This Row],[Material]]&amp;Detalle_OC[[#This Row],[Pedido]]&amp;Detalle_OC[[#This Row],[Posicion]]</f>
        <v>Agricola del Chira PlantaMontelima82638555000191881100</v>
      </c>
      <c r="B4280" t="s">
        <v>28</v>
      </c>
      <c r="C4280" t="s">
        <v>82</v>
      </c>
      <c r="D4280" s="11">
        <v>44259</v>
      </c>
      <c r="E4280" t="s">
        <v>16</v>
      </c>
      <c r="F4280" t="s">
        <v>12</v>
      </c>
      <c r="G4280">
        <v>826385</v>
      </c>
      <c r="H4280">
        <v>5500019188</v>
      </c>
      <c r="I4280">
        <v>1100</v>
      </c>
      <c r="J4280" s="29">
        <v>1</v>
      </c>
      <c r="K4280" s="29" t="s">
        <v>636</v>
      </c>
      <c r="L4280" t="str">
        <f>IFERROR(VLOOKUP(Detalle_OC[[#This Row],[Centro]]&amp;Detalle_OC[[#This Row],[Nro Almacen]],Almacen!A:D,4,FALSE),"")</f>
        <v>Montelima</v>
      </c>
    </row>
    <row r="4281" spans="1:12" x14ac:dyDescent="0.3">
      <c r="A4281" s="29" t="str">
        <f>Detalle_OC[[#This Row],[Centro]]&amp;Detalle_OC[[#This Row],[Nom Almacen]]&amp;Detalle_OC[[#This Row],[Material]]&amp;Detalle_OC[[#This Row],[Pedido]]&amp;Detalle_OC[[#This Row],[Posicion]]</f>
        <v>Agricola del Chira PlantaMontelima8445335500019188170</v>
      </c>
      <c r="B4281" t="s">
        <v>28</v>
      </c>
      <c r="C4281" t="s">
        <v>82</v>
      </c>
      <c r="D4281" s="11">
        <v>44251</v>
      </c>
      <c r="E4281" t="s">
        <v>16</v>
      </c>
      <c r="F4281" t="s">
        <v>12</v>
      </c>
      <c r="G4281">
        <v>844533</v>
      </c>
      <c r="H4281">
        <v>5500019188</v>
      </c>
      <c r="I4281">
        <v>170</v>
      </c>
      <c r="J4281" s="29">
        <v>1</v>
      </c>
      <c r="K4281" s="29" t="s">
        <v>637</v>
      </c>
      <c r="L4281" t="str">
        <f>IFERROR(VLOOKUP(Detalle_OC[[#This Row],[Centro]]&amp;Detalle_OC[[#This Row],[Nro Almacen]],Almacen!A:D,4,FALSE),"")</f>
        <v>Montelima</v>
      </c>
    </row>
    <row r="4282" spans="1:12" x14ac:dyDescent="0.3">
      <c r="A4282" s="29" t="str">
        <f>Detalle_OC[[#This Row],[Centro]]&amp;Detalle_OC[[#This Row],[Nom Almacen]]&amp;Detalle_OC[[#This Row],[Material]]&amp;Detalle_OC[[#This Row],[Pedido]]&amp;Detalle_OC[[#This Row],[Posicion]]</f>
        <v>Agricola del Chira PlantaMontelima8445115500019188180</v>
      </c>
      <c r="B4282" t="s">
        <v>28</v>
      </c>
      <c r="C4282" t="s">
        <v>82</v>
      </c>
      <c r="D4282" s="11">
        <v>44251</v>
      </c>
      <c r="E4282" t="s">
        <v>16</v>
      </c>
      <c r="F4282" t="s">
        <v>12</v>
      </c>
      <c r="G4282">
        <v>844511</v>
      </c>
      <c r="H4282">
        <v>5500019188</v>
      </c>
      <c r="I4282">
        <v>180</v>
      </c>
      <c r="J4282" s="29">
        <v>1</v>
      </c>
      <c r="K4282" s="29" t="s">
        <v>637</v>
      </c>
      <c r="L4282" t="str">
        <f>IFERROR(VLOOKUP(Detalle_OC[[#This Row],[Centro]]&amp;Detalle_OC[[#This Row],[Nro Almacen]],Almacen!A:D,4,FALSE),"")</f>
        <v>Montelima</v>
      </c>
    </row>
    <row r="4283" spans="1:12" x14ac:dyDescent="0.3">
      <c r="A4283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4283" t="s">
        <v>28</v>
      </c>
      <c r="C4283" t="s">
        <v>82</v>
      </c>
      <c r="D4283" s="11">
        <v>44251</v>
      </c>
      <c r="E4283" t="s">
        <v>16</v>
      </c>
      <c r="F4283" t="s">
        <v>12</v>
      </c>
      <c r="G4283">
        <v>844515</v>
      </c>
      <c r="H4283">
        <v>5500019188</v>
      </c>
      <c r="I4283">
        <v>200</v>
      </c>
      <c r="J4283" s="29">
        <v>1</v>
      </c>
      <c r="K4283" s="29" t="s">
        <v>637</v>
      </c>
      <c r="L4283" t="str">
        <f>IFERROR(VLOOKUP(Detalle_OC[[#This Row],[Centro]]&amp;Detalle_OC[[#This Row],[Nro Almacen]],Almacen!A:D,4,FALSE),"")</f>
        <v>Montelima</v>
      </c>
    </row>
    <row r="4284" spans="1:12" x14ac:dyDescent="0.3">
      <c r="A4284" s="29" t="str">
        <f>Detalle_OC[[#This Row],[Centro]]&amp;Detalle_OC[[#This Row],[Nom Almacen]]&amp;Detalle_OC[[#This Row],[Material]]&amp;Detalle_OC[[#This Row],[Pedido]]&amp;Detalle_OC[[#This Row],[Posicion]]</f>
        <v>Agricola del Chira PlantaMontelima8445025500019188250</v>
      </c>
      <c r="B4284" t="s">
        <v>28</v>
      </c>
      <c r="C4284" t="s">
        <v>82</v>
      </c>
      <c r="D4284" s="11">
        <v>44251</v>
      </c>
      <c r="E4284" t="s">
        <v>16</v>
      </c>
      <c r="F4284" t="s">
        <v>12</v>
      </c>
      <c r="G4284">
        <v>844502</v>
      </c>
      <c r="H4284">
        <v>5500019188</v>
      </c>
      <c r="I4284">
        <v>250</v>
      </c>
      <c r="J4284" s="29">
        <v>1</v>
      </c>
      <c r="K4284" s="29" t="s">
        <v>637</v>
      </c>
      <c r="L4284" t="str">
        <f>IFERROR(VLOOKUP(Detalle_OC[[#This Row],[Centro]]&amp;Detalle_OC[[#This Row],[Nro Almacen]],Almacen!A:D,4,FALSE),"")</f>
        <v>Montelima</v>
      </c>
    </row>
    <row r="4285" spans="1:12" x14ac:dyDescent="0.3">
      <c r="A4285" s="29" t="str">
        <f>Detalle_OC[[#This Row],[Centro]]&amp;Detalle_OC[[#This Row],[Nom Almacen]]&amp;Detalle_OC[[#This Row],[Material]]&amp;Detalle_OC[[#This Row],[Pedido]]&amp;Detalle_OC[[#This Row],[Posicion]]</f>
        <v>Agricola del Chira PlantaMontelima8443975500019188280</v>
      </c>
      <c r="B4285" t="s">
        <v>28</v>
      </c>
      <c r="C4285" t="s">
        <v>82</v>
      </c>
      <c r="D4285" s="11">
        <v>44251</v>
      </c>
      <c r="E4285" t="s">
        <v>16</v>
      </c>
      <c r="F4285" t="s">
        <v>12</v>
      </c>
      <c r="G4285">
        <v>844397</v>
      </c>
      <c r="H4285">
        <v>5500019188</v>
      </c>
      <c r="I4285">
        <v>280</v>
      </c>
      <c r="J4285" s="29">
        <v>1</v>
      </c>
      <c r="K4285" s="29" t="s">
        <v>637</v>
      </c>
      <c r="L4285" t="str">
        <f>IFERROR(VLOOKUP(Detalle_OC[[#This Row],[Centro]]&amp;Detalle_OC[[#This Row],[Nro Almacen]],Almacen!A:D,4,FALSE),"")</f>
        <v>Montelima</v>
      </c>
    </row>
    <row r="4286" spans="1:12" x14ac:dyDescent="0.3">
      <c r="A4286" s="29" t="str">
        <f>Detalle_OC[[#This Row],[Centro]]&amp;Detalle_OC[[#This Row],[Nom Almacen]]&amp;Detalle_OC[[#This Row],[Material]]&amp;Detalle_OC[[#This Row],[Pedido]]&amp;Detalle_OC[[#This Row],[Posicion]]</f>
        <v>Agricola del Chira PlantaMontelima8443985500019188290</v>
      </c>
      <c r="B4286" t="s">
        <v>28</v>
      </c>
      <c r="C4286" t="s">
        <v>82</v>
      </c>
      <c r="D4286" s="11">
        <v>44251</v>
      </c>
      <c r="E4286" t="s">
        <v>16</v>
      </c>
      <c r="F4286" t="s">
        <v>12</v>
      </c>
      <c r="G4286">
        <v>844398</v>
      </c>
      <c r="H4286">
        <v>5500019188</v>
      </c>
      <c r="I4286">
        <v>290</v>
      </c>
      <c r="J4286" s="29">
        <v>1</v>
      </c>
      <c r="K4286" s="29" t="s">
        <v>637</v>
      </c>
      <c r="L4286" t="str">
        <f>IFERROR(VLOOKUP(Detalle_OC[[#This Row],[Centro]]&amp;Detalle_OC[[#This Row],[Nro Almacen]],Almacen!A:D,4,FALSE),"")</f>
        <v>Montelima</v>
      </c>
    </row>
    <row r="4287" spans="1:12" x14ac:dyDescent="0.3">
      <c r="A4287" s="29" t="str">
        <f>Detalle_OC[[#This Row],[Centro]]&amp;Detalle_OC[[#This Row],[Nom Almacen]]&amp;Detalle_OC[[#This Row],[Material]]&amp;Detalle_OC[[#This Row],[Pedido]]&amp;Detalle_OC[[#This Row],[Posicion]]</f>
        <v>Agricola del Chira PlantaMontelima8445175500019188340</v>
      </c>
      <c r="B4287" t="s">
        <v>28</v>
      </c>
      <c r="C4287" t="s">
        <v>82</v>
      </c>
      <c r="D4287" s="11">
        <v>44251</v>
      </c>
      <c r="E4287" t="s">
        <v>16</v>
      </c>
      <c r="F4287" t="s">
        <v>12</v>
      </c>
      <c r="G4287">
        <v>844517</v>
      </c>
      <c r="H4287">
        <v>5500019188</v>
      </c>
      <c r="I4287">
        <v>340</v>
      </c>
      <c r="J4287" s="29">
        <v>1</v>
      </c>
      <c r="K4287" s="29" t="s">
        <v>637</v>
      </c>
      <c r="L4287" t="str">
        <f>IFERROR(VLOOKUP(Detalle_OC[[#This Row],[Centro]]&amp;Detalle_OC[[#This Row],[Nro Almacen]],Almacen!A:D,4,FALSE),"")</f>
        <v>Montelima</v>
      </c>
    </row>
    <row r="4288" spans="1:12" x14ac:dyDescent="0.3">
      <c r="A4288" s="29" t="str">
        <f>Detalle_OC[[#This Row],[Centro]]&amp;Detalle_OC[[#This Row],[Nom Almacen]]&amp;Detalle_OC[[#This Row],[Material]]&amp;Detalle_OC[[#This Row],[Pedido]]&amp;Detalle_OC[[#This Row],[Posicion]]</f>
        <v>Agricola del Chira PlantaMontelima8445295500019188380</v>
      </c>
      <c r="B4288" t="s">
        <v>28</v>
      </c>
      <c r="C4288" t="s">
        <v>82</v>
      </c>
      <c r="D4288" s="11">
        <v>44251</v>
      </c>
      <c r="E4288" t="s">
        <v>16</v>
      </c>
      <c r="F4288" t="s">
        <v>12</v>
      </c>
      <c r="G4288">
        <v>844529</v>
      </c>
      <c r="H4288">
        <v>5500019188</v>
      </c>
      <c r="I4288">
        <v>380</v>
      </c>
      <c r="J4288" s="29">
        <v>1</v>
      </c>
      <c r="K4288" s="29" t="s">
        <v>637</v>
      </c>
      <c r="L4288" t="str">
        <f>IFERROR(VLOOKUP(Detalle_OC[[#This Row],[Centro]]&amp;Detalle_OC[[#This Row],[Nro Almacen]],Almacen!A:D,4,FALSE),"")</f>
        <v>Montelima</v>
      </c>
    </row>
    <row r="4289" spans="1:12" x14ac:dyDescent="0.3">
      <c r="A4289" s="29" t="str">
        <f>Detalle_OC[[#This Row],[Centro]]&amp;Detalle_OC[[#This Row],[Nom Almacen]]&amp;Detalle_OC[[#This Row],[Material]]&amp;Detalle_OC[[#This Row],[Pedido]]&amp;Detalle_OC[[#This Row],[Posicion]]</f>
        <v>Agricola del Chira PlantaMontelima8445315500019188430</v>
      </c>
      <c r="B4289" t="s">
        <v>28</v>
      </c>
      <c r="C4289" t="s">
        <v>82</v>
      </c>
      <c r="D4289" s="11">
        <v>44251</v>
      </c>
      <c r="E4289" t="s">
        <v>16</v>
      </c>
      <c r="F4289" t="s">
        <v>12</v>
      </c>
      <c r="G4289">
        <v>844531</v>
      </c>
      <c r="H4289">
        <v>5500019188</v>
      </c>
      <c r="I4289">
        <v>430</v>
      </c>
      <c r="J4289" s="29">
        <v>1</v>
      </c>
      <c r="K4289" s="29" t="s">
        <v>637</v>
      </c>
      <c r="L4289" t="str">
        <f>IFERROR(VLOOKUP(Detalle_OC[[#This Row],[Centro]]&amp;Detalle_OC[[#This Row],[Nro Almacen]],Almacen!A:D,4,FALSE),"")</f>
        <v>Montelima</v>
      </c>
    </row>
    <row r="4290" spans="1:12" x14ac:dyDescent="0.3">
      <c r="A4290" s="29" t="str">
        <f>Detalle_OC[[#This Row],[Centro]]&amp;Detalle_OC[[#This Row],[Nom Almacen]]&amp;Detalle_OC[[#This Row],[Material]]&amp;Detalle_OC[[#This Row],[Pedido]]&amp;Detalle_OC[[#This Row],[Posicion]]</f>
        <v>Agricola del Chira PlantaMontelima8445135500019188450</v>
      </c>
      <c r="B4290" t="s">
        <v>28</v>
      </c>
      <c r="C4290" t="s">
        <v>82</v>
      </c>
      <c r="D4290" s="11">
        <v>44251</v>
      </c>
      <c r="E4290" t="s">
        <v>16</v>
      </c>
      <c r="F4290" t="s">
        <v>12</v>
      </c>
      <c r="G4290">
        <v>844513</v>
      </c>
      <c r="H4290">
        <v>5500019188</v>
      </c>
      <c r="I4290">
        <v>450</v>
      </c>
      <c r="J4290" s="29">
        <v>1</v>
      </c>
      <c r="K4290" s="29" t="s">
        <v>637</v>
      </c>
      <c r="L4290" t="str">
        <f>IFERROR(VLOOKUP(Detalle_OC[[#This Row],[Centro]]&amp;Detalle_OC[[#This Row],[Nro Almacen]],Almacen!A:D,4,FALSE),"")</f>
        <v>Montelima</v>
      </c>
    </row>
    <row r="4291" spans="1:12" x14ac:dyDescent="0.3">
      <c r="A4291" s="29" t="str">
        <f>Detalle_OC[[#This Row],[Centro]]&amp;Detalle_OC[[#This Row],[Nom Almacen]]&amp;Detalle_OC[[#This Row],[Material]]&amp;Detalle_OC[[#This Row],[Pedido]]&amp;Detalle_OC[[#This Row],[Posicion]]</f>
        <v>Agricola del Chira PlantaMontelima8459035500019188630</v>
      </c>
      <c r="B4291" t="s">
        <v>28</v>
      </c>
      <c r="C4291" t="s">
        <v>82</v>
      </c>
      <c r="D4291" s="11">
        <v>44251</v>
      </c>
      <c r="E4291" t="s">
        <v>16</v>
      </c>
      <c r="F4291" t="s">
        <v>12</v>
      </c>
      <c r="G4291">
        <v>845903</v>
      </c>
      <c r="H4291">
        <v>5500019188</v>
      </c>
      <c r="I4291">
        <v>630</v>
      </c>
      <c r="J4291" s="29">
        <v>1</v>
      </c>
      <c r="K4291" s="29" t="s">
        <v>637</v>
      </c>
      <c r="L4291" t="str">
        <f>IFERROR(VLOOKUP(Detalle_OC[[#This Row],[Centro]]&amp;Detalle_OC[[#This Row],[Nro Almacen]],Almacen!A:D,4,FALSE),"")</f>
        <v>Montelima</v>
      </c>
    </row>
    <row r="4292" spans="1:12" x14ac:dyDescent="0.3">
      <c r="A4292" s="29" t="str">
        <f>Detalle_OC[[#This Row],[Centro]]&amp;Detalle_OC[[#This Row],[Nom Almacen]]&amp;Detalle_OC[[#This Row],[Material]]&amp;Detalle_OC[[#This Row],[Pedido]]&amp;Detalle_OC[[#This Row],[Posicion]]</f>
        <v>Agricola del Chira PlantaMontelima82638355000191881150</v>
      </c>
      <c r="B4292" t="s">
        <v>28</v>
      </c>
      <c r="C4292" t="s">
        <v>82</v>
      </c>
      <c r="D4292" s="11">
        <v>44251</v>
      </c>
      <c r="E4292" t="s">
        <v>16</v>
      </c>
      <c r="F4292" t="s">
        <v>12</v>
      </c>
      <c r="G4292">
        <v>826383</v>
      </c>
      <c r="H4292">
        <v>5500019188</v>
      </c>
      <c r="I4292">
        <v>1150</v>
      </c>
      <c r="J4292" s="29">
        <v>1</v>
      </c>
      <c r="K4292" s="29" t="s">
        <v>637</v>
      </c>
      <c r="L4292" t="str">
        <f>IFERROR(VLOOKUP(Detalle_OC[[#This Row],[Centro]]&amp;Detalle_OC[[#This Row],[Nro Almacen]],Almacen!A:D,4,FALSE),"")</f>
        <v>Montelima</v>
      </c>
    </row>
    <row r="4293" spans="1:12" x14ac:dyDescent="0.3">
      <c r="A4293" s="29" t="str">
        <f>Detalle_OC[[#This Row],[Centro]]&amp;Detalle_OC[[#This Row],[Nom Almacen]]&amp;Detalle_OC[[#This Row],[Material]]&amp;Detalle_OC[[#This Row],[Pedido]]&amp;Detalle_OC[[#This Row],[Posicion]]</f>
        <v>Agricola del Chira PlantaMontelima83082755000191881170</v>
      </c>
      <c r="B4293" t="s">
        <v>28</v>
      </c>
      <c r="C4293" t="s">
        <v>82</v>
      </c>
      <c r="D4293" s="11">
        <v>44251</v>
      </c>
      <c r="E4293" t="s">
        <v>16</v>
      </c>
      <c r="F4293" t="s">
        <v>12</v>
      </c>
      <c r="G4293">
        <v>830827</v>
      </c>
      <c r="H4293">
        <v>5500019188</v>
      </c>
      <c r="I4293">
        <v>1170</v>
      </c>
      <c r="J4293" s="29">
        <v>1</v>
      </c>
      <c r="K4293" s="29" t="s">
        <v>637</v>
      </c>
      <c r="L4293" t="str">
        <f>IFERROR(VLOOKUP(Detalle_OC[[#This Row],[Centro]]&amp;Detalle_OC[[#This Row],[Nro Almacen]],Almacen!A:D,4,FALSE),"")</f>
        <v>Montelima</v>
      </c>
    </row>
    <row r="4294" spans="1:12" x14ac:dyDescent="0.3">
      <c r="A4294" s="29" t="str">
        <f>Detalle_OC[[#This Row],[Centro]]&amp;Detalle_OC[[#This Row],[Nom Almacen]]&amp;Detalle_OC[[#This Row],[Material]]&amp;Detalle_OC[[#This Row],[Pedido]]&amp;Detalle_OC[[#This Row],[Posicion]]</f>
        <v>Agricola del Chira PlantaMontelima88064955000191881270</v>
      </c>
      <c r="B4294" t="s">
        <v>28</v>
      </c>
      <c r="C4294" t="s">
        <v>82</v>
      </c>
      <c r="D4294" s="11">
        <v>44251</v>
      </c>
      <c r="E4294" t="s">
        <v>16</v>
      </c>
      <c r="F4294" t="s">
        <v>12</v>
      </c>
      <c r="G4294">
        <v>880649</v>
      </c>
      <c r="H4294">
        <v>5500019188</v>
      </c>
      <c r="I4294">
        <v>1270</v>
      </c>
      <c r="J4294" s="29">
        <v>1</v>
      </c>
      <c r="K4294" s="29" t="s">
        <v>637</v>
      </c>
      <c r="L4294" t="str">
        <f>IFERROR(VLOOKUP(Detalle_OC[[#This Row],[Centro]]&amp;Detalle_OC[[#This Row],[Nro Almacen]],Almacen!A:D,4,FALSE),"")</f>
        <v>Montelima</v>
      </c>
    </row>
    <row r="4295" spans="1:12" x14ac:dyDescent="0.3">
      <c r="A4295" s="29" t="str">
        <f>Detalle_OC[[#This Row],[Centro]]&amp;Detalle_OC[[#This Row],[Nom Almacen]]&amp;Detalle_OC[[#This Row],[Material]]&amp;Detalle_OC[[#This Row],[Pedido]]&amp;Detalle_OC[[#This Row],[Posicion]]</f>
        <v>Agricola del Chira PlantaMontelima82720055000191881280</v>
      </c>
      <c r="B4295" t="s">
        <v>28</v>
      </c>
      <c r="C4295" t="s">
        <v>82</v>
      </c>
      <c r="D4295" s="11">
        <v>44251</v>
      </c>
      <c r="E4295" t="s">
        <v>16</v>
      </c>
      <c r="F4295" t="s">
        <v>12</v>
      </c>
      <c r="G4295">
        <v>827200</v>
      </c>
      <c r="H4295">
        <v>5500019188</v>
      </c>
      <c r="I4295">
        <v>1280</v>
      </c>
      <c r="J4295" s="29">
        <v>1</v>
      </c>
      <c r="K4295" s="29" t="s">
        <v>637</v>
      </c>
      <c r="L4295" t="str">
        <f>IFERROR(VLOOKUP(Detalle_OC[[#This Row],[Centro]]&amp;Detalle_OC[[#This Row],[Nro Almacen]],Almacen!A:D,4,FALSE),"")</f>
        <v>Montelima</v>
      </c>
    </row>
    <row r="4296" spans="1:12" x14ac:dyDescent="0.3">
      <c r="A4296" s="29" t="str">
        <f>Detalle_OC[[#This Row],[Centro]]&amp;Detalle_OC[[#This Row],[Nom Almacen]]&amp;Detalle_OC[[#This Row],[Material]]&amp;Detalle_OC[[#This Row],[Pedido]]&amp;Detalle_OC[[#This Row],[Posicion]]</f>
        <v>Agricola del Chira PlantaMontelima83507555000191881310</v>
      </c>
      <c r="B4296" t="s">
        <v>28</v>
      </c>
      <c r="C4296" t="s">
        <v>82</v>
      </c>
      <c r="D4296" s="11">
        <v>44251</v>
      </c>
      <c r="E4296" t="s">
        <v>16</v>
      </c>
      <c r="F4296" t="s">
        <v>12</v>
      </c>
      <c r="G4296">
        <v>835075</v>
      </c>
      <c r="H4296">
        <v>5500019188</v>
      </c>
      <c r="I4296">
        <v>1310</v>
      </c>
      <c r="J4296" s="29">
        <v>1</v>
      </c>
      <c r="K4296" s="29" t="s">
        <v>637</v>
      </c>
      <c r="L4296" t="str">
        <f>IFERROR(VLOOKUP(Detalle_OC[[#This Row],[Centro]]&amp;Detalle_OC[[#This Row],[Nro Almacen]],Almacen!A:D,4,FALSE),"")</f>
        <v>Montelima</v>
      </c>
    </row>
    <row r="4297" spans="1:12" x14ac:dyDescent="0.3">
      <c r="A4297" s="29" t="str">
        <f>Detalle_OC[[#This Row],[Centro]]&amp;Detalle_OC[[#This Row],[Nom Almacen]]&amp;Detalle_OC[[#This Row],[Material]]&amp;Detalle_OC[[#This Row],[Pedido]]&amp;Detalle_OC[[#This Row],[Posicion]]</f>
        <v>Agricola del Chira PlantaMontelima83082955000191881490</v>
      </c>
      <c r="B4297" t="s">
        <v>28</v>
      </c>
      <c r="C4297" t="s">
        <v>82</v>
      </c>
      <c r="D4297" s="11">
        <v>44251</v>
      </c>
      <c r="E4297" t="s">
        <v>16</v>
      </c>
      <c r="F4297" t="s">
        <v>12</v>
      </c>
      <c r="G4297">
        <v>830829</v>
      </c>
      <c r="H4297">
        <v>5500019188</v>
      </c>
      <c r="I4297">
        <v>1490</v>
      </c>
      <c r="J4297" s="29">
        <v>1</v>
      </c>
      <c r="K4297" s="29" t="s">
        <v>637</v>
      </c>
      <c r="L4297" t="str">
        <f>IFERROR(VLOOKUP(Detalle_OC[[#This Row],[Centro]]&amp;Detalle_OC[[#This Row],[Nro Almacen]],Almacen!A:D,4,FALSE),"")</f>
        <v>Montelima</v>
      </c>
    </row>
    <row r="4298" spans="1:12" x14ac:dyDescent="0.3">
      <c r="A4298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4298" t="s">
        <v>28</v>
      </c>
      <c r="C4298" t="s">
        <v>84</v>
      </c>
      <c r="D4298" s="11">
        <v>44251</v>
      </c>
      <c r="E4298" t="s">
        <v>16</v>
      </c>
      <c r="F4298" t="s">
        <v>85</v>
      </c>
      <c r="G4298">
        <v>801846</v>
      </c>
      <c r="H4298">
        <v>5500022336</v>
      </c>
      <c r="I4298">
        <v>10</v>
      </c>
      <c r="J4298" s="29">
        <v>1</v>
      </c>
      <c r="K4298" s="29" t="s">
        <v>637</v>
      </c>
      <c r="L4298" t="str">
        <f>IFERROR(VLOOKUP(Detalle_OC[[#This Row],[Centro]]&amp;Detalle_OC[[#This Row],[Nro Almacen]],Almacen!A:D,4,FALSE),"")</f>
        <v>Montelima</v>
      </c>
    </row>
    <row r="4299" spans="1:12" x14ac:dyDescent="0.3">
      <c r="A4299" s="29" t="str">
        <f>Detalle_OC[[#This Row],[Centro]]&amp;Detalle_OC[[#This Row],[Nom Almacen]]&amp;Detalle_OC[[#This Row],[Material]]&amp;Detalle_OC[[#This Row],[Pedido]]&amp;Detalle_OC[[#This Row],[Posicion]]</f>
        <v>Sucroalcolera del Chira PlantaMontelima708707550002233640</v>
      </c>
      <c r="B4299" t="s">
        <v>28</v>
      </c>
      <c r="C4299" t="s">
        <v>84</v>
      </c>
      <c r="D4299" s="11">
        <v>44251</v>
      </c>
      <c r="E4299" t="s">
        <v>16</v>
      </c>
      <c r="F4299" t="s">
        <v>85</v>
      </c>
      <c r="G4299">
        <v>708707</v>
      </c>
      <c r="H4299">
        <v>5500022336</v>
      </c>
      <c r="I4299">
        <v>40</v>
      </c>
      <c r="J4299" s="29">
        <v>1</v>
      </c>
      <c r="K4299" s="29" t="s">
        <v>637</v>
      </c>
      <c r="L4299" t="str">
        <f>IFERROR(VLOOKUP(Detalle_OC[[#This Row],[Centro]]&amp;Detalle_OC[[#This Row],[Nro Almacen]],Almacen!A:D,4,FALSE),"")</f>
        <v>Montelima</v>
      </c>
    </row>
    <row r="4300" spans="1:12" x14ac:dyDescent="0.3">
      <c r="A4300" s="29" t="str">
        <f>Detalle_OC[[#This Row],[Centro]]&amp;Detalle_OC[[#This Row],[Nom Almacen]]&amp;Detalle_OC[[#This Row],[Material]]&amp;Detalle_OC[[#This Row],[Pedido]]&amp;Detalle_OC[[#This Row],[Posicion]]</f>
        <v>Agricola del Chira PlantaMontelima709179550002233820</v>
      </c>
      <c r="B4300" t="s">
        <v>28</v>
      </c>
      <c r="C4300" t="s">
        <v>84</v>
      </c>
      <c r="D4300" s="11">
        <v>44244</v>
      </c>
      <c r="E4300" t="s">
        <v>16</v>
      </c>
      <c r="F4300" t="s">
        <v>12</v>
      </c>
      <c r="G4300">
        <v>709179</v>
      </c>
      <c r="H4300">
        <v>5500022338</v>
      </c>
      <c r="I4300">
        <v>20</v>
      </c>
      <c r="J4300" s="29">
        <v>1</v>
      </c>
      <c r="K4300" s="29" t="s">
        <v>638</v>
      </c>
      <c r="L4300" t="str">
        <f>IFERROR(VLOOKUP(Detalle_OC[[#This Row],[Centro]]&amp;Detalle_OC[[#This Row],[Nro Almacen]],Almacen!A:D,4,FALSE),"")</f>
        <v>Montelima</v>
      </c>
    </row>
    <row r="4301" spans="1:12" x14ac:dyDescent="0.3">
      <c r="A4301" s="29" t="str">
        <f>Detalle_OC[[#This Row],[Centro]]&amp;Detalle_OC[[#This Row],[Nom Almacen]]&amp;Detalle_OC[[#This Row],[Material]]&amp;Detalle_OC[[#This Row],[Pedido]]&amp;Detalle_OC[[#This Row],[Posicion]]</f>
        <v>Agricola del Chira PlantaMontelima808069550002233830</v>
      </c>
      <c r="B4301" t="s">
        <v>28</v>
      </c>
      <c r="C4301" t="s">
        <v>84</v>
      </c>
      <c r="D4301" s="11">
        <v>44240</v>
      </c>
      <c r="E4301" t="s">
        <v>16</v>
      </c>
      <c r="F4301" t="s">
        <v>12</v>
      </c>
      <c r="G4301">
        <v>808069</v>
      </c>
      <c r="H4301">
        <v>5500022338</v>
      </c>
      <c r="I4301">
        <v>30</v>
      </c>
      <c r="J4301" s="29">
        <v>1</v>
      </c>
      <c r="K4301" s="29" t="s">
        <v>639</v>
      </c>
      <c r="L4301" t="str">
        <f>IFERROR(VLOOKUP(Detalle_OC[[#This Row],[Centro]]&amp;Detalle_OC[[#This Row],[Nro Almacen]],Almacen!A:D,4,FALSE),"")</f>
        <v>Montelima</v>
      </c>
    </row>
    <row r="4302" spans="1:12" x14ac:dyDescent="0.3">
      <c r="A4302" s="29" t="str">
        <f>Detalle_OC[[#This Row],[Centro]]&amp;Detalle_OC[[#This Row],[Nom Almacen]]&amp;Detalle_OC[[#This Row],[Material]]&amp;Detalle_OC[[#This Row],[Pedido]]&amp;Detalle_OC[[#This Row],[Posicion]]</f>
        <v>Agricola del Chira PlantaMontelima709179550002233820</v>
      </c>
      <c r="B4302" t="s">
        <v>28</v>
      </c>
      <c r="C4302" t="s">
        <v>84</v>
      </c>
      <c r="D4302" s="11">
        <v>44239</v>
      </c>
      <c r="E4302" t="s">
        <v>16</v>
      </c>
      <c r="F4302" t="s">
        <v>12</v>
      </c>
      <c r="G4302">
        <v>709179</v>
      </c>
      <c r="H4302">
        <v>5500022338</v>
      </c>
      <c r="I4302">
        <v>20</v>
      </c>
      <c r="J4302" s="29">
        <v>1</v>
      </c>
      <c r="K4302" s="29" t="s">
        <v>640</v>
      </c>
      <c r="L4302" t="str">
        <f>IFERROR(VLOOKUP(Detalle_OC[[#This Row],[Centro]]&amp;Detalle_OC[[#This Row],[Nro Almacen]],Almacen!A:D,4,FALSE),"")</f>
        <v>Montelima</v>
      </c>
    </row>
    <row r="4303" spans="1:12" x14ac:dyDescent="0.3">
      <c r="A4303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4303" t="s">
        <v>28</v>
      </c>
      <c r="C4303" t="s">
        <v>84</v>
      </c>
      <c r="D4303" s="11">
        <v>44239</v>
      </c>
      <c r="E4303" t="s">
        <v>16</v>
      </c>
      <c r="F4303" t="s">
        <v>12</v>
      </c>
      <c r="G4303">
        <v>801846</v>
      </c>
      <c r="H4303">
        <v>5500022338</v>
      </c>
      <c r="I4303">
        <v>40</v>
      </c>
      <c r="J4303" s="29">
        <v>1</v>
      </c>
      <c r="K4303" s="29" t="s">
        <v>640</v>
      </c>
      <c r="L4303" t="str">
        <f>IFERROR(VLOOKUP(Detalle_OC[[#This Row],[Centro]]&amp;Detalle_OC[[#This Row],[Nro Almacen]],Almacen!A:D,4,FALSE),"")</f>
        <v>Montelima</v>
      </c>
    </row>
    <row r="4304" spans="1:12" x14ac:dyDescent="0.3">
      <c r="A4304" s="29" t="str">
        <f>Detalle_OC[[#This Row],[Centro]]&amp;Detalle_OC[[#This Row],[Nom Almacen]]&amp;Detalle_OC[[#This Row],[Material]]&amp;Detalle_OC[[#This Row],[Pedido]]&amp;Detalle_OC[[#This Row],[Posicion]]</f>
        <v>Agricola del Chira PlantaMontelima725201550001918830</v>
      </c>
      <c r="B4304" t="s">
        <v>28</v>
      </c>
      <c r="C4304" t="s">
        <v>82</v>
      </c>
      <c r="D4304" s="11">
        <v>44236</v>
      </c>
      <c r="E4304" t="s">
        <v>16</v>
      </c>
      <c r="F4304" t="s">
        <v>12</v>
      </c>
      <c r="G4304">
        <v>725201</v>
      </c>
      <c r="H4304">
        <v>5500019188</v>
      </c>
      <c r="I4304">
        <v>30</v>
      </c>
      <c r="J4304" s="29">
        <v>1</v>
      </c>
      <c r="K4304" s="29" t="s">
        <v>641</v>
      </c>
      <c r="L4304" t="str">
        <f>IFERROR(VLOOKUP(Detalle_OC[[#This Row],[Centro]]&amp;Detalle_OC[[#This Row],[Nro Almacen]],Almacen!A:D,4,FALSE),"")</f>
        <v>Montelima</v>
      </c>
    </row>
    <row r="4305" spans="1:12" x14ac:dyDescent="0.3">
      <c r="A4305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4305" t="s">
        <v>28</v>
      </c>
      <c r="C4305" t="s">
        <v>84</v>
      </c>
      <c r="D4305" s="11">
        <v>44230</v>
      </c>
      <c r="E4305" t="s">
        <v>16</v>
      </c>
      <c r="F4305" t="s">
        <v>85</v>
      </c>
      <c r="G4305">
        <v>801846</v>
      </c>
      <c r="H4305">
        <v>5500022336</v>
      </c>
      <c r="I4305">
        <v>10</v>
      </c>
      <c r="J4305" s="29">
        <v>1</v>
      </c>
      <c r="K4305" s="29" t="s">
        <v>642</v>
      </c>
      <c r="L4305" t="str">
        <f>IFERROR(VLOOKUP(Detalle_OC[[#This Row],[Centro]]&amp;Detalle_OC[[#This Row],[Nro Almacen]],Almacen!A:D,4,FALSE),"")</f>
        <v>Montelima</v>
      </c>
    </row>
    <row r="4306" spans="1:12" x14ac:dyDescent="0.3">
      <c r="A4306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4306" t="s">
        <v>28</v>
      </c>
      <c r="C4306" t="s">
        <v>84</v>
      </c>
      <c r="D4306" s="11">
        <v>44230</v>
      </c>
      <c r="E4306" t="s">
        <v>16</v>
      </c>
      <c r="F4306" t="s">
        <v>85</v>
      </c>
      <c r="G4306">
        <v>806591</v>
      </c>
      <c r="H4306">
        <v>5500022336</v>
      </c>
      <c r="I4306">
        <v>20</v>
      </c>
      <c r="J4306" s="29">
        <v>1</v>
      </c>
      <c r="K4306" s="29" t="s">
        <v>642</v>
      </c>
      <c r="L4306" t="str">
        <f>IFERROR(VLOOKUP(Detalle_OC[[#This Row],[Centro]]&amp;Detalle_OC[[#This Row],[Nro Almacen]],Almacen!A:D,4,FALSE),"")</f>
        <v>Montelima</v>
      </c>
    </row>
    <row r="4307" spans="1:12" x14ac:dyDescent="0.3">
      <c r="A4307" s="29" t="str">
        <f>Detalle_OC[[#This Row],[Centro]]&amp;Detalle_OC[[#This Row],[Nom Almacen]]&amp;Detalle_OC[[#This Row],[Material]]&amp;Detalle_OC[[#This Row],[Pedido]]&amp;Detalle_OC[[#This Row],[Posicion]]</f>
        <v>Sucroalcolera del Chira PlantaMontelima709179550002233630</v>
      </c>
      <c r="B4307" t="s">
        <v>28</v>
      </c>
      <c r="C4307" t="s">
        <v>84</v>
      </c>
      <c r="D4307" s="11">
        <v>44230</v>
      </c>
      <c r="E4307" t="s">
        <v>16</v>
      </c>
      <c r="F4307" t="s">
        <v>85</v>
      </c>
      <c r="G4307">
        <v>709179</v>
      </c>
      <c r="H4307">
        <v>5500022336</v>
      </c>
      <c r="I4307">
        <v>30</v>
      </c>
      <c r="J4307" s="29">
        <v>1</v>
      </c>
      <c r="K4307" s="29" t="s">
        <v>642</v>
      </c>
      <c r="L4307" t="str">
        <f>IFERROR(VLOOKUP(Detalle_OC[[#This Row],[Centro]]&amp;Detalle_OC[[#This Row],[Nro Almacen]],Almacen!A:D,4,FALSE),"")</f>
        <v>Montelima</v>
      </c>
    </row>
    <row r="4308" spans="1:12" x14ac:dyDescent="0.3">
      <c r="A4308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4308" t="s">
        <v>28</v>
      </c>
      <c r="C4308" t="s">
        <v>84</v>
      </c>
      <c r="D4308" s="11">
        <v>44230</v>
      </c>
      <c r="E4308" t="s">
        <v>16</v>
      </c>
      <c r="F4308" t="s">
        <v>12</v>
      </c>
      <c r="G4308">
        <v>801846</v>
      </c>
      <c r="H4308">
        <v>5500022338</v>
      </c>
      <c r="I4308">
        <v>40</v>
      </c>
      <c r="J4308" s="29">
        <v>1</v>
      </c>
      <c r="K4308" s="29" t="s">
        <v>642</v>
      </c>
      <c r="L4308" t="str">
        <f>IFERROR(VLOOKUP(Detalle_OC[[#This Row],[Centro]]&amp;Detalle_OC[[#This Row],[Nro Almacen]],Almacen!A:D,4,FALSE),"")</f>
        <v>Montelima</v>
      </c>
    </row>
    <row r="4309" spans="1:12" x14ac:dyDescent="0.3">
      <c r="A4309" s="29" t="str">
        <f>Detalle_OC[[#This Row],[Centro]]&amp;Detalle_OC[[#This Row],[Nom Almacen]]&amp;Detalle_OC[[#This Row],[Material]]&amp;Detalle_OC[[#This Row],[Pedido]]&amp;Detalle_OC[[#This Row],[Posicion]]</f>
        <v>Agricola del Chira PlantaMontelima726335550002233860</v>
      </c>
      <c r="B4309" t="s">
        <v>28</v>
      </c>
      <c r="C4309" t="s">
        <v>84</v>
      </c>
      <c r="D4309" s="11">
        <v>44230</v>
      </c>
      <c r="E4309" t="s">
        <v>16</v>
      </c>
      <c r="F4309" t="s">
        <v>12</v>
      </c>
      <c r="G4309">
        <v>726335</v>
      </c>
      <c r="H4309">
        <v>5500022338</v>
      </c>
      <c r="I4309">
        <v>60</v>
      </c>
      <c r="J4309" s="29">
        <v>1</v>
      </c>
      <c r="K4309" s="29" t="s">
        <v>642</v>
      </c>
      <c r="L4309" t="str">
        <f>IFERROR(VLOOKUP(Detalle_OC[[#This Row],[Centro]]&amp;Detalle_OC[[#This Row],[Nro Almacen]],Almacen!A:D,4,FALSE),"")</f>
        <v>Montelima</v>
      </c>
    </row>
    <row r="4310" spans="1:12" x14ac:dyDescent="0.3">
      <c r="A4310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4310" t="s">
        <v>28</v>
      </c>
      <c r="C4310" t="s">
        <v>84</v>
      </c>
      <c r="D4310" s="11">
        <v>44223</v>
      </c>
      <c r="E4310" t="s">
        <v>16</v>
      </c>
      <c r="F4310" t="s">
        <v>85</v>
      </c>
      <c r="G4310">
        <v>806591</v>
      </c>
      <c r="H4310">
        <v>5500022336</v>
      </c>
      <c r="I4310">
        <v>20</v>
      </c>
      <c r="J4310" s="29">
        <v>1</v>
      </c>
      <c r="K4310" s="29" t="s">
        <v>643</v>
      </c>
      <c r="L4310" t="str">
        <f>IFERROR(VLOOKUP(Detalle_OC[[#This Row],[Centro]]&amp;Detalle_OC[[#This Row],[Nro Almacen]],Almacen!A:D,4,FALSE),"")</f>
        <v>Montelima</v>
      </c>
    </row>
    <row r="4311" spans="1:12" x14ac:dyDescent="0.3">
      <c r="A4311" s="29" t="str">
        <f>Detalle_OC[[#This Row],[Centro]]&amp;Detalle_OC[[#This Row],[Nom Almacen]]&amp;Detalle_OC[[#This Row],[Material]]&amp;Detalle_OC[[#This Row],[Pedido]]&amp;Detalle_OC[[#This Row],[Posicion]]</f>
        <v>Sucroalcolera del Chira PlantaMontelima709179550002233630</v>
      </c>
      <c r="B4311" t="s">
        <v>28</v>
      </c>
      <c r="C4311" t="s">
        <v>84</v>
      </c>
      <c r="D4311" s="11">
        <v>44223</v>
      </c>
      <c r="E4311" t="s">
        <v>16</v>
      </c>
      <c r="F4311" t="s">
        <v>85</v>
      </c>
      <c r="G4311">
        <v>709179</v>
      </c>
      <c r="H4311">
        <v>5500022336</v>
      </c>
      <c r="I4311">
        <v>30</v>
      </c>
      <c r="J4311" s="29">
        <v>1</v>
      </c>
      <c r="K4311" s="29" t="s">
        <v>643</v>
      </c>
      <c r="L4311" t="str">
        <f>IFERROR(VLOOKUP(Detalle_OC[[#This Row],[Centro]]&amp;Detalle_OC[[#This Row],[Nro Almacen]],Almacen!A:D,4,FALSE),"")</f>
        <v>Montelima</v>
      </c>
    </row>
    <row r="4312" spans="1:12" x14ac:dyDescent="0.3">
      <c r="A4312" s="29" t="str">
        <f>Detalle_OC[[#This Row],[Centro]]&amp;Detalle_OC[[#This Row],[Nom Almacen]]&amp;Detalle_OC[[#This Row],[Material]]&amp;Detalle_OC[[#This Row],[Pedido]]&amp;Detalle_OC[[#This Row],[Posicion]]</f>
        <v>Agricola del Chira PlantaMontelima708707550002233850</v>
      </c>
      <c r="B4312" t="s">
        <v>28</v>
      </c>
      <c r="C4312" t="s">
        <v>84</v>
      </c>
      <c r="D4312" s="11">
        <v>44223</v>
      </c>
      <c r="E4312" t="s">
        <v>16</v>
      </c>
      <c r="F4312" t="s">
        <v>12</v>
      </c>
      <c r="G4312">
        <v>708707</v>
      </c>
      <c r="H4312">
        <v>5500022338</v>
      </c>
      <c r="I4312">
        <v>50</v>
      </c>
      <c r="J4312" s="29">
        <v>1</v>
      </c>
      <c r="K4312" s="29" t="s">
        <v>643</v>
      </c>
      <c r="L4312" t="str">
        <f>IFERROR(VLOOKUP(Detalle_OC[[#This Row],[Centro]]&amp;Detalle_OC[[#This Row],[Nro Almacen]],Almacen!A:D,4,FALSE),"")</f>
        <v>Montelima</v>
      </c>
    </row>
    <row r="4313" spans="1:12" x14ac:dyDescent="0.3">
      <c r="A4313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4313" t="s">
        <v>28</v>
      </c>
      <c r="C4313" t="s">
        <v>84</v>
      </c>
      <c r="D4313" s="11">
        <v>44216</v>
      </c>
      <c r="E4313" t="s">
        <v>16</v>
      </c>
      <c r="F4313" t="s">
        <v>85</v>
      </c>
      <c r="G4313">
        <v>801846</v>
      </c>
      <c r="H4313">
        <v>5500022336</v>
      </c>
      <c r="I4313">
        <v>10</v>
      </c>
      <c r="J4313" s="29">
        <v>1</v>
      </c>
      <c r="K4313" s="29" t="s">
        <v>644</v>
      </c>
      <c r="L4313" t="str">
        <f>IFERROR(VLOOKUP(Detalle_OC[[#This Row],[Centro]]&amp;Detalle_OC[[#This Row],[Nro Almacen]],Almacen!A:D,4,FALSE),"")</f>
        <v>Montelima</v>
      </c>
    </row>
    <row r="4314" spans="1:12" x14ac:dyDescent="0.3">
      <c r="A4314" s="29" t="str">
        <f>Detalle_OC[[#This Row],[Centro]]&amp;Detalle_OC[[#This Row],[Nom Almacen]]&amp;Detalle_OC[[#This Row],[Material]]&amp;Detalle_OC[[#This Row],[Pedido]]&amp;Detalle_OC[[#This Row],[Posicion]]</f>
        <v>Sucroalcolera del Chira PlantaMontelima708707550002233640</v>
      </c>
      <c r="B4314" t="s">
        <v>28</v>
      </c>
      <c r="C4314" t="s">
        <v>84</v>
      </c>
      <c r="D4314" s="11">
        <v>44216</v>
      </c>
      <c r="E4314" t="s">
        <v>16</v>
      </c>
      <c r="F4314" t="s">
        <v>85</v>
      </c>
      <c r="G4314">
        <v>708707</v>
      </c>
      <c r="H4314">
        <v>5500022336</v>
      </c>
      <c r="I4314">
        <v>40</v>
      </c>
      <c r="J4314" s="29">
        <v>1</v>
      </c>
      <c r="K4314" s="29" t="s">
        <v>644</v>
      </c>
      <c r="L4314" t="str">
        <f>IFERROR(VLOOKUP(Detalle_OC[[#This Row],[Centro]]&amp;Detalle_OC[[#This Row],[Nro Almacen]],Almacen!A:D,4,FALSE),"")</f>
        <v>Montelima</v>
      </c>
    </row>
    <row r="4315" spans="1:12" x14ac:dyDescent="0.3">
      <c r="A4315" s="29" t="str">
        <f>Detalle_OC[[#This Row],[Centro]]&amp;Detalle_OC[[#This Row],[Nom Almacen]]&amp;Detalle_OC[[#This Row],[Material]]&amp;Detalle_OC[[#This Row],[Pedido]]&amp;Detalle_OC[[#This Row],[Posicion]]</f>
        <v>Agricola del Chira PlantaMontelima808069550002233830</v>
      </c>
      <c r="B4315" t="s">
        <v>28</v>
      </c>
      <c r="C4315" t="s">
        <v>84</v>
      </c>
      <c r="D4315" s="11">
        <v>44216</v>
      </c>
      <c r="E4315" t="s">
        <v>16</v>
      </c>
      <c r="F4315" t="s">
        <v>12</v>
      </c>
      <c r="G4315">
        <v>808069</v>
      </c>
      <c r="H4315">
        <v>5500022338</v>
      </c>
      <c r="I4315">
        <v>30</v>
      </c>
      <c r="J4315" s="29">
        <v>1</v>
      </c>
      <c r="K4315" s="29" t="s">
        <v>644</v>
      </c>
      <c r="L4315" t="str">
        <f>IFERROR(VLOOKUP(Detalle_OC[[#This Row],[Centro]]&amp;Detalle_OC[[#This Row],[Nro Almacen]],Almacen!A:D,4,FALSE),"")</f>
        <v>Montelima</v>
      </c>
    </row>
    <row r="4316" spans="1:12" x14ac:dyDescent="0.3">
      <c r="A4316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4316" t="s">
        <v>28</v>
      </c>
      <c r="C4316" t="s">
        <v>84</v>
      </c>
      <c r="D4316" s="11">
        <v>44216</v>
      </c>
      <c r="E4316" t="s">
        <v>16</v>
      </c>
      <c r="F4316" t="s">
        <v>12</v>
      </c>
      <c r="G4316">
        <v>801846</v>
      </c>
      <c r="H4316">
        <v>5500022338</v>
      </c>
      <c r="I4316">
        <v>40</v>
      </c>
      <c r="J4316" s="29">
        <v>1</v>
      </c>
      <c r="K4316" s="29" t="s">
        <v>644</v>
      </c>
      <c r="L4316" t="str">
        <f>IFERROR(VLOOKUP(Detalle_OC[[#This Row],[Centro]]&amp;Detalle_OC[[#This Row],[Nro Almacen]],Almacen!A:D,4,FALSE),"")</f>
        <v>Montelima</v>
      </c>
    </row>
    <row r="4317" spans="1:12" x14ac:dyDescent="0.3">
      <c r="A4317" s="29" t="str">
        <f>Detalle_OC[[#This Row],[Centro]]&amp;Detalle_OC[[#This Row],[Nom Almacen]]&amp;Detalle_OC[[#This Row],[Material]]&amp;Detalle_OC[[#This Row],[Pedido]]&amp;Detalle_OC[[#This Row],[Posicion]]</f>
        <v>Agricola del Chira PlantaMontelima761905550001918810</v>
      </c>
      <c r="B4317" t="s">
        <v>28</v>
      </c>
      <c r="C4317" t="s">
        <v>82</v>
      </c>
      <c r="D4317" s="11">
        <v>44212</v>
      </c>
      <c r="E4317" t="s">
        <v>16</v>
      </c>
      <c r="F4317" t="s">
        <v>12</v>
      </c>
      <c r="G4317">
        <v>761905</v>
      </c>
      <c r="H4317">
        <v>5500019188</v>
      </c>
      <c r="I4317">
        <v>10</v>
      </c>
      <c r="J4317" s="29">
        <v>1</v>
      </c>
      <c r="K4317" s="29" t="s">
        <v>645</v>
      </c>
      <c r="L4317" t="str">
        <f>IFERROR(VLOOKUP(Detalle_OC[[#This Row],[Centro]]&amp;Detalle_OC[[#This Row],[Nro Almacen]],Almacen!A:D,4,FALSE),"")</f>
        <v>Montelima</v>
      </c>
    </row>
    <row r="4318" spans="1:12" x14ac:dyDescent="0.3">
      <c r="A4318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4318" t="s">
        <v>28</v>
      </c>
      <c r="C4318" t="s">
        <v>82</v>
      </c>
      <c r="D4318" s="11">
        <v>44212</v>
      </c>
      <c r="E4318" t="s">
        <v>16</v>
      </c>
      <c r="F4318" t="s">
        <v>12</v>
      </c>
      <c r="G4318">
        <v>844523</v>
      </c>
      <c r="H4318">
        <v>5500019188</v>
      </c>
      <c r="I4318">
        <v>140</v>
      </c>
      <c r="J4318" s="29">
        <v>1</v>
      </c>
      <c r="K4318" s="29" t="s">
        <v>645</v>
      </c>
      <c r="L4318" t="str">
        <f>IFERROR(VLOOKUP(Detalle_OC[[#This Row],[Centro]]&amp;Detalle_OC[[#This Row],[Nro Almacen]],Almacen!A:D,4,FALSE),"")</f>
        <v>Montelima</v>
      </c>
    </row>
    <row r="4319" spans="1:12" x14ac:dyDescent="0.3">
      <c r="A4319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4319" t="s">
        <v>28</v>
      </c>
      <c r="C4319" t="s">
        <v>82</v>
      </c>
      <c r="D4319" s="11">
        <v>44212</v>
      </c>
      <c r="E4319" t="s">
        <v>16</v>
      </c>
      <c r="F4319" t="s">
        <v>12</v>
      </c>
      <c r="G4319">
        <v>844516</v>
      </c>
      <c r="H4319">
        <v>5500019188</v>
      </c>
      <c r="I4319">
        <v>190</v>
      </c>
      <c r="J4319" s="29">
        <v>1</v>
      </c>
      <c r="K4319" s="29" t="s">
        <v>645</v>
      </c>
      <c r="L4319" t="str">
        <f>IFERROR(VLOOKUP(Detalle_OC[[#This Row],[Centro]]&amp;Detalle_OC[[#This Row],[Nro Almacen]],Almacen!A:D,4,FALSE),"")</f>
        <v>Montelima</v>
      </c>
    </row>
    <row r="4320" spans="1:12" x14ac:dyDescent="0.3">
      <c r="A4320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4320" t="s">
        <v>28</v>
      </c>
      <c r="C4320" t="s">
        <v>82</v>
      </c>
      <c r="D4320" s="11">
        <v>44212</v>
      </c>
      <c r="E4320" t="s">
        <v>16</v>
      </c>
      <c r="F4320" t="s">
        <v>12</v>
      </c>
      <c r="G4320">
        <v>844515</v>
      </c>
      <c r="H4320">
        <v>5500019188</v>
      </c>
      <c r="I4320">
        <v>200</v>
      </c>
      <c r="J4320" s="29">
        <v>1</v>
      </c>
      <c r="K4320" s="29" t="s">
        <v>645</v>
      </c>
      <c r="L4320" t="str">
        <f>IFERROR(VLOOKUP(Detalle_OC[[#This Row],[Centro]]&amp;Detalle_OC[[#This Row],[Nro Almacen]],Almacen!A:D,4,FALSE),"")</f>
        <v>Montelima</v>
      </c>
    </row>
    <row r="4321" spans="1:12" x14ac:dyDescent="0.3">
      <c r="A4321" s="29" t="str">
        <f>Detalle_OC[[#This Row],[Centro]]&amp;Detalle_OC[[#This Row],[Nom Almacen]]&amp;Detalle_OC[[#This Row],[Material]]&amp;Detalle_OC[[#This Row],[Pedido]]&amp;Detalle_OC[[#This Row],[Posicion]]</f>
        <v>Agricola del Chira PlantaMontelima8449175500019188240</v>
      </c>
      <c r="B4321" t="s">
        <v>28</v>
      </c>
      <c r="C4321" t="s">
        <v>82</v>
      </c>
      <c r="D4321" s="11">
        <v>44212</v>
      </c>
      <c r="E4321" t="s">
        <v>16</v>
      </c>
      <c r="F4321" t="s">
        <v>12</v>
      </c>
      <c r="G4321">
        <v>844917</v>
      </c>
      <c r="H4321">
        <v>5500019188</v>
      </c>
      <c r="I4321">
        <v>240</v>
      </c>
      <c r="J4321" s="29">
        <v>1</v>
      </c>
      <c r="K4321" s="29" t="s">
        <v>645</v>
      </c>
      <c r="L4321" t="str">
        <f>IFERROR(VLOOKUP(Detalle_OC[[#This Row],[Centro]]&amp;Detalle_OC[[#This Row],[Nro Almacen]],Almacen!A:D,4,FALSE),"")</f>
        <v>Montelima</v>
      </c>
    </row>
    <row r="4322" spans="1:12" x14ac:dyDescent="0.3">
      <c r="A4322" s="29" t="str">
        <f>Detalle_OC[[#This Row],[Centro]]&amp;Detalle_OC[[#This Row],[Nom Almacen]]&amp;Detalle_OC[[#This Row],[Material]]&amp;Detalle_OC[[#This Row],[Pedido]]&amp;Detalle_OC[[#This Row],[Posicion]]</f>
        <v>Agricola del Chira PlantaMontelima8445025500019188250</v>
      </c>
      <c r="B4322" t="s">
        <v>28</v>
      </c>
      <c r="C4322" t="s">
        <v>82</v>
      </c>
      <c r="D4322" s="11">
        <v>44212</v>
      </c>
      <c r="E4322" t="s">
        <v>16</v>
      </c>
      <c r="F4322" t="s">
        <v>12</v>
      </c>
      <c r="G4322">
        <v>844502</v>
      </c>
      <c r="H4322">
        <v>5500019188</v>
      </c>
      <c r="I4322">
        <v>250</v>
      </c>
      <c r="J4322" s="29">
        <v>1</v>
      </c>
      <c r="K4322" s="29" t="s">
        <v>645</v>
      </c>
      <c r="L4322" t="str">
        <f>IFERROR(VLOOKUP(Detalle_OC[[#This Row],[Centro]]&amp;Detalle_OC[[#This Row],[Nro Almacen]],Almacen!A:D,4,FALSE),"")</f>
        <v>Montelima</v>
      </c>
    </row>
    <row r="4323" spans="1:12" x14ac:dyDescent="0.3">
      <c r="A4323" s="29" t="str">
        <f>Detalle_OC[[#This Row],[Centro]]&amp;Detalle_OC[[#This Row],[Nom Almacen]]&amp;Detalle_OC[[#This Row],[Material]]&amp;Detalle_OC[[#This Row],[Pedido]]&amp;Detalle_OC[[#This Row],[Posicion]]</f>
        <v>Agricola del Chira PlantaMontelima8445185500019188270</v>
      </c>
      <c r="B4323" t="s">
        <v>28</v>
      </c>
      <c r="C4323" t="s">
        <v>82</v>
      </c>
      <c r="D4323" s="11">
        <v>44212</v>
      </c>
      <c r="E4323" t="s">
        <v>16</v>
      </c>
      <c r="F4323" t="s">
        <v>12</v>
      </c>
      <c r="G4323">
        <v>844518</v>
      </c>
      <c r="H4323">
        <v>5500019188</v>
      </c>
      <c r="I4323">
        <v>270</v>
      </c>
      <c r="J4323" s="29">
        <v>1</v>
      </c>
      <c r="K4323" s="29" t="s">
        <v>645</v>
      </c>
      <c r="L4323" t="str">
        <f>IFERROR(VLOOKUP(Detalle_OC[[#This Row],[Centro]]&amp;Detalle_OC[[#This Row],[Nro Almacen]],Almacen!A:D,4,FALSE),"")</f>
        <v>Montelima</v>
      </c>
    </row>
    <row r="4324" spans="1:12" x14ac:dyDescent="0.3">
      <c r="A4324" s="29" t="str">
        <f>Detalle_OC[[#This Row],[Centro]]&amp;Detalle_OC[[#This Row],[Nom Almacen]]&amp;Detalle_OC[[#This Row],[Material]]&amp;Detalle_OC[[#This Row],[Pedido]]&amp;Detalle_OC[[#This Row],[Posicion]]</f>
        <v>Agricola del Chira PlantaMontelima8445395500019188300</v>
      </c>
      <c r="B4324" t="s">
        <v>28</v>
      </c>
      <c r="C4324" t="s">
        <v>82</v>
      </c>
      <c r="D4324" s="11">
        <v>44212</v>
      </c>
      <c r="E4324" t="s">
        <v>16</v>
      </c>
      <c r="F4324" t="s">
        <v>12</v>
      </c>
      <c r="G4324">
        <v>844539</v>
      </c>
      <c r="H4324">
        <v>5500019188</v>
      </c>
      <c r="I4324">
        <v>300</v>
      </c>
      <c r="J4324" s="29">
        <v>1</v>
      </c>
      <c r="K4324" s="29" t="s">
        <v>645</v>
      </c>
      <c r="L4324" t="str">
        <f>IFERROR(VLOOKUP(Detalle_OC[[#This Row],[Centro]]&amp;Detalle_OC[[#This Row],[Nro Almacen]],Almacen!A:D,4,FALSE),"")</f>
        <v>Montelima</v>
      </c>
    </row>
    <row r="4325" spans="1:12" x14ac:dyDescent="0.3">
      <c r="A4325" s="29" t="str">
        <f>Detalle_OC[[#This Row],[Centro]]&amp;Detalle_OC[[#This Row],[Nom Almacen]]&amp;Detalle_OC[[#This Row],[Material]]&amp;Detalle_OC[[#This Row],[Pedido]]&amp;Detalle_OC[[#This Row],[Posicion]]</f>
        <v>Agricola del Chira PlantaMontelima8445175500019188340</v>
      </c>
      <c r="B4325" t="s">
        <v>28</v>
      </c>
      <c r="C4325" t="s">
        <v>82</v>
      </c>
      <c r="D4325" s="11">
        <v>44212</v>
      </c>
      <c r="E4325" t="s">
        <v>16</v>
      </c>
      <c r="F4325" t="s">
        <v>12</v>
      </c>
      <c r="G4325">
        <v>844517</v>
      </c>
      <c r="H4325">
        <v>5500019188</v>
      </c>
      <c r="I4325">
        <v>340</v>
      </c>
      <c r="J4325" s="29">
        <v>1</v>
      </c>
      <c r="K4325" s="29" t="s">
        <v>645</v>
      </c>
      <c r="L4325" t="str">
        <f>IFERROR(VLOOKUP(Detalle_OC[[#This Row],[Centro]]&amp;Detalle_OC[[#This Row],[Nro Almacen]],Almacen!A:D,4,FALSE),"")</f>
        <v>Montelima</v>
      </c>
    </row>
    <row r="4326" spans="1:12" x14ac:dyDescent="0.3">
      <c r="A4326" s="29" t="str">
        <f>Detalle_OC[[#This Row],[Centro]]&amp;Detalle_OC[[#This Row],[Nom Almacen]]&amp;Detalle_OC[[#This Row],[Material]]&amp;Detalle_OC[[#This Row],[Pedido]]&amp;Detalle_OC[[#This Row],[Posicion]]</f>
        <v>Agricola del Chira PlantaMontelima8445285500019188360</v>
      </c>
      <c r="B4326" t="s">
        <v>28</v>
      </c>
      <c r="C4326" t="s">
        <v>82</v>
      </c>
      <c r="D4326" s="11">
        <v>44428</v>
      </c>
      <c r="E4326" t="s">
        <v>16</v>
      </c>
      <c r="F4326" t="s">
        <v>12</v>
      </c>
      <c r="G4326">
        <v>844528</v>
      </c>
      <c r="H4326">
        <v>5500019188</v>
      </c>
      <c r="I4326">
        <v>360</v>
      </c>
      <c r="J4326" s="29">
        <v>1</v>
      </c>
      <c r="K4326" s="29" t="s">
        <v>645</v>
      </c>
      <c r="L4326" t="str">
        <f>IFERROR(VLOOKUP(Detalle_OC[[#This Row],[Centro]]&amp;Detalle_OC[[#This Row],[Nro Almacen]],Almacen!A:D,4,FALSE),"")</f>
        <v>Montelima</v>
      </c>
    </row>
    <row r="4327" spans="1:12" x14ac:dyDescent="0.3">
      <c r="A4327" s="29" t="str">
        <f>Detalle_OC[[#This Row],[Centro]]&amp;Detalle_OC[[#This Row],[Nom Almacen]]&amp;Detalle_OC[[#This Row],[Material]]&amp;Detalle_OC[[#This Row],[Pedido]]&amp;Detalle_OC[[#This Row],[Posicion]]</f>
        <v>Agricola del Chira PlantaMontelima8445035500019188370</v>
      </c>
      <c r="B4327" t="s">
        <v>28</v>
      </c>
      <c r="C4327" t="s">
        <v>82</v>
      </c>
      <c r="D4327" s="11">
        <v>44212</v>
      </c>
      <c r="E4327" t="s">
        <v>16</v>
      </c>
      <c r="F4327" t="s">
        <v>12</v>
      </c>
      <c r="G4327">
        <v>844503</v>
      </c>
      <c r="H4327">
        <v>5500019188</v>
      </c>
      <c r="I4327">
        <v>370</v>
      </c>
      <c r="J4327" s="29">
        <v>1</v>
      </c>
      <c r="K4327" s="29" t="s">
        <v>645</v>
      </c>
      <c r="L4327" t="str">
        <f>IFERROR(VLOOKUP(Detalle_OC[[#This Row],[Centro]]&amp;Detalle_OC[[#This Row],[Nro Almacen]],Almacen!A:D,4,FALSE),"")</f>
        <v>Montelima</v>
      </c>
    </row>
    <row r="4328" spans="1:12" x14ac:dyDescent="0.3">
      <c r="A4328" s="29" t="str">
        <f>Detalle_OC[[#This Row],[Centro]]&amp;Detalle_OC[[#This Row],[Nom Almacen]]&amp;Detalle_OC[[#This Row],[Material]]&amp;Detalle_OC[[#This Row],[Pedido]]&amp;Detalle_OC[[#This Row],[Posicion]]</f>
        <v>Agricola del Chira PlantaMontelima8445035500019188370</v>
      </c>
      <c r="B4328" t="s">
        <v>28</v>
      </c>
      <c r="C4328" t="s">
        <v>82</v>
      </c>
      <c r="D4328" s="11">
        <v>44212</v>
      </c>
      <c r="E4328" t="s">
        <v>16</v>
      </c>
      <c r="F4328" t="s">
        <v>12</v>
      </c>
      <c r="G4328">
        <v>844503</v>
      </c>
      <c r="H4328">
        <v>5500019188</v>
      </c>
      <c r="I4328">
        <v>370</v>
      </c>
      <c r="J4328" s="29">
        <v>1</v>
      </c>
      <c r="K4328" s="29" t="s">
        <v>645</v>
      </c>
      <c r="L4328" t="str">
        <f>IFERROR(VLOOKUP(Detalle_OC[[#This Row],[Centro]]&amp;Detalle_OC[[#This Row],[Nro Almacen]],Almacen!A:D,4,FALSE),"")</f>
        <v>Montelima</v>
      </c>
    </row>
    <row r="4329" spans="1:12" x14ac:dyDescent="0.3">
      <c r="A4329" s="29" t="str">
        <f>Detalle_OC[[#This Row],[Centro]]&amp;Detalle_OC[[#This Row],[Nom Almacen]]&amp;Detalle_OC[[#This Row],[Material]]&amp;Detalle_OC[[#This Row],[Pedido]]&amp;Detalle_OC[[#This Row],[Posicion]]</f>
        <v>Agricola del Chira PlantaMontelima8445295500019188380</v>
      </c>
      <c r="B4329" t="s">
        <v>28</v>
      </c>
      <c r="C4329" t="s">
        <v>82</v>
      </c>
      <c r="D4329" s="11">
        <v>44212</v>
      </c>
      <c r="E4329" t="s">
        <v>16</v>
      </c>
      <c r="F4329" t="s">
        <v>12</v>
      </c>
      <c r="G4329">
        <v>844529</v>
      </c>
      <c r="H4329">
        <v>5500019188</v>
      </c>
      <c r="I4329">
        <v>380</v>
      </c>
      <c r="J4329" s="29">
        <v>1</v>
      </c>
      <c r="K4329" s="29" t="s">
        <v>645</v>
      </c>
      <c r="L4329" t="str">
        <f>IFERROR(VLOOKUP(Detalle_OC[[#This Row],[Centro]]&amp;Detalle_OC[[#This Row],[Nro Almacen]],Almacen!A:D,4,FALSE),"")</f>
        <v>Montelima</v>
      </c>
    </row>
    <row r="4330" spans="1:12" x14ac:dyDescent="0.3">
      <c r="A4330" s="29" t="str">
        <f>Detalle_OC[[#This Row],[Centro]]&amp;Detalle_OC[[#This Row],[Nom Almacen]]&amp;Detalle_OC[[#This Row],[Material]]&amp;Detalle_OC[[#This Row],[Pedido]]&amp;Detalle_OC[[#This Row],[Posicion]]</f>
        <v>Agricola del Chira PlantaMontelima8445135500019188450</v>
      </c>
      <c r="B4330" t="s">
        <v>28</v>
      </c>
      <c r="C4330" t="s">
        <v>82</v>
      </c>
      <c r="D4330" s="11">
        <v>44212</v>
      </c>
      <c r="E4330" t="s">
        <v>16</v>
      </c>
      <c r="F4330" t="s">
        <v>12</v>
      </c>
      <c r="G4330">
        <v>844513</v>
      </c>
      <c r="H4330">
        <v>5500019188</v>
      </c>
      <c r="I4330">
        <v>450</v>
      </c>
      <c r="J4330" s="29">
        <v>1</v>
      </c>
      <c r="K4330" s="29" t="s">
        <v>645</v>
      </c>
      <c r="L4330" t="str">
        <f>IFERROR(VLOOKUP(Detalle_OC[[#This Row],[Centro]]&amp;Detalle_OC[[#This Row],[Nro Almacen]],Almacen!A:D,4,FALSE),"")</f>
        <v>Montelima</v>
      </c>
    </row>
    <row r="4331" spans="1:12" x14ac:dyDescent="0.3">
      <c r="A4331" s="29" t="str">
        <f>Detalle_OC[[#This Row],[Centro]]&amp;Detalle_OC[[#This Row],[Nom Almacen]]&amp;Detalle_OC[[#This Row],[Material]]&amp;Detalle_OC[[#This Row],[Pedido]]&amp;Detalle_OC[[#This Row],[Posicion]]</f>
        <v>Agricola del Chira PlantaMontelima8794985500019188670</v>
      </c>
      <c r="B4331" t="s">
        <v>28</v>
      </c>
      <c r="C4331" t="s">
        <v>82</v>
      </c>
      <c r="D4331" s="11">
        <v>44212</v>
      </c>
      <c r="E4331" t="s">
        <v>16</v>
      </c>
      <c r="F4331" t="s">
        <v>12</v>
      </c>
      <c r="G4331">
        <v>879498</v>
      </c>
      <c r="H4331">
        <v>5500019188</v>
      </c>
      <c r="I4331">
        <v>670</v>
      </c>
      <c r="J4331" s="29">
        <v>1</v>
      </c>
      <c r="K4331" s="29" t="s">
        <v>645</v>
      </c>
      <c r="L4331" t="str">
        <f>IFERROR(VLOOKUP(Detalle_OC[[#This Row],[Centro]]&amp;Detalle_OC[[#This Row],[Nro Almacen]],Almacen!A:D,4,FALSE),"")</f>
        <v>Montelima</v>
      </c>
    </row>
    <row r="4332" spans="1:12" x14ac:dyDescent="0.3">
      <c r="A4332" s="29" t="str">
        <f>Detalle_OC[[#This Row],[Centro]]&amp;Detalle_OC[[#This Row],[Nom Almacen]]&amp;Detalle_OC[[#This Row],[Material]]&amp;Detalle_OC[[#This Row],[Pedido]]&amp;Detalle_OC[[#This Row],[Posicion]]</f>
        <v>Agricola del Chira PlantaMontelima8459045500019188720</v>
      </c>
      <c r="B4332" t="s">
        <v>28</v>
      </c>
      <c r="C4332" t="s">
        <v>82</v>
      </c>
      <c r="D4332" s="11">
        <v>44212</v>
      </c>
      <c r="E4332" t="s">
        <v>16</v>
      </c>
      <c r="F4332" t="s">
        <v>12</v>
      </c>
      <c r="G4332">
        <v>845904</v>
      </c>
      <c r="H4332">
        <v>5500019188</v>
      </c>
      <c r="I4332">
        <v>720</v>
      </c>
      <c r="J4332" s="29">
        <v>1</v>
      </c>
      <c r="K4332" s="29" t="s">
        <v>645</v>
      </c>
      <c r="L4332" t="str">
        <f>IFERROR(VLOOKUP(Detalle_OC[[#This Row],[Centro]]&amp;Detalle_OC[[#This Row],[Nro Almacen]],Almacen!A:D,4,FALSE),"")</f>
        <v>Montelima</v>
      </c>
    </row>
    <row r="4333" spans="1:12" x14ac:dyDescent="0.3">
      <c r="A4333" s="29" t="str">
        <f>Detalle_OC[[#This Row],[Centro]]&amp;Detalle_OC[[#This Row],[Nom Almacen]]&amp;Detalle_OC[[#This Row],[Material]]&amp;Detalle_OC[[#This Row],[Pedido]]&amp;Detalle_OC[[#This Row],[Posicion]]</f>
        <v>Agricola del Chira PlantaMontelima82719955000191881020</v>
      </c>
      <c r="B4333" t="s">
        <v>28</v>
      </c>
      <c r="C4333" t="s">
        <v>82</v>
      </c>
      <c r="D4333" s="11">
        <v>44212</v>
      </c>
      <c r="E4333" t="s">
        <v>16</v>
      </c>
      <c r="F4333" t="s">
        <v>12</v>
      </c>
      <c r="G4333">
        <v>827199</v>
      </c>
      <c r="H4333">
        <v>5500019188</v>
      </c>
      <c r="I4333">
        <v>1020</v>
      </c>
      <c r="J4333" s="29">
        <v>1</v>
      </c>
      <c r="K4333" s="29" t="s">
        <v>645</v>
      </c>
      <c r="L4333" t="str">
        <f>IFERROR(VLOOKUP(Detalle_OC[[#This Row],[Centro]]&amp;Detalle_OC[[#This Row],[Nro Almacen]],Almacen!A:D,4,FALSE),"")</f>
        <v>Montelima</v>
      </c>
    </row>
    <row r="4334" spans="1:12" x14ac:dyDescent="0.3">
      <c r="A4334" s="29" t="str">
        <f>Detalle_OC[[#This Row],[Centro]]&amp;Detalle_OC[[#This Row],[Nom Almacen]]&amp;Detalle_OC[[#This Row],[Material]]&amp;Detalle_OC[[#This Row],[Pedido]]&amp;Detalle_OC[[#This Row],[Posicion]]</f>
        <v>Agricola del Chira PlantaMontelima83106655000191881040</v>
      </c>
      <c r="B4334" t="s">
        <v>28</v>
      </c>
      <c r="C4334" t="s">
        <v>82</v>
      </c>
      <c r="D4334" s="11">
        <v>44212</v>
      </c>
      <c r="E4334" t="s">
        <v>16</v>
      </c>
      <c r="F4334" t="s">
        <v>12</v>
      </c>
      <c r="G4334">
        <v>831066</v>
      </c>
      <c r="H4334">
        <v>5500019188</v>
      </c>
      <c r="I4334">
        <v>1040</v>
      </c>
      <c r="J4334" s="29">
        <v>1</v>
      </c>
      <c r="K4334" s="29" t="s">
        <v>645</v>
      </c>
      <c r="L4334" t="str">
        <f>IFERROR(VLOOKUP(Detalle_OC[[#This Row],[Centro]]&amp;Detalle_OC[[#This Row],[Nro Almacen]],Almacen!A:D,4,FALSE),"")</f>
        <v>Montelima</v>
      </c>
    </row>
    <row r="4335" spans="1:12" x14ac:dyDescent="0.3">
      <c r="A4335" s="29" t="str">
        <f>Detalle_OC[[#This Row],[Centro]]&amp;Detalle_OC[[#This Row],[Nom Almacen]]&amp;Detalle_OC[[#This Row],[Material]]&amp;Detalle_OC[[#This Row],[Pedido]]&amp;Detalle_OC[[#This Row],[Posicion]]</f>
        <v>Agricola del Chira PlantaMontelima82705755000191881210</v>
      </c>
      <c r="B4335" t="s">
        <v>28</v>
      </c>
      <c r="C4335" t="s">
        <v>82</v>
      </c>
      <c r="D4335" s="11">
        <v>44212</v>
      </c>
      <c r="E4335" t="s">
        <v>16</v>
      </c>
      <c r="F4335" t="s">
        <v>12</v>
      </c>
      <c r="G4335">
        <v>827057</v>
      </c>
      <c r="H4335">
        <v>5500019188</v>
      </c>
      <c r="I4335">
        <v>1210</v>
      </c>
      <c r="J4335" s="29">
        <v>1</v>
      </c>
      <c r="K4335" s="29" t="s">
        <v>645</v>
      </c>
      <c r="L4335" t="str">
        <f>IFERROR(VLOOKUP(Detalle_OC[[#This Row],[Centro]]&amp;Detalle_OC[[#This Row],[Nro Almacen]],Almacen!A:D,4,FALSE),"")</f>
        <v>Montelima</v>
      </c>
    </row>
    <row r="4336" spans="1:12" x14ac:dyDescent="0.3">
      <c r="A4336" s="29" t="str">
        <f>Detalle_OC[[#This Row],[Centro]]&amp;Detalle_OC[[#This Row],[Nom Almacen]]&amp;Detalle_OC[[#This Row],[Material]]&amp;Detalle_OC[[#This Row],[Pedido]]&amp;Detalle_OC[[#This Row],[Posicion]]</f>
        <v>Agricola del Chira PlantaMontelima7003087755000191881690</v>
      </c>
      <c r="B4336" t="s">
        <v>28</v>
      </c>
      <c r="C4336" t="s">
        <v>82</v>
      </c>
      <c r="D4336" s="11">
        <v>44212</v>
      </c>
      <c r="E4336" t="s">
        <v>16</v>
      </c>
      <c r="F4336" t="s">
        <v>12</v>
      </c>
      <c r="G4336">
        <v>70030877</v>
      </c>
      <c r="H4336">
        <v>5500019188</v>
      </c>
      <c r="I4336">
        <v>1690</v>
      </c>
      <c r="J4336" s="29">
        <v>1</v>
      </c>
      <c r="K4336" s="29" t="s">
        <v>645</v>
      </c>
      <c r="L4336" t="str">
        <f>IFERROR(VLOOKUP(Detalle_OC[[#This Row],[Centro]]&amp;Detalle_OC[[#This Row],[Nro Almacen]],Almacen!A:D,4,FALSE),"")</f>
        <v>Montelima</v>
      </c>
    </row>
    <row r="4337" spans="1:12" x14ac:dyDescent="0.3">
      <c r="A4337" s="29" t="str">
        <f>Detalle_OC[[#This Row],[Centro]]&amp;Detalle_OC[[#This Row],[Nom Almacen]]&amp;Detalle_OC[[#This Row],[Material]]&amp;Detalle_OC[[#This Row],[Pedido]]&amp;Detalle_OC[[#This Row],[Posicion]]</f>
        <v>Agricola del Chira PlantaMontelima8445515500019188320</v>
      </c>
      <c r="B4337" t="s">
        <v>28</v>
      </c>
      <c r="C4337" t="s">
        <v>82</v>
      </c>
      <c r="D4337" s="11">
        <v>44211</v>
      </c>
      <c r="E4337" t="s">
        <v>16</v>
      </c>
      <c r="F4337" t="s">
        <v>12</v>
      </c>
      <c r="G4337">
        <v>844551</v>
      </c>
      <c r="H4337">
        <v>5500019188</v>
      </c>
      <c r="I4337">
        <v>320</v>
      </c>
      <c r="J4337" s="29">
        <v>1</v>
      </c>
      <c r="K4337" s="29" t="s">
        <v>646</v>
      </c>
      <c r="L4337" t="str">
        <f>IFERROR(VLOOKUP(Detalle_OC[[#This Row],[Centro]]&amp;Detalle_OC[[#This Row],[Nro Almacen]],Almacen!A:D,4,FALSE),"")</f>
        <v>Montelima</v>
      </c>
    </row>
    <row r="4338" spans="1:12" x14ac:dyDescent="0.3">
      <c r="A4338" s="29" t="str">
        <f>Detalle_OC[[#This Row],[Centro]]&amp;Detalle_OC[[#This Row],[Nom Almacen]]&amp;Detalle_OC[[#This Row],[Material]]&amp;Detalle_OC[[#This Row],[Pedido]]&amp;Detalle_OC[[#This Row],[Posicion]]</f>
        <v>Agricola del Chira PlantaMontelima8445145500019188540</v>
      </c>
      <c r="B4338" t="s">
        <v>28</v>
      </c>
      <c r="C4338" t="s">
        <v>82</v>
      </c>
      <c r="D4338" s="11">
        <v>44211</v>
      </c>
      <c r="E4338" t="s">
        <v>16</v>
      </c>
      <c r="F4338" t="s">
        <v>12</v>
      </c>
      <c r="G4338">
        <v>844514</v>
      </c>
      <c r="H4338">
        <v>5500019188</v>
      </c>
      <c r="I4338">
        <v>540</v>
      </c>
      <c r="J4338" s="29">
        <v>1</v>
      </c>
      <c r="K4338" s="29" t="s">
        <v>646</v>
      </c>
      <c r="L4338" t="str">
        <f>IFERROR(VLOOKUP(Detalle_OC[[#This Row],[Centro]]&amp;Detalle_OC[[#This Row],[Nro Almacen]],Almacen!A:D,4,FALSE),"")</f>
        <v>Montelima</v>
      </c>
    </row>
    <row r="4339" spans="1:12" x14ac:dyDescent="0.3">
      <c r="A4339" s="29" t="str">
        <f>Detalle_OC[[#This Row],[Centro]]&amp;Detalle_OC[[#This Row],[Nom Almacen]]&amp;Detalle_OC[[#This Row],[Material]]&amp;Detalle_OC[[#This Row],[Pedido]]&amp;Detalle_OC[[#This Row],[Posicion]]</f>
        <v>Agricola del Chira PlantaMontelima8445465500019188890</v>
      </c>
      <c r="B4339" t="s">
        <v>28</v>
      </c>
      <c r="C4339" t="s">
        <v>82</v>
      </c>
      <c r="D4339" s="11">
        <v>44211</v>
      </c>
      <c r="E4339" t="s">
        <v>16</v>
      </c>
      <c r="F4339" t="s">
        <v>12</v>
      </c>
      <c r="G4339">
        <v>844546</v>
      </c>
      <c r="H4339">
        <v>5500019188</v>
      </c>
      <c r="I4339">
        <v>890</v>
      </c>
      <c r="J4339" s="29">
        <v>1</v>
      </c>
      <c r="K4339" s="29" t="s">
        <v>646</v>
      </c>
      <c r="L4339" t="str">
        <f>IFERROR(VLOOKUP(Detalle_OC[[#This Row],[Centro]]&amp;Detalle_OC[[#This Row],[Nro Almacen]],Almacen!A:D,4,FALSE),"")</f>
        <v>Montelima</v>
      </c>
    </row>
    <row r="4340" spans="1:12" x14ac:dyDescent="0.3">
      <c r="A4340" s="29" t="str">
        <f>Detalle_OC[[#This Row],[Centro]]&amp;Detalle_OC[[#This Row],[Nom Almacen]]&amp;Detalle_OC[[#This Row],[Material]]&amp;Detalle_OC[[#This Row],[Pedido]]&amp;Detalle_OC[[#This Row],[Posicion]]</f>
        <v>Agricola del Chira PlantaMontelima8462845500019188970</v>
      </c>
      <c r="B4340" t="s">
        <v>28</v>
      </c>
      <c r="C4340" t="s">
        <v>82</v>
      </c>
      <c r="D4340" s="11">
        <v>44211</v>
      </c>
      <c r="E4340" t="s">
        <v>16</v>
      </c>
      <c r="F4340" t="s">
        <v>12</v>
      </c>
      <c r="G4340">
        <v>846284</v>
      </c>
      <c r="H4340">
        <v>5500019188</v>
      </c>
      <c r="I4340">
        <v>970</v>
      </c>
      <c r="J4340" s="29">
        <v>1</v>
      </c>
      <c r="K4340" s="29" t="s">
        <v>646</v>
      </c>
      <c r="L4340" t="str">
        <f>IFERROR(VLOOKUP(Detalle_OC[[#This Row],[Centro]]&amp;Detalle_OC[[#This Row],[Nro Almacen]],Almacen!A:D,4,FALSE),"")</f>
        <v>Montelima</v>
      </c>
    </row>
    <row r="4341" spans="1:12" x14ac:dyDescent="0.3">
      <c r="A4341" s="29" t="str">
        <f>Detalle_OC[[#This Row],[Centro]]&amp;Detalle_OC[[#This Row],[Nom Almacen]]&amp;Detalle_OC[[#This Row],[Material]]&amp;Detalle_OC[[#This Row],[Pedido]]&amp;Detalle_OC[[#This Row],[Posicion]]</f>
        <v>Agricola del Chira PlantaMontelima82640155000191881130</v>
      </c>
      <c r="B4341" t="s">
        <v>28</v>
      </c>
      <c r="C4341" t="s">
        <v>82</v>
      </c>
      <c r="D4341" s="11">
        <v>44211</v>
      </c>
      <c r="E4341" t="s">
        <v>16</v>
      </c>
      <c r="F4341" t="s">
        <v>12</v>
      </c>
      <c r="G4341">
        <v>826401</v>
      </c>
      <c r="H4341">
        <v>5500019188</v>
      </c>
      <c r="I4341">
        <v>1130</v>
      </c>
      <c r="J4341" s="29">
        <v>1</v>
      </c>
      <c r="K4341" s="29" t="s">
        <v>646</v>
      </c>
      <c r="L4341" t="str">
        <f>IFERROR(VLOOKUP(Detalle_OC[[#This Row],[Centro]]&amp;Detalle_OC[[#This Row],[Nro Almacen]],Almacen!A:D,4,FALSE),"")</f>
        <v>Montelima</v>
      </c>
    </row>
    <row r="4342" spans="1:12" x14ac:dyDescent="0.3">
      <c r="A4342" s="29" t="str">
        <f>Detalle_OC[[#This Row],[Centro]]&amp;Detalle_OC[[#This Row],[Nom Almacen]]&amp;Detalle_OC[[#This Row],[Material]]&amp;Detalle_OC[[#This Row],[Pedido]]&amp;Detalle_OC[[#This Row],[Posicion]]</f>
        <v>Agricola del Chira PlantaMontelima82639855000191881160</v>
      </c>
      <c r="B4342" t="s">
        <v>28</v>
      </c>
      <c r="C4342" t="s">
        <v>82</v>
      </c>
      <c r="D4342" s="11">
        <v>44211</v>
      </c>
      <c r="E4342" t="s">
        <v>16</v>
      </c>
      <c r="F4342" t="s">
        <v>12</v>
      </c>
      <c r="G4342">
        <v>826398</v>
      </c>
      <c r="H4342">
        <v>5500019188</v>
      </c>
      <c r="I4342">
        <v>1160</v>
      </c>
      <c r="J4342" s="29">
        <v>1</v>
      </c>
      <c r="K4342" s="29" t="s">
        <v>646</v>
      </c>
      <c r="L4342" t="str">
        <f>IFERROR(VLOOKUP(Detalle_OC[[#This Row],[Centro]]&amp;Detalle_OC[[#This Row],[Nro Almacen]],Almacen!A:D,4,FALSE),"")</f>
        <v>Montelima</v>
      </c>
    </row>
    <row r="4343" spans="1:12" x14ac:dyDescent="0.3">
      <c r="A4343" s="29" t="str">
        <f>Detalle_OC[[#This Row],[Centro]]&amp;Detalle_OC[[#This Row],[Nom Almacen]]&amp;Detalle_OC[[#This Row],[Material]]&amp;Detalle_OC[[#This Row],[Pedido]]&amp;Detalle_OC[[#This Row],[Posicion]]</f>
        <v>Agricola del Chira PlantaMontelima83082755000191881170</v>
      </c>
      <c r="B4343" t="s">
        <v>28</v>
      </c>
      <c r="C4343" t="s">
        <v>82</v>
      </c>
      <c r="D4343" s="11">
        <v>44211</v>
      </c>
      <c r="E4343" t="s">
        <v>16</v>
      </c>
      <c r="F4343" t="s">
        <v>12</v>
      </c>
      <c r="G4343">
        <v>830827</v>
      </c>
      <c r="H4343">
        <v>5500019188</v>
      </c>
      <c r="I4343">
        <v>1170</v>
      </c>
      <c r="J4343" s="29">
        <v>1</v>
      </c>
      <c r="K4343" s="29" t="s">
        <v>646</v>
      </c>
      <c r="L4343" t="str">
        <f>IFERROR(VLOOKUP(Detalle_OC[[#This Row],[Centro]]&amp;Detalle_OC[[#This Row],[Nro Almacen]],Almacen!A:D,4,FALSE),"")</f>
        <v>Montelima</v>
      </c>
    </row>
    <row r="4344" spans="1:12" x14ac:dyDescent="0.3">
      <c r="A4344" s="29" t="str">
        <f>Detalle_OC[[#This Row],[Centro]]&amp;Detalle_OC[[#This Row],[Nom Almacen]]&amp;Detalle_OC[[#This Row],[Material]]&amp;Detalle_OC[[#This Row],[Pedido]]&amp;Detalle_OC[[#This Row],[Posicion]]</f>
        <v>Agricola del Chira PlantaMontelima83175855000191881190</v>
      </c>
      <c r="B4344" t="s">
        <v>28</v>
      </c>
      <c r="C4344" t="s">
        <v>82</v>
      </c>
      <c r="D4344" s="11">
        <v>44211</v>
      </c>
      <c r="E4344" t="s">
        <v>16</v>
      </c>
      <c r="F4344" t="s">
        <v>12</v>
      </c>
      <c r="G4344">
        <v>831758</v>
      </c>
      <c r="H4344">
        <v>5500019188</v>
      </c>
      <c r="I4344">
        <v>1190</v>
      </c>
      <c r="J4344" s="29">
        <v>1</v>
      </c>
      <c r="K4344" s="29" t="s">
        <v>646</v>
      </c>
      <c r="L4344" t="str">
        <f>IFERROR(VLOOKUP(Detalle_OC[[#This Row],[Centro]]&amp;Detalle_OC[[#This Row],[Nro Almacen]],Almacen!A:D,4,FALSE),"")</f>
        <v>Montelima</v>
      </c>
    </row>
    <row r="4345" spans="1:12" x14ac:dyDescent="0.3">
      <c r="A4345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4345" t="s">
        <v>28</v>
      </c>
      <c r="C4345" t="s">
        <v>84</v>
      </c>
      <c r="D4345" s="11">
        <v>44209</v>
      </c>
      <c r="E4345" t="s">
        <v>16</v>
      </c>
      <c r="F4345" t="s">
        <v>85</v>
      </c>
      <c r="G4345">
        <v>806591</v>
      </c>
      <c r="H4345">
        <v>5500022336</v>
      </c>
      <c r="I4345">
        <v>20</v>
      </c>
      <c r="J4345" s="29">
        <v>1</v>
      </c>
      <c r="K4345" s="29" t="s">
        <v>647</v>
      </c>
      <c r="L4345" t="str">
        <f>IFERROR(VLOOKUP(Detalle_OC[[#This Row],[Centro]]&amp;Detalle_OC[[#This Row],[Nro Almacen]],Almacen!A:D,4,FALSE),"")</f>
        <v>Montelima</v>
      </c>
    </row>
    <row r="4346" spans="1:12" x14ac:dyDescent="0.3">
      <c r="A4346" s="29" t="str">
        <f>Detalle_OC[[#This Row],[Centro]]&amp;Detalle_OC[[#This Row],[Nom Almacen]]&amp;Detalle_OC[[#This Row],[Material]]&amp;Detalle_OC[[#This Row],[Pedido]]&amp;Detalle_OC[[#This Row],[Posicion]]</f>
        <v>Agricola del Chira PlantaMontelima8445285500019188360</v>
      </c>
      <c r="B4346" t="s">
        <v>28</v>
      </c>
      <c r="C4346" t="s">
        <v>82</v>
      </c>
      <c r="D4346" s="11">
        <v>44208</v>
      </c>
      <c r="E4346" t="s">
        <v>16</v>
      </c>
      <c r="F4346" t="s">
        <v>12</v>
      </c>
      <c r="G4346">
        <v>844528</v>
      </c>
      <c r="H4346">
        <v>5500019188</v>
      </c>
      <c r="I4346">
        <v>360</v>
      </c>
      <c r="J4346" s="29">
        <v>1</v>
      </c>
      <c r="K4346" s="29" t="s">
        <v>648</v>
      </c>
      <c r="L4346" t="str">
        <f>IFERROR(VLOOKUP(Detalle_OC[[#This Row],[Centro]]&amp;Detalle_OC[[#This Row],[Nro Almacen]],Almacen!A:D,4,FALSE),"")</f>
        <v>Montelima</v>
      </c>
    </row>
    <row r="4347" spans="1:12" x14ac:dyDescent="0.3">
      <c r="A4347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4347" t="s">
        <v>28</v>
      </c>
      <c r="C4347" t="s">
        <v>84</v>
      </c>
      <c r="D4347" s="11">
        <v>44202</v>
      </c>
      <c r="E4347" t="s">
        <v>16</v>
      </c>
      <c r="F4347" t="s">
        <v>85</v>
      </c>
      <c r="G4347">
        <v>801846</v>
      </c>
      <c r="H4347">
        <v>5500022336</v>
      </c>
      <c r="I4347">
        <v>10</v>
      </c>
      <c r="J4347" s="29">
        <v>1</v>
      </c>
      <c r="K4347" s="29" t="s">
        <v>649</v>
      </c>
      <c r="L4347" t="str">
        <f>IFERROR(VLOOKUP(Detalle_OC[[#This Row],[Centro]]&amp;Detalle_OC[[#This Row],[Nro Almacen]],Almacen!A:D,4,FALSE),"")</f>
        <v>Montelima</v>
      </c>
    </row>
    <row r="4348" spans="1:12" x14ac:dyDescent="0.3">
      <c r="A4348" s="29" t="str">
        <f>Detalle_OC[[#This Row],[Centro]]&amp;Detalle_OC[[#This Row],[Nom Almacen]]&amp;Detalle_OC[[#This Row],[Material]]&amp;Detalle_OC[[#This Row],[Pedido]]&amp;Detalle_OC[[#This Row],[Posicion]]</f>
        <v>Sucroalcolera del Chira PlantaMontelima709179550002233630</v>
      </c>
      <c r="B4348" t="s">
        <v>28</v>
      </c>
      <c r="C4348" t="s">
        <v>84</v>
      </c>
      <c r="D4348" s="11">
        <v>44202</v>
      </c>
      <c r="E4348" t="s">
        <v>16</v>
      </c>
      <c r="F4348" t="s">
        <v>85</v>
      </c>
      <c r="G4348">
        <v>709179</v>
      </c>
      <c r="H4348">
        <v>5500022336</v>
      </c>
      <c r="I4348">
        <v>30</v>
      </c>
      <c r="J4348" s="29">
        <v>1</v>
      </c>
      <c r="K4348" s="29" t="s">
        <v>649</v>
      </c>
      <c r="L4348" t="str">
        <f>IFERROR(VLOOKUP(Detalle_OC[[#This Row],[Centro]]&amp;Detalle_OC[[#This Row],[Nro Almacen]],Almacen!A:D,4,FALSE),"")</f>
        <v>Montelima</v>
      </c>
    </row>
    <row r="4349" spans="1:12" x14ac:dyDescent="0.3">
      <c r="A4349" s="29" t="str">
        <f>Detalle_OC[[#This Row],[Centro]]&amp;Detalle_OC[[#This Row],[Nom Almacen]]&amp;Detalle_OC[[#This Row],[Material]]&amp;Detalle_OC[[#This Row],[Pedido]]&amp;Detalle_OC[[#This Row],[Posicion]]</f>
        <v>Agricola del Chira PlantaMontelima709179550002233820</v>
      </c>
      <c r="B4349" t="s">
        <v>28</v>
      </c>
      <c r="C4349" t="s">
        <v>84</v>
      </c>
      <c r="D4349" s="11">
        <v>44202</v>
      </c>
      <c r="E4349" t="s">
        <v>16</v>
      </c>
      <c r="F4349" t="s">
        <v>12</v>
      </c>
      <c r="G4349">
        <v>709179</v>
      </c>
      <c r="H4349">
        <v>5500022338</v>
      </c>
      <c r="I4349">
        <v>20</v>
      </c>
      <c r="J4349" s="29">
        <v>1</v>
      </c>
      <c r="K4349" s="29" t="s">
        <v>649</v>
      </c>
      <c r="L4349" t="str">
        <f>IFERROR(VLOOKUP(Detalle_OC[[#This Row],[Centro]]&amp;Detalle_OC[[#This Row],[Nro Almacen]],Almacen!A:D,4,FALSE),"")</f>
        <v>Montelima</v>
      </c>
    </row>
    <row r="4350" spans="1:12" x14ac:dyDescent="0.3">
      <c r="A4350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4350" t="s">
        <v>28</v>
      </c>
      <c r="C4350" t="s">
        <v>84</v>
      </c>
      <c r="D4350" s="11">
        <v>44202</v>
      </c>
      <c r="E4350" t="s">
        <v>16</v>
      </c>
      <c r="F4350" t="s">
        <v>12</v>
      </c>
      <c r="G4350">
        <v>801846</v>
      </c>
      <c r="H4350">
        <v>5500022338</v>
      </c>
      <c r="I4350">
        <v>40</v>
      </c>
      <c r="J4350" s="29">
        <v>1</v>
      </c>
      <c r="K4350" s="29" t="s">
        <v>649</v>
      </c>
      <c r="L4350" t="str">
        <f>IFERROR(VLOOKUP(Detalle_OC[[#This Row],[Centro]]&amp;Detalle_OC[[#This Row],[Nro Almacen]],Almacen!A:D,4,FALSE),"")</f>
        <v>Montelima</v>
      </c>
    </row>
    <row r="4351" spans="1:12" x14ac:dyDescent="0.3">
      <c r="A4351" s="29" t="str">
        <f>Detalle_OC[[#This Row],[Centro]]&amp;Detalle_OC[[#This Row],[Nom Almacen]]&amp;Detalle_OC[[#This Row],[Material]]&amp;Detalle_OC[[#This Row],[Pedido]]&amp;Detalle_OC[[#This Row],[Posicion]]</f>
        <v>Sucroalcolera del Chira PlantaMontelima813224550002233650</v>
      </c>
      <c r="B4351" t="s">
        <v>28</v>
      </c>
      <c r="C4351" t="s">
        <v>84</v>
      </c>
      <c r="D4351" s="11">
        <v>44186</v>
      </c>
      <c r="E4351" t="s">
        <v>16</v>
      </c>
      <c r="F4351" t="s">
        <v>85</v>
      </c>
      <c r="G4351">
        <v>813224</v>
      </c>
      <c r="H4351">
        <v>5500022336</v>
      </c>
      <c r="I4351">
        <v>50</v>
      </c>
      <c r="J4351" s="29">
        <v>1</v>
      </c>
      <c r="K4351" s="29" t="s">
        <v>650</v>
      </c>
      <c r="L4351" t="str">
        <f>IFERROR(VLOOKUP(Detalle_OC[[#This Row],[Centro]]&amp;Detalle_OC[[#This Row],[Nro Almacen]],Almacen!A:D,4,FALSE),"")</f>
        <v>Montelima</v>
      </c>
    </row>
    <row r="4352" spans="1:12" x14ac:dyDescent="0.3">
      <c r="A4352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4352" t="s">
        <v>28</v>
      </c>
      <c r="C4352" t="s">
        <v>84</v>
      </c>
      <c r="D4352" s="11">
        <v>44186</v>
      </c>
      <c r="E4352" t="s">
        <v>16</v>
      </c>
      <c r="F4352" t="s">
        <v>12</v>
      </c>
      <c r="G4352">
        <v>801846</v>
      </c>
      <c r="H4352">
        <v>5500022338</v>
      </c>
      <c r="I4352">
        <v>40</v>
      </c>
      <c r="J4352" s="29">
        <v>1</v>
      </c>
      <c r="K4352" s="29" t="s">
        <v>650</v>
      </c>
      <c r="L4352" t="str">
        <f>IFERROR(VLOOKUP(Detalle_OC[[#This Row],[Centro]]&amp;Detalle_OC[[#This Row],[Nro Almacen]],Almacen!A:D,4,FALSE),"")</f>
        <v>Montelima</v>
      </c>
    </row>
    <row r="4353" spans="1:12" x14ac:dyDescent="0.3">
      <c r="A4353" s="29" t="str">
        <f>Detalle_OC[[#This Row],[Centro]]&amp;Detalle_OC[[#This Row],[Nom Almacen]]&amp;Detalle_OC[[#This Row],[Material]]&amp;Detalle_OC[[#This Row],[Pedido]]&amp;Detalle_OC[[#This Row],[Posicion]]</f>
        <v>Agricola del Chira PlantaMontelima8445115500019188180</v>
      </c>
      <c r="B4353" t="s">
        <v>28</v>
      </c>
      <c r="C4353" t="s">
        <v>82</v>
      </c>
      <c r="D4353" s="11">
        <v>44180</v>
      </c>
      <c r="E4353" t="s">
        <v>16</v>
      </c>
      <c r="F4353" t="s">
        <v>12</v>
      </c>
      <c r="G4353">
        <v>844511</v>
      </c>
      <c r="H4353">
        <v>5500019188</v>
      </c>
      <c r="I4353">
        <v>180</v>
      </c>
      <c r="J4353" s="29">
        <v>1</v>
      </c>
      <c r="K4353" s="29" t="s">
        <v>651</v>
      </c>
      <c r="L4353" t="str">
        <f>IFERROR(VLOOKUP(Detalle_OC[[#This Row],[Centro]]&amp;Detalle_OC[[#This Row],[Nro Almacen]],Almacen!A:D,4,FALSE),"")</f>
        <v>Montelima</v>
      </c>
    </row>
    <row r="4354" spans="1:12" x14ac:dyDescent="0.3">
      <c r="A4354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4354" t="s">
        <v>28</v>
      </c>
      <c r="C4354" t="s">
        <v>82</v>
      </c>
      <c r="D4354" s="11">
        <v>44180</v>
      </c>
      <c r="E4354" t="s">
        <v>16</v>
      </c>
      <c r="F4354" t="s">
        <v>12</v>
      </c>
      <c r="G4354">
        <v>844516</v>
      </c>
      <c r="H4354">
        <v>5500019188</v>
      </c>
      <c r="I4354">
        <v>190</v>
      </c>
      <c r="J4354" s="29">
        <v>1</v>
      </c>
      <c r="K4354" s="29" t="s">
        <v>651</v>
      </c>
      <c r="L4354" t="str">
        <f>IFERROR(VLOOKUP(Detalle_OC[[#This Row],[Centro]]&amp;Detalle_OC[[#This Row],[Nro Almacen]],Almacen!A:D,4,FALSE),"")</f>
        <v>Montelima</v>
      </c>
    </row>
    <row r="4355" spans="1:12" x14ac:dyDescent="0.3">
      <c r="A4355" s="29" t="str">
        <f>Detalle_OC[[#This Row],[Centro]]&amp;Detalle_OC[[#This Row],[Nom Almacen]]&amp;Detalle_OC[[#This Row],[Material]]&amp;Detalle_OC[[#This Row],[Pedido]]&amp;Detalle_OC[[#This Row],[Posicion]]</f>
        <v>Agricola del Chira PlantaMontelima8445245500019188210</v>
      </c>
      <c r="B4355" t="s">
        <v>28</v>
      </c>
      <c r="C4355" t="s">
        <v>82</v>
      </c>
      <c r="D4355" s="11">
        <v>44180</v>
      </c>
      <c r="E4355" t="s">
        <v>16</v>
      </c>
      <c r="F4355" t="s">
        <v>12</v>
      </c>
      <c r="G4355">
        <v>844524</v>
      </c>
      <c r="H4355">
        <v>5500019188</v>
      </c>
      <c r="I4355">
        <v>210</v>
      </c>
      <c r="J4355" s="29">
        <v>1</v>
      </c>
      <c r="K4355" s="29" t="s">
        <v>651</v>
      </c>
      <c r="L4355" t="str">
        <f>IFERROR(VLOOKUP(Detalle_OC[[#This Row],[Centro]]&amp;Detalle_OC[[#This Row],[Nro Almacen]],Almacen!A:D,4,FALSE),"")</f>
        <v>Montelima</v>
      </c>
    </row>
    <row r="4356" spans="1:12" x14ac:dyDescent="0.3">
      <c r="A4356" s="29" t="str">
        <f>Detalle_OC[[#This Row],[Centro]]&amp;Detalle_OC[[#This Row],[Nom Almacen]]&amp;Detalle_OC[[#This Row],[Material]]&amp;Detalle_OC[[#This Row],[Pedido]]&amp;Detalle_OC[[#This Row],[Posicion]]</f>
        <v>Agricola del Chira PlantaMontelima83507555000191881310</v>
      </c>
      <c r="B4356" t="s">
        <v>28</v>
      </c>
      <c r="C4356" t="s">
        <v>82</v>
      </c>
      <c r="D4356" s="11">
        <v>44180</v>
      </c>
      <c r="E4356" t="s">
        <v>16</v>
      </c>
      <c r="F4356" t="s">
        <v>12</v>
      </c>
      <c r="G4356">
        <v>835075</v>
      </c>
      <c r="H4356">
        <v>5500019188</v>
      </c>
      <c r="I4356">
        <v>1310</v>
      </c>
      <c r="J4356" s="29">
        <v>1</v>
      </c>
      <c r="K4356" s="29" t="s">
        <v>651</v>
      </c>
      <c r="L4356" t="str">
        <f>IFERROR(VLOOKUP(Detalle_OC[[#This Row],[Centro]]&amp;Detalle_OC[[#This Row],[Nro Almacen]],Almacen!A:D,4,FALSE),"")</f>
        <v>Montelima</v>
      </c>
    </row>
    <row r="4357" spans="1:12" x14ac:dyDescent="0.3">
      <c r="A4357" s="29" t="str">
        <f>Detalle_OC[[#This Row],[Centro]]&amp;Detalle_OC[[#This Row],[Nom Almacen]]&amp;Detalle_OC[[#This Row],[Material]]&amp;Detalle_OC[[#This Row],[Pedido]]&amp;Detalle_OC[[#This Row],[Posicion]]</f>
        <v>Agricola del Chira PlantaMontelima83507355000191881320</v>
      </c>
      <c r="B4357" t="s">
        <v>28</v>
      </c>
      <c r="C4357" t="s">
        <v>82</v>
      </c>
      <c r="D4357" s="11">
        <v>44180</v>
      </c>
      <c r="E4357" t="s">
        <v>16</v>
      </c>
      <c r="F4357" t="s">
        <v>12</v>
      </c>
      <c r="G4357">
        <v>835073</v>
      </c>
      <c r="H4357">
        <v>5500019188</v>
      </c>
      <c r="I4357">
        <v>1320</v>
      </c>
      <c r="J4357" s="29">
        <v>1</v>
      </c>
      <c r="K4357" s="29" t="s">
        <v>651</v>
      </c>
      <c r="L4357" t="str">
        <f>IFERROR(VLOOKUP(Detalle_OC[[#This Row],[Centro]]&amp;Detalle_OC[[#This Row],[Nro Almacen]],Almacen!A:D,4,FALSE),"")</f>
        <v>Montelima</v>
      </c>
    </row>
    <row r="4358" spans="1:12" x14ac:dyDescent="0.3">
      <c r="A4358" s="29" t="str">
        <f>Detalle_OC[[#This Row],[Centro]]&amp;Detalle_OC[[#This Row],[Nom Almacen]]&amp;Detalle_OC[[#This Row],[Material]]&amp;Detalle_OC[[#This Row],[Pedido]]&amp;Detalle_OC[[#This Row],[Posicion]]</f>
        <v>Agricola del Chira PlantaMontelima83507855000191881330</v>
      </c>
      <c r="B4358" t="s">
        <v>28</v>
      </c>
      <c r="C4358" t="s">
        <v>82</v>
      </c>
      <c r="D4358" s="11">
        <v>44180</v>
      </c>
      <c r="E4358" t="s">
        <v>16</v>
      </c>
      <c r="F4358" t="s">
        <v>12</v>
      </c>
      <c r="G4358">
        <v>835078</v>
      </c>
      <c r="H4358">
        <v>5500019188</v>
      </c>
      <c r="I4358">
        <v>1330</v>
      </c>
      <c r="J4358" s="29">
        <v>1</v>
      </c>
      <c r="K4358" s="29" t="s">
        <v>651</v>
      </c>
      <c r="L4358" t="str">
        <f>IFERROR(VLOOKUP(Detalle_OC[[#This Row],[Centro]]&amp;Detalle_OC[[#This Row],[Nro Almacen]],Almacen!A:D,4,FALSE),"")</f>
        <v>Montelima</v>
      </c>
    </row>
    <row r="4359" spans="1:12" x14ac:dyDescent="0.3">
      <c r="A4359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4359" t="s">
        <v>28</v>
      </c>
      <c r="C4359" t="s">
        <v>84</v>
      </c>
      <c r="D4359" s="11">
        <v>44175</v>
      </c>
      <c r="E4359" t="s">
        <v>16</v>
      </c>
      <c r="F4359" t="s">
        <v>85</v>
      </c>
      <c r="G4359">
        <v>801846</v>
      </c>
      <c r="H4359">
        <v>5500022336</v>
      </c>
      <c r="I4359">
        <v>10</v>
      </c>
      <c r="J4359" s="29">
        <v>1</v>
      </c>
      <c r="K4359" s="29" t="s">
        <v>652</v>
      </c>
      <c r="L4359" t="str">
        <f>IFERROR(VLOOKUP(Detalle_OC[[#This Row],[Centro]]&amp;Detalle_OC[[#This Row],[Nro Almacen]],Almacen!A:D,4,FALSE),"")</f>
        <v>Montelima</v>
      </c>
    </row>
    <row r="4360" spans="1:12" x14ac:dyDescent="0.3">
      <c r="A4360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4360" t="s">
        <v>28</v>
      </c>
      <c r="C4360" t="s">
        <v>84</v>
      </c>
      <c r="D4360" s="11">
        <v>44175</v>
      </c>
      <c r="E4360" t="s">
        <v>16</v>
      </c>
      <c r="F4360" t="s">
        <v>85</v>
      </c>
      <c r="G4360">
        <v>806591</v>
      </c>
      <c r="H4360">
        <v>5500022336</v>
      </c>
      <c r="I4360">
        <v>20</v>
      </c>
      <c r="J4360" s="29">
        <v>1</v>
      </c>
      <c r="K4360" s="29" t="s">
        <v>652</v>
      </c>
      <c r="L4360" t="str">
        <f>IFERROR(VLOOKUP(Detalle_OC[[#This Row],[Centro]]&amp;Detalle_OC[[#This Row],[Nro Almacen]],Almacen!A:D,4,FALSE),"")</f>
        <v>Montelima</v>
      </c>
    </row>
    <row r="4361" spans="1:12" x14ac:dyDescent="0.3">
      <c r="A4361" s="29" t="str">
        <f>Detalle_OC[[#This Row],[Centro]]&amp;Detalle_OC[[#This Row],[Nom Almacen]]&amp;Detalle_OC[[#This Row],[Material]]&amp;Detalle_OC[[#This Row],[Pedido]]&amp;Detalle_OC[[#This Row],[Posicion]]</f>
        <v>Sucroalcolera del Chira PlantaMontelima709179550002233630</v>
      </c>
      <c r="B4361" t="s">
        <v>28</v>
      </c>
      <c r="C4361" t="s">
        <v>84</v>
      </c>
      <c r="D4361" s="11">
        <v>44174</v>
      </c>
      <c r="E4361" t="s">
        <v>16</v>
      </c>
      <c r="F4361" t="s">
        <v>85</v>
      </c>
      <c r="G4361">
        <v>709179</v>
      </c>
      <c r="H4361">
        <v>5500022336</v>
      </c>
      <c r="I4361">
        <v>30</v>
      </c>
      <c r="J4361" s="29">
        <v>1</v>
      </c>
      <c r="K4361" s="29" t="s">
        <v>653</v>
      </c>
      <c r="L4361" t="str">
        <f>IFERROR(VLOOKUP(Detalle_OC[[#This Row],[Centro]]&amp;Detalle_OC[[#This Row],[Nro Almacen]],Almacen!A:D,4,FALSE),"")</f>
        <v>Montelima</v>
      </c>
    </row>
    <row r="4362" spans="1:12" x14ac:dyDescent="0.3">
      <c r="A4362" s="29" t="str">
        <f>Detalle_OC[[#This Row],[Centro]]&amp;Detalle_OC[[#This Row],[Nom Almacen]]&amp;Detalle_OC[[#This Row],[Material]]&amp;Detalle_OC[[#This Row],[Pedido]]&amp;Detalle_OC[[#This Row],[Posicion]]</f>
        <v>Agricola del Chira PlantaMontelima808069550002233830</v>
      </c>
      <c r="B4362" t="s">
        <v>28</v>
      </c>
      <c r="C4362" t="s">
        <v>84</v>
      </c>
      <c r="D4362" s="11">
        <v>44174</v>
      </c>
      <c r="E4362" t="s">
        <v>16</v>
      </c>
      <c r="F4362" t="s">
        <v>12</v>
      </c>
      <c r="G4362">
        <v>808069</v>
      </c>
      <c r="H4362">
        <v>5500022338</v>
      </c>
      <c r="I4362">
        <v>30</v>
      </c>
      <c r="J4362" s="29">
        <v>1</v>
      </c>
      <c r="K4362" s="29" t="s">
        <v>653</v>
      </c>
      <c r="L4362" t="str">
        <f>IFERROR(VLOOKUP(Detalle_OC[[#This Row],[Centro]]&amp;Detalle_OC[[#This Row],[Nro Almacen]],Almacen!A:D,4,FALSE),"")</f>
        <v>Montelima</v>
      </c>
    </row>
    <row r="4363" spans="1:12" x14ac:dyDescent="0.3">
      <c r="A4363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4363" t="s">
        <v>28</v>
      </c>
      <c r="C4363" t="s">
        <v>84</v>
      </c>
      <c r="D4363" s="11">
        <v>44174</v>
      </c>
      <c r="E4363" t="s">
        <v>16</v>
      </c>
      <c r="F4363" t="s">
        <v>12</v>
      </c>
      <c r="G4363">
        <v>801846</v>
      </c>
      <c r="H4363">
        <v>5500022338</v>
      </c>
      <c r="I4363">
        <v>40</v>
      </c>
      <c r="J4363" s="29">
        <v>1</v>
      </c>
      <c r="K4363" s="29" t="s">
        <v>653</v>
      </c>
      <c r="L4363" t="str">
        <f>IFERROR(VLOOKUP(Detalle_OC[[#This Row],[Centro]]&amp;Detalle_OC[[#This Row],[Nro Almacen]],Almacen!A:D,4,FALSE),"")</f>
        <v>Montelima</v>
      </c>
    </row>
    <row r="4364" spans="1:12" x14ac:dyDescent="0.3">
      <c r="A4364" s="29" t="str">
        <f>Detalle_OC[[#This Row],[Centro]]&amp;Detalle_OC[[#This Row],[Nom Almacen]]&amp;Detalle_OC[[#This Row],[Material]]&amp;Detalle_OC[[#This Row],[Pedido]]&amp;Detalle_OC[[#This Row],[Posicion]]</f>
        <v>Agricola del Chira PlantaMontelima813224550002233870</v>
      </c>
      <c r="B4364" t="s">
        <v>28</v>
      </c>
      <c r="C4364" t="s">
        <v>84</v>
      </c>
      <c r="D4364" s="11">
        <v>44174</v>
      </c>
      <c r="E4364" t="s">
        <v>16</v>
      </c>
      <c r="F4364" t="s">
        <v>12</v>
      </c>
      <c r="G4364">
        <v>813224</v>
      </c>
      <c r="H4364">
        <v>5500022338</v>
      </c>
      <c r="I4364">
        <v>70</v>
      </c>
      <c r="J4364" s="29">
        <v>1</v>
      </c>
      <c r="K4364" s="29" t="s">
        <v>653</v>
      </c>
      <c r="L4364" t="str">
        <f>IFERROR(VLOOKUP(Detalle_OC[[#This Row],[Centro]]&amp;Detalle_OC[[#This Row],[Nro Almacen]],Almacen!A:D,4,FALSE),"")</f>
        <v>Montelima</v>
      </c>
    </row>
    <row r="4365" spans="1:12" x14ac:dyDescent="0.3">
      <c r="A4365" s="29" t="str">
        <f>Detalle_OC[[#This Row],[Centro]]&amp;Detalle_OC[[#This Row],[Nom Almacen]]&amp;Detalle_OC[[#This Row],[Material]]&amp;Detalle_OC[[#This Row],[Pedido]]&amp;Detalle_OC[[#This Row],[Posicion]]</f>
        <v>Agricola del Chira PlantaMontelima738330550001918820</v>
      </c>
      <c r="B4365" t="s">
        <v>28</v>
      </c>
      <c r="C4365" t="s">
        <v>82</v>
      </c>
      <c r="D4365" s="11">
        <v>44163</v>
      </c>
      <c r="E4365" t="s">
        <v>16</v>
      </c>
      <c r="F4365" t="s">
        <v>12</v>
      </c>
      <c r="G4365">
        <v>738330</v>
      </c>
      <c r="H4365">
        <v>5500019188</v>
      </c>
      <c r="I4365">
        <v>20</v>
      </c>
      <c r="J4365" s="29">
        <v>1</v>
      </c>
      <c r="K4365" s="29" t="s">
        <v>654</v>
      </c>
      <c r="L4365" t="str">
        <f>IFERROR(VLOOKUP(Detalle_OC[[#This Row],[Centro]]&amp;Detalle_OC[[#This Row],[Nro Almacen]],Almacen!A:D,4,FALSE),"")</f>
        <v>Montelima</v>
      </c>
    </row>
    <row r="4366" spans="1:12" x14ac:dyDescent="0.3">
      <c r="A4366" s="29" t="str">
        <f>Detalle_OC[[#This Row],[Centro]]&amp;Detalle_OC[[#This Row],[Nom Almacen]]&amp;Detalle_OC[[#This Row],[Material]]&amp;Detalle_OC[[#This Row],[Pedido]]&amp;Detalle_OC[[#This Row],[Posicion]]</f>
        <v>Agricola del Chira PlantaMontelima762202550001918850</v>
      </c>
      <c r="B4366" t="s">
        <v>28</v>
      </c>
      <c r="C4366" t="s">
        <v>82</v>
      </c>
      <c r="D4366" s="11">
        <v>44163</v>
      </c>
      <c r="E4366" t="s">
        <v>16</v>
      </c>
      <c r="F4366" t="s">
        <v>12</v>
      </c>
      <c r="G4366">
        <v>762202</v>
      </c>
      <c r="H4366">
        <v>5500019188</v>
      </c>
      <c r="I4366">
        <v>50</v>
      </c>
      <c r="J4366" s="29">
        <v>1</v>
      </c>
      <c r="K4366" s="29" t="s">
        <v>654</v>
      </c>
      <c r="L4366" t="str">
        <f>IFERROR(VLOOKUP(Detalle_OC[[#This Row],[Centro]]&amp;Detalle_OC[[#This Row],[Nro Almacen]],Almacen!A:D,4,FALSE),"")</f>
        <v>Montelima</v>
      </c>
    </row>
    <row r="4367" spans="1:12" x14ac:dyDescent="0.3">
      <c r="A4367" s="29" t="str">
        <f>Detalle_OC[[#This Row],[Centro]]&amp;Detalle_OC[[#This Row],[Nom Almacen]]&amp;Detalle_OC[[#This Row],[Material]]&amp;Detalle_OC[[#This Row],[Pedido]]&amp;Detalle_OC[[#This Row],[Posicion]]</f>
        <v>Agricola del Chira PlantaMontelima83507655000191881340</v>
      </c>
      <c r="B4367" t="s">
        <v>28</v>
      </c>
      <c r="C4367" t="s">
        <v>82</v>
      </c>
      <c r="D4367" s="11">
        <v>44163</v>
      </c>
      <c r="E4367" t="s">
        <v>16</v>
      </c>
      <c r="F4367" t="s">
        <v>12</v>
      </c>
      <c r="G4367">
        <v>835076</v>
      </c>
      <c r="H4367">
        <v>5500019188</v>
      </c>
      <c r="I4367">
        <v>1340</v>
      </c>
      <c r="J4367" s="29">
        <v>1</v>
      </c>
      <c r="K4367" s="29" t="s">
        <v>654</v>
      </c>
      <c r="L4367" t="str">
        <f>IFERROR(VLOOKUP(Detalle_OC[[#This Row],[Centro]]&amp;Detalle_OC[[#This Row],[Nro Almacen]],Almacen!A:D,4,FALSE),"")</f>
        <v>Montelima</v>
      </c>
    </row>
    <row r="4368" spans="1:12" x14ac:dyDescent="0.3">
      <c r="A4368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4368" t="s">
        <v>28</v>
      </c>
      <c r="C4368" t="s">
        <v>84</v>
      </c>
      <c r="D4368" s="11">
        <v>44160</v>
      </c>
      <c r="E4368" t="s">
        <v>16</v>
      </c>
      <c r="F4368" t="s">
        <v>12</v>
      </c>
      <c r="G4368">
        <v>801846</v>
      </c>
      <c r="H4368">
        <v>5500022338</v>
      </c>
      <c r="I4368">
        <v>40</v>
      </c>
      <c r="J4368" s="29">
        <v>1</v>
      </c>
      <c r="K4368" s="29" t="s">
        <v>655</v>
      </c>
      <c r="L4368" t="str">
        <f>IFERROR(VLOOKUP(Detalle_OC[[#This Row],[Centro]]&amp;Detalle_OC[[#This Row],[Nro Almacen]],Almacen!A:D,4,FALSE),"")</f>
        <v>Montelima</v>
      </c>
    </row>
    <row r="4369" spans="1:12" x14ac:dyDescent="0.3">
      <c r="A4369" s="29" t="str">
        <f>Detalle_OC[[#This Row],[Centro]]&amp;Detalle_OC[[#This Row],[Nom Almacen]]&amp;Detalle_OC[[#This Row],[Material]]&amp;Detalle_OC[[#This Row],[Pedido]]&amp;Detalle_OC[[#This Row],[Posicion]]</f>
        <v>Agricola del Chira PlantaMontelima8445135500019188450</v>
      </c>
      <c r="B4369" t="s">
        <v>28</v>
      </c>
      <c r="C4369" t="s">
        <v>82</v>
      </c>
      <c r="D4369" s="11">
        <v>44159</v>
      </c>
      <c r="E4369" t="s">
        <v>16</v>
      </c>
      <c r="F4369" t="s">
        <v>12</v>
      </c>
      <c r="G4369">
        <v>844513</v>
      </c>
      <c r="H4369">
        <v>5500019188</v>
      </c>
      <c r="I4369">
        <v>450</v>
      </c>
      <c r="J4369" s="29">
        <v>1</v>
      </c>
      <c r="K4369" s="29" t="s">
        <v>656</v>
      </c>
      <c r="L4369" t="str">
        <f>IFERROR(VLOOKUP(Detalle_OC[[#This Row],[Centro]]&amp;Detalle_OC[[#This Row],[Nro Almacen]],Almacen!A:D,4,FALSE),"")</f>
        <v>Montelima</v>
      </c>
    </row>
    <row r="4370" spans="1:12" x14ac:dyDescent="0.3">
      <c r="A4370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4370" t="s">
        <v>28</v>
      </c>
      <c r="C4370" t="s">
        <v>84</v>
      </c>
      <c r="D4370" s="11">
        <v>44156</v>
      </c>
      <c r="E4370" t="s">
        <v>16</v>
      </c>
      <c r="F4370" t="s">
        <v>12</v>
      </c>
      <c r="G4370">
        <v>801846</v>
      </c>
      <c r="H4370">
        <v>5500022338</v>
      </c>
      <c r="I4370">
        <v>40</v>
      </c>
      <c r="J4370" s="29">
        <v>1</v>
      </c>
      <c r="K4370" s="29" t="s">
        <v>657</v>
      </c>
      <c r="L4370" t="str">
        <f>IFERROR(VLOOKUP(Detalle_OC[[#This Row],[Centro]]&amp;Detalle_OC[[#This Row],[Nro Almacen]],Almacen!A:D,4,FALSE),"")</f>
        <v>Montelima</v>
      </c>
    </row>
    <row r="4371" spans="1:12" x14ac:dyDescent="0.3">
      <c r="A4371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4371" t="s">
        <v>28</v>
      </c>
      <c r="C4371" t="s">
        <v>82</v>
      </c>
      <c r="D4371" s="11">
        <v>44153</v>
      </c>
      <c r="E4371" t="s">
        <v>16</v>
      </c>
      <c r="F4371" t="s">
        <v>12</v>
      </c>
      <c r="G4371">
        <v>844522</v>
      </c>
      <c r="H4371">
        <v>5500019188</v>
      </c>
      <c r="I4371">
        <v>150</v>
      </c>
      <c r="J4371" s="29">
        <v>1</v>
      </c>
      <c r="K4371" s="29" t="s">
        <v>658</v>
      </c>
      <c r="L4371" t="str">
        <f>IFERROR(VLOOKUP(Detalle_OC[[#This Row],[Centro]]&amp;Detalle_OC[[#This Row],[Nro Almacen]],Almacen!A:D,4,FALSE),"")</f>
        <v>Montelima</v>
      </c>
    </row>
    <row r="4372" spans="1:12" x14ac:dyDescent="0.3">
      <c r="A4372" s="29" t="str">
        <f>Detalle_OC[[#This Row],[Centro]]&amp;Detalle_OC[[#This Row],[Nom Almacen]]&amp;Detalle_OC[[#This Row],[Material]]&amp;Detalle_OC[[#This Row],[Pedido]]&amp;Detalle_OC[[#This Row],[Posicion]]</f>
        <v>Agricola del Chira PlantaMontelima8445115500019188180</v>
      </c>
      <c r="B4372" t="s">
        <v>28</v>
      </c>
      <c r="C4372" t="s">
        <v>82</v>
      </c>
      <c r="D4372" s="11">
        <v>44153</v>
      </c>
      <c r="E4372" t="s">
        <v>16</v>
      </c>
      <c r="F4372" t="s">
        <v>12</v>
      </c>
      <c r="G4372">
        <v>844511</v>
      </c>
      <c r="H4372">
        <v>5500019188</v>
      </c>
      <c r="I4372">
        <v>180</v>
      </c>
      <c r="J4372" s="29">
        <v>1</v>
      </c>
      <c r="K4372" s="29" t="s">
        <v>658</v>
      </c>
      <c r="L4372" t="str">
        <f>IFERROR(VLOOKUP(Detalle_OC[[#This Row],[Centro]]&amp;Detalle_OC[[#This Row],[Nro Almacen]],Almacen!A:D,4,FALSE),"")</f>
        <v>Montelima</v>
      </c>
    </row>
    <row r="4373" spans="1:12" x14ac:dyDescent="0.3">
      <c r="A4373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4373" t="s">
        <v>28</v>
      </c>
      <c r="C4373" t="s">
        <v>82</v>
      </c>
      <c r="D4373" s="11">
        <v>44153</v>
      </c>
      <c r="E4373" t="s">
        <v>16</v>
      </c>
      <c r="F4373" t="s">
        <v>12</v>
      </c>
      <c r="G4373">
        <v>844516</v>
      </c>
      <c r="H4373">
        <v>5500019188</v>
      </c>
      <c r="I4373">
        <v>190</v>
      </c>
      <c r="J4373" s="29">
        <v>1</v>
      </c>
      <c r="K4373" s="29" t="s">
        <v>658</v>
      </c>
      <c r="L4373" t="str">
        <f>IFERROR(VLOOKUP(Detalle_OC[[#This Row],[Centro]]&amp;Detalle_OC[[#This Row],[Nro Almacen]],Almacen!A:D,4,FALSE),"")</f>
        <v>Montelima</v>
      </c>
    </row>
    <row r="4374" spans="1:12" x14ac:dyDescent="0.3">
      <c r="A4374" s="29" t="str">
        <f>Detalle_OC[[#This Row],[Centro]]&amp;Detalle_OC[[#This Row],[Nom Almacen]]&amp;Detalle_OC[[#This Row],[Material]]&amp;Detalle_OC[[#This Row],[Pedido]]&amp;Detalle_OC[[#This Row],[Posicion]]</f>
        <v>Agricola del Chira PlantaMontelima8443975500019188280</v>
      </c>
      <c r="B4374" t="s">
        <v>28</v>
      </c>
      <c r="C4374" t="s">
        <v>82</v>
      </c>
      <c r="D4374" s="11">
        <v>44153</v>
      </c>
      <c r="E4374" t="s">
        <v>16</v>
      </c>
      <c r="F4374" t="s">
        <v>12</v>
      </c>
      <c r="G4374">
        <v>844397</v>
      </c>
      <c r="H4374">
        <v>5500019188</v>
      </c>
      <c r="I4374">
        <v>280</v>
      </c>
      <c r="J4374" s="29">
        <v>1</v>
      </c>
      <c r="K4374" s="29" t="s">
        <v>658</v>
      </c>
      <c r="L4374" t="str">
        <f>IFERROR(VLOOKUP(Detalle_OC[[#This Row],[Centro]]&amp;Detalle_OC[[#This Row],[Nro Almacen]],Almacen!A:D,4,FALSE),"")</f>
        <v>Montelima</v>
      </c>
    </row>
    <row r="4375" spans="1:12" x14ac:dyDescent="0.3">
      <c r="A4375" s="29" t="str">
        <f>Detalle_OC[[#This Row],[Centro]]&amp;Detalle_OC[[#This Row],[Nom Almacen]]&amp;Detalle_OC[[#This Row],[Material]]&amp;Detalle_OC[[#This Row],[Pedido]]&amp;Detalle_OC[[#This Row],[Posicion]]</f>
        <v>Agricola del Chira PlantaMontelima8443985500019188290</v>
      </c>
      <c r="B4375" t="s">
        <v>28</v>
      </c>
      <c r="C4375" t="s">
        <v>82</v>
      </c>
      <c r="D4375" s="11">
        <v>44153</v>
      </c>
      <c r="E4375" t="s">
        <v>16</v>
      </c>
      <c r="F4375" t="s">
        <v>12</v>
      </c>
      <c r="G4375">
        <v>844398</v>
      </c>
      <c r="H4375">
        <v>5500019188</v>
      </c>
      <c r="I4375">
        <v>290</v>
      </c>
      <c r="J4375" s="29">
        <v>1</v>
      </c>
      <c r="K4375" s="29" t="s">
        <v>658</v>
      </c>
      <c r="L4375" t="str">
        <f>IFERROR(VLOOKUP(Detalle_OC[[#This Row],[Centro]]&amp;Detalle_OC[[#This Row],[Nro Almacen]],Almacen!A:D,4,FALSE),"")</f>
        <v>Montelima</v>
      </c>
    </row>
    <row r="4376" spans="1:12" x14ac:dyDescent="0.3">
      <c r="A4376" s="29" t="str">
        <f>Detalle_OC[[#This Row],[Centro]]&amp;Detalle_OC[[#This Row],[Nom Almacen]]&amp;Detalle_OC[[#This Row],[Material]]&amp;Detalle_OC[[#This Row],[Pedido]]&amp;Detalle_OC[[#This Row],[Posicion]]</f>
        <v>Agricola del Chira PlantaMontelima8445435500019188570</v>
      </c>
      <c r="B4376" t="s">
        <v>28</v>
      </c>
      <c r="C4376" t="s">
        <v>82</v>
      </c>
      <c r="D4376" s="11">
        <v>44153</v>
      </c>
      <c r="E4376" t="s">
        <v>16</v>
      </c>
      <c r="F4376" t="s">
        <v>12</v>
      </c>
      <c r="G4376">
        <v>844543</v>
      </c>
      <c r="H4376">
        <v>5500019188</v>
      </c>
      <c r="I4376">
        <v>570</v>
      </c>
      <c r="J4376" s="29">
        <v>1</v>
      </c>
      <c r="K4376" s="29" t="s">
        <v>658</v>
      </c>
      <c r="L4376" t="str">
        <f>IFERROR(VLOOKUP(Detalle_OC[[#This Row],[Centro]]&amp;Detalle_OC[[#This Row],[Nro Almacen]],Almacen!A:D,4,FALSE),"")</f>
        <v>Montelima</v>
      </c>
    </row>
    <row r="4377" spans="1:12" x14ac:dyDescent="0.3">
      <c r="A4377" s="29" t="str">
        <f>Detalle_OC[[#This Row],[Centro]]&amp;Detalle_OC[[#This Row],[Nom Almacen]]&amp;Detalle_OC[[#This Row],[Material]]&amp;Detalle_OC[[#This Row],[Pedido]]&amp;Detalle_OC[[#This Row],[Posicion]]</f>
        <v>Agricola del Chira PlantaMontelima7002963055000191881640</v>
      </c>
      <c r="B4377" t="s">
        <v>28</v>
      </c>
      <c r="C4377" t="s">
        <v>82</v>
      </c>
      <c r="D4377" s="11">
        <v>44153</v>
      </c>
      <c r="E4377" t="s">
        <v>16</v>
      </c>
      <c r="F4377" t="s">
        <v>12</v>
      </c>
      <c r="G4377">
        <v>70029630</v>
      </c>
      <c r="H4377">
        <v>5500019188</v>
      </c>
      <c r="I4377">
        <v>1640</v>
      </c>
      <c r="J4377" s="29">
        <v>1</v>
      </c>
      <c r="K4377" s="29" t="s">
        <v>658</v>
      </c>
      <c r="L4377" t="str">
        <f>IFERROR(VLOOKUP(Detalle_OC[[#This Row],[Centro]]&amp;Detalle_OC[[#This Row],[Nro Almacen]],Almacen!A:D,4,FALSE),"")</f>
        <v>Montelima</v>
      </c>
    </row>
    <row r="4378" spans="1:12" x14ac:dyDescent="0.3">
      <c r="A4378" s="29" t="str">
        <f>Detalle_OC[[#This Row],[Centro]]&amp;Detalle_OC[[#This Row],[Nom Almacen]]&amp;Detalle_OC[[#This Row],[Material]]&amp;Detalle_OC[[#This Row],[Pedido]]&amp;Detalle_OC[[#This Row],[Posicion]]</f>
        <v>Agricola del Chira PlantaMontelima7003087955000191881700</v>
      </c>
      <c r="B4378" t="s">
        <v>28</v>
      </c>
      <c r="C4378" t="s">
        <v>82</v>
      </c>
      <c r="D4378" s="11">
        <v>44153</v>
      </c>
      <c r="E4378" t="s">
        <v>16</v>
      </c>
      <c r="F4378" t="s">
        <v>12</v>
      </c>
      <c r="G4378">
        <v>70030879</v>
      </c>
      <c r="H4378">
        <v>5500019188</v>
      </c>
      <c r="I4378">
        <v>1700</v>
      </c>
      <c r="J4378" s="29">
        <v>1</v>
      </c>
      <c r="K4378" s="29" t="s">
        <v>658</v>
      </c>
      <c r="L4378" t="str">
        <f>IFERROR(VLOOKUP(Detalle_OC[[#This Row],[Centro]]&amp;Detalle_OC[[#This Row],[Nro Almacen]],Almacen!A:D,4,FALSE),"")</f>
        <v>Montelima</v>
      </c>
    </row>
    <row r="4379" spans="1:12" x14ac:dyDescent="0.3">
      <c r="A4379" s="29" t="str">
        <f>Detalle_OC[[#This Row],[Centro]]&amp;Detalle_OC[[#This Row],[Nom Almacen]]&amp;Detalle_OC[[#This Row],[Material]]&amp;Detalle_OC[[#This Row],[Pedido]]&amp;Detalle_OC[[#This Row],[Posicion]]</f>
        <v>Sucroalcolera del Chira PlantaMontelima709179550002233630</v>
      </c>
      <c r="B4379" t="s">
        <v>28</v>
      </c>
      <c r="C4379" t="s">
        <v>84</v>
      </c>
      <c r="D4379" s="11">
        <v>44139</v>
      </c>
      <c r="E4379" t="s">
        <v>16</v>
      </c>
      <c r="F4379" t="s">
        <v>85</v>
      </c>
      <c r="G4379">
        <v>709179</v>
      </c>
      <c r="H4379">
        <v>5500022336</v>
      </c>
      <c r="I4379">
        <v>30</v>
      </c>
      <c r="J4379" s="29">
        <v>1</v>
      </c>
      <c r="K4379" s="29" t="s">
        <v>659</v>
      </c>
      <c r="L4379" t="str">
        <f>IFERROR(VLOOKUP(Detalle_OC[[#This Row],[Centro]]&amp;Detalle_OC[[#This Row],[Nro Almacen]],Almacen!A:D,4,FALSE),"")</f>
        <v>Montelima</v>
      </c>
    </row>
    <row r="4380" spans="1:12" x14ac:dyDescent="0.3">
      <c r="A4380" s="29" t="str">
        <f>Detalle_OC[[#This Row],[Centro]]&amp;Detalle_OC[[#This Row],[Nom Almacen]]&amp;Detalle_OC[[#This Row],[Material]]&amp;Detalle_OC[[#This Row],[Pedido]]&amp;Detalle_OC[[#This Row],[Posicion]]</f>
        <v>Agricola del Chira PlantaMontelima808069550002233830</v>
      </c>
      <c r="B4380" t="s">
        <v>28</v>
      </c>
      <c r="C4380" t="s">
        <v>84</v>
      </c>
      <c r="D4380" s="11">
        <v>44139</v>
      </c>
      <c r="E4380" t="s">
        <v>16</v>
      </c>
      <c r="F4380" t="s">
        <v>12</v>
      </c>
      <c r="G4380">
        <v>808069</v>
      </c>
      <c r="H4380">
        <v>5500022338</v>
      </c>
      <c r="I4380">
        <v>30</v>
      </c>
      <c r="J4380" s="29">
        <v>1</v>
      </c>
      <c r="K4380" s="29" t="s">
        <v>659</v>
      </c>
      <c r="L4380" t="str">
        <f>IFERROR(VLOOKUP(Detalle_OC[[#This Row],[Centro]]&amp;Detalle_OC[[#This Row],[Nro Almacen]],Almacen!A:D,4,FALSE),"")</f>
        <v>Montelima</v>
      </c>
    </row>
    <row r="4381" spans="1:12" x14ac:dyDescent="0.3">
      <c r="A4381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4381" t="s">
        <v>28</v>
      </c>
      <c r="C4381" t="s">
        <v>84</v>
      </c>
      <c r="D4381" s="11">
        <v>44139</v>
      </c>
      <c r="E4381" t="s">
        <v>16</v>
      </c>
      <c r="F4381" t="s">
        <v>12</v>
      </c>
      <c r="G4381">
        <v>801846</v>
      </c>
      <c r="H4381">
        <v>5500022338</v>
      </c>
      <c r="I4381">
        <v>40</v>
      </c>
      <c r="J4381" s="29">
        <v>1</v>
      </c>
      <c r="K4381" s="29" t="s">
        <v>659</v>
      </c>
      <c r="L4381" t="str">
        <f>IFERROR(VLOOKUP(Detalle_OC[[#This Row],[Centro]]&amp;Detalle_OC[[#This Row],[Nro Almacen]],Almacen!A:D,4,FALSE),"")</f>
        <v>Montelima</v>
      </c>
    </row>
    <row r="4382" spans="1:12" x14ac:dyDescent="0.3">
      <c r="A4382" s="29" t="str">
        <f>Detalle_OC[[#This Row],[Centro]]&amp;Detalle_OC[[#This Row],[Nom Almacen]]&amp;Detalle_OC[[#This Row],[Material]]&amp;Detalle_OC[[#This Row],[Pedido]]&amp;Detalle_OC[[#This Row],[Posicion]]</f>
        <v>Agricola del Chira PlantaMontelima708707550002233850</v>
      </c>
      <c r="B4382" t="s">
        <v>28</v>
      </c>
      <c r="C4382" t="s">
        <v>84</v>
      </c>
      <c r="D4382" s="11">
        <v>44139</v>
      </c>
      <c r="E4382" t="s">
        <v>16</v>
      </c>
      <c r="F4382" t="s">
        <v>12</v>
      </c>
      <c r="G4382">
        <v>708707</v>
      </c>
      <c r="H4382">
        <v>5500022338</v>
      </c>
      <c r="I4382">
        <v>50</v>
      </c>
      <c r="J4382" s="29">
        <v>1</v>
      </c>
      <c r="K4382" s="29" t="s">
        <v>659</v>
      </c>
      <c r="L4382" t="str">
        <f>IFERROR(VLOOKUP(Detalle_OC[[#This Row],[Centro]]&amp;Detalle_OC[[#This Row],[Nro Almacen]],Almacen!A:D,4,FALSE),"")</f>
        <v>Montelima</v>
      </c>
    </row>
    <row r="4383" spans="1:12" x14ac:dyDescent="0.3">
      <c r="A4383" s="29" t="str">
        <f>Detalle_OC[[#This Row],[Centro]]&amp;Detalle_OC[[#This Row],[Nom Almacen]]&amp;Detalle_OC[[#This Row],[Material]]&amp;Detalle_OC[[#This Row],[Pedido]]&amp;Detalle_OC[[#This Row],[Posicion]]</f>
        <v>Agricola del Chira PlantaMontelima8445365500019188330</v>
      </c>
      <c r="B4383" t="s">
        <v>28</v>
      </c>
      <c r="C4383" t="s">
        <v>82</v>
      </c>
      <c r="D4383" s="11">
        <v>44138</v>
      </c>
      <c r="E4383" t="s">
        <v>16</v>
      </c>
      <c r="F4383" t="s">
        <v>12</v>
      </c>
      <c r="G4383">
        <v>844536</v>
      </c>
      <c r="H4383">
        <v>5500019188</v>
      </c>
      <c r="I4383">
        <v>330</v>
      </c>
      <c r="J4383" s="29">
        <v>1</v>
      </c>
      <c r="K4383" s="29" t="s">
        <v>660</v>
      </c>
      <c r="L4383" t="str">
        <f>IFERROR(VLOOKUP(Detalle_OC[[#This Row],[Centro]]&amp;Detalle_OC[[#This Row],[Nro Almacen]],Almacen!A:D,4,FALSE),"")</f>
        <v>Montelima</v>
      </c>
    </row>
    <row r="4384" spans="1:12" x14ac:dyDescent="0.3">
      <c r="A4384" s="29" t="str">
        <f>Detalle_OC[[#This Row],[Centro]]&amp;Detalle_OC[[#This Row],[Nom Almacen]]&amp;Detalle_OC[[#This Row],[Material]]&amp;Detalle_OC[[#This Row],[Pedido]]&amp;Detalle_OC[[#This Row],[Posicion]]</f>
        <v>Agricola del Chira PlantaMontelima8445325500019188440</v>
      </c>
      <c r="B4384" t="s">
        <v>28</v>
      </c>
      <c r="C4384" t="s">
        <v>82</v>
      </c>
      <c r="D4384" s="11">
        <v>44138</v>
      </c>
      <c r="E4384" t="s">
        <v>16</v>
      </c>
      <c r="F4384" t="s">
        <v>12</v>
      </c>
      <c r="G4384">
        <v>844532</v>
      </c>
      <c r="H4384">
        <v>5500019188</v>
      </c>
      <c r="I4384">
        <v>440</v>
      </c>
      <c r="J4384" s="29">
        <v>1</v>
      </c>
      <c r="K4384" s="29" t="s">
        <v>660</v>
      </c>
      <c r="L4384" t="str">
        <f>IFERROR(VLOOKUP(Detalle_OC[[#This Row],[Centro]]&amp;Detalle_OC[[#This Row],[Nro Almacen]],Almacen!A:D,4,FALSE),"")</f>
        <v>Montelima</v>
      </c>
    </row>
    <row r="4385" spans="1:12" x14ac:dyDescent="0.3">
      <c r="A4385" s="29" t="str">
        <f>Detalle_OC[[#This Row],[Centro]]&amp;Detalle_OC[[#This Row],[Nom Almacen]]&amp;Detalle_OC[[#This Row],[Material]]&amp;Detalle_OC[[#This Row],[Pedido]]&amp;Detalle_OC[[#This Row],[Posicion]]</f>
        <v>Agricola del Chira PlantaMontelima8445385500019188560</v>
      </c>
      <c r="B4385" t="s">
        <v>28</v>
      </c>
      <c r="C4385" t="s">
        <v>82</v>
      </c>
      <c r="D4385" s="11">
        <v>44138</v>
      </c>
      <c r="E4385" t="s">
        <v>16</v>
      </c>
      <c r="F4385" t="s">
        <v>12</v>
      </c>
      <c r="G4385">
        <v>844538</v>
      </c>
      <c r="H4385">
        <v>5500019188</v>
      </c>
      <c r="I4385">
        <v>560</v>
      </c>
      <c r="J4385" s="29">
        <v>1</v>
      </c>
      <c r="K4385" s="29" t="s">
        <v>660</v>
      </c>
      <c r="L4385" t="str">
        <f>IFERROR(VLOOKUP(Detalle_OC[[#This Row],[Centro]]&amp;Detalle_OC[[#This Row],[Nro Almacen]],Almacen!A:D,4,FALSE),"")</f>
        <v>Montelima</v>
      </c>
    </row>
    <row r="4386" spans="1:12" x14ac:dyDescent="0.3">
      <c r="A4386" s="29" t="str">
        <f>Detalle_OC[[#This Row],[Centro]]&amp;Detalle_OC[[#This Row],[Nom Almacen]]&amp;Detalle_OC[[#This Row],[Material]]&amp;Detalle_OC[[#This Row],[Pedido]]&amp;Detalle_OC[[#This Row],[Posicion]]</f>
        <v>Agricola del Chira PlantaMontelima8445425500019188680</v>
      </c>
      <c r="B4386" t="s">
        <v>28</v>
      </c>
      <c r="C4386" t="s">
        <v>82</v>
      </c>
      <c r="D4386" s="11">
        <v>44138</v>
      </c>
      <c r="E4386" t="s">
        <v>16</v>
      </c>
      <c r="F4386" t="s">
        <v>12</v>
      </c>
      <c r="G4386">
        <v>844542</v>
      </c>
      <c r="H4386">
        <v>5500019188</v>
      </c>
      <c r="I4386">
        <v>680</v>
      </c>
      <c r="J4386" s="29">
        <v>1</v>
      </c>
      <c r="K4386" s="29" t="s">
        <v>660</v>
      </c>
      <c r="L4386" t="str">
        <f>IFERROR(VLOOKUP(Detalle_OC[[#This Row],[Centro]]&amp;Detalle_OC[[#This Row],[Nro Almacen]],Almacen!A:D,4,FALSE),"")</f>
        <v>Montelima</v>
      </c>
    </row>
    <row r="4387" spans="1:12" x14ac:dyDescent="0.3">
      <c r="A4387" s="29" t="str">
        <f>Detalle_OC[[#This Row],[Centro]]&amp;Detalle_OC[[#This Row],[Nom Almacen]]&amp;Detalle_OC[[#This Row],[Material]]&amp;Detalle_OC[[#This Row],[Pedido]]&amp;Detalle_OC[[#This Row],[Posicion]]</f>
        <v>Agricola del Chira PlantaMontelima82719955000191881020</v>
      </c>
      <c r="B4387" t="s">
        <v>28</v>
      </c>
      <c r="C4387" t="s">
        <v>82</v>
      </c>
      <c r="D4387" s="11">
        <v>44138</v>
      </c>
      <c r="E4387" t="s">
        <v>16</v>
      </c>
      <c r="F4387" t="s">
        <v>12</v>
      </c>
      <c r="G4387">
        <v>827199</v>
      </c>
      <c r="H4387">
        <v>5500019188</v>
      </c>
      <c r="I4387">
        <v>1020</v>
      </c>
      <c r="J4387" s="29">
        <v>1</v>
      </c>
      <c r="K4387" s="29" t="s">
        <v>660</v>
      </c>
      <c r="L4387" t="str">
        <f>IFERROR(VLOOKUP(Detalle_OC[[#This Row],[Centro]]&amp;Detalle_OC[[#This Row],[Nro Almacen]],Almacen!A:D,4,FALSE),"")</f>
        <v>Montelima</v>
      </c>
    </row>
    <row r="4388" spans="1:12" x14ac:dyDescent="0.3">
      <c r="A4388" s="29" t="str">
        <f>Detalle_OC[[#This Row],[Centro]]&amp;Detalle_OC[[#This Row],[Nom Almacen]]&amp;Detalle_OC[[#This Row],[Material]]&amp;Detalle_OC[[#This Row],[Pedido]]&amp;Detalle_OC[[#This Row],[Posicion]]</f>
        <v>Agricola del Chira PlantaMontelima83106655000191881040</v>
      </c>
      <c r="B4388" t="s">
        <v>28</v>
      </c>
      <c r="C4388" t="s">
        <v>82</v>
      </c>
      <c r="D4388" s="11">
        <v>44138</v>
      </c>
      <c r="E4388" t="s">
        <v>16</v>
      </c>
      <c r="F4388" t="s">
        <v>12</v>
      </c>
      <c r="G4388">
        <v>831066</v>
      </c>
      <c r="H4388">
        <v>5500019188</v>
      </c>
      <c r="I4388">
        <v>1040</v>
      </c>
      <c r="J4388" s="29">
        <v>1</v>
      </c>
      <c r="K4388" s="29" t="s">
        <v>660</v>
      </c>
      <c r="L4388" t="str">
        <f>IFERROR(VLOOKUP(Detalle_OC[[#This Row],[Centro]]&amp;Detalle_OC[[#This Row],[Nro Almacen]],Almacen!A:D,4,FALSE),"")</f>
        <v>Montelima</v>
      </c>
    </row>
    <row r="4389" spans="1:12" x14ac:dyDescent="0.3">
      <c r="A4389" s="29" t="str">
        <f>Detalle_OC[[#This Row],[Centro]]&amp;Detalle_OC[[#This Row],[Nom Almacen]]&amp;Detalle_OC[[#This Row],[Material]]&amp;Detalle_OC[[#This Row],[Pedido]]&amp;Detalle_OC[[#This Row],[Posicion]]</f>
        <v>Agricola del Chira PlantaMontelima82638255000191881070</v>
      </c>
      <c r="B4389" t="s">
        <v>28</v>
      </c>
      <c r="C4389" t="s">
        <v>82</v>
      </c>
      <c r="D4389" s="11">
        <v>44138</v>
      </c>
      <c r="E4389" t="s">
        <v>16</v>
      </c>
      <c r="F4389" t="s">
        <v>12</v>
      </c>
      <c r="G4389">
        <v>826382</v>
      </c>
      <c r="H4389">
        <v>5500019188</v>
      </c>
      <c r="I4389">
        <v>1070</v>
      </c>
      <c r="J4389" s="29">
        <v>1</v>
      </c>
      <c r="K4389" s="29" t="s">
        <v>660</v>
      </c>
      <c r="L4389" t="str">
        <f>IFERROR(VLOOKUP(Detalle_OC[[#This Row],[Centro]]&amp;Detalle_OC[[#This Row],[Nro Almacen]],Almacen!A:D,4,FALSE),"")</f>
        <v>Montelima</v>
      </c>
    </row>
    <row r="4390" spans="1:12" x14ac:dyDescent="0.3">
      <c r="A4390" s="29" t="str">
        <f>Detalle_OC[[#This Row],[Centro]]&amp;Detalle_OC[[#This Row],[Nom Almacen]]&amp;Detalle_OC[[#This Row],[Material]]&amp;Detalle_OC[[#This Row],[Pedido]]&amp;Detalle_OC[[#This Row],[Posicion]]</f>
        <v>Agricola del Chira PlantaMontelima82638555000191881100</v>
      </c>
      <c r="B4390" t="s">
        <v>28</v>
      </c>
      <c r="C4390" t="s">
        <v>82</v>
      </c>
      <c r="D4390" s="11">
        <v>44138</v>
      </c>
      <c r="E4390" t="s">
        <v>16</v>
      </c>
      <c r="F4390" t="s">
        <v>12</v>
      </c>
      <c r="G4390">
        <v>826385</v>
      </c>
      <c r="H4390">
        <v>5500019188</v>
      </c>
      <c r="I4390">
        <v>1100</v>
      </c>
      <c r="J4390" s="29">
        <v>1</v>
      </c>
      <c r="K4390" s="29" t="s">
        <v>660</v>
      </c>
      <c r="L4390" t="str">
        <f>IFERROR(VLOOKUP(Detalle_OC[[#This Row],[Centro]]&amp;Detalle_OC[[#This Row],[Nro Almacen]],Almacen!A:D,4,FALSE),"")</f>
        <v>Montelima</v>
      </c>
    </row>
    <row r="4391" spans="1:12" x14ac:dyDescent="0.3">
      <c r="A4391" s="29" t="str">
        <f>Detalle_OC[[#This Row],[Centro]]&amp;Detalle_OC[[#This Row],[Nom Almacen]]&amp;Detalle_OC[[#This Row],[Material]]&amp;Detalle_OC[[#This Row],[Pedido]]&amp;Detalle_OC[[#This Row],[Posicion]]</f>
        <v>Agricola del Chira PlantaMontelima7002962855000191881530</v>
      </c>
      <c r="B4391" t="s">
        <v>28</v>
      </c>
      <c r="C4391" t="s">
        <v>82</v>
      </c>
      <c r="D4391" s="11">
        <v>44138</v>
      </c>
      <c r="E4391" t="s">
        <v>16</v>
      </c>
      <c r="F4391" t="s">
        <v>12</v>
      </c>
      <c r="G4391">
        <v>70029628</v>
      </c>
      <c r="H4391">
        <v>5500019188</v>
      </c>
      <c r="I4391">
        <v>1530</v>
      </c>
      <c r="J4391" s="29">
        <v>1</v>
      </c>
      <c r="K4391" s="29" t="s">
        <v>660</v>
      </c>
      <c r="L4391" t="str">
        <f>IFERROR(VLOOKUP(Detalle_OC[[#This Row],[Centro]]&amp;Detalle_OC[[#This Row],[Nro Almacen]],Almacen!A:D,4,FALSE),"")</f>
        <v>Montelima</v>
      </c>
    </row>
    <row r="4392" spans="1:12" x14ac:dyDescent="0.3">
      <c r="A4392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4392" t="s">
        <v>28</v>
      </c>
      <c r="C4392" t="s">
        <v>84</v>
      </c>
      <c r="D4392" s="11">
        <v>44132</v>
      </c>
      <c r="E4392" t="s">
        <v>16</v>
      </c>
      <c r="F4392" t="s">
        <v>12</v>
      </c>
      <c r="G4392">
        <v>801846</v>
      </c>
      <c r="H4392">
        <v>5500022338</v>
      </c>
      <c r="I4392">
        <v>40</v>
      </c>
      <c r="J4392" s="29">
        <v>1</v>
      </c>
      <c r="K4392" s="29" t="s">
        <v>661</v>
      </c>
      <c r="L4392" t="str">
        <f>IFERROR(VLOOKUP(Detalle_OC[[#This Row],[Centro]]&amp;Detalle_OC[[#This Row],[Nro Almacen]],Almacen!A:D,4,FALSE),"")</f>
        <v>Montelima</v>
      </c>
    </row>
    <row r="4393" spans="1:12" x14ac:dyDescent="0.3">
      <c r="A4393" s="29" t="str">
        <f>Detalle_OC[[#This Row],[Centro]]&amp;Detalle_OC[[#This Row],[Nom Almacen]]&amp;Detalle_OC[[#This Row],[Material]]&amp;Detalle_OC[[#This Row],[Pedido]]&amp;Detalle_OC[[#This Row],[Posicion]]</f>
        <v>Agricola del Chira PlantaMontelima738248550001918870</v>
      </c>
      <c r="B4393" t="s">
        <v>28</v>
      </c>
      <c r="C4393" t="s">
        <v>82</v>
      </c>
      <c r="D4393" s="11">
        <v>44124</v>
      </c>
      <c r="E4393" t="s">
        <v>16</v>
      </c>
      <c r="F4393" t="s">
        <v>12</v>
      </c>
      <c r="G4393">
        <v>738248</v>
      </c>
      <c r="H4393">
        <v>5500019188</v>
      </c>
      <c r="I4393">
        <v>70</v>
      </c>
      <c r="J4393" s="29">
        <v>1</v>
      </c>
      <c r="K4393" s="29" t="s">
        <v>662</v>
      </c>
      <c r="L4393" t="str">
        <f>IFERROR(VLOOKUP(Detalle_OC[[#This Row],[Centro]]&amp;Detalle_OC[[#This Row],[Nro Almacen]],Almacen!A:D,4,FALSE),"")</f>
        <v>Montelima</v>
      </c>
    </row>
    <row r="4394" spans="1:12" x14ac:dyDescent="0.3">
      <c r="A4394" s="29" t="str">
        <f>Detalle_OC[[#This Row],[Centro]]&amp;Detalle_OC[[#This Row],[Nom Almacen]]&amp;Detalle_OC[[#This Row],[Material]]&amp;Detalle_OC[[#This Row],[Pedido]]&amp;Detalle_OC[[#This Row],[Posicion]]</f>
        <v>Agricola del Chira PlantaMontelima896638550001918890</v>
      </c>
      <c r="B4394" t="s">
        <v>28</v>
      </c>
      <c r="C4394" t="s">
        <v>82</v>
      </c>
      <c r="D4394" s="11">
        <v>44124</v>
      </c>
      <c r="E4394" t="s">
        <v>16</v>
      </c>
      <c r="F4394" t="s">
        <v>12</v>
      </c>
      <c r="G4394">
        <v>896638</v>
      </c>
      <c r="H4394">
        <v>5500019188</v>
      </c>
      <c r="I4394">
        <v>90</v>
      </c>
      <c r="J4394" s="29">
        <v>1</v>
      </c>
      <c r="K4394" s="29" t="s">
        <v>662</v>
      </c>
      <c r="L4394" t="str">
        <f>IFERROR(VLOOKUP(Detalle_OC[[#This Row],[Centro]]&amp;Detalle_OC[[#This Row],[Nro Almacen]],Almacen!A:D,4,FALSE),"")</f>
        <v>Montelima</v>
      </c>
    </row>
    <row r="4395" spans="1:12" x14ac:dyDescent="0.3">
      <c r="A4395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4395" t="s">
        <v>28</v>
      </c>
      <c r="C4395" t="s">
        <v>82</v>
      </c>
      <c r="D4395" s="11">
        <v>44124</v>
      </c>
      <c r="E4395" t="s">
        <v>16</v>
      </c>
      <c r="F4395" t="s">
        <v>12</v>
      </c>
      <c r="G4395">
        <v>844523</v>
      </c>
      <c r="H4395">
        <v>5500019188</v>
      </c>
      <c r="I4395">
        <v>140</v>
      </c>
      <c r="J4395" s="29">
        <v>1</v>
      </c>
      <c r="K4395" s="29" t="s">
        <v>662</v>
      </c>
      <c r="L4395" t="str">
        <f>IFERROR(VLOOKUP(Detalle_OC[[#This Row],[Centro]]&amp;Detalle_OC[[#This Row],[Nro Almacen]],Almacen!A:D,4,FALSE),"")</f>
        <v>Montelima</v>
      </c>
    </row>
    <row r="4396" spans="1:12" x14ac:dyDescent="0.3">
      <c r="A4396" s="29" t="str">
        <f>Detalle_OC[[#This Row],[Centro]]&amp;Detalle_OC[[#This Row],[Nom Almacen]]&amp;Detalle_OC[[#This Row],[Material]]&amp;Detalle_OC[[#This Row],[Pedido]]&amp;Detalle_OC[[#This Row],[Posicion]]</f>
        <v>Agricola del Chira PlantaMontelima8445245500019188210</v>
      </c>
      <c r="B4396" t="s">
        <v>28</v>
      </c>
      <c r="C4396" t="s">
        <v>82</v>
      </c>
      <c r="D4396" s="11">
        <v>44124</v>
      </c>
      <c r="E4396" t="s">
        <v>16</v>
      </c>
      <c r="F4396" t="s">
        <v>12</v>
      </c>
      <c r="G4396">
        <v>844524</v>
      </c>
      <c r="H4396">
        <v>5500019188</v>
      </c>
      <c r="I4396">
        <v>210</v>
      </c>
      <c r="J4396" s="29">
        <v>1</v>
      </c>
      <c r="K4396" s="29" t="s">
        <v>662</v>
      </c>
      <c r="L4396" t="str">
        <f>IFERROR(VLOOKUP(Detalle_OC[[#This Row],[Centro]]&amp;Detalle_OC[[#This Row],[Nro Almacen]],Almacen!A:D,4,FALSE),"")</f>
        <v>Montelima</v>
      </c>
    </row>
    <row r="4397" spans="1:12" x14ac:dyDescent="0.3">
      <c r="A4397" s="29" t="str">
        <f>Detalle_OC[[#This Row],[Centro]]&amp;Detalle_OC[[#This Row],[Nom Almacen]]&amp;Detalle_OC[[#This Row],[Material]]&amp;Detalle_OC[[#This Row],[Pedido]]&amp;Detalle_OC[[#This Row],[Posicion]]</f>
        <v>Agricola del Chira PlantaMontelima8445405500019188230</v>
      </c>
      <c r="B4397" t="s">
        <v>28</v>
      </c>
      <c r="C4397" t="s">
        <v>82</v>
      </c>
      <c r="D4397" s="11">
        <v>44124</v>
      </c>
      <c r="E4397" t="s">
        <v>16</v>
      </c>
      <c r="F4397" t="s">
        <v>12</v>
      </c>
      <c r="G4397">
        <v>844540</v>
      </c>
      <c r="H4397">
        <v>5500019188</v>
      </c>
      <c r="I4397">
        <v>230</v>
      </c>
      <c r="J4397" s="29">
        <v>1</v>
      </c>
      <c r="K4397" s="29" t="s">
        <v>662</v>
      </c>
      <c r="L4397" t="str">
        <f>IFERROR(VLOOKUP(Detalle_OC[[#This Row],[Centro]]&amp;Detalle_OC[[#This Row],[Nro Almacen]],Almacen!A:D,4,FALSE),"")</f>
        <v>Montelima</v>
      </c>
    </row>
    <row r="4398" spans="1:12" x14ac:dyDescent="0.3">
      <c r="A4398" s="29" t="str">
        <f>Detalle_OC[[#This Row],[Centro]]&amp;Detalle_OC[[#This Row],[Nom Almacen]]&amp;Detalle_OC[[#This Row],[Material]]&amp;Detalle_OC[[#This Row],[Pedido]]&amp;Detalle_OC[[#This Row],[Posicion]]</f>
        <v>Agricola del Chira PlantaMontelima8449175500019188240</v>
      </c>
      <c r="B4398" t="s">
        <v>28</v>
      </c>
      <c r="C4398" t="s">
        <v>82</v>
      </c>
      <c r="D4398" s="11">
        <v>44124</v>
      </c>
      <c r="E4398" t="s">
        <v>16</v>
      </c>
      <c r="F4398" t="s">
        <v>12</v>
      </c>
      <c r="G4398">
        <v>844917</v>
      </c>
      <c r="H4398">
        <v>5500019188</v>
      </c>
      <c r="I4398">
        <v>240</v>
      </c>
      <c r="J4398" s="29">
        <v>1</v>
      </c>
      <c r="K4398" s="29" t="s">
        <v>662</v>
      </c>
      <c r="L4398" t="str">
        <f>IFERROR(VLOOKUP(Detalle_OC[[#This Row],[Centro]]&amp;Detalle_OC[[#This Row],[Nro Almacen]],Almacen!A:D,4,FALSE),"")</f>
        <v>Montelima</v>
      </c>
    </row>
    <row r="4399" spans="1:12" x14ac:dyDescent="0.3">
      <c r="A4399" s="29" t="str">
        <f>Detalle_OC[[#This Row],[Centro]]&amp;Detalle_OC[[#This Row],[Nom Almacen]]&amp;Detalle_OC[[#This Row],[Material]]&amp;Detalle_OC[[#This Row],[Pedido]]&amp;Detalle_OC[[#This Row],[Posicion]]</f>
        <v>Agricola del Chira PlantaMontelima8445215500019188410</v>
      </c>
      <c r="B4399" t="s">
        <v>28</v>
      </c>
      <c r="C4399" t="s">
        <v>82</v>
      </c>
      <c r="D4399" s="11">
        <v>44124</v>
      </c>
      <c r="E4399" t="s">
        <v>16</v>
      </c>
      <c r="F4399" t="s">
        <v>12</v>
      </c>
      <c r="G4399">
        <v>844521</v>
      </c>
      <c r="H4399">
        <v>5500019188</v>
      </c>
      <c r="I4399">
        <v>410</v>
      </c>
      <c r="J4399" s="29">
        <v>1</v>
      </c>
      <c r="K4399" s="29" t="s">
        <v>662</v>
      </c>
      <c r="L4399" t="str">
        <f>IFERROR(VLOOKUP(Detalle_OC[[#This Row],[Centro]]&amp;Detalle_OC[[#This Row],[Nro Almacen]],Almacen!A:D,4,FALSE),"")</f>
        <v>Montelima</v>
      </c>
    </row>
    <row r="4400" spans="1:12" x14ac:dyDescent="0.3">
      <c r="A4400" s="29" t="str">
        <f>Detalle_OC[[#This Row],[Centro]]&amp;Detalle_OC[[#This Row],[Nom Almacen]]&amp;Detalle_OC[[#This Row],[Material]]&amp;Detalle_OC[[#This Row],[Pedido]]&amp;Detalle_OC[[#This Row],[Posicion]]</f>
        <v>Agricola del Chira PlantaMontelima7003088155000191881770</v>
      </c>
      <c r="B4400" t="s">
        <v>28</v>
      </c>
      <c r="C4400" t="s">
        <v>82</v>
      </c>
      <c r="D4400" s="11">
        <v>44124</v>
      </c>
      <c r="E4400" t="s">
        <v>16</v>
      </c>
      <c r="F4400" t="s">
        <v>12</v>
      </c>
      <c r="G4400">
        <v>70030881</v>
      </c>
      <c r="H4400">
        <v>5500019188</v>
      </c>
      <c r="I4400">
        <v>1770</v>
      </c>
      <c r="J4400" s="29">
        <v>1</v>
      </c>
      <c r="K4400" s="29" t="s">
        <v>662</v>
      </c>
      <c r="L4400" t="str">
        <f>IFERROR(VLOOKUP(Detalle_OC[[#This Row],[Centro]]&amp;Detalle_OC[[#This Row],[Nro Almacen]],Almacen!A:D,4,FALSE),"")</f>
        <v>Montelima</v>
      </c>
    </row>
    <row r="4401" spans="1:12" x14ac:dyDescent="0.3">
      <c r="A4401" s="29" t="str">
        <f>Detalle_OC[[#This Row],[Centro]]&amp;Detalle_OC[[#This Row],[Nom Almacen]]&amp;Detalle_OC[[#This Row],[Material]]&amp;Detalle_OC[[#This Row],[Pedido]]&amp;Detalle_OC[[#This Row],[Posicion]]</f>
        <v>Agricola del Chira PlantaMontelima8445265500019188390</v>
      </c>
      <c r="B4401" t="s">
        <v>28</v>
      </c>
      <c r="C4401" t="s">
        <v>82</v>
      </c>
      <c r="D4401" s="11">
        <v>44123</v>
      </c>
      <c r="E4401" t="s">
        <v>16</v>
      </c>
      <c r="F4401" t="s">
        <v>12</v>
      </c>
      <c r="G4401">
        <v>844526</v>
      </c>
      <c r="H4401">
        <v>5500019188</v>
      </c>
      <c r="I4401">
        <v>390</v>
      </c>
      <c r="J4401" s="29">
        <v>1</v>
      </c>
      <c r="K4401" s="29" t="s">
        <v>663</v>
      </c>
      <c r="L4401" t="str">
        <f>IFERROR(VLOOKUP(Detalle_OC[[#This Row],[Centro]]&amp;Detalle_OC[[#This Row],[Nro Almacen]],Almacen!A:D,4,FALSE),"")</f>
        <v>Montelima</v>
      </c>
    </row>
    <row r="4402" spans="1:12" x14ac:dyDescent="0.3">
      <c r="A4402" s="29" t="str">
        <f>Detalle_OC[[#This Row],[Centro]]&amp;Detalle_OC[[#This Row],[Nom Almacen]]&amp;Detalle_OC[[#This Row],[Material]]&amp;Detalle_OC[[#This Row],[Pedido]]&amp;Detalle_OC[[#This Row],[Posicion]]</f>
        <v>Agricola del Chira PlantaMontelima8445215500019188410</v>
      </c>
      <c r="B4402" t="s">
        <v>28</v>
      </c>
      <c r="C4402" t="s">
        <v>82</v>
      </c>
      <c r="D4402" s="11">
        <v>44119</v>
      </c>
      <c r="E4402" t="s">
        <v>16</v>
      </c>
      <c r="F4402" t="s">
        <v>12</v>
      </c>
      <c r="G4402">
        <v>844521</v>
      </c>
      <c r="H4402">
        <v>5500019188</v>
      </c>
      <c r="I4402">
        <v>410</v>
      </c>
      <c r="J4402" s="29">
        <v>1</v>
      </c>
      <c r="K4402" s="29" t="s">
        <v>664</v>
      </c>
      <c r="L4402" t="str">
        <f>IFERROR(VLOOKUP(Detalle_OC[[#This Row],[Centro]]&amp;Detalle_OC[[#This Row],[Nro Almacen]],Almacen!A:D,4,FALSE),"")</f>
        <v>Montelima</v>
      </c>
    </row>
    <row r="4403" spans="1:12" x14ac:dyDescent="0.3">
      <c r="A4403" s="29" t="str">
        <f>Detalle_OC[[#This Row],[Centro]]&amp;Detalle_OC[[#This Row],[Nom Almacen]]&amp;Detalle_OC[[#This Row],[Material]]&amp;Detalle_OC[[#This Row],[Pedido]]&amp;Detalle_OC[[#This Row],[Posicion]]</f>
        <v>Agricola del Chira PlantaMontelima808069550002233830</v>
      </c>
      <c r="B4403" t="s">
        <v>28</v>
      </c>
      <c r="C4403" t="s">
        <v>84</v>
      </c>
      <c r="D4403" s="11">
        <v>44118</v>
      </c>
      <c r="E4403" t="s">
        <v>16</v>
      </c>
      <c r="F4403" t="s">
        <v>12</v>
      </c>
      <c r="G4403">
        <v>808069</v>
      </c>
      <c r="H4403">
        <v>5500022338</v>
      </c>
      <c r="I4403">
        <v>30</v>
      </c>
      <c r="J4403" s="29">
        <v>1</v>
      </c>
      <c r="K4403" s="29" t="s">
        <v>665</v>
      </c>
      <c r="L4403" t="str">
        <f>IFERROR(VLOOKUP(Detalle_OC[[#This Row],[Centro]]&amp;Detalle_OC[[#This Row],[Nro Almacen]],Almacen!A:D,4,FALSE),"")</f>
        <v>Montelima</v>
      </c>
    </row>
    <row r="4404" spans="1:12" x14ac:dyDescent="0.3">
      <c r="A4404" s="29" t="str">
        <f>Detalle_OC[[#This Row],[Centro]]&amp;Detalle_OC[[#This Row],[Nom Almacen]]&amp;Detalle_OC[[#This Row],[Material]]&amp;Detalle_OC[[#This Row],[Pedido]]&amp;Detalle_OC[[#This Row],[Posicion]]</f>
        <v>Agricola del Chira PlantaMontelima813224550002233870</v>
      </c>
      <c r="B4404" t="s">
        <v>28</v>
      </c>
      <c r="C4404" t="s">
        <v>84</v>
      </c>
      <c r="D4404" s="11">
        <v>44118</v>
      </c>
      <c r="E4404" t="s">
        <v>16</v>
      </c>
      <c r="F4404" t="s">
        <v>12</v>
      </c>
      <c r="G4404">
        <v>813224</v>
      </c>
      <c r="H4404">
        <v>5500022338</v>
      </c>
      <c r="I4404">
        <v>70</v>
      </c>
      <c r="J4404" s="29">
        <v>1</v>
      </c>
      <c r="K4404" s="29" t="s">
        <v>665</v>
      </c>
      <c r="L4404" t="str">
        <f>IFERROR(VLOOKUP(Detalle_OC[[#This Row],[Centro]]&amp;Detalle_OC[[#This Row],[Nro Almacen]],Almacen!A:D,4,FALSE),"")</f>
        <v>Montelima</v>
      </c>
    </row>
    <row r="4405" spans="1:12" x14ac:dyDescent="0.3">
      <c r="A4405" s="29" t="str">
        <f>Detalle_OC[[#This Row],[Centro]]&amp;Detalle_OC[[#This Row],[Nom Almacen]]&amp;Detalle_OC[[#This Row],[Material]]&amp;Detalle_OC[[#This Row],[Pedido]]&amp;Detalle_OC[[#This Row],[Posicion]]</f>
        <v>Sucroalcolera del Chira PlantaMontelima709179550002233630</v>
      </c>
      <c r="B4405" t="s">
        <v>28</v>
      </c>
      <c r="C4405" t="s">
        <v>84</v>
      </c>
      <c r="D4405" s="11">
        <v>44112</v>
      </c>
      <c r="E4405" t="s">
        <v>16</v>
      </c>
      <c r="F4405" t="s">
        <v>85</v>
      </c>
      <c r="G4405">
        <v>709179</v>
      </c>
      <c r="H4405">
        <v>5500022336</v>
      </c>
      <c r="I4405">
        <v>30</v>
      </c>
      <c r="J4405" s="29">
        <v>1</v>
      </c>
      <c r="K4405" s="29" t="s">
        <v>666</v>
      </c>
      <c r="L4405" t="str">
        <f>IFERROR(VLOOKUP(Detalle_OC[[#This Row],[Centro]]&amp;Detalle_OC[[#This Row],[Nro Almacen]],Almacen!A:D,4,FALSE),"")</f>
        <v>Montelima</v>
      </c>
    </row>
    <row r="4406" spans="1:12" x14ac:dyDescent="0.3">
      <c r="A4406" s="29" t="str">
        <f>Detalle_OC[[#This Row],[Centro]]&amp;Detalle_OC[[#This Row],[Nom Almacen]]&amp;Detalle_OC[[#This Row],[Material]]&amp;Detalle_OC[[#This Row],[Pedido]]&amp;Detalle_OC[[#This Row],[Posicion]]</f>
        <v>Agricola del Chira PlantaMontelima738245550001918840</v>
      </c>
      <c r="B4406" t="s">
        <v>28</v>
      </c>
      <c r="C4406" t="s">
        <v>82</v>
      </c>
      <c r="D4406" s="11">
        <v>44111</v>
      </c>
      <c r="E4406" t="s">
        <v>16</v>
      </c>
      <c r="F4406" t="s">
        <v>12</v>
      </c>
      <c r="G4406">
        <v>738245</v>
      </c>
      <c r="H4406">
        <v>5500019188</v>
      </c>
      <c r="I4406">
        <v>40</v>
      </c>
      <c r="J4406" s="29">
        <v>1</v>
      </c>
      <c r="K4406" s="29" t="s">
        <v>667</v>
      </c>
      <c r="L4406" t="str">
        <f>IFERROR(VLOOKUP(Detalle_OC[[#This Row],[Centro]]&amp;Detalle_OC[[#This Row],[Nro Almacen]],Almacen!A:D,4,FALSE),"")</f>
        <v>Montelima</v>
      </c>
    </row>
    <row r="4407" spans="1:12" x14ac:dyDescent="0.3">
      <c r="A4407" s="29" t="str">
        <f>Detalle_OC[[#This Row],[Centro]]&amp;Detalle_OC[[#This Row],[Nom Almacen]]&amp;Detalle_OC[[#This Row],[Material]]&amp;Detalle_OC[[#This Row],[Pedido]]&amp;Detalle_OC[[#This Row],[Posicion]]</f>
        <v>Agricola del Chira PlantaMontelima738248550001918870</v>
      </c>
      <c r="B4407" t="s">
        <v>28</v>
      </c>
      <c r="C4407" t="s">
        <v>82</v>
      </c>
      <c r="D4407" s="11">
        <v>44111</v>
      </c>
      <c r="E4407" t="s">
        <v>16</v>
      </c>
      <c r="F4407" t="s">
        <v>12</v>
      </c>
      <c r="G4407">
        <v>738248</v>
      </c>
      <c r="H4407">
        <v>5500019188</v>
      </c>
      <c r="I4407">
        <v>70</v>
      </c>
      <c r="J4407" s="29">
        <v>1</v>
      </c>
      <c r="K4407" s="29" t="s">
        <v>667</v>
      </c>
      <c r="L4407" t="str">
        <f>IFERROR(VLOOKUP(Detalle_OC[[#This Row],[Centro]]&amp;Detalle_OC[[#This Row],[Nro Almacen]],Almacen!A:D,4,FALSE),"")</f>
        <v>Montelima</v>
      </c>
    </row>
    <row r="4408" spans="1:12" x14ac:dyDescent="0.3">
      <c r="A4408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4408" t="s">
        <v>28</v>
      </c>
      <c r="C4408" t="s">
        <v>82</v>
      </c>
      <c r="D4408" s="11">
        <v>44111</v>
      </c>
      <c r="E4408" t="s">
        <v>16</v>
      </c>
      <c r="F4408" t="s">
        <v>12</v>
      </c>
      <c r="G4408">
        <v>844523</v>
      </c>
      <c r="H4408">
        <v>5500019188</v>
      </c>
      <c r="I4408">
        <v>140</v>
      </c>
      <c r="J4408" s="29">
        <v>1</v>
      </c>
      <c r="K4408" s="29" t="s">
        <v>667</v>
      </c>
      <c r="L4408" t="str">
        <f>IFERROR(VLOOKUP(Detalle_OC[[#This Row],[Centro]]&amp;Detalle_OC[[#This Row],[Nro Almacen]],Almacen!A:D,4,FALSE),"")</f>
        <v>Montelima</v>
      </c>
    </row>
    <row r="4409" spans="1:12" x14ac:dyDescent="0.3">
      <c r="A4409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4409" t="s">
        <v>28</v>
      </c>
      <c r="C4409" t="s">
        <v>82</v>
      </c>
      <c r="D4409" s="11">
        <v>44111</v>
      </c>
      <c r="E4409" t="s">
        <v>16</v>
      </c>
      <c r="F4409" t="s">
        <v>12</v>
      </c>
      <c r="G4409">
        <v>844516</v>
      </c>
      <c r="H4409">
        <v>5500019188</v>
      </c>
      <c r="I4409">
        <v>190</v>
      </c>
      <c r="J4409" s="29">
        <v>1</v>
      </c>
      <c r="K4409" s="29" t="s">
        <v>667</v>
      </c>
      <c r="L4409" t="str">
        <f>IFERROR(VLOOKUP(Detalle_OC[[#This Row],[Centro]]&amp;Detalle_OC[[#This Row],[Nro Almacen]],Almacen!A:D,4,FALSE),"")</f>
        <v>Montelima</v>
      </c>
    </row>
    <row r="4410" spans="1:12" x14ac:dyDescent="0.3">
      <c r="A4410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4410" t="s">
        <v>28</v>
      </c>
      <c r="C4410" t="s">
        <v>82</v>
      </c>
      <c r="D4410" s="11">
        <v>44111</v>
      </c>
      <c r="E4410" t="s">
        <v>16</v>
      </c>
      <c r="F4410" t="s">
        <v>12</v>
      </c>
      <c r="G4410">
        <v>844508</v>
      </c>
      <c r="H4410">
        <v>5500019188</v>
      </c>
      <c r="I4410">
        <v>220</v>
      </c>
      <c r="J4410" s="29">
        <v>1</v>
      </c>
      <c r="K4410" s="29" t="s">
        <v>667</v>
      </c>
      <c r="L4410" t="str">
        <f>IFERROR(VLOOKUP(Detalle_OC[[#This Row],[Centro]]&amp;Detalle_OC[[#This Row],[Nro Almacen]],Almacen!A:D,4,FALSE),"")</f>
        <v>Montelima</v>
      </c>
    </row>
    <row r="4411" spans="1:12" x14ac:dyDescent="0.3">
      <c r="A4411" s="29" t="str">
        <f>Detalle_OC[[#This Row],[Centro]]&amp;Detalle_OC[[#This Row],[Nom Almacen]]&amp;Detalle_OC[[#This Row],[Material]]&amp;Detalle_OC[[#This Row],[Pedido]]&amp;Detalle_OC[[#This Row],[Posicion]]</f>
        <v>Agricola del Chira PlantaMontelima8445515500019188320</v>
      </c>
      <c r="B4411" t="s">
        <v>28</v>
      </c>
      <c r="C4411" t="s">
        <v>82</v>
      </c>
      <c r="D4411" s="11">
        <v>44111</v>
      </c>
      <c r="E4411" t="s">
        <v>16</v>
      </c>
      <c r="F4411" t="s">
        <v>12</v>
      </c>
      <c r="G4411">
        <v>844551</v>
      </c>
      <c r="H4411">
        <v>5500019188</v>
      </c>
      <c r="I4411">
        <v>320</v>
      </c>
      <c r="J4411" s="29">
        <v>1</v>
      </c>
      <c r="K4411" s="29" t="s">
        <v>667</v>
      </c>
      <c r="L4411" t="str">
        <f>IFERROR(VLOOKUP(Detalle_OC[[#This Row],[Centro]]&amp;Detalle_OC[[#This Row],[Nro Almacen]],Almacen!A:D,4,FALSE),"")</f>
        <v>Montelima</v>
      </c>
    </row>
    <row r="4412" spans="1:12" x14ac:dyDescent="0.3">
      <c r="A4412" s="29" t="str">
        <f>Detalle_OC[[#This Row],[Centro]]&amp;Detalle_OC[[#This Row],[Nom Almacen]]&amp;Detalle_OC[[#This Row],[Material]]&amp;Detalle_OC[[#This Row],[Pedido]]&amp;Detalle_OC[[#This Row],[Posicion]]</f>
        <v>Agricola del Chira PlantaMontelima8459085500019188350</v>
      </c>
      <c r="B4412" t="s">
        <v>28</v>
      </c>
      <c r="C4412" t="s">
        <v>82</v>
      </c>
      <c r="D4412" s="11">
        <v>44111</v>
      </c>
      <c r="E4412" t="s">
        <v>16</v>
      </c>
      <c r="F4412" t="s">
        <v>12</v>
      </c>
      <c r="G4412">
        <v>845908</v>
      </c>
      <c r="H4412">
        <v>5500019188</v>
      </c>
      <c r="I4412">
        <v>350</v>
      </c>
      <c r="J4412" s="29">
        <v>1</v>
      </c>
      <c r="K4412" s="29" t="s">
        <v>667</v>
      </c>
      <c r="L4412" t="str">
        <f>IFERROR(VLOOKUP(Detalle_OC[[#This Row],[Centro]]&amp;Detalle_OC[[#This Row],[Nro Almacen]],Almacen!A:D,4,FALSE),"")</f>
        <v>Montelima</v>
      </c>
    </row>
    <row r="4413" spans="1:12" x14ac:dyDescent="0.3">
      <c r="A4413" s="29" t="str">
        <f>Detalle_OC[[#This Row],[Centro]]&amp;Detalle_OC[[#This Row],[Nom Almacen]]&amp;Detalle_OC[[#This Row],[Material]]&amp;Detalle_OC[[#This Row],[Pedido]]&amp;Detalle_OC[[#This Row],[Posicion]]</f>
        <v>Agricola del Chira PlantaMontelima8445375500019188420</v>
      </c>
      <c r="B4413" t="s">
        <v>28</v>
      </c>
      <c r="C4413" t="s">
        <v>82</v>
      </c>
      <c r="D4413" s="11">
        <v>44111</v>
      </c>
      <c r="E4413" t="s">
        <v>16</v>
      </c>
      <c r="F4413" t="s">
        <v>12</v>
      </c>
      <c r="G4413">
        <v>844537</v>
      </c>
      <c r="H4413">
        <v>5500019188</v>
      </c>
      <c r="I4413">
        <v>420</v>
      </c>
      <c r="J4413" s="29">
        <v>1</v>
      </c>
      <c r="K4413" s="29" t="s">
        <v>667</v>
      </c>
      <c r="L4413" t="str">
        <f>IFERROR(VLOOKUP(Detalle_OC[[#This Row],[Centro]]&amp;Detalle_OC[[#This Row],[Nro Almacen]],Almacen!A:D,4,FALSE),"")</f>
        <v>Montelima</v>
      </c>
    </row>
    <row r="4414" spans="1:12" x14ac:dyDescent="0.3">
      <c r="A4414" s="29" t="str">
        <f>Detalle_OC[[#This Row],[Centro]]&amp;Detalle_OC[[#This Row],[Nom Almacen]]&amp;Detalle_OC[[#This Row],[Material]]&amp;Detalle_OC[[#This Row],[Pedido]]&amp;Detalle_OC[[#This Row],[Posicion]]</f>
        <v>Agricola del Chira PlantaMontelima8506365500019188510</v>
      </c>
      <c r="B4414" t="s">
        <v>28</v>
      </c>
      <c r="C4414" t="s">
        <v>82</v>
      </c>
      <c r="D4414" s="11">
        <v>44111</v>
      </c>
      <c r="E4414" t="s">
        <v>16</v>
      </c>
      <c r="F4414" t="s">
        <v>12</v>
      </c>
      <c r="G4414">
        <v>850636</v>
      </c>
      <c r="H4414">
        <v>5500019188</v>
      </c>
      <c r="I4414">
        <v>510</v>
      </c>
      <c r="J4414" s="29">
        <v>1</v>
      </c>
      <c r="K4414" s="29" t="s">
        <v>667</v>
      </c>
      <c r="L4414" t="str">
        <f>IFERROR(VLOOKUP(Detalle_OC[[#This Row],[Centro]]&amp;Detalle_OC[[#This Row],[Nro Almacen]],Almacen!A:D,4,FALSE),"")</f>
        <v>Montelima</v>
      </c>
    </row>
    <row r="4415" spans="1:12" x14ac:dyDescent="0.3">
      <c r="A4415" s="29" t="str">
        <f>Detalle_OC[[#This Row],[Centro]]&amp;Detalle_OC[[#This Row],[Nom Almacen]]&amp;Detalle_OC[[#This Row],[Material]]&amp;Detalle_OC[[#This Row],[Pedido]]&amp;Detalle_OC[[#This Row],[Posicion]]</f>
        <v>Agricola del Chira PlantaMontelima8959485500019188860</v>
      </c>
      <c r="B4415" t="s">
        <v>28</v>
      </c>
      <c r="C4415" t="s">
        <v>82</v>
      </c>
      <c r="D4415" s="11">
        <v>44111</v>
      </c>
      <c r="E4415" t="s">
        <v>16</v>
      </c>
      <c r="F4415" t="s">
        <v>12</v>
      </c>
      <c r="G4415">
        <v>895948</v>
      </c>
      <c r="H4415">
        <v>5500019188</v>
      </c>
      <c r="I4415">
        <v>860</v>
      </c>
      <c r="J4415" s="29">
        <v>1</v>
      </c>
      <c r="K4415" s="29" t="s">
        <v>667</v>
      </c>
      <c r="L4415" t="str">
        <f>IFERROR(VLOOKUP(Detalle_OC[[#This Row],[Centro]]&amp;Detalle_OC[[#This Row],[Nro Almacen]],Almacen!A:D,4,FALSE),"")</f>
        <v>Montelima</v>
      </c>
    </row>
    <row r="4416" spans="1:12" x14ac:dyDescent="0.3">
      <c r="A4416" s="29" t="str">
        <f>Detalle_OC[[#This Row],[Centro]]&amp;Detalle_OC[[#This Row],[Nom Almacen]]&amp;Detalle_OC[[#This Row],[Material]]&amp;Detalle_OC[[#This Row],[Pedido]]&amp;Detalle_OC[[#This Row],[Posicion]]</f>
        <v>Agricola del Chira PlantaMontelima82638555000191881100</v>
      </c>
      <c r="B4416" t="s">
        <v>28</v>
      </c>
      <c r="C4416" t="s">
        <v>82</v>
      </c>
      <c r="D4416" s="11">
        <v>44111</v>
      </c>
      <c r="E4416" t="s">
        <v>16</v>
      </c>
      <c r="F4416" t="s">
        <v>12</v>
      </c>
      <c r="G4416">
        <v>826385</v>
      </c>
      <c r="H4416">
        <v>5500019188</v>
      </c>
      <c r="I4416">
        <v>1100</v>
      </c>
      <c r="J4416" s="29">
        <v>1</v>
      </c>
      <c r="K4416" s="29" t="s">
        <v>667</v>
      </c>
      <c r="L4416" t="str">
        <f>IFERROR(VLOOKUP(Detalle_OC[[#This Row],[Centro]]&amp;Detalle_OC[[#This Row],[Nro Almacen]],Almacen!A:D,4,FALSE),"")</f>
        <v>Montelima</v>
      </c>
    </row>
    <row r="4417" spans="1:12" x14ac:dyDescent="0.3">
      <c r="A4417" s="29" t="str">
        <f>Detalle_OC[[#This Row],[Centro]]&amp;Detalle_OC[[#This Row],[Nom Almacen]]&amp;Detalle_OC[[#This Row],[Material]]&amp;Detalle_OC[[#This Row],[Pedido]]&amp;Detalle_OC[[#This Row],[Posicion]]</f>
        <v>Agricola del Chira PlantaMontelima84557255000191881300</v>
      </c>
      <c r="B4417" t="s">
        <v>28</v>
      </c>
      <c r="C4417" t="s">
        <v>82</v>
      </c>
      <c r="D4417" s="11">
        <v>44111</v>
      </c>
      <c r="E4417" t="s">
        <v>16</v>
      </c>
      <c r="F4417" t="s">
        <v>12</v>
      </c>
      <c r="G4417">
        <v>845572</v>
      </c>
      <c r="H4417">
        <v>5500019188</v>
      </c>
      <c r="I4417">
        <v>1300</v>
      </c>
      <c r="J4417" s="29">
        <v>1</v>
      </c>
      <c r="K4417" s="29" t="s">
        <v>667</v>
      </c>
      <c r="L4417" t="str">
        <f>IFERROR(VLOOKUP(Detalle_OC[[#This Row],[Centro]]&amp;Detalle_OC[[#This Row],[Nro Almacen]],Almacen!A:D,4,FALSE),"")</f>
        <v>Montelima</v>
      </c>
    </row>
    <row r="4418" spans="1:12" x14ac:dyDescent="0.3">
      <c r="A4418" s="29" t="str">
        <f>Detalle_OC[[#This Row],[Centro]]&amp;Detalle_OC[[#This Row],[Nom Almacen]]&amp;Detalle_OC[[#This Row],[Material]]&amp;Detalle_OC[[#This Row],[Pedido]]&amp;Detalle_OC[[#This Row],[Posicion]]</f>
        <v>Agricola del Chira PlantaMontelima83507655000191881340</v>
      </c>
      <c r="B4418" t="s">
        <v>28</v>
      </c>
      <c r="C4418" t="s">
        <v>82</v>
      </c>
      <c r="D4418" s="11">
        <v>44111</v>
      </c>
      <c r="E4418" t="s">
        <v>16</v>
      </c>
      <c r="F4418" t="s">
        <v>12</v>
      </c>
      <c r="G4418">
        <v>835076</v>
      </c>
      <c r="H4418">
        <v>5500019188</v>
      </c>
      <c r="I4418">
        <v>1340</v>
      </c>
      <c r="J4418" s="29">
        <v>1</v>
      </c>
      <c r="K4418" s="29" t="s">
        <v>667</v>
      </c>
      <c r="L4418" t="str">
        <f>IFERROR(VLOOKUP(Detalle_OC[[#This Row],[Centro]]&amp;Detalle_OC[[#This Row],[Nro Almacen]],Almacen!A:D,4,FALSE),"")</f>
        <v>Montelima</v>
      </c>
    </row>
    <row r="4419" spans="1:12" x14ac:dyDescent="0.3">
      <c r="A4419" s="29" t="str">
        <f>Detalle_OC[[#This Row],[Centro]]&amp;Detalle_OC[[#This Row],[Nom Almacen]]&amp;Detalle_OC[[#This Row],[Material]]&amp;Detalle_OC[[#This Row],[Pedido]]&amp;Detalle_OC[[#This Row],[Posicion]]</f>
        <v>Agricola del Chira PlantaMontelima7002962855000191881530</v>
      </c>
      <c r="B4419" t="s">
        <v>28</v>
      </c>
      <c r="C4419" t="s">
        <v>82</v>
      </c>
      <c r="D4419" s="11">
        <v>44111</v>
      </c>
      <c r="E4419" t="s">
        <v>16</v>
      </c>
      <c r="F4419" t="s">
        <v>12</v>
      </c>
      <c r="G4419">
        <v>70029628</v>
      </c>
      <c r="H4419">
        <v>5500019188</v>
      </c>
      <c r="I4419">
        <v>1530</v>
      </c>
      <c r="J4419" s="29">
        <v>1</v>
      </c>
      <c r="K4419" s="29" t="s">
        <v>667</v>
      </c>
      <c r="L4419" t="str">
        <f>IFERROR(VLOOKUP(Detalle_OC[[#This Row],[Centro]]&amp;Detalle_OC[[#This Row],[Nro Almacen]],Almacen!A:D,4,FALSE),"")</f>
        <v>Montelima</v>
      </c>
    </row>
    <row r="4420" spans="1:12" x14ac:dyDescent="0.3">
      <c r="A4420" s="29" t="str">
        <f>Detalle_OC[[#This Row],[Centro]]&amp;Detalle_OC[[#This Row],[Nom Almacen]]&amp;Detalle_OC[[#This Row],[Material]]&amp;Detalle_OC[[#This Row],[Pedido]]&amp;Detalle_OC[[#This Row],[Posicion]]</f>
        <v>Agricola del Chira PlantaMontelima808069550002233830</v>
      </c>
      <c r="B4420" t="s">
        <v>28</v>
      </c>
      <c r="C4420" t="s">
        <v>84</v>
      </c>
      <c r="D4420" s="11">
        <v>44111</v>
      </c>
      <c r="E4420" t="s">
        <v>16</v>
      </c>
      <c r="F4420" t="s">
        <v>12</v>
      </c>
      <c r="G4420">
        <v>808069</v>
      </c>
      <c r="H4420">
        <v>5500022338</v>
      </c>
      <c r="I4420">
        <v>30</v>
      </c>
      <c r="J4420" s="29">
        <v>1</v>
      </c>
      <c r="K4420" s="29" t="s">
        <v>667</v>
      </c>
      <c r="L4420" t="str">
        <f>IFERROR(VLOOKUP(Detalle_OC[[#This Row],[Centro]]&amp;Detalle_OC[[#This Row],[Nro Almacen]],Almacen!A:D,4,FALSE),"")</f>
        <v>Montelima</v>
      </c>
    </row>
    <row r="4421" spans="1:12" x14ac:dyDescent="0.3">
      <c r="A4421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4421" t="s">
        <v>28</v>
      </c>
      <c r="C4421" t="s">
        <v>84</v>
      </c>
      <c r="D4421" s="11">
        <v>44111</v>
      </c>
      <c r="E4421" t="s">
        <v>16</v>
      </c>
      <c r="F4421" t="s">
        <v>12</v>
      </c>
      <c r="G4421">
        <v>801846</v>
      </c>
      <c r="H4421">
        <v>5500022338</v>
      </c>
      <c r="I4421">
        <v>40</v>
      </c>
      <c r="J4421" s="29">
        <v>1</v>
      </c>
      <c r="K4421" s="29" t="s">
        <v>667</v>
      </c>
      <c r="L4421" t="str">
        <f>IFERROR(VLOOKUP(Detalle_OC[[#This Row],[Centro]]&amp;Detalle_OC[[#This Row],[Nro Almacen]],Almacen!A:D,4,FALSE),"")</f>
        <v>Montelima</v>
      </c>
    </row>
    <row r="4422" spans="1:12" x14ac:dyDescent="0.3">
      <c r="A4422" s="29" t="str">
        <f>Detalle_OC[[#This Row],[Centro]]&amp;Detalle_OC[[#This Row],[Nom Almacen]]&amp;Detalle_OC[[#This Row],[Material]]&amp;Detalle_OC[[#This Row],[Pedido]]&amp;Detalle_OC[[#This Row],[Posicion]]</f>
        <v>Agricola del Chira PlantaMontelima708707550002233850</v>
      </c>
      <c r="B4422" t="s">
        <v>28</v>
      </c>
      <c r="C4422" t="s">
        <v>84</v>
      </c>
      <c r="D4422" s="11">
        <v>44111</v>
      </c>
      <c r="E4422" t="s">
        <v>16</v>
      </c>
      <c r="F4422" t="s">
        <v>12</v>
      </c>
      <c r="G4422">
        <v>708707</v>
      </c>
      <c r="H4422">
        <v>5500022338</v>
      </c>
      <c r="I4422">
        <v>50</v>
      </c>
      <c r="J4422" s="29">
        <v>1</v>
      </c>
      <c r="K4422" s="29" t="s">
        <v>667</v>
      </c>
      <c r="L4422" t="str">
        <f>IFERROR(VLOOKUP(Detalle_OC[[#This Row],[Centro]]&amp;Detalle_OC[[#This Row],[Nro Almacen]],Almacen!A:D,4,FALSE),"")</f>
        <v>Montelima</v>
      </c>
    </row>
    <row r="4423" spans="1:12" x14ac:dyDescent="0.3">
      <c r="A4423" s="29" t="str">
        <f>Detalle_OC[[#This Row],[Centro]]&amp;Detalle_OC[[#This Row],[Nom Almacen]]&amp;Detalle_OC[[#This Row],[Material]]&amp;Detalle_OC[[#This Row],[Pedido]]&amp;Detalle_OC[[#This Row],[Posicion]]</f>
        <v>Agricola del Chira PlantaMontelima762202550001918850</v>
      </c>
      <c r="B4423" t="s">
        <v>28</v>
      </c>
      <c r="C4423" t="s">
        <v>82</v>
      </c>
      <c r="D4423" s="11">
        <v>44099</v>
      </c>
      <c r="E4423" t="s">
        <v>16</v>
      </c>
      <c r="F4423" t="s">
        <v>12</v>
      </c>
      <c r="G4423">
        <v>762202</v>
      </c>
      <c r="H4423">
        <v>5500019188</v>
      </c>
      <c r="I4423">
        <v>50</v>
      </c>
      <c r="J4423" s="29">
        <v>1</v>
      </c>
      <c r="K4423" s="29" t="s">
        <v>668</v>
      </c>
      <c r="L4423" t="str">
        <f>IFERROR(VLOOKUP(Detalle_OC[[#This Row],[Centro]]&amp;Detalle_OC[[#This Row],[Nro Almacen]],Almacen!A:D,4,FALSE),"")</f>
        <v>Montelima</v>
      </c>
    </row>
    <row r="4424" spans="1:12" x14ac:dyDescent="0.3">
      <c r="A4424" s="29" t="str">
        <f>Detalle_OC[[#This Row],[Centro]]&amp;Detalle_OC[[#This Row],[Nom Almacen]]&amp;Detalle_OC[[#This Row],[Material]]&amp;Detalle_OC[[#This Row],[Pedido]]&amp;Detalle_OC[[#This Row],[Posicion]]</f>
        <v>Agricola del Chira PlantaMontelima761905550001918810</v>
      </c>
      <c r="B4424" t="s">
        <v>28</v>
      </c>
      <c r="C4424" t="s">
        <v>82</v>
      </c>
      <c r="D4424" s="11">
        <v>44098</v>
      </c>
      <c r="E4424" t="s">
        <v>16</v>
      </c>
      <c r="F4424" t="s">
        <v>12</v>
      </c>
      <c r="G4424">
        <v>761905</v>
      </c>
      <c r="H4424">
        <v>5500019188</v>
      </c>
      <c r="I4424">
        <v>10</v>
      </c>
      <c r="J4424" s="29">
        <v>1</v>
      </c>
      <c r="K4424" s="29" t="s">
        <v>669</v>
      </c>
      <c r="L4424" t="str">
        <f>IFERROR(VLOOKUP(Detalle_OC[[#This Row],[Centro]]&amp;Detalle_OC[[#This Row],[Nro Almacen]],Almacen!A:D,4,FALSE),"")</f>
        <v>Montelima</v>
      </c>
    </row>
    <row r="4425" spans="1:12" x14ac:dyDescent="0.3">
      <c r="A4425" s="29" t="str">
        <f>Detalle_OC[[#This Row],[Centro]]&amp;Detalle_OC[[#This Row],[Nom Almacen]]&amp;Detalle_OC[[#This Row],[Material]]&amp;Detalle_OC[[#This Row],[Pedido]]&amp;Detalle_OC[[#This Row],[Posicion]]</f>
        <v>Agricola del Chira PlantaMontelima7382475500019188100</v>
      </c>
      <c r="B4425" t="s">
        <v>28</v>
      </c>
      <c r="C4425" t="s">
        <v>82</v>
      </c>
      <c r="D4425" s="11">
        <v>44098</v>
      </c>
      <c r="E4425" t="s">
        <v>16</v>
      </c>
      <c r="F4425" t="s">
        <v>12</v>
      </c>
      <c r="G4425">
        <v>738247</v>
      </c>
      <c r="H4425">
        <v>5500019188</v>
      </c>
      <c r="I4425">
        <v>100</v>
      </c>
      <c r="J4425" s="29">
        <v>1</v>
      </c>
      <c r="K4425" s="29" t="s">
        <v>669</v>
      </c>
      <c r="L4425" t="str">
        <f>IFERROR(VLOOKUP(Detalle_OC[[#This Row],[Centro]]&amp;Detalle_OC[[#This Row],[Nro Almacen]],Almacen!A:D,4,FALSE),"")</f>
        <v>Montelima</v>
      </c>
    </row>
    <row r="4426" spans="1:12" x14ac:dyDescent="0.3">
      <c r="A4426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4426" t="s">
        <v>28</v>
      </c>
      <c r="C4426" t="s">
        <v>82</v>
      </c>
      <c r="D4426" s="11">
        <v>44098</v>
      </c>
      <c r="E4426" t="s">
        <v>16</v>
      </c>
      <c r="F4426" t="s">
        <v>12</v>
      </c>
      <c r="G4426">
        <v>844515</v>
      </c>
      <c r="H4426">
        <v>5500019188</v>
      </c>
      <c r="I4426">
        <v>200</v>
      </c>
      <c r="J4426" s="29">
        <v>1</v>
      </c>
      <c r="K4426" s="29" t="s">
        <v>669</v>
      </c>
      <c r="L4426" t="str">
        <f>IFERROR(VLOOKUP(Detalle_OC[[#This Row],[Centro]]&amp;Detalle_OC[[#This Row],[Nro Almacen]],Almacen!A:D,4,FALSE),"")</f>
        <v>Montelima</v>
      </c>
    </row>
    <row r="4427" spans="1:12" x14ac:dyDescent="0.3">
      <c r="A4427" s="29" t="str">
        <f>Detalle_OC[[#This Row],[Centro]]&amp;Detalle_OC[[#This Row],[Nom Almacen]]&amp;Detalle_OC[[#This Row],[Material]]&amp;Detalle_OC[[#This Row],[Pedido]]&amp;Detalle_OC[[#This Row],[Posicion]]</f>
        <v>Agricola del Chira PlantaMontelima8445415500019188460</v>
      </c>
      <c r="B4427" t="s">
        <v>28</v>
      </c>
      <c r="C4427" t="s">
        <v>82</v>
      </c>
      <c r="D4427" s="11">
        <v>44098</v>
      </c>
      <c r="E4427" t="s">
        <v>16</v>
      </c>
      <c r="F4427" t="s">
        <v>12</v>
      </c>
      <c r="G4427">
        <v>844541</v>
      </c>
      <c r="H4427">
        <v>5500019188</v>
      </c>
      <c r="I4427">
        <v>460</v>
      </c>
      <c r="J4427" s="29">
        <v>1</v>
      </c>
      <c r="K4427" s="29" t="s">
        <v>669</v>
      </c>
      <c r="L4427" t="str">
        <f>IFERROR(VLOOKUP(Detalle_OC[[#This Row],[Centro]]&amp;Detalle_OC[[#This Row],[Nro Almacen]],Almacen!A:D,4,FALSE),"")</f>
        <v>Montelima</v>
      </c>
    </row>
    <row r="4428" spans="1:12" x14ac:dyDescent="0.3">
      <c r="A4428" s="29" t="str">
        <f>Detalle_OC[[#This Row],[Centro]]&amp;Detalle_OC[[#This Row],[Nom Almacen]]&amp;Detalle_OC[[#This Row],[Material]]&amp;Detalle_OC[[#This Row],[Pedido]]&amp;Detalle_OC[[#This Row],[Posicion]]</f>
        <v>Agricola del Chira PlantaMontelima7002962855000191881530</v>
      </c>
      <c r="B4428" t="s">
        <v>28</v>
      </c>
      <c r="C4428" t="s">
        <v>82</v>
      </c>
      <c r="D4428" s="11">
        <v>44098</v>
      </c>
      <c r="E4428" t="s">
        <v>16</v>
      </c>
      <c r="F4428" t="s">
        <v>12</v>
      </c>
      <c r="G4428">
        <v>70029628</v>
      </c>
      <c r="H4428">
        <v>5500019188</v>
      </c>
      <c r="I4428">
        <v>1530</v>
      </c>
      <c r="J4428" s="29">
        <v>1</v>
      </c>
      <c r="K4428" s="29" t="s">
        <v>669</v>
      </c>
      <c r="L4428" t="str">
        <f>IFERROR(VLOOKUP(Detalle_OC[[#This Row],[Centro]]&amp;Detalle_OC[[#This Row],[Nro Almacen]],Almacen!A:D,4,FALSE),"")</f>
        <v>Montelima</v>
      </c>
    </row>
    <row r="4429" spans="1:12" x14ac:dyDescent="0.3">
      <c r="A4429" s="29" t="str">
        <f>Detalle_OC[[#This Row],[Centro]]&amp;Detalle_OC[[#This Row],[Nom Almacen]]&amp;Detalle_OC[[#This Row],[Material]]&amp;Detalle_OC[[#This Row],[Pedido]]&amp;Detalle_OC[[#This Row],[Posicion]]</f>
        <v>Agricola del Chira PlantaMontelima7002961455000191881550</v>
      </c>
      <c r="B4429" t="s">
        <v>28</v>
      </c>
      <c r="C4429" t="s">
        <v>82</v>
      </c>
      <c r="D4429" s="11">
        <v>44098</v>
      </c>
      <c r="E4429" t="s">
        <v>16</v>
      </c>
      <c r="F4429" t="s">
        <v>12</v>
      </c>
      <c r="G4429">
        <v>70029614</v>
      </c>
      <c r="H4429">
        <v>5500019188</v>
      </c>
      <c r="I4429">
        <v>1550</v>
      </c>
      <c r="J4429" s="29">
        <v>1</v>
      </c>
      <c r="K4429" s="29" t="s">
        <v>669</v>
      </c>
      <c r="L4429" t="str">
        <f>IFERROR(VLOOKUP(Detalle_OC[[#This Row],[Centro]]&amp;Detalle_OC[[#This Row],[Nro Almacen]],Almacen!A:D,4,FALSE),"")</f>
        <v>Montelima</v>
      </c>
    </row>
    <row r="4430" spans="1:12" x14ac:dyDescent="0.3">
      <c r="A4430" s="29" t="str">
        <f>Detalle_OC[[#This Row],[Centro]]&amp;Detalle_OC[[#This Row],[Nom Almacen]]&amp;Detalle_OC[[#This Row],[Material]]&amp;Detalle_OC[[#This Row],[Pedido]]&amp;Detalle_OC[[#This Row],[Posicion]]</f>
        <v>Sucroalcolera del Chira PlantaMontelima709179550002233630</v>
      </c>
      <c r="B4430" t="s">
        <v>28</v>
      </c>
      <c r="C4430" t="s">
        <v>84</v>
      </c>
      <c r="D4430" s="11">
        <v>44097</v>
      </c>
      <c r="E4430" t="s">
        <v>16</v>
      </c>
      <c r="F4430" t="s">
        <v>85</v>
      </c>
      <c r="G4430">
        <v>709179</v>
      </c>
      <c r="H4430">
        <v>5500022336</v>
      </c>
      <c r="I4430">
        <v>30</v>
      </c>
      <c r="J4430" s="29">
        <v>1</v>
      </c>
      <c r="K4430" s="29" t="s">
        <v>670</v>
      </c>
      <c r="L4430" t="str">
        <f>IFERROR(VLOOKUP(Detalle_OC[[#This Row],[Centro]]&amp;Detalle_OC[[#This Row],[Nro Almacen]],Almacen!A:D,4,FALSE),"")</f>
        <v>Montelima</v>
      </c>
    </row>
    <row r="4431" spans="1:12" x14ac:dyDescent="0.3">
      <c r="A4431" s="29" t="str">
        <f>Detalle_OC[[#This Row],[Centro]]&amp;Detalle_OC[[#This Row],[Nom Almacen]]&amp;Detalle_OC[[#This Row],[Material]]&amp;Detalle_OC[[#This Row],[Pedido]]&amp;Detalle_OC[[#This Row],[Posicion]]</f>
        <v>Agricola del Chira PlantaMontelima813224550002233870</v>
      </c>
      <c r="B4431" t="s">
        <v>28</v>
      </c>
      <c r="C4431" t="s">
        <v>84</v>
      </c>
      <c r="D4431" s="11">
        <v>44097</v>
      </c>
      <c r="E4431" t="s">
        <v>16</v>
      </c>
      <c r="F4431" t="s">
        <v>12</v>
      </c>
      <c r="G4431">
        <v>813224</v>
      </c>
      <c r="H4431">
        <v>5500022338</v>
      </c>
      <c r="I4431">
        <v>70</v>
      </c>
      <c r="J4431" s="29">
        <v>1</v>
      </c>
      <c r="K4431" s="29" t="s">
        <v>670</v>
      </c>
      <c r="L4431" t="str">
        <f>IFERROR(VLOOKUP(Detalle_OC[[#This Row],[Centro]]&amp;Detalle_OC[[#This Row],[Nro Almacen]],Almacen!A:D,4,FALSE),"")</f>
        <v>Montelima</v>
      </c>
    </row>
    <row r="4432" spans="1:12" x14ac:dyDescent="0.3">
      <c r="A4432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4432" t="s">
        <v>28</v>
      </c>
      <c r="C4432" t="s">
        <v>82</v>
      </c>
      <c r="D4432" s="11">
        <v>44092</v>
      </c>
      <c r="E4432" t="s">
        <v>16</v>
      </c>
      <c r="F4432" t="s">
        <v>12</v>
      </c>
      <c r="G4432">
        <v>844522</v>
      </c>
      <c r="H4432">
        <v>5500019188</v>
      </c>
      <c r="I4432">
        <v>150</v>
      </c>
      <c r="J4432" s="29">
        <v>1</v>
      </c>
      <c r="K4432" s="29" t="s">
        <v>671</v>
      </c>
      <c r="L4432" t="str">
        <f>IFERROR(VLOOKUP(Detalle_OC[[#This Row],[Centro]]&amp;Detalle_OC[[#This Row],[Nro Almacen]],Almacen!A:D,4,FALSE),"")</f>
        <v>Montelima</v>
      </c>
    </row>
    <row r="4433" spans="1:12" x14ac:dyDescent="0.3">
      <c r="A4433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4433" t="s">
        <v>28</v>
      </c>
      <c r="C4433" t="s">
        <v>82</v>
      </c>
      <c r="D4433" s="11">
        <v>44092</v>
      </c>
      <c r="E4433" t="s">
        <v>16</v>
      </c>
      <c r="F4433" t="s">
        <v>12</v>
      </c>
      <c r="G4433">
        <v>844508</v>
      </c>
      <c r="H4433">
        <v>5500019188</v>
      </c>
      <c r="I4433">
        <v>220</v>
      </c>
      <c r="J4433" s="29">
        <v>1</v>
      </c>
      <c r="K4433" s="29" t="s">
        <v>671</v>
      </c>
      <c r="L4433" t="str">
        <f>IFERROR(VLOOKUP(Detalle_OC[[#This Row],[Centro]]&amp;Detalle_OC[[#This Row],[Nro Almacen]],Almacen!A:D,4,FALSE),"")</f>
        <v>Montelima</v>
      </c>
    </row>
    <row r="4434" spans="1:12" x14ac:dyDescent="0.3">
      <c r="A4434" s="29" t="str">
        <f>Detalle_OC[[#This Row],[Centro]]&amp;Detalle_OC[[#This Row],[Nom Almacen]]&amp;Detalle_OC[[#This Row],[Material]]&amp;Detalle_OC[[#This Row],[Pedido]]&amp;Detalle_OC[[#This Row],[Posicion]]</f>
        <v>Agricola del Chira PlantaMontelima8449175500019188240</v>
      </c>
      <c r="B4434" t="s">
        <v>28</v>
      </c>
      <c r="C4434" t="s">
        <v>82</v>
      </c>
      <c r="D4434" s="11">
        <v>44092</v>
      </c>
      <c r="E4434" t="s">
        <v>16</v>
      </c>
      <c r="F4434" t="s">
        <v>12</v>
      </c>
      <c r="G4434">
        <v>844917</v>
      </c>
      <c r="H4434">
        <v>5500019188</v>
      </c>
      <c r="I4434">
        <v>240</v>
      </c>
      <c r="J4434" s="29">
        <v>1</v>
      </c>
      <c r="K4434" s="29" t="s">
        <v>671</v>
      </c>
      <c r="L4434" t="str">
        <f>IFERROR(VLOOKUP(Detalle_OC[[#This Row],[Centro]]&amp;Detalle_OC[[#This Row],[Nro Almacen]],Almacen!A:D,4,FALSE),"")</f>
        <v>Montelima</v>
      </c>
    </row>
    <row r="4435" spans="1:12" x14ac:dyDescent="0.3">
      <c r="A4435" s="29" t="str">
        <f>Detalle_OC[[#This Row],[Centro]]&amp;Detalle_OC[[#This Row],[Nom Almacen]]&amp;Detalle_OC[[#This Row],[Material]]&amp;Detalle_OC[[#This Row],[Pedido]]&amp;Detalle_OC[[#This Row],[Posicion]]</f>
        <v>Agricola del Chira PlantaMontelima8445435500019188570</v>
      </c>
      <c r="B4435" t="s">
        <v>28</v>
      </c>
      <c r="C4435" t="s">
        <v>82</v>
      </c>
      <c r="D4435" s="11">
        <v>44092</v>
      </c>
      <c r="E4435" t="s">
        <v>16</v>
      </c>
      <c r="F4435" t="s">
        <v>12</v>
      </c>
      <c r="G4435">
        <v>844543</v>
      </c>
      <c r="H4435">
        <v>5500019188</v>
      </c>
      <c r="I4435">
        <v>570</v>
      </c>
      <c r="J4435" s="29">
        <v>1</v>
      </c>
      <c r="K4435" s="29" t="s">
        <v>671</v>
      </c>
      <c r="L4435" t="str">
        <f>IFERROR(VLOOKUP(Detalle_OC[[#This Row],[Centro]]&amp;Detalle_OC[[#This Row],[Nro Almacen]],Almacen!A:D,4,FALSE),"")</f>
        <v>Montelima</v>
      </c>
    </row>
    <row r="4436" spans="1:12" x14ac:dyDescent="0.3">
      <c r="A4436" s="29" t="str">
        <f>Detalle_OC[[#This Row],[Centro]]&amp;Detalle_OC[[#This Row],[Nom Almacen]]&amp;Detalle_OC[[#This Row],[Material]]&amp;Detalle_OC[[#This Row],[Pedido]]&amp;Detalle_OC[[#This Row],[Posicion]]</f>
        <v>Agricola del Chira PlantaMontelima7003069455000191881790</v>
      </c>
      <c r="B4436" t="s">
        <v>28</v>
      </c>
      <c r="C4436" t="s">
        <v>82</v>
      </c>
      <c r="D4436" s="11">
        <v>44092</v>
      </c>
      <c r="E4436" t="s">
        <v>16</v>
      </c>
      <c r="F4436" t="s">
        <v>12</v>
      </c>
      <c r="G4436">
        <v>70030694</v>
      </c>
      <c r="H4436">
        <v>5500019188</v>
      </c>
      <c r="I4436">
        <v>1790</v>
      </c>
      <c r="J4436" s="29">
        <v>1</v>
      </c>
      <c r="K4436" s="29" t="s">
        <v>671</v>
      </c>
      <c r="L4436" t="str">
        <f>IFERROR(VLOOKUP(Detalle_OC[[#This Row],[Centro]]&amp;Detalle_OC[[#This Row],[Nro Almacen]],Almacen!A:D,4,FALSE),"")</f>
        <v>Montelima</v>
      </c>
    </row>
    <row r="4437" spans="1:12" x14ac:dyDescent="0.3">
      <c r="A4437" s="29" t="str">
        <f>Detalle_OC[[#This Row],[Centro]]&amp;Detalle_OC[[#This Row],[Nom Almacen]]&amp;Detalle_OC[[#This Row],[Material]]&amp;Detalle_OC[[#This Row],[Pedido]]&amp;Detalle_OC[[#This Row],[Posicion]]</f>
        <v>Agricola del Chira PlantaMontelima808069550002233830</v>
      </c>
      <c r="B4437" t="s">
        <v>28</v>
      </c>
      <c r="C4437" t="s">
        <v>84</v>
      </c>
      <c r="D4437" s="11">
        <v>44084</v>
      </c>
      <c r="E4437" t="s">
        <v>16</v>
      </c>
      <c r="F4437" t="s">
        <v>12</v>
      </c>
      <c r="G4437">
        <v>808069</v>
      </c>
      <c r="H4437">
        <v>5500022338</v>
      </c>
      <c r="I4437">
        <v>30</v>
      </c>
      <c r="J4437" s="29">
        <v>1</v>
      </c>
      <c r="K4437" s="29" t="s">
        <v>672</v>
      </c>
      <c r="L4437" t="str">
        <f>IFERROR(VLOOKUP(Detalle_OC[[#This Row],[Centro]]&amp;Detalle_OC[[#This Row],[Nro Almacen]],Almacen!A:D,4,FALSE),"")</f>
        <v>Montelima</v>
      </c>
    </row>
    <row r="4438" spans="1:12" x14ac:dyDescent="0.3">
      <c r="A4438" s="29" t="str">
        <f>Detalle_OC[[#This Row],[Centro]]&amp;Detalle_OC[[#This Row],[Nom Almacen]]&amp;Detalle_OC[[#This Row],[Material]]&amp;Detalle_OC[[#This Row],[Pedido]]&amp;Detalle_OC[[#This Row],[Posicion]]</f>
        <v>Agricola del Chira PlantaMontelima808069550002233830</v>
      </c>
      <c r="B4438" t="s">
        <v>28</v>
      </c>
      <c r="C4438" t="s">
        <v>84</v>
      </c>
      <c r="D4438" s="11">
        <v>44077</v>
      </c>
      <c r="E4438" t="s">
        <v>16</v>
      </c>
      <c r="F4438" t="s">
        <v>12</v>
      </c>
      <c r="G4438">
        <v>808069</v>
      </c>
      <c r="H4438">
        <v>5500022338</v>
      </c>
      <c r="I4438">
        <v>30</v>
      </c>
      <c r="J4438" s="29">
        <v>1</v>
      </c>
      <c r="K4438" s="29" t="s">
        <v>673</v>
      </c>
      <c r="L4438" t="str">
        <f>IFERROR(VLOOKUP(Detalle_OC[[#This Row],[Centro]]&amp;Detalle_OC[[#This Row],[Nro Almacen]],Almacen!A:D,4,FALSE),"")</f>
        <v>Montelima</v>
      </c>
    </row>
    <row r="4439" spans="1:12" x14ac:dyDescent="0.3">
      <c r="A4439" s="29" t="str">
        <f>Detalle_OC[[#This Row],[Centro]]&amp;Detalle_OC[[#This Row],[Nom Almacen]]&amp;Detalle_OC[[#This Row],[Material]]&amp;Detalle_OC[[#This Row],[Pedido]]&amp;Detalle_OC[[#This Row],[Posicion]]</f>
        <v>Agricola del Chira PlantaMontelima813224550002233870</v>
      </c>
      <c r="B4439" t="s">
        <v>28</v>
      </c>
      <c r="C4439" t="s">
        <v>84</v>
      </c>
      <c r="D4439" s="11">
        <v>44077</v>
      </c>
      <c r="E4439" t="s">
        <v>16</v>
      </c>
      <c r="F4439" t="s">
        <v>12</v>
      </c>
      <c r="G4439">
        <v>813224</v>
      </c>
      <c r="H4439">
        <v>5500022338</v>
      </c>
      <c r="I4439">
        <v>70</v>
      </c>
      <c r="J4439" s="29">
        <v>1</v>
      </c>
      <c r="K4439" s="29" t="s">
        <v>673</v>
      </c>
      <c r="L4439" t="str">
        <f>IFERROR(VLOOKUP(Detalle_OC[[#This Row],[Centro]]&amp;Detalle_OC[[#This Row],[Nro Almacen]],Almacen!A:D,4,FALSE),"")</f>
        <v>Montelima</v>
      </c>
    </row>
    <row r="4440" spans="1:12" x14ac:dyDescent="0.3">
      <c r="A4440" s="29" t="str">
        <f>Detalle_OC[[#This Row],[Centro]]&amp;Detalle_OC[[#This Row],[Nom Almacen]]&amp;Detalle_OC[[#This Row],[Material]]&amp;Detalle_OC[[#This Row],[Pedido]]&amp;Detalle_OC[[#This Row],[Posicion]]</f>
        <v>Agricola del Chira PlantaMontelima8449175500019188240</v>
      </c>
      <c r="B4440" t="s">
        <v>28</v>
      </c>
      <c r="C4440" t="s">
        <v>82</v>
      </c>
      <c r="D4440" s="11">
        <v>44075</v>
      </c>
      <c r="E4440" t="s">
        <v>16</v>
      </c>
      <c r="F4440" t="s">
        <v>12</v>
      </c>
      <c r="G4440">
        <v>844917</v>
      </c>
      <c r="H4440">
        <v>5500019188</v>
      </c>
      <c r="I4440">
        <v>240</v>
      </c>
      <c r="J4440" s="29">
        <v>1</v>
      </c>
      <c r="K4440" s="29" t="s">
        <v>674</v>
      </c>
      <c r="L4440" t="str">
        <f>IFERROR(VLOOKUP(Detalle_OC[[#This Row],[Centro]]&amp;Detalle_OC[[#This Row],[Nro Almacen]],Almacen!A:D,4,FALSE),"")</f>
        <v>Montelima</v>
      </c>
    </row>
    <row r="4441" spans="1:12" x14ac:dyDescent="0.3">
      <c r="A4441" s="29" t="str">
        <f>Detalle_OC[[#This Row],[Centro]]&amp;Detalle_OC[[#This Row],[Nom Almacen]]&amp;Detalle_OC[[#This Row],[Material]]&amp;Detalle_OC[[#This Row],[Pedido]]&amp;Detalle_OC[[#This Row],[Posicion]]</f>
        <v>Agricola del Chira PlantaMontelima8445395500019188300</v>
      </c>
      <c r="B4441" t="s">
        <v>28</v>
      </c>
      <c r="C4441" t="s">
        <v>82</v>
      </c>
      <c r="D4441" s="11">
        <v>44075</v>
      </c>
      <c r="E4441" t="s">
        <v>16</v>
      </c>
      <c r="F4441" t="s">
        <v>12</v>
      </c>
      <c r="G4441">
        <v>844539</v>
      </c>
      <c r="H4441">
        <v>5500019188</v>
      </c>
      <c r="I4441">
        <v>300</v>
      </c>
      <c r="J4441" s="29">
        <v>1</v>
      </c>
      <c r="K4441" s="29" t="s">
        <v>674</v>
      </c>
      <c r="L4441" t="str">
        <f>IFERROR(VLOOKUP(Detalle_OC[[#This Row],[Centro]]&amp;Detalle_OC[[#This Row],[Nro Almacen]],Almacen!A:D,4,FALSE),"")</f>
        <v>Montelima</v>
      </c>
    </row>
    <row r="4442" spans="1:12" x14ac:dyDescent="0.3">
      <c r="A4442" s="29" t="str">
        <f>Detalle_OC[[#This Row],[Centro]]&amp;Detalle_OC[[#This Row],[Nom Almacen]]&amp;Detalle_OC[[#This Row],[Material]]&amp;Detalle_OC[[#This Row],[Pedido]]&amp;Detalle_OC[[#This Row],[Posicion]]</f>
        <v>Agricola del Chira PlantaMontelima8445045500019188480</v>
      </c>
      <c r="B4442" t="s">
        <v>28</v>
      </c>
      <c r="C4442" t="s">
        <v>82</v>
      </c>
      <c r="D4442" s="11">
        <v>44075</v>
      </c>
      <c r="E4442" t="s">
        <v>16</v>
      </c>
      <c r="F4442" t="s">
        <v>12</v>
      </c>
      <c r="G4442">
        <v>844504</v>
      </c>
      <c r="H4442">
        <v>5500019188</v>
      </c>
      <c r="I4442">
        <v>480</v>
      </c>
      <c r="J4442" s="29">
        <v>1</v>
      </c>
      <c r="K4442" s="29" t="s">
        <v>674</v>
      </c>
      <c r="L4442" t="str">
        <f>IFERROR(VLOOKUP(Detalle_OC[[#This Row],[Centro]]&amp;Detalle_OC[[#This Row],[Nro Almacen]],Almacen!A:D,4,FALSE),"")</f>
        <v>Montelima</v>
      </c>
    </row>
    <row r="4443" spans="1:12" x14ac:dyDescent="0.3">
      <c r="A4443" s="29" t="str">
        <f>Detalle_OC[[#This Row],[Centro]]&amp;Detalle_OC[[#This Row],[Nom Almacen]]&amp;Detalle_OC[[#This Row],[Material]]&amp;Detalle_OC[[#This Row],[Pedido]]&amp;Detalle_OC[[#This Row],[Posicion]]</f>
        <v>Agricola del Chira PlantaMontelima7002962955000191881540</v>
      </c>
      <c r="B4443" t="s">
        <v>28</v>
      </c>
      <c r="C4443" t="s">
        <v>82</v>
      </c>
      <c r="D4443" s="11">
        <v>44075</v>
      </c>
      <c r="E4443" t="s">
        <v>16</v>
      </c>
      <c r="F4443" t="s">
        <v>12</v>
      </c>
      <c r="G4443">
        <v>70029629</v>
      </c>
      <c r="H4443">
        <v>5500019188</v>
      </c>
      <c r="I4443">
        <v>1540</v>
      </c>
      <c r="J4443" s="29">
        <v>1</v>
      </c>
      <c r="K4443" s="29" t="s">
        <v>674</v>
      </c>
      <c r="L4443" t="str">
        <f>IFERROR(VLOOKUP(Detalle_OC[[#This Row],[Centro]]&amp;Detalle_OC[[#This Row],[Nro Almacen]],Almacen!A:D,4,FALSE),"")</f>
        <v>Montelima</v>
      </c>
    </row>
    <row r="4444" spans="1:12" x14ac:dyDescent="0.3">
      <c r="A4444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4444" t="s">
        <v>28</v>
      </c>
      <c r="C4444" t="s">
        <v>84</v>
      </c>
      <c r="D4444" s="11">
        <v>44071</v>
      </c>
      <c r="E4444" t="s">
        <v>16</v>
      </c>
      <c r="F4444" t="s">
        <v>85</v>
      </c>
      <c r="G4444">
        <v>801846</v>
      </c>
      <c r="H4444">
        <v>5500022336</v>
      </c>
      <c r="I4444">
        <v>10</v>
      </c>
      <c r="J4444" s="29">
        <v>1</v>
      </c>
      <c r="K4444" s="29" t="s">
        <v>675</v>
      </c>
      <c r="L4444" t="str">
        <f>IFERROR(VLOOKUP(Detalle_OC[[#This Row],[Centro]]&amp;Detalle_OC[[#This Row],[Nro Almacen]],Almacen!A:D,4,FALSE),"")</f>
        <v>Montelima</v>
      </c>
    </row>
    <row r="4445" spans="1:12" x14ac:dyDescent="0.3">
      <c r="A4445" s="29" t="str">
        <f>Detalle_OC[[#This Row],[Centro]]&amp;Detalle_OC[[#This Row],[Nom Almacen]]&amp;Detalle_OC[[#This Row],[Material]]&amp;Detalle_OC[[#This Row],[Pedido]]&amp;Detalle_OC[[#This Row],[Posicion]]</f>
        <v>Sucroalcolera del Chira PlantaMontelima813224550002233650</v>
      </c>
      <c r="B4445" t="s">
        <v>28</v>
      </c>
      <c r="C4445" t="s">
        <v>84</v>
      </c>
      <c r="D4445" s="11">
        <v>44071</v>
      </c>
      <c r="E4445" t="s">
        <v>16</v>
      </c>
      <c r="F4445" t="s">
        <v>85</v>
      </c>
      <c r="G4445">
        <v>813224</v>
      </c>
      <c r="H4445">
        <v>5500022336</v>
      </c>
      <c r="I4445">
        <v>50</v>
      </c>
      <c r="J4445" s="29">
        <v>1</v>
      </c>
      <c r="K4445" s="29" t="s">
        <v>675</v>
      </c>
      <c r="L4445" t="str">
        <f>IFERROR(VLOOKUP(Detalle_OC[[#This Row],[Centro]]&amp;Detalle_OC[[#This Row],[Nro Almacen]],Almacen!A:D,4,FALSE),"")</f>
        <v>Montelima</v>
      </c>
    </row>
    <row r="4446" spans="1:12" x14ac:dyDescent="0.3">
      <c r="A4446" s="29" t="str">
        <f>Detalle_OC[[#This Row],[Centro]]&amp;Detalle_OC[[#This Row],[Nom Almacen]]&amp;Detalle_OC[[#This Row],[Material]]&amp;Detalle_OC[[#This Row],[Pedido]]&amp;Detalle_OC[[#This Row],[Posicion]]</f>
        <v>Agricola del Chira PlantaMontelima709179550002233820</v>
      </c>
      <c r="B4446" t="s">
        <v>28</v>
      </c>
      <c r="C4446" t="s">
        <v>84</v>
      </c>
      <c r="D4446" s="11">
        <v>44070</v>
      </c>
      <c r="E4446" t="s">
        <v>16</v>
      </c>
      <c r="F4446" t="s">
        <v>12</v>
      </c>
      <c r="G4446">
        <v>709179</v>
      </c>
      <c r="H4446">
        <v>5500022338</v>
      </c>
      <c r="I4446">
        <v>20</v>
      </c>
      <c r="J4446" s="29">
        <v>1</v>
      </c>
      <c r="K4446" s="29" t="s">
        <v>676</v>
      </c>
      <c r="L4446" t="str">
        <f>IFERROR(VLOOKUP(Detalle_OC[[#This Row],[Centro]]&amp;Detalle_OC[[#This Row],[Nro Almacen]],Almacen!A:D,4,FALSE),"")</f>
        <v>Montelima</v>
      </c>
    </row>
    <row r="4447" spans="1:12" x14ac:dyDescent="0.3">
      <c r="A4447" s="29" t="str">
        <f>Detalle_OC[[#This Row],[Centro]]&amp;Detalle_OC[[#This Row],[Nom Almacen]]&amp;Detalle_OC[[#This Row],[Material]]&amp;Detalle_OC[[#This Row],[Pedido]]&amp;Detalle_OC[[#This Row],[Posicion]]</f>
        <v>Agricola del Chira PlantaMontelima708707550002233850</v>
      </c>
      <c r="B4447" t="s">
        <v>28</v>
      </c>
      <c r="C4447" t="s">
        <v>84</v>
      </c>
      <c r="D4447" s="11">
        <v>44070</v>
      </c>
      <c r="E4447" t="s">
        <v>16</v>
      </c>
      <c r="F4447" t="s">
        <v>12</v>
      </c>
      <c r="G4447">
        <v>708707</v>
      </c>
      <c r="H4447">
        <v>5500022338</v>
      </c>
      <c r="I4447">
        <v>50</v>
      </c>
      <c r="J4447" s="29">
        <v>1</v>
      </c>
      <c r="K4447" s="29" t="s">
        <v>676</v>
      </c>
      <c r="L4447" t="str">
        <f>IFERROR(VLOOKUP(Detalle_OC[[#This Row],[Centro]]&amp;Detalle_OC[[#This Row],[Nro Almacen]],Almacen!A:D,4,FALSE),"")</f>
        <v>Montelima</v>
      </c>
    </row>
    <row r="4448" spans="1:12" x14ac:dyDescent="0.3">
      <c r="A4448" s="29" t="str">
        <f>Detalle_OC[[#This Row],[Centro]]&amp;Detalle_OC[[#This Row],[Nom Almacen]]&amp;Detalle_OC[[#This Row],[Material]]&amp;Detalle_OC[[#This Row],[Pedido]]&amp;Detalle_OC[[#This Row],[Posicion]]</f>
        <v>Agricola del Chira PlantaMontelima738330550001918820</v>
      </c>
      <c r="B4448" t="s">
        <v>28</v>
      </c>
      <c r="C4448" t="s">
        <v>82</v>
      </c>
      <c r="D4448" s="11">
        <v>44069</v>
      </c>
      <c r="E4448" t="s">
        <v>16</v>
      </c>
      <c r="F4448" t="s">
        <v>12</v>
      </c>
      <c r="G4448">
        <v>738330</v>
      </c>
      <c r="H4448">
        <v>5500019188</v>
      </c>
      <c r="I4448">
        <v>20</v>
      </c>
      <c r="J4448" s="29">
        <v>1</v>
      </c>
      <c r="K4448" s="29" t="s">
        <v>677</v>
      </c>
      <c r="L4448" t="str">
        <f>IFERROR(VLOOKUP(Detalle_OC[[#This Row],[Centro]]&amp;Detalle_OC[[#This Row],[Nro Almacen]],Almacen!A:D,4,FALSE),"")</f>
        <v>Montelima</v>
      </c>
    </row>
    <row r="4449" spans="1:12" x14ac:dyDescent="0.3">
      <c r="A4449" s="29" t="str">
        <f>Detalle_OC[[#This Row],[Centro]]&amp;Detalle_OC[[#This Row],[Nom Almacen]]&amp;Detalle_OC[[#This Row],[Material]]&amp;Detalle_OC[[#This Row],[Pedido]]&amp;Detalle_OC[[#This Row],[Posicion]]</f>
        <v>Agricola del Chira PlantaMontelima762202550001918850</v>
      </c>
      <c r="B4449" t="s">
        <v>28</v>
      </c>
      <c r="C4449" t="s">
        <v>82</v>
      </c>
      <c r="D4449" s="11">
        <v>44069</v>
      </c>
      <c r="E4449" t="s">
        <v>16</v>
      </c>
      <c r="F4449" t="s">
        <v>12</v>
      </c>
      <c r="G4449">
        <v>762202</v>
      </c>
      <c r="H4449">
        <v>5500019188</v>
      </c>
      <c r="I4449">
        <v>50</v>
      </c>
      <c r="J4449" s="29">
        <v>1</v>
      </c>
      <c r="K4449" s="29" t="s">
        <v>677</v>
      </c>
      <c r="L4449" t="str">
        <f>IFERROR(VLOOKUP(Detalle_OC[[#This Row],[Centro]]&amp;Detalle_OC[[#This Row],[Nro Almacen]],Almacen!A:D,4,FALSE),"")</f>
        <v>Montelima</v>
      </c>
    </row>
    <row r="4450" spans="1:12" x14ac:dyDescent="0.3">
      <c r="A4450" s="29" t="str">
        <f>Detalle_OC[[#This Row],[Centro]]&amp;Detalle_OC[[#This Row],[Nom Almacen]]&amp;Detalle_OC[[#This Row],[Material]]&amp;Detalle_OC[[#This Row],[Pedido]]&amp;Detalle_OC[[#This Row],[Posicion]]</f>
        <v>Agricola del Chira PlantaMontelima844601550001918860</v>
      </c>
      <c r="B4450" t="s">
        <v>28</v>
      </c>
      <c r="C4450" t="s">
        <v>82</v>
      </c>
      <c r="D4450" s="11">
        <v>44069</v>
      </c>
      <c r="E4450" t="s">
        <v>16</v>
      </c>
      <c r="F4450" t="s">
        <v>12</v>
      </c>
      <c r="G4450">
        <v>844601</v>
      </c>
      <c r="H4450">
        <v>5500019188</v>
      </c>
      <c r="I4450">
        <v>60</v>
      </c>
      <c r="J4450" s="29">
        <v>1</v>
      </c>
      <c r="K4450" s="29" t="s">
        <v>677</v>
      </c>
      <c r="L4450" t="str">
        <f>IFERROR(VLOOKUP(Detalle_OC[[#This Row],[Centro]]&amp;Detalle_OC[[#This Row],[Nro Almacen]],Almacen!A:D,4,FALSE),"")</f>
        <v>Montelima</v>
      </c>
    </row>
    <row r="4451" spans="1:12" x14ac:dyDescent="0.3">
      <c r="A4451" s="29" t="str">
        <f>Detalle_OC[[#This Row],[Centro]]&amp;Detalle_OC[[#This Row],[Nom Almacen]]&amp;Detalle_OC[[#This Row],[Material]]&amp;Detalle_OC[[#This Row],[Pedido]]&amp;Detalle_OC[[#This Row],[Posicion]]</f>
        <v>Agricola del Chira PlantaMontelima7003069455000191881790</v>
      </c>
      <c r="B4451" t="s">
        <v>28</v>
      </c>
      <c r="C4451" t="s">
        <v>82</v>
      </c>
      <c r="D4451" s="11">
        <v>44055</v>
      </c>
      <c r="E4451" t="s">
        <v>16</v>
      </c>
      <c r="F4451" t="s">
        <v>12</v>
      </c>
      <c r="G4451">
        <v>70030694</v>
      </c>
      <c r="H4451">
        <v>5500019188</v>
      </c>
      <c r="I4451">
        <v>1790</v>
      </c>
      <c r="J4451" s="29">
        <v>1</v>
      </c>
      <c r="K4451" s="29" t="s">
        <v>678</v>
      </c>
      <c r="L4451" t="str">
        <f>IFERROR(VLOOKUP(Detalle_OC[[#This Row],[Centro]]&amp;Detalle_OC[[#This Row],[Nro Almacen]],Almacen!A:D,4,FALSE),"")</f>
        <v>Montelima</v>
      </c>
    </row>
    <row r="4452" spans="1:12" x14ac:dyDescent="0.3">
      <c r="A4452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4452" t="s">
        <v>28</v>
      </c>
      <c r="C4452" t="s">
        <v>84</v>
      </c>
      <c r="D4452" s="11">
        <v>44054</v>
      </c>
      <c r="E4452" t="s">
        <v>16</v>
      </c>
      <c r="F4452" t="s">
        <v>85</v>
      </c>
      <c r="G4452">
        <v>801846</v>
      </c>
      <c r="H4452">
        <v>5500022336</v>
      </c>
      <c r="I4452">
        <v>10</v>
      </c>
      <c r="J4452" s="29">
        <v>1</v>
      </c>
      <c r="K4452" s="29" t="s">
        <v>679</v>
      </c>
      <c r="L4452" t="str">
        <f>IFERROR(VLOOKUP(Detalle_OC[[#This Row],[Centro]]&amp;Detalle_OC[[#This Row],[Nro Almacen]],Almacen!A:D,4,FALSE),"")</f>
        <v>Montelima</v>
      </c>
    </row>
    <row r="4453" spans="1:12" x14ac:dyDescent="0.3">
      <c r="A4453" s="29" t="str">
        <f>Detalle_OC[[#This Row],[Centro]]&amp;Detalle_OC[[#This Row],[Nom Almacen]]&amp;Detalle_OC[[#This Row],[Material]]&amp;Detalle_OC[[#This Row],[Pedido]]&amp;Detalle_OC[[#This Row],[Posicion]]</f>
        <v>Agricola del Chira PlantaMontelima7004178355000191882260</v>
      </c>
      <c r="B4453" t="s">
        <v>28</v>
      </c>
      <c r="C4453" t="s">
        <v>82</v>
      </c>
      <c r="D4453" s="11">
        <v>44051</v>
      </c>
      <c r="E4453" t="s">
        <v>16</v>
      </c>
      <c r="F4453" t="s">
        <v>12</v>
      </c>
      <c r="G4453">
        <v>70041783</v>
      </c>
      <c r="H4453">
        <v>5500019188</v>
      </c>
      <c r="I4453">
        <v>2260</v>
      </c>
      <c r="J4453" s="29">
        <v>1</v>
      </c>
      <c r="K4453" s="29" t="s">
        <v>680</v>
      </c>
      <c r="L4453" t="str">
        <f>IFERROR(VLOOKUP(Detalle_OC[[#This Row],[Centro]]&amp;Detalle_OC[[#This Row],[Nro Almacen]],Almacen!A:D,4,FALSE),"")</f>
        <v>Montelima</v>
      </c>
    </row>
    <row r="4454" spans="1:12" x14ac:dyDescent="0.3">
      <c r="A4454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4454" t="s">
        <v>28</v>
      </c>
      <c r="C4454" t="s">
        <v>84</v>
      </c>
      <c r="D4454" s="11">
        <v>44050</v>
      </c>
      <c r="E4454" t="s">
        <v>16</v>
      </c>
      <c r="F4454" t="s">
        <v>85</v>
      </c>
      <c r="G4454">
        <v>806591</v>
      </c>
      <c r="H4454">
        <v>5500022336</v>
      </c>
      <c r="I4454">
        <v>20</v>
      </c>
      <c r="J4454" s="29">
        <v>1</v>
      </c>
      <c r="K4454" s="29" t="s">
        <v>681</v>
      </c>
      <c r="L4454" t="str">
        <f>IFERROR(VLOOKUP(Detalle_OC[[#This Row],[Centro]]&amp;Detalle_OC[[#This Row],[Nro Almacen]],Almacen!A:D,4,FALSE),"")</f>
        <v>Montelima</v>
      </c>
    </row>
    <row r="4455" spans="1:12" x14ac:dyDescent="0.3">
      <c r="A4455" s="29" t="str">
        <f>Detalle_OC[[#This Row],[Centro]]&amp;Detalle_OC[[#This Row],[Nom Almacen]]&amp;Detalle_OC[[#This Row],[Material]]&amp;Detalle_OC[[#This Row],[Pedido]]&amp;Detalle_OC[[#This Row],[Posicion]]</f>
        <v>Sucroalcolera del Chira PlantaMontelima709179550002233630</v>
      </c>
      <c r="B4455" t="s">
        <v>28</v>
      </c>
      <c r="C4455" t="s">
        <v>84</v>
      </c>
      <c r="D4455" s="11">
        <v>44050</v>
      </c>
      <c r="E4455" t="s">
        <v>16</v>
      </c>
      <c r="F4455" t="s">
        <v>85</v>
      </c>
      <c r="G4455">
        <v>709179</v>
      </c>
      <c r="H4455">
        <v>5500022336</v>
      </c>
      <c r="I4455">
        <v>30</v>
      </c>
      <c r="J4455" s="29">
        <v>1</v>
      </c>
      <c r="K4455" s="29" t="s">
        <v>681</v>
      </c>
      <c r="L4455" t="str">
        <f>IFERROR(VLOOKUP(Detalle_OC[[#This Row],[Centro]]&amp;Detalle_OC[[#This Row],[Nro Almacen]],Almacen!A:D,4,FALSE),"")</f>
        <v>Montelima</v>
      </c>
    </row>
    <row r="4456" spans="1:12" x14ac:dyDescent="0.3">
      <c r="A4456" s="29" t="str">
        <f>Detalle_OC[[#This Row],[Centro]]&amp;Detalle_OC[[#This Row],[Nom Almacen]]&amp;Detalle_OC[[#This Row],[Material]]&amp;Detalle_OC[[#This Row],[Pedido]]&amp;Detalle_OC[[#This Row],[Posicion]]</f>
        <v>Agricola del Chira PlantaMontelima83507655000191881340</v>
      </c>
      <c r="B4456" t="s">
        <v>28</v>
      </c>
      <c r="C4456" t="s">
        <v>82</v>
      </c>
      <c r="D4456" s="11">
        <v>44049</v>
      </c>
      <c r="E4456" t="s">
        <v>16</v>
      </c>
      <c r="F4456" t="s">
        <v>12</v>
      </c>
      <c r="G4456">
        <v>835076</v>
      </c>
      <c r="H4456">
        <v>5500019188</v>
      </c>
      <c r="I4456">
        <v>1340</v>
      </c>
      <c r="J4456" s="29">
        <v>1</v>
      </c>
      <c r="K4456" s="29" t="s">
        <v>682</v>
      </c>
      <c r="L4456" t="str">
        <f>IFERROR(VLOOKUP(Detalle_OC[[#This Row],[Centro]]&amp;Detalle_OC[[#This Row],[Nro Almacen]],Almacen!A:D,4,FALSE),"")</f>
        <v>Montelima</v>
      </c>
    </row>
    <row r="4457" spans="1:12" x14ac:dyDescent="0.3">
      <c r="A4457" s="29" t="str">
        <f>Detalle_OC[[#This Row],[Centro]]&amp;Detalle_OC[[#This Row],[Nom Almacen]]&amp;Detalle_OC[[#This Row],[Material]]&amp;Detalle_OC[[#This Row],[Pedido]]&amp;Detalle_OC[[#This Row],[Posicion]]</f>
        <v>Agricola del Chira PlantaMontelima7004178255000191882250</v>
      </c>
      <c r="B4457" t="s">
        <v>28</v>
      </c>
      <c r="C4457" t="s">
        <v>82</v>
      </c>
      <c r="D4457" s="11">
        <v>44049</v>
      </c>
      <c r="E4457" t="s">
        <v>16</v>
      </c>
      <c r="F4457" t="s">
        <v>12</v>
      </c>
      <c r="G4457">
        <v>70041782</v>
      </c>
      <c r="H4457">
        <v>5500019188</v>
      </c>
      <c r="I4457">
        <v>2250</v>
      </c>
      <c r="J4457" s="29">
        <v>1</v>
      </c>
      <c r="K4457" s="29" t="s">
        <v>682</v>
      </c>
      <c r="L4457" t="str">
        <f>IFERROR(VLOOKUP(Detalle_OC[[#This Row],[Centro]]&amp;Detalle_OC[[#This Row],[Nro Almacen]],Almacen!A:D,4,FALSE),"")</f>
        <v>Montelima</v>
      </c>
    </row>
    <row r="4458" spans="1:12" x14ac:dyDescent="0.3">
      <c r="A4458" s="29" t="str">
        <f>Detalle_OC[[#This Row],[Centro]]&amp;Detalle_OC[[#This Row],[Nom Almacen]]&amp;Detalle_OC[[#This Row],[Material]]&amp;Detalle_OC[[#This Row],[Pedido]]&amp;Detalle_OC[[#This Row],[Posicion]]</f>
        <v>Agricola del Chira PlantaMontelima738241550001918880</v>
      </c>
      <c r="B4458" t="s">
        <v>28</v>
      </c>
      <c r="C4458" t="s">
        <v>82</v>
      </c>
      <c r="D4458" s="11">
        <v>44047</v>
      </c>
      <c r="E4458" t="s">
        <v>16</v>
      </c>
      <c r="F4458" t="s">
        <v>12</v>
      </c>
      <c r="G4458">
        <v>738241</v>
      </c>
      <c r="H4458">
        <v>5500019188</v>
      </c>
      <c r="I4458">
        <v>80</v>
      </c>
      <c r="J4458" s="29">
        <v>1</v>
      </c>
      <c r="K4458" s="29" t="s">
        <v>683</v>
      </c>
      <c r="L4458" t="str">
        <f>IFERROR(VLOOKUP(Detalle_OC[[#This Row],[Centro]]&amp;Detalle_OC[[#This Row],[Nro Almacen]],Almacen!A:D,4,FALSE),"")</f>
        <v>Montelima</v>
      </c>
    </row>
    <row r="4459" spans="1:12" x14ac:dyDescent="0.3">
      <c r="A4459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4459" t="s">
        <v>28</v>
      </c>
      <c r="C4459" t="s">
        <v>82</v>
      </c>
      <c r="D4459" s="11">
        <v>44047</v>
      </c>
      <c r="E4459" t="s">
        <v>16</v>
      </c>
      <c r="F4459" t="s">
        <v>12</v>
      </c>
      <c r="G4459">
        <v>844515</v>
      </c>
      <c r="H4459">
        <v>5500019188</v>
      </c>
      <c r="I4459">
        <v>200</v>
      </c>
      <c r="J4459" s="29">
        <v>1</v>
      </c>
      <c r="K4459" s="29" t="s">
        <v>683</v>
      </c>
      <c r="L4459" t="str">
        <f>IFERROR(VLOOKUP(Detalle_OC[[#This Row],[Centro]]&amp;Detalle_OC[[#This Row],[Nro Almacen]],Almacen!A:D,4,FALSE),"")</f>
        <v>Montelima</v>
      </c>
    </row>
    <row r="4460" spans="1:12" x14ac:dyDescent="0.3">
      <c r="A4460" s="29" t="str">
        <f>Detalle_OC[[#This Row],[Centro]]&amp;Detalle_OC[[#This Row],[Nom Almacen]]&amp;Detalle_OC[[#This Row],[Material]]&amp;Detalle_OC[[#This Row],[Pedido]]&amp;Detalle_OC[[#This Row],[Posicion]]</f>
        <v>Agricola del Chira PlantaMontelima8445245500019188210</v>
      </c>
      <c r="B4460" t="s">
        <v>28</v>
      </c>
      <c r="C4460" t="s">
        <v>82</v>
      </c>
      <c r="D4460" s="11">
        <v>44047</v>
      </c>
      <c r="E4460" t="s">
        <v>16</v>
      </c>
      <c r="F4460" t="s">
        <v>12</v>
      </c>
      <c r="G4460">
        <v>844524</v>
      </c>
      <c r="H4460">
        <v>5500019188</v>
      </c>
      <c r="I4460">
        <v>210</v>
      </c>
      <c r="J4460" s="29">
        <v>1</v>
      </c>
      <c r="K4460" s="29" t="s">
        <v>683</v>
      </c>
      <c r="L4460" t="str">
        <f>IFERROR(VLOOKUP(Detalle_OC[[#This Row],[Centro]]&amp;Detalle_OC[[#This Row],[Nro Almacen]],Almacen!A:D,4,FALSE),"")</f>
        <v>Montelima</v>
      </c>
    </row>
    <row r="4461" spans="1:12" x14ac:dyDescent="0.3">
      <c r="A4461" s="29" t="str">
        <f>Detalle_OC[[#This Row],[Centro]]&amp;Detalle_OC[[#This Row],[Nom Almacen]]&amp;Detalle_OC[[#This Row],[Material]]&amp;Detalle_OC[[#This Row],[Pedido]]&amp;Detalle_OC[[#This Row],[Posicion]]</f>
        <v>Agricola del Chira PlantaMontelima8445365500019188330</v>
      </c>
      <c r="B4461" t="s">
        <v>28</v>
      </c>
      <c r="C4461" t="s">
        <v>82</v>
      </c>
      <c r="D4461" s="11">
        <v>44047</v>
      </c>
      <c r="E4461" t="s">
        <v>16</v>
      </c>
      <c r="F4461" t="s">
        <v>12</v>
      </c>
      <c r="G4461">
        <v>844536</v>
      </c>
      <c r="H4461">
        <v>5500019188</v>
      </c>
      <c r="I4461">
        <v>330</v>
      </c>
      <c r="J4461" s="29">
        <v>1</v>
      </c>
      <c r="K4461" s="29" t="s">
        <v>683</v>
      </c>
      <c r="L4461" t="str">
        <f>IFERROR(VLOOKUP(Detalle_OC[[#This Row],[Centro]]&amp;Detalle_OC[[#This Row],[Nro Almacen]],Almacen!A:D,4,FALSE),"")</f>
        <v>Montelima</v>
      </c>
    </row>
    <row r="4462" spans="1:12" x14ac:dyDescent="0.3">
      <c r="A4462" s="29" t="str">
        <f>Detalle_OC[[#This Row],[Centro]]&amp;Detalle_OC[[#This Row],[Nom Almacen]]&amp;Detalle_OC[[#This Row],[Material]]&amp;Detalle_OC[[#This Row],[Pedido]]&amp;Detalle_OC[[#This Row],[Posicion]]</f>
        <v>Agricola del Chira PlantaMontelima82719955000191881020</v>
      </c>
      <c r="B4462" t="s">
        <v>28</v>
      </c>
      <c r="C4462" t="s">
        <v>82</v>
      </c>
      <c r="D4462" s="11">
        <v>44047</v>
      </c>
      <c r="E4462" t="s">
        <v>16</v>
      </c>
      <c r="F4462" t="s">
        <v>12</v>
      </c>
      <c r="G4462">
        <v>827199</v>
      </c>
      <c r="H4462">
        <v>5500019188</v>
      </c>
      <c r="I4462">
        <v>1020</v>
      </c>
      <c r="J4462" s="29">
        <v>1</v>
      </c>
      <c r="K4462" s="29" t="s">
        <v>683</v>
      </c>
      <c r="L4462" t="str">
        <f>IFERROR(VLOOKUP(Detalle_OC[[#This Row],[Centro]]&amp;Detalle_OC[[#This Row],[Nro Almacen]],Almacen!A:D,4,FALSE),"")</f>
        <v>Montelima</v>
      </c>
    </row>
    <row r="4463" spans="1:12" x14ac:dyDescent="0.3">
      <c r="A4463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4463" t="s">
        <v>28</v>
      </c>
      <c r="C4463" t="s">
        <v>84</v>
      </c>
      <c r="D4463" s="11">
        <v>44042</v>
      </c>
      <c r="E4463" t="s">
        <v>16</v>
      </c>
      <c r="F4463" t="s">
        <v>85</v>
      </c>
      <c r="G4463">
        <v>801846</v>
      </c>
      <c r="H4463">
        <v>5500022336</v>
      </c>
      <c r="I4463">
        <v>10</v>
      </c>
      <c r="J4463" s="29">
        <v>1</v>
      </c>
      <c r="K4463" s="29" t="s">
        <v>684</v>
      </c>
      <c r="L4463" t="str">
        <f>IFERROR(VLOOKUP(Detalle_OC[[#This Row],[Centro]]&amp;Detalle_OC[[#This Row],[Nro Almacen]],Almacen!A:D,4,FALSE),"")</f>
        <v>Montelima</v>
      </c>
    </row>
    <row r="4464" spans="1:12" x14ac:dyDescent="0.3">
      <c r="A4464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4464" t="s">
        <v>28</v>
      </c>
      <c r="C4464" t="s">
        <v>84</v>
      </c>
      <c r="D4464" s="11">
        <v>44042</v>
      </c>
      <c r="E4464" t="s">
        <v>16</v>
      </c>
      <c r="F4464" t="s">
        <v>85</v>
      </c>
      <c r="G4464">
        <v>806591</v>
      </c>
      <c r="H4464">
        <v>5500022336</v>
      </c>
      <c r="I4464">
        <v>20</v>
      </c>
      <c r="J4464" s="29">
        <v>1</v>
      </c>
      <c r="K4464" s="29" t="s">
        <v>684</v>
      </c>
      <c r="L4464" t="str">
        <f>IFERROR(VLOOKUP(Detalle_OC[[#This Row],[Centro]]&amp;Detalle_OC[[#This Row],[Nro Almacen]],Almacen!A:D,4,FALSE),"")</f>
        <v>Montelima</v>
      </c>
    </row>
    <row r="4465" spans="1:12" x14ac:dyDescent="0.3">
      <c r="A4465" s="29" t="str">
        <f>Detalle_OC[[#This Row],[Centro]]&amp;Detalle_OC[[#This Row],[Nom Almacen]]&amp;Detalle_OC[[#This Row],[Material]]&amp;Detalle_OC[[#This Row],[Pedido]]&amp;Detalle_OC[[#This Row],[Posicion]]</f>
        <v>Sucroalcolera del Chira PlantaMontelima709179550002233630</v>
      </c>
      <c r="B4465" t="s">
        <v>28</v>
      </c>
      <c r="C4465" t="s">
        <v>84</v>
      </c>
      <c r="D4465" s="11">
        <v>44042</v>
      </c>
      <c r="E4465" t="s">
        <v>16</v>
      </c>
      <c r="F4465" t="s">
        <v>85</v>
      </c>
      <c r="G4465">
        <v>709179</v>
      </c>
      <c r="H4465">
        <v>5500022336</v>
      </c>
      <c r="I4465">
        <v>30</v>
      </c>
      <c r="J4465" s="29">
        <v>1</v>
      </c>
      <c r="K4465" s="29" t="s">
        <v>684</v>
      </c>
      <c r="L4465" t="str">
        <f>IFERROR(VLOOKUP(Detalle_OC[[#This Row],[Centro]]&amp;Detalle_OC[[#This Row],[Nro Almacen]],Almacen!A:D,4,FALSE),"")</f>
        <v>Montelima</v>
      </c>
    </row>
    <row r="4466" spans="1:12" x14ac:dyDescent="0.3">
      <c r="A4466" s="29" t="str">
        <f>Detalle_OC[[#This Row],[Centro]]&amp;Detalle_OC[[#This Row],[Nom Almacen]]&amp;Detalle_OC[[#This Row],[Material]]&amp;Detalle_OC[[#This Row],[Pedido]]&amp;Detalle_OC[[#This Row],[Posicion]]</f>
        <v>Sucroalcolera del Chira PlantaMontelima708707550002233640</v>
      </c>
      <c r="B4466" t="s">
        <v>28</v>
      </c>
      <c r="C4466" t="s">
        <v>84</v>
      </c>
      <c r="D4466" s="11">
        <v>44042</v>
      </c>
      <c r="E4466" t="s">
        <v>16</v>
      </c>
      <c r="F4466" t="s">
        <v>85</v>
      </c>
      <c r="G4466">
        <v>708707</v>
      </c>
      <c r="H4466">
        <v>5500022336</v>
      </c>
      <c r="I4466">
        <v>40</v>
      </c>
      <c r="J4466" s="29">
        <v>1</v>
      </c>
      <c r="K4466" s="29" t="s">
        <v>684</v>
      </c>
      <c r="L4466" t="str">
        <f>IFERROR(VLOOKUP(Detalle_OC[[#This Row],[Centro]]&amp;Detalle_OC[[#This Row],[Nro Almacen]],Almacen!A:D,4,FALSE),"")</f>
        <v>Montelima</v>
      </c>
    </row>
    <row r="4467" spans="1:12" x14ac:dyDescent="0.3">
      <c r="A4467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4467" t="s">
        <v>28</v>
      </c>
      <c r="C4467" t="s">
        <v>82</v>
      </c>
      <c r="D4467" s="11">
        <v>44037</v>
      </c>
      <c r="E4467" t="s">
        <v>16</v>
      </c>
      <c r="F4467" t="s">
        <v>12</v>
      </c>
      <c r="G4467">
        <v>844516</v>
      </c>
      <c r="H4467">
        <v>5500019188</v>
      </c>
      <c r="I4467">
        <v>190</v>
      </c>
      <c r="J4467" s="29">
        <v>1</v>
      </c>
      <c r="K4467" s="29" t="s">
        <v>685</v>
      </c>
      <c r="L4467" t="str">
        <f>IFERROR(VLOOKUP(Detalle_OC[[#This Row],[Centro]]&amp;Detalle_OC[[#This Row],[Nro Almacen]],Almacen!A:D,4,FALSE),"")</f>
        <v>Montelima</v>
      </c>
    </row>
    <row r="4468" spans="1:12" x14ac:dyDescent="0.3">
      <c r="A4468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4468" t="s">
        <v>28</v>
      </c>
      <c r="C4468" t="s">
        <v>82</v>
      </c>
      <c r="D4468" s="11">
        <v>44037</v>
      </c>
      <c r="E4468" t="s">
        <v>16</v>
      </c>
      <c r="F4468" t="s">
        <v>12</v>
      </c>
      <c r="G4468">
        <v>844508</v>
      </c>
      <c r="H4468">
        <v>5500019188</v>
      </c>
      <c r="I4468">
        <v>220</v>
      </c>
      <c r="J4468" s="29">
        <v>1</v>
      </c>
      <c r="K4468" s="29" t="s">
        <v>685</v>
      </c>
      <c r="L4468" t="str">
        <f>IFERROR(VLOOKUP(Detalle_OC[[#This Row],[Centro]]&amp;Detalle_OC[[#This Row],[Nro Almacen]],Almacen!A:D,4,FALSE),"")</f>
        <v>Montelima</v>
      </c>
    </row>
    <row r="4469" spans="1:12" x14ac:dyDescent="0.3">
      <c r="A4469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4469" t="s">
        <v>28</v>
      </c>
      <c r="C4469" t="s">
        <v>84</v>
      </c>
      <c r="D4469" s="11">
        <v>44035</v>
      </c>
      <c r="E4469" t="s">
        <v>16</v>
      </c>
      <c r="F4469" t="s">
        <v>85</v>
      </c>
      <c r="G4469">
        <v>801846</v>
      </c>
      <c r="H4469">
        <v>5500022336</v>
      </c>
      <c r="I4469">
        <v>10</v>
      </c>
      <c r="J4469" s="29">
        <v>1</v>
      </c>
      <c r="K4469" s="29" t="s">
        <v>686</v>
      </c>
      <c r="L4469" t="str">
        <f>IFERROR(VLOOKUP(Detalle_OC[[#This Row],[Centro]]&amp;Detalle_OC[[#This Row],[Nro Almacen]],Almacen!A:D,4,FALSE),"")</f>
        <v>Montelima</v>
      </c>
    </row>
    <row r="4470" spans="1:12" x14ac:dyDescent="0.3">
      <c r="A4470" s="29" t="str">
        <f>Detalle_OC[[#This Row],[Centro]]&amp;Detalle_OC[[#This Row],[Nom Almacen]]&amp;Detalle_OC[[#This Row],[Material]]&amp;Detalle_OC[[#This Row],[Pedido]]&amp;Detalle_OC[[#This Row],[Posicion]]</f>
        <v>Agricola del Chira PlantaMontelima761905550001918810</v>
      </c>
      <c r="B4470" t="s">
        <v>28</v>
      </c>
      <c r="C4470" t="s">
        <v>82</v>
      </c>
      <c r="D4470" s="11">
        <v>44029</v>
      </c>
      <c r="E4470" t="s">
        <v>16</v>
      </c>
      <c r="F4470" t="s">
        <v>12</v>
      </c>
      <c r="G4470">
        <v>761905</v>
      </c>
      <c r="H4470">
        <v>5500019188</v>
      </c>
      <c r="I4470">
        <v>10</v>
      </c>
      <c r="J4470" s="29">
        <v>1</v>
      </c>
      <c r="K4470" s="29" t="s">
        <v>687</v>
      </c>
      <c r="L4470" t="str">
        <f>IFERROR(VLOOKUP(Detalle_OC[[#This Row],[Centro]]&amp;Detalle_OC[[#This Row],[Nro Almacen]],Almacen!A:D,4,FALSE),"")</f>
        <v>Montelima</v>
      </c>
    </row>
    <row r="4471" spans="1:12" x14ac:dyDescent="0.3">
      <c r="A4471" s="29" t="str">
        <f>Detalle_OC[[#This Row],[Centro]]&amp;Detalle_OC[[#This Row],[Nom Almacen]]&amp;Detalle_OC[[#This Row],[Material]]&amp;Detalle_OC[[#This Row],[Pedido]]&amp;Detalle_OC[[#This Row],[Posicion]]</f>
        <v>Agricola del Chira PlantaMontelima725201550001918830</v>
      </c>
      <c r="B4471" t="s">
        <v>28</v>
      </c>
      <c r="C4471" t="s">
        <v>82</v>
      </c>
      <c r="D4471" s="11">
        <v>44029</v>
      </c>
      <c r="E4471" t="s">
        <v>16</v>
      </c>
      <c r="F4471" t="s">
        <v>12</v>
      </c>
      <c r="G4471">
        <v>725201</v>
      </c>
      <c r="H4471">
        <v>5500019188</v>
      </c>
      <c r="I4471">
        <v>30</v>
      </c>
      <c r="J4471" s="29">
        <v>1</v>
      </c>
      <c r="K4471" s="29" t="s">
        <v>687</v>
      </c>
      <c r="L4471" t="str">
        <f>IFERROR(VLOOKUP(Detalle_OC[[#This Row],[Centro]]&amp;Detalle_OC[[#This Row],[Nro Almacen]],Almacen!A:D,4,FALSE),"")</f>
        <v>Montelima</v>
      </c>
    </row>
    <row r="4472" spans="1:12" x14ac:dyDescent="0.3">
      <c r="A4472" s="29" t="str">
        <f>Detalle_OC[[#This Row],[Centro]]&amp;Detalle_OC[[#This Row],[Nom Almacen]]&amp;Detalle_OC[[#This Row],[Material]]&amp;Detalle_OC[[#This Row],[Pedido]]&amp;Detalle_OC[[#This Row],[Posicion]]</f>
        <v>Agricola del Chira PlantaMontelima8445245500019188210</v>
      </c>
      <c r="B4472" t="s">
        <v>28</v>
      </c>
      <c r="C4472" t="s">
        <v>82</v>
      </c>
      <c r="D4472" s="11">
        <v>44029</v>
      </c>
      <c r="E4472" t="s">
        <v>16</v>
      </c>
      <c r="F4472" t="s">
        <v>12</v>
      </c>
      <c r="G4472">
        <v>844524</v>
      </c>
      <c r="H4472">
        <v>5500019188</v>
      </c>
      <c r="I4472">
        <v>210</v>
      </c>
      <c r="J4472" s="29">
        <v>1</v>
      </c>
      <c r="K4472" s="29" t="s">
        <v>687</v>
      </c>
      <c r="L4472" t="str">
        <f>IFERROR(VLOOKUP(Detalle_OC[[#This Row],[Centro]]&amp;Detalle_OC[[#This Row],[Nro Almacen]],Almacen!A:D,4,FALSE),"")</f>
        <v>Montelima</v>
      </c>
    </row>
    <row r="4473" spans="1:12" x14ac:dyDescent="0.3">
      <c r="A4473" s="29" t="str">
        <f>Detalle_OC[[#This Row],[Centro]]&amp;Detalle_OC[[#This Row],[Nom Almacen]]&amp;Detalle_OC[[#This Row],[Material]]&amp;Detalle_OC[[#This Row],[Pedido]]&amp;Detalle_OC[[#This Row],[Posicion]]</f>
        <v>Agricola del Chira PlantaMontelima8449175500019188240</v>
      </c>
      <c r="B4473" t="s">
        <v>28</v>
      </c>
      <c r="C4473" t="s">
        <v>82</v>
      </c>
      <c r="D4473" s="11">
        <v>44029</v>
      </c>
      <c r="E4473" t="s">
        <v>16</v>
      </c>
      <c r="F4473" t="s">
        <v>12</v>
      </c>
      <c r="G4473">
        <v>844917</v>
      </c>
      <c r="H4473">
        <v>5500019188</v>
      </c>
      <c r="I4473">
        <v>240</v>
      </c>
      <c r="J4473" s="29">
        <v>1</v>
      </c>
      <c r="K4473" s="29" t="s">
        <v>687</v>
      </c>
      <c r="L4473" t="str">
        <f>IFERROR(VLOOKUP(Detalle_OC[[#This Row],[Centro]]&amp;Detalle_OC[[#This Row],[Nro Almacen]],Almacen!A:D,4,FALSE),"")</f>
        <v>Montelima</v>
      </c>
    </row>
    <row r="4474" spans="1:12" x14ac:dyDescent="0.3">
      <c r="A4474" s="29" t="str">
        <f>Detalle_OC[[#This Row],[Centro]]&amp;Detalle_OC[[#This Row],[Nom Almacen]]&amp;Detalle_OC[[#This Row],[Material]]&amp;Detalle_OC[[#This Row],[Pedido]]&amp;Detalle_OC[[#This Row],[Posicion]]</f>
        <v>Agricola del Chira PlantaMontelima8445365500019188330</v>
      </c>
      <c r="B4474" t="s">
        <v>28</v>
      </c>
      <c r="C4474" t="s">
        <v>82</v>
      </c>
      <c r="D4474" s="11">
        <v>44029</v>
      </c>
      <c r="E4474" t="s">
        <v>16</v>
      </c>
      <c r="F4474" t="s">
        <v>12</v>
      </c>
      <c r="G4474">
        <v>844536</v>
      </c>
      <c r="H4474">
        <v>5500019188</v>
      </c>
      <c r="I4474">
        <v>330</v>
      </c>
      <c r="J4474" s="29">
        <v>1</v>
      </c>
      <c r="K4474" s="29" t="s">
        <v>687</v>
      </c>
      <c r="L4474" t="str">
        <f>IFERROR(VLOOKUP(Detalle_OC[[#This Row],[Centro]]&amp;Detalle_OC[[#This Row],[Nro Almacen]],Almacen!A:D,4,FALSE),"")</f>
        <v>Montelima</v>
      </c>
    </row>
    <row r="4475" spans="1:12" x14ac:dyDescent="0.3">
      <c r="A4475" s="29" t="str">
        <f>Detalle_OC[[#This Row],[Centro]]&amp;Detalle_OC[[#This Row],[Nom Almacen]]&amp;Detalle_OC[[#This Row],[Material]]&amp;Detalle_OC[[#This Row],[Pedido]]&amp;Detalle_OC[[#This Row],[Posicion]]</f>
        <v>Agricola del Chira PlantaMontelima8445415500019188460</v>
      </c>
      <c r="B4475" t="s">
        <v>28</v>
      </c>
      <c r="C4475" t="s">
        <v>82</v>
      </c>
      <c r="D4475" s="11">
        <v>44029</v>
      </c>
      <c r="E4475" t="s">
        <v>16</v>
      </c>
      <c r="F4475" t="s">
        <v>12</v>
      </c>
      <c r="G4475">
        <v>844541</v>
      </c>
      <c r="H4475">
        <v>5500019188</v>
      </c>
      <c r="I4475">
        <v>460</v>
      </c>
      <c r="J4475" s="29">
        <v>1</v>
      </c>
      <c r="K4475" s="29" t="s">
        <v>687</v>
      </c>
      <c r="L4475" t="str">
        <f>IFERROR(VLOOKUP(Detalle_OC[[#This Row],[Centro]]&amp;Detalle_OC[[#This Row],[Nro Almacen]],Almacen!A:D,4,FALSE),"")</f>
        <v>Montelima</v>
      </c>
    </row>
    <row r="4476" spans="1:12" x14ac:dyDescent="0.3">
      <c r="A4476" s="29" t="str">
        <f>Detalle_OC[[#This Row],[Centro]]&amp;Detalle_OC[[#This Row],[Nom Almacen]]&amp;Detalle_OC[[#This Row],[Material]]&amp;Detalle_OC[[#This Row],[Pedido]]&amp;Detalle_OC[[#This Row],[Posicion]]</f>
        <v>Agricola del Chira PlantaMontelima8445385500019188560</v>
      </c>
      <c r="B4476" t="s">
        <v>28</v>
      </c>
      <c r="C4476" t="s">
        <v>82</v>
      </c>
      <c r="D4476" s="11">
        <v>44047</v>
      </c>
      <c r="E4476" t="s">
        <v>16</v>
      </c>
      <c r="F4476" t="s">
        <v>12</v>
      </c>
      <c r="G4476">
        <v>844538</v>
      </c>
      <c r="H4476">
        <v>5500019188</v>
      </c>
      <c r="I4476">
        <v>560</v>
      </c>
      <c r="J4476" s="29">
        <v>1</v>
      </c>
      <c r="K4476" s="29" t="s">
        <v>687</v>
      </c>
      <c r="L4476" t="str">
        <f>IFERROR(VLOOKUP(Detalle_OC[[#This Row],[Centro]]&amp;Detalle_OC[[#This Row],[Nro Almacen]],Almacen!A:D,4,FALSE),"")</f>
        <v>Montelima</v>
      </c>
    </row>
    <row r="4477" spans="1:12" x14ac:dyDescent="0.3">
      <c r="A4477" s="29" t="str">
        <f>Detalle_OC[[#This Row],[Centro]]&amp;Detalle_OC[[#This Row],[Nom Almacen]]&amp;Detalle_OC[[#This Row],[Material]]&amp;Detalle_OC[[#This Row],[Pedido]]&amp;Detalle_OC[[#This Row],[Posicion]]</f>
        <v>Agricola del Chira PlantaMontelima82720355000191881140</v>
      </c>
      <c r="B4477" t="s">
        <v>28</v>
      </c>
      <c r="C4477" t="s">
        <v>82</v>
      </c>
      <c r="D4477" s="11">
        <v>44029</v>
      </c>
      <c r="E4477" t="s">
        <v>16</v>
      </c>
      <c r="F4477" t="s">
        <v>12</v>
      </c>
      <c r="G4477">
        <v>827203</v>
      </c>
      <c r="H4477">
        <v>5500019188</v>
      </c>
      <c r="I4477">
        <v>1140</v>
      </c>
      <c r="J4477" s="29">
        <v>1</v>
      </c>
      <c r="K4477" s="29" t="s">
        <v>687</v>
      </c>
      <c r="L4477" t="str">
        <f>IFERROR(VLOOKUP(Detalle_OC[[#This Row],[Centro]]&amp;Detalle_OC[[#This Row],[Nro Almacen]],Almacen!A:D,4,FALSE),"")</f>
        <v>Montelima</v>
      </c>
    </row>
    <row r="4478" spans="1:12" x14ac:dyDescent="0.3">
      <c r="A4478" s="29" t="str">
        <f>Detalle_OC[[#This Row],[Centro]]&amp;Detalle_OC[[#This Row],[Nom Almacen]]&amp;Detalle_OC[[#This Row],[Material]]&amp;Detalle_OC[[#This Row],[Pedido]]&amp;Detalle_OC[[#This Row],[Posicion]]</f>
        <v>Agricola del Chira PlantaMontelima84557255000191881300</v>
      </c>
      <c r="B4478" t="s">
        <v>28</v>
      </c>
      <c r="C4478" t="s">
        <v>82</v>
      </c>
      <c r="D4478" s="11">
        <v>44029</v>
      </c>
      <c r="E4478" t="s">
        <v>16</v>
      </c>
      <c r="F4478" t="s">
        <v>12</v>
      </c>
      <c r="G4478">
        <v>845572</v>
      </c>
      <c r="H4478">
        <v>5500019188</v>
      </c>
      <c r="I4478">
        <v>1300</v>
      </c>
      <c r="J4478" s="29">
        <v>1</v>
      </c>
      <c r="K4478" s="29" t="s">
        <v>687</v>
      </c>
      <c r="L4478" t="str">
        <f>IFERROR(VLOOKUP(Detalle_OC[[#This Row],[Centro]]&amp;Detalle_OC[[#This Row],[Nro Almacen]],Almacen!A:D,4,FALSE),"")</f>
        <v>Montelima</v>
      </c>
    </row>
    <row r="4479" spans="1:12" x14ac:dyDescent="0.3">
      <c r="A4479" s="29" t="str">
        <f>Detalle_OC[[#This Row],[Centro]]&amp;Detalle_OC[[#This Row],[Nom Almacen]]&amp;Detalle_OC[[#This Row],[Material]]&amp;Detalle_OC[[#This Row],[Pedido]]&amp;Detalle_OC[[#This Row],[Posicion]]</f>
        <v>Agricola del Chira PlantaMontelima83507855000191881330</v>
      </c>
      <c r="B4479" t="s">
        <v>28</v>
      </c>
      <c r="C4479" t="s">
        <v>82</v>
      </c>
      <c r="D4479" s="11">
        <v>44029</v>
      </c>
      <c r="E4479" t="s">
        <v>16</v>
      </c>
      <c r="F4479" t="s">
        <v>12</v>
      </c>
      <c r="G4479">
        <v>835078</v>
      </c>
      <c r="H4479">
        <v>5500019188</v>
      </c>
      <c r="I4479">
        <v>1330</v>
      </c>
      <c r="J4479" s="29">
        <v>1</v>
      </c>
      <c r="K4479" s="29" t="s">
        <v>687</v>
      </c>
      <c r="L4479" t="str">
        <f>IFERROR(VLOOKUP(Detalle_OC[[#This Row],[Centro]]&amp;Detalle_OC[[#This Row],[Nro Almacen]],Almacen!A:D,4,FALSE),"")</f>
        <v>Montelima</v>
      </c>
    </row>
    <row r="4480" spans="1:12" x14ac:dyDescent="0.3">
      <c r="A4480" s="29" t="str">
        <f>Detalle_OC[[#This Row],[Centro]]&amp;Detalle_OC[[#This Row],[Nom Almacen]]&amp;Detalle_OC[[#This Row],[Material]]&amp;Detalle_OC[[#This Row],[Pedido]]&amp;Detalle_OC[[#This Row],[Posicion]]</f>
        <v>Agricola del Chira PlantaMontelima7002962955000191881540</v>
      </c>
      <c r="B4480" t="s">
        <v>28</v>
      </c>
      <c r="C4480" t="s">
        <v>82</v>
      </c>
      <c r="D4480" s="11">
        <v>44029</v>
      </c>
      <c r="E4480" t="s">
        <v>16</v>
      </c>
      <c r="F4480" t="s">
        <v>12</v>
      </c>
      <c r="G4480">
        <v>70029629</v>
      </c>
      <c r="H4480">
        <v>5500019188</v>
      </c>
      <c r="I4480">
        <v>1540</v>
      </c>
      <c r="J4480" s="29">
        <v>1</v>
      </c>
      <c r="K4480" s="29" t="s">
        <v>687</v>
      </c>
      <c r="L4480" t="str">
        <f>IFERROR(VLOOKUP(Detalle_OC[[#This Row],[Centro]]&amp;Detalle_OC[[#This Row],[Nro Almacen]],Almacen!A:D,4,FALSE),"")</f>
        <v>Montelima</v>
      </c>
    </row>
    <row r="4481" spans="1:12" x14ac:dyDescent="0.3">
      <c r="A4481" s="29" t="str">
        <f>Detalle_OC[[#This Row],[Centro]]&amp;Detalle_OC[[#This Row],[Nom Almacen]]&amp;Detalle_OC[[#This Row],[Material]]&amp;Detalle_OC[[#This Row],[Pedido]]&amp;Detalle_OC[[#This Row],[Posicion]]</f>
        <v>Agricola del Chira PlantaMontelima7002961555000191881570</v>
      </c>
      <c r="B4481" t="s">
        <v>28</v>
      </c>
      <c r="C4481" t="s">
        <v>82</v>
      </c>
      <c r="D4481" s="11">
        <v>44029</v>
      </c>
      <c r="E4481" t="s">
        <v>16</v>
      </c>
      <c r="F4481" t="s">
        <v>12</v>
      </c>
      <c r="G4481">
        <v>70029615</v>
      </c>
      <c r="H4481">
        <v>5500019188</v>
      </c>
      <c r="I4481">
        <v>1570</v>
      </c>
      <c r="J4481" s="29">
        <v>1</v>
      </c>
      <c r="K4481" s="29" t="s">
        <v>687</v>
      </c>
      <c r="L4481" t="str">
        <f>IFERROR(VLOOKUP(Detalle_OC[[#This Row],[Centro]]&amp;Detalle_OC[[#This Row],[Nro Almacen]],Almacen!A:D,4,FALSE),"")</f>
        <v>Montelima</v>
      </c>
    </row>
    <row r="4482" spans="1:12" x14ac:dyDescent="0.3">
      <c r="A4482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4482" t="s">
        <v>28</v>
      </c>
      <c r="C4482" t="s">
        <v>84</v>
      </c>
      <c r="D4482" s="11">
        <v>44027</v>
      </c>
      <c r="E4482" t="s">
        <v>16</v>
      </c>
      <c r="F4482" t="s">
        <v>85</v>
      </c>
      <c r="G4482">
        <v>801846</v>
      </c>
      <c r="H4482">
        <v>5500022336</v>
      </c>
      <c r="I4482">
        <v>10</v>
      </c>
      <c r="J4482" s="29">
        <v>1</v>
      </c>
      <c r="K4482" s="29" t="s">
        <v>688</v>
      </c>
      <c r="L4482" t="str">
        <f>IFERROR(VLOOKUP(Detalle_OC[[#This Row],[Centro]]&amp;Detalle_OC[[#This Row],[Nro Almacen]],Almacen!A:D,4,FALSE),"")</f>
        <v>Montelima</v>
      </c>
    </row>
    <row r="4483" spans="1:12" x14ac:dyDescent="0.3">
      <c r="A4483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4483" t="s">
        <v>28</v>
      </c>
      <c r="C4483" t="s">
        <v>84</v>
      </c>
      <c r="D4483" s="11">
        <v>44027</v>
      </c>
      <c r="E4483" t="s">
        <v>16</v>
      </c>
      <c r="F4483" t="s">
        <v>85</v>
      </c>
      <c r="G4483">
        <v>806591</v>
      </c>
      <c r="H4483">
        <v>5500022336</v>
      </c>
      <c r="I4483">
        <v>20</v>
      </c>
      <c r="J4483" s="29">
        <v>1</v>
      </c>
      <c r="K4483" s="29" t="s">
        <v>688</v>
      </c>
      <c r="L4483" t="str">
        <f>IFERROR(VLOOKUP(Detalle_OC[[#This Row],[Centro]]&amp;Detalle_OC[[#This Row],[Nro Almacen]],Almacen!A:D,4,FALSE),"")</f>
        <v>Montelima</v>
      </c>
    </row>
    <row r="4484" spans="1:12" x14ac:dyDescent="0.3">
      <c r="A4484" s="29" t="str">
        <f>Detalle_OC[[#This Row],[Centro]]&amp;Detalle_OC[[#This Row],[Nom Almacen]]&amp;Detalle_OC[[#This Row],[Material]]&amp;Detalle_OC[[#This Row],[Pedido]]&amp;Detalle_OC[[#This Row],[Posicion]]</f>
        <v>Sucroalcolera del Chira PlantaMontelima709179550002233630</v>
      </c>
      <c r="B4484" t="s">
        <v>28</v>
      </c>
      <c r="C4484" t="s">
        <v>84</v>
      </c>
      <c r="D4484" s="11">
        <v>44027</v>
      </c>
      <c r="E4484" t="s">
        <v>16</v>
      </c>
      <c r="F4484" t="s">
        <v>85</v>
      </c>
      <c r="G4484">
        <v>709179</v>
      </c>
      <c r="H4484">
        <v>5500022336</v>
      </c>
      <c r="I4484">
        <v>30</v>
      </c>
      <c r="J4484" s="29">
        <v>1</v>
      </c>
      <c r="K4484" s="29" t="s">
        <v>688</v>
      </c>
      <c r="L4484" t="str">
        <f>IFERROR(VLOOKUP(Detalle_OC[[#This Row],[Centro]]&amp;Detalle_OC[[#This Row],[Nro Almacen]],Almacen!A:D,4,FALSE),"")</f>
        <v>Montelima</v>
      </c>
    </row>
    <row r="4485" spans="1:12" x14ac:dyDescent="0.3">
      <c r="A4485" s="29" t="str">
        <f>Detalle_OC[[#This Row],[Centro]]&amp;Detalle_OC[[#This Row],[Nom Almacen]]&amp;Detalle_OC[[#This Row],[Material]]&amp;Detalle_OC[[#This Row],[Pedido]]&amp;Detalle_OC[[#This Row],[Posicion]]</f>
        <v>Sucroalcolera del Chira PlantaMontelima708707550002233640</v>
      </c>
      <c r="B4485" t="s">
        <v>28</v>
      </c>
      <c r="C4485" t="s">
        <v>84</v>
      </c>
      <c r="D4485" s="11">
        <v>44027</v>
      </c>
      <c r="E4485" t="s">
        <v>16</v>
      </c>
      <c r="F4485" t="s">
        <v>85</v>
      </c>
      <c r="G4485">
        <v>708707</v>
      </c>
      <c r="H4485">
        <v>5500022336</v>
      </c>
      <c r="I4485">
        <v>40</v>
      </c>
      <c r="J4485" s="29">
        <v>1</v>
      </c>
      <c r="K4485" s="29" t="s">
        <v>688</v>
      </c>
      <c r="L4485" t="str">
        <f>IFERROR(VLOOKUP(Detalle_OC[[#This Row],[Centro]]&amp;Detalle_OC[[#This Row],[Nro Almacen]],Almacen!A:D,4,FALSE),"")</f>
        <v>Montelima</v>
      </c>
    </row>
    <row r="4486" spans="1:12" x14ac:dyDescent="0.3">
      <c r="A4486" s="29" t="str">
        <f>Detalle_OC[[#This Row],[Centro]]&amp;Detalle_OC[[#This Row],[Nom Almacen]]&amp;Detalle_OC[[#This Row],[Material]]&amp;Detalle_OC[[#This Row],[Pedido]]&amp;Detalle_OC[[#This Row],[Posicion]]</f>
        <v>Sucroalcolera del Chira PlantaMontelima708707550002233640</v>
      </c>
      <c r="B4486" t="s">
        <v>28</v>
      </c>
      <c r="C4486" t="s">
        <v>84</v>
      </c>
      <c r="D4486" s="11">
        <v>44027</v>
      </c>
      <c r="E4486" t="s">
        <v>16</v>
      </c>
      <c r="F4486" t="s">
        <v>85</v>
      </c>
      <c r="G4486">
        <v>708707</v>
      </c>
      <c r="H4486">
        <v>5500022336</v>
      </c>
      <c r="I4486">
        <v>40</v>
      </c>
      <c r="J4486" s="29">
        <v>1</v>
      </c>
      <c r="K4486" s="29" t="s">
        <v>688</v>
      </c>
      <c r="L4486" t="str">
        <f>IFERROR(VLOOKUP(Detalle_OC[[#This Row],[Centro]]&amp;Detalle_OC[[#This Row],[Nro Almacen]],Almacen!A:D,4,FALSE),"")</f>
        <v>Montelima</v>
      </c>
    </row>
    <row r="4487" spans="1:12" x14ac:dyDescent="0.3">
      <c r="A4487" s="29" t="str">
        <f>Detalle_OC[[#This Row],[Centro]]&amp;Detalle_OC[[#This Row],[Nom Almacen]]&amp;Detalle_OC[[#This Row],[Material]]&amp;Detalle_OC[[#This Row],[Pedido]]&amp;Detalle_OC[[#This Row],[Posicion]]</f>
        <v>Sucroalcolera del Chira PlantaMontelima813224550002233650</v>
      </c>
      <c r="B4487" t="s">
        <v>28</v>
      </c>
      <c r="C4487" t="s">
        <v>84</v>
      </c>
      <c r="D4487" s="11">
        <v>44027</v>
      </c>
      <c r="E4487" t="s">
        <v>16</v>
      </c>
      <c r="F4487" t="s">
        <v>85</v>
      </c>
      <c r="G4487">
        <v>813224</v>
      </c>
      <c r="H4487">
        <v>5500022336</v>
      </c>
      <c r="I4487">
        <v>50</v>
      </c>
      <c r="J4487" s="29">
        <v>1</v>
      </c>
      <c r="K4487" s="29" t="s">
        <v>688</v>
      </c>
      <c r="L4487" t="str">
        <f>IFERROR(VLOOKUP(Detalle_OC[[#This Row],[Centro]]&amp;Detalle_OC[[#This Row],[Nro Almacen]],Almacen!A:D,4,FALSE),"")</f>
        <v>Montelima</v>
      </c>
    </row>
    <row r="4488" spans="1:12" x14ac:dyDescent="0.3">
      <c r="A4488" s="29" t="str">
        <f>Detalle_OC[[#This Row],[Centro]]&amp;Detalle_OC[[#This Row],[Nom Almacen]]&amp;Detalle_OC[[#This Row],[Material]]&amp;Detalle_OC[[#This Row],[Pedido]]&amp;Detalle_OC[[#This Row],[Posicion]]</f>
        <v>Agricola del Chira PlantaMontelima83507355000191881320</v>
      </c>
      <c r="B4488" t="s">
        <v>28</v>
      </c>
      <c r="C4488" t="s">
        <v>82</v>
      </c>
      <c r="D4488" s="11">
        <v>44025</v>
      </c>
      <c r="E4488" t="s">
        <v>16</v>
      </c>
      <c r="F4488" t="s">
        <v>12</v>
      </c>
      <c r="G4488">
        <v>835073</v>
      </c>
      <c r="H4488">
        <v>5500019188</v>
      </c>
      <c r="I4488">
        <v>1320</v>
      </c>
      <c r="J4488" s="29">
        <v>1</v>
      </c>
      <c r="K4488" s="29" t="s">
        <v>689</v>
      </c>
      <c r="L4488" t="str">
        <f>IFERROR(VLOOKUP(Detalle_OC[[#This Row],[Centro]]&amp;Detalle_OC[[#This Row],[Nro Almacen]],Almacen!A:D,4,FALSE),"")</f>
        <v>Montelima</v>
      </c>
    </row>
    <row r="4489" spans="1:12" x14ac:dyDescent="0.3">
      <c r="A4489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4489" t="s">
        <v>28</v>
      </c>
      <c r="C4489" t="s">
        <v>84</v>
      </c>
      <c r="D4489" s="11">
        <v>44021</v>
      </c>
      <c r="E4489" t="s">
        <v>16</v>
      </c>
      <c r="F4489" t="s">
        <v>12</v>
      </c>
      <c r="G4489">
        <v>801846</v>
      </c>
      <c r="H4489">
        <v>5500022338</v>
      </c>
      <c r="I4489">
        <v>40</v>
      </c>
      <c r="J4489" s="29">
        <v>1</v>
      </c>
      <c r="K4489" s="29" t="s">
        <v>690</v>
      </c>
      <c r="L4489" t="str">
        <f>IFERROR(VLOOKUP(Detalle_OC[[#This Row],[Centro]]&amp;Detalle_OC[[#This Row],[Nro Almacen]],Almacen!A:D,4,FALSE),"")</f>
        <v>Montelima</v>
      </c>
    </row>
    <row r="4490" spans="1:12" x14ac:dyDescent="0.3">
      <c r="A4490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4490" t="s">
        <v>28</v>
      </c>
      <c r="C4490" t="s">
        <v>84</v>
      </c>
      <c r="D4490" s="11">
        <v>44014</v>
      </c>
      <c r="E4490" t="s">
        <v>16</v>
      </c>
      <c r="F4490" t="s">
        <v>85</v>
      </c>
      <c r="G4490">
        <v>801846</v>
      </c>
      <c r="H4490">
        <v>5500022336</v>
      </c>
      <c r="I4490">
        <v>10</v>
      </c>
      <c r="J4490" s="29">
        <v>1</v>
      </c>
      <c r="K4490" s="29" t="s">
        <v>691</v>
      </c>
      <c r="L4490" t="str">
        <f>IFERROR(VLOOKUP(Detalle_OC[[#This Row],[Centro]]&amp;Detalle_OC[[#This Row],[Nro Almacen]],Almacen!A:D,4,FALSE),"")</f>
        <v>Montelima</v>
      </c>
    </row>
    <row r="4491" spans="1:12" x14ac:dyDescent="0.3">
      <c r="A4491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4491" t="s">
        <v>28</v>
      </c>
      <c r="C4491" t="s">
        <v>84</v>
      </c>
      <c r="D4491" s="11">
        <v>44014</v>
      </c>
      <c r="E4491" t="s">
        <v>16</v>
      </c>
      <c r="F4491" t="s">
        <v>85</v>
      </c>
      <c r="G4491">
        <v>806591</v>
      </c>
      <c r="H4491">
        <v>5500022336</v>
      </c>
      <c r="I4491">
        <v>20</v>
      </c>
      <c r="J4491" s="29">
        <v>1</v>
      </c>
      <c r="K4491" s="29" t="s">
        <v>691</v>
      </c>
      <c r="L4491" t="str">
        <f>IFERROR(VLOOKUP(Detalle_OC[[#This Row],[Centro]]&amp;Detalle_OC[[#This Row],[Nro Almacen]],Almacen!A:D,4,FALSE),"")</f>
        <v>Montelima</v>
      </c>
    </row>
    <row r="4492" spans="1:12" x14ac:dyDescent="0.3">
      <c r="A4492" s="29" t="str">
        <f>Detalle_OC[[#This Row],[Centro]]&amp;Detalle_OC[[#This Row],[Nom Almacen]]&amp;Detalle_OC[[#This Row],[Material]]&amp;Detalle_OC[[#This Row],[Pedido]]&amp;Detalle_OC[[#This Row],[Posicion]]</f>
        <v>Sucroalcolera del Chira PlantaMontelima709179550002233630</v>
      </c>
      <c r="B4492" t="s">
        <v>28</v>
      </c>
      <c r="C4492" t="s">
        <v>84</v>
      </c>
      <c r="D4492" s="11">
        <v>44014</v>
      </c>
      <c r="E4492" t="s">
        <v>16</v>
      </c>
      <c r="F4492" t="s">
        <v>85</v>
      </c>
      <c r="G4492">
        <v>709179</v>
      </c>
      <c r="H4492">
        <v>5500022336</v>
      </c>
      <c r="I4492">
        <v>30</v>
      </c>
      <c r="J4492" s="29">
        <v>1</v>
      </c>
      <c r="K4492" s="29" t="s">
        <v>691</v>
      </c>
      <c r="L4492" t="str">
        <f>IFERROR(VLOOKUP(Detalle_OC[[#This Row],[Centro]]&amp;Detalle_OC[[#This Row],[Nro Almacen]],Almacen!A:D,4,FALSE),"")</f>
        <v>Montelima</v>
      </c>
    </row>
    <row r="4493" spans="1:12" x14ac:dyDescent="0.3">
      <c r="A4493" s="29" t="str">
        <f>Detalle_OC[[#This Row],[Centro]]&amp;Detalle_OC[[#This Row],[Nom Almacen]]&amp;Detalle_OC[[#This Row],[Material]]&amp;Detalle_OC[[#This Row],[Pedido]]&amp;Detalle_OC[[#This Row],[Posicion]]</f>
        <v>Sucroalcolera del Chira PlantaMontelima708707550002233640</v>
      </c>
      <c r="B4493" t="s">
        <v>28</v>
      </c>
      <c r="C4493" t="s">
        <v>84</v>
      </c>
      <c r="D4493" s="11">
        <v>44014</v>
      </c>
      <c r="E4493" t="s">
        <v>16</v>
      </c>
      <c r="F4493" t="s">
        <v>85</v>
      </c>
      <c r="G4493">
        <v>708707</v>
      </c>
      <c r="H4493">
        <v>5500022336</v>
      </c>
      <c r="I4493">
        <v>40</v>
      </c>
      <c r="J4493" s="29">
        <v>1</v>
      </c>
      <c r="K4493" s="29" t="s">
        <v>691</v>
      </c>
      <c r="L4493" t="str">
        <f>IFERROR(VLOOKUP(Detalle_OC[[#This Row],[Centro]]&amp;Detalle_OC[[#This Row],[Nro Almacen]],Almacen!A:D,4,FALSE),"")</f>
        <v>Montelima</v>
      </c>
    </row>
    <row r="4494" spans="1:12" x14ac:dyDescent="0.3">
      <c r="A4494" s="29" t="str">
        <f>Detalle_OC[[#This Row],[Centro]]&amp;Detalle_OC[[#This Row],[Nom Almacen]]&amp;Detalle_OC[[#This Row],[Material]]&amp;Detalle_OC[[#This Row],[Pedido]]&amp;Detalle_OC[[#This Row],[Posicion]]</f>
        <v>Agricola del Chira PlantaMontelima709179550002233820</v>
      </c>
      <c r="B4494" t="s">
        <v>28</v>
      </c>
      <c r="C4494" t="s">
        <v>84</v>
      </c>
      <c r="D4494" s="11">
        <v>44014</v>
      </c>
      <c r="E4494" t="s">
        <v>16</v>
      </c>
      <c r="F4494" t="s">
        <v>12</v>
      </c>
      <c r="G4494">
        <v>709179</v>
      </c>
      <c r="H4494">
        <v>5500022338</v>
      </c>
      <c r="I4494">
        <v>20</v>
      </c>
      <c r="J4494" s="29">
        <v>1</v>
      </c>
      <c r="K4494" s="29" t="s">
        <v>691</v>
      </c>
      <c r="L4494" t="str">
        <f>IFERROR(VLOOKUP(Detalle_OC[[#This Row],[Centro]]&amp;Detalle_OC[[#This Row],[Nro Almacen]],Almacen!A:D,4,FALSE),"")</f>
        <v>Montelima</v>
      </c>
    </row>
    <row r="4495" spans="1:12" x14ac:dyDescent="0.3">
      <c r="A4495" s="29" t="str">
        <f>Detalle_OC[[#This Row],[Centro]]&amp;Detalle_OC[[#This Row],[Nom Almacen]]&amp;Detalle_OC[[#This Row],[Material]]&amp;Detalle_OC[[#This Row],[Pedido]]&amp;Detalle_OC[[#This Row],[Posicion]]</f>
        <v>Agricola del Chira PlantaMontelima808069550002233830</v>
      </c>
      <c r="B4495" t="s">
        <v>28</v>
      </c>
      <c r="C4495" t="s">
        <v>84</v>
      </c>
      <c r="D4495" s="11">
        <v>44014</v>
      </c>
      <c r="E4495" t="s">
        <v>16</v>
      </c>
      <c r="F4495" t="s">
        <v>12</v>
      </c>
      <c r="G4495">
        <v>808069</v>
      </c>
      <c r="H4495">
        <v>5500022338</v>
      </c>
      <c r="I4495">
        <v>30</v>
      </c>
      <c r="J4495" s="29">
        <v>1</v>
      </c>
      <c r="K4495" s="29" t="s">
        <v>691</v>
      </c>
      <c r="L4495" t="str">
        <f>IFERROR(VLOOKUP(Detalle_OC[[#This Row],[Centro]]&amp;Detalle_OC[[#This Row],[Nro Almacen]],Almacen!A:D,4,FALSE),"")</f>
        <v>Montelima</v>
      </c>
    </row>
    <row r="4496" spans="1:12" x14ac:dyDescent="0.3">
      <c r="A4496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4496" t="s">
        <v>28</v>
      </c>
      <c r="C4496" t="s">
        <v>84</v>
      </c>
      <c r="D4496" s="11">
        <v>44014</v>
      </c>
      <c r="E4496" t="s">
        <v>16</v>
      </c>
      <c r="F4496" t="s">
        <v>12</v>
      </c>
      <c r="G4496">
        <v>801846</v>
      </c>
      <c r="H4496">
        <v>5500022338</v>
      </c>
      <c r="I4496">
        <v>40</v>
      </c>
      <c r="J4496" s="29">
        <v>1</v>
      </c>
      <c r="K4496" s="29" t="s">
        <v>691</v>
      </c>
      <c r="L4496" t="str">
        <f>IFERROR(VLOOKUP(Detalle_OC[[#This Row],[Centro]]&amp;Detalle_OC[[#This Row],[Nro Almacen]],Almacen!A:D,4,FALSE),"")</f>
        <v>Montelima</v>
      </c>
    </row>
    <row r="4497" spans="1:12" x14ac:dyDescent="0.3">
      <c r="A4497" s="29" t="str">
        <f>Detalle_OC[[#This Row],[Centro]]&amp;Detalle_OC[[#This Row],[Nom Almacen]]&amp;Detalle_OC[[#This Row],[Material]]&amp;Detalle_OC[[#This Row],[Pedido]]&amp;Detalle_OC[[#This Row],[Posicion]]</f>
        <v>Agricola del Chira PlantaMontelima708707550002233850</v>
      </c>
      <c r="B4497" t="s">
        <v>28</v>
      </c>
      <c r="C4497" t="s">
        <v>84</v>
      </c>
      <c r="D4497" s="11">
        <v>44014</v>
      </c>
      <c r="E4497" t="s">
        <v>16</v>
      </c>
      <c r="F4497" t="s">
        <v>12</v>
      </c>
      <c r="G4497">
        <v>708707</v>
      </c>
      <c r="H4497">
        <v>5500022338</v>
      </c>
      <c r="I4497">
        <v>50</v>
      </c>
      <c r="J4497" s="29">
        <v>1</v>
      </c>
      <c r="K4497" s="29" t="s">
        <v>691</v>
      </c>
      <c r="L4497" t="str">
        <f>IFERROR(VLOOKUP(Detalle_OC[[#This Row],[Centro]]&amp;Detalle_OC[[#This Row],[Nro Almacen]],Almacen!A:D,4,FALSE),"")</f>
        <v>Montelima</v>
      </c>
    </row>
    <row r="4498" spans="1:12" x14ac:dyDescent="0.3">
      <c r="A4498" s="29" t="str">
        <f>Detalle_OC[[#This Row],[Centro]]&amp;Detalle_OC[[#This Row],[Nom Almacen]]&amp;Detalle_OC[[#This Row],[Material]]&amp;Detalle_OC[[#This Row],[Pedido]]&amp;Detalle_OC[[#This Row],[Posicion]]</f>
        <v>Agricola del Chira PlantaMontelima801846550002233840</v>
      </c>
      <c r="B4498" t="s">
        <v>28</v>
      </c>
      <c r="C4498" t="s">
        <v>84</v>
      </c>
      <c r="D4498" s="11">
        <v>44007</v>
      </c>
      <c r="E4498" t="s">
        <v>16</v>
      </c>
      <c r="F4498" t="s">
        <v>12</v>
      </c>
      <c r="G4498">
        <v>801846</v>
      </c>
      <c r="H4498">
        <v>5500022338</v>
      </c>
      <c r="I4498">
        <v>40</v>
      </c>
      <c r="J4498" s="29">
        <v>1</v>
      </c>
      <c r="K4498" s="29" t="s">
        <v>692</v>
      </c>
      <c r="L4498" t="str">
        <f>IFERROR(VLOOKUP(Detalle_OC[[#This Row],[Centro]]&amp;Detalle_OC[[#This Row],[Nro Almacen]],Almacen!A:D,4,FALSE),"")</f>
        <v>Montelima</v>
      </c>
    </row>
    <row r="4499" spans="1:12" x14ac:dyDescent="0.3">
      <c r="A4499" s="29" t="str">
        <f>Detalle_OC[[#This Row],[Centro]]&amp;Detalle_OC[[#This Row],[Nom Almacen]]&amp;Detalle_OC[[#This Row],[Material]]&amp;Detalle_OC[[#This Row],[Pedido]]&amp;Detalle_OC[[#This Row],[Posicion]]</f>
        <v>Agricola del Chira PlantaMontelima8445095500019188260</v>
      </c>
      <c r="B4499" t="s">
        <v>28</v>
      </c>
      <c r="C4499" t="s">
        <v>82</v>
      </c>
      <c r="D4499" s="11">
        <v>44000</v>
      </c>
      <c r="E4499" t="s">
        <v>16</v>
      </c>
      <c r="F4499" t="s">
        <v>12</v>
      </c>
      <c r="G4499">
        <v>844509</v>
      </c>
      <c r="H4499">
        <v>5500019188</v>
      </c>
      <c r="I4499">
        <v>260</v>
      </c>
      <c r="J4499" s="29">
        <v>1</v>
      </c>
      <c r="K4499" s="29" t="s">
        <v>693</v>
      </c>
      <c r="L4499" t="str">
        <f>IFERROR(VLOOKUP(Detalle_OC[[#This Row],[Centro]]&amp;Detalle_OC[[#This Row],[Nro Almacen]],Almacen!A:D,4,FALSE),"")</f>
        <v>Montelima</v>
      </c>
    </row>
    <row r="4500" spans="1:12" x14ac:dyDescent="0.3">
      <c r="A4500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4500" t="s">
        <v>28</v>
      </c>
      <c r="C4500" t="s">
        <v>82</v>
      </c>
      <c r="D4500" s="11">
        <v>43999</v>
      </c>
      <c r="E4500" t="s">
        <v>16</v>
      </c>
      <c r="F4500" t="s">
        <v>12</v>
      </c>
      <c r="G4500">
        <v>844516</v>
      </c>
      <c r="H4500">
        <v>5500019188</v>
      </c>
      <c r="I4500">
        <v>190</v>
      </c>
      <c r="J4500" s="29">
        <v>1</v>
      </c>
      <c r="K4500" s="29" t="s">
        <v>694</v>
      </c>
      <c r="L4500" t="str">
        <f>IFERROR(VLOOKUP(Detalle_OC[[#This Row],[Centro]]&amp;Detalle_OC[[#This Row],[Nro Almacen]],Almacen!A:D,4,FALSE),"")</f>
        <v>Montelima</v>
      </c>
    </row>
    <row r="4501" spans="1:12" x14ac:dyDescent="0.3">
      <c r="A4501" s="29" t="str">
        <f>Detalle_OC[[#This Row],[Centro]]&amp;Detalle_OC[[#This Row],[Nom Almacen]]&amp;Detalle_OC[[#This Row],[Material]]&amp;Detalle_OC[[#This Row],[Pedido]]&amp;Detalle_OC[[#This Row],[Posicion]]</f>
        <v>Agricola del Chira PlantaMontelima8445305500019188490</v>
      </c>
      <c r="B4501" t="s">
        <v>28</v>
      </c>
      <c r="C4501" t="s">
        <v>82</v>
      </c>
      <c r="D4501" s="11">
        <v>43998</v>
      </c>
      <c r="E4501" t="s">
        <v>16</v>
      </c>
      <c r="F4501" t="s">
        <v>12</v>
      </c>
      <c r="G4501">
        <v>844530</v>
      </c>
      <c r="H4501">
        <v>5500019188</v>
      </c>
      <c r="I4501">
        <v>490</v>
      </c>
      <c r="J4501" s="29">
        <v>1</v>
      </c>
      <c r="K4501" s="29" t="s">
        <v>694</v>
      </c>
      <c r="L4501" t="str">
        <f>IFERROR(VLOOKUP(Detalle_OC[[#This Row],[Centro]]&amp;Detalle_OC[[#This Row],[Nro Almacen]],Almacen!A:D,4,FALSE),"")</f>
        <v>Montelima</v>
      </c>
    </row>
    <row r="4502" spans="1:12" x14ac:dyDescent="0.3">
      <c r="A4502" s="29" t="str">
        <f>Detalle_OC[[#This Row],[Centro]]&amp;Detalle_OC[[#This Row],[Nom Almacen]]&amp;Detalle_OC[[#This Row],[Material]]&amp;Detalle_OC[[#This Row],[Pedido]]&amp;Detalle_OC[[#This Row],[Posicion]]</f>
        <v>Agricola del Chira PlantaMontelima82638555000191881100</v>
      </c>
      <c r="B4502" t="s">
        <v>28</v>
      </c>
      <c r="C4502" t="s">
        <v>82</v>
      </c>
      <c r="D4502" s="11">
        <v>43998</v>
      </c>
      <c r="E4502" t="s">
        <v>16</v>
      </c>
      <c r="F4502" t="s">
        <v>12</v>
      </c>
      <c r="G4502">
        <v>826385</v>
      </c>
      <c r="H4502">
        <v>5500019188</v>
      </c>
      <c r="I4502">
        <v>1100</v>
      </c>
      <c r="J4502" s="29">
        <v>1</v>
      </c>
      <c r="K4502" s="29" t="s">
        <v>694</v>
      </c>
      <c r="L4502" t="str">
        <f>IFERROR(VLOOKUP(Detalle_OC[[#This Row],[Centro]]&amp;Detalle_OC[[#This Row],[Nro Almacen]],Almacen!A:D,4,FALSE),"")</f>
        <v>Montelima</v>
      </c>
    </row>
    <row r="4503" spans="1:12" x14ac:dyDescent="0.3">
      <c r="A4503" s="29" t="str">
        <f>Detalle_OC[[#This Row],[Centro]]&amp;Detalle_OC[[#This Row],[Nom Almacen]]&amp;Detalle_OC[[#This Row],[Material]]&amp;Detalle_OC[[#This Row],[Pedido]]&amp;Detalle_OC[[#This Row],[Posicion]]</f>
        <v>Agricola del Chira PlantaMontelima7002962955000191881540</v>
      </c>
      <c r="B4503" t="s">
        <v>28</v>
      </c>
      <c r="C4503" t="s">
        <v>82</v>
      </c>
      <c r="D4503" s="11">
        <v>43999</v>
      </c>
      <c r="E4503" t="s">
        <v>16</v>
      </c>
      <c r="F4503" t="s">
        <v>12</v>
      </c>
      <c r="G4503">
        <v>70029629</v>
      </c>
      <c r="H4503">
        <v>5500019188</v>
      </c>
      <c r="I4503">
        <v>1540</v>
      </c>
      <c r="J4503" s="29">
        <v>1</v>
      </c>
      <c r="K4503" s="29" t="s">
        <v>694</v>
      </c>
      <c r="L4503" t="str">
        <f>IFERROR(VLOOKUP(Detalle_OC[[#This Row],[Centro]]&amp;Detalle_OC[[#This Row],[Nro Almacen]],Almacen!A:D,4,FALSE),"")</f>
        <v>Montelima</v>
      </c>
    </row>
    <row r="4504" spans="1:12" x14ac:dyDescent="0.3">
      <c r="A4504" s="29" t="str">
        <f>Detalle_OC[[#This Row],[Centro]]&amp;Detalle_OC[[#This Row],[Nom Almacen]]&amp;Detalle_OC[[#This Row],[Material]]&amp;Detalle_OC[[#This Row],[Pedido]]&amp;Detalle_OC[[#This Row],[Posicion]]</f>
        <v>Agricola del Chira PlantaMontelima7002961655000191881580</v>
      </c>
      <c r="B4504" t="s">
        <v>28</v>
      </c>
      <c r="C4504" t="s">
        <v>82</v>
      </c>
      <c r="D4504" s="11">
        <v>43998</v>
      </c>
      <c r="E4504" t="s">
        <v>16</v>
      </c>
      <c r="F4504" t="s">
        <v>12</v>
      </c>
      <c r="G4504">
        <v>70029616</v>
      </c>
      <c r="H4504">
        <v>5500019188</v>
      </c>
      <c r="I4504">
        <v>1580</v>
      </c>
      <c r="J4504" s="29">
        <v>1</v>
      </c>
      <c r="K4504" s="29" t="s">
        <v>694</v>
      </c>
      <c r="L4504" t="str">
        <f>IFERROR(VLOOKUP(Detalle_OC[[#This Row],[Centro]]&amp;Detalle_OC[[#This Row],[Nro Almacen]],Almacen!A:D,4,FALSE),"")</f>
        <v>Montelima</v>
      </c>
    </row>
    <row r="4505" spans="1:12" x14ac:dyDescent="0.3">
      <c r="A4505" s="29" t="str">
        <f>Detalle_OC[[#This Row],[Centro]]&amp;Detalle_OC[[#This Row],[Nom Almacen]]&amp;Detalle_OC[[#This Row],[Material]]&amp;Detalle_OC[[#This Row],[Pedido]]&amp;Detalle_OC[[#This Row],[Posicion]]</f>
        <v>Agricola del Chira PlantaMontelima8506365500019188510</v>
      </c>
      <c r="B4505" t="s">
        <v>28</v>
      </c>
      <c r="C4505" t="s">
        <v>82</v>
      </c>
      <c r="D4505" s="11">
        <v>43992</v>
      </c>
      <c r="E4505" t="s">
        <v>16</v>
      </c>
      <c r="F4505" t="s">
        <v>12</v>
      </c>
      <c r="G4505">
        <v>850636</v>
      </c>
      <c r="H4505">
        <v>5500019188</v>
      </c>
      <c r="I4505">
        <v>510</v>
      </c>
      <c r="J4505" s="29">
        <v>1</v>
      </c>
      <c r="K4505" s="29" t="s">
        <v>695</v>
      </c>
      <c r="L4505" t="str">
        <f>IFERROR(VLOOKUP(Detalle_OC[[#This Row],[Centro]]&amp;Detalle_OC[[#This Row],[Nro Almacen]],Almacen!A:D,4,FALSE),"")</f>
        <v>Montelima</v>
      </c>
    </row>
    <row r="4506" spans="1:12" x14ac:dyDescent="0.3">
      <c r="A4506" s="29" t="str">
        <f>Detalle_OC[[#This Row],[Centro]]&amp;Detalle_OC[[#This Row],[Nom Almacen]]&amp;Detalle_OC[[#This Row],[Material]]&amp;Detalle_OC[[#This Row],[Pedido]]&amp;Detalle_OC[[#This Row],[Posicion]]</f>
        <v>Agricola del Chira PlantaMontelima82638355000191881150</v>
      </c>
      <c r="B4506" t="s">
        <v>28</v>
      </c>
      <c r="C4506" t="s">
        <v>82</v>
      </c>
      <c r="D4506" s="11">
        <v>43992</v>
      </c>
      <c r="E4506" t="s">
        <v>16</v>
      </c>
      <c r="F4506" t="s">
        <v>12</v>
      </c>
      <c r="G4506">
        <v>826383</v>
      </c>
      <c r="H4506">
        <v>5500019188</v>
      </c>
      <c r="I4506">
        <v>1150</v>
      </c>
      <c r="J4506" s="29">
        <v>1</v>
      </c>
      <c r="K4506" s="29" t="s">
        <v>695</v>
      </c>
      <c r="L4506" t="str">
        <f>IFERROR(VLOOKUP(Detalle_OC[[#This Row],[Centro]]&amp;Detalle_OC[[#This Row],[Nro Almacen]],Almacen!A:D,4,FALSE),"")</f>
        <v>Montelima</v>
      </c>
    </row>
    <row r="4507" spans="1:12" x14ac:dyDescent="0.3">
      <c r="A4507" s="29" t="str">
        <f>Detalle_OC[[#This Row],[Centro]]&amp;Detalle_OC[[#This Row],[Nom Almacen]]&amp;Detalle_OC[[#This Row],[Material]]&amp;Detalle_OC[[#This Row],[Pedido]]&amp;Detalle_OC[[#This Row],[Posicion]]</f>
        <v>Agricola del Chira PlantaMontelima7004178255000191882250</v>
      </c>
      <c r="B4507" t="s">
        <v>28</v>
      </c>
      <c r="C4507" t="s">
        <v>82</v>
      </c>
      <c r="D4507" s="11">
        <v>43988</v>
      </c>
      <c r="E4507" t="s">
        <v>16</v>
      </c>
      <c r="F4507" t="s">
        <v>12</v>
      </c>
      <c r="G4507">
        <v>70041782</v>
      </c>
      <c r="H4507">
        <v>5500019188</v>
      </c>
      <c r="I4507">
        <v>2250</v>
      </c>
      <c r="J4507" s="29">
        <v>1</v>
      </c>
      <c r="K4507" s="29" t="s">
        <v>696</v>
      </c>
      <c r="L4507" t="str">
        <f>IFERROR(VLOOKUP(Detalle_OC[[#This Row],[Centro]]&amp;Detalle_OC[[#This Row],[Nro Almacen]],Almacen!A:D,4,FALSE),"")</f>
        <v>Montelima</v>
      </c>
    </row>
    <row r="4508" spans="1:12" x14ac:dyDescent="0.3">
      <c r="A4508" s="29" t="str">
        <f>Detalle_OC[[#This Row],[Centro]]&amp;Detalle_OC[[#This Row],[Nom Almacen]]&amp;Detalle_OC[[#This Row],[Material]]&amp;Detalle_OC[[#This Row],[Pedido]]&amp;Detalle_OC[[#This Row],[Posicion]]</f>
        <v>Agricola del Chira PlantaMontelima7004178355000191882260</v>
      </c>
      <c r="B4508" t="s">
        <v>28</v>
      </c>
      <c r="C4508" t="s">
        <v>82</v>
      </c>
      <c r="D4508" s="11">
        <v>43988</v>
      </c>
      <c r="E4508" t="s">
        <v>16</v>
      </c>
      <c r="F4508" t="s">
        <v>12</v>
      </c>
      <c r="G4508">
        <v>70041783</v>
      </c>
      <c r="H4508">
        <v>5500019188</v>
      </c>
      <c r="I4508">
        <v>2260</v>
      </c>
      <c r="J4508" s="29">
        <v>1</v>
      </c>
      <c r="K4508" s="29" t="s">
        <v>696</v>
      </c>
      <c r="L4508" t="str">
        <f>IFERROR(VLOOKUP(Detalle_OC[[#This Row],[Centro]]&amp;Detalle_OC[[#This Row],[Nro Almacen]],Almacen!A:D,4,FALSE),"")</f>
        <v>Montelima</v>
      </c>
    </row>
    <row r="4509" spans="1:12" x14ac:dyDescent="0.3">
      <c r="A4509" s="29" t="str">
        <f>Detalle_OC[[#This Row],[Centro]]&amp;Detalle_OC[[#This Row],[Nom Almacen]]&amp;Detalle_OC[[#This Row],[Material]]&amp;Detalle_OC[[#This Row],[Pedido]]&amp;Detalle_OC[[#This Row],[Posicion]]</f>
        <v>Sucroalcolera del Chira PlantaMontelima801846550002233610</v>
      </c>
      <c r="B4509" t="s">
        <v>28</v>
      </c>
      <c r="C4509" t="s">
        <v>84</v>
      </c>
      <c r="D4509" s="11">
        <v>43986</v>
      </c>
      <c r="E4509" t="s">
        <v>16</v>
      </c>
      <c r="F4509" t="s">
        <v>85</v>
      </c>
      <c r="G4509">
        <v>801846</v>
      </c>
      <c r="H4509">
        <v>5500022336</v>
      </c>
      <c r="I4509">
        <v>10</v>
      </c>
      <c r="J4509" s="29">
        <v>1</v>
      </c>
      <c r="K4509" s="29" t="s">
        <v>697</v>
      </c>
      <c r="L4509" t="str">
        <f>IFERROR(VLOOKUP(Detalle_OC[[#This Row],[Centro]]&amp;Detalle_OC[[#This Row],[Nro Almacen]],Almacen!A:D,4,FALSE),"")</f>
        <v>Montelima</v>
      </c>
    </row>
    <row r="4510" spans="1:12" x14ac:dyDescent="0.3">
      <c r="A4510" s="29" t="str">
        <f>Detalle_OC[[#This Row],[Centro]]&amp;Detalle_OC[[#This Row],[Nom Almacen]]&amp;Detalle_OC[[#This Row],[Material]]&amp;Detalle_OC[[#This Row],[Pedido]]&amp;Detalle_OC[[#This Row],[Posicion]]</f>
        <v>Sucroalcolera del Chira PlantaMontelima806591550002233620</v>
      </c>
      <c r="B4510" t="s">
        <v>28</v>
      </c>
      <c r="C4510" t="s">
        <v>84</v>
      </c>
      <c r="D4510" s="11">
        <v>43986</v>
      </c>
      <c r="E4510" t="s">
        <v>16</v>
      </c>
      <c r="F4510" t="s">
        <v>85</v>
      </c>
      <c r="G4510">
        <v>806591</v>
      </c>
      <c r="H4510">
        <v>5500022336</v>
      </c>
      <c r="I4510">
        <v>20</v>
      </c>
      <c r="J4510" s="29">
        <v>1</v>
      </c>
      <c r="K4510" s="29" t="s">
        <v>697</v>
      </c>
      <c r="L4510" t="str">
        <f>IFERROR(VLOOKUP(Detalle_OC[[#This Row],[Centro]]&amp;Detalle_OC[[#This Row],[Nro Almacen]],Almacen!A:D,4,FALSE),"")</f>
        <v>Montelima</v>
      </c>
    </row>
    <row r="4511" spans="1:12" x14ac:dyDescent="0.3">
      <c r="A4511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4511" t="s">
        <v>28</v>
      </c>
      <c r="C4511" t="s">
        <v>82</v>
      </c>
      <c r="D4511" s="11">
        <v>43978</v>
      </c>
      <c r="E4511" t="s">
        <v>16</v>
      </c>
      <c r="F4511" t="s">
        <v>12</v>
      </c>
      <c r="G4511">
        <v>844523</v>
      </c>
      <c r="H4511">
        <v>5500019188</v>
      </c>
      <c r="I4511">
        <v>140</v>
      </c>
      <c r="J4511" s="29">
        <v>1</v>
      </c>
      <c r="K4511" s="29" t="s">
        <v>698</v>
      </c>
      <c r="L4511" t="str">
        <f>IFERROR(VLOOKUP(Detalle_OC[[#This Row],[Centro]]&amp;Detalle_OC[[#This Row],[Nro Almacen]],Almacen!A:D,4,FALSE),"")</f>
        <v>Montelima</v>
      </c>
    </row>
    <row r="4512" spans="1:12" x14ac:dyDescent="0.3">
      <c r="A4512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4512" t="s">
        <v>28</v>
      </c>
      <c r="C4512" t="s">
        <v>82</v>
      </c>
      <c r="D4512" s="11">
        <v>43978</v>
      </c>
      <c r="E4512" t="s">
        <v>16</v>
      </c>
      <c r="F4512" t="s">
        <v>12</v>
      </c>
      <c r="G4512">
        <v>844508</v>
      </c>
      <c r="H4512">
        <v>5500019188</v>
      </c>
      <c r="I4512">
        <v>220</v>
      </c>
      <c r="J4512" s="29">
        <v>1</v>
      </c>
      <c r="K4512" s="29" t="s">
        <v>698</v>
      </c>
      <c r="L4512" t="str">
        <f>IFERROR(VLOOKUP(Detalle_OC[[#This Row],[Centro]]&amp;Detalle_OC[[#This Row],[Nro Almacen]],Almacen!A:D,4,FALSE),"")</f>
        <v>Montelima</v>
      </c>
    </row>
    <row r="4513" spans="1:12" x14ac:dyDescent="0.3">
      <c r="A4513" s="29" t="str">
        <f>Detalle_OC[[#This Row],[Centro]]&amp;Detalle_OC[[#This Row],[Nom Almacen]]&amp;Detalle_OC[[#This Row],[Material]]&amp;Detalle_OC[[#This Row],[Pedido]]&amp;Detalle_OC[[#This Row],[Posicion]]</f>
        <v>Agricola del Chira PlantaMontelima8445095500019188260</v>
      </c>
      <c r="B4513" t="s">
        <v>28</v>
      </c>
      <c r="C4513" t="s">
        <v>82</v>
      </c>
      <c r="D4513" s="11">
        <v>43978</v>
      </c>
      <c r="E4513" t="s">
        <v>16</v>
      </c>
      <c r="F4513" t="s">
        <v>12</v>
      </c>
      <c r="G4513">
        <v>844509</v>
      </c>
      <c r="H4513">
        <v>5500019188</v>
      </c>
      <c r="I4513">
        <v>260</v>
      </c>
      <c r="J4513" s="29">
        <v>1</v>
      </c>
      <c r="K4513" s="29" t="s">
        <v>698</v>
      </c>
      <c r="L4513" t="str">
        <f>IFERROR(VLOOKUP(Detalle_OC[[#This Row],[Centro]]&amp;Detalle_OC[[#This Row],[Nro Almacen]],Almacen!A:D,4,FALSE),"")</f>
        <v>Montelima</v>
      </c>
    </row>
    <row r="4514" spans="1:12" x14ac:dyDescent="0.3">
      <c r="A4514" s="29" t="str">
        <f>Detalle_OC[[#This Row],[Centro]]&amp;Detalle_OC[[#This Row],[Nom Almacen]]&amp;Detalle_OC[[#This Row],[Material]]&amp;Detalle_OC[[#This Row],[Pedido]]&amp;Detalle_OC[[#This Row],[Posicion]]</f>
        <v>Agricola del Chira PlantaMontelima8445215500019188410</v>
      </c>
      <c r="B4514" t="s">
        <v>28</v>
      </c>
      <c r="C4514" t="s">
        <v>82</v>
      </c>
      <c r="D4514" s="11">
        <v>43978</v>
      </c>
      <c r="E4514" t="s">
        <v>16</v>
      </c>
      <c r="F4514" t="s">
        <v>12</v>
      </c>
      <c r="G4514">
        <v>844521</v>
      </c>
      <c r="H4514">
        <v>5500019188</v>
      </c>
      <c r="I4514">
        <v>410</v>
      </c>
      <c r="J4514" s="29">
        <v>1</v>
      </c>
      <c r="K4514" s="29" t="s">
        <v>698</v>
      </c>
      <c r="L4514" t="str">
        <f>IFERROR(VLOOKUP(Detalle_OC[[#This Row],[Centro]]&amp;Detalle_OC[[#This Row],[Nro Almacen]],Almacen!A:D,4,FALSE),"")</f>
        <v>Montelima</v>
      </c>
    </row>
    <row r="4515" spans="1:12" x14ac:dyDescent="0.3">
      <c r="A4515" s="29" t="str">
        <f>Detalle_OC[[#This Row],[Centro]]&amp;Detalle_OC[[#This Row],[Nom Almacen]]&amp;Detalle_OC[[#This Row],[Material]]&amp;Detalle_OC[[#This Row],[Pedido]]&amp;Detalle_OC[[#This Row],[Posicion]]</f>
        <v>Agricola del Chira PlantaMontelima8445115500019188180</v>
      </c>
      <c r="B4515" t="s">
        <v>28</v>
      </c>
      <c r="C4515" t="s">
        <v>82</v>
      </c>
      <c r="D4515" s="11">
        <v>43966</v>
      </c>
      <c r="E4515" t="s">
        <v>16</v>
      </c>
      <c r="F4515" t="s">
        <v>12</v>
      </c>
      <c r="G4515">
        <v>844511</v>
      </c>
      <c r="H4515">
        <v>5500019188</v>
      </c>
      <c r="I4515">
        <v>180</v>
      </c>
      <c r="J4515" s="29">
        <v>1</v>
      </c>
      <c r="K4515" s="29" t="s">
        <v>699</v>
      </c>
      <c r="L4515" t="str">
        <f>IFERROR(VLOOKUP(Detalle_OC[[#This Row],[Centro]]&amp;Detalle_OC[[#This Row],[Nro Almacen]],Almacen!A:D,4,FALSE),"")</f>
        <v>Montelima</v>
      </c>
    </row>
    <row r="4516" spans="1:12" x14ac:dyDescent="0.3">
      <c r="A4516" s="29" t="str">
        <f>Detalle_OC[[#This Row],[Centro]]&amp;Detalle_OC[[#This Row],[Nom Almacen]]&amp;Detalle_OC[[#This Row],[Material]]&amp;Detalle_OC[[#This Row],[Pedido]]&amp;Detalle_OC[[#This Row],[Posicion]]</f>
        <v>Agricola del Chira PlantaMontelima8445115500019188180</v>
      </c>
      <c r="B4516" t="s">
        <v>28</v>
      </c>
      <c r="C4516" t="s">
        <v>82</v>
      </c>
      <c r="D4516" s="11">
        <v>43966</v>
      </c>
      <c r="E4516" t="s">
        <v>16</v>
      </c>
      <c r="F4516" t="s">
        <v>12</v>
      </c>
      <c r="G4516">
        <v>844511</v>
      </c>
      <c r="H4516">
        <v>5500019188</v>
      </c>
      <c r="I4516">
        <v>180</v>
      </c>
      <c r="J4516" s="29">
        <v>1</v>
      </c>
      <c r="K4516" s="29" t="s">
        <v>699</v>
      </c>
      <c r="L4516" t="str">
        <f>IFERROR(VLOOKUP(Detalle_OC[[#This Row],[Centro]]&amp;Detalle_OC[[#This Row],[Nro Almacen]],Almacen!A:D,4,FALSE),"")</f>
        <v>Montelima</v>
      </c>
    </row>
    <row r="4517" spans="1:12" x14ac:dyDescent="0.3">
      <c r="A4517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4517" t="s">
        <v>28</v>
      </c>
      <c r="C4517" t="s">
        <v>82</v>
      </c>
      <c r="D4517" s="11">
        <v>43966</v>
      </c>
      <c r="E4517" t="s">
        <v>16</v>
      </c>
      <c r="F4517" t="s">
        <v>12</v>
      </c>
      <c r="G4517">
        <v>844515</v>
      </c>
      <c r="H4517">
        <v>5500019188</v>
      </c>
      <c r="I4517">
        <v>200</v>
      </c>
      <c r="J4517" s="29">
        <v>1</v>
      </c>
      <c r="K4517" s="29" t="s">
        <v>699</v>
      </c>
      <c r="L4517" t="str">
        <f>IFERROR(VLOOKUP(Detalle_OC[[#This Row],[Centro]]&amp;Detalle_OC[[#This Row],[Nro Almacen]],Almacen!A:D,4,FALSE),"")</f>
        <v>Montelima</v>
      </c>
    </row>
    <row r="4518" spans="1:12" x14ac:dyDescent="0.3">
      <c r="A4518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4518" t="s">
        <v>28</v>
      </c>
      <c r="C4518" t="s">
        <v>82</v>
      </c>
      <c r="D4518" s="11">
        <v>43966</v>
      </c>
      <c r="E4518" t="s">
        <v>16</v>
      </c>
      <c r="F4518" t="s">
        <v>12</v>
      </c>
      <c r="G4518">
        <v>844515</v>
      </c>
      <c r="H4518">
        <v>5500019188</v>
      </c>
      <c r="I4518">
        <v>200</v>
      </c>
      <c r="J4518" s="29">
        <v>1</v>
      </c>
      <c r="K4518" s="29" t="s">
        <v>699</v>
      </c>
      <c r="L4518" t="str">
        <f>IFERROR(VLOOKUP(Detalle_OC[[#This Row],[Centro]]&amp;Detalle_OC[[#This Row],[Nro Almacen]],Almacen!A:D,4,FALSE),"")</f>
        <v>Montelima</v>
      </c>
    </row>
    <row r="4519" spans="1:12" x14ac:dyDescent="0.3">
      <c r="A4519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4519" t="s">
        <v>28</v>
      </c>
      <c r="C4519" t="s">
        <v>82</v>
      </c>
      <c r="D4519" s="11">
        <v>43966</v>
      </c>
      <c r="E4519" t="s">
        <v>16</v>
      </c>
      <c r="F4519" t="s">
        <v>12</v>
      </c>
      <c r="G4519">
        <v>844508</v>
      </c>
      <c r="H4519">
        <v>5500019188</v>
      </c>
      <c r="I4519">
        <v>220</v>
      </c>
      <c r="J4519" s="29">
        <v>1</v>
      </c>
      <c r="K4519" s="29" t="s">
        <v>699</v>
      </c>
      <c r="L4519" t="str">
        <f>IFERROR(VLOOKUP(Detalle_OC[[#This Row],[Centro]]&amp;Detalle_OC[[#This Row],[Nro Almacen]],Almacen!A:D,4,FALSE),"")</f>
        <v>Montelima</v>
      </c>
    </row>
    <row r="4520" spans="1:12" x14ac:dyDescent="0.3">
      <c r="A4520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4520" t="s">
        <v>28</v>
      </c>
      <c r="C4520" t="s">
        <v>82</v>
      </c>
      <c r="D4520" s="11">
        <v>43966</v>
      </c>
      <c r="E4520" t="s">
        <v>16</v>
      </c>
      <c r="F4520" t="s">
        <v>12</v>
      </c>
      <c r="G4520">
        <v>844508</v>
      </c>
      <c r="H4520">
        <v>5500019188</v>
      </c>
      <c r="I4520">
        <v>220</v>
      </c>
      <c r="J4520" s="29">
        <v>1</v>
      </c>
      <c r="K4520" s="29" t="s">
        <v>699</v>
      </c>
      <c r="L4520" t="str">
        <f>IFERROR(VLOOKUP(Detalle_OC[[#This Row],[Centro]]&amp;Detalle_OC[[#This Row],[Nro Almacen]],Almacen!A:D,4,FALSE),"")</f>
        <v>Montelima</v>
      </c>
    </row>
    <row r="4521" spans="1:12" x14ac:dyDescent="0.3">
      <c r="A4521" s="29" t="str">
        <f>Detalle_OC[[#This Row],[Centro]]&amp;Detalle_OC[[#This Row],[Nom Almacen]]&amp;Detalle_OC[[#This Row],[Material]]&amp;Detalle_OC[[#This Row],[Pedido]]&amp;Detalle_OC[[#This Row],[Posicion]]</f>
        <v>Agricola del Chira PlantaMontelima8445185500019188270</v>
      </c>
      <c r="B4521" t="s">
        <v>28</v>
      </c>
      <c r="C4521" t="s">
        <v>82</v>
      </c>
      <c r="D4521" s="11">
        <v>43966</v>
      </c>
      <c r="E4521" t="s">
        <v>16</v>
      </c>
      <c r="F4521" t="s">
        <v>12</v>
      </c>
      <c r="G4521">
        <v>844518</v>
      </c>
      <c r="H4521">
        <v>5500019188</v>
      </c>
      <c r="I4521">
        <v>270</v>
      </c>
      <c r="J4521" s="29">
        <v>1</v>
      </c>
      <c r="K4521" s="29" t="s">
        <v>699</v>
      </c>
      <c r="L4521" t="str">
        <f>IFERROR(VLOOKUP(Detalle_OC[[#This Row],[Centro]]&amp;Detalle_OC[[#This Row],[Nro Almacen]],Almacen!A:D,4,FALSE),"")</f>
        <v>Montelima</v>
      </c>
    </row>
    <row r="4522" spans="1:12" x14ac:dyDescent="0.3">
      <c r="A4522" s="29" t="str">
        <f>Detalle_OC[[#This Row],[Centro]]&amp;Detalle_OC[[#This Row],[Nom Almacen]]&amp;Detalle_OC[[#This Row],[Material]]&amp;Detalle_OC[[#This Row],[Pedido]]&amp;Detalle_OC[[#This Row],[Posicion]]</f>
        <v>Agricola del Chira PlantaMontelima8445185500019188270</v>
      </c>
      <c r="B4522" t="s">
        <v>28</v>
      </c>
      <c r="C4522" t="s">
        <v>82</v>
      </c>
      <c r="D4522" s="11">
        <v>43966</v>
      </c>
      <c r="E4522" t="s">
        <v>16</v>
      </c>
      <c r="F4522" t="s">
        <v>12</v>
      </c>
      <c r="G4522">
        <v>844518</v>
      </c>
      <c r="H4522">
        <v>5500019188</v>
      </c>
      <c r="I4522">
        <v>270</v>
      </c>
      <c r="J4522" s="29">
        <v>1</v>
      </c>
      <c r="K4522" s="29" t="s">
        <v>699</v>
      </c>
      <c r="L4522" t="str">
        <f>IFERROR(VLOOKUP(Detalle_OC[[#This Row],[Centro]]&amp;Detalle_OC[[#This Row],[Nro Almacen]],Almacen!A:D,4,FALSE),"")</f>
        <v>Montelima</v>
      </c>
    </row>
    <row r="4523" spans="1:12" x14ac:dyDescent="0.3">
      <c r="A4523" s="29" t="str">
        <f>Detalle_OC[[#This Row],[Centro]]&amp;Detalle_OC[[#This Row],[Nom Almacen]]&amp;Detalle_OC[[#This Row],[Material]]&amp;Detalle_OC[[#This Row],[Pedido]]&amp;Detalle_OC[[#This Row],[Posicion]]</f>
        <v>Agricola del Chira PlantaMontelima8445395500019188300</v>
      </c>
      <c r="B4523" t="s">
        <v>28</v>
      </c>
      <c r="C4523" t="s">
        <v>82</v>
      </c>
      <c r="D4523" s="11">
        <v>43966</v>
      </c>
      <c r="E4523" t="s">
        <v>16</v>
      </c>
      <c r="F4523" t="s">
        <v>12</v>
      </c>
      <c r="G4523">
        <v>844539</v>
      </c>
      <c r="H4523">
        <v>5500019188</v>
      </c>
      <c r="I4523">
        <v>300</v>
      </c>
      <c r="J4523" s="29">
        <v>1</v>
      </c>
      <c r="K4523" s="29" t="s">
        <v>699</v>
      </c>
      <c r="L4523" t="str">
        <f>IFERROR(VLOOKUP(Detalle_OC[[#This Row],[Centro]]&amp;Detalle_OC[[#This Row],[Nro Almacen]],Almacen!A:D,4,FALSE),"")</f>
        <v>Montelima</v>
      </c>
    </row>
    <row r="4524" spans="1:12" x14ac:dyDescent="0.3">
      <c r="A4524" s="29" t="str">
        <f>Detalle_OC[[#This Row],[Centro]]&amp;Detalle_OC[[#This Row],[Nom Almacen]]&amp;Detalle_OC[[#This Row],[Material]]&amp;Detalle_OC[[#This Row],[Pedido]]&amp;Detalle_OC[[#This Row],[Posicion]]</f>
        <v>Agricola del Chira PlantaMontelima8445395500019188300</v>
      </c>
      <c r="B4524" t="s">
        <v>28</v>
      </c>
      <c r="C4524" t="s">
        <v>82</v>
      </c>
      <c r="D4524" s="11">
        <v>43966</v>
      </c>
      <c r="E4524" t="s">
        <v>16</v>
      </c>
      <c r="F4524" t="s">
        <v>12</v>
      </c>
      <c r="G4524">
        <v>844539</v>
      </c>
      <c r="H4524">
        <v>5500019188</v>
      </c>
      <c r="I4524">
        <v>300</v>
      </c>
      <c r="J4524" s="29">
        <v>1</v>
      </c>
      <c r="K4524" s="29" t="s">
        <v>699</v>
      </c>
      <c r="L4524" t="str">
        <f>IFERROR(VLOOKUP(Detalle_OC[[#This Row],[Centro]]&amp;Detalle_OC[[#This Row],[Nro Almacen]],Almacen!A:D,4,FALSE),"")</f>
        <v>Montelima</v>
      </c>
    </row>
    <row r="4525" spans="1:12" x14ac:dyDescent="0.3">
      <c r="A4525" s="29" t="str">
        <f>Detalle_OC[[#This Row],[Centro]]&amp;Detalle_OC[[#This Row],[Nom Almacen]]&amp;Detalle_OC[[#This Row],[Material]]&amp;Detalle_OC[[#This Row],[Pedido]]&amp;Detalle_OC[[#This Row],[Posicion]]</f>
        <v>Agricola del Chira PlantaMontelima8445175500019188340</v>
      </c>
      <c r="B4525" t="s">
        <v>28</v>
      </c>
      <c r="C4525" t="s">
        <v>82</v>
      </c>
      <c r="D4525" s="11">
        <v>43966</v>
      </c>
      <c r="E4525" t="s">
        <v>16</v>
      </c>
      <c r="F4525" t="s">
        <v>12</v>
      </c>
      <c r="G4525">
        <v>844517</v>
      </c>
      <c r="H4525">
        <v>5500019188</v>
      </c>
      <c r="I4525">
        <v>340</v>
      </c>
      <c r="J4525" s="29">
        <v>1</v>
      </c>
      <c r="K4525" s="29" t="s">
        <v>699</v>
      </c>
      <c r="L4525" t="str">
        <f>IFERROR(VLOOKUP(Detalle_OC[[#This Row],[Centro]]&amp;Detalle_OC[[#This Row],[Nro Almacen]],Almacen!A:D,4,FALSE),"")</f>
        <v>Montelima</v>
      </c>
    </row>
    <row r="4526" spans="1:12" x14ac:dyDescent="0.3">
      <c r="A4526" s="29" t="str">
        <f>Detalle_OC[[#This Row],[Centro]]&amp;Detalle_OC[[#This Row],[Nom Almacen]]&amp;Detalle_OC[[#This Row],[Material]]&amp;Detalle_OC[[#This Row],[Pedido]]&amp;Detalle_OC[[#This Row],[Posicion]]</f>
        <v>Agricola del Chira PlantaMontelima8459085500019188350</v>
      </c>
      <c r="B4526" t="s">
        <v>28</v>
      </c>
      <c r="C4526" t="s">
        <v>82</v>
      </c>
      <c r="D4526" s="11">
        <v>43966</v>
      </c>
      <c r="E4526" t="s">
        <v>16</v>
      </c>
      <c r="F4526" t="s">
        <v>12</v>
      </c>
      <c r="G4526">
        <v>845908</v>
      </c>
      <c r="H4526">
        <v>5500019188</v>
      </c>
      <c r="I4526">
        <v>350</v>
      </c>
      <c r="J4526" s="29">
        <v>1</v>
      </c>
      <c r="K4526" s="29" t="s">
        <v>699</v>
      </c>
      <c r="L4526" t="str">
        <f>IFERROR(VLOOKUP(Detalle_OC[[#This Row],[Centro]]&amp;Detalle_OC[[#This Row],[Nro Almacen]],Almacen!A:D,4,FALSE),"")</f>
        <v>Montelima</v>
      </c>
    </row>
    <row r="4527" spans="1:12" x14ac:dyDescent="0.3">
      <c r="A4527" s="29" t="str">
        <f>Detalle_OC[[#This Row],[Centro]]&amp;Detalle_OC[[#This Row],[Nom Almacen]]&amp;Detalle_OC[[#This Row],[Material]]&amp;Detalle_OC[[#This Row],[Pedido]]&amp;Detalle_OC[[#This Row],[Posicion]]</f>
        <v>Agricola del Chira PlantaMontelima8459085500019188350</v>
      </c>
      <c r="B4527" t="s">
        <v>28</v>
      </c>
      <c r="C4527" t="s">
        <v>82</v>
      </c>
      <c r="D4527" s="11">
        <v>43966</v>
      </c>
      <c r="E4527" t="s">
        <v>16</v>
      </c>
      <c r="F4527" t="s">
        <v>12</v>
      </c>
      <c r="G4527">
        <v>845908</v>
      </c>
      <c r="H4527">
        <v>5500019188</v>
      </c>
      <c r="I4527">
        <v>350</v>
      </c>
      <c r="J4527" s="29">
        <v>1</v>
      </c>
      <c r="K4527" s="29" t="s">
        <v>699</v>
      </c>
      <c r="L4527" t="str">
        <f>IFERROR(VLOOKUP(Detalle_OC[[#This Row],[Centro]]&amp;Detalle_OC[[#This Row],[Nro Almacen]],Almacen!A:D,4,FALSE),"")</f>
        <v>Montelima</v>
      </c>
    </row>
    <row r="4528" spans="1:12" x14ac:dyDescent="0.3">
      <c r="A4528" s="29" t="str">
        <f>Detalle_OC[[#This Row],[Centro]]&amp;Detalle_OC[[#This Row],[Nom Almacen]]&amp;Detalle_OC[[#This Row],[Material]]&amp;Detalle_OC[[#This Row],[Pedido]]&amp;Detalle_OC[[#This Row],[Posicion]]</f>
        <v>Agricola del Chira PlantaMontelima8445215500019188410</v>
      </c>
      <c r="B4528" t="s">
        <v>28</v>
      </c>
      <c r="C4528" t="s">
        <v>82</v>
      </c>
      <c r="D4528" s="11">
        <v>43966</v>
      </c>
      <c r="E4528" t="s">
        <v>16</v>
      </c>
      <c r="F4528" t="s">
        <v>12</v>
      </c>
      <c r="G4528">
        <v>844521</v>
      </c>
      <c r="H4528">
        <v>5500019188</v>
      </c>
      <c r="I4528">
        <v>410</v>
      </c>
      <c r="J4528" s="29">
        <v>1</v>
      </c>
      <c r="K4528" s="29" t="s">
        <v>699</v>
      </c>
      <c r="L4528" t="str">
        <f>IFERROR(VLOOKUP(Detalle_OC[[#This Row],[Centro]]&amp;Detalle_OC[[#This Row],[Nro Almacen]],Almacen!A:D,4,FALSE),"")</f>
        <v>Montelima</v>
      </c>
    </row>
    <row r="4529" spans="1:12" x14ac:dyDescent="0.3">
      <c r="A4529" s="29" t="str">
        <f>Detalle_OC[[#This Row],[Centro]]&amp;Detalle_OC[[#This Row],[Nom Almacen]]&amp;Detalle_OC[[#This Row],[Material]]&amp;Detalle_OC[[#This Row],[Pedido]]&amp;Detalle_OC[[#This Row],[Posicion]]</f>
        <v>Agricola del Chira PlantaMontelima82638555000191881100</v>
      </c>
      <c r="B4529" t="s">
        <v>28</v>
      </c>
      <c r="C4529" t="s">
        <v>82</v>
      </c>
      <c r="D4529" s="11">
        <v>43966</v>
      </c>
      <c r="E4529" t="s">
        <v>16</v>
      </c>
      <c r="F4529" t="s">
        <v>12</v>
      </c>
      <c r="G4529">
        <v>826385</v>
      </c>
      <c r="H4529">
        <v>5500019188</v>
      </c>
      <c r="I4529">
        <v>1100</v>
      </c>
      <c r="J4529" s="29">
        <v>1</v>
      </c>
      <c r="K4529" s="29" t="s">
        <v>699</v>
      </c>
      <c r="L4529" t="str">
        <f>IFERROR(VLOOKUP(Detalle_OC[[#This Row],[Centro]]&amp;Detalle_OC[[#This Row],[Nro Almacen]],Almacen!A:D,4,FALSE),"")</f>
        <v>Montelima</v>
      </c>
    </row>
    <row r="4530" spans="1:12" x14ac:dyDescent="0.3">
      <c r="A4530" s="29" t="str">
        <f>Detalle_OC[[#This Row],[Centro]]&amp;Detalle_OC[[#This Row],[Nom Almacen]]&amp;Detalle_OC[[#This Row],[Material]]&amp;Detalle_OC[[#This Row],[Pedido]]&amp;Detalle_OC[[#This Row],[Posicion]]</f>
        <v>Agricola del Chira PlantaMontelima84557255000191881300</v>
      </c>
      <c r="B4530" t="s">
        <v>28</v>
      </c>
      <c r="C4530" t="s">
        <v>82</v>
      </c>
      <c r="D4530" s="11">
        <v>43966</v>
      </c>
      <c r="E4530" t="s">
        <v>16</v>
      </c>
      <c r="F4530" t="s">
        <v>12</v>
      </c>
      <c r="G4530">
        <v>845572</v>
      </c>
      <c r="H4530">
        <v>5500019188</v>
      </c>
      <c r="I4530">
        <v>1300</v>
      </c>
      <c r="J4530" s="29">
        <v>1</v>
      </c>
      <c r="K4530" s="29" t="s">
        <v>699</v>
      </c>
      <c r="L4530" t="str">
        <f>IFERROR(VLOOKUP(Detalle_OC[[#This Row],[Centro]]&amp;Detalle_OC[[#This Row],[Nro Almacen]],Almacen!A:D,4,FALSE),"")</f>
        <v>Montelima</v>
      </c>
    </row>
    <row r="4531" spans="1:12" x14ac:dyDescent="0.3">
      <c r="A4531" s="29" t="str">
        <f>Detalle_OC[[#This Row],[Centro]]&amp;Detalle_OC[[#This Row],[Nom Almacen]]&amp;Detalle_OC[[#This Row],[Material]]&amp;Detalle_OC[[#This Row],[Pedido]]&amp;Detalle_OC[[#This Row],[Posicion]]</f>
        <v>Agricola del Chira PlantaMontelima82718155000191881520</v>
      </c>
      <c r="B4531" t="s">
        <v>28</v>
      </c>
      <c r="C4531" t="s">
        <v>82</v>
      </c>
      <c r="D4531" s="11">
        <v>43966</v>
      </c>
      <c r="E4531" t="s">
        <v>16</v>
      </c>
      <c r="F4531" t="s">
        <v>12</v>
      </c>
      <c r="G4531">
        <v>827181</v>
      </c>
      <c r="H4531">
        <v>5500019188</v>
      </c>
      <c r="I4531">
        <v>1520</v>
      </c>
      <c r="J4531" s="29">
        <v>1</v>
      </c>
      <c r="K4531" s="29" t="s">
        <v>699</v>
      </c>
      <c r="L4531" t="str">
        <f>IFERROR(VLOOKUP(Detalle_OC[[#This Row],[Centro]]&amp;Detalle_OC[[#This Row],[Nro Almacen]],Almacen!A:D,4,FALSE),"")</f>
        <v>Montelima</v>
      </c>
    </row>
    <row r="4532" spans="1:12" x14ac:dyDescent="0.3">
      <c r="A4532" s="29" t="str">
        <f>Detalle_OC[[#This Row],[Centro]]&amp;Detalle_OC[[#This Row],[Nom Almacen]]&amp;Detalle_OC[[#This Row],[Material]]&amp;Detalle_OC[[#This Row],[Pedido]]&amp;Detalle_OC[[#This Row],[Posicion]]</f>
        <v>Agricola del Chira PlantaMontelima7003087955000191881700</v>
      </c>
      <c r="B4532" t="s">
        <v>28</v>
      </c>
      <c r="C4532" t="s">
        <v>82</v>
      </c>
      <c r="D4532" s="11">
        <v>43966</v>
      </c>
      <c r="E4532" t="s">
        <v>16</v>
      </c>
      <c r="F4532" t="s">
        <v>12</v>
      </c>
      <c r="G4532">
        <v>70030879</v>
      </c>
      <c r="H4532">
        <v>5500019188</v>
      </c>
      <c r="I4532">
        <v>1700</v>
      </c>
      <c r="J4532" s="29">
        <v>1</v>
      </c>
      <c r="K4532" s="29" t="s">
        <v>699</v>
      </c>
      <c r="L4532" t="str">
        <f>IFERROR(VLOOKUP(Detalle_OC[[#This Row],[Centro]]&amp;Detalle_OC[[#This Row],[Nro Almacen]],Almacen!A:D,4,FALSE),"")</f>
        <v>Montelima</v>
      </c>
    </row>
    <row r="4533" spans="1:12" x14ac:dyDescent="0.3">
      <c r="A4533" s="29" t="str">
        <f>Detalle_OC[[#This Row],[Centro]]&amp;Detalle_OC[[#This Row],[Nom Almacen]]&amp;Detalle_OC[[#This Row],[Material]]&amp;Detalle_OC[[#This Row],[Pedido]]&amp;Detalle_OC[[#This Row],[Posicion]]</f>
        <v>Agricola del Chira PlantaMontelima762202550001918850</v>
      </c>
      <c r="B4533" t="s">
        <v>28</v>
      </c>
      <c r="C4533" t="s">
        <v>82</v>
      </c>
      <c r="D4533" s="11">
        <v>43963</v>
      </c>
      <c r="E4533" t="s">
        <v>16</v>
      </c>
      <c r="F4533" t="s">
        <v>12</v>
      </c>
      <c r="G4533">
        <v>762202</v>
      </c>
      <c r="H4533">
        <v>5500019188</v>
      </c>
      <c r="I4533">
        <v>50</v>
      </c>
      <c r="J4533" s="29">
        <v>1</v>
      </c>
      <c r="K4533" s="29" t="s">
        <v>700</v>
      </c>
      <c r="L4533" t="str">
        <f>IFERROR(VLOOKUP(Detalle_OC[[#This Row],[Centro]]&amp;Detalle_OC[[#This Row],[Nro Almacen]],Almacen!A:D,4,FALSE),"")</f>
        <v>Montelima</v>
      </c>
    </row>
    <row r="4534" spans="1:12" x14ac:dyDescent="0.3">
      <c r="A4534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4534" t="s">
        <v>28</v>
      </c>
      <c r="C4534" t="s">
        <v>82</v>
      </c>
      <c r="D4534" s="11">
        <v>43963</v>
      </c>
      <c r="E4534" t="s">
        <v>16</v>
      </c>
      <c r="F4534" t="s">
        <v>12</v>
      </c>
      <c r="G4534">
        <v>844516</v>
      </c>
      <c r="H4534">
        <v>5500019188</v>
      </c>
      <c r="I4534">
        <v>190</v>
      </c>
      <c r="J4534" s="29">
        <v>1</v>
      </c>
      <c r="K4534" s="29" t="s">
        <v>700</v>
      </c>
      <c r="L4534" t="str">
        <f>IFERROR(VLOOKUP(Detalle_OC[[#This Row],[Centro]]&amp;Detalle_OC[[#This Row],[Nro Almacen]],Almacen!A:D,4,FALSE),"")</f>
        <v>Montelima</v>
      </c>
    </row>
    <row r="4535" spans="1:12" x14ac:dyDescent="0.3">
      <c r="A4535" s="29" t="str">
        <f>Detalle_OC[[#This Row],[Centro]]&amp;Detalle_OC[[#This Row],[Nom Almacen]]&amp;Detalle_OC[[#This Row],[Material]]&amp;Detalle_OC[[#This Row],[Pedido]]&amp;Detalle_OC[[#This Row],[Posicion]]</f>
        <v>Agricola del Chira PlantaMontelima8445095500019188260</v>
      </c>
      <c r="B4535" t="s">
        <v>28</v>
      </c>
      <c r="C4535" t="s">
        <v>82</v>
      </c>
      <c r="D4535" s="11">
        <v>43963</v>
      </c>
      <c r="E4535" t="s">
        <v>16</v>
      </c>
      <c r="F4535" t="s">
        <v>12</v>
      </c>
      <c r="G4535">
        <v>844509</v>
      </c>
      <c r="H4535">
        <v>5500019188</v>
      </c>
      <c r="I4535">
        <v>260</v>
      </c>
      <c r="J4535" s="29">
        <v>1</v>
      </c>
      <c r="K4535" s="29" t="s">
        <v>700</v>
      </c>
      <c r="L4535" t="str">
        <f>IFERROR(VLOOKUP(Detalle_OC[[#This Row],[Centro]]&amp;Detalle_OC[[#This Row],[Nro Almacen]],Almacen!A:D,4,FALSE),"")</f>
        <v>Montelima</v>
      </c>
    </row>
    <row r="4536" spans="1:12" x14ac:dyDescent="0.3">
      <c r="A4536" s="29" t="str">
        <f>Detalle_OC[[#This Row],[Centro]]&amp;Detalle_OC[[#This Row],[Nom Almacen]]&amp;Detalle_OC[[#This Row],[Material]]&amp;Detalle_OC[[#This Row],[Pedido]]&amp;Detalle_OC[[#This Row],[Posicion]]</f>
        <v>Agricola del Chira PlantaMontelima83507355000191881320</v>
      </c>
      <c r="B4536" t="s">
        <v>28</v>
      </c>
      <c r="C4536" t="s">
        <v>82</v>
      </c>
      <c r="D4536" s="11">
        <v>43963</v>
      </c>
      <c r="E4536" t="s">
        <v>16</v>
      </c>
      <c r="F4536" t="s">
        <v>12</v>
      </c>
      <c r="G4536">
        <v>835073</v>
      </c>
      <c r="H4536">
        <v>5500019188</v>
      </c>
      <c r="I4536">
        <v>1320</v>
      </c>
      <c r="J4536" s="29">
        <v>1</v>
      </c>
      <c r="K4536" s="29" t="s">
        <v>700</v>
      </c>
      <c r="L4536" t="str">
        <f>IFERROR(VLOOKUP(Detalle_OC[[#This Row],[Centro]]&amp;Detalle_OC[[#This Row],[Nro Almacen]],Almacen!A:D,4,FALSE),"")</f>
        <v>Montelima</v>
      </c>
    </row>
    <row r="4537" spans="1:12" x14ac:dyDescent="0.3">
      <c r="A4537" s="29" t="str">
        <f>Detalle_OC[[#This Row],[Centro]]&amp;Detalle_OC[[#This Row],[Nom Almacen]]&amp;Detalle_OC[[#This Row],[Material]]&amp;Detalle_OC[[#This Row],[Pedido]]&amp;Detalle_OC[[#This Row],[Posicion]]</f>
        <v>Agricola del Chira PlantaMontelima7002961555000191881570</v>
      </c>
      <c r="B4537" t="s">
        <v>28</v>
      </c>
      <c r="C4537" t="s">
        <v>82</v>
      </c>
      <c r="D4537" s="11">
        <v>43963</v>
      </c>
      <c r="E4537" t="s">
        <v>16</v>
      </c>
      <c r="F4537" t="s">
        <v>12</v>
      </c>
      <c r="G4537">
        <v>70029615</v>
      </c>
      <c r="H4537">
        <v>5500019188</v>
      </c>
      <c r="I4537">
        <v>1570</v>
      </c>
      <c r="J4537" s="29">
        <v>1</v>
      </c>
      <c r="K4537" s="29" t="s">
        <v>700</v>
      </c>
      <c r="L4537" t="str">
        <f>IFERROR(VLOOKUP(Detalle_OC[[#This Row],[Centro]]&amp;Detalle_OC[[#This Row],[Nro Almacen]],Almacen!A:D,4,FALSE),"")</f>
        <v>Montelima</v>
      </c>
    </row>
    <row r="4538" spans="1:12" x14ac:dyDescent="0.3">
      <c r="A4538" s="29" t="str">
        <f>Detalle_OC[[#This Row],[Centro]]&amp;Detalle_OC[[#This Row],[Nom Almacen]]&amp;Detalle_OC[[#This Row],[Material]]&amp;Detalle_OC[[#This Row],[Pedido]]&amp;Detalle_OC[[#This Row],[Posicion]]</f>
        <v>Agricola del Chira PlantaMontelima7003087955000191881700</v>
      </c>
      <c r="B4538" t="s">
        <v>28</v>
      </c>
      <c r="C4538" t="s">
        <v>82</v>
      </c>
      <c r="D4538" s="11">
        <v>43963</v>
      </c>
      <c r="E4538" t="s">
        <v>16</v>
      </c>
      <c r="F4538" t="s">
        <v>12</v>
      </c>
      <c r="G4538">
        <v>70030879</v>
      </c>
      <c r="H4538">
        <v>5500019188</v>
      </c>
      <c r="I4538">
        <v>1700</v>
      </c>
      <c r="J4538" s="29">
        <v>1</v>
      </c>
      <c r="K4538" s="29" t="s">
        <v>700</v>
      </c>
      <c r="L4538" t="str">
        <f>IFERROR(VLOOKUP(Detalle_OC[[#This Row],[Centro]]&amp;Detalle_OC[[#This Row],[Nro Almacen]],Almacen!A:D,4,FALSE),"")</f>
        <v>Montelima</v>
      </c>
    </row>
    <row r="4539" spans="1:12" x14ac:dyDescent="0.3">
      <c r="A4539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4539" t="s">
        <v>28</v>
      </c>
      <c r="C4539" t="s">
        <v>82</v>
      </c>
      <c r="D4539" s="11">
        <v>43906</v>
      </c>
      <c r="E4539" t="s">
        <v>16</v>
      </c>
      <c r="F4539" t="s">
        <v>12</v>
      </c>
      <c r="G4539">
        <v>844522</v>
      </c>
      <c r="H4539">
        <v>5500019188</v>
      </c>
      <c r="I4539">
        <v>150</v>
      </c>
      <c r="J4539" s="29">
        <v>1</v>
      </c>
      <c r="K4539" s="29" t="s">
        <v>701</v>
      </c>
      <c r="L4539" t="str">
        <f>IFERROR(VLOOKUP(Detalle_OC[[#This Row],[Centro]]&amp;Detalle_OC[[#This Row],[Nro Almacen]],Almacen!A:D,4,FALSE),"")</f>
        <v>Montelima</v>
      </c>
    </row>
    <row r="4540" spans="1:12" x14ac:dyDescent="0.3">
      <c r="A4540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4540" t="s">
        <v>28</v>
      </c>
      <c r="C4540" t="s">
        <v>82</v>
      </c>
      <c r="D4540" s="11">
        <v>43906</v>
      </c>
      <c r="E4540" t="s">
        <v>16</v>
      </c>
      <c r="F4540" t="s">
        <v>12</v>
      </c>
      <c r="G4540">
        <v>844522</v>
      </c>
      <c r="H4540">
        <v>5500019188</v>
      </c>
      <c r="I4540">
        <v>150</v>
      </c>
      <c r="J4540" s="29">
        <v>1</v>
      </c>
      <c r="K4540" s="29" t="s">
        <v>701</v>
      </c>
      <c r="L4540" t="str">
        <f>IFERROR(VLOOKUP(Detalle_OC[[#This Row],[Centro]]&amp;Detalle_OC[[#This Row],[Nro Almacen]],Almacen!A:D,4,FALSE),"")</f>
        <v>Montelima</v>
      </c>
    </row>
    <row r="4541" spans="1:12" x14ac:dyDescent="0.3">
      <c r="A4541" s="29" t="str">
        <f>Detalle_OC[[#This Row],[Centro]]&amp;Detalle_OC[[#This Row],[Nom Almacen]]&amp;Detalle_OC[[#This Row],[Material]]&amp;Detalle_OC[[#This Row],[Pedido]]&amp;Detalle_OC[[#This Row],[Posicion]]</f>
        <v>Agricola del Chira PlantaMontelima8445335500019188170</v>
      </c>
      <c r="B4541" t="s">
        <v>28</v>
      </c>
      <c r="C4541" t="s">
        <v>82</v>
      </c>
      <c r="D4541" s="11">
        <v>43906</v>
      </c>
      <c r="E4541" t="s">
        <v>16</v>
      </c>
      <c r="F4541" t="s">
        <v>12</v>
      </c>
      <c r="G4541">
        <v>844533</v>
      </c>
      <c r="H4541">
        <v>5500019188</v>
      </c>
      <c r="I4541">
        <v>170</v>
      </c>
      <c r="J4541" s="29">
        <v>1</v>
      </c>
      <c r="K4541" s="29" t="s">
        <v>701</v>
      </c>
      <c r="L4541" t="str">
        <f>IFERROR(VLOOKUP(Detalle_OC[[#This Row],[Centro]]&amp;Detalle_OC[[#This Row],[Nro Almacen]],Almacen!A:D,4,FALSE),"")</f>
        <v>Montelima</v>
      </c>
    </row>
    <row r="4542" spans="1:12" x14ac:dyDescent="0.3">
      <c r="A4542" s="29" t="str">
        <f>Detalle_OC[[#This Row],[Centro]]&amp;Detalle_OC[[#This Row],[Nom Almacen]]&amp;Detalle_OC[[#This Row],[Material]]&amp;Detalle_OC[[#This Row],[Pedido]]&amp;Detalle_OC[[#This Row],[Posicion]]</f>
        <v>Agricola del Chira PlantaMontelima8445335500019188170</v>
      </c>
      <c r="B4542" t="s">
        <v>28</v>
      </c>
      <c r="C4542" t="s">
        <v>82</v>
      </c>
      <c r="D4542" s="11">
        <v>44075</v>
      </c>
      <c r="E4542" t="s">
        <v>16</v>
      </c>
      <c r="F4542" t="s">
        <v>12</v>
      </c>
      <c r="G4542">
        <v>844533</v>
      </c>
      <c r="H4542">
        <v>5500019188</v>
      </c>
      <c r="I4542">
        <v>170</v>
      </c>
      <c r="J4542" s="29">
        <v>1</v>
      </c>
      <c r="K4542" s="29" t="s">
        <v>701</v>
      </c>
      <c r="L4542" t="str">
        <f>IFERROR(VLOOKUP(Detalle_OC[[#This Row],[Centro]]&amp;Detalle_OC[[#This Row],[Nro Almacen]],Almacen!A:D,4,FALSE),"")</f>
        <v>Montelima</v>
      </c>
    </row>
    <row r="4543" spans="1:12" x14ac:dyDescent="0.3">
      <c r="A4543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4543" t="s">
        <v>28</v>
      </c>
      <c r="C4543" t="s">
        <v>82</v>
      </c>
      <c r="D4543" s="11">
        <v>43906</v>
      </c>
      <c r="E4543" t="s">
        <v>16</v>
      </c>
      <c r="F4543" t="s">
        <v>12</v>
      </c>
      <c r="G4543">
        <v>844515</v>
      </c>
      <c r="H4543">
        <v>5500019188</v>
      </c>
      <c r="I4543">
        <v>200</v>
      </c>
      <c r="J4543" s="29">
        <v>1</v>
      </c>
      <c r="K4543" s="29" t="s">
        <v>701</v>
      </c>
      <c r="L4543" t="str">
        <f>IFERROR(VLOOKUP(Detalle_OC[[#This Row],[Centro]]&amp;Detalle_OC[[#This Row],[Nro Almacen]],Almacen!A:D,4,FALSE),"")</f>
        <v>Montelima</v>
      </c>
    </row>
    <row r="4544" spans="1:12" x14ac:dyDescent="0.3">
      <c r="A4544" s="29" t="str">
        <f>Detalle_OC[[#This Row],[Centro]]&amp;Detalle_OC[[#This Row],[Nom Almacen]]&amp;Detalle_OC[[#This Row],[Material]]&amp;Detalle_OC[[#This Row],[Pedido]]&amp;Detalle_OC[[#This Row],[Posicion]]</f>
        <v>Agricola del Chira PlantaMontelima83507855000191881330</v>
      </c>
      <c r="B4544" t="s">
        <v>28</v>
      </c>
      <c r="C4544" t="s">
        <v>82</v>
      </c>
      <c r="D4544" s="11">
        <v>43906</v>
      </c>
      <c r="E4544" t="s">
        <v>16</v>
      </c>
      <c r="F4544" t="s">
        <v>12</v>
      </c>
      <c r="G4544">
        <v>835078</v>
      </c>
      <c r="H4544">
        <v>5500019188</v>
      </c>
      <c r="I4544">
        <v>1330</v>
      </c>
      <c r="J4544" s="29">
        <v>1</v>
      </c>
      <c r="K4544" s="29" t="s">
        <v>701</v>
      </c>
      <c r="L4544" t="str">
        <f>IFERROR(VLOOKUP(Detalle_OC[[#This Row],[Centro]]&amp;Detalle_OC[[#This Row],[Nro Almacen]],Almacen!A:D,4,FALSE),"")</f>
        <v>Montelima</v>
      </c>
    </row>
    <row r="4545" spans="1:12" x14ac:dyDescent="0.3">
      <c r="A4545" s="29" t="str">
        <f>Detalle_OC[[#This Row],[Centro]]&amp;Detalle_OC[[#This Row],[Nom Almacen]]&amp;Detalle_OC[[#This Row],[Material]]&amp;Detalle_OC[[#This Row],[Pedido]]&amp;Detalle_OC[[#This Row],[Posicion]]</f>
        <v>Agricola del Chira PlantaMontelima7002961555000191881570</v>
      </c>
      <c r="B4545" t="s">
        <v>28</v>
      </c>
      <c r="C4545" t="s">
        <v>82</v>
      </c>
      <c r="D4545" s="11">
        <v>43906</v>
      </c>
      <c r="E4545" t="s">
        <v>16</v>
      </c>
      <c r="F4545" t="s">
        <v>12</v>
      </c>
      <c r="G4545">
        <v>70029615</v>
      </c>
      <c r="H4545">
        <v>5500019188</v>
      </c>
      <c r="I4545">
        <v>1570</v>
      </c>
      <c r="J4545" s="29">
        <v>1</v>
      </c>
      <c r="K4545" s="29" t="s">
        <v>701</v>
      </c>
      <c r="L4545" t="str">
        <f>IFERROR(VLOOKUP(Detalle_OC[[#This Row],[Centro]]&amp;Detalle_OC[[#This Row],[Nro Almacen]],Almacen!A:D,4,FALSE),"")</f>
        <v>Montelima</v>
      </c>
    </row>
    <row r="4546" spans="1:12" x14ac:dyDescent="0.3">
      <c r="A4546" s="29" t="str">
        <f>Detalle_OC[[#This Row],[Centro]]&amp;Detalle_OC[[#This Row],[Nom Almacen]]&amp;Detalle_OC[[#This Row],[Material]]&amp;Detalle_OC[[#This Row],[Pedido]]&amp;Detalle_OC[[#This Row],[Posicion]]</f>
        <v>Agricola del Chira PlantaMontelima844601550001918860</v>
      </c>
      <c r="B4546" t="s">
        <v>28</v>
      </c>
      <c r="C4546" t="s">
        <v>82</v>
      </c>
      <c r="D4546" s="11">
        <v>43901</v>
      </c>
      <c r="E4546" t="s">
        <v>16</v>
      </c>
      <c r="F4546" t="s">
        <v>12</v>
      </c>
      <c r="G4546">
        <v>844601</v>
      </c>
      <c r="H4546">
        <v>5500019188</v>
      </c>
      <c r="I4546">
        <v>60</v>
      </c>
      <c r="J4546" s="29">
        <v>1</v>
      </c>
      <c r="K4546" s="29" t="s">
        <v>702</v>
      </c>
      <c r="L4546" t="str">
        <f>IFERROR(VLOOKUP(Detalle_OC[[#This Row],[Centro]]&amp;Detalle_OC[[#This Row],[Nro Almacen]],Almacen!A:D,4,FALSE),"")</f>
        <v>Montelima</v>
      </c>
    </row>
    <row r="4547" spans="1:12" x14ac:dyDescent="0.3">
      <c r="A4547" s="29" t="str">
        <f>Detalle_OC[[#This Row],[Centro]]&amp;Detalle_OC[[#This Row],[Nom Almacen]]&amp;Detalle_OC[[#This Row],[Material]]&amp;Detalle_OC[[#This Row],[Pedido]]&amp;Detalle_OC[[#This Row],[Posicion]]</f>
        <v>Agricola del Chira PlantaMontelima8443975500019188280</v>
      </c>
      <c r="B4547" t="s">
        <v>28</v>
      </c>
      <c r="C4547" t="s">
        <v>82</v>
      </c>
      <c r="D4547" s="11">
        <v>43901</v>
      </c>
      <c r="E4547" t="s">
        <v>16</v>
      </c>
      <c r="F4547" t="s">
        <v>12</v>
      </c>
      <c r="G4547">
        <v>844397</v>
      </c>
      <c r="H4547">
        <v>5500019188</v>
      </c>
      <c r="I4547">
        <v>280</v>
      </c>
      <c r="J4547" s="29">
        <v>1</v>
      </c>
      <c r="K4547" s="29" t="s">
        <v>702</v>
      </c>
      <c r="L4547" t="str">
        <f>IFERROR(VLOOKUP(Detalle_OC[[#This Row],[Centro]]&amp;Detalle_OC[[#This Row],[Nro Almacen]],Almacen!A:D,4,FALSE),"")</f>
        <v>Montelima</v>
      </c>
    </row>
    <row r="4548" spans="1:12" x14ac:dyDescent="0.3">
      <c r="A4548" s="29" t="str">
        <f>Detalle_OC[[#This Row],[Centro]]&amp;Detalle_OC[[#This Row],[Nom Almacen]]&amp;Detalle_OC[[#This Row],[Material]]&amp;Detalle_OC[[#This Row],[Pedido]]&amp;Detalle_OC[[#This Row],[Posicion]]</f>
        <v>Agricola del Chira PlantaMontelima8506365500019188510</v>
      </c>
      <c r="B4548" t="s">
        <v>28</v>
      </c>
      <c r="C4548" t="s">
        <v>82</v>
      </c>
      <c r="D4548" s="11">
        <v>43901</v>
      </c>
      <c r="E4548" t="s">
        <v>16</v>
      </c>
      <c r="F4548" t="s">
        <v>12</v>
      </c>
      <c r="G4548">
        <v>850636</v>
      </c>
      <c r="H4548">
        <v>5500019188</v>
      </c>
      <c r="I4548">
        <v>510</v>
      </c>
      <c r="J4548" s="29">
        <v>1</v>
      </c>
      <c r="K4548" s="29" t="s">
        <v>702</v>
      </c>
      <c r="L4548" t="str">
        <f>IFERROR(VLOOKUP(Detalle_OC[[#This Row],[Centro]]&amp;Detalle_OC[[#This Row],[Nro Almacen]],Almacen!A:D,4,FALSE),"")</f>
        <v>Montelima</v>
      </c>
    </row>
    <row r="4549" spans="1:12" x14ac:dyDescent="0.3">
      <c r="A4549" s="29" t="str">
        <f>Detalle_OC[[#This Row],[Centro]]&amp;Detalle_OC[[#This Row],[Nom Almacen]]&amp;Detalle_OC[[#This Row],[Material]]&amp;Detalle_OC[[#This Row],[Pedido]]&amp;Detalle_OC[[#This Row],[Posicion]]</f>
        <v>Agricola del Chira PlantaMontelima84614255000191881410</v>
      </c>
      <c r="B4549" t="s">
        <v>28</v>
      </c>
      <c r="C4549" t="s">
        <v>82</v>
      </c>
      <c r="D4549" s="11">
        <v>43901</v>
      </c>
      <c r="E4549" t="s">
        <v>16</v>
      </c>
      <c r="F4549" t="s">
        <v>12</v>
      </c>
      <c r="G4549">
        <v>846142</v>
      </c>
      <c r="H4549">
        <v>5500019188</v>
      </c>
      <c r="I4549">
        <v>1410</v>
      </c>
      <c r="J4549" s="29">
        <v>1</v>
      </c>
      <c r="K4549" s="29" t="s">
        <v>702</v>
      </c>
      <c r="L4549" t="str">
        <f>IFERROR(VLOOKUP(Detalle_OC[[#This Row],[Centro]]&amp;Detalle_OC[[#This Row],[Nro Almacen]],Almacen!A:D,4,FALSE),"")</f>
        <v>Montelima</v>
      </c>
    </row>
    <row r="4550" spans="1:12" x14ac:dyDescent="0.3">
      <c r="A4550" s="29" t="str">
        <f>Detalle_OC[[#This Row],[Centro]]&amp;Detalle_OC[[#This Row],[Nom Almacen]]&amp;Detalle_OC[[#This Row],[Material]]&amp;Detalle_OC[[#This Row],[Pedido]]&amp;Detalle_OC[[#This Row],[Posicion]]</f>
        <v>Agricola del Chira PlantaMontelima7002961555000191881570</v>
      </c>
      <c r="B4550" t="s">
        <v>28</v>
      </c>
      <c r="C4550" t="s">
        <v>82</v>
      </c>
      <c r="D4550" s="11">
        <v>43901</v>
      </c>
      <c r="E4550" t="s">
        <v>16</v>
      </c>
      <c r="F4550" t="s">
        <v>12</v>
      </c>
      <c r="G4550">
        <v>70029615</v>
      </c>
      <c r="H4550">
        <v>5500019188</v>
      </c>
      <c r="I4550">
        <v>1570</v>
      </c>
      <c r="J4550" s="29">
        <v>1</v>
      </c>
      <c r="K4550" s="29" t="s">
        <v>702</v>
      </c>
      <c r="L4550" t="str">
        <f>IFERROR(VLOOKUP(Detalle_OC[[#This Row],[Centro]]&amp;Detalle_OC[[#This Row],[Nro Almacen]],Almacen!A:D,4,FALSE),"")</f>
        <v>Montelima</v>
      </c>
    </row>
    <row r="4551" spans="1:12" x14ac:dyDescent="0.3">
      <c r="A4551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4551" t="s">
        <v>28</v>
      </c>
      <c r="C4551" t="s">
        <v>82</v>
      </c>
      <c r="D4551" s="11">
        <v>43888</v>
      </c>
      <c r="E4551" t="s">
        <v>16</v>
      </c>
      <c r="F4551" t="s">
        <v>12</v>
      </c>
      <c r="G4551">
        <v>844522</v>
      </c>
      <c r="H4551">
        <v>5500019188</v>
      </c>
      <c r="I4551">
        <v>150</v>
      </c>
      <c r="J4551" s="29">
        <v>1</v>
      </c>
      <c r="K4551" s="29" t="s">
        <v>703</v>
      </c>
      <c r="L4551" t="str">
        <f>IFERROR(VLOOKUP(Detalle_OC[[#This Row],[Centro]]&amp;Detalle_OC[[#This Row],[Nro Almacen]],Almacen!A:D,4,FALSE),"")</f>
        <v>Montelima</v>
      </c>
    </row>
    <row r="4552" spans="1:12" x14ac:dyDescent="0.3">
      <c r="A4552" s="29" t="str">
        <f>Detalle_OC[[#This Row],[Centro]]&amp;Detalle_OC[[#This Row],[Nom Almacen]]&amp;Detalle_OC[[#This Row],[Material]]&amp;Detalle_OC[[#This Row],[Pedido]]&amp;Detalle_OC[[#This Row],[Posicion]]</f>
        <v>Agricola del Chira PlantaMontelima8445245500019188210</v>
      </c>
      <c r="B4552" t="s">
        <v>28</v>
      </c>
      <c r="C4552" t="s">
        <v>82</v>
      </c>
      <c r="D4552" s="11">
        <v>43888</v>
      </c>
      <c r="E4552" t="s">
        <v>16</v>
      </c>
      <c r="F4552" t="s">
        <v>12</v>
      </c>
      <c r="G4552">
        <v>844524</v>
      </c>
      <c r="H4552">
        <v>5500019188</v>
      </c>
      <c r="I4552">
        <v>210</v>
      </c>
      <c r="J4552" s="29">
        <v>1</v>
      </c>
      <c r="K4552" s="29" t="s">
        <v>703</v>
      </c>
      <c r="L4552" t="str">
        <f>IFERROR(VLOOKUP(Detalle_OC[[#This Row],[Centro]]&amp;Detalle_OC[[#This Row],[Nro Almacen]],Almacen!A:D,4,FALSE),"")</f>
        <v>Montelima</v>
      </c>
    </row>
    <row r="4553" spans="1:12" x14ac:dyDescent="0.3">
      <c r="A4553" s="29" t="str">
        <f>Detalle_OC[[#This Row],[Centro]]&amp;Detalle_OC[[#This Row],[Nom Almacen]]&amp;Detalle_OC[[#This Row],[Material]]&amp;Detalle_OC[[#This Row],[Pedido]]&amp;Detalle_OC[[#This Row],[Posicion]]</f>
        <v>Agricola del Chira PlantaMontelima8445205500019188520</v>
      </c>
      <c r="B4553" t="s">
        <v>28</v>
      </c>
      <c r="C4553" t="s">
        <v>82</v>
      </c>
      <c r="D4553" s="11">
        <v>43888</v>
      </c>
      <c r="E4553" t="s">
        <v>16</v>
      </c>
      <c r="F4553" t="s">
        <v>12</v>
      </c>
      <c r="G4553">
        <v>844520</v>
      </c>
      <c r="H4553">
        <v>5500019188</v>
      </c>
      <c r="I4553">
        <v>520</v>
      </c>
      <c r="J4553" s="29">
        <v>1</v>
      </c>
      <c r="K4553" s="29" t="s">
        <v>703</v>
      </c>
      <c r="L4553" t="str">
        <f>IFERROR(VLOOKUP(Detalle_OC[[#This Row],[Centro]]&amp;Detalle_OC[[#This Row],[Nro Almacen]],Almacen!A:D,4,FALSE),"")</f>
        <v>Montelima</v>
      </c>
    </row>
    <row r="4554" spans="1:12" x14ac:dyDescent="0.3">
      <c r="A4554" s="29" t="str">
        <f>Detalle_OC[[#This Row],[Centro]]&amp;Detalle_OC[[#This Row],[Nom Almacen]]&amp;Detalle_OC[[#This Row],[Material]]&amp;Detalle_OC[[#This Row],[Pedido]]&amp;Detalle_OC[[#This Row],[Posicion]]</f>
        <v>Agricola del Chira PlantaMontelima8445125500019188620</v>
      </c>
      <c r="B4554" t="s">
        <v>28</v>
      </c>
      <c r="C4554" t="s">
        <v>82</v>
      </c>
      <c r="D4554" s="11">
        <v>43888</v>
      </c>
      <c r="E4554" t="s">
        <v>16</v>
      </c>
      <c r="F4554" t="s">
        <v>12</v>
      </c>
      <c r="G4554">
        <v>844512</v>
      </c>
      <c r="H4554">
        <v>5500019188</v>
      </c>
      <c r="I4554">
        <v>620</v>
      </c>
      <c r="J4554" s="29">
        <v>1</v>
      </c>
      <c r="K4554" s="29" t="s">
        <v>703</v>
      </c>
      <c r="L4554" t="str">
        <f>IFERROR(VLOOKUP(Detalle_OC[[#This Row],[Centro]]&amp;Detalle_OC[[#This Row],[Nro Almacen]],Almacen!A:D,4,FALSE),"")</f>
        <v>Montelima</v>
      </c>
    </row>
    <row r="4555" spans="1:12" x14ac:dyDescent="0.3">
      <c r="A4555" s="29" t="str">
        <f>Detalle_OC[[#This Row],[Centro]]&amp;Detalle_OC[[#This Row],[Nom Almacen]]&amp;Detalle_OC[[#This Row],[Material]]&amp;Detalle_OC[[#This Row],[Pedido]]&amp;Detalle_OC[[#This Row],[Posicion]]</f>
        <v>Agricola del Chira PlantaMontelima88882255000191881090</v>
      </c>
      <c r="B4555" t="s">
        <v>28</v>
      </c>
      <c r="C4555" t="s">
        <v>82</v>
      </c>
      <c r="D4555" s="11">
        <v>43888</v>
      </c>
      <c r="E4555" t="s">
        <v>16</v>
      </c>
      <c r="F4555" t="s">
        <v>12</v>
      </c>
      <c r="G4555">
        <v>888822</v>
      </c>
      <c r="H4555">
        <v>5500019188</v>
      </c>
      <c r="I4555">
        <v>1090</v>
      </c>
      <c r="J4555" s="29">
        <v>1</v>
      </c>
      <c r="K4555" s="29" t="s">
        <v>703</v>
      </c>
      <c r="L4555" t="str">
        <f>IFERROR(VLOOKUP(Detalle_OC[[#This Row],[Centro]]&amp;Detalle_OC[[#This Row],[Nro Almacen]],Almacen!A:D,4,FALSE),"")</f>
        <v>Montelima</v>
      </c>
    </row>
    <row r="4556" spans="1:12" x14ac:dyDescent="0.3">
      <c r="A4556" s="29" t="str">
        <f>Detalle_OC[[#This Row],[Centro]]&amp;Detalle_OC[[#This Row],[Nom Almacen]]&amp;Detalle_OC[[#This Row],[Material]]&amp;Detalle_OC[[#This Row],[Pedido]]&amp;Detalle_OC[[#This Row],[Posicion]]</f>
        <v>Agricola del Chira PlantaMontelima8445035500019188370</v>
      </c>
      <c r="B4556" t="s">
        <v>28</v>
      </c>
      <c r="C4556" t="s">
        <v>82</v>
      </c>
      <c r="D4556" s="11">
        <v>43879</v>
      </c>
      <c r="E4556" t="s">
        <v>16</v>
      </c>
      <c r="F4556" t="s">
        <v>12</v>
      </c>
      <c r="G4556">
        <v>844503</v>
      </c>
      <c r="H4556">
        <v>5500019188</v>
      </c>
      <c r="I4556">
        <v>370</v>
      </c>
      <c r="J4556" s="29">
        <v>1</v>
      </c>
      <c r="K4556" s="29" t="s">
        <v>704</v>
      </c>
      <c r="L4556" t="str">
        <f>IFERROR(VLOOKUP(Detalle_OC[[#This Row],[Centro]]&amp;Detalle_OC[[#This Row],[Nro Almacen]],Almacen!A:D,4,FALSE),"")</f>
        <v>Montelima</v>
      </c>
    </row>
    <row r="4557" spans="1:12" x14ac:dyDescent="0.3">
      <c r="A4557" s="29" t="str">
        <f>Detalle_OC[[#This Row],[Centro]]&amp;Detalle_OC[[#This Row],[Nom Almacen]]&amp;Detalle_OC[[#This Row],[Material]]&amp;Detalle_OC[[#This Row],[Pedido]]&amp;Detalle_OC[[#This Row],[Posicion]]</f>
        <v>Agricola del Chira PlantaMontelima8445125500019188620</v>
      </c>
      <c r="B4557" t="s">
        <v>28</v>
      </c>
      <c r="C4557" t="s">
        <v>82</v>
      </c>
      <c r="D4557" s="11">
        <v>43879</v>
      </c>
      <c r="E4557" t="s">
        <v>16</v>
      </c>
      <c r="F4557" t="s">
        <v>12</v>
      </c>
      <c r="G4557">
        <v>844512</v>
      </c>
      <c r="H4557">
        <v>5500019188</v>
      </c>
      <c r="I4557">
        <v>620</v>
      </c>
      <c r="J4557" s="29">
        <v>1</v>
      </c>
      <c r="K4557" s="29" t="s">
        <v>704</v>
      </c>
      <c r="L4557" t="str">
        <f>IFERROR(VLOOKUP(Detalle_OC[[#This Row],[Centro]]&amp;Detalle_OC[[#This Row],[Nro Almacen]],Almacen!A:D,4,FALSE),"")</f>
        <v>Montelima</v>
      </c>
    </row>
    <row r="4558" spans="1:12" x14ac:dyDescent="0.3">
      <c r="A4558" s="29" t="str">
        <f>Detalle_OC[[#This Row],[Centro]]&amp;Detalle_OC[[#This Row],[Nom Almacen]]&amp;Detalle_OC[[#This Row],[Material]]&amp;Detalle_OC[[#This Row],[Pedido]]&amp;Detalle_OC[[#This Row],[Posicion]]</f>
        <v>Agricola del Chira PlantaMontelima7003087955000191881700</v>
      </c>
      <c r="B4558" t="s">
        <v>28</v>
      </c>
      <c r="C4558" t="s">
        <v>82</v>
      </c>
      <c r="D4558" s="11">
        <v>43879</v>
      </c>
      <c r="E4558" t="s">
        <v>16</v>
      </c>
      <c r="F4558" t="s">
        <v>12</v>
      </c>
      <c r="G4558">
        <v>70030879</v>
      </c>
      <c r="H4558">
        <v>5500019188</v>
      </c>
      <c r="I4558">
        <v>1700</v>
      </c>
      <c r="J4558" s="29">
        <v>1</v>
      </c>
      <c r="K4558" s="29" t="s">
        <v>704</v>
      </c>
      <c r="L4558" t="str">
        <f>IFERROR(VLOOKUP(Detalle_OC[[#This Row],[Centro]]&amp;Detalle_OC[[#This Row],[Nro Almacen]],Almacen!A:D,4,FALSE),"")</f>
        <v>Montelima</v>
      </c>
    </row>
    <row r="4559" spans="1:12" x14ac:dyDescent="0.3">
      <c r="A4559" s="29" t="str">
        <f>Detalle_OC[[#This Row],[Centro]]&amp;Detalle_OC[[#This Row],[Nom Almacen]]&amp;Detalle_OC[[#This Row],[Material]]&amp;Detalle_OC[[#This Row],[Pedido]]&amp;Detalle_OC[[#This Row],[Posicion]]</f>
        <v>Agricola del Chira PlantaMontelima761905550001918810</v>
      </c>
      <c r="B4559" t="s">
        <v>28</v>
      </c>
      <c r="C4559" t="s">
        <v>82</v>
      </c>
      <c r="D4559" s="11">
        <v>43872</v>
      </c>
      <c r="E4559" t="s">
        <v>16</v>
      </c>
      <c r="F4559" t="s">
        <v>12</v>
      </c>
      <c r="G4559">
        <v>761905</v>
      </c>
      <c r="H4559">
        <v>5500019188</v>
      </c>
      <c r="I4559">
        <v>10</v>
      </c>
      <c r="J4559" s="29">
        <v>1</v>
      </c>
      <c r="K4559" s="29" t="s">
        <v>705</v>
      </c>
      <c r="L4559" t="str">
        <f>IFERROR(VLOOKUP(Detalle_OC[[#This Row],[Centro]]&amp;Detalle_OC[[#This Row],[Nro Almacen]],Almacen!A:D,4,FALSE),"")</f>
        <v>Montelima</v>
      </c>
    </row>
    <row r="4560" spans="1:12" x14ac:dyDescent="0.3">
      <c r="A4560" s="29" t="str">
        <f>Detalle_OC[[#This Row],[Centro]]&amp;Detalle_OC[[#This Row],[Nom Almacen]]&amp;Detalle_OC[[#This Row],[Material]]&amp;Detalle_OC[[#This Row],[Pedido]]&amp;Detalle_OC[[#This Row],[Posicion]]</f>
        <v>Agricola del Chira PlantaMontelima738330550001918820</v>
      </c>
      <c r="B4560" t="s">
        <v>28</v>
      </c>
      <c r="C4560" t="s">
        <v>82</v>
      </c>
      <c r="D4560" s="11">
        <v>43872</v>
      </c>
      <c r="E4560" t="s">
        <v>16</v>
      </c>
      <c r="F4560" t="s">
        <v>12</v>
      </c>
      <c r="G4560">
        <v>738330</v>
      </c>
      <c r="H4560">
        <v>5500019188</v>
      </c>
      <c r="I4560">
        <v>20</v>
      </c>
      <c r="J4560" s="29">
        <v>1</v>
      </c>
      <c r="K4560" s="29" t="s">
        <v>705</v>
      </c>
      <c r="L4560" t="str">
        <f>IFERROR(VLOOKUP(Detalle_OC[[#This Row],[Centro]]&amp;Detalle_OC[[#This Row],[Nro Almacen]],Almacen!A:D,4,FALSE),"")</f>
        <v>Montelima</v>
      </c>
    </row>
    <row r="4561" spans="1:12" x14ac:dyDescent="0.3">
      <c r="A4561" s="29" t="str">
        <f>Detalle_OC[[#This Row],[Centro]]&amp;Detalle_OC[[#This Row],[Nom Almacen]]&amp;Detalle_OC[[#This Row],[Material]]&amp;Detalle_OC[[#This Row],[Pedido]]&amp;Detalle_OC[[#This Row],[Posicion]]</f>
        <v>Agricola del Chira PlantaMontelima725201550001918830</v>
      </c>
      <c r="B4561" t="s">
        <v>28</v>
      </c>
      <c r="C4561" t="s">
        <v>82</v>
      </c>
      <c r="D4561" s="11">
        <v>43872</v>
      </c>
      <c r="E4561" t="s">
        <v>16</v>
      </c>
      <c r="F4561" t="s">
        <v>12</v>
      </c>
      <c r="G4561">
        <v>725201</v>
      </c>
      <c r="H4561">
        <v>5500019188</v>
      </c>
      <c r="I4561">
        <v>30</v>
      </c>
      <c r="J4561" s="29">
        <v>1</v>
      </c>
      <c r="K4561" s="29" t="s">
        <v>705</v>
      </c>
      <c r="L4561" t="str">
        <f>IFERROR(VLOOKUP(Detalle_OC[[#This Row],[Centro]]&amp;Detalle_OC[[#This Row],[Nro Almacen]],Almacen!A:D,4,FALSE),"")</f>
        <v>Montelima</v>
      </c>
    </row>
    <row r="4562" spans="1:12" x14ac:dyDescent="0.3">
      <c r="A4562" s="29" t="str">
        <f>Detalle_OC[[#This Row],[Centro]]&amp;Detalle_OC[[#This Row],[Nom Almacen]]&amp;Detalle_OC[[#This Row],[Material]]&amp;Detalle_OC[[#This Row],[Pedido]]&amp;Detalle_OC[[#This Row],[Posicion]]</f>
        <v>Agricola del Chira PlantaMontelima738245550001918840</v>
      </c>
      <c r="B4562" t="s">
        <v>28</v>
      </c>
      <c r="C4562" t="s">
        <v>82</v>
      </c>
      <c r="D4562" s="11">
        <v>43872</v>
      </c>
      <c r="E4562" t="s">
        <v>16</v>
      </c>
      <c r="F4562" t="s">
        <v>12</v>
      </c>
      <c r="G4562">
        <v>738245</v>
      </c>
      <c r="H4562">
        <v>5500019188</v>
      </c>
      <c r="I4562">
        <v>40</v>
      </c>
      <c r="J4562" s="29">
        <v>1</v>
      </c>
      <c r="K4562" s="29" t="s">
        <v>705</v>
      </c>
      <c r="L4562" t="str">
        <f>IFERROR(VLOOKUP(Detalle_OC[[#This Row],[Centro]]&amp;Detalle_OC[[#This Row],[Nro Almacen]],Almacen!A:D,4,FALSE),"")</f>
        <v>Montelima</v>
      </c>
    </row>
    <row r="4563" spans="1:12" x14ac:dyDescent="0.3">
      <c r="A4563" s="29" t="str">
        <f>Detalle_OC[[#This Row],[Centro]]&amp;Detalle_OC[[#This Row],[Nom Almacen]]&amp;Detalle_OC[[#This Row],[Material]]&amp;Detalle_OC[[#This Row],[Pedido]]&amp;Detalle_OC[[#This Row],[Posicion]]</f>
        <v>Agricola del Chira PlantaMontelima844601550001918860</v>
      </c>
      <c r="B4563" t="s">
        <v>28</v>
      </c>
      <c r="C4563" t="s">
        <v>82</v>
      </c>
      <c r="D4563" s="11">
        <v>43872</v>
      </c>
      <c r="E4563" t="s">
        <v>16</v>
      </c>
      <c r="F4563" t="s">
        <v>12</v>
      </c>
      <c r="G4563">
        <v>844601</v>
      </c>
      <c r="H4563">
        <v>5500019188</v>
      </c>
      <c r="I4563">
        <v>60</v>
      </c>
      <c r="J4563" s="29">
        <v>1</v>
      </c>
      <c r="K4563" s="29" t="s">
        <v>705</v>
      </c>
      <c r="L4563" t="str">
        <f>IFERROR(VLOOKUP(Detalle_OC[[#This Row],[Centro]]&amp;Detalle_OC[[#This Row],[Nro Almacen]],Almacen!A:D,4,FALSE),"")</f>
        <v>Montelima</v>
      </c>
    </row>
    <row r="4564" spans="1:12" x14ac:dyDescent="0.3">
      <c r="A4564" s="29" t="str">
        <f>Detalle_OC[[#This Row],[Centro]]&amp;Detalle_OC[[#This Row],[Nom Almacen]]&amp;Detalle_OC[[#This Row],[Material]]&amp;Detalle_OC[[#This Row],[Pedido]]&amp;Detalle_OC[[#This Row],[Posicion]]</f>
        <v>Agricola del Chira PlantaMontelima738248550001918870</v>
      </c>
      <c r="B4564" t="s">
        <v>28</v>
      </c>
      <c r="C4564" t="s">
        <v>82</v>
      </c>
      <c r="D4564" s="11">
        <v>43872</v>
      </c>
      <c r="E4564" t="s">
        <v>16</v>
      </c>
      <c r="F4564" t="s">
        <v>12</v>
      </c>
      <c r="G4564">
        <v>738248</v>
      </c>
      <c r="H4564">
        <v>5500019188</v>
      </c>
      <c r="I4564">
        <v>70</v>
      </c>
      <c r="J4564" s="29">
        <v>1</v>
      </c>
      <c r="K4564" s="29" t="s">
        <v>705</v>
      </c>
      <c r="L4564" t="str">
        <f>IFERROR(VLOOKUP(Detalle_OC[[#This Row],[Centro]]&amp;Detalle_OC[[#This Row],[Nro Almacen]],Almacen!A:D,4,FALSE),"")</f>
        <v>Montelima</v>
      </c>
    </row>
    <row r="4565" spans="1:12" x14ac:dyDescent="0.3">
      <c r="A4565" s="29" t="str">
        <f>Detalle_OC[[#This Row],[Centro]]&amp;Detalle_OC[[#This Row],[Nom Almacen]]&amp;Detalle_OC[[#This Row],[Material]]&amp;Detalle_OC[[#This Row],[Pedido]]&amp;Detalle_OC[[#This Row],[Posicion]]</f>
        <v>Agricola del Chira PlantaMontelima7382475500019188100</v>
      </c>
      <c r="B4565" t="s">
        <v>28</v>
      </c>
      <c r="C4565" t="s">
        <v>82</v>
      </c>
      <c r="D4565" s="11">
        <v>43872</v>
      </c>
      <c r="E4565" t="s">
        <v>16</v>
      </c>
      <c r="F4565" t="s">
        <v>12</v>
      </c>
      <c r="G4565">
        <v>738247</v>
      </c>
      <c r="H4565">
        <v>5500019188</v>
      </c>
      <c r="I4565">
        <v>100</v>
      </c>
      <c r="J4565" s="29">
        <v>1</v>
      </c>
      <c r="K4565" s="29" t="s">
        <v>705</v>
      </c>
      <c r="L4565" t="str">
        <f>IFERROR(VLOOKUP(Detalle_OC[[#This Row],[Centro]]&amp;Detalle_OC[[#This Row],[Nro Almacen]],Almacen!A:D,4,FALSE),"")</f>
        <v>Montelima</v>
      </c>
    </row>
    <row r="4566" spans="1:12" x14ac:dyDescent="0.3">
      <c r="A4566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4566" t="s">
        <v>28</v>
      </c>
      <c r="C4566" t="s">
        <v>82</v>
      </c>
      <c r="D4566" s="11">
        <v>43872</v>
      </c>
      <c r="E4566" t="s">
        <v>16</v>
      </c>
      <c r="F4566" t="s">
        <v>12</v>
      </c>
      <c r="G4566">
        <v>844523</v>
      </c>
      <c r="H4566">
        <v>5500019188</v>
      </c>
      <c r="I4566">
        <v>140</v>
      </c>
      <c r="J4566" s="29">
        <v>1</v>
      </c>
      <c r="K4566" s="29" t="s">
        <v>705</v>
      </c>
      <c r="L4566" t="str">
        <f>IFERROR(VLOOKUP(Detalle_OC[[#This Row],[Centro]]&amp;Detalle_OC[[#This Row],[Nro Almacen]],Almacen!A:D,4,FALSE),"")</f>
        <v>Montelima</v>
      </c>
    </row>
    <row r="4567" spans="1:12" x14ac:dyDescent="0.3">
      <c r="A4567" s="29" t="str">
        <f>Detalle_OC[[#This Row],[Centro]]&amp;Detalle_OC[[#This Row],[Nom Almacen]]&amp;Detalle_OC[[#This Row],[Material]]&amp;Detalle_OC[[#This Row],[Pedido]]&amp;Detalle_OC[[#This Row],[Posicion]]</f>
        <v>Agricola del Chira PlantaMontelima8445335500019188170</v>
      </c>
      <c r="B4567" t="s">
        <v>28</v>
      </c>
      <c r="C4567" t="s">
        <v>82</v>
      </c>
      <c r="D4567" s="11">
        <v>43872</v>
      </c>
      <c r="E4567" t="s">
        <v>16</v>
      </c>
      <c r="F4567" t="s">
        <v>12</v>
      </c>
      <c r="G4567">
        <v>844533</v>
      </c>
      <c r="H4567">
        <v>5500019188</v>
      </c>
      <c r="I4567">
        <v>170</v>
      </c>
      <c r="J4567" s="29">
        <v>1</v>
      </c>
      <c r="K4567" s="29" t="s">
        <v>705</v>
      </c>
      <c r="L4567" t="str">
        <f>IFERROR(VLOOKUP(Detalle_OC[[#This Row],[Centro]]&amp;Detalle_OC[[#This Row],[Nro Almacen]],Almacen!A:D,4,FALSE),"")</f>
        <v>Montelima</v>
      </c>
    </row>
    <row r="4568" spans="1:12" x14ac:dyDescent="0.3">
      <c r="A4568" s="29" t="str">
        <f>Detalle_OC[[#This Row],[Centro]]&amp;Detalle_OC[[#This Row],[Nom Almacen]]&amp;Detalle_OC[[#This Row],[Material]]&amp;Detalle_OC[[#This Row],[Pedido]]&amp;Detalle_OC[[#This Row],[Posicion]]</f>
        <v>Agricola del Chira PlantaMontelima8445115500019188180</v>
      </c>
      <c r="B4568" t="s">
        <v>28</v>
      </c>
      <c r="C4568" t="s">
        <v>82</v>
      </c>
      <c r="D4568" s="11">
        <v>43872</v>
      </c>
      <c r="E4568" t="s">
        <v>16</v>
      </c>
      <c r="F4568" t="s">
        <v>12</v>
      </c>
      <c r="G4568">
        <v>844511</v>
      </c>
      <c r="H4568">
        <v>5500019188</v>
      </c>
      <c r="I4568">
        <v>180</v>
      </c>
      <c r="J4568" s="29">
        <v>1</v>
      </c>
      <c r="K4568" s="29" t="s">
        <v>705</v>
      </c>
      <c r="L4568" t="str">
        <f>IFERROR(VLOOKUP(Detalle_OC[[#This Row],[Centro]]&amp;Detalle_OC[[#This Row],[Nro Almacen]],Almacen!A:D,4,FALSE),"")</f>
        <v>Montelima</v>
      </c>
    </row>
    <row r="4569" spans="1:12" x14ac:dyDescent="0.3">
      <c r="A4569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4569" t="s">
        <v>28</v>
      </c>
      <c r="C4569" t="s">
        <v>82</v>
      </c>
      <c r="D4569" s="11">
        <v>43872</v>
      </c>
      <c r="E4569" t="s">
        <v>16</v>
      </c>
      <c r="F4569" t="s">
        <v>12</v>
      </c>
      <c r="G4569">
        <v>844516</v>
      </c>
      <c r="H4569">
        <v>5500019188</v>
      </c>
      <c r="I4569">
        <v>190</v>
      </c>
      <c r="J4569" s="29">
        <v>1</v>
      </c>
      <c r="K4569" s="29" t="s">
        <v>705</v>
      </c>
      <c r="L4569" t="str">
        <f>IFERROR(VLOOKUP(Detalle_OC[[#This Row],[Centro]]&amp;Detalle_OC[[#This Row],[Nro Almacen]],Almacen!A:D,4,FALSE),"")</f>
        <v>Montelima</v>
      </c>
    </row>
    <row r="4570" spans="1:12" x14ac:dyDescent="0.3">
      <c r="A4570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4570" t="s">
        <v>28</v>
      </c>
      <c r="C4570" t="s">
        <v>82</v>
      </c>
      <c r="D4570" s="11">
        <v>43872</v>
      </c>
      <c r="E4570" t="s">
        <v>16</v>
      </c>
      <c r="F4570" t="s">
        <v>12</v>
      </c>
      <c r="G4570">
        <v>844515</v>
      </c>
      <c r="H4570">
        <v>5500019188</v>
      </c>
      <c r="I4570">
        <v>200</v>
      </c>
      <c r="J4570" s="29">
        <v>1</v>
      </c>
      <c r="K4570" s="29" t="s">
        <v>705</v>
      </c>
      <c r="L4570" t="str">
        <f>IFERROR(VLOOKUP(Detalle_OC[[#This Row],[Centro]]&amp;Detalle_OC[[#This Row],[Nro Almacen]],Almacen!A:D,4,FALSE),"")</f>
        <v>Montelima</v>
      </c>
    </row>
    <row r="4571" spans="1:12" x14ac:dyDescent="0.3">
      <c r="A4571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4571" t="s">
        <v>28</v>
      </c>
      <c r="C4571" t="s">
        <v>82</v>
      </c>
      <c r="D4571" s="11">
        <v>43872</v>
      </c>
      <c r="E4571" t="s">
        <v>16</v>
      </c>
      <c r="F4571" t="s">
        <v>12</v>
      </c>
      <c r="G4571">
        <v>844508</v>
      </c>
      <c r="H4571">
        <v>5500019188</v>
      </c>
      <c r="I4571">
        <v>220</v>
      </c>
      <c r="J4571" s="29">
        <v>1</v>
      </c>
      <c r="K4571" s="29" t="s">
        <v>705</v>
      </c>
      <c r="L4571" t="str">
        <f>IFERROR(VLOOKUP(Detalle_OC[[#This Row],[Centro]]&amp;Detalle_OC[[#This Row],[Nro Almacen]],Almacen!A:D,4,FALSE),"")</f>
        <v>Montelima</v>
      </c>
    </row>
    <row r="4572" spans="1:12" x14ac:dyDescent="0.3">
      <c r="A4572" s="29" t="str">
        <f>Detalle_OC[[#This Row],[Centro]]&amp;Detalle_OC[[#This Row],[Nom Almacen]]&amp;Detalle_OC[[#This Row],[Material]]&amp;Detalle_OC[[#This Row],[Pedido]]&amp;Detalle_OC[[#This Row],[Posicion]]</f>
        <v>Agricola del Chira PlantaMontelima8445025500019188250</v>
      </c>
      <c r="B4572" t="s">
        <v>28</v>
      </c>
      <c r="C4572" t="s">
        <v>82</v>
      </c>
      <c r="D4572" s="11">
        <v>43872</v>
      </c>
      <c r="E4572" t="s">
        <v>16</v>
      </c>
      <c r="F4572" t="s">
        <v>12</v>
      </c>
      <c r="G4572">
        <v>844502</v>
      </c>
      <c r="H4572">
        <v>5500019188</v>
      </c>
      <c r="I4572">
        <v>250</v>
      </c>
      <c r="J4572" s="29">
        <v>1</v>
      </c>
      <c r="K4572" s="29" t="s">
        <v>705</v>
      </c>
      <c r="L4572" t="str">
        <f>IFERROR(VLOOKUP(Detalle_OC[[#This Row],[Centro]]&amp;Detalle_OC[[#This Row],[Nro Almacen]],Almacen!A:D,4,FALSE),"")</f>
        <v>Montelima</v>
      </c>
    </row>
    <row r="4573" spans="1:12" x14ac:dyDescent="0.3">
      <c r="A4573" s="29" t="str">
        <f>Detalle_OC[[#This Row],[Centro]]&amp;Detalle_OC[[#This Row],[Nom Almacen]]&amp;Detalle_OC[[#This Row],[Material]]&amp;Detalle_OC[[#This Row],[Pedido]]&amp;Detalle_OC[[#This Row],[Posicion]]</f>
        <v>Agricola del Chira PlantaMontelima8445095500019188260</v>
      </c>
      <c r="B4573" t="s">
        <v>28</v>
      </c>
      <c r="C4573" t="s">
        <v>82</v>
      </c>
      <c r="D4573" s="11">
        <v>43872</v>
      </c>
      <c r="E4573" t="s">
        <v>16</v>
      </c>
      <c r="F4573" t="s">
        <v>12</v>
      </c>
      <c r="G4573">
        <v>844509</v>
      </c>
      <c r="H4573">
        <v>5500019188</v>
      </c>
      <c r="I4573">
        <v>260</v>
      </c>
      <c r="J4573" s="29">
        <v>1</v>
      </c>
      <c r="K4573" s="29" t="s">
        <v>705</v>
      </c>
      <c r="L4573" t="str">
        <f>IFERROR(VLOOKUP(Detalle_OC[[#This Row],[Centro]]&amp;Detalle_OC[[#This Row],[Nro Almacen]],Almacen!A:D,4,FALSE),"")</f>
        <v>Montelima</v>
      </c>
    </row>
    <row r="4574" spans="1:12" x14ac:dyDescent="0.3">
      <c r="A4574" s="29" t="str">
        <f>Detalle_OC[[#This Row],[Centro]]&amp;Detalle_OC[[#This Row],[Nom Almacen]]&amp;Detalle_OC[[#This Row],[Material]]&amp;Detalle_OC[[#This Row],[Pedido]]&amp;Detalle_OC[[#This Row],[Posicion]]</f>
        <v>Agricola del Chira PlantaMontelima8445185500019188270</v>
      </c>
      <c r="B4574" t="s">
        <v>28</v>
      </c>
      <c r="C4574" t="s">
        <v>82</v>
      </c>
      <c r="D4574" s="11">
        <v>43872</v>
      </c>
      <c r="E4574" t="s">
        <v>16</v>
      </c>
      <c r="F4574" t="s">
        <v>12</v>
      </c>
      <c r="G4574">
        <v>844518</v>
      </c>
      <c r="H4574">
        <v>5500019188</v>
      </c>
      <c r="I4574">
        <v>270</v>
      </c>
      <c r="J4574" s="29">
        <v>1</v>
      </c>
      <c r="K4574" s="29" t="s">
        <v>705</v>
      </c>
      <c r="L4574" t="str">
        <f>IFERROR(VLOOKUP(Detalle_OC[[#This Row],[Centro]]&amp;Detalle_OC[[#This Row],[Nro Almacen]],Almacen!A:D,4,FALSE),"")</f>
        <v>Montelima</v>
      </c>
    </row>
    <row r="4575" spans="1:12" x14ac:dyDescent="0.3">
      <c r="A4575" s="29" t="str">
        <f>Detalle_OC[[#This Row],[Centro]]&amp;Detalle_OC[[#This Row],[Nom Almacen]]&amp;Detalle_OC[[#This Row],[Material]]&amp;Detalle_OC[[#This Row],[Pedido]]&amp;Detalle_OC[[#This Row],[Posicion]]</f>
        <v>Agricola del Chira PlantaMontelima8443975500019188280</v>
      </c>
      <c r="B4575" t="s">
        <v>28</v>
      </c>
      <c r="C4575" t="s">
        <v>82</v>
      </c>
      <c r="D4575" s="11">
        <v>43872</v>
      </c>
      <c r="E4575" t="s">
        <v>16</v>
      </c>
      <c r="F4575" t="s">
        <v>12</v>
      </c>
      <c r="G4575">
        <v>844397</v>
      </c>
      <c r="H4575">
        <v>5500019188</v>
      </c>
      <c r="I4575">
        <v>280</v>
      </c>
      <c r="J4575" s="29">
        <v>1</v>
      </c>
      <c r="K4575" s="29" t="s">
        <v>705</v>
      </c>
      <c r="L4575" t="str">
        <f>IFERROR(VLOOKUP(Detalle_OC[[#This Row],[Centro]]&amp;Detalle_OC[[#This Row],[Nro Almacen]],Almacen!A:D,4,FALSE),"")</f>
        <v>Montelima</v>
      </c>
    </row>
    <row r="4576" spans="1:12" x14ac:dyDescent="0.3">
      <c r="A4576" s="29" t="str">
        <f>Detalle_OC[[#This Row],[Centro]]&amp;Detalle_OC[[#This Row],[Nom Almacen]]&amp;Detalle_OC[[#This Row],[Material]]&amp;Detalle_OC[[#This Row],[Pedido]]&amp;Detalle_OC[[#This Row],[Posicion]]</f>
        <v>Agricola del Chira PlantaMontelima8445175500019188340</v>
      </c>
      <c r="B4576" t="s">
        <v>28</v>
      </c>
      <c r="C4576" t="s">
        <v>82</v>
      </c>
      <c r="D4576" s="11">
        <v>43872</v>
      </c>
      <c r="E4576" t="s">
        <v>16</v>
      </c>
      <c r="F4576" t="s">
        <v>12</v>
      </c>
      <c r="G4576">
        <v>844517</v>
      </c>
      <c r="H4576">
        <v>5500019188</v>
      </c>
      <c r="I4576">
        <v>340</v>
      </c>
      <c r="J4576" s="29">
        <v>1</v>
      </c>
      <c r="K4576" s="29" t="s">
        <v>705</v>
      </c>
      <c r="L4576" t="str">
        <f>IFERROR(VLOOKUP(Detalle_OC[[#This Row],[Centro]]&amp;Detalle_OC[[#This Row],[Nro Almacen]],Almacen!A:D,4,FALSE),"")</f>
        <v>Montelima</v>
      </c>
    </row>
    <row r="4577" spans="1:12" x14ac:dyDescent="0.3">
      <c r="A4577" s="29" t="str">
        <f>Detalle_OC[[#This Row],[Centro]]&amp;Detalle_OC[[#This Row],[Nom Almacen]]&amp;Detalle_OC[[#This Row],[Material]]&amp;Detalle_OC[[#This Row],[Pedido]]&amp;Detalle_OC[[#This Row],[Posicion]]</f>
        <v>Agricola del Chira PlantaMontelima8459085500019188350</v>
      </c>
      <c r="B4577" t="s">
        <v>28</v>
      </c>
      <c r="C4577" t="s">
        <v>82</v>
      </c>
      <c r="D4577" s="11">
        <v>43872</v>
      </c>
      <c r="E4577" t="s">
        <v>16</v>
      </c>
      <c r="F4577" t="s">
        <v>12</v>
      </c>
      <c r="G4577">
        <v>845908</v>
      </c>
      <c r="H4577">
        <v>5500019188</v>
      </c>
      <c r="I4577">
        <v>350</v>
      </c>
      <c r="J4577" s="29">
        <v>1</v>
      </c>
      <c r="K4577" s="29" t="s">
        <v>705</v>
      </c>
      <c r="L4577" t="str">
        <f>IFERROR(VLOOKUP(Detalle_OC[[#This Row],[Centro]]&amp;Detalle_OC[[#This Row],[Nro Almacen]],Almacen!A:D,4,FALSE),"")</f>
        <v>Montelima</v>
      </c>
    </row>
    <row r="4578" spans="1:12" x14ac:dyDescent="0.3">
      <c r="A4578" s="29" t="str">
        <f>Detalle_OC[[#This Row],[Centro]]&amp;Detalle_OC[[#This Row],[Nom Almacen]]&amp;Detalle_OC[[#This Row],[Material]]&amp;Detalle_OC[[#This Row],[Pedido]]&amp;Detalle_OC[[#This Row],[Posicion]]</f>
        <v>Agricola del Chira PlantaMontelima8444905500019188400</v>
      </c>
      <c r="B4578" t="s">
        <v>28</v>
      </c>
      <c r="C4578" t="s">
        <v>82</v>
      </c>
      <c r="D4578" s="11">
        <v>43872</v>
      </c>
      <c r="E4578" t="s">
        <v>16</v>
      </c>
      <c r="F4578" t="s">
        <v>12</v>
      </c>
      <c r="G4578">
        <v>844490</v>
      </c>
      <c r="H4578">
        <v>5500019188</v>
      </c>
      <c r="I4578">
        <v>400</v>
      </c>
      <c r="J4578" s="29">
        <v>1</v>
      </c>
      <c r="K4578" s="29" t="s">
        <v>705</v>
      </c>
      <c r="L4578" t="str">
        <f>IFERROR(VLOOKUP(Detalle_OC[[#This Row],[Centro]]&amp;Detalle_OC[[#This Row],[Nro Almacen]],Almacen!A:D,4,FALSE),"")</f>
        <v>Montelima</v>
      </c>
    </row>
    <row r="4579" spans="1:12" x14ac:dyDescent="0.3">
      <c r="A4579" s="29" t="str">
        <f>Detalle_OC[[#This Row],[Centro]]&amp;Detalle_OC[[#This Row],[Nom Almacen]]&amp;Detalle_OC[[#This Row],[Material]]&amp;Detalle_OC[[#This Row],[Pedido]]&amp;Detalle_OC[[#This Row],[Posicion]]</f>
        <v>Agricola del Chira PlantaMontelima8445045500019188480</v>
      </c>
      <c r="B4579" t="s">
        <v>28</v>
      </c>
      <c r="C4579" t="s">
        <v>82</v>
      </c>
      <c r="D4579" s="11">
        <v>43872</v>
      </c>
      <c r="E4579" t="s">
        <v>16</v>
      </c>
      <c r="F4579" t="s">
        <v>12</v>
      </c>
      <c r="G4579">
        <v>844504</v>
      </c>
      <c r="H4579">
        <v>5500019188</v>
      </c>
      <c r="I4579">
        <v>480</v>
      </c>
      <c r="J4579" s="29">
        <v>1</v>
      </c>
      <c r="K4579" s="29" t="s">
        <v>705</v>
      </c>
      <c r="L4579" t="str">
        <f>IFERROR(VLOOKUP(Detalle_OC[[#This Row],[Centro]]&amp;Detalle_OC[[#This Row],[Nro Almacen]],Almacen!A:D,4,FALSE),"")</f>
        <v>Montelima</v>
      </c>
    </row>
    <row r="4580" spans="1:12" x14ac:dyDescent="0.3">
      <c r="A4580" s="29" t="str">
        <f>Detalle_OC[[#This Row],[Centro]]&amp;Detalle_OC[[#This Row],[Nom Almacen]]&amp;Detalle_OC[[#This Row],[Material]]&amp;Detalle_OC[[#This Row],[Pedido]]&amp;Detalle_OC[[#This Row],[Posicion]]</f>
        <v>Agricola del Chira PlantaMontelima82719955000191881020</v>
      </c>
      <c r="B4580" t="s">
        <v>28</v>
      </c>
      <c r="C4580" t="s">
        <v>82</v>
      </c>
      <c r="D4580" s="11">
        <v>43872</v>
      </c>
      <c r="E4580" t="s">
        <v>16</v>
      </c>
      <c r="F4580" t="s">
        <v>12</v>
      </c>
      <c r="G4580">
        <v>827199</v>
      </c>
      <c r="H4580">
        <v>5500019188</v>
      </c>
      <c r="I4580">
        <v>1020</v>
      </c>
      <c r="J4580" s="29">
        <v>1</v>
      </c>
      <c r="K4580" s="29" t="s">
        <v>705</v>
      </c>
      <c r="L4580" t="str">
        <f>IFERROR(VLOOKUP(Detalle_OC[[#This Row],[Centro]]&amp;Detalle_OC[[#This Row],[Nro Almacen]],Almacen!A:D,4,FALSE),"")</f>
        <v>Montelima</v>
      </c>
    </row>
    <row r="4581" spans="1:12" x14ac:dyDescent="0.3">
      <c r="A4581" s="29" t="str">
        <f>Detalle_OC[[#This Row],[Centro]]&amp;Detalle_OC[[#This Row],[Nom Almacen]]&amp;Detalle_OC[[#This Row],[Material]]&amp;Detalle_OC[[#This Row],[Pedido]]&amp;Detalle_OC[[#This Row],[Posicion]]</f>
        <v>Agricola del Chira PlantaMontelima83546155000191881060</v>
      </c>
      <c r="B4581" t="s">
        <v>28</v>
      </c>
      <c r="C4581" t="s">
        <v>82</v>
      </c>
      <c r="D4581" s="11">
        <v>43872</v>
      </c>
      <c r="E4581" t="s">
        <v>16</v>
      </c>
      <c r="F4581" t="s">
        <v>12</v>
      </c>
      <c r="G4581">
        <v>835461</v>
      </c>
      <c r="H4581">
        <v>5500019188</v>
      </c>
      <c r="I4581">
        <v>1060</v>
      </c>
      <c r="J4581" s="29">
        <v>1</v>
      </c>
      <c r="K4581" s="29" t="s">
        <v>705</v>
      </c>
      <c r="L4581" t="str">
        <f>IFERROR(VLOOKUP(Detalle_OC[[#This Row],[Centro]]&amp;Detalle_OC[[#This Row],[Nro Almacen]],Almacen!A:D,4,FALSE),"")</f>
        <v>Montelima</v>
      </c>
    </row>
    <row r="4582" spans="1:12" x14ac:dyDescent="0.3">
      <c r="A4582" s="29" t="str">
        <f>Detalle_OC[[#This Row],[Centro]]&amp;Detalle_OC[[#This Row],[Nom Almacen]]&amp;Detalle_OC[[#This Row],[Material]]&amp;Detalle_OC[[#This Row],[Pedido]]&amp;Detalle_OC[[#This Row],[Posicion]]</f>
        <v>Agricola del Chira PlantaMontelima82638355000191881150</v>
      </c>
      <c r="B4582" t="s">
        <v>28</v>
      </c>
      <c r="C4582" t="s">
        <v>82</v>
      </c>
      <c r="D4582" s="11">
        <v>43872</v>
      </c>
      <c r="E4582" t="s">
        <v>16</v>
      </c>
      <c r="F4582" t="s">
        <v>12</v>
      </c>
      <c r="G4582">
        <v>826383</v>
      </c>
      <c r="H4582">
        <v>5500019188</v>
      </c>
      <c r="I4582">
        <v>1150</v>
      </c>
      <c r="J4582" s="29">
        <v>1</v>
      </c>
      <c r="K4582" s="29" t="s">
        <v>705</v>
      </c>
      <c r="L4582" t="str">
        <f>IFERROR(VLOOKUP(Detalle_OC[[#This Row],[Centro]]&amp;Detalle_OC[[#This Row],[Nro Almacen]],Almacen!A:D,4,FALSE),"")</f>
        <v>Montelima</v>
      </c>
    </row>
    <row r="4583" spans="1:12" x14ac:dyDescent="0.3">
      <c r="A4583" s="29" t="str">
        <f>Detalle_OC[[#This Row],[Centro]]&amp;Detalle_OC[[#This Row],[Nom Almacen]]&amp;Detalle_OC[[#This Row],[Material]]&amp;Detalle_OC[[#This Row],[Pedido]]&amp;Detalle_OC[[#This Row],[Posicion]]</f>
        <v>Agricola del Chira PlantaMontelima84557255000191881300</v>
      </c>
      <c r="B4583" t="s">
        <v>28</v>
      </c>
      <c r="C4583" t="s">
        <v>82</v>
      </c>
      <c r="D4583" s="11">
        <v>43872</v>
      </c>
      <c r="E4583" t="s">
        <v>16</v>
      </c>
      <c r="F4583" t="s">
        <v>12</v>
      </c>
      <c r="G4583">
        <v>845572</v>
      </c>
      <c r="H4583">
        <v>5500019188</v>
      </c>
      <c r="I4583">
        <v>1300</v>
      </c>
      <c r="J4583" s="29">
        <v>1</v>
      </c>
      <c r="K4583" s="29" t="s">
        <v>705</v>
      </c>
      <c r="L4583" t="str">
        <f>IFERROR(VLOOKUP(Detalle_OC[[#This Row],[Centro]]&amp;Detalle_OC[[#This Row],[Nro Almacen]],Almacen!A:D,4,FALSE),"")</f>
        <v>Montelima</v>
      </c>
    </row>
    <row r="4584" spans="1:12" x14ac:dyDescent="0.3">
      <c r="A4584" s="29" t="str">
        <f>Detalle_OC[[#This Row],[Centro]]&amp;Detalle_OC[[#This Row],[Nom Almacen]]&amp;Detalle_OC[[#This Row],[Material]]&amp;Detalle_OC[[#This Row],[Pedido]]&amp;Detalle_OC[[#This Row],[Posicion]]</f>
        <v>Agricola del Chira PlantaMontelima83507555000191881310</v>
      </c>
      <c r="B4584" t="s">
        <v>28</v>
      </c>
      <c r="C4584" t="s">
        <v>82</v>
      </c>
      <c r="D4584" s="11">
        <v>43872</v>
      </c>
      <c r="E4584" t="s">
        <v>16</v>
      </c>
      <c r="F4584" t="s">
        <v>12</v>
      </c>
      <c r="G4584">
        <v>835075</v>
      </c>
      <c r="H4584">
        <v>5500019188</v>
      </c>
      <c r="I4584">
        <v>1310</v>
      </c>
      <c r="J4584" s="29">
        <v>1</v>
      </c>
      <c r="K4584" s="29" t="s">
        <v>705</v>
      </c>
      <c r="L4584" t="str">
        <f>IFERROR(VLOOKUP(Detalle_OC[[#This Row],[Centro]]&amp;Detalle_OC[[#This Row],[Nro Almacen]],Almacen!A:D,4,FALSE),"")</f>
        <v>Montelima</v>
      </c>
    </row>
    <row r="4585" spans="1:12" x14ac:dyDescent="0.3">
      <c r="A4585" s="29" t="str">
        <f>Detalle_OC[[#This Row],[Centro]]&amp;Detalle_OC[[#This Row],[Nom Almacen]]&amp;Detalle_OC[[#This Row],[Material]]&amp;Detalle_OC[[#This Row],[Pedido]]&amp;Detalle_OC[[#This Row],[Posicion]]</f>
        <v>Agricola del Chira PlantaMontelima83507355000191881320</v>
      </c>
      <c r="B4585" t="s">
        <v>28</v>
      </c>
      <c r="C4585" t="s">
        <v>82</v>
      </c>
      <c r="D4585" s="11">
        <v>43872</v>
      </c>
      <c r="E4585" t="s">
        <v>16</v>
      </c>
      <c r="F4585" t="s">
        <v>12</v>
      </c>
      <c r="G4585">
        <v>835073</v>
      </c>
      <c r="H4585">
        <v>5500019188</v>
      </c>
      <c r="I4585">
        <v>1320</v>
      </c>
      <c r="J4585" s="29">
        <v>1</v>
      </c>
      <c r="K4585" s="29" t="s">
        <v>705</v>
      </c>
      <c r="L4585" t="str">
        <f>IFERROR(VLOOKUP(Detalle_OC[[#This Row],[Centro]]&amp;Detalle_OC[[#This Row],[Nro Almacen]],Almacen!A:D,4,FALSE),"")</f>
        <v>Montelima</v>
      </c>
    </row>
    <row r="4586" spans="1:12" x14ac:dyDescent="0.3">
      <c r="A4586" s="29" t="str">
        <f>Detalle_OC[[#This Row],[Centro]]&amp;Detalle_OC[[#This Row],[Nom Almacen]]&amp;Detalle_OC[[#This Row],[Material]]&amp;Detalle_OC[[#This Row],[Pedido]]&amp;Detalle_OC[[#This Row],[Posicion]]</f>
        <v>Agricola del Chira PlantaMontelima83507655000191881340</v>
      </c>
      <c r="B4586" t="s">
        <v>28</v>
      </c>
      <c r="C4586" t="s">
        <v>82</v>
      </c>
      <c r="D4586" s="11">
        <v>43872</v>
      </c>
      <c r="E4586" t="s">
        <v>16</v>
      </c>
      <c r="F4586" t="s">
        <v>12</v>
      </c>
      <c r="G4586">
        <v>835076</v>
      </c>
      <c r="H4586">
        <v>5500019188</v>
      </c>
      <c r="I4586">
        <v>1340</v>
      </c>
      <c r="J4586" s="29">
        <v>1</v>
      </c>
      <c r="K4586" s="29" t="s">
        <v>705</v>
      </c>
      <c r="L4586" t="str">
        <f>IFERROR(VLOOKUP(Detalle_OC[[#This Row],[Centro]]&amp;Detalle_OC[[#This Row],[Nro Almacen]],Almacen!A:D,4,FALSE),"")</f>
        <v>Montelima</v>
      </c>
    </row>
    <row r="4587" spans="1:12" x14ac:dyDescent="0.3">
      <c r="A4587" s="29" t="str">
        <f>Detalle_OC[[#This Row],[Centro]]&amp;Detalle_OC[[#This Row],[Nom Almacen]]&amp;Detalle_OC[[#This Row],[Material]]&amp;Detalle_OC[[#This Row],[Pedido]]&amp;Detalle_OC[[#This Row],[Posicion]]</f>
        <v>Agricola del Chira PlantaMontelima84709955000191881400</v>
      </c>
      <c r="B4587" t="s">
        <v>28</v>
      </c>
      <c r="C4587" t="s">
        <v>82</v>
      </c>
      <c r="D4587" s="11">
        <v>43872</v>
      </c>
      <c r="E4587" t="s">
        <v>16</v>
      </c>
      <c r="F4587" t="s">
        <v>12</v>
      </c>
      <c r="G4587">
        <v>847099</v>
      </c>
      <c r="H4587">
        <v>5500019188</v>
      </c>
      <c r="I4587">
        <v>1400</v>
      </c>
      <c r="J4587" s="29">
        <v>1</v>
      </c>
      <c r="K4587" s="29" t="s">
        <v>705</v>
      </c>
      <c r="L4587" t="str">
        <f>IFERROR(VLOOKUP(Detalle_OC[[#This Row],[Centro]]&amp;Detalle_OC[[#This Row],[Nro Almacen]],Almacen!A:D,4,FALSE),"")</f>
        <v>Montelima</v>
      </c>
    </row>
    <row r="4588" spans="1:12" x14ac:dyDescent="0.3">
      <c r="A4588" s="29" t="str">
        <f>Detalle_OC[[#This Row],[Centro]]&amp;Detalle_OC[[#This Row],[Nom Almacen]]&amp;Detalle_OC[[#This Row],[Material]]&amp;Detalle_OC[[#This Row],[Pedido]]&amp;Detalle_OC[[#This Row],[Posicion]]</f>
        <v>Agricola del Chira PlantaMontelima7004178355000191882260</v>
      </c>
      <c r="B4588" t="s">
        <v>28</v>
      </c>
      <c r="C4588" t="s">
        <v>82</v>
      </c>
      <c r="D4588" s="11">
        <v>43872</v>
      </c>
      <c r="E4588" t="s">
        <v>16</v>
      </c>
      <c r="F4588" t="s">
        <v>12</v>
      </c>
      <c r="G4588">
        <v>70041783</v>
      </c>
      <c r="H4588">
        <v>5500019188</v>
      </c>
      <c r="I4588">
        <v>2260</v>
      </c>
      <c r="J4588" s="29">
        <v>1</v>
      </c>
      <c r="K4588" s="29" t="s">
        <v>705</v>
      </c>
      <c r="L4588" t="str">
        <f>IFERROR(VLOOKUP(Detalle_OC[[#This Row],[Centro]]&amp;Detalle_OC[[#This Row],[Nro Almacen]],Almacen!A:D,4,FALSE),"")</f>
        <v>Montelima</v>
      </c>
    </row>
    <row r="4589" spans="1:12" x14ac:dyDescent="0.3">
      <c r="A4589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4589" t="s">
        <v>28</v>
      </c>
      <c r="C4589" t="s">
        <v>82</v>
      </c>
      <c r="D4589" s="11">
        <v>43871</v>
      </c>
      <c r="E4589" t="s">
        <v>16</v>
      </c>
      <c r="F4589" t="s">
        <v>12</v>
      </c>
      <c r="G4589">
        <v>844523</v>
      </c>
      <c r="H4589">
        <v>5500019188</v>
      </c>
      <c r="I4589">
        <v>140</v>
      </c>
      <c r="J4589" s="29">
        <v>1</v>
      </c>
      <c r="K4589" s="29" t="s">
        <v>706</v>
      </c>
      <c r="L4589" t="str">
        <f>IFERROR(VLOOKUP(Detalle_OC[[#This Row],[Centro]]&amp;Detalle_OC[[#This Row],[Nro Almacen]],Almacen!A:D,4,FALSE),"")</f>
        <v>Montelima</v>
      </c>
    </row>
    <row r="4590" spans="1:12" x14ac:dyDescent="0.3">
      <c r="A4590" s="29" t="str">
        <f>Detalle_OC[[#This Row],[Centro]]&amp;Detalle_OC[[#This Row],[Nom Almacen]]&amp;Detalle_OC[[#This Row],[Material]]&amp;Detalle_OC[[#This Row],[Pedido]]&amp;Detalle_OC[[#This Row],[Posicion]]</f>
        <v>Agricola del Chira PlantaMontelima8445335500019188170</v>
      </c>
      <c r="B4590" t="s">
        <v>28</v>
      </c>
      <c r="C4590" t="s">
        <v>82</v>
      </c>
      <c r="D4590" s="11">
        <v>43871</v>
      </c>
      <c r="E4590" t="s">
        <v>16</v>
      </c>
      <c r="F4590" t="s">
        <v>12</v>
      </c>
      <c r="G4590">
        <v>844533</v>
      </c>
      <c r="H4590">
        <v>5500019188</v>
      </c>
      <c r="I4590">
        <v>170</v>
      </c>
      <c r="J4590" s="29">
        <v>1</v>
      </c>
      <c r="K4590" s="29" t="s">
        <v>706</v>
      </c>
      <c r="L4590" t="str">
        <f>IFERROR(VLOOKUP(Detalle_OC[[#This Row],[Centro]]&amp;Detalle_OC[[#This Row],[Nro Almacen]],Almacen!A:D,4,FALSE),"")</f>
        <v>Montelima</v>
      </c>
    </row>
    <row r="4591" spans="1:12" x14ac:dyDescent="0.3">
      <c r="A4591" s="29" t="str">
        <f>Detalle_OC[[#This Row],[Centro]]&amp;Detalle_OC[[#This Row],[Nom Almacen]]&amp;Detalle_OC[[#This Row],[Material]]&amp;Detalle_OC[[#This Row],[Pedido]]&amp;Detalle_OC[[#This Row],[Posicion]]</f>
        <v>Agricola del Chira PlantaMontelima8445385500019188560</v>
      </c>
      <c r="B4591" t="s">
        <v>28</v>
      </c>
      <c r="C4591" t="s">
        <v>82</v>
      </c>
      <c r="D4591" s="11">
        <v>43871</v>
      </c>
      <c r="E4591" t="s">
        <v>16</v>
      </c>
      <c r="F4591" t="s">
        <v>12</v>
      </c>
      <c r="G4591">
        <v>844538</v>
      </c>
      <c r="H4591">
        <v>5500019188</v>
      </c>
      <c r="I4591">
        <v>560</v>
      </c>
      <c r="J4591" s="29">
        <v>1</v>
      </c>
      <c r="K4591" s="29" t="s">
        <v>706</v>
      </c>
      <c r="L4591" t="str">
        <f>IFERROR(VLOOKUP(Detalle_OC[[#This Row],[Centro]]&amp;Detalle_OC[[#This Row],[Nro Almacen]],Almacen!A:D,4,FALSE),"")</f>
        <v>Montelima</v>
      </c>
    </row>
    <row r="4592" spans="1:12" x14ac:dyDescent="0.3">
      <c r="A4592" s="29" t="str">
        <f>Detalle_OC[[#This Row],[Centro]]&amp;Detalle_OC[[#This Row],[Nom Almacen]]&amp;Detalle_OC[[#This Row],[Material]]&amp;Detalle_OC[[#This Row],[Pedido]]&amp;Detalle_OC[[#This Row],[Posicion]]</f>
        <v>Agricola del Chira PlantaMontelima8445405500019188230</v>
      </c>
      <c r="B4592" t="s">
        <v>28</v>
      </c>
      <c r="C4592" t="s">
        <v>82</v>
      </c>
      <c r="D4592" s="11">
        <v>43868</v>
      </c>
      <c r="E4592" t="s">
        <v>16</v>
      </c>
      <c r="F4592" t="s">
        <v>12</v>
      </c>
      <c r="G4592">
        <v>844540</v>
      </c>
      <c r="H4592">
        <v>5500019188</v>
      </c>
      <c r="I4592">
        <v>230</v>
      </c>
      <c r="J4592" s="29">
        <v>1</v>
      </c>
      <c r="K4592" s="29" t="s">
        <v>707</v>
      </c>
      <c r="L4592" t="str">
        <f>IFERROR(VLOOKUP(Detalle_OC[[#This Row],[Centro]]&amp;Detalle_OC[[#This Row],[Nro Almacen]],Almacen!A:D,4,FALSE),"")</f>
        <v>Montelima</v>
      </c>
    </row>
    <row r="4593" spans="1:12" x14ac:dyDescent="0.3">
      <c r="A4593" s="29" t="str">
        <f>Detalle_OC[[#This Row],[Centro]]&amp;Detalle_OC[[#This Row],[Nom Almacen]]&amp;Detalle_OC[[#This Row],[Material]]&amp;Detalle_OC[[#This Row],[Pedido]]&amp;Detalle_OC[[#This Row],[Posicion]]</f>
        <v>Agricola del Chira PlantaMontelima8449175500019188240</v>
      </c>
      <c r="B4593" t="s">
        <v>28</v>
      </c>
      <c r="C4593" t="s">
        <v>82</v>
      </c>
      <c r="D4593" s="11">
        <v>43868</v>
      </c>
      <c r="E4593" t="s">
        <v>16</v>
      </c>
      <c r="F4593" t="s">
        <v>12</v>
      </c>
      <c r="G4593">
        <v>844917</v>
      </c>
      <c r="H4593">
        <v>5500019188</v>
      </c>
      <c r="I4593">
        <v>240</v>
      </c>
      <c r="J4593" s="29">
        <v>1</v>
      </c>
      <c r="K4593" s="29" t="s">
        <v>707</v>
      </c>
      <c r="L4593" t="str">
        <f>IFERROR(VLOOKUP(Detalle_OC[[#This Row],[Centro]]&amp;Detalle_OC[[#This Row],[Nro Almacen]],Almacen!A:D,4,FALSE),"")</f>
        <v>Montelima</v>
      </c>
    </row>
    <row r="4594" spans="1:12" x14ac:dyDescent="0.3">
      <c r="A4594" s="29" t="str">
        <f>Detalle_OC[[#This Row],[Centro]]&amp;Detalle_OC[[#This Row],[Nom Almacen]]&amp;Detalle_OC[[#This Row],[Material]]&amp;Detalle_OC[[#This Row],[Pedido]]&amp;Detalle_OC[[#This Row],[Posicion]]</f>
        <v>Agricola del Chira PlantaMontelima8445015500019188760</v>
      </c>
      <c r="B4594" t="s">
        <v>28</v>
      </c>
      <c r="C4594" t="s">
        <v>82</v>
      </c>
      <c r="D4594" s="11">
        <v>43868</v>
      </c>
      <c r="E4594" t="s">
        <v>16</v>
      </c>
      <c r="F4594" t="s">
        <v>12</v>
      </c>
      <c r="G4594">
        <v>844501</v>
      </c>
      <c r="H4594">
        <v>5500019188</v>
      </c>
      <c r="I4594">
        <v>760</v>
      </c>
      <c r="J4594" s="29">
        <v>1</v>
      </c>
      <c r="K4594" s="29" t="s">
        <v>707</v>
      </c>
      <c r="L4594" t="str">
        <f>IFERROR(VLOOKUP(Detalle_OC[[#This Row],[Centro]]&amp;Detalle_OC[[#This Row],[Nro Almacen]],Almacen!A:D,4,FALSE),"")</f>
        <v>Montelima</v>
      </c>
    </row>
    <row r="4595" spans="1:12" x14ac:dyDescent="0.3">
      <c r="A4595" s="29" t="str">
        <f>Detalle_OC[[#This Row],[Centro]]&amp;Detalle_OC[[#This Row],[Nom Almacen]]&amp;Detalle_OC[[#This Row],[Material]]&amp;Detalle_OC[[#This Row],[Pedido]]&amp;Detalle_OC[[#This Row],[Posicion]]</f>
        <v>Agricola del Chira PlantaMontelima85063755000191881390</v>
      </c>
      <c r="B4595" t="s">
        <v>28</v>
      </c>
      <c r="C4595" t="s">
        <v>82</v>
      </c>
      <c r="D4595" s="11">
        <v>43868</v>
      </c>
      <c r="E4595" t="s">
        <v>16</v>
      </c>
      <c r="F4595" t="s">
        <v>12</v>
      </c>
      <c r="G4595">
        <v>850637</v>
      </c>
      <c r="H4595">
        <v>5500019188</v>
      </c>
      <c r="I4595">
        <v>1390</v>
      </c>
      <c r="J4595" s="29">
        <v>1</v>
      </c>
      <c r="K4595" s="29" t="s">
        <v>707</v>
      </c>
      <c r="L4595" t="str">
        <f>IFERROR(VLOOKUP(Detalle_OC[[#This Row],[Centro]]&amp;Detalle_OC[[#This Row],[Nro Almacen]],Almacen!A:D,4,FALSE),"")</f>
        <v>Montelima</v>
      </c>
    </row>
    <row r="4596" spans="1:12" x14ac:dyDescent="0.3">
      <c r="A4596" s="29" t="str">
        <f>Detalle_OC[[#This Row],[Centro]]&amp;Detalle_OC[[#This Row],[Nom Almacen]]&amp;Detalle_OC[[#This Row],[Material]]&amp;Detalle_OC[[#This Row],[Pedido]]&amp;Detalle_OC[[#This Row],[Posicion]]</f>
        <v>Agricola del Chira PlantaMontelima82719955000191881020</v>
      </c>
      <c r="B4596" t="s">
        <v>28</v>
      </c>
      <c r="C4596" t="s">
        <v>82</v>
      </c>
      <c r="D4596" s="11">
        <v>43867</v>
      </c>
      <c r="E4596" t="s">
        <v>16</v>
      </c>
      <c r="F4596" t="s">
        <v>12</v>
      </c>
      <c r="G4596">
        <v>827199</v>
      </c>
      <c r="H4596">
        <v>5500019188</v>
      </c>
      <c r="I4596">
        <v>1020</v>
      </c>
      <c r="J4596" s="29">
        <v>1</v>
      </c>
      <c r="K4596" s="29" t="s">
        <v>708</v>
      </c>
      <c r="L4596" t="str">
        <f>IFERROR(VLOOKUP(Detalle_OC[[#This Row],[Centro]]&amp;Detalle_OC[[#This Row],[Nro Almacen]],Almacen!A:D,4,FALSE),"")</f>
        <v>Montelima</v>
      </c>
    </row>
    <row r="4597" spans="1:12" x14ac:dyDescent="0.3">
      <c r="A4597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4597" t="s">
        <v>28</v>
      </c>
      <c r="C4597" t="s">
        <v>82</v>
      </c>
      <c r="D4597" s="11">
        <v>43859</v>
      </c>
      <c r="E4597" t="s">
        <v>16</v>
      </c>
      <c r="F4597" t="s">
        <v>12</v>
      </c>
      <c r="G4597">
        <v>844516</v>
      </c>
      <c r="H4597">
        <v>5500019188</v>
      </c>
      <c r="I4597">
        <v>190</v>
      </c>
      <c r="J4597" s="29">
        <v>1</v>
      </c>
      <c r="K4597" s="29" t="s">
        <v>709</v>
      </c>
      <c r="L4597" t="str">
        <f>IFERROR(VLOOKUP(Detalle_OC[[#This Row],[Centro]]&amp;Detalle_OC[[#This Row],[Nro Almacen]],Almacen!A:D,4,FALSE),"")</f>
        <v>Montelima</v>
      </c>
    </row>
    <row r="4598" spans="1:12" x14ac:dyDescent="0.3">
      <c r="A4598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4598" t="s">
        <v>28</v>
      </c>
      <c r="C4598" t="s">
        <v>82</v>
      </c>
      <c r="D4598" s="11">
        <v>43859</v>
      </c>
      <c r="E4598" t="s">
        <v>16</v>
      </c>
      <c r="F4598" t="s">
        <v>12</v>
      </c>
      <c r="G4598">
        <v>844508</v>
      </c>
      <c r="H4598">
        <v>5500019188</v>
      </c>
      <c r="I4598">
        <v>220</v>
      </c>
      <c r="J4598" s="29">
        <v>1</v>
      </c>
      <c r="K4598" s="29" t="s">
        <v>709</v>
      </c>
      <c r="L4598" t="str">
        <f>IFERROR(VLOOKUP(Detalle_OC[[#This Row],[Centro]]&amp;Detalle_OC[[#This Row],[Nro Almacen]],Almacen!A:D,4,FALSE),"")</f>
        <v>Montelima</v>
      </c>
    </row>
    <row r="4599" spans="1:12" x14ac:dyDescent="0.3">
      <c r="A4599" s="29" t="str">
        <f>Detalle_OC[[#This Row],[Centro]]&amp;Detalle_OC[[#This Row],[Nom Almacen]]&amp;Detalle_OC[[#This Row],[Material]]&amp;Detalle_OC[[#This Row],[Pedido]]&amp;Detalle_OC[[#This Row],[Posicion]]</f>
        <v>Agricola del Chira PlantaMontelima8445025500019188250</v>
      </c>
      <c r="B4599" t="s">
        <v>28</v>
      </c>
      <c r="C4599" t="s">
        <v>82</v>
      </c>
      <c r="D4599" s="11">
        <v>43859</v>
      </c>
      <c r="E4599" t="s">
        <v>16</v>
      </c>
      <c r="F4599" t="s">
        <v>12</v>
      </c>
      <c r="G4599">
        <v>844502</v>
      </c>
      <c r="H4599">
        <v>5500019188</v>
      </c>
      <c r="I4599">
        <v>250</v>
      </c>
      <c r="J4599" s="29">
        <v>1</v>
      </c>
      <c r="K4599" s="29" t="s">
        <v>709</v>
      </c>
      <c r="L4599" t="str">
        <f>IFERROR(VLOOKUP(Detalle_OC[[#This Row],[Centro]]&amp;Detalle_OC[[#This Row],[Nro Almacen]],Almacen!A:D,4,FALSE),"")</f>
        <v>Montelima</v>
      </c>
    </row>
    <row r="4600" spans="1:12" x14ac:dyDescent="0.3">
      <c r="A4600" s="29" t="str">
        <f>Detalle_OC[[#This Row],[Centro]]&amp;Detalle_OC[[#This Row],[Nom Almacen]]&amp;Detalle_OC[[#This Row],[Material]]&amp;Detalle_OC[[#This Row],[Pedido]]&amp;Detalle_OC[[#This Row],[Posicion]]</f>
        <v>Agricola del Chira PlantaMontelima8445095500019188260</v>
      </c>
      <c r="B4600" t="s">
        <v>28</v>
      </c>
      <c r="C4600" t="s">
        <v>82</v>
      </c>
      <c r="D4600" s="11">
        <v>43859</v>
      </c>
      <c r="E4600" t="s">
        <v>16</v>
      </c>
      <c r="F4600" t="s">
        <v>12</v>
      </c>
      <c r="G4600">
        <v>844509</v>
      </c>
      <c r="H4600">
        <v>5500019188</v>
      </c>
      <c r="I4600">
        <v>260</v>
      </c>
      <c r="J4600" s="29">
        <v>1</v>
      </c>
      <c r="K4600" s="29" t="s">
        <v>709</v>
      </c>
      <c r="L4600" t="str">
        <f>IFERROR(VLOOKUP(Detalle_OC[[#This Row],[Centro]]&amp;Detalle_OC[[#This Row],[Nro Almacen]],Almacen!A:D,4,FALSE),"")</f>
        <v>Montelima</v>
      </c>
    </row>
    <row r="4601" spans="1:12" x14ac:dyDescent="0.3">
      <c r="A4601" s="29" t="str">
        <f>Detalle_OC[[#This Row],[Centro]]&amp;Detalle_OC[[#This Row],[Nom Almacen]]&amp;Detalle_OC[[#This Row],[Material]]&amp;Detalle_OC[[#This Row],[Pedido]]&amp;Detalle_OC[[#This Row],[Posicion]]</f>
        <v>Agricola del Chira PlantaMontelima8445395500019188300</v>
      </c>
      <c r="B4601" t="s">
        <v>28</v>
      </c>
      <c r="C4601" t="s">
        <v>82</v>
      </c>
      <c r="D4601" s="11">
        <v>43859</v>
      </c>
      <c r="E4601" t="s">
        <v>16</v>
      </c>
      <c r="F4601" t="s">
        <v>12</v>
      </c>
      <c r="G4601">
        <v>844539</v>
      </c>
      <c r="H4601">
        <v>5500019188</v>
      </c>
      <c r="I4601">
        <v>300</v>
      </c>
      <c r="J4601" s="29">
        <v>1</v>
      </c>
      <c r="K4601" s="29" t="s">
        <v>709</v>
      </c>
      <c r="L4601" t="str">
        <f>IFERROR(VLOOKUP(Detalle_OC[[#This Row],[Centro]]&amp;Detalle_OC[[#This Row],[Nro Almacen]],Almacen!A:D,4,FALSE),"")</f>
        <v>Montelima</v>
      </c>
    </row>
    <row r="4602" spans="1:12" x14ac:dyDescent="0.3">
      <c r="A4602" s="29" t="str">
        <f>Detalle_OC[[#This Row],[Centro]]&amp;Detalle_OC[[#This Row],[Nom Almacen]]&amp;Detalle_OC[[#This Row],[Material]]&amp;Detalle_OC[[#This Row],[Pedido]]&amp;Detalle_OC[[#This Row],[Posicion]]</f>
        <v>Agricola del Chira PlantaMontelima8445045500019188480</v>
      </c>
      <c r="B4602" t="s">
        <v>28</v>
      </c>
      <c r="C4602" t="s">
        <v>82</v>
      </c>
      <c r="D4602" s="11">
        <v>43859</v>
      </c>
      <c r="E4602" t="s">
        <v>16</v>
      </c>
      <c r="F4602" t="s">
        <v>12</v>
      </c>
      <c r="G4602">
        <v>844504</v>
      </c>
      <c r="H4602">
        <v>5500019188</v>
      </c>
      <c r="I4602">
        <v>480</v>
      </c>
      <c r="J4602" s="29">
        <v>1</v>
      </c>
      <c r="K4602" s="29" t="s">
        <v>709</v>
      </c>
      <c r="L4602" t="str">
        <f>IFERROR(VLOOKUP(Detalle_OC[[#This Row],[Centro]]&amp;Detalle_OC[[#This Row],[Nro Almacen]],Almacen!A:D,4,FALSE),"")</f>
        <v>Montelima</v>
      </c>
    </row>
    <row r="4603" spans="1:12" x14ac:dyDescent="0.3">
      <c r="A4603" s="29" t="str">
        <f>Detalle_OC[[#This Row],[Centro]]&amp;Detalle_OC[[#This Row],[Nom Almacen]]&amp;Detalle_OC[[#This Row],[Material]]&amp;Detalle_OC[[#This Row],[Pedido]]&amp;Detalle_OC[[#This Row],[Posicion]]</f>
        <v>Agricola del Chira PlantaMontelima738330550001918820</v>
      </c>
      <c r="B4603" t="s">
        <v>28</v>
      </c>
      <c r="C4603" t="s">
        <v>82</v>
      </c>
      <c r="D4603" s="11">
        <v>43850</v>
      </c>
      <c r="E4603" t="s">
        <v>16</v>
      </c>
      <c r="F4603" t="s">
        <v>12</v>
      </c>
      <c r="G4603">
        <v>738330</v>
      </c>
      <c r="H4603">
        <v>5500019188</v>
      </c>
      <c r="I4603">
        <v>20</v>
      </c>
      <c r="J4603" s="29">
        <v>1</v>
      </c>
      <c r="K4603" s="29" t="s">
        <v>710</v>
      </c>
      <c r="L4603" t="str">
        <f>IFERROR(VLOOKUP(Detalle_OC[[#This Row],[Centro]]&amp;Detalle_OC[[#This Row],[Nro Almacen]],Almacen!A:D,4,FALSE),"")</f>
        <v>Montelima</v>
      </c>
    </row>
    <row r="4604" spans="1:12" x14ac:dyDescent="0.3">
      <c r="A4604" s="29" t="str">
        <f>Detalle_OC[[#This Row],[Centro]]&amp;Detalle_OC[[#This Row],[Nom Almacen]]&amp;Detalle_OC[[#This Row],[Material]]&amp;Detalle_OC[[#This Row],[Pedido]]&amp;Detalle_OC[[#This Row],[Posicion]]</f>
        <v>Agricola del Chira PlantaMontelima762202550001918850</v>
      </c>
      <c r="B4604" t="s">
        <v>28</v>
      </c>
      <c r="C4604" t="s">
        <v>82</v>
      </c>
      <c r="D4604" s="11">
        <v>43850</v>
      </c>
      <c r="E4604" t="s">
        <v>16</v>
      </c>
      <c r="F4604" t="s">
        <v>12</v>
      </c>
      <c r="G4604">
        <v>762202</v>
      </c>
      <c r="H4604">
        <v>5500019188</v>
      </c>
      <c r="I4604">
        <v>50</v>
      </c>
      <c r="J4604" s="29">
        <v>1</v>
      </c>
      <c r="K4604" s="29" t="s">
        <v>710</v>
      </c>
      <c r="L4604" t="str">
        <f>IFERROR(VLOOKUP(Detalle_OC[[#This Row],[Centro]]&amp;Detalle_OC[[#This Row],[Nro Almacen]],Almacen!A:D,4,FALSE),"")</f>
        <v>Montelima</v>
      </c>
    </row>
    <row r="4605" spans="1:12" x14ac:dyDescent="0.3">
      <c r="A4605" s="29" t="str">
        <f>Detalle_OC[[#This Row],[Centro]]&amp;Detalle_OC[[#This Row],[Nom Almacen]]&amp;Detalle_OC[[#This Row],[Material]]&amp;Detalle_OC[[#This Row],[Pedido]]&amp;Detalle_OC[[#This Row],[Posicion]]</f>
        <v>Agricola del Chira PlantaMontelima738248550001918870</v>
      </c>
      <c r="B4605" t="s">
        <v>28</v>
      </c>
      <c r="C4605" t="s">
        <v>82</v>
      </c>
      <c r="D4605" s="11">
        <v>43850</v>
      </c>
      <c r="E4605" t="s">
        <v>16</v>
      </c>
      <c r="F4605" t="s">
        <v>12</v>
      </c>
      <c r="G4605">
        <v>738248</v>
      </c>
      <c r="H4605">
        <v>5500019188</v>
      </c>
      <c r="I4605">
        <v>70</v>
      </c>
      <c r="J4605" s="29">
        <v>1</v>
      </c>
      <c r="K4605" s="29" t="s">
        <v>710</v>
      </c>
      <c r="L4605" t="str">
        <f>IFERROR(VLOOKUP(Detalle_OC[[#This Row],[Centro]]&amp;Detalle_OC[[#This Row],[Nro Almacen]],Almacen!A:D,4,FALSE),"")</f>
        <v>Montelima</v>
      </c>
    </row>
    <row r="4606" spans="1:12" x14ac:dyDescent="0.3">
      <c r="A4606" s="29" t="str">
        <f>Detalle_OC[[#This Row],[Centro]]&amp;Detalle_OC[[#This Row],[Nom Almacen]]&amp;Detalle_OC[[#This Row],[Material]]&amp;Detalle_OC[[#This Row],[Pedido]]&amp;Detalle_OC[[#This Row],[Posicion]]</f>
        <v>Agricola del Chira PlantaMontelima738241550001918880</v>
      </c>
      <c r="B4606" t="s">
        <v>28</v>
      </c>
      <c r="C4606" t="s">
        <v>82</v>
      </c>
      <c r="D4606" s="11">
        <v>43850</v>
      </c>
      <c r="E4606" t="s">
        <v>16</v>
      </c>
      <c r="F4606" t="s">
        <v>12</v>
      </c>
      <c r="G4606">
        <v>738241</v>
      </c>
      <c r="H4606">
        <v>5500019188</v>
      </c>
      <c r="I4606">
        <v>80</v>
      </c>
      <c r="J4606" s="29">
        <v>1</v>
      </c>
      <c r="K4606" s="29" t="s">
        <v>710</v>
      </c>
      <c r="L4606" t="str">
        <f>IFERROR(VLOOKUP(Detalle_OC[[#This Row],[Centro]]&amp;Detalle_OC[[#This Row],[Nro Almacen]],Almacen!A:D,4,FALSE),"")</f>
        <v>Montelima</v>
      </c>
    </row>
    <row r="4607" spans="1:12" x14ac:dyDescent="0.3">
      <c r="A4607" s="29" t="str">
        <f>Detalle_OC[[#This Row],[Centro]]&amp;Detalle_OC[[#This Row],[Nom Almacen]]&amp;Detalle_OC[[#This Row],[Material]]&amp;Detalle_OC[[#This Row],[Pedido]]&amp;Detalle_OC[[#This Row],[Posicion]]</f>
        <v>Agricola del Chira PlantaMontelima7382475500019188100</v>
      </c>
      <c r="B4607" t="s">
        <v>28</v>
      </c>
      <c r="C4607" t="s">
        <v>82</v>
      </c>
      <c r="D4607" s="11">
        <v>43850</v>
      </c>
      <c r="E4607" t="s">
        <v>16</v>
      </c>
      <c r="F4607" t="s">
        <v>12</v>
      </c>
      <c r="G4607">
        <v>738247</v>
      </c>
      <c r="H4607">
        <v>5500019188</v>
      </c>
      <c r="I4607">
        <v>100</v>
      </c>
      <c r="J4607" s="29">
        <v>1</v>
      </c>
      <c r="K4607" s="29" t="s">
        <v>710</v>
      </c>
      <c r="L4607" t="str">
        <f>IFERROR(VLOOKUP(Detalle_OC[[#This Row],[Centro]]&amp;Detalle_OC[[#This Row],[Nro Almacen]],Almacen!A:D,4,FALSE),"")</f>
        <v>Montelima</v>
      </c>
    </row>
    <row r="4608" spans="1:12" x14ac:dyDescent="0.3">
      <c r="A4608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4608" t="s">
        <v>28</v>
      </c>
      <c r="C4608" t="s">
        <v>82</v>
      </c>
      <c r="D4608" s="11">
        <v>43850</v>
      </c>
      <c r="E4608" t="s">
        <v>16</v>
      </c>
      <c r="F4608" t="s">
        <v>12</v>
      </c>
      <c r="G4608">
        <v>844523</v>
      </c>
      <c r="H4608">
        <v>5500019188</v>
      </c>
      <c r="I4608">
        <v>140</v>
      </c>
      <c r="J4608" s="29">
        <v>1</v>
      </c>
      <c r="K4608" s="29" t="s">
        <v>710</v>
      </c>
      <c r="L4608" t="str">
        <f>IFERROR(VLOOKUP(Detalle_OC[[#This Row],[Centro]]&amp;Detalle_OC[[#This Row],[Nro Almacen]],Almacen!A:D,4,FALSE),"")</f>
        <v>Montelima</v>
      </c>
    </row>
    <row r="4609" spans="1:12" x14ac:dyDescent="0.3">
      <c r="A4609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4609" t="s">
        <v>28</v>
      </c>
      <c r="C4609" t="s">
        <v>82</v>
      </c>
      <c r="D4609" s="11">
        <v>43850</v>
      </c>
      <c r="E4609" t="s">
        <v>16</v>
      </c>
      <c r="F4609" t="s">
        <v>12</v>
      </c>
      <c r="G4609">
        <v>844516</v>
      </c>
      <c r="H4609">
        <v>5500019188</v>
      </c>
      <c r="I4609">
        <v>190</v>
      </c>
      <c r="J4609" s="29">
        <v>1</v>
      </c>
      <c r="K4609" s="29" t="s">
        <v>710</v>
      </c>
      <c r="L4609" t="str">
        <f>IFERROR(VLOOKUP(Detalle_OC[[#This Row],[Centro]]&amp;Detalle_OC[[#This Row],[Nro Almacen]],Almacen!A:D,4,FALSE),"")</f>
        <v>Montelima</v>
      </c>
    </row>
    <row r="4610" spans="1:12" x14ac:dyDescent="0.3">
      <c r="A4610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4610" t="s">
        <v>28</v>
      </c>
      <c r="C4610" t="s">
        <v>82</v>
      </c>
      <c r="D4610" s="11">
        <v>43850</v>
      </c>
      <c r="E4610" t="s">
        <v>16</v>
      </c>
      <c r="F4610" t="s">
        <v>12</v>
      </c>
      <c r="G4610">
        <v>844515</v>
      </c>
      <c r="H4610">
        <v>5500019188</v>
      </c>
      <c r="I4610">
        <v>200</v>
      </c>
      <c r="J4610" s="29">
        <v>1</v>
      </c>
      <c r="K4610" s="29" t="s">
        <v>710</v>
      </c>
      <c r="L4610" t="str">
        <f>IFERROR(VLOOKUP(Detalle_OC[[#This Row],[Centro]]&amp;Detalle_OC[[#This Row],[Nro Almacen]],Almacen!A:D,4,FALSE),"")</f>
        <v>Montelima</v>
      </c>
    </row>
    <row r="4611" spans="1:12" x14ac:dyDescent="0.3">
      <c r="A4611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4611" t="s">
        <v>28</v>
      </c>
      <c r="C4611" t="s">
        <v>82</v>
      </c>
      <c r="D4611" s="11">
        <v>43850</v>
      </c>
      <c r="E4611" t="s">
        <v>16</v>
      </c>
      <c r="F4611" t="s">
        <v>12</v>
      </c>
      <c r="G4611">
        <v>844508</v>
      </c>
      <c r="H4611">
        <v>5500019188</v>
      </c>
      <c r="I4611">
        <v>220</v>
      </c>
      <c r="J4611" s="29">
        <v>1</v>
      </c>
      <c r="K4611" s="29" t="s">
        <v>710</v>
      </c>
      <c r="L4611" t="str">
        <f>IFERROR(VLOOKUP(Detalle_OC[[#This Row],[Centro]]&amp;Detalle_OC[[#This Row],[Nro Almacen]],Almacen!A:D,4,FALSE),"")</f>
        <v>Montelima</v>
      </c>
    </row>
    <row r="4612" spans="1:12" x14ac:dyDescent="0.3">
      <c r="A4612" s="29" t="str">
        <f>Detalle_OC[[#This Row],[Centro]]&amp;Detalle_OC[[#This Row],[Nom Almacen]]&amp;Detalle_OC[[#This Row],[Material]]&amp;Detalle_OC[[#This Row],[Pedido]]&amp;Detalle_OC[[#This Row],[Posicion]]</f>
        <v>Agricola del Chira PlantaMontelima8445405500019188230</v>
      </c>
      <c r="B4612" t="s">
        <v>28</v>
      </c>
      <c r="C4612" t="s">
        <v>82</v>
      </c>
      <c r="D4612" s="11">
        <v>43850</v>
      </c>
      <c r="E4612" t="s">
        <v>16</v>
      </c>
      <c r="F4612" t="s">
        <v>12</v>
      </c>
      <c r="G4612">
        <v>844540</v>
      </c>
      <c r="H4612">
        <v>5500019188</v>
      </c>
      <c r="I4612">
        <v>230</v>
      </c>
      <c r="J4612" s="29">
        <v>1</v>
      </c>
      <c r="K4612" s="29" t="s">
        <v>710</v>
      </c>
      <c r="L4612" t="str">
        <f>IFERROR(VLOOKUP(Detalle_OC[[#This Row],[Centro]]&amp;Detalle_OC[[#This Row],[Nro Almacen]],Almacen!A:D,4,FALSE),"")</f>
        <v>Montelima</v>
      </c>
    </row>
    <row r="4613" spans="1:12" x14ac:dyDescent="0.3">
      <c r="A4613" s="29" t="str">
        <f>Detalle_OC[[#This Row],[Centro]]&amp;Detalle_OC[[#This Row],[Nom Almacen]]&amp;Detalle_OC[[#This Row],[Material]]&amp;Detalle_OC[[#This Row],[Pedido]]&amp;Detalle_OC[[#This Row],[Posicion]]</f>
        <v>Agricola del Chira PlantaMontelima8445025500019188250</v>
      </c>
      <c r="B4613" t="s">
        <v>28</v>
      </c>
      <c r="C4613" t="s">
        <v>82</v>
      </c>
      <c r="D4613" s="11">
        <v>43850</v>
      </c>
      <c r="E4613" t="s">
        <v>16</v>
      </c>
      <c r="F4613" t="s">
        <v>12</v>
      </c>
      <c r="G4613">
        <v>844502</v>
      </c>
      <c r="H4613">
        <v>5500019188</v>
      </c>
      <c r="I4613">
        <v>250</v>
      </c>
      <c r="J4613" s="29">
        <v>1</v>
      </c>
      <c r="K4613" s="29" t="s">
        <v>710</v>
      </c>
      <c r="L4613" t="str">
        <f>IFERROR(VLOOKUP(Detalle_OC[[#This Row],[Centro]]&amp;Detalle_OC[[#This Row],[Nro Almacen]],Almacen!A:D,4,FALSE),"")</f>
        <v>Montelima</v>
      </c>
    </row>
    <row r="4614" spans="1:12" x14ac:dyDescent="0.3">
      <c r="A4614" s="29" t="str">
        <f>Detalle_OC[[#This Row],[Centro]]&amp;Detalle_OC[[#This Row],[Nom Almacen]]&amp;Detalle_OC[[#This Row],[Material]]&amp;Detalle_OC[[#This Row],[Pedido]]&amp;Detalle_OC[[#This Row],[Posicion]]</f>
        <v>Agricola del Chira PlantaMontelima8445095500019188260</v>
      </c>
      <c r="B4614" t="s">
        <v>28</v>
      </c>
      <c r="C4614" t="s">
        <v>82</v>
      </c>
      <c r="D4614" s="11">
        <v>43850</v>
      </c>
      <c r="E4614" t="s">
        <v>16</v>
      </c>
      <c r="F4614" t="s">
        <v>12</v>
      </c>
      <c r="G4614">
        <v>844509</v>
      </c>
      <c r="H4614">
        <v>5500019188</v>
      </c>
      <c r="I4614">
        <v>260</v>
      </c>
      <c r="J4614" s="29">
        <v>1</v>
      </c>
      <c r="K4614" s="29" t="s">
        <v>710</v>
      </c>
      <c r="L4614" t="str">
        <f>IFERROR(VLOOKUP(Detalle_OC[[#This Row],[Centro]]&amp;Detalle_OC[[#This Row],[Nro Almacen]],Almacen!A:D,4,FALSE),"")</f>
        <v>Montelima</v>
      </c>
    </row>
    <row r="4615" spans="1:12" x14ac:dyDescent="0.3">
      <c r="A4615" s="29" t="str">
        <f>Detalle_OC[[#This Row],[Centro]]&amp;Detalle_OC[[#This Row],[Nom Almacen]]&amp;Detalle_OC[[#This Row],[Material]]&amp;Detalle_OC[[#This Row],[Pedido]]&amp;Detalle_OC[[#This Row],[Posicion]]</f>
        <v>Agricola del Chira PlantaMontelima8445175500019188340</v>
      </c>
      <c r="B4615" t="s">
        <v>28</v>
      </c>
      <c r="C4615" t="s">
        <v>82</v>
      </c>
      <c r="D4615" s="11">
        <v>43850</v>
      </c>
      <c r="E4615" t="s">
        <v>16</v>
      </c>
      <c r="F4615" t="s">
        <v>12</v>
      </c>
      <c r="G4615">
        <v>844517</v>
      </c>
      <c r="H4615">
        <v>5500019188</v>
      </c>
      <c r="I4615">
        <v>340</v>
      </c>
      <c r="J4615" s="29">
        <v>1</v>
      </c>
      <c r="K4615" s="29" t="s">
        <v>710</v>
      </c>
      <c r="L4615" t="str">
        <f>IFERROR(VLOOKUP(Detalle_OC[[#This Row],[Centro]]&amp;Detalle_OC[[#This Row],[Nro Almacen]],Almacen!A:D,4,FALSE),"")</f>
        <v>Montelima</v>
      </c>
    </row>
    <row r="4616" spans="1:12" x14ac:dyDescent="0.3">
      <c r="A4616" s="29" t="str">
        <f>Detalle_OC[[#This Row],[Centro]]&amp;Detalle_OC[[#This Row],[Nom Almacen]]&amp;Detalle_OC[[#This Row],[Material]]&amp;Detalle_OC[[#This Row],[Pedido]]&amp;Detalle_OC[[#This Row],[Posicion]]</f>
        <v>Agricola del Chira PlantaMontelima8445215500019188410</v>
      </c>
      <c r="B4616" t="s">
        <v>28</v>
      </c>
      <c r="C4616" t="s">
        <v>82</v>
      </c>
      <c r="D4616" s="11">
        <v>43850</v>
      </c>
      <c r="E4616" t="s">
        <v>16</v>
      </c>
      <c r="F4616" t="s">
        <v>12</v>
      </c>
      <c r="G4616">
        <v>844521</v>
      </c>
      <c r="H4616">
        <v>5500019188</v>
      </c>
      <c r="I4616">
        <v>410</v>
      </c>
      <c r="J4616" s="29">
        <v>1</v>
      </c>
      <c r="K4616" s="29" t="s">
        <v>710</v>
      </c>
      <c r="L4616" t="str">
        <f>IFERROR(VLOOKUP(Detalle_OC[[#This Row],[Centro]]&amp;Detalle_OC[[#This Row],[Nro Almacen]],Almacen!A:D,4,FALSE),"")</f>
        <v>Montelima</v>
      </c>
    </row>
    <row r="4617" spans="1:12" x14ac:dyDescent="0.3">
      <c r="A4617" s="29" t="str">
        <f>Detalle_OC[[#This Row],[Centro]]&amp;Detalle_OC[[#This Row],[Nom Almacen]]&amp;Detalle_OC[[#This Row],[Material]]&amp;Detalle_OC[[#This Row],[Pedido]]&amp;Detalle_OC[[#This Row],[Posicion]]</f>
        <v>Agricola del Chira PlantaMontelima8445415500019188460</v>
      </c>
      <c r="B4617" t="s">
        <v>28</v>
      </c>
      <c r="C4617" t="s">
        <v>82</v>
      </c>
      <c r="D4617" s="11">
        <v>43850</v>
      </c>
      <c r="E4617" t="s">
        <v>16</v>
      </c>
      <c r="F4617" t="s">
        <v>12</v>
      </c>
      <c r="G4617">
        <v>844541</v>
      </c>
      <c r="H4617">
        <v>5500019188</v>
      </c>
      <c r="I4617">
        <v>460</v>
      </c>
      <c r="J4617" s="29">
        <v>1</v>
      </c>
      <c r="K4617" s="29" t="s">
        <v>710</v>
      </c>
      <c r="L4617" t="str">
        <f>IFERROR(VLOOKUP(Detalle_OC[[#This Row],[Centro]]&amp;Detalle_OC[[#This Row],[Nro Almacen]],Almacen!A:D,4,FALSE),"")</f>
        <v>Montelima</v>
      </c>
    </row>
    <row r="4618" spans="1:12" x14ac:dyDescent="0.3">
      <c r="A4618" s="29" t="str">
        <f>Detalle_OC[[#This Row],[Centro]]&amp;Detalle_OC[[#This Row],[Nom Almacen]]&amp;Detalle_OC[[#This Row],[Material]]&amp;Detalle_OC[[#This Row],[Pedido]]&amp;Detalle_OC[[#This Row],[Posicion]]</f>
        <v>Agricola del Chira PlantaMontelima8445045500019188480</v>
      </c>
      <c r="B4618" t="s">
        <v>28</v>
      </c>
      <c r="C4618" t="s">
        <v>82</v>
      </c>
      <c r="D4618" s="11">
        <v>43850</v>
      </c>
      <c r="E4618" t="s">
        <v>16</v>
      </c>
      <c r="F4618" t="s">
        <v>12</v>
      </c>
      <c r="G4618">
        <v>844504</v>
      </c>
      <c r="H4618">
        <v>5500019188</v>
      </c>
      <c r="I4618">
        <v>480</v>
      </c>
      <c r="J4618" s="29">
        <v>1</v>
      </c>
      <c r="K4618" s="29" t="s">
        <v>710</v>
      </c>
      <c r="L4618" t="str">
        <f>IFERROR(VLOOKUP(Detalle_OC[[#This Row],[Centro]]&amp;Detalle_OC[[#This Row],[Nro Almacen]],Almacen!A:D,4,FALSE),"")</f>
        <v>Montelima</v>
      </c>
    </row>
    <row r="4619" spans="1:12" x14ac:dyDescent="0.3">
      <c r="A4619" s="29" t="str">
        <f>Detalle_OC[[#This Row],[Centro]]&amp;Detalle_OC[[#This Row],[Nom Almacen]]&amp;Detalle_OC[[#This Row],[Material]]&amp;Detalle_OC[[#This Row],[Pedido]]&amp;Detalle_OC[[#This Row],[Posicion]]</f>
        <v>Agricola del Chira PlantaMontelima8506365500019188510</v>
      </c>
      <c r="B4619" t="s">
        <v>28</v>
      </c>
      <c r="C4619" t="s">
        <v>82</v>
      </c>
      <c r="D4619" s="11">
        <v>43850</v>
      </c>
      <c r="E4619" t="s">
        <v>16</v>
      </c>
      <c r="F4619" t="s">
        <v>12</v>
      </c>
      <c r="G4619">
        <v>850636</v>
      </c>
      <c r="H4619">
        <v>5500019188</v>
      </c>
      <c r="I4619">
        <v>510</v>
      </c>
      <c r="J4619" s="29">
        <v>1</v>
      </c>
      <c r="K4619" s="29" t="s">
        <v>710</v>
      </c>
      <c r="L4619" t="str">
        <f>IFERROR(VLOOKUP(Detalle_OC[[#This Row],[Centro]]&amp;Detalle_OC[[#This Row],[Nro Almacen]],Almacen!A:D,4,FALSE),"")</f>
        <v>Montelima</v>
      </c>
    </row>
    <row r="4620" spans="1:12" x14ac:dyDescent="0.3">
      <c r="A4620" s="29" t="str">
        <f>Detalle_OC[[#This Row],[Centro]]&amp;Detalle_OC[[#This Row],[Nom Almacen]]&amp;Detalle_OC[[#This Row],[Material]]&amp;Detalle_OC[[#This Row],[Pedido]]&amp;Detalle_OC[[#This Row],[Posicion]]</f>
        <v>Agricola del Chira PlantaMontelima84557255000191881300</v>
      </c>
      <c r="B4620" t="s">
        <v>28</v>
      </c>
      <c r="C4620" t="s">
        <v>82</v>
      </c>
      <c r="D4620" s="11">
        <v>43850</v>
      </c>
      <c r="E4620" t="s">
        <v>16</v>
      </c>
      <c r="F4620" t="s">
        <v>12</v>
      </c>
      <c r="G4620">
        <v>845572</v>
      </c>
      <c r="H4620">
        <v>5500019188</v>
      </c>
      <c r="I4620">
        <v>1300</v>
      </c>
      <c r="J4620" s="29">
        <v>1</v>
      </c>
      <c r="K4620" s="29" t="s">
        <v>710</v>
      </c>
      <c r="L4620" t="str">
        <f>IFERROR(VLOOKUP(Detalle_OC[[#This Row],[Centro]]&amp;Detalle_OC[[#This Row],[Nro Almacen]],Almacen!A:D,4,FALSE),"")</f>
        <v>Montelima</v>
      </c>
    </row>
    <row r="4621" spans="1:12" x14ac:dyDescent="0.3">
      <c r="A4621" s="29" t="str">
        <f>Detalle_OC[[#This Row],[Centro]]&amp;Detalle_OC[[#This Row],[Nom Almacen]]&amp;Detalle_OC[[#This Row],[Material]]&amp;Detalle_OC[[#This Row],[Pedido]]&amp;Detalle_OC[[#This Row],[Posicion]]</f>
        <v>Agricola del Chira PlantaMontelima83507555000191881310</v>
      </c>
      <c r="B4621" t="s">
        <v>28</v>
      </c>
      <c r="C4621" t="s">
        <v>82</v>
      </c>
      <c r="D4621" s="11">
        <v>43850</v>
      </c>
      <c r="E4621" t="s">
        <v>16</v>
      </c>
      <c r="F4621" t="s">
        <v>12</v>
      </c>
      <c r="G4621">
        <v>835075</v>
      </c>
      <c r="H4621">
        <v>5500019188</v>
      </c>
      <c r="I4621">
        <v>1310</v>
      </c>
      <c r="J4621" s="29">
        <v>1</v>
      </c>
      <c r="K4621" s="29" t="s">
        <v>710</v>
      </c>
      <c r="L4621" t="str">
        <f>IFERROR(VLOOKUP(Detalle_OC[[#This Row],[Centro]]&amp;Detalle_OC[[#This Row],[Nro Almacen]],Almacen!A:D,4,FALSE),"")</f>
        <v>Montelima</v>
      </c>
    </row>
    <row r="4622" spans="1:12" x14ac:dyDescent="0.3">
      <c r="A4622" s="29" t="str">
        <f>Detalle_OC[[#This Row],[Centro]]&amp;Detalle_OC[[#This Row],[Nom Almacen]]&amp;Detalle_OC[[#This Row],[Material]]&amp;Detalle_OC[[#This Row],[Pedido]]&amp;Detalle_OC[[#This Row],[Posicion]]</f>
        <v>Agricola del Chira PlantaMontelima7002962855000191881530</v>
      </c>
      <c r="B4622" t="s">
        <v>28</v>
      </c>
      <c r="C4622" t="s">
        <v>82</v>
      </c>
      <c r="D4622" s="11">
        <v>43850</v>
      </c>
      <c r="E4622" t="s">
        <v>16</v>
      </c>
      <c r="F4622" t="s">
        <v>12</v>
      </c>
      <c r="G4622">
        <v>70029628</v>
      </c>
      <c r="H4622">
        <v>5500019188</v>
      </c>
      <c r="I4622">
        <v>1530</v>
      </c>
      <c r="J4622" s="29">
        <v>1</v>
      </c>
      <c r="K4622" s="29" t="s">
        <v>710</v>
      </c>
      <c r="L4622" t="str">
        <f>IFERROR(VLOOKUP(Detalle_OC[[#This Row],[Centro]]&amp;Detalle_OC[[#This Row],[Nro Almacen]],Almacen!A:D,4,FALSE),"")</f>
        <v>Montelima</v>
      </c>
    </row>
    <row r="4623" spans="1:12" x14ac:dyDescent="0.3">
      <c r="A4623" s="29" t="str">
        <f>Detalle_OC[[#This Row],[Centro]]&amp;Detalle_OC[[#This Row],[Nom Almacen]]&amp;Detalle_OC[[#This Row],[Material]]&amp;Detalle_OC[[#This Row],[Pedido]]&amp;Detalle_OC[[#This Row],[Posicion]]</f>
        <v>Agricola del Chira PlantaMontelima761905550001918810</v>
      </c>
      <c r="B4623" t="s">
        <v>28</v>
      </c>
      <c r="C4623" t="s">
        <v>82</v>
      </c>
      <c r="D4623" s="11">
        <v>43822</v>
      </c>
      <c r="E4623" t="s">
        <v>16</v>
      </c>
      <c r="F4623" t="s">
        <v>12</v>
      </c>
      <c r="G4623">
        <v>761905</v>
      </c>
      <c r="H4623">
        <v>5500019188</v>
      </c>
      <c r="I4623">
        <v>10</v>
      </c>
      <c r="J4623" s="29">
        <v>1</v>
      </c>
      <c r="K4623" s="29" t="s">
        <v>711</v>
      </c>
      <c r="L4623" t="str">
        <f>IFERROR(VLOOKUP(Detalle_OC[[#This Row],[Centro]]&amp;Detalle_OC[[#This Row],[Nro Almacen]],Almacen!A:D,4,FALSE),"")</f>
        <v>Montelima</v>
      </c>
    </row>
    <row r="4624" spans="1:12" x14ac:dyDescent="0.3">
      <c r="A4624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4624" t="s">
        <v>28</v>
      </c>
      <c r="C4624" t="s">
        <v>82</v>
      </c>
      <c r="D4624" s="11">
        <v>43822</v>
      </c>
      <c r="E4624" t="s">
        <v>16</v>
      </c>
      <c r="F4624" t="s">
        <v>12</v>
      </c>
      <c r="G4624">
        <v>844516</v>
      </c>
      <c r="H4624">
        <v>5500019188</v>
      </c>
      <c r="I4624">
        <v>190</v>
      </c>
      <c r="J4624" s="29">
        <v>1</v>
      </c>
      <c r="K4624" s="29" t="s">
        <v>711</v>
      </c>
      <c r="L4624" t="str">
        <f>IFERROR(VLOOKUP(Detalle_OC[[#This Row],[Centro]]&amp;Detalle_OC[[#This Row],[Nro Almacen]],Almacen!A:D,4,FALSE),"")</f>
        <v>Montelima</v>
      </c>
    </row>
    <row r="4625" spans="1:12" x14ac:dyDescent="0.3">
      <c r="A4625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4625" t="s">
        <v>28</v>
      </c>
      <c r="C4625" t="s">
        <v>82</v>
      </c>
      <c r="D4625" s="11">
        <v>43822</v>
      </c>
      <c r="E4625" t="s">
        <v>16</v>
      </c>
      <c r="F4625" t="s">
        <v>12</v>
      </c>
      <c r="G4625">
        <v>844515</v>
      </c>
      <c r="H4625">
        <v>5500019188</v>
      </c>
      <c r="I4625">
        <v>200</v>
      </c>
      <c r="J4625" s="29">
        <v>1</v>
      </c>
      <c r="K4625" s="29" t="s">
        <v>711</v>
      </c>
      <c r="L4625" t="str">
        <f>IFERROR(VLOOKUP(Detalle_OC[[#This Row],[Centro]]&amp;Detalle_OC[[#This Row],[Nro Almacen]],Almacen!A:D,4,FALSE),"")</f>
        <v>Montelima</v>
      </c>
    </row>
    <row r="4626" spans="1:12" x14ac:dyDescent="0.3">
      <c r="A4626" s="29" t="str">
        <f>Detalle_OC[[#This Row],[Centro]]&amp;Detalle_OC[[#This Row],[Nom Almacen]]&amp;Detalle_OC[[#This Row],[Material]]&amp;Detalle_OC[[#This Row],[Pedido]]&amp;Detalle_OC[[#This Row],[Posicion]]</f>
        <v>Agricola del Chira PlantaMontelima8445395500019188300</v>
      </c>
      <c r="B4626" t="s">
        <v>28</v>
      </c>
      <c r="C4626" t="s">
        <v>82</v>
      </c>
      <c r="D4626" s="11">
        <v>43822</v>
      </c>
      <c r="E4626" t="s">
        <v>16</v>
      </c>
      <c r="F4626" t="s">
        <v>12</v>
      </c>
      <c r="G4626">
        <v>844539</v>
      </c>
      <c r="H4626">
        <v>5500019188</v>
      </c>
      <c r="I4626">
        <v>300</v>
      </c>
      <c r="J4626" s="29">
        <v>1</v>
      </c>
      <c r="K4626" s="29" t="s">
        <v>711</v>
      </c>
      <c r="L4626" t="str">
        <f>IFERROR(VLOOKUP(Detalle_OC[[#This Row],[Centro]]&amp;Detalle_OC[[#This Row],[Nro Almacen]],Almacen!A:D,4,FALSE),"")</f>
        <v>Montelima</v>
      </c>
    </row>
    <row r="4627" spans="1:12" x14ac:dyDescent="0.3">
      <c r="A4627" s="29" t="str">
        <f>Detalle_OC[[#This Row],[Centro]]&amp;Detalle_OC[[#This Row],[Nom Almacen]]&amp;Detalle_OC[[#This Row],[Material]]&amp;Detalle_OC[[#This Row],[Pedido]]&amp;Detalle_OC[[#This Row],[Posicion]]</f>
        <v>Agricola del Chira PlantaMontelima8444905500019188400</v>
      </c>
      <c r="B4627" t="s">
        <v>28</v>
      </c>
      <c r="C4627" t="s">
        <v>82</v>
      </c>
      <c r="D4627" s="11">
        <v>43822</v>
      </c>
      <c r="E4627" t="s">
        <v>16</v>
      </c>
      <c r="F4627" t="s">
        <v>12</v>
      </c>
      <c r="G4627">
        <v>844490</v>
      </c>
      <c r="H4627">
        <v>5500019188</v>
      </c>
      <c r="I4627">
        <v>400</v>
      </c>
      <c r="J4627" s="29">
        <v>1</v>
      </c>
      <c r="K4627" s="29" t="s">
        <v>711</v>
      </c>
      <c r="L4627" t="str">
        <f>IFERROR(VLOOKUP(Detalle_OC[[#This Row],[Centro]]&amp;Detalle_OC[[#This Row],[Nro Almacen]],Almacen!A:D,4,FALSE),"")</f>
        <v>Montelima</v>
      </c>
    </row>
    <row r="4628" spans="1:12" x14ac:dyDescent="0.3">
      <c r="A4628" s="29" t="str">
        <f>Detalle_OC[[#This Row],[Centro]]&amp;Detalle_OC[[#This Row],[Nom Almacen]]&amp;Detalle_OC[[#This Row],[Material]]&amp;Detalle_OC[[#This Row],[Pedido]]&amp;Detalle_OC[[#This Row],[Posicion]]</f>
        <v>Agricola del Chira PlantaMontelima83507655000191881340</v>
      </c>
      <c r="B4628" t="s">
        <v>28</v>
      </c>
      <c r="C4628" t="s">
        <v>82</v>
      </c>
      <c r="D4628" s="11">
        <v>43822</v>
      </c>
      <c r="E4628" t="s">
        <v>16</v>
      </c>
      <c r="F4628" t="s">
        <v>12</v>
      </c>
      <c r="G4628">
        <v>835076</v>
      </c>
      <c r="H4628">
        <v>5500019188</v>
      </c>
      <c r="I4628">
        <v>1340</v>
      </c>
      <c r="J4628" s="29">
        <v>1</v>
      </c>
      <c r="K4628" s="29" t="s">
        <v>711</v>
      </c>
      <c r="L4628" t="str">
        <f>IFERROR(VLOOKUP(Detalle_OC[[#This Row],[Centro]]&amp;Detalle_OC[[#This Row],[Nro Almacen]],Almacen!A:D,4,FALSE),"")</f>
        <v>Montelima</v>
      </c>
    </row>
    <row r="4629" spans="1:12" x14ac:dyDescent="0.3">
      <c r="A4629" s="29" t="str">
        <f>Detalle_OC[[#This Row],[Centro]]&amp;Detalle_OC[[#This Row],[Nom Almacen]]&amp;Detalle_OC[[#This Row],[Material]]&amp;Detalle_OC[[#This Row],[Pedido]]&amp;Detalle_OC[[#This Row],[Posicion]]</f>
        <v>Agricola del Chira PlantaMontelima8445115500019188180</v>
      </c>
      <c r="B4629" t="s">
        <v>28</v>
      </c>
      <c r="C4629" t="s">
        <v>82</v>
      </c>
      <c r="D4629" s="11">
        <v>43815</v>
      </c>
      <c r="E4629" t="s">
        <v>16</v>
      </c>
      <c r="F4629" t="s">
        <v>12</v>
      </c>
      <c r="G4629">
        <v>844511</v>
      </c>
      <c r="H4629">
        <v>5500019188</v>
      </c>
      <c r="I4629">
        <v>180</v>
      </c>
      <c r="J4629" s="29">
        <v>1</v>
      </c>
      <c r="K4629" s="29" t="s">
        <v>712</v>
      </c>
      <c r="L4629" t="str">
        <f>IFERROR(VLOOKUP(Detalle_OC[[#This Row],[Centro]]&amp;Detalle_OC[[#This Row],[Nro Almacen]],Almacen!A:D,4,FALSE),"")</f>
        <v>Montelima</v>
      </c>
    </row>
    <row r="4630" spans="1:12" x14ac:dyDescent="0.3">
      <c r="A4630" s="29" t="str">
        <f>Detalle_OC[[#This Row],[Centro]]&amp;Detalle_OC[[#This Row],[Nom Almacen]]&amp;Detalle_OC[[#This Row],[Material]]&amp;Detalle_OC[[#This Row],[Pedido]]&amp;Detalle_OC[[#This Row],[Posicion]]</f>
        <v>Agricola del Chira PlantaMontelima8443975500019188280</v>
      </c>
      <c r="B4630" t="s">
        <v>28</v>
      </c>
      <c r="C4630" t="s">
        <v>82</v>
      </c>
      <c r="D4630" s="11">
        <v>43815</v>
      </c>
      <c r="E4630" t="s">
        <v>16</v>
      </c>
      <c r="F4630" t="s">
        <v>12</v>
      </c>
      <c r="G4630">
        <v>844397</v>
      </c>
      <c r="H4630">
        <v>5500019188</v>
      </c>
      <c r="I4630">
        <v>280</v>
      </c>
      <c r="J4630" s="29">
        <v>1</v>
      </c>
      <c r="K4630" s="29" t="s">
        <v>712</v>
      </c>
      <c r="L4630" t="str">
        <f>IFERROR(VLOOKUP(Detalle_OC[[#This Row],[Centro]]&amp;Detalle_OC[[#This Row],[Nro Almacen]],Almacen!A:D,4,FALSE),"")</f>
        <v>Montelima</v>
      </c>
    </row>
    <row r="4631" spans="1:12" x14ac:dyDescent="0.3">
      <c r="A4631" s="29" t="str">
        <f>Detalle_OC[[#This Row],[Centro]]&amp;Detalle_OC[[#This Row],[Nom Almacen]]&amp;Detalle_OC[[#This Row],[Material]]&amp;Detalle_OC[[#This Row],[Pedido]]&amp;Detalle_OC[[#This Row],[Posicion]]</f>
        <v>Agricola del Chira PlantaMontelima8459085500019188350</v>
      </c>
      <c r="B4631" t="s">
        <v>28</v>
      </c>
      <c r="C4631" t="s">
        <v>82</v>
      </c>
      <c r="D4631" s="11">
        <v>43815</v>
      </c>
      <c r="E4631" t="s">
        <v>16</v>
      </c>
      <c r="F4631" t="s">
        <v>12</v>
      </c>
      <c r="G4631">
        <v>845908</v>
      </c>
      <c r="H4631">
        <v>5500019188</v>
      </c>
      <c r="I4631">
        <v>350</v>
      </c>
      <c r="J4631" s="29">
        <v>1</v>
      </c>
      <c r="K4631" s="29" t="s">
        <v>712</v>
      </c>
      <c r="L4631" t="str">
        <f>IFERROR(VLOOKUP(Detalle_OC[[#This Row],[Centro]]&amp;Detalle_OC[[#This Row],[Nro Almacen]],Almacen!A:D,4,FALSE),"")</f>
        <v>Montelima</v>
      </c>
    </row>
    <row r="4632" spans="1:12" x14ac:dyDescent="0.3">
      <c r="A4632" s="29" t="str">
        <f>Detalle_OC[[#This Row],[Centro]]&amp;Detalle_OC[[#This Row],[Nom Almacen]]&amp;Detalle_OC[[#This Row],[Material]]&amp;Detalle_OC[[#This Row],[Pedido]]&amp;Detalle_OC[[#This Row],[Posicion]]</f>
        <v>Agricola del Chira PlantaMontelima7003069455000191881790</v>
      </c>
      <c r="B4632" t="s">
        <v>28</v>
      </c>
      <c r="C4632" t="s">
        <v>82</v>
      </c>
      <c r="D4632" s="11">
        <v>43815</v>
      </c>
      <c r="E4632" t="s">
        <v>16</v>
      </c>
      <c r="F4632" t="s">
        <v>12</v>
      </c>
      <c r="G4632">
        <v>70030694</v>
      </c>
      <c r="H4632">
        <v>5500019188</v>
      </c>
      <c r="I4632">
        <v>1790</v>
      </c>
      <c r="J4632" s="29">
        <v>1</v>
      </c>
      <c r="K4632" s="29" t="s">
        <v>712</v>
      </c>
      <c r="L4632" t="str">
        <f>IFERROR(VLOOKUP(Detalle_OC[[#This Row],[Centro]]&amp;Detalle_OC[[#This Row],[Nro Almacen]],Almacen!A:D,4,FALSE),"")</f>
        <v>Montelima</v>
      </c>
    </row>
    <row r="4633" spans="1:12" x14ac:dyDescent="0.3">
      <c r="A4633" s="29" t="str">
        <f>Detalle_OC[[#This Row],[Centro]]&amp;Detalle_OC[[#This Row],[Nom Almacen]]&amp;Detalle_OC[[#This Row],[Material]]&amp;Detalle_OC[[#This Row],[Pedido]]&amp;Detalle_OC[[#This Row],[Posicion]]</f>
        <v>Agricola del Chira PlantaMontelima8445025500019188250</v>
      </c>
      <c r="B4633" t="s">
        <v>28</v>
      </c>
      <c r="C4633" t="s">
        <v>82</v>
      </c>
      <c r="D4633" s="11">
        <v>43794</v>
      </c>
      <c r="E4633" t="s">
        <v>16</v>
      </c>
      <c r="F4633" t="s">
        <v>12</v>
      </c>
      <c r="G4633">
        <v>844502</v>
      </c>
      <c r="H4633">
        <v>5500019188</v>
      </c>
      <c r="I4633">
        <v>250</v>
      </c>
      <c r="J4633" s="29">
        <v>1</v>
      </c>
      <c r="K4633" s="29" t="s">
        <v>713</v>
      </c>
      <c r="L4633" t="str">
        <f>IFERROR(VLOOKUP(Detalle_OC[[#This Row],[Centro]]&amp;Detalle_OC[[#This Row],[Nro Almacen]],Almacen!A:D,4,FALSE),"")</f>
        <v>Montelima</v>
      </c>
    </row>
    <row r="4634" spans="1:12" x14ac:dyDescent="0.3">
      <c r="A4634" s="29" t="str">
        <f>Detalle_OC[[#This Row],[Centro]]&amp;Detalle_OC[[#This Row],[Nom Almacen]]&amp;Detalle_OC[[#This Row],[Material]]&amp;Detalle_OC[[#This Row],[Pedido]]&amp;Detalle_OC[[#This Row],[Posicion]]</f>
        <v>Agricola del Chira PlantaMontelima82638355000191881150</v>
      </c>
      <c r="B4634" t="s">
        <v>28</v>
      </c>
      <c r="C4634" t="s">
        <v>82</v>
      </c>
      <c r="D4634" s="11">
        <v>43794</v>
      </c>
      <c r="E4634" t="s">
        <v>16</v>
      </c>
      <c r="F4634" t="s">
        <v>12</v>
      </c>
      <c r="G4634">
        <v>826383</v>
      </c>
      <c r="H4634">
        <v>5500019188</v>
      </c>
      <c r="I4634">
        <v>1150</v>
      </c>
      <c r="J4634" s="29">
        <v>1</v>
      </c>
      <c r="K4634" s="29" t="s">
        <v>713</v>
      </c>
      <c r="L4634" t="str">
        <f>IFERROR(VLOOKUP(Detalle_OC[[#This Row],[Centro]]&amp;Detalle_OC[[#This Row],[Nro Almacen]],Almacen!A:D,4,FALSE),"")</f>
        <v>Montelima</v>
      </c>
    </row>
    <row r="4635" spans="1:12" x14ac:dyDescent="0.3">
      <c r="A4635" s="29" t="str">
        <f>Detalle_OC[[#This Row],[Centro]]&amp;Detalle_OC[[#This Row],[Nom Almacen]]&amp;Detalle_OC[[#This Row],[Material]]&amp;Detalle_OC[[#This Row],[Pedido]]&amp;Detalle_OC[[#This Row],[Posicion]]</f>
        <v>Agricola del Chira PlantaMontelima7003087955000191881700</v>
      </c>
      <c r="B4635" t="s">
        <v>28</v>
      </c>
      <c r="C4635" t="s">
        <v>82</v>
      </c>
      <c r="D4635" s="11">
        <v>43795</v>
      </c>
      <c r="E4635" t="s">
        <v>16</v>
      </c>
      <c r="F4635" t="s">
        <v>12</v>
      </c>
      <c r="G4635">
        <v>70030879</v>
      </c>
      <c r="H4635">
        <v>5500019188</v>
      </c>
      <c r="I4635">
        <v>1700</v>
      </c>
      <c r="J4635" s="29">
        <v>1</v>
      </c>
      <c r="K4635" s="29" t="s">
        <v>713</v>
      </c>
      <c r="L4635" t="str">
        <f>IFERROR(VLOOKUP(Detalle_OC[[#This Row],[Centro]]&amp;Detalle_OC[[#This Row],[Nro Almacen]],Almacen!A:D,4,FALSE),"")</f>
        <v>Montelima</v>
      </c>
    </row>
    <row r="4636" spans="1:12" x14ac:dyDescent="0.3">
      <c r="A4636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4636" t="s">
        <v>28</v>
      </c>
      <c r="C4636" t="s">
        <v>82</v>
      </c>
      <c r="D4636" s="11">
        <v>43783</v>
      </c>
      <c r="E4636" t="s">
        <v>16</v>
      </c>
      <c r="F4636" t="s">
        <v>12</v>
      </c>
      <c r="G4636">
        <v>844508</v>
      </c>
      <c r="H4636">
        <v>5500019188</v>
      </c>
      <c r="I4636">
        <v>220</v>
      </c>
      <c r="J4636" s="29">
        <v>1</v>
      </c>
      <c r="K4636" s="29" t="s">
        <v>714</v>
      </c>
      <c r="L4636" t="str">
        <f>IFERROR(VLOOKUP(Detalle_OC[[#This Row],[Centro]]&amp;Detalle_OC[[#This Row],[Nro Almacen]],Almacen!A:D,4,FALSE),"")</f>
        <v>Montelima</v>
      </c>
    </row>
    <row r="4637" spans="1:12" x14ac:dyDescent="0.3">
      <c r="A4637" s="29" t="str">
        <f>Detalle_OC[[#This Row],[Centro]]&amp;Detalle_OC[[#This Row],[Nom Almacen]]&amp;Detalle_OC[[#This Row],[Material]]&amp;Detalle_OC[[#This Row],[Pedido]]&amp;Detalle_OC[[#This Row],[Posicion]]</f>
        <v>Agricola del Chira PlantaMontelima7003088155000191881770</v>
      </c>
      <c r="B4637" t="s">
        <v>28</v>
      </c>
      <c r="C4637" t="s">
        <v>82</v>
      </c>
      <c r="D4637" s="11">
        <v>43784</v>
      </c>
      <c r="E4637" t="s">
        <v>16</v>
      </c>
      <c r="F4637" t="s">
        <v>12</v>
      </c>
      <c r="G4637">
        <v>70030881</v>
      </c>
      <c r="H4637">
        <v>5500019188</v>
      </c>
      <c r="I4637">
        <v>1770</v>
      </c>
      <c r="J4637" s="29">
        <v>1</v>
      </c>
      <c r="K4637" s="29" t="s">
        <v>714</v>
      </c>
      <c r="L4637" t="str">
        <f>IFERROR(VLOOKUP(Detalle_OC[[#This Row],[Centro]]&amp;Detalle_OC[[#This Row],[Nro Almacen]],Almacen!A:D,4,FALSE),"")</f>
        <v>Montelima</v>
      </c>
    </row>
    <row r="4638" spans="1:12" x14ac:dyDescent="0.3">
      <c r="A4638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4638" t="s">
        <v>28</v>
      </c>
      <c r="C4638" t="s">
        <v>82</v>
      </c>
      <c r="D4638" s="11">
        <v>43774</v>
      </c>
      <c r="E4638" t="s">
        <v>16</v>
      </c>
      <c r="F4638" t="s">
        <v>12</v>
      </c>
      <c r="G4638">
        <v>844516</v>
      </c>
      <c r="H4638">
        <v>5500019188</v>
      </c>
      <c r="I4638">
        <v>190</v>
      </c>
      <c r="J4638" s="29">
        <v>1</v>
      </c>
      <c r="K4638" s="29" t="s">
        <v>715</v>
      </c>
      <c r="L4638" t="str">
        <f>IFERROR(VLOOKUP(Detalle_OC[[#This Row],[Centro]]&amp;Detalle_OC[[#This Row],[Nro Almacen]],Almacen!A:D,4,FALSE),"")</f>
        <v>Montelima</v>
      </c>
    </row>
    <row r="4639" spans="1:12" x14ac:dyDescent="0.3">
      <c r="A4639" s="29" t="str">
        <f>Detalle_OC[[#This Row],[Centro]]&amp;Detalle_OC[[#This Row],[Nom Almacen]]&amp;Detalle_OC[[#This Row],[Material]]&amp;Detalle_OC[[#This Row],[Pedido]]&amp;Detalle_OC[[#This Row],[Posicion]]</f>
        <v>Agricola del Chira PlantaMontelima8443975500019188280</v>
      </c>
      <c r="B4639" t="s">
        <v>28</v>
      </c>
      <c r="C4639" t="s">
        <v>82</v>
      </c>
      <c r="D4639" s="11">
        <v>43774</v>
      </c>
      <c r="E4639" t="s">
        <v>16</v>
      </c>
      <c r="F4639" t="s">
        <v>12</v>
      </c>
      <c r="G4639">
        <v>844397</v>
      </c>
      <c r="H4639">
        <v>5500019188</v>
      </c>
      <c r="I4639">
        <v>280</v>
      </c>
      <c r="J4639" s="29">
        <v>1</v>
      </c>
      <c r="K4639" s="29" t="s">
        <v>715</v>
      </c>
      <c r="L4639" t="str">
        <f>IFERROR(VLOOKUP(Detalle_OC[[#This Row],[Centro]]&amp;Detalle_OC[[#This Row],[Nro Almacen]],Almacen!A:D,4,FALSE),"")</f>
        <v>Montelima</v>
      </c>
    </row>
    <row r="4640" spans="1:12" x14ac:dyDescent="0.3">
      <c r="A4640" s="29" t="str">
        <f>Detalle_OC[[#This Row],[Centro]]&amp;Detalle_OC[[#This Row],[Nom Almacen]]&amp;Detalle_OC[[#This Row],[Material]]&amp;Detalle_OC[[#This Row],[Pedido]]&amp;Detalle_OC[[#This Row],[Posicion]]</f>
        <v>Agricola del Chira PlantaMontelima83507555000191881310</v>
      </c>
      <c r="B4640" t="s">
        <v>28</v>
      </c>
      <c r="C4640" t="s">
        <v>82</v>
      </c>
      <c r="D4640" s="11">
        <v>43775</v>
      </c>
      <c r="E4640" t="s">
        <v>16</v>
      </c>
      <c r="F4640" t="s">
        <v>12</v>
      </c>
      <c r="G4640">
        <v>835075</v>
      </c>
      <c r="H4640">
        <v>5500019188</v>
      </c>
      <c r="I4640">
        <v>1310</v>
      </c>
      <c r="J4640" s="29">
        <v>1</v>
      </c>
      <c r="K4640" s="29" t="s">
        <v>715</v>
      </c>
      <c r="L4640" t="str">
        <f>IFERROR(VLOOKUP(Detalle_OC[[#This Row],[Centro]]&amp;Detalle_OC[[#This Row],[Nro Almacen]],Almacen!A:D,4,FALSE),"")</f>
        <v>Montelima</v>
      </c>
    </row>
    <row r="4641" spans="1:12" x14ac:dyDescent="0.3">
      <c r="A4641" s="29" t="str">
        <f>Detalle_OC[[#This Row],[Centro]]&amp;Detalle_OC[[#This Row],[Nom Almacen]]&amp;Detalle_OC[[#This Row],[Material]]&amp;Detalle_OC[[#This Row],[Pedido]]&amp;Detalle_OC[[#This Row],[Posicion]]</f>
        <v>Agricola del Chira PlantaMontelima8449175500019188240</v>
      </c>
      <c r="B4641" t="s">
        <v>28</v>
      </c>
      <c r="C4641" t="s">
        <v>82</v>
      </c>
      <c r="D4641" s="11">
        <v>43754</v>
      </c>
      <c r="E4641" t="s">
        <v>16</v>
      </c>
      <c r="F4641" t="s">
        <v>12</v>
      </c>
      <c r="G4641">
        <v>844917</v>
      </c>
      <c r="H4641">
        <v>5500019188</v>
      </c>
      <c r="I4641">
        <v>240</v>
      </c>
      <c r="J4641" s="29">
        <v>1</v>
      </c>
      <c r="K4641" s="29" t="s">
        <v>716</v>
      </c>
      <c r="L4641" t="str">
        <f>IFERROR(VLOOKUP(Detalle_OC[[#This Row],[Centro]]&amp;Detalle_OC[[#This Row],[Nro Almacen]],Almacen!A:D,4,FALSE),"")</f>
        <v>Montelima</v>
      </c>
    </row>
    <row r="4642" spans="1:12" x14ac:dyDescent="0.3">
      <c r="A4642" s="29" t="str">
        <f>Detalle_OC[[#This Row],[Centro]]&amp;Detalle_OC[[#This Row],[Nom Almacen]]&amp;Detalle_OC[[#This Row],[Material]]&amp;Detalle_OC[[#This Row],[Pedido]]&amp;Detalle_OC[[#This Row],[Posicion]]</f>
        <v>Agricola del Chira PlantaMontelima8445395500019188300</v>
      </c>
      <c r="B4642" t="s">
        <v>28</v>
      </c>
      <c r="C4642" t="s">
        <v>82</v>
      </c>
      <c r="D4642" s="11">
        <v>43754</v>
      </c>
      <c r="E4642" t="s">
        <v>16</v>
      </c>
      <c r="F4642" t="s">
        <v>12</v>
      </c>
      <c r="G4642">
        <v>844539</v>
      </c>
      <c r="H4642">
        <v>5500019188</v>
      </c>
      <c r="I4642">
        <v>300</v>
      </c>
      <c r="J4642" s="29">
        <v>1</v>
      </c>
      <c r="K4642" s="29" t="s">
        <v>716</v>
      </c>
      <c r="L4642" t="str">
        <f>IFERROR(VLOOKUP(Detalle_OC[[#This Row],[Centro]]&amp;Detalle_OC[[#This Row],[Nro Almacen]],Almacen!A:D,4,FALSE),"")</f>
        <v>Montelima</v>
      </c>
    </row>
    <row r="4643" spans="1:12" x14ac:dyDescent="0.3">
      <c r="A4643" s="29" t="str">
        <f>Detalle_OC[[#This Row],[Centro]]&amp;Detalle_OC[[#This Row],[Nom Almacen]]&amp;Detalle_OC[[#This Row],[Material]]&amp;Detalle_OC[[#This Row],[Pedido]]&amp;Detalle_OC[[#This Row],[Posicion]]</f>
        <v>Agricola del Chira PlantaMontelima8459085500019188350</v>
      </c>
      <c r="B4643" t="s">
        <v>28</v>
      </c>
      <c r="C4643" t="s">
        <v>82</v>
      </c>
      <c r="D4643" s="11">
        <v>43754</v>
      </c>
      <c r="E4643" t="s">
        <v>16</v>
      </c>
      <c r="F4643" t="s">
        <v>12</v>
      </c>
      <c r="G4643">
        <v>845908</v>
      </c>
      <c r="H4643">
        <v>5500019188</v>
      </c>
      <c r="I4643">
        <v>350</v>
      </c>
      <c r="J4643" s="29">
        <v>1</v>
      </c>
      <c r="K4643" s="29" t="s">
        <v>716</v>
      </c>
      <c r="L4643" t="str">
        <f>IFERROR(VLOOKUP(Detalle_OC[[#This Row],[Centro]]&amp;Detalle_OC[[#This Row],[Nro Almacen]],Almacen!A:D,4,FALSE),"")</f>
        <v>Montelima</v>
      </c>
    </row>
    <row r="4644" spans="1:12" x14ac:dyDescent="0.3">
      <c r="A4644" s="29" t="str">
        <f>Detalle_OC[[#This Row],[Centro]]&amp;Detalle_OC[[#This Row],[Nom Almacen]]&amp;Detalle_OC[[#This Row],[Material]]&amp;Detalle_OC[[#This Row],[Pedido]]&amp;Detalle_OC[[#This Row],[Posicion]]</f>
        <v>Agricola del Chira PlantaMontelima8445415500019188460</v>
      </c>
      <c r="B4644" t="s">
        <v>28</v>
      </c>
      <c r="C4644" t="s">
        <v>82</v>
      </c>
      <c r="D4644" s="11">
        <v>43754</v>
      </c>
      <c r="E4644" t="s">
        <v>16</v>
      </c>
      <c r="F4644" t="s">
        <v>12</v>
      </c>
      <c r="G4644">
        <v>844541</v>
      </c>
      <c r="H4644">
        <v>5500019188</v>
      </c>
      <c r="I4644">
        <v>460</v>
      </c>
      <c r="J4644" s="29">
        <v>1</v>
      </c>
      <c r="K4644" s="29" t="s">
        <v>716</v>
      </c>
      <c r="L4644" t="str">
        <f>IFERROR(VLOOKUP(Detalle_OC[[#This Row],[Centro]]&amp;Detalle_OC[[#This Row],[Nro Almacen]],Almacen!A:D,4,FALSE),"")</f>
        <v>Montelima</v>
      </c>
    </row>
    <row r="4645" spans="1:12" x14ac:dyDescent="0.3">
      <c r="A4645" s="29" t="str">
        <f>Detalle_OC[[#This Row],[Centro]]&amp;Detalle_OC[[#This Row],[Nom Almacen]]&amp;Detalle_OC[[#This Row],[Material]]&amp;Detalle_OC[[#This Row],[Pedido]]&amp;Detalle_OC[[#This Row],[Posicion]]</f>
        <v>Agricola del Chira PlantaMontelima738248550001918870</v>
      </c>
      <c r="B4645" t="s">
        <v>28</v>
      </c>
      <c r="C4645" t="s">
        <v>82</v>
      </c>
      <c r="D4645" s="11">
        <v>43748</v>
      </c>
      <c r="E4645" t="s">
        <v>16</v>
      </c>
      <c r="F4645" t="s">
        <v>12</v>
      </c>
      <c r="G4645">
        <v>738248</v>
      </c>
      <c r="H4645">
        <v>5500019188</v>
      </c>
      <c r="I4645">
        <v>70</v>
      </c>
      <c r="J4645" s="29">
        <v>1</v>
      </c>
      <c r="K4645" s="29" t="s">
        <v>717</v>
      </c>
      <c r="L4645" t="str">
        <f>IFERROR(VLOOKUP(Detalle_OC[[#This Row],[Centro]]&amp;Detalle_OC[[#This Row],[Nro Almacen]],Almacen!A:D,4,FALSE),"")</f>
        <v>Montelima</v>
      </c>
    </row>
    <row r="4646" spans="1:12" x14ac:dyDescent="0.3">
      <c r="A4646" s="29" t="str">
        <f>Detalle_OC[[#This Row],[Centro]]&amp;Detalle_OC[[#This Row],[Nom Almacen]]&amp;Detalle_OC[[#This Row],[Material]]&amp;Detalle_OC[[#This Row],[Pedido]]&amp;Detalle_OC[[#This Row],[Posicion]]</f>
        <v>Agricola del Chira PlantaMontelima8443985500019188290</v>
      </c>
      <c r="B4646" t="s">
        <v>28</v>
      </c>
      <c r="C4646" t="s">
        <v>82</v>
      </c>
      <c r="D4646" s="11">
        <v>43748</v>
      </c>
      <c r="E4646" t="s">
        <v>16</v>
      </c>
      <c r="F4646" t="s">
        <v>12</v>
      </c>
      <c r="G4646">
        <v>844398</v>
      </c>
      <c r="H4646">
        <v>5500019188</v>
      </c>
      <c r="I4646">
        <v>290</v>
      </c>
      <c r="J4646" s="29">
        <v>1</v>
      </c>
      <c r="K4646" s="29" t="s">
        <v>717</v>
      </c>
      <c r="L4646" t="str">
        <f>IFERROR(VLOOKUP(Detalle_OC[[#This Row],[Centro]]&amp;Detalle_OC[[#This Row],[Nro Almacen]],Almacen!A:D,4,FALSE),"")</f>
        <v>Montelima</v>
      </c>
    </row>
    <row r="4647" spans="1:12" x14ac:dyDescent="0.3">
      <c r="A4647" s="29" t="str">
        <f>Detalle_OC[[#This Row],[Centro]]&amp;Detalle_OC[[#This Row],[Nom Almacen]]&amp;Detalle_OC[[#This Row],[Material]]&amp;Detalle_OC[[#This Row],[Pedido]]&amp;Detalle_OC[[#This Row],[Posicion]]</f>
        <v>Agricola del Chira PlantaMontelima8459085500019188350</v>
      </c>
      <c r="B4647" t="s">
        <v>28</v>
      </c>
      <c r="C4647" t="s">
        <v>82</v>
      </c>
      <c r="D4647" s="11">
        <v>43748</v>
      </c>
      <c r="E4647" t="s">
        <v>16</v>
      </c>
      <c r="F4647" t="s">
        <v>12</v>
      </c>
      <c r="G4647">
        <v>845908</v>
      </c>
      <c r="H4647">
        <v>5500019188</v>
      </c>
      <c r="I4647">
        <v>350</v>
      </c>
      <c r="J4647" s="29">
        <v>1</v>
      </c>
      <c r="K4647" s="29" t="s">
        <v>717</v>
      </c>
      <c r="L4647" t="str">
        <f>IFERROR(VLOOKUP(Detalle_OC[[#This Row],[Centro]]&amp;Detalle_OC[[#This Row],[Nro Almacen]],Almacen!A:D,4,FALSE),"")</f>
        <v>Montelima</v>
      </c>
    </row>
    <row r="4648" spans="1:12" x14ac:dyDescent="0.3">
      <c r="A4648" s="29" t="str">
        <f>Detalle_OC[[#This Row],[Centro]]&amp;Detalle_OC[[#This Row],[Nom Almacen]]&amp;Detalle_OC[[#This Row],[Material]]&amp;Detalle_OC[[#This Row],[Pedido]]&amp;Detalle_OC[[#This Row],[Posicion]]</f>
        <v>Agricola del Chira PlantaMontelima8445415500019188460</v>
      </c>
      <c r="B4648" t="s">
        <v>28</v>
      </c>
      <c r="C4648" t="s">
        <v>82</v>
      </c>
      <c r="D4648" s="11">
        <v>43748</v>
      </c>
      <c r="E4648" t="s">
        <v>16</v>
      </c>
      <c r="F4648" t="s">
        <v>12</v>
      </c>
      <c r="G4648">
        <v>844541</v>
      </c>
      <c r="H4648">
        <v>5500019188</v>
      </c>
      <c r="I4648">
        <v>460</v>
      </c>
      <c r="J4648" s="29">
        <v>1</v>
      </c>
      <c r="K4648" s="29" t="s">
        <v>717</v>
      </c>
      <c r="L4648" t="str">
        <f>IFERROR(VLOOKUP(Detalle_OC[[#This Row],[Centro]]&amp;Detalle_OC[[#This Row],[Nro Almacen]],Almacen!A:D,4,FALSE),"")</f>
        <v>Montelima</v>
      </c>
    </row>
    <row r="4649" spans="1:12" x14ac:dyDescent="0.3">
      <c r="A4649" s="29" t="str">
        <f>Detalle_OC[[#This Row],[Centro]]&amp;Detalle_OC[[#This Row],[Nom Almacen]]&amp;Detalle_OC[[#This Row],[Material]]&amp;Detalle_OC[[#This Row],[Pedido]]&amp;Detalle_OC[[#This Row],[Posicion]]</f>
        <v>Agricola del Chira PlantaMontelima82638355000191881150</v>
      </c>
      <c r="B4649" t="s">
        <v>28</v>
      </c>
      <c r="C4649" t="s">
        <v>82</v>
      </c>
      <c r="D4649" s="11">
        <v>43748</v>
      </c>
      <c r="E4649" t="s">
        <v>16</v>
      </c>
      <c r="F4649" t="s">
        <v>12</v>
      </c>
      <c r="G4649">
        <v>826383</v>
      </c>
      <c r="H4649">
        <v>5500019188</v>
      </c>
      <c r="I4649">
        <v>1150</v>
      </c>
      <c r="J4649" s="29">
        <v>1</v>
      </c>
      <c r="K4649" s="29" t="s">
        <v>717</v>
      </c>
      <c r="L4649" t="str">
        <f>IFERROR(VLOOKUP(Detalle_OC[[#This Row],[Centro]]&amp;Detalle_OC[[#This Row],[Nro Almacen]],Almacen!A:D,4,FALSE),"")</f>
        <v>Montelima</v>
      </c>
    </row>
    <row r="4650" spans="1:12" x14ac:dyDescent="0.3">
      <c r="A4650" s="29" t="str">
        <f>Detalle_OC[[#This Row],[Centro]]&amp;Detalle_OC[[#This Row],[Nom Almacen]]&amp;Detalle_OC[[#This Row],[Material]]&amp;Detalle_OC[[#This Row],[Pedido]]&amp;Detalle_OC[[#This Row],[Posicion]]</f>
        <v>Agricola del Chira PlantaMontelima83507855000191881330</v>
      </c>
      <c r="B4650" t="s">
        <v>28</v>
      </c>
      <c r="C4650" t="s">
        <v>82</v>
      </c>
      <c r="D4650" s="11">
        <v>43747</v>
      </c>
      <c r="E4650" t="s">
        <v>16</v>
      </c>
      <c r="F4650" t="s">
        <v>12</v>
      </c>
      <c r="G4650">
        <v>835078</v>
      </c>
      <c r="H4650">
        <v>5500019188</v>
      </c>
      <c r="I4650">
        <v>1330</v>
      </c>
      <c r="J4650" s="29">
        <v>1</v>
      </c>
      <c r="K4650" s="29" t="s">
        <v>718</v>
      </c>
      <c r="L4650" t="str">
        <f>IFERROR(VLOOKUP(Detalle_OC[[#This Row],[Centro]]&amp;Detalle_OC[[#This Row],[Nro Almacen]],Almacen!A:D,4,FALSE),"")</f>
        <v>Montelima</v>
      </c>
    </row>
    <row r="4651" spans="1:12" x14ac:dyDescent="0.3">
      <c r="A4651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4651" t="s">
        <v>28</v>
      </c>
      <c r="C4651" t="s">
        <v>82</v>
      </c>
      <c r="D4651" s="11">
        <v>43741</v>
      </c>
      <c r="E4651" t="s">
        <v>16</v>
      </c>
      <c r="F4651" t="s">
        <v>12</v>
      </c>
      <c r="G4651">
        <v>844516</v>
      </c>
      <c r="H4651">
        <v>5500019188</v>
      </c>
      <c r="I4651">
        <v>190</v>
      </c>
      <c r="J4651" s="29">
        <v>1</v>
      </c>
      <c r="K4651" s="29" t="s">
        <v>719</v>
      </c>
      <c r="L4651" t="str">
        <f>IFERROR(VLOOKUP(Detalle_OC[[#This Row],[Centro]]&amp;Detalle_OC[[#This Row],[Nro Almacen]],Almacen!A:D,4,FALSE),"")</f>
        <v>Montelima</v>
      </c>
    </row>
    <row r="4652" spans="1:12" x14ac:dyDescent="0.3">
      <c r="A4652" s="29" t="str">
        <f>Detalle_OC[[#This Row],[Centro]]&amp;Detalle_OC[[#This Row],[Nom Almacen]]&amp;Detalle_OC[[#This Row],[Material]]&amp;Detalle_OC[[#This Row],[Pedido]]&amp;Detalle_OC[[#This Row],[Posicion]]</f>
        <v>Agricola del Chira PlantaMontelima8445405500019188230</v>
      </c>
      <c r="B4652" t="s">
        <v>28</v>
      </c>
      <c r="C4652" t="s">
        <v>82</v>
      </c>
      <c r="D4652" s="11">
        <v>43741</v>
      </c>
      <c r="E4652" t="s">
        <v>16</v>
      </c>
      <c r="F4652" t="s">
        <v>12</v>
      </c>
      <c r="G4652">
        <v>844540</v>
      </c>
      <c r="H4652">
        <v>5500019188</v>
      </c>
      <c r="I4652">
        <v>230</v>
      </c>
      <c r="J4652" s="29">
        <v>1</v>
      </c>
      <c r="K4652" s="29" t="s">
        <v>719</v>
      </c>
      <c r="L4652" t="str">
        <f>IFERROR(VLOOKUP(Detalle_OC[[#This Row],[Centro]]&amp;Detalle_OC[[#This Row],[Nro Almacen]],Almacen!A:D,4,FALSE),"")</f>
        <v>Montelima</v>
      </c>
    </row>
    <row r="4653" spans="1:12" x14ac:dyDescent="0.3">
      <c r="A4653" s="29" t="str">
        <f>Detalle_OC[[#This Row],[Centro]]&amp;Detalle_OC[[#This Row],[Nom Almacen]]&amp;Detalle_OC[[#This Row],[Material]]&amp;Detalle_OC[[#This Row],[Pedido]]&amp;Detalle_OC[[#This Row],[Posicion]]</f>
        <v>Agricola del Chira PlantaMontelima8443975500019188280</v>
      </c>
      <c r="B4653" t="s">
        <v>28</v>
      </c>
      <c r="C4653" t="s">
        <v>82</v>
      </c>
      <c r="D4653" s="11">
        <v>43741</v>
      </c>
      <c r="E4653" t="s">
        <v>16</v>
      </c>
      <c r="F4653" t="s">
        <v>12</v>
      </c>
      <c r="G4653">
        <v>844397</v>
      </c>
      <c r="H4653">
        <v>5500019188</v>
      </c>
      <c r="I4653">
        <v>280</v>
      </c>
      <c r="J4653" s="29">
        <v>1</v>
      </c>
      <c r="K4653" s="29" t="s">
        <v>719</v>
      </c>
      <c r="L4653" t="str">
        <f>IFERROR(VLOOKUP(Detalle_OC[[#This Row],[Centro]]&amp;Detalle_OC[[#This Row],[Nro Almacen]],Almacen!A:D,4,FALSE),"")</f>
        <v>Montelima</v>
      </c>
    </row>
    <row r="4654" spans="1:12" x14ac:dyDescent="0.3">
      <c r="A4654" s="29" t="str">
        <f>Detalle_OC[[#This Row],[Centro]]&amp;Detalle_OC[[#This Row],[Nom Almacen]]&amp;Detalle_OC[[#This Row],[Material]]&amp;Detalle_OC[[#This Row],[Pedido]]&amp;Detalle_OC[[#This Row],[Posicion]]</f>
        <v>Agricola del Chira PlantaMontelima83507555000191881310</v>
      </c>
      <c r="B4654" t="s">
        <v>28</v>
      </c>
      <c r="C4654" t="s">
        <v>82</v>
      </c>
      <c r="D4654" s="11">
        <v>43741</v>
      </c>
      <c r="E4654" t="s">
        <v>16</v>
      </c>
      <c r="F4654" t="s">
        <v>12</v>
      </c>
      <c r="G4654">
        <v>835075</v>
      </c>
      <c r="H4654">
        <v>5500019188</v>
      </c>
      <c r="I4654">
        <v>1310</v>
      </c>
      <c r="J4654" s="29">
        <v>1</v>
      </c>
      <c r="K4654" s="29" t="s">
        <v>719</v>
      </c>
      <c r="L4654" t="str">
        <f>IFERROR(VLOOKUP(Detalle_OC[[#This Row],[Centro]]&amp;Detalle_OC[[#This Row],[Nro Almacen]],Almacen!A:D,4,FALSE),"")</f>
        <v>Montelima</v>
      </c>
    </row>
    <row r="4655" spans="1:12" x14ac:dyDescent="0.3">
      <c r="A4655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4655" t="s">
        <v>28</v>
      </c>
      <c r="C4655" t="s">
        <v>82</v>
      </c>
      <c r="D4655" s="11">
        <v>43731</v>
      </c>
      <c r="E4655" t="s">
        <v>16</v>
      </c>
      <c r="F4655" t="s">
        <v>12</v>
      </c>
      <c r="G4655">
        <v>844516</v>
      </c>
      <c r="H4655">
        <v>5500019188</v>
      </c>
      <c r="I4655">
        <v>190</v>
      </c>
      <c r="J4655" s="29">
        <v>1</v>
      </c>
      <c r="K4655" s="29" t="s">
        <v>720</v>
      </c>
      <c r="L4655" t="str">
        <f>IFERROR(VLOOKUP(Detalle_OC[[#This Row],[Centro]]&amp;Detalle_OC[[#This Row],[Nro Almacen]],Almacen!A:D,4,FALSE),"")</f>
        <v>Montelima</v>
      </c>
    </row>
    <row r="4656" spans="1:12" x14ac:dyDescent="0.3">
      <c r="A4656" s="29" t="str">
        <f>Detalle_OC[[#This Row],[Centro]]&amp;Detalle_OC[[#This Row],[Nom Almacen]]&amp;Detalle_OC[[#This Row],[Material]]&amp;Detalle_OC[[#This Row],[Pedido]]&amp;Detalle_OC[[#This Row],[Posicion]]</f>
        <v>Agricola del Chira PlantaMontelima8445405500019188230</v>
      </c>
      <c r="B4656" t="s">
        <v>28</v>
      </c>
      <c r="C4656" t="s">
        <v>82</v>
      </c>
      <c r="D4656" s="11">
        <v>43731</v>
      </c>
      <c r="E4656" t="s">
        <v>16</v>
      </c>
      <c r="F4656" t="s">
        <v>12</v>
      </c>
      <c r="G4656">
        <v>844540</v>
      </c>
      <c r="H4656">
        <v>5500019188</v>
      </c>
      <c r="I4656">
        <v>230</v>
      </c>
      <c r="J4656" s="29">
        <v>1</v>
      </c>
      <c r="K4656" s="29" t="s">
        <v>720</v>
      </c>
      <c r="L4656" t="str">
        <f>IFERROR(VLOOKUP(Detalle_OC[[#This Row],[Centro]]&amp;Detalle_OC[[#This Row],[Nro Almacen]],Almacen!A:D,4,FALSE),"")</f>
        <v>Montelima</v>
      </c>
    </row>
    <row r="4657" spans="1:12" x14ac:dyDescent="0.3">
      <c r="A4657" s="29" t="str">
        <f>Detalle_OC[[#This Row],[Centro]]&amp;Detalle_OC[[#This Row],[Nom Almacen]]&amp;Detalle_OC[[#This Row],[Material]]&amp;Detalle_OC[[#This Row],[Pedido]]&amp;Detalle_OC[[#This Row],[Posicion]]</f>
        <v>Agricola del Chira PlantaMontelima8443975500019188280</v>
      </c>
      <c r="B4657" t="s">
        <v>28</v>
      </c>
      <c r="C4657" t="s">
        <v>82</v>
      </c>
      <c r="D4657" s="11">
        <v>43731</v>
      </c>
      <c r="E4657" t="s">
        <v>16</v>
      </c>
      <c r="F4657" t="s">
        <v>12</v>
      </c>
      <c r="G4657">
        <v>844397</v>
      </c>
      <c r="H4657">
        <v>5500019188</v>
      </c>
      <c r="I4657">
        <v>280</v>
      </c>
      <c r="J4657" s="29">
        <v>1</v>
      </c>
      <c r="K4657" s="29" t="s">
        <v>720</v>
      </c>
      <c r="L4657" t="str">
        <f>IFERROR(VLOOKUP(Detalle_OC[[#This Row],[Centro]]&amp;Detalle_OC[[#This Row],[Nro Almacen]],Almacen!A:D,4,FALSE),"")</f>
        <v>Montelima</v>
      </c>
    </row>
    <row r="4658" spans="1:12" x14ac:dyDescent="0.3">
      <c r="A4658" s="29" t="str">
        <f>Detalle_OC[[#This Row],[Centro]]&amp;Detalle_OC[[#This Row],[Nom Almacen]]&amp;Detalle_OC[[#This Row],[Material]]&amp;Detalle_OC[[#This Row],[Pedido]]&amp;Detalle_OC[[#This Row],[Posicion]]</f>
        <v>Agricola del Chira PlantaMontelima8445205500019188520</v>
      </c>
      <c r="B4658" t="s">
        <v>28</v>
      </c>
      <c r="C4658" t="s">
        <v>82</v>
      </c>
      <c r="D4658" s="11">
        <v>43731</v>
      </c>
      <c r="E4658" t="s">
        <v>16</v>
      </c>
      <c r="F4658" t="s">
        <v>12</v>
      </c>
      <c r="G4658">
        <v>844520</v>
      </c>
      <c r="H4658">
        <v>5500019188</v>
      </c>
      <c r="I4658">
        <v>520</v>
      </c>
      <c r="J4658" s="29">
        <v>1</v>
      </c>
      <c r="K4658" s="29" t="s">
        <v>720</v>
      </c>
      <c r="L4658" t="str">
        <f>IFERROR(VLOOKUP(Detalle_OC[[#This Row],[Centro]]&amp;Detalle_OC[[#This Row],[Nro Almacen]],Almacen!A:D,4,FALSE),"")</f>
        <v>Montelima</v>
      </c>
    </row>
    <row r="4659" spans="1:12" x14ac:dyDescent="0.3">
      <c r="A4659" s="29" t="str">
        <f>Detalle_OC[[#This Row],[Centro]]&amp;Detalle_OC[[#This Row],[Nom Almacen]]&amp;Detalle_OC[[#This Row],[Material]]&amp;Detalle_OC[[#This Row],[Pedido]]&amp;Detalle_OC[[#This Row],[Posicion]]</f>
        <v>Agricola del Chira PlantaMontelima83507855000191881330</v>
      </c>
      <c r="B4659" t="s">
        <v>28</v>
      </c>
      <c r="C4659" t="s">
        <v>82</v>
      </c>
      <c r="D4659" s="11">
        <v>43731</v>
      </c>
      <c r="E4659" t="s">
        <v>16</v>
      </c>
      <c r="F4659" t="s">
        <v>12</v>
      </c>
      <c r="G4659">
        <v>835078</v>
      </c>
      <c r="H4659">
        <v>5500019188</v>
      </c>
      <c r="I4659">
        <v>1330</v>
      </c>
      <c r="J4659" s="29">
        <v>1</v>
      </c>
      <c r="K4659" s="29" t="s">
        <v>720</v>
      </c>
      <c r="L4659" t="str">
        <f>IFERROR(VLOOKUP(Detalle_OC[[#This Row],[Centro]]&amp;Detalle_OC[[#This Row],[Nro Almacen]],Almacen!A:D,4,FALSE),"")</f>
        <v>Montelima</v>
      </c>
    </row>
    <row r="4660" spans="1:12" x14ac:dyDescent="0.3">
      <c r="A4660" s="29" t="str">
        <f>Detalle_OC[[#This Row],[Centro]]&amp;Detalle_OC[[#This Row],[Nom Almacen]]&amp;Detalle_OC[[#This Row],[Material]]&amp;Detalle_OC[[#This Row],[Pedido]]&amp;Detalle_OC[[#This Row],[Posicion]]</f>
        <v>Agricola del Chira PlantaMontelima738330550001918820</v>
      </c>
      <c r="B4660" t="s">
        <v>28</v>
      </c>
      <c r="C4660" t="s">
        <v>82</v>
      </c>
      <c r="D4660" s="11">
        <v>43724</v>
      </c>
      <c r="E4660" t="s">
        <v>16</v>
      </c>
      <c r="F4660" t="s">
        <v>12</v>
      </c>
      <c r="G4660">
        <v>738330</v>
      </c>
      <c r="H4660">
        <v>5500019188</v>
      </c>
      <c r="I4660">
        <v>20</v>
      </c>
      <c r="J4660" s="29">
        <v>1</v>
      </c>
      <c r="K4660" s="29" t="s">
        <v>721</v>
      </c>
      <c r="L4660" t="str">
        <f>IFERROR(VLOOKUP(Detalle_OC[[#This Row],[Centro]]&amp;Detalle_OC[[#This Row],[Nro Almacen]],Almacen!A:D,4,FALSE),"")</f>
        <v>Montelima</v>
      </c>
    </row>
    <row r="4661" spans="1:12" x14ac:dyDescent="0.3">
      <c r="A4661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4661" t="s">
        <v>28</v>
      </c>
      <c r="C4661" t="s">
        <v>82</v>
      </c>
      <c r="D4661" s="11">
        <v>43724</v>
      </c>
      <c r="E4661" t="s">
        <v>16</v>
      </c>
      <c r="F4661" t="s">
        <v>12</v>
      </c>
      <c r="G4661">
        <v>844508</v>
      </c>
      <c r="H4661">
        <v>5500019188</v>
      </c>
      <c r="I4661">
        <v>220</v>
      </c>
      <c r="J4661" s="29">
        <v>1</v>
      </c>
      <c r="K4661" s="29" t="s">
        <v>721</v>
      </c>
      <c r="L4661" t="str">
        <f>IFERROR(VLOOKUP(Detalle_OC[[#This Row],[Centro]]&amp;Detalle_OC[[#This Row],[Nro Almacen]],Almacen!A:D,4,FALSE),"")</f>
        <v>Montelima</v>
      </c>
    </row>
    <row r="4662" spans="1:12" x14ac:dyDescent="0.3">
      <c r="A4662" s="29" t="str">
        <f>Detalle_OC[[#This Row],[Centro]]&amp;Detalle_OC[[#This Row],[Nom Almacen]]&amp;Detalle_OC[[#This Row],[Material]]&amp;Detalle_OC[[#This Row],[Pedido]]&amp;Detalle_OC[[#This Row],[Posicion]]</f>
        <v>Agricola del Chira PlantaMontelima83507655000191881340</v>
      </c>
      <c r="B4662" t="s">
        <v>28</v>
      </c>
      <c r="C4662" t="s">
        <v>82</v>
      </c>
      <c r="D4662" s="11">
        <v>43724</v>
      </c>
      <c r="E4662" t="s">
        <v>16</v>
      </c>
      <c r="F4662" t="s">
        <v>12</v>
      </c>
      <c r="G4662">
        <v>835076</v>
      </c>
      <c r="H4662">
        <v>5500019188</v>
      </c>
      <c r="I4662">
        <v>1340</v>
      </c>
      <c r="J4662" s="29">
        <v>1</v>
      </c>
      <c r="K4662" s="29" t="s">
        <v>721</v>
      </c>
      <c r="L4662" t="str">
        <f>IFERROR(VLOOKUP(Detalle_OC[[#This Row],[Centro]]&amp;Detalle_OC[[#This Row],[Nro Almacen]],Almacen!A:D,4,FALSE),"")</f>
        <v>Montelima</v>
      </c>
    </row>
    <row r="4663" spans="1:12" x14ac:dyDescent="0.3">
      <c r="A4663" s="29" t="str">
        <f>Detalle_OC[[#This Row],[Centro]]&amp;Detalle_OC[[#This Row],[Nom Almacen]]&amp;Detalle_OC[[#This Row],[Material]]&amp;Detalle_OC[[#This Row],[Pedido]]&amp;Detalle_OC[[#This Row],[Posicion]]</f>
        <v>Agricola del Chira PlantaMontelima7004178255000191882250</v>
      </c>
      <c r="B4663" t="s">
        <v>28</v>
      </c>
      <c r="C4663" t="s">
        <v>82</v>
      </c>
      <c r="D4663" s="11">
        <v>43715</v>
      </c>
      <c r="E4663" t="s">
        <v>16</v>
      </c>
      <c r="F4663" t="s">
        <v>12</v>
      </c>
      <c r="G4663">
        <v>70041782</v>
      </c>
      <c r="H4663">
        <v>5500019188</v>
      </c>
      <c r="I4663">
        <v>2250</v>
      </c>
      <c r="J4663" s="29">
        <v>1</v>
      </c>
      <c r="K4663" s="29" t="s">
        <v>722</v>
      </c>
      <c r="L4663" t="str">
        <f>IFERROR(VLOOKUP(Detalle_OC[[#This Row],[Centro]]&amp;Detalle_OC[[#This Row],[Nro Almacen]],Almacen!A:D,4,FALSE),"")</f>
        <v>Montelima</v>
      </c>
    </row>
    <row r="4664" spans="1:12" x14ac:dyDescent="0.3">
      <c r="A4664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4664" t="s">
        <v>28</v>
      </c>
      <c r="C4664" t="s">
        <v>82</v>
      </c>
      <c r="D4664" s="11">
        <v>43713</v>
      </c>
      <c r="E4664" t="s">
        <v>16</v>
      </c>
      <c r="F4664" t="s">
        <v>12</v>
      </c>
      <c r="G4664">
        <v>844522</v>
      </c>
      <c r="H4664">
        <v>5500019188</v>
      </c>
      <c r="I4664">
        <v>150</v>
      </c>
      <c r="J4664" s="29">
        <v>1</v>
      </c>
      <c r="K4664" s="29" t="s">
        <v>723</v>
      </c>
      <c r="L4664" t="str">
        <f>IFERROR(VLOOKUP(Detalle_OC[[#This Row],[Centro]]&amp;Detalle_OC[[#This Row],[Nro Almacen]],Almacen!A:D,4,FALSE),"")</f>
        <v>Montelima</v>
      </c>
    </row>
    <row r="4665" spans="1:12" x14ac:dyDescent="0.3">
      <c r="A4665" s="29" t="str">
        <f>Detalle_OC[[#This Row],[Centro]]&amp;Detalle_OC[[#This Row],[Nom Almacen]]&amp;Detalle_OC[[#This Row],[Material]]&amp;Detalle_OC[[#This Row],[Pedido]]&amp;Detalle_OC[[#This Row],[Posicion]]</f>
        <v>Agricola del Chira PlantaMontelima8445265500019188390</v>
      </c>
      <c r="B4665" t="s">
        <v>28</v>
      </c>
      <c r="C4665" t="s">
        <v>82</v>
      </c>
      <c r="D4665" s="11">
        <v>43713</v>
      </c>
      <c r="E4665" t="s">
        <v>16</v>
      </c>
      <c r="F4665" t="s">
        <v>12</v>
      </c>
      <c r="G4665">
        <v>844526</v>
      </c>
      <c r="H4665">
        <v>5500019188</v>
      </c>
      <c r="I4665">
        <v>390</v>
      </c>
      <c r="J4665" s="29">
        <v>1</v>
      </c>
      <c r="K4665" s="29" t="s">
        <v>723</v>
      </c>
      <c r="L4665" t="str">
        <f>IFERROR(VLOOKUP(Detalle_OC[[#This Row],[Centro]]&amp;Detalle_OC[[#This Row],[Nro Almacen]],Almacen!A:D,4,FALSE),"")</f>
        <v>Montelima</v>
      </c>
    </row>
    <row r="4666" spans="1:12" x14ac:dyDescent="0.3">
      <c r="A4666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4666" t="s">
        <v>28</v>
      </c>
      <c r="C4666" t="s">
        <v>82</v>
      </c>
      <c r="D4666" s="11">
        <v>43712</v>
      </c>
      <c r="E4666" t="s">
        <v>16</v>
      </c>
      <c r="F4666" t="s">
        <v>12</v>
      </c>
      <c r="G4666">
        <v>844522</v>
      </c>
      <c r="H4666">
        <v>5500019188</v>
      </c>
      <c r="I4666">
        <v>150</v>
      </c>
      <c r="J4666" s="29">
        <v>1</v>
      </c>
      <c r="K4666" s="29" t="s">
        <v>724</v>
      </c>
      <c r="L4666" t="str">
        <f>IFERROR(VLOOKUP(Detalle_OC[[#This Row],[Centro]]&amp;Detalle_OC[[#This Row],[Nro Almacen]],Almacen!A:D,4,FALSE),"")</f>
        <v>Montelima</v>
      </c>
    </row>
    <row r="4667" spans="1:12" x14ac:dyDescent="0.3">
      <c r="A4667" s="29" t="str">
        <f>Detalle_OC[[#This Row],[Centro]]&amp;Detalle_OC[[#This Row],[Nom Almacen]]&amp;Detalle_OC[[#This Row],[Material]]&amp;Detalle_OC[[#This Row],[Pedido]]&amp;Detalle_OC[[#This Row],[Posicion]]</f>
        <v>Agricola del Chira PlantaMontelima8445415500019188460</v>
      </c>
      <c r="B4667" t="s">
        <v>28</v>
      </c>
      <c r="C4667" t="s">
        <v>82</v>
      </c>
      <c r="D4667" s="11">
        <v>43712</v>
      </c>
      <c r="E4667" t="s">
        <v>16</v>
      </c>
      <c r="F4667" t="s">
        <v>12</v>
      </c>
      <c r="G4667">
        <v>844541</v>
      </c>
      <c r="H4667">
        <v>5500019188</v>
      </c>
      <c r="I4667">
        <v>460</v>
      </c>
      <c r="J4667" s="29">
        <v>1</v>
      </c>
      <c r="K4667" s="29" t="s">
        <v>724</v>
      </c>
      <c r="L4667" t="str">
        <f>IFERROR(VLOOKUP(Detalle_OC[[#This Row],[Centro]]&amp;Detalle_OC[[#This Row],[Nro Almacen]],Almacen!A:D,4,FALSE),"")</f>
        <v>Montelima</v>
      </c>
    </row>
    <row r="4668" spans="1:12" x14ac:dyDescent="0.3">
      <c r="A4668" s="29" t="str">
        <f>Detalle_OC[[#This Row],[Centro]]&amp;Detalle_OC[[#This Row],[Nom Almacen]]&amp;Detalle_OC[[#This Row],[Material]]&amp;Detalle_OC[[#This Row],[Pedido]]&amp;Detalle_OC[[#This Row],[Posicion]]</f>
        <v>Agricola del Chira PlantaMontelima8966395500019188120</v>
      </c>
      <c r="B4668" t="s">
        <v>28</v>
      </c>
      <c r="C4668" t="s">
        <v>82</v>
      </c>
      <c r="D4668" s="11">
        <v>43700</v>
      </c>
      <c r="E4668" t="s">
        <v>16</v>
      </c>
      <c r="F4668" t="s">
        <v>12</v>
      </c>
      <c r="G4668">
        <v>896639</v>
      </c>
      <c r="H4668">
        <v>5500019188</v>
      </c>
      <c r="I4668">
        <v>120</v>
      </c>
      <c r="J4668" s="29">
        <v>1</v>
      </c>
      <c r="K4668" s="29" t="s">
        <v>725</v>
      </c>
      <c r="L4668" t="str">
        <f>IFERROR(VLOOKUP(Detalle_OC[[#This Row],[Centro]]&amp;Detalle_OC[[#This Row],[Nro Almacen]],Almacen!A:D,4,FALSE),"")</f>
        <v>Montelima</v>
      </c>
    </row>
    <row r="4669" spans="1:12" x14ac:dyDescent="0.3">
      <c r="A4669" s="29" t="str">
        <f>Detalle_OC[[#This Row],[Centro]]&amp;Detalle_OC[[#This Row],[Nom Almacen]]&amp;Detalle_OC[[#This Row],[Material]]&amp;Detalle_OC[[#This Row],[Pedido]]&amp;Detalle_OC[[#This Row],[Posicion]]</f>
        <v>Agricola del Chira PlantaMontelima8453165500019188130</v>
      </c>
      <c r="B4669" t="s">
        <v>28</v>
      </c>
      <c r="C4669" t="s">
        <v>82</v>
      </c>
      <c r="D4669" s="11">
        <v>43700</v>
      </c>
      <c r="E4669" t="s">
        <v>16</v>
      </c>
      <c r="F4669" t="s">
        <v>12</v>
      </c>
      <c r="G4669">
        <v>845316</v>
      </c>
      <c r="H4669">
        <v>5500019188</v>
      </c>
      <c r="I4669">
        <v>130</v>
      </c>
      <c r="J4669" s="29">
        <v>1</v>
      </c>
      <c r="K4669" s="29" t="s">
        <v>725</v>
      </c>
      <c r="L4669" t="str">
        <f>IFERROR(VLOOKUP(Detalle_OC[[#This Row],[Centro]]&amp;Detalle_OC[[#This Row],[Nro Almacen]],Almacen!A:D,4,FALSE),"")</f>
        <v>Montelima</v>
      </c>
    </row>
    <row r="4670" spans="1:12" x14ac:dyDescent="0.3">
      <c r="A4670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4670" t="s">
        <v>28</v>
      </c>
      <c r="C4670" t="s">
        <v>82</v>
      </c>
      <c r="D4670" s="11">
        <v>43700</v>
      </c>
      <c r="E4670" t="s">
        <v>16</v>
      </c>
      <c r="F4670" t="s">
        <v>12</v>
      </c>
      <c r="G4670">
        <v>844508</v>
      </c>
      <c r="H4670">
        <v>5500019188</v>
      </c>
      <c r="I4670">
        <v>220</v>
      </c>
      <c r="J4670" s="29">
        <v>1</v>
      </c>
      <c r="K4670" s="29" t="s">
        <v>725</v>
      </c>
      <c r="L4670" t="str">
        <f>IFERROR(VLOOKUP(Detalle_OC[[#This Row],[Centro]]&amp;Detalle_OC[[#This Row],[Nro Almacen]],Almacen!A:D,4,FALSE),"")</f>
        <v>Montelima</v>
      </c>
    </row>
    <row r="4671" spans="1:12" x14ac:dyDescent="0.3">
      <c r="A4671" s="29" t="str">
        <f>Detalle_OC[[#This Row],[Centro]]&amp;Detalle_OC[[#This Row],[Nom Almacen]]&amp;Detalle_OC[[#This Row],[Material]]&amp;Detalle_OC[[#This Row],[Pedido]]&amp;Detalle_OC[[#This Row],[Posicion]]</f>
        <v>Agricola del Chira PlantaMontelima8445025500019188250</v>
      </c>
      <c r="B4671" t="s">
        <v>28</v>
      </c>
      <c r="C4671" t="s">
        <v>82</v>
      </c>
      <c r="D4671" s="11">
        <v>43700</v>
      </c>
      <c r="E4671" t="s">
        <v>16</v>
      </c>
      <c r="F4671" t="s">
        <v>12</v>
      </c>
      <c r="G4671">
        <v>844502</v>
      </c>
      <c r="H4671">
        <v>5500019188</v>
      </c>
      <c r="I4671">
        <v>250</v>
      </c>
      <c r="J4671" s="29">
        <v>1</v>
      </c>
      <c r="K4671" s="29" t="s">
        <v>725</v>
      </c>
      <c r="L4671" t="str">
        <f>IFERROR(VLOOKUP(Detalle_OC[[#This Row],[Centro]]&amp;Detalle_OC[[#This Row],[Nro Almacen]],Almacen!A:D,4,FALSE),"")</f>
        <v>Montelima</v>
      </c>
    </row>
    <row r="4672" spans="1:12" x14ac:dyDescent="0.3">
      <c r="A4672" s="29" t="str">
        <f>Detalle_OC[[#This Row],[Centro]]&amp;Detalle_OC[[#This Row],[Nom Almacen]]&amp;Detalle_OC[[#This Row],[Material]]&amp;Detalle_OC[[#This Row],[Pedido]]&amp;Detalle_OC[[#This Row],[Posicion]]</f>
        <v>Agricola del Chira PlantaMontelima84557255000191881300</v>
      </c>
      <c r="B4672" t="s">
        <v>28</v>
      </c>
      <c r="C4672" t="s">
        <v>82</v>
      </c>
      <c r="D4672" s="11">
        <v>43700</v>
      </c>
      <c r="E4672" t="s">
        <v>16</v>
      </c>
      <c r="F4672" t="s">
        <v>12</v>
      </c>
      <c r="G4672">
        <v>845572</v>
      </c>
      <c r="H4672">
        <v>5500019188</v>
      </c>
      <c r="I4672">
        <v>1300</v>
      </c>
      <c r="J4672" s="29">
        <v>1</v>
      </c>
      <c r="K4672" s="29" t="s">
        <v>725</v>
      </c>
      <c r="L4672" t="str">
        <f>IFERROR(VLOOKUP(Detalle_OC[[#This Row],[Centro]]&amp;Detalle_OC[[#This Row],[Nro Almacen]],Almacen!A:D,4,FALSE),"")</f>
        <v>Montelima</v>
      </c>
    </row>
    <row r="4673" spans="1:12" x14ac:dyDescent="0.3">
      <c r="A4673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4673" t="s">
        <v>28</v>
      </c>
      <c r="C4673" t="s">
        <v>82</v>
      </c>
      <c r="D4673" s="11">
        <v>43700</v>
      </c>
      <c r="E4673" t="s">
        <v>16</v>
      </c>
      <c r="F4673" t="s">
        <v>12</v>
      </c>
      <c r="G4673">
        <v>844523</v>
      </c>
      <c r="H4673">
        <v>5500019188</v>
      </c>
      <c r="I4673">
        <v>140</v>
      </c>
      <c r="J4673" s="29">
        <v>1</v>
      </c>
      <c r="K4673" s="29" t="s">
        <v>726</v>
      </c>
      <c r="L4673" t="str">
        <f>IFERROR(VLOOKUP(Detalle_OC[[#This Row],[Centro]]&amp;Detalle_OC[[#This Row],[Nro Almacen]],Almacen!A:D,4,FALSE),"")</f>
        <v>Montelima</v>
      </c>
    </row>
    <row r="4674" spans="1:12" x14ac:dyDescent="0.3">
      <c r="A4674" s="29" t="str">
        <f>Detalle_OC[[#This Row],[Centro]]&amp;Detalle_OC[[#This Row],[Nom Almacen]]&amp;Detalle_OC[[#This Row],[Material]]&amp;Detalle_OC[[#This Row],[Pedido]]&amp;Detalle_OC[[#This Row],[Posicion]]</f>
        <v>Agricola del Chira PlantaMontelima8445025500019188250</v>
      </c>
      <c r="B4674" t="s">
        <v>28</v>
      </c>
      <c r="C4674" t="s">
        <v>82</v>
      </c>
      <c r="D4674" s="11">
        <v>43700</v>
      </c>
      <c r="E4674" t="s">
        <v>16</v>
      </c>
      <c r="F4674" t="s">
        <v>12</v>
      </c>
      <c r="G4674">
        <v>844502</v>
      </c>
      <c r="H4674">
        <v>5500019188</v>
      </c>
      <c r="I4674">
        <v>250</v>
      </c>
      <c r="J4674" s="29">
        <v>1</v>
      </c>
      <c r="K4674" s="29" t="s">
        <v>726</v>
      </c>
      <c r="L4674" t="str">
        <f>IFERROR(VLOOKUP(Detalle_OC[[#This Row],[Centro]]&amp;Detalle_OC[[#This Row],[Nro Almacen]],Almacen!A:D,4,FALSE),"")</f>
        <v>Montelima</v>
      </c>
    </row>
    <row r="4675" spans="1:12" x14ac:dyDescent="0.3">
      <c r="A4675" s="29" t="str">
        <f>Detalle_OC[[#This Row],[Centro]]&amp;Detalle_OC[[#This Row],[Nom Almacen]]&amp;Detalle_OC[[#This Row],[Material]]&amp;Detalle_OC[[#This Row],[Pedido]]&amp;Detalle_OC[[#This Row],[Posicion]]</f>
        <v>Agricola del Chira PlantaMontelima844601550001918860</v>
      </c>
      <c r="B4675" t="s">
        <v>28</v>
      </c>
      <c r="C4675" t="s">
        <v>82</v>
      </c>
      <c r="D4675" s="11">
        <v>43689</v>
      </c>
      <c r="E4675" t="s">
        <v>16</v>
      </c>
      <c r="F4675" t="s">
        <v>12</v>
      </c>
      <c r="G4675">
        <v>844601</v>
      </c>
      <c r="H4675">
        <v>5500019188</v>
      </c>
      <c r="I4675">
        <v>60</v>
      </c>
      <c r="J4675" s="29">
        <v>1</v>
      </c>
      <c r="K4675" s="29" t="s">
        <v>727</v>
      </c>
      <c r="L4675" t="str">
        <f>IFERROR(VLOOKUP(Detalle_OC[[#This Row],[Centro]]&amp;Detalle_OC[[#This Row],[Nro Almacen]],Almacen!A:D,4,FALSE),"")</f>
        <v>Montelima</v>
      </c>
    </row>
    <row r="4676" spans="1:12" x14ac:dyDescent="0.3">
      <c r="A4676" s="29" t="str">
        <f>Detalle_OC[[#This Row],[Centro]]&amp;Detalle_OC[[#This Row],[Nom Almacen]]&amp;Detalle_OC[[#This Row],[Material]]&amp;Detalle_OC[[#This Row],[Pedido]]&amp;Detalle_OC[[#This Row],[Posicion]]</f>
        <v>Agricola del Chira PlantaMontelima8445095500019188260</v>
      </c>
      <c r="B4676" t="s">
        <v>28</v>
      </c>
      <c r="C4676" t="s">
        <v>82</v>
      </c>
      <c r="D4676" s="11">
        <v>43689</v>
      </c>
      <c r="E4676" t="s">
        <v>16</v>
      </c>
      <c r="F4676" t="s">
        <v>12</v>
      </c>
      <c r="G4676">
        <v>844509</v>
      </c>
      <c r="H4676">
        <v>5500019188</v>
      </c>
      <c r="I4676">
        <v>260</v>
      </c>
      <c r="J4676" s="29">
        <v>1</v>
      </c>
      <c r="K4676" s="29" t="s">
        <v>727</v>
      </c>
      <c r="L4676" t="str">
        <f>IFERROR(VLOOKUP(Detalle_OC[[#This Row],[Centro]]&amp;Detalle_OC[[#This Row],[Nro Almacen]],Almacen!A:D,4,FALSE),"")</f>
        <v>Montelima</v>
      </c>
    </row>
    <row r="4677" spans="1:12" x14ac:dyDescent="0.3">
      <c r="A4677" s="29" t="str">
        <f>Detalle_OC[[#This Row],[Centro]]&amp;Detalle_OC[[#This Row],[Nom Almacen]]&amp;Detalle_OC[[#This Row],[Material]]&amp;Detalle_OC[[#This Row],[Pedido]]&amp;Detalle_OC[[#This Row],[Posicion]]</f>
        <v>Agricola del Chira PlantaMontelima8445395500019188300</v>
      </c>
      <c r="B4677" t="s">
        <v>28</v>
      </c>
      <c r="C4677" t="s">
        <v>82</v>
      </c>
      <c r="D4677" s="11">
        <v>43689</v>
      </c>
      <c r="E4677" t="s">
        <v>16</v>
      </c>
      <c r="F4677" t="s">
        <v>12</v>
      </c>
      <c r="G4677">
        <v>844539</v>
      </c>
      <c r="H4677">
        <v>5500019188</v>
      </c>
      <c r="I4677">
        <v>300</v>
      </c>
      <c r="J4677" s="29">
        <v>1</v>
      </c>
      <c r="K4677" s="29" t="s">
        <v>727</v>
      </c>
      <c r="L4677" t="str">
        <f>IFERROR(VLOOKUP(Detalle_OC[[#This Row],[Centro]]&amp;Detalle_OC[[#This Row],[Nro Almacen]],Almacen!A:D,4,FALSE),"")</f>
        <v>Montelima</v>
      </c>
    </row>
    <row r="4678" spans="1:12" x14ac:dyDescent="0.3">
      <c r="A4678" s="29" t="str">
        <f>Detalle_OC[[#This Row],[Centro]]&amp;Detalle_OC[[#This Row],[Nom Almacen]]&amp;Detalle_OC[[#This Row],[Material]]&amp;Detalle_OC[[#This Row],[Pedido]]&amp;Detalle_OC[[#This Row],[Posicion]]</f>
        <v>Agricola del Chira PlantaMontelima8445175500019188340</v>
      </c>
      <c r="B4678" t="s">
        <v>28</v>
      </c>
      <c r="C4678" t="s">
        <v>82</v>
      </c>
      <c r="D4678" s="11">
        <v>43689</v>
      </c>
      <c r="E4678" t="s">
        <v>16</v>
      </c>
      <c r="F4678" t="s">
        <v>12</v>
      </c>
      <c r="G4678">
        <v>844517</v>
      </c>
      <c r="H4678">
        <v>5500019188</v>
      </c>
      <c r="I4678">
        <v>340</v>
      </c>
      <c r="J4678" s="29">
        <v>1</v>
      </c>
      <c r="K4678" s="29" t="s">
        <v>727</v>
      </c>
      <c r="L4678" t="str">
        <f>IFERROR(VLOOKUP(Detalle_OC[[#This Row],[Centro]]&amp;Detalle_OC[[#This Row],[Nro Almacen]],Almacen!A:D,4,FALSE),"")</f>
        <v>Montelima</v>
      </c>
    </row>
    <row r="4679" spans="1:12" x14ac:dyDescent="0.3">
      <c r="A4679" s="29" t="str">
        <f>Detalle_OC[[#This Row],[Centro]]&amp;Detalle_OC[[#This Row],[Nom Almacen]]&amp;Detalle_OC[[#This Row],[Material]]&amp;Detalle_OC[[#This Row],[Pedido]]&amp;Detalle_OC[[#This Row],[Posicion]]</f>
        <v>Agricola del Chira PlantaMontelima8506365500019188510</v>
      </c>
      <c r="B4679" t="s">
        <v>28</v>
      </c>
      <c r="C4679" t="s">
        <v>82</v>
      </c>
      <c r="D4679" s="11">
        <v>43689</v>
      </c>
      <c r="E4679" t="s">
        <v>16</v>
      </c>
      <c r="F4679" t="s">
        <v>12</v>
      </c>
      <c r="G4679">
        <v>850636</v>
      </c>
      <c r="H4679">
        <v>5500019188</v>
      </c>
      <c r="I4679">
        <v>510</v>
      </c>
      <c r="J4679" s="29">
        <v>1</v>
      </c>
      <c r="K4679" s="29" t="s">
        <v>727</v>
      </c>
      <c r="L4679" t="str">
        <f>IFERROR(VLOOKUP(Detalle_OC[[#This Row],[Centro]]&amp;Detalle_OC[[#This Row],[Nro Almacen]],Almacen!A:D,4,FALSE),"")</f>
        <v>Montelima</v>
      </c>
    </row>
    <row r="4680" spans="1:12" x14ac:dyDescent="0.3">
      <c r="A4680" s="29" t="str">
        <f>Detalle_OC[[#This Row],[Centro]]&amp;Detalle_OC[[#This Row],[Nom Almacen]]&amp;Detalle_OC[[#This Row],[Material]]&amp;Detalle_OC[[#This Row],[Pedido]]&amp;Detalle_OC[[#This Row],[Posicion]]</f>
        <v>Agricola del Chira PlantaMontelima82638355000191881150</v>
      </c>
      <c r="B4680" t="s">
        <v>28</v>
      </c>
      <c r="C4680" t="s">
        <v>82</v>
      </c>
      <c r="D4680" s="11">
        <v>43689</v>
      </c>
      <c r="E4680" t="s">
        <v>16</v>
      </c>
      <c r="F4680" t="s">
        <v>12</v>
      </c>
      <c r="G4680">
        <v>826383</v>
      </c>
      <c r="H4680">
        <v>5500019188</v>
      </c>
      <c r="I4680">
        <v>1150</v>
      </c>
      <c r="J4680" s="29">
        <v>1</v>
      </c>
      <c r="K4680" s="29" t="s">
        <v>727</v>
      </c>
      <c r="L4680" t="str">
        <f>IFERROR(VLOOKUP(Detalle_OC[[#This Row],[Centro]]&amp;Detalle_OC[[#This Row],[Nro Almacen]],Almacen!A:D,4,FALSE),"")</f>
        <v>Montelima</v>
      </c>
    </row>
    <row r="4681" spans="1:12" x14ac:dyDescent="0.3">
      <c r="A4681" s="29" t="str">
        <f>Detalle_OC[[#This Row],[Centro]]&amp;Detalle_OC[[#This Row],[Nom Almacen]]&amp;Detalle_OC[[#This Row],[Material]]&amp;Detalle_OC[[#This Row],[Pedido]]&amp;Detalle_OC[[#This Row],[Posicion]]</f>
        <v>Agricola del Chira PlantaMontelima761905550001918810</v>
      </c>
      <c r="B4681" t="s">
        <v>28</v>
      </c>
      <c r="C4681" t="s">
        <v>82</v>
      </c>
      <c r="D4681" s="11">
        <v>43661</v>
      </c>
      <c r="E4681" t="s">
        <v>16</v>
      </c>
      <c r="F4681" t="s">
        <v>12</v>
      </c>
      <c r="G4681">
        <v>761905</v>
      </c>
      <c r="H4681">
        <v>5500019188</v>
      </c>
      <c r="I4681">
        <v>10</v>
      </c>
      <c r="J4681" s="29">
        <v>1</v>
      </c>
      <c r="K4681" s="29" t="s">
        <v>728</v>
      </c>
      <c r="L4681" t="str">
        <f>IFERROR(VLOOKUP(Detalle_OC[[#This Row],[Centro]]&amp;Detalle_OC[[#This Row],[Nro Almacen]],Almacen!A:D,4,FALSE),"")</f>
        <v>Montelima</v>
      </c>
    </row>
    <row r="4682" spans="1:12" x14ac:dyDescent="0.3">
      <c r="A4682" s="29" t="str">
        <f>Detalle_OC[[#This Row],[Centro]]&amp;Detalle_OC[[#This Row],[Nom Almacen]]&amp;Detalle_OC[[#This Row],[Material]]&amp;Detalle_OC[[#This Row],[Pedido]]&amp;Detalle_OC[[#This Row],[Posicion]]</f>
        <v>Agricola del Chira PlantaMontelima762202550001918850</v>
      </c>
      <c r="B4682" t="s">
        <v>28</v>
      </c>
      <c r="C4682" t="s">
        <v>82</v>
      </c>
      <c r="D4682" s="11">
        <v>43661</v>
      </c>
      <c r="E4682" t="s">
        <v>16</v>
      </c>
      <c r="F4682" t="s">
        <v>12</v>
      </c>
      <c r="G4682">
        <v>762202</v>
      </c>
      <c r="H4682">
        <v>5500019188</v>
      </c>
      <c r="I4682">
        <v>50</v>
      </c>
      <c r="J4682" s="29">
        <v>1</v>
      </c>
      <c r="K4682" s="29" t="s">
        <v>728</v>
      </c>
      <c r="L4682" t="str">
        <f>IFERROR(VLOOKUP(Detalle_OC[[#This Row],[Centro]]&amp;Detalle_OC[[#This Row],[Nro Almacen]],Almacen!A:D,4,FALSE),"")</f>
        <v>Montelima</v>
      </c>
    </row>
    <row r="4683" spans="1:12" x14ac:dyDescent="0.3">
      <c r="A4683" s="29" t="str">
        <f>Detalle_OC[[#This Row],[Centro]]&amp;Detalle_OC[[#This Row],[Nom Almacen]]&amp;Detalle_OC[[#This Row],[Material]]&amp;Detalle_OC[[#This Row],[Pedido]]&amp;Detalle_OC[[#This Row],[Posicion]]</f>
        <v>Agricola del Chira PlantaMontelima8445115500019188180</v>
      </c>
      <c r="B4683" t="s">
        <v>28</v>
      </c>
      <c r="C4683" t="s">
        <v>82</v>
      </c>
      <c r="D4683" s="11">
        <v>43661</v>
      </c>
      <c r="E4683" t="s">
        <v>16</v>
      </c>
      <c r="F4683" t="s">
        <v>12</v>
      </c>
      <c r="G4683">
        <v>844511</v>
      </c>
      <c r="H4683">
        <v>5500019188</v>
      </c>
      <c r="I4683">
        <v>180</v>
      </c>
      <c r="J4683" s="29">
        <v>1</v>
      </c>
      <c r="K4683" s="29" t="s">
        <v>728</v>
      </c>
      <c r="L4683" t="str">
        <f>IFERROR(VLOOKUP(Detalle_OC[[#This Row],[Centro]]&amp;Detalle_OC[[#This Row],[Nro Almacen]],Almacen!A:D,4,FALSE),"")</f>
        <v>Montelima</v>
      </c>
    </row>
    <row r="4684" spans="1:12" x14ac:dyDescent="0.3">
      <c r="A4684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4684" t="s">
        <v>28</v>
      </c>
      <c r="C4684" t="s">
        <v>82</v>
      </c>
      <c r="D4684" s="11">
        <v>43661</v>
      </c>
      <c r="E4684" t="s">
        <v>16</v>
      </c>
      <c r="F4684" t="s">
        <v>12</v>
      </c>
      <c r="G4684">
        <v>844516</v>
      </c>
      <c r="H4684">
        <v>5500019188</v>
      </c>
      <c r="I4684">
        <v>190</v>
      </c>
      <c r="J4684" s="29">
        <v>1</v>
      </c>
      <c r="K4684" s="29" t="s">
        <v>728</v>
      </c>
      <c r="L4684" t="str">
        <f>IFERROR(VLOOKUP(Detalle_OC[[#This Row],[Centro]]&amp;Detalle_OC[[#This Row],[Nro Almacen]],Almacen!A:D,4,FALSE),"")</f>
        <v>Montelima</v>
      </c>
    </row>
    <row r="4685" spans="1:12" x14ac:dyDescent="0.3">
      <c r="A4685" s="29" t="str">
        <f>Detalle_OC[[#This Row],[Centro]]&amp;Detalle_OC[[#This Row],[Nom Almacen]]&amp;Detalle_OC[[#This Row],[Material]]&amp;Detalle_OC[[#This Row],[Pedido]]&amp;Detalle_OC[[#This Row],[Posicion]]</f>
        <v>Agricola del Chira PlantaMontelima8445405500019188230</v>
      </c>
      <c r="B4685" t="s">
        <v>28</v>
      </c>
      <c r="C4685" t="s">
        <v>82</v>
      </c>
      <c r="D4685" s="11">
        <v>43661</v>
      </c>
      <c r="E4685" t="s">
        <v>16</v>
      </c>
      <c r="F4685" t="s">
        <v>12</v>
      </c>
      <c r="G4685">
        <v>844540</v>
      </c>
      <c r="H4685">
        <v>5500019188</v>
      </c>
      <c r="I4685">
        <v>230</v>
      </c>
      <c r="J4685" s="29">
        <v>1</v>
      </c>
      <c r="K4685" s="29" t="s">
        <v>728</v>
      </c>
      <c r="L4685" t="str">
        <f>IFERROR(VLOOKUP(Detalle_OC[[#This Row],[Centro]]&amp;Detalle_OC[[#This Row],[Nro Almacen]],Almacen!A:D,4,FALSE),"")</f>
        <v>Montelima</v>
      </c>
    </row>
    <row r="4686" spans="1:12" x14ac:dyDescent="0.3">
      <c r="A4686" s="29" t="str">
        <f>Detalle_OC[[#This Row],[Centro]]&amp;Detalle_OC[[#This Row],[Nom Almacen]]&amp;Detalle_OC[[#This Row],[Material]]&amp;Detalle_OC[[#This Row],[Pedido]]&amp;Detalle_OC[[#This Row],[Posicion]]</f>
        <v>Agricola del Chira PlantaMontelima8449175500019188240</v>
      </c>
      <c r="B4686" t="s">
        <v>28</v>
      </c>
      <c r="C4686" t="s">
        <v>82</v>
      </c>
      <c r="D4686" s="11">
        <v>43661</v>
      </c>
      <c r="E4686" t="s">
        <v>16</v>
      </c>
      <c r="F4686" t="s">
        <v>12</v>
      </c>
      <c r="G4686">
        <v>844917</v>
      </c>
      <c r="H4686">
        <v>5500019188</v>
      </c>
      <c r="I4686">
        <v>240</v>
      </c>
      <c r="J4686" s="29">
        <v>1</v>
      </c>
      <c r="K4686" s="29" t="s">
        <v>728</v>
      </c>
      <c r="L4686" t="str">
        <f>IFERROR(VLOOKUP(Detalle_OC[[#This Row],[Centro]]&amp;Detalle_OC[[#This Row],[Nro Almacen]],Almacen!A:D,4,FALSE),"")</f>
        <v>Montelima</v>
      </c>
    </row>
    <row r="4687" spans="1:12" x14ac:dyDescent="0.3">
      <c r="A4687" s="29" t="str">
        <f>Detalle_OC[[#This Row],[Centro]]&amp;Detalle_OC[[#This Row],[Nom Almacen]]&amp;Detalle_OC[[#This Row],[Material]]&amp;Detalle_OC[[#This Row],[Pedido]]&amp;Detalle_OC[[#This Row],[Posicion]]</f>
        <v>Agricola del Chira PlantaMontelima8443985500019188290</v>
      </c>
      <c r="B4687" t="s">
        <v>28</v>
      </c>
      <c r="C4687" t="s">
        <v>82</v>
      </c>
      <c r="D4687" s="11">
        <v>43661</v>
      </c>
      <c r="E4687" t="s">
        <v>16</v>
      </c>
      <c r="F4687" t="s">
        <v>12</v>
      </c>
      <c r="G4687">
        <v>844398</v>
      </c>
      <c r="H4687">
        <v>5500019188</v>
      </c>
      <c r="I4687">
        <v>290</v>
      </c>
      <c r="J4687" s="29">
        <v>1</v>
      </c>
      <c r="K4687" s="29" t="s">
        <v>728</v>
      </c>
      <c r="L4687" t="str">
        <f>IFERROR(VLOOKUP(Detalle_OC[[#This Row],[Centro]]&amp;Detalle_OC[[#This Row],[Nro Almacen]],Almacen!A:D,4,FALSE),"")</f>
        <v>Montelima</v>
      </c>
    </row>
    <row r="4688" spans="1:12" x14ac:dyDescent="0.3">
      <c r="A4688" s="29" t="str">
        <f>Detalle_OC[[#This Row],[Centro]]&amp;Detalle_OC[[#This Row],[Nom Almacen]]&amp;Detalle_OC[[#This Row],[Material]]&amp;Detalle_OC[[#This Row],[Pedido]]&amp;Detalle_OC[[#This Row],[Posicion]]</f>
        <v>Agricola del Chira PlantaMontelima8459085500019188350</v>
      </c>
      <c r="B4688" t="s">
        <v>28</v>
      </c>
      <c r="C4688" t="s">
        <v>82</v>
      </c>
      <c r="D4688" s="11">
        <v>43661</v>
      </c>
      <c r="E4688" t="s">
        <v>16</v>
      </c>
      <c r="F4688" t="s">
        <v>12</v>
      </c>
      <c r="G4688">
        <v>845908</v>
      </c>
      <c r="H4688">
        <v>5500019188</v>
      </c>
      <c r="I4688">
        <v>350</v>
      </c>
      <c r="J4688" s="29">
        <v>1</v>
      </c>
      <c r="K4688" s="29" t="s">
        <v>728</v>
      </c>
      <c r="L4688" t="str">
        <f>IFERROR(VLOOKUP(Detalle_OC[[#This Row],[Centro]]&amp;Detalle_OC[[#This Row],[Nro Almacen]],Almacen!A:D,4,FALSE),"")</f>
        <v>Montelima</v>
      </c>
    </row>
    <row r="4689" spans="1:12" x14ac:dyDescent="0.3">
      <c r="A4689" s="29" t="str">
        <f>Detalle_OC[[#This Row],[Centro]]&amp;Detalle_OC[[#This Row],[Nom Almacen]]&amp;Detalle_OC[[#This Row],[Material]]&amp;Detalle_OC[[#This Row],[Pedido]]&amp;Detalle_OC[[#This Row],[Posicion]]</f>
        <v>Agricola del Chira PlantaMontelima8459085500019188350</v>
      </c>
      <c r="B4689" t="s">
        <v>28</v>
      </c>
      <c r="C4689" t="s">
        <v>82</v>
      </c>
      <c r="D4689" s="11">
        <v>43661</v>
      </c>
      <c r="E4689" t="s">
        <v>16</v>
      </c>
      <c r="F4689" t="s">
        <v>12</v>
      </c>
      <c r="G4689">
        <v>845908</v>
      </c>
      <c r="H4689">
        <v>5500019188</v>
      </c>
      <c r="I4689">
        <v>350</v>
      </c>
      <c r="J4689" s="29">
        <v>1</v>
      </c>
      <c r="K4689" s="29" t="s">
        <v>728</v>
      </c>
      <c r="L4689" t="str">
        <f>IFERROR(VLOOKUP(Detalle_OC[[#This Row],[Centro]]&amp;Detalle_OC[[#This Row],[Nro Almacen]],Almacen!A:D,4,FALSE),"")</f>
        <v>Montelima</v>
      </c>
    </row>
    <row r="4690" spans="1:12" x14ac:dyDescent="0.3">
      <c r="A4690" s="29" t="str">
        <f>Detalle_OC[[#This Row],[Centro]]&amp;Detalle_OC[[#This Row],[Nom Almacen]]&amp;Detalle_OC[[#This Row],[Material]]&amp;Detalle_OC[[#This Row],[Pedido]]&amp;Detalle_OC[[#This Row],[Posicion]]</f>
        <v>Agricola del Chira PlantaMontelima8445325500019188440</v>
      </c>
      <c r="B4690" t="s">
        <v>28</v>
      </c>
      <c r="C4690" t="s">
        <v>82</v>
      </c>
      <c r="D4690" s="11">
        <v>43661</v>
      </c>
      <c r="E4690" t="s">
        <v>16</v>
      </c>
      <c r="F4690" t="s">
        <v>12</v>
      </c>
      <c r="G4690">
        <v>844532</v>
      </c>
      <c r="H4690">
        <v>5500019188</v>
      </c>
      <c r="I4690">
        <v>440</v>
      </c>
      <c r="J4690" s="29">
        <v>1</v>
      </c>
      <c r="K4690" s="29" t="s">
        <v>728</v>
      </c>
      <c r="L4690" t="str">
        <f>IFERROR(VLOOKUP(Detalle_OC[[#This Row],[Centro]]&amp;Detalle_OC[[#This Row],[Nro Almacen]],Almacen!A:D,4,FALSE),"")</f>
        <v>Montelima</v>
      </c>
    </row>
    <row r="4691" spans="1:12" x14ac:dyDescent="0.3">
      <c r="A4691" s="29" t="str">
        <f>Detalle_OC[[#This Row],[Centro]]&amp;Detalle_OC[[#This Row],[Nom Almacen]]&amp;Detalle_OC[[#This Row],[Material]]&amp;Detalle_OC[[#This Row],[Pedido]]&amp;Detalle_OC[[#This Row],[Posicion]]</f>
        <v>Agricola del Chira PlantaMontelima8445205500019188520</v>
      </c>
      <c r="B4691" t="s">
        <v>28</v>
      </c>
      <c r="C4691" t="s">
        <v>82</v>
      </c>
      <c r="D4691" s="11">
        <v>43661</v>
      </c>
      <c r="E4691" t="s">
        <v>16</v>
      </c>
      <c r="F4691" t="s">
        <v>12</v>
      </c>
      <c r="G4691">
        <v>844520</v>
      </c>
      <c r="H4691">
        <v>5500019188</v>
      </c>
      <c r="I4691">
        <v>520</v>
      </c>
      <c r="J4691" s="29">
        <v>1</v>
      </c>
      <c r="K4691" s="29" t="s">
        <v>728</v>
      </c>
      <c r="L4691" t="str">
        <f>IFERROR(VLOOKUP(Detalle_OC[[#This Row],[Centro]]&amp;Detalle_OC[[#This Row],[Nro Almacen]],Almacen!A:D,4,FALSE),"")</f>
        <v>Montelima</v>
      </c>
    </row>
    <row r="4692" spans="1:12" x14ac:dyDescent="0.3">
      <c r="A4692" s="29" t="str">
        <f>Detalle_OC[[#This Row],[Centro]]&amp;Detalle_OC[[#This Row],[Nom Almacen]]&amp;Detalle_OC[[#This Row],[Material]]&amp;Detalle_OC[[#This Row],[Pedido]]&amp;Detalle_OC[[#This Row],[Posicion]]</f>
        <v>Agricola del Chira PlantaMontelima7002962955000191881540</v>
      </c>
      <c r="B4692" t="s">
        <v>28</v>
      </c>
      <c r="C4692" t="s">
        <v>82</v>
      </c>
      <c r="D4692" s="11">
        <v>43661</v>
      </c>
      <c r="E4692" t="s">
        <v>16</v>
      </c>
      <c r="F4692" t="s">
        <v>12</v>
      </c>
      <c r="G4692">
        <v>70029629</v>
      </c>
      <c r="H4692">
        <v>5500019188</v>
      </c>
      <c r="I4692">
        <v>1540</v>
      </c>
      <c r="J4692" s="29">
        <v>1</v>
      </c>
      <c r="K4692" s="29" t="s">
        <v>728</v>
      </c>
      <c r="L4692" t="str">
        <f>IFERROR(VLOOKUP(Detalle_OC[[#This Row],[Centro]]&amp;Detalle_OC[[#This Row],[Nro Almacen]],Almacen!A:D,4,FALSE),"")</f>
        <v>Montelima</v>
      </c>
    </row>
    <row r="4693" spans="1:12" x14ac:dyDescent="0.3">
      <c r="A4693" s="29" t="str">
        <f>Detalle_OC[[#This Row],[Centro]]&amp;Detalle_OC[[#This Row],[Nom Almacen]]&amp;Detalle_OC[[#This Row],[Material]]&amp;Detalle_OC[[#This Row],[Pedido]]&amp;Detalle_OC[[#This Row],[Posicion]]</f>
        <v>Agricola del Chira PlantaMontelima762202550001918850</v>
      </c>
      <c r="B4693" t="s">
        <v>28</v>
      </c>
      <c r="C4693" t="s">
        <v>82</v>
      </c>
      <c r="D4693" s="11">
        <v>43648</v>
      </c>
      <c r="E4693" t="s">
        <v>16</v>
      </c>
      <c r="F4693" t="s">
        <v>12</v>
      </c>
      <c r="G4693">
        <v>762202</v>
      </c>
      <c r="H4693">
        <v>5500019188</v>
      </c>
      <c r="I4693">
        <v>50</v>
      </c>
      <c r="J4693" s="29">
        <v>1</v>
      </c>
      <c r="K4693" s="29" t="s">
        <v>729</v>
      </c>
      <c r="L4693" t="str">
        <f>IFERROR(VLOOKUP(Detalle_OC[[#This Row],[Centro]]&amp;Detalle_OC[[#This Row],[Nro Almacen]],Almacen!A:D,4,FALSE),"")</f>
        <v>Montelima</v>
      </c>
    </row>
    <row r="4694" spans="1:12" x14ac:dyDescent="0.3">
      <c r="A4694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4694" t="s">
        <v>28</v>
      </c>
      <c r="C4694" t="s">
        <v>82</v>
      </c>
      <c r="D4694" s="11">
        <v>43648</v>
      </c>
      <c r="E4694" t="s">
        <v>16</v>
      </c>
      <c r="F4694" t="s">
        <v>12</v>
      </c>
      <c r="G4694">
        <v>844516</v>
      </c>
      <c r="H4694">
        <v>5500019188</v>
      </c>
      <c r="I4694">
        <v>190</v>
      </c>
      <c r="J4694" s="29">
        <v>1</v>
      </c>
      <c r="K4694" s="29" t="s">
        <v>729</v>
      </c>
      <c r="L4694" t="str">
        <f>IFERROR(VLOOKUP(Detalle_OC[[#This Row],[Centro]]&amp;Detalle_OC[[#This Row],[Nro Almacen]],Almacen!A:D,4,FALSE),"")</f>
        <v>Montelima</v>
      </c>
    </row>
    <row r="4695" spans="1:12" x14ac:dyDescent="0.3">
      <c r="A4695" s="29" t="str">
        <f>Detalle_OC[[#This Row],[Centro]]&amp;Detalle_OC[[#This Row],[Nom Almacen]]&amp;Detalle_OC[[#This Row],[Material]]&amp;Detalle_OC[[#This Row],[Pedido]]&amp;Detalle_OC[[#This Row],[Posicion]]</f>
        <v>Agricola del Chira PlantaMontelima8459085500019188350</v>
      </c>
      <c r="B4695" t="s">
        <v>28</v>
      </c>
      <c r="C4695" t="s">
        <v>82</v>
      </c>
      <c r="D4695" s="11">
        <v>43648</v>
      </c>
      <c r="E4695" t="s">
        <v>16</v>
      </c>
      <c r="F4695" t="s">
        <v>12</v>
      </c>
      <c r="G4695">
        <v>845908</v>
      </c>
      <c r="H4695">
        <v>5500019188</v>
      </c>
      <c r="I4695">
        <v>350</v>
      </c>
      <c r="J4695" s="29">
        <v>1</v>
      </c>
      <c r="K4695" s="29" t="s">
        <v>729</v>
      </c>
      <c r="L4695" t="str">
        <f>IFERROR(VLOOKUP(Detalle_OC[[#This Row],[Centro]]&amp;Detalle_OC[[#This Row],[Nro Almacen]],Almacen!A:D,4,FALSE),"")</f>
        <v>Montelima</v>
      </c>
    </row>
    <row r="4696" spans="1:12" x14ac:dyDescent="0.3">
      <c r="A4696" s="29" t="str">
        <f>Detalle_OC[[#This Row],[Centro]]&amp;Detalle_OC[[#This Row],[Nom Almacen]]&amp;Detalle_OC[[#This Row],[Material]]&amp;Detalle_OC[[#This Row],[Pedido]]&amp;Detalle_OC[[#This Row],[Posicion]]</f>
        <v>Agricola del Chira PlantaMontelima7002962955000191881540</v>
      </c>
      <c r="B4696" t="s">
        <v>28</v>
      </c>
      <c r="C4696" t="s">
        <v>82</v>
      </c>
      <c r="D4696" s="11">
        <v>43648</v>
      </c>
      <c r="E4696" t="s">
        <v>16</v>
      </c>
      <c r="F4696" t="s">
        <v>12</v>
      </c>
      <c r="G4696">
        <v>70029629</v>
      </c>
      <c r="H4696">
        <v>5500019188</v>
      </c>
      <c r="I4696">
        <v>1540</v>
      </c>
      <c r="J4696" s="29">
        <v>1</v>
      </c>
      <c r="K4696" s="29" t="s">
        <v>729</v>
      </c>
      <c r="L4696" t="str">
        <f>IFERROR(VLOOKUP(Detalle_OC[[#This Row],[Centro]]&amp;Detalle_OC[[#This Row],[Nro Almacen]],Almacen!A:D,4,FALSE),"")</f>
        <v>Montelima</v>
      </c>
    </row>
    <row r="4697" spans="1:12" x14ac:dyDescent="0.3">
      <c r="A4697" s="29" t="str">
        <f>Detalle_OC[[#This Row],[Centro]]&amp;Detalle_OC[[#This Row],[Nom Almacen]]&amp;Detalle_OC[[#This Row],[Material]]&amp;Detalle_OC[[#This Row],[Pedido]]&amp;Detalle_OC[[#This Row],[Posicion]]</f>
        <v>Agricola del Chira PlantaMontelima761905550001918810</v>
      </c>
      <c r="B4697" t="s">
        <v>28</v>
      </c>
      <c r="C4697" t="s">
        <v>82</v>
      </c>
      <c r="D4697" s="11">
        <v>43642</v>
      </c>
      <c r="E4697" t="s">
        <v>16</v>
      </c>
      <c r="F4697" t="s">
        <v>12</v>
      </c>
      <c r="G4697">
        <v>761905</v>
      </c>
      <c r="H4697">
        <v>5500019188</v>
      </c>
      <c r="I4697">
        <v>10</v>
      </c>
      <c r="J4697" s="29">
        <v>1</v>
      </c>
      <c r="K4697" s="29" t="s">
        <v>730</v>
      </c>
      <c r="L4697" t="str">
        <f>IFERROR(VLOOKUP(Detalle_OC[[#This Row],[Centro]]&amp;Detalle_OC[[#This Row],[Nro Almacen]],Almacen!A:D,4,FALSE),"")</f>
        <v>Montelima</v>
      </c>
    </row>
    <row r="4698" spans="1:12" x14ac:dyDescent="0.3">
      <c r="A4698" s="29" t="str">
        <f>Detalle_OC[[#This Row],[Centro]]&amp;Detalle_OC[[#This Row],[Nom Almacen]]&amp;Detalle_OC[[#This Row],[Material]]&amp;Detalle_OC[[#This Row],[Pedido]]&amp;Detalle_OC[[#This Row],[Posicion]]</f>
        <v>Agricola del Chira PlantaMontelima7382475500019188100</v>
      </c>
      <c r="B4698" t="s">
        <v>28</v>
      </c>
      <c r="C4698" t="s">
        <v>82</v>
      </c>
      <c r="D4698" s="11">
        <v>43642</v>
      </c>
      <c r="E4698" t="s">
        <v>16</v>
      </c>
      <c r="F4698" t="s">
        <v>12</v>
      </c>
      <c r="G4698">
        <v>738247</v>
      </c>
      <c r="H4698">
        <v>5500019188</v>
      </c>
      <c r="I4698">
        <v>100</v>
      </c>
      <c r="J4698" s="29">
        <v>1</v>
      </c>
      <c r="K4698" s="29" t="s">
        <v>730</v>
      </c>
      <c r="L4698" t="str">
        <f>IFERROR(VLOOKUP(Detalle_OC[[#This Row],[Centro]]&amp;Detalle_OC[[#This Row],[Nro Almacen]],Almacen!A:D,4,FALSE),"")</f>
        <v>Montelima</v>
      </c>
    </row>
    <row r="4699" spans="1:12" x14ac:dyDescent="0.3">
      <c r="A4699" s="29" t="str">
        <f>Detalle_OC[[#This Row],[Centro]]&amp;Detalle_OC[[#This Row],[Nom Almacen]]&amp;Detalle_OC[[#This Row],[Material]]&amp;Detalle_OC[[#This Row],[Pedido]]&amp;Detalle_OC[[#This Row],[Posicion]]</f>
        <v>Agricola del Chira PlantaMontelima8445325500019188440</v>
      </c>
      <c r="B4699" t="s">
        <v>28</v>
      </c>
      <c r="C4699" t="s">
        <v>82</v>
      </c>
      <c r="D4699" s="11">
        <v>43642</v>
      </c>
      <c r="E4699" t="s">
        <v>16</v>
      </c>
      <c r="F4699" t="s">
        <v>12</v>
      </c>
      <c r="G4699">
        <v>844532</v>
      </c>
      <c r="H4699">
        <v>5500019188</v>
      </c>
      <c r="I4699">
        <v>440</v>
      </c>
      <c r="J4699" s="29">
        <v>1</v>
      </c>
      <c r="K4699" s="29" t="s">
        <v>730</v>
      </c>
      <c r="L4699" t="str">
        <f>IFERROR(VLOOKUP(Detalle_OC[[#This Row],[Centro]]&amp;Detalle_OC[[#This Row],[Nro Almacen]],Almacen!A:D,4,FALSE),"")</f>
        <v>Montelima</v>
      </c>
    </row>
    <row r="4700" spans="1:12" x14ac:dyDescent="0.3">
      <c r="A4700" s="29" t="str">
        <f>Detalle_OC[[#This Row],[Centro]]&amp;Detalle_OC[[#This Row],[Nom Almacen]]&amp;Detalle_OC[[#This Row],[Material]]&amp;Detalle_OC[[#This Row],[Pedido]]&amp;Detalle_OC[[#This Row],[Posicion]]</f>
        <v>Agricola del Chira PlantaMontelima7004178355000191882260</v>
      </c>
      <c r="B4700" t="s">
        <v>28</v>
      </c>
      <c r="C4700" t="s">
        <v>82</v>
      </c>
      <c r="D4700" s="11">
        <v>43638</v>
      </c>
      <c r="E4700" t="s">
        <v>16</v>
      </c>
      <c r="F4700" t="s">
        <v>12</v>
      </c>
      <c r="G4700">
        <v>70041783</v>
      </c>
      <c r="H4700">
        <v>5500019188</v>
      </c>
      <c r="I4700">
        <v>2260</v>
      </c>
      <c r="J4700" s="29">
        <v>1</v>
      </c>
      <c r="K4700" s="29" t="s">
        <v>731</v>
      </c>
      <c r="L4700" t="str">
        <f>IFERROR(VLOOKUP(Detalle_OC[[#This Row],[Centro]]&amp;Detalle_OC[[#This Row],[Nro Almacen]],Almacen!A:D,4,FALSE),"")</f>
        <v>Montelima</v>
      </c>
    </row>
    <row r="4701" spans="1:12" x14ac:dyDescent="0.3">
      <c r="A4701" s="29" t="str">
        <f>Detalle_OC[[#This Row],[Centro]]&amp;Detalle_OC[[#This Row],[Nom Almacen]]&amp;Detalle_OC[[#This Row],[Material]]&amp;Detalle_OC[[#This Row],[Pedido]]&amp;Detalle_OC[[#This Row],[Posicion]]</f>
        <v>Agricola del Chira PlantaMontelima7004178455000191882270</v>
      </c>
      <c r="B4701" t="s">
        <v>28</v>
      </c>
      <c r="C4701" t="s">
        <v>82</v>
      </c>
      <c r="D4701" s="11">
        <v>43638</v>
      </c>
      <c r="E4701" t="s">
        <v>16</v>
      </c>
      <c r="F4701" t="s">
        <v>12</v>
      </c>
      <c r="G4701">
        <v>70041784</v>
      </c>
      <c r="H4701">
        <v>5500019188</v>
      </c>
      <c r="I4701">
        <v>2270</v>
      </c>
      <c r="J4701" s="29">
        <v>1</v>
      </c>
      <c r="K4701" s="29" t="s">
        <v>731</v>
      </c>
      <c r="L4701" t="str">
        <f>IFERROR(VLOOKUP(Detalle_OC[[#This Row],[Centro]]&amp;Detalle_OC[[#This Row],[Nro Almacen]],Almacen!A:D,4,FALSE),"")</f>
        <v>Montelima</v>
      </c>
    </row>
    <row r="4702" spans="1:12" x14ac:dyDescent="0.3">
      <c r="A4702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4702" t="s">
        <v>28</v>
      </c>
      <c r="C4702" t="s">
        <v>82</v>
      </c>
      <c r="D4702" s="11">
        <v>43636</v>
      </c>
      <c r="E4702" t="s">
        <v>16</v>
      </c>
      <c r="F4702" t="s">
        <v>12</v>
      </c>
      <c r="G4702">
        <v>844508</v>
      </c>
      <c r="H4702">
        <v>5500019188</v>
      </c>
      <c r="I4702">
        <v>220</v>
      </c>
      <c r="J4702" s="29">
        <v>1</v>
      </c>
      <c r="K4702" s="29" t="s">
        <v>732</v>
      </c>
      <c r="L4702" t="str">
        <f>IFERROR(VLOOKUP(Detalle_OC[[#This Row],[Centro]]&amp;Detalle_OC[[#This Row],[Nro Almacen]],Almacen!A:D,4,FALSE),"")</f>
        <v>Montelima</v>
      </c>
    </row>
    <row r="4703" spans="1:12" x14ac:dyDescent="0.3">
      <c r="A4703" s="29" t="str">
        <f>Detalle_OC[[#This Row],[Centro]]&amp;Detalle_OC[[#This Row],[Nom Almacen]]&amp;Detalle_OC[[#This Row],[Material]]&amp;Detalle_OC[[#This Row],[Pedido]]&amp;Detalle_OC[[#This Row],[Posicion]]</f>
        <v>Agricola del Chira PlantaMontelima8445205500019188520</v>
      </c>
      <c r="B4703" t="s">
        <v>28</v>
      </c>
      <c r="C4703" t="s">
        <v>82</v>
      </c>
      <c r="D4703" s="11">
        <v>43636</v>
      </c>
      <c r="E4703" t="s">
        <v>16</v>
      </c>
      <c r="F4703" t="s">
        <v>12</v>
      </c>
      <c r="G4703">
        <v>844520</v>
      </c>
      <c r="H4703">
        <v>5500019188</v>
      </c>
      <c r="I4703">
        <v>520</v>
      </c>
      <c r="J4703" s="29">
        <v>1</v>
      </c>
      <c r="K4703" s="29" t="s">
        <v>732</v>
      </c>
      <c r="L4703" t="str">
        <f>IFERROR(VLOOKUP(Detalle_OC[[#This Row],[Centro]]&amp;Detalle_OC[[#This Row],[Nro Almacen]],Almacen!A:D,4,FALSE),"")</f>
        <v>Montelima</v>
      </c>
    </row>
    <row r="4704" spans="1:12" x14ac:dyDescent="0.3">
      <c r="A4704" s="29" t="str">
        <f>Detalle_OC[[#This Row],[Centro]]&amp;Detalle_OC[[#This Row],[Nom Almacen]]&amp;Detalle_OC[[#This Row],[Material]]&amp;Detalle_OC[[#This Row],[Pedido]]&amp;Detalle_OC[[#This Row],[Posicion]]</f>
        <v>Agricola del Chira PlantaMontelima83507655000191881340</v>
      </c>
      <c r="B4704" t="s">
        <v>28</v>
      </c>
      <c r="C4704" t="s">
        <v>82</v>
      </c>
      <c r="D4704" s="11">
        <v>43636</v>
      </c>
      <c r="E4704" t="s">
        <v>16</v>
      </c>
      <c r="F4704" t="s">
        <v>12</v>
      </c>
      <c r="G4704">
        <v>835076</v>
      </c>
      <c r="H4704">
        <v>5500019188</v>
      </c>
      <c r="I4704">
        <v>1340</v>
      </c>
      <c r="J4704" s="29">
        <v>1</v>
      </c>
      <c r="K4704" s="29" t="s">
        <v>732</v>
      </c>
      <c r="L4704" t="str">
        <f>IFERROR(VLOOKUP(Detalle_OC[[#This Row],[Centro]]&amp;Detalle_OC[[#This Row],[Nro Almacen]],Almacen!A:D,4,FALSE),"")</f>
        <v>Montelima</v>
      </c>
    </row>
    <row r="4705" spans="1:12" x14ac:dyDescent="0.3">
      <c r="A4705" s="29" t="str">
        <f>Detalle_OC[[#This Row],[Centro]]&amp;Detalle_OC[[#This Row],[Nom Almacen]]&amp;Detalle_OC[[#This Row],[Material]]&amp;Detalle_OC[[#This Row],[Pedido]]&amp;Detalle_OC[[#This Row],[Posicion]]</f>
        <v>Agricola del Chira PlantaMontelima7004178355000191882260</v>
      </c>
      <c r="B4705" t="s">
        <v>28</v>
      </c>
      <c r="C4705" t="s">
        <v>82</v>
      </c>
      <c r="D4705" s="11">
        <v>43623</v>
      </c>
      <c r="E4705" t="s">
        <v>16</v>
      </c>
      <c r="F4705" t="s">
        <v>12</v>
      </c>
      <c r="G4705">
        <v>70041783</v>
      </c>
      <c r="H4705">
        <v>5500019188</v>
      </c>
      <c r="I4705">
        <v>2260</v>
      </c>
      <c r="J4705" s="29">
        <v>1</v>
      </c>
      <c r="K4705" s="29" t="s">
        <v>733</v>
      </c>
      <c r="L4705" t="str">
        <f>IFERROR(VLOOKUP(Detalle_OC[[#This Row],[Centro]]&amp;Detalle_OC[[#This Row],[Nro Almacen]],Almacen!A:D,4,FALSE),"")</f>
        <v>Montelima</v>
      </c>
    </row>
    <row r="4706" spans="1:12" x14ac:dyDescent="0.3">
      <c r="A4706" s="29" t="str">
        <f>Detalle_OC[[#This Row],[Centro]]&amp;Detalle_OC[[#This Row],[Nom Almacen]]&amp;Detalle_OC[[#This Row],[Material]]&amp;Detalle_OC[[#This Row],[Pedido]]&amp;Detalle_OC[[#This Row],[Posicion]]</f>
        <v>Agricola del Chira PlantaMontelima7004178455000191882270</v>
      </c>
      <c r="B4706" t="s">
        <v>28</v>
      </c>
      <c r="C4706" t="s">
        <v>82</v>
      </c>
      <c r="D4706" s="11">
        <v>43623</v>
      </c>
      <c r="E4706" t="s">
        <v>16</v>
      </c>
      <c r="F4706" t="s">
        <v>12</v>
      </c>
      <c r="G4706">
        <v>70041784</v>
      </c>
      <c r="H4706">
        <v>5500019188</v>
      </c>
      <c r="I4706">
        <v>2270</v>
      </c>
      <c r="J4706" s="29">
        <v>1</v>
      </c>
      <c r="K4706" s="29" t="s">
        <v>733</v>
      </c>
      <c r="L4706" t="str">
        <f>IFERROR(VLOOKUP(Detalle_OC[[#This Row],[Centro]]&amp;Detalle_OC[[#This Row],[Nro Almacen]],Almacen!A:D,4,FALSE),"")</f>
        <v>Montelima</v>
      </c>
    </row>
    <row r="4707" spans="1:12" x14ac:dyDescent="0.3">
      <c r="A4707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4707" t="s">
        <v>28</v>
      </c>
      <c r="C4707" t="s">
        <v>82</v>
      </c>
      <c r="D4707" s="11">
        <v>43620</v>
      </c>
      <c r="E4707" t="s">
        <v>16</v>
      </c>
      <c r="F4707" t="s">
        <v>12</v>
      </c>
      <c r="G4707">
        <v>844522</v>
      </c>
      <c r="H4707">
        <v>5500019188</v>
      </c>
      <c r="I4707">
        <v>150</v>
      </c>
      <c r="J4707" s="29">
        <v>1</v>
      </c>
      <c r="K4707" s="29" t="s">
        <v>734</v>
      </c>
      <c r="L4707" t="str">
        <f>IFERROR(VLOOKUP(Detalle_OC[[#This Row],[Centro]]&amp;Detalle_OC[[#This Row],[Nro Almacen]],Almacen!A:D,4,FALSE),"")</f>
        <v>Montelima</v>
      </c>
    </row>
    <row r="4708" spans="1:12" x14ac:dyDescent="0.3">
      <c r="A4708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4708" t="s">
        <v>28</v>
      </c>
      <c r="C4708" t="s">
        <v>82</v>
      </c>
      <c r="D4708" s="11">
        <v>43605</v>
      </c>
      <c r="E4708" t="s">
        <v>16</v>
      </c>
      <c r="F4708" t="s">
        <v>12</v>
      </c>
      <c r="G4708">
        <v>844516</v>
      </c>
      <c r="H4708">
        <v>5500019188</v>
      </c>
      <c r="I4708">
        <v>190</v>
      </c>
      <c r="J4708" s="29">
        <v>1</v>
      </c>
      <c r="K4708" s="29" t="s">
        <v>735</v>
      </c>
      <c r="L4708" t="str">
        <f>IFERROR(VLOOKUP(Detalle_OC[[#This Row],[Centro]]&amp;Detalle_OC[[#This Row],[Nro Almacen]],Almacen!A:D,4,FALSE),"")</f>
        <v>Montelima</v>
      </c>
    </row>
    <row r="4709" spans="1:12" x14ac:dyDescent="0.3">
      <c r="A4709" s="29" t="str">
        <f>Detalle_OC[[#This Row],[Centro]]&amp;Detalle_OC[[#This Row],[Nom Almacen]]&amp;Detalle_OC[[#This Row],[Material]]&amp;Detalle_OC[[#This Row],[Pedido]]&amp;Detalle_OC[[#This Row],[Posicion]]</f>
        <v>Agricola del Chira PlantaMontelima82638555000191881100</v>
      </c>
      <c r="B4709" t="s">
        <v>28</v>
      </c>
      <c r="C4709" t="s">
        <v>82</v>
      </c>
      <c r="D4709" s="11">
        <v>43605</v>
      </c>
      <c r="E4709" t="s">
        <v>16</v>
      </c>
      <c r="F4709" t="s">
        <v>12</v>
      </c>
      <c r="G4709">
        <v>826385</v>
      </c>
      <c r="H4709">
        <v>5500019188</v>
      </c>
      <c r="I4709">
        <v>1100</v>
      </c>
      <c r="J4709" s="29">
        <v>1</v>
      </c>
      <c r="K4709" s="29" t="s">
        <v>735</v>
      </c>
      <c r="L4709" t="str">
        <f>IFERROR(VLOOKUP(Detalle_OC[[#This Row],[Centro]]&amp;Detalle_OC[[#This Row],[Nro Almacen]],Almacen!A:D,4,FALSE),"")</f>
        <v>Montelima</v>
      </c>
    </row>
    <row r="4710" spans="1:12" x14ac:dyDescent="0.3">
      <c r="A4710" s="29" t="str">
        <f>Detalle_OC[[#This Row],[Centro]]&amp;Detalle_OC[[#This Row],[Nom Almacen]]&amp;Detalle_OC[[#This Row],[Material]]&amp;Detalle_OC[[#This Row],[Pedido]]&amp;Detalle_OC[[#This Row],[Posicion]]</f>
        <v>Agricola del Chira PlantaMontelima83507655000191881340</v>
      </c>
      <c r="B4710" t="s">
        <v>28</v>
      </c>
      <c r="C4710" t="s">
        <v>82</v>
      </c>
      <c r="D4710" s="11">
        <v>43605</v>
      </c>
      <c r="E4710" t="s">
        <v>16</v>
      </c>
      <c r="F4710" t="s">
        <v>12</v>
      </c>
      <c r="G4710">
        <v>835076</v>
      </c>
      <c r="H4710">
        <v>5500019188</v>
      </c>
      <c r="I4710">
        <v>1340</v>
      </c>
      <c r="J4710" s="29">
        <v>1</v>
      </c>
      <c r="K4710" s="29" t="s">
        <v>735</v>
      </c>
      <c r="L4710" t="str">
        <f>IFERROR(VLOOKUP(Detalle_OC[[#This Row],[Centro]]&amp;Detalle_OC[[#This Row],[Nro Almacen]],Almacen!A:D,4,FALSE),"")</f>
        <v>Montelima</v>
      </c>
    </row>
    <row r="4711" spans="1:12" x14ac:dyDescent="0.3">
      <c r="A4711" s="29" t="str">
        <f>Detalle_OC[[#This Row],[Centro]]&amp;Detalle_OC[[#This Row],[Nom Almacen]]&amp;Detalle_OC[[#This Row],[Material]]&amp;Detalle_OC[[#This Row],[Pedido]]&amp;Detalle_OC[[#This Row],[Posicion]]</f>
        <v>Agricola del Chira PlantaMontelima8445095500019188260</v>
      </c>
      <c r="B4711" t="s">
        <v>28</v>
      </c>
      <c r="C4711" t="s">
        <v>82</v>
      </c>
      <c r="D4711" s="11">
        <v>43584</v>
      </c>
      <c r="E4711" t="s">
        <v>16</v>
      </c>
      <c r="F4711" t="s">
        <v>12</v>
      </c>
      <c r="G4711">
        <v>844509</v>
      </c>
      <c r="H4711">
        <v>5500019188</v>
      </c>
      <c r="I4711">
        <v>260</v>
      </c>
      <c r="J4711" s="29">
        <v>1</v>
      </c>
      <c r="K4711" s="29" t="s">
        <v>736</v>
      </c>
      <c r="L4711" t="str">
        <f>IFERROR(VLOOKUP(Detalle_OC[[#This Row],[Centro]]&amp;Detalle_OC[[#This Row],[Nro Almacen]],Almacen!A:D,4,FALSE),"")</f>
        <v>Montelima</v>
      </c>
    </row>
    <row r="4712" spans="1:12" x14ac:dyDescent="0.3">
      <c r="A4712" s="29" t="str">
        <f>Detalle_OC[[#This Row],[Centro]]&amp;Detalle_OC[[#This Row],[Nom Almacen]]&amp;Detalle_OC[[#This Row],[Material]]&amp;Detalle_OC[[#This Row],[Pedido]]&amp;Detalle_OC[[#This Row],[Posicion]]</f>
        <v>Agricola del Chira PlantaMontelima8445215500019188410</v>
      </c>
      <c r="B4712" t="s">
        <v>28</v>
      </c>
      <c r="C4712" t="s">
        <v>82</v>
      </c>
      <c r="D4712" s="11">
        <v>43584</v>
      </c>
      <c r="E4712" t="s">
        <v>16</v>
      </c>
      <c r="F4712" t="s">
        <v>12</v>
      </c>
      <c r="G4712">
        <v>844521</v>
      </c>
      <c r="H4712">
        <v>5500019188</v>
      </c>
      <c r="I4712">
        <v>410</v>
      </c>
      <c r="J4712" s="29">
        <v>1</v>
      </c>
      <c r="K4712" s="29" t="s">
        <v>736</v>
      </c>
      <c r="L4712" t="str">
        <f>IFERROR(VLOOKUP(Detalle_OC[[#This Row],[Centro]]&amp;Detalle_OC[[#This Row],[Nro Almacen]],Almacen!A:D,4,FALSE),"")</f>
        <v>Montelima</v>
      </c>
    </row>
    <row r="4713" spans="1:12" x14ac:dyDescent="0.3">
      <c r="A4713" s="29" t="str">
        <f>Detalle_OC[[#This Row],[Centro]]&amp;Detalle_OC[[#This Row],[Nom Almacen]]&amp;Detalle_OC[[#This Row],[Material]]&amp;Detalle_OC[[#This Row],[Pedido]]&amp;Detalle_OC[[#This Row],[Posicion]]</f>
        <v>Agricola del Chira PlantaMontelima8469355500019188700</v>
      </c>
      <c r="B4713" t="s">
        <v>28</v>
      </c>
      <c r="C4713" t="s">
        <v>82</v>
      </c>
      <c r="D4713" s="11">
        <v>44092</v>
      </c>
      <c r="E4713" t="s">
        <v>16</v>
      </c>
      <c r="F4713" t="s">
        <v>12</v>
      </c>
      <c r="G4713">
        <v>846935</v>
      </c>
      <c r="H4713">
        <v>5500019188</v>
      </c>
      <c r="I4713">
        <v>700</v>
      </c>
      <c r="J4713" s="29">
        <v>1</v>
      </c>
      <c r="K4713" s="29" t="s">
        <v>736</v>
      </c>
      <c r="L4713" t="str">
        <f>IFERROR(VLOOKUP(Detalle_OC[[#This Row],[Centro]]&amp;Detalle_OC[[#This Row],[Nro Almacen]],Almacen!A:D,4,FALSE),"")</f>
        <v>Montelima</v>
      </c>
    </row>
    <row r="4714" spans="1:12" x14ac:dyDescent="0.3">
      <c r="A4714" s="29" t="str">
        <f>Detalle_OC[[#This Row],[Centro]]&amp;Detalle_OC[[#This Row],[Nom Almacen]]&amp;Detalle_OC[[#This Row],[Material]]&amp;Detalle_OC[[#This Row],[Pedido]]&amp;Detalle_OC[[#This Row],[Posicion]]</f>
        <v>Agricola del Chira PlantaMontelima89230155000191881220</v>
      </c>
      <c r="B4714" t="s">
        <v>28</v>
      </c>
      <c r="C4714" t="s">
        <v>82</v>
      </c>
      <c r="D4714" s="11">
        <v>43584</v>
      </c>
      <c r="E4714" t="s">
        <v>16</v>
      </c>
      <c r="F4714" t="s">
        <v>12</v>
      </c>
      <c r="G4714">
        <v>892301</v>
      </c>
      <c r="H4714">
        <v>5500019188</v>
      </c>
      <c r="I4714">
        <v>1220</v>
      </c>
      <c r="J4714" s="29">
        <v>1</v>
      </c>
      <c r="K4714" s="29" t="s">
        <v>736</v>
      </c>
      <c r="L4714" t="str">
        <f>IFERROR(VLOOKUP(Detalle_OC[[#This Row],[Centro]]&amp;Detalle_OC[[#This Row],[Nro Almacen]],Almacen!A:D,4,FALSE),"")</f>
        <v>Montelima</v>
      </c>
    </row>
    <row r="4715" spans="1:12" x14ac:dyDescent="0.3">
      <c r="A4715" s="29" t="str">
        <f>Detalle_OC[[#This Row],[Centro]]&amp;Detalle_OC[[#This Row],[Nom Almacen]]&amp;Detalle_OC[[#This Row],[Material]]&amp;Detalle_OC[[#This Row],[Pedido]]&amp;Detalle_OC[[#This Row],[Posicion]]</f>
        <v>Agricola del Chira PlantaMontelima83507355000191881320</v>
      </c>
      <c r="B4715" t="s">
        <v>28</v>
      </c>
      <c r="C4715" t="s">
        <v>82</v>
      </c>
      <c r="D4715" s="11">
        <v>43584</v>
      </c>
      <c r="E4715" t="s">
        <v>16</v>
      </c>
      <c r="F4715" t="s">
        <v>12</v>
      </c>
      <c r="G4715">
        <v>835073</v>
      </c>
      <c r="H4715">
        <v>5500019188</v>
      </c>
      <c r="I4715">
        <v>1320</v>
      </c>
      <c r="J4715" s="29">
        <v>1</v>
      </c>
      <c r="K4715" s="29" t="s">
        <v>736</v>
      </c>
      <c r="L4715" t="str">
        <f>IFERROR(VLOOKUP(Detalle_OC[[#This Row],[Centro]]&amp;Detalle_OC[[#This Row],[Nro Almacen]],Almacen!A:D,4,FALSE),"")</f>
        <v>Montelima</v>
      </c>
    </row>
    <row r="4716" spans="1:12" x14ac:dyDescent="0.3">
      <c r="A4716" s="29" t="str">
        <f>Detalle_OC[[#This Row],[Centro]]&amp;Detalle_OC[[#This Row],[Nom Almacen]]&amp;Detalle_OC[[#This Row],[Material]]&amp;Detalle_OC[[#This Row],[Pedido]]&amp;Detalle_OC[[#This Row],[Posicion]]</f>
        <v>Agricola del Chira PlantaMontelima725201550001918830</v>
      </c>
      <c r="B4716" t="s">
        <v>28</v>
      </c>
      <c r="C4716" t="s">
        <v>82</v>
      </c>
      <c r="D4716" s="11">
        <v>43581</v>
      </c>
      <c r="E4716" t="s">
        <v>16</v>
      </c>
      <c r="F4716" t="s">
        <v>12</v>
      </c>
      <c r="G4716">
        <v>725201</v>
      </c>
      <c r="H4716">
        <v>5500019188</v>
      </c>
      <c r="I4716">
        <v>30</v>
      </c>
      <c r="J4716" s="29">
        <v>1</v>
      </c>
      <c r="K4716" s="29" t="s">
        <v>737</v>
      </c>
      <c r="L4716" t="str">
        <f>IFERROR(VLOOKUP(Detalle_OC[[#This Row],[Centro]]&amp;Detalle_OC[[#This Row],[Nro Almacen]],Almacen!A:D,4,FALSE),"")</f>
        <v>Montelima</v>
      </c>
    </row>
    <row r="4717" spans="1:12" x14ac:dyDescent="0.3">
      <c r="A4717" s="29" t="str">
        <f>Detalle_OC[[#This Row],[Centro]]&amp;Detalle_OC[[#This Row],[Nom Almacen]]&amp;Detalle_OC[[#This Row],[Material]]&amp;Detalle_OC[[#This Row],[Pedido]]&amp;Detalle_OC[[#This Row],[Posicion]]</f>
        <v>Agricola del Chira PlantaMontelima738330550001918820</v>
      </c>
      <c r="B4717" t="s">
        <v>28</v>
      </c>
      <c r="C4717" t="s">
        <v>82</v>
      </c>
      <c r="D4717" s="11">
        <v>43572</v>
      </c>
      <c r="E4717" t="s">
        <v>16</v>
      </c>
      <c r="F4717" t="s">
        <v>12</v>
      </c>
      <c r="G4717">
        <v>738330</v>
      </c>
      <c r="H4717">
        <v>5500019188</v>
      </c>
      <c r="I4717">
        <v>20</v>
      </c>
      <c r="J4717" s="29">
        <v>1</v>
      </c>
      <c r="K4717" s="29" t="s">
        <v>738</v>
      </c>
      <c r="L4717" t="str">
        <f>IFERROR(VLOOKUP(Detalle_OC[[#This Row],[Centro]]&amp;Detalle_OC[[#This Row],[Nro Almacen]],Almacen!A:D,4,FALSE),"")</f>
        <v>Montelima</v>
      </c>
    </row>
    <row r="4718" spans="1:12" x14ac:dyDescent="0.3">
      <c r="A4718" s="29" t="str">
        <f>Detalle_OC[[#This Row],[Centro]]&amp;Detalle_OC[[#This Row],[Nom Almacen]]&amp;Detalle_OC[[#This Row],[Material]]&amp;Detalle_OC[[#This Row],[Pedido]]&amp;Detalle_OC[[#This Row],[Posicion]]</f>
        <v>Agricola del Chira PlantaMontelima761905550001918810</v>
      </c>
      <c r="B4718" t="s">
        <v>28</v>
      </c>
      <c r="C4718" t="s">
        <v>82</v>
      </c>
      <c r="D4718" s="11">
        <v>43572</v>
      </c>
      <c r="E4718" t="s">
        <v>16</v>
      </c>
      <c r="F4718" t="s">
        <v>12</v>
      </c>
      <c r="G4718">
        <v>761905</v>
      </c>
      <c r="H4718">
        <v>5500019188</v>
      </c>
      <c r="I4718">
        <v>10</v>
      </c>
      <c r="J4718" s="29">
        <v>1</v>
      </c>
      <c r="K4718" s="29" t="s">
        <v>739</v>
      </c>
      <c r="L4718" t="str">
        <f>IFERROR(VLOOKUP(Detalle_OC[[#This Row],[Centro]]&amp;Detalle_OC[[#This Row],[Nro Almacen]],Almacen!A:D,4,FALSE),"")</f>
        <v>Montelima</v>
      </c>
    </row>
    <row r="4719" spans="1:12" x14ac:dyDescent="0.3">
      <c r="A4719" s="29" t="str">
        <f>Detalle_OC[[#This Row],[Centro]]&amp;Detalle_OC[[#This Row],[Nom Almacen]]&amp;Detalle_OC[[#This Row],[Material]]&amp;Detalle_OC[[#This Row],[Pedido]]&amp;Detalle_OC[[#This Row],[Posicion]]</f>
        <v>Agricola del Chira PlantaMontelima896638550001918890</v>
      </c>
      <c r="B4719" t="s">
        <v>28</v>
      </c>
      <c r="C4719" t="s">
        <v>82</v>
      </c>
      <c r="D4719" s="11">
        <v>43572</v>
      </c>
      <c r="E4719" t="s">
        <v>16</v>
      </c>
      <c r="F4719" t="s">
        <v>12</v>
      </c>
      <c r="G4719">
        <v>896638</v>
      </c>
      <c r="H4719">
        <v>5500019188</v>
      </c>
      <c r="I4719">
        <v>90</v>
      </c>
      <c r="J4719" s="29">
        <v>1</v>
      </c>
      <c r="K4719" s="29" t="s">
        <v>739</v>
      </c>
      <c r="L4719" t="str">
        <f>IFERROR(VLOOKUP(Detalle_OC[[#This Row],[Centro]]&amp;Detalle_OC[[#This Row],[Nro Almacen]],Almacen!A:D,4,FALSE),"")</f>
        <v>Montelima</v>
      </c>
    </row>
    <row r="4720" spans="1:12" x14ac:dyDescent="0.3">
      <c r="A4720" s="29" t="str">
        <f>Detalle_OC[[#This Row],[Centro]]&amp;Detalle_OC[[#This Row],[Nom Almacen]]&amp;Detalle_OC[[#This Row],[Material]]&amp;Detalle_OC[[#This Row],[Pedido]]&amp;Detalle_OC[[#This Row],[Posicion]]</f>
        <v>Agricola del Chira PlantaMontelima8445025500019188250</v>
      </c>
      <c r="B4720" t="s">
        <v>28</v>
      </c>
      <c r="C4720" t="s">
        <v>82</v>
      </c>
      <c r="D4720" s="11">
        <v>43572</v>
      </c>
      <c r="E4720" t="s">
        <v>16</v>
      </c>
      <c r="F4720" t="s">
        <v>12</v>
      </c>
      <c r="G4720">
        <v>844502</v>
      </c>
      <c r="H4720">
        <v>5500019188</v>
      </c>
      <c r="I4720">
        <v>250</v>
      </c>
      <c r="J4720" s="29">
        <v>1</v>
      </c>
      <c r="K4720" s="29" t="s">
        <v>739</v>
      </c>
      <c r="L4720" t="str">
        <f>IFERROR(VLOOKUP(Detalle_OC[[#This Row],[Centro]]&amp;Detalle_OC[[#This Row],[Nro Almacen]],Almacen!A:D,4,FALSE),"")</f>
        <v>Montelima</v>
      </c>
    </row>
    <row r="4721" spans="1:12" x14ac:dyDescent="0.3">
      <c r="A4721" s="29" t="str">
        <f>Detalle_OC[[#This Row],[Centro]]&amp;Detalle_OC[[#This Row],[Nom Almacen]]&amp;Detalle_OC[[#This Row],[Material]]&amp;Detalle_OC[[#This Row],[Pedido]]&amp;Detalle_OC[[#This Row],[Posicion]]</f>
        <v>Agricola del Chira PlantaMontelima8445095500019188260</v>
      </c>
      <c r="B4721" t="s">
        <v>28</v>
      </c>
      <c r="C4721" t="s">
        <v>82</v>
      </c>
      <c r="D4721" s="11">
        <v>43572</v>
      </c>
      <c r="E4721" t="s">
        <v>16</v>
      </c>
      <c r="F4721" t="s">
        <v>12</v>
      </c>
      <c r="G4721">
        <v>844509</v>
      </c>
      <c r="H4721">
        <v>5500019188</v>
      </c>
      <c r="I4721">
        <v>260</v>
      </c>
      <c r="J4721" s="29">
        <v>1</v>
      </c>
      <c r="K4721" s="29" t="s">
        <v>739</v>
      </c>
      <c r="L4721" t="str">
        <f>IFERROR(VLOOKUP(Detalle_OC[[#This Row],[Centro]]&amp;Detalle_OC[[#This Row],[Nro Almacen]],Almacen!A:D,4,FALSE),"")</f>
        <v>Montelima</v>
      </c>
    </row>
    <row r="4722" spans="1:12" x14ac:dyDescent="0.3">
      <c r="A4722" s="29" t="str">
        <f>Detalle_OC[[#This Row],[Centro]]&amp;Detalle_OC[[#This Row],[Nom Almacen]]&amp;Detalle_OC[[#This Row],[Material]]&amp;Detalle_OC[[#This Row],[Pedido]]&amp;Detalle_OC[[#This Row],[Posicion]]</f>
        <v>Agricola del Chira PlantaMontelima8445215500019188410</v>
      </c>
      <c r="B4722" t="s">
        <v>28</v>
      </c>
      <c r="C4722" t="s">
        <v>82</v>
      </c>
      <c r="D4722" s="11">
        <v>43572</v>
      </c>
      <c r="E4722" t="s">
        <v>16</v>
      </c>
      <c r="F4722" t="s">
        <v>12</v>
      </c>
      <c r="G4722">
        <v>844521</v>
      </c>
      <c r="H4722">
        <v>5500019188</v>
      </c>
      <c r="I4722">
        <v>410</v>
      </c>
      <c r="J4722" s="29">
        <v>1</v>
      </c>
      <c r="K4722" s="29" t="s">
        <v>739</v>
      </c>
      <c r="L4722" t="str">
        <f>IFERROR(VLOOKUP(Detalle_OC[[#This Row],[Centro]]&amp;Detalle_OC[[#This Row],[Nro Almacen]],Almacen!A:D,4,FALSE),"")</f>
        <v>Montelima</v>
      </c>
    </row>
    <row r="4723" spans="1:12" x14ac:dyDescent="0.3">
      <c r="A4723" s="29" t="str">
        <f>Detalle_OC[[#This Row],[Centro]]&amp;Detalle_OC[[#This Row],[Nom Almacen]]&amp;Detalle_OC[[#This Row],[Material]]&amp;Detalle_OC[[#This Row],[Pedido]]&amp;Detalle_OC[[#This Row],[Posicion]]</f>
        <v>Agricola del Chira PlantaMontelima84557255000191881300</v>
      </c>
      <c r="B4723" t="s">
        <v>28</v>
      </c>
      <c r="C4723" t="s">
        <v>82</v>
      </c>
      <c r="D4723" s="11">
        <v>43572</v>
      </c>
      <c r="E4723" t="s">
        <v>16</v>
      </c>
      <c r="F4723" t="s">
        <v>12</v>
      </c>
      <c r="G4723">
        <v>845572</v>
      </c>
      <c r="H4723">
        <v>5500019188</v>
      </c>
      <c r="I4723">
        <v>1300</v>
      </c>
      <c r="J4723" s="29">
        <v>1</v>
      </c>
      <c r="K4723" s="29" t="s">
        <v>739</v>
      </c>
      <c r="L4723" t="str">
        <f>IFERROR(VLOOKUP(Detalle_OC[[#This Row],[Centro]]&amp;Detalle_OC[[#This Row],[Nro Almacen]],Almacen!A:D,4,FALSE),"")</f>
        <v>Montelima</v>
      </c>
    </row>
    <row r="4724" spans="1:12" x14ac:dyDescent="0.3">
      <c r="A4724" s="29" t="str">
        <f>Detalle_OC[[#This Row],[Centro]]&amp;Detalle_OC[[#This Row],[Nom Almacen]]&amp;Detalle_OC[[#This Row],[Material]]&amp;Detalle_OC[[#This Row],[Pedido]]&amp;Detalle_OC[[#This Row],[Posicion]]</f>
        <v>Agricola del Chira PlantaMontelima738248550001918870</v>
      </c>
      <c r="B4724" t="s">
        <v>28</v>
      </c>
      <c r="C4724" t="s">
        <v>82</v>
      </c>
      <c r="D4724" s="11">
        <v>43749</v>
      </c>
      <c r="E4724" t="s">
        <v>16</v>
      </c>
      <c r="F4724" t="s">
        <v>12</v>
      </c>
      <c r="G4724">
        <v>738248</v>
      </c>
      <c r="H4724">
        <v>5500019188</v>
      </c>
      <c r="I4724">
        <v>70</v>
      </c>
      <c r="J4724" s="29">
        <v>1</v>
      </c>
      <c r="K4724" s="29" t="s">
        <v>740</v>
      </c>
      <c r="L4724" t="str">
        <f>IFERROR(VLOOKUP(Detalle_OC[[#This Row],[Centro]]&amp;Detalle_OC[[#This Row],[Nro Almacen]],Almacen!A:D,4,FALSE),"")</f>
        <v>Montelima</v>
      </c>
    </row>
    <row r="4725" spans="1:12" x14ac:dyDescent="0.3">
      <c r="A4725" s="29" t="str">
        <f>Detalle_OC[[#This Row],[Centro]]&amp;Detalle_OC[[#This Row],[Nom Almacen]]&amp;Detalle_OC[[#This Row],[Material]]&amp;Detalle_OC[[#This Row],[Pedido]]&amp;Detalle_OC[[#This Row],[Posicion]]</f>
        <v>Agricola del Chira PlantaMontelima7382475500019188100</v>
      </c>
      <c r="B4725" t="s">
        <v>28</v>
      </c>
      <c r="C4725" t="s">
        <v>82</v>
      </c>
      <c r="D4725" s="11">
        <v>43566</v>
      </c>
      <c r="E4725" t="s">
        <v>16</v>
      </c>
      <c r="F4725" t="s">
        <v>12</v>
      </c>
      <c r="G4725">
        <v>738247</v>
      </c>
      <c r="H4725">
        <v>5500019188</v>
      </c>
      <c r="I4725">
        <v>100</v>
      </c>
      <c r="J4725" s="29">
        <v>1</v>
      </c>
      <c r="K4725" s="29" t="s">
        <v>741</v>
      </c>
      <c r="L4725" t="str">
        <f>IFERROR(VLOOKUP(Detalle_OC[[#This Row],[Centro]]&amp;Detalle_OC[[#This Row],[Nro Almacen]],Almacen!A:D,4,FALSE),"")</f>
        <v>Montelima</v>
      </c>
    </row>
    <row r="4726" spans="1:12" x14ac:dyDescent="0.3">
      <c r="A4726" s="29" t="str">
        <f>Detalle_OC[[#This Row],[Centro]]&amp;Detalle_OC[[#This Row],[Nom Almacen]]&amp;Detalle_OC[[#This Row],[Material]]&amp;Detalle_OC[[#This Row],[Pedido]]&amp;Detalle_OC[[#This Row],[Posicion]]</f>
        <v>Agricola del Chira PlantaMontelima8445245500019188210</v>
      </c>
      <c r="B4726" t="s">
        <v>28</v>
      </c>
      <c r="C4726" t="s">
        <v>82</v>
      </c>
      <c r="D4726" s="11">
        <v>43566</v>
      </c>
      <c r="E4726" t="s">
        <v>16</v>
      </c>
      <c r="F4726" t="s">
        <v>12</v>
      </c>
      <c r="G4726">
        <v>844524</v>
      </c>
      <c r="H4726">
        <v>5500019188</v>
      </c>
      <c r="I4726">
        <v>210</v>
      </c>
      <c r="J4726" s="29">
        <v>1</v>
      </c>
      <c r="K4726" s="29" t="s">
        <v>741</v>
      </c>
      <c r="L4726" t="str">
        <f>IFERROR(VLOOKUP(Detalle_OC[[#This Row],[Centro]]&amp;Detalle_OC[[#This Row],[Nro Almacen]],Almacen!A:D,4,FALSE),"")</f>
        <v>Montelima</v>
      </c>
    </row>
    <row r="4727" spans="1:12" x14ac:dyDescent="0.3">
      <c r="A4727" s="29" t="str">
        <f>Detalle_OC[[#This Row],[Centro]]&amp;Detalle_OC[[#This Row],[Nom Almacen]]&amp;Detalle_OC[[#This Row],[Material]]&amp;Detalle_OC[[#This Row],[Pedido]]&amp;Detalle_OC[[#This Row],[Posicion]]</f>
        <v>Agricola del Chira PlantaMontelima8445025500019188250</v>
      </c>
      <c r="B4727" t="s">
        <v>28</v>
      </c>
      <c r="C4727" t="s">
        <v>82</v>
      </c>
      <c r="D4727" s="11">
        <v>43566</v>
      </c>
      <c r="E4727" t="s">
        <v>16</v>
      </c>
      <c r="F4727" t="s">
        <v>12</v>
      </c>
      <c r="G4727">
        <v>844502</v>
      </c>
      <c r="H4727">
        <v>5500019188</v>
      </c>
      <c r="I4727">
        <v>250</v>
      </c>
      <c r="J4727" s="29">
        <v>1</v>
      </c>
      <c r="K4727" s="29" t="s">
        <v>741</v>
      </c>
      <c r="L4727" t="str">
        <f>IFERROR(VLOOKUP(Detalle_OC[[#This Row],[Centro]]&amp;Detalle_OC[[#This Row],[Nro Almacen]],Almacen!A:D,4,FALSE),"")</f>
        <v>Montelima</v>
      </c>
    </row>
    <row r="4728" spans="1:12" x14ac:dyDescent="0.3">
      <c r="A4728" s="29" t="str">
        <f>Detalle_OC[[#This Row],[Centro]]&amp;Detalle_OC[[#This Row],[Nom Almacen]]&amp;Detalle_OC[[#This Row],[Material]]&amp;Detalle_OC[[#This Row],[Pedido]]&amp;Detalle_OC[[#This Row],[Posicion]]</f>
        <v>Agricola del Chira PlantaMontelima8445215500019188410</v>
      </c>
      <c r="B4728" t="s">
        <v>28</v>
      </c>
      <c r="C4728" t="s">
        <v>82</v>
      </c>
      <c r="D4728" s="11">
        <v>43566</v>
      </c>
      <c r="E4728" t="s">
        <v>16</v>
      </c>
      <c r="F4728" t="s">
        <v>12</v>
      </c>
      <c r="G4728">
        <v>844521</v>
      </c>
      <c r="H4728">
        <v>5500019188</v>
      </c>
      <c r="I4728">
        <v>410</v>
      </c>
      <c r="J4728" s="29">
        <v>1</v>
      </c>
      <c r="K4728" s="29" t="s">
        <v>741</v>
      </c>
      <c r="L4728" t="str">
        <f>IFERROR(VLOOKUP(Detalle_OC[[#This Row],[Centro]]&amp;Detalle_OC[[#This Row],[Nro Almacen]],Almacen!A:D,4,FALSE),"")</f>
        <v>Montelima</v>
      </c>
    </row>
    <row r="4729" spans="1:12" x14ac:dyDescent="0.3">
      <c r="A4729" s="29" t="str">
        <f>Detalle_OC[[#This Row],[Centro]]&amp;Detalle_OC[[#This Row],[Nom Almacen]]&amp;Detalle_OC[[#This Row],[Material]]&amp;Detalle_OC[[#This Row],[Pedido]]&amp;Detalle_OC[[#This Row],[Posicion]]</f>
        <v>Agricola del Chira PlantaMontelima8444995500019188740</v>
      </c>
      <c r="B4729" t="s">
        <v>28</v>
      </c>
      <c r="C4729" t="s">
        <v>82</v>
      </c>
      <c r="D4729" s="11">
        <v>43566</v>
      </c>
      <c r="E4729" t="s">
        <v>16</v>
      </c>
      <c r="F4729" t="s">
        <v>12</v>
      </c>
      <c r="G4729">
        <v>844499</v>
      </c>
      <c r="H4729">
        <v>5500019188</v>
      </c>
      <c r="I4729">
        <v>740</v>
      </c>
      <c r="J4729" s="29">
        <v>1</v>
      </c>
      <c r="K4729" s="29" t="s">
        <v>741</v>
      </c>
      <c r="L4729" t="str">
        <f>IFERROR(VLOOKUP(Detalle_OC[[#This Row],[Centro]]&amp;Detalle_OC[[#This Row],[Nro Almacen]],Almacen!A:D,4,FALSE),"")</f>
        <v>Montelima</v>
      </c>
    </row>
    <row r="4730" spans="1:12" x14ac:dyDescent="0.3">
      <c r="A4730" s="29" t="str">
        <f>Detalle_OC[[#This Row],[Centro]]&amp;Detalle_OC[[#This Row],[Nom Almacen]]&amp;Detalle_OC[[#This Row],[Material]]&amp;Detalle_OC[[#This Row],[Pedido]]&amp;Detalle_OC[[#This Row],[Posicion]]</f>
        <v>Agricola del Chira PlantaMontelima8445485500019188900</v>
      </c>
      <c r="B4730" t="s">
        <v>28</v>
      </c>
      <c r="C4730" t="s">
        <v>82</v>
      </c>
      <c r="D4730" s="11">
        <v>43566</v>
      </c>
      <c r="E4730" t="s">
        <v>16</v>
      </c>
      <c r="F4730" t="s">
        <v>12</v>
      </c>
      <c r="G4730">
        <v>844548</v>
      </c>
      <c r="H4730">
        <v>5500019188</v>
      </c>
      <c r="I4730">
        <v>900</v>
      </c>
      <c r="J4730" s="29">
        <v>1</v>
      </c>
      <c r="K4730" s="29" t="s">
        <v>741</v>
      </c>
      <c r="L4730" t="str">
        <f>IFERROR(VLOOKUP(Detalle_OC[[#This Row],[Centro]]&amp;Detalle_OC[[#This Row],[Nro Almacen]],Almacen!A:D,4,FALSE),"")</f>
        <v>Montelima</v>
      </c>
    </row>
    <row r="4731" spans="1:12" x14ac:dyDescent="0.3">
      <c r="A4731" s="29" t="str">
        <f>Detalle_OC[[#This Row],[Centro]]&amp;Detalle_OC[[#This Row],[Nom Almacen]]&amp;Detalle_OC[[#This Row],[Material]]&amp;Detalle_OC[[#This Row],[Pedido]]&amp;Detalle_OC[[#This Row],[Posicion]]</f>
        <v>Agricola del Chira PlantaMontelima8445245500019188210</v>
      </c>
      <c r="B4731" t="s">
        <v>28</v>
      </c>
      <c r="C4731" t="s">
        <v>82</v>
      </c>
      <c r="D4731" s="11">
        <v>43561</v>
      </c>
      <c r="E4731" t="s">
        <v>16</v>
      </c>
      <c r="F4731" t="s">
        <v>12</v>
      </c>
      <c r="G4731">
        <v>844524</v>
      </c>
      <c r="H4731">
        <v>5500019188</v>
      </c>
      <c r="I4731">
        <v>210</v>
      </c>
      <c r="J4731" s="29">
        <v>1</v>
      </c>
      <c r="K4731" s="29" t="s">
        <v>742</v>
      </c>
      <c r="L4731" t="str">
        <f>IFERROR(VLOOKUP(Detalle_OC[[#This Row],[Centro]]&amp;Detalle_OC[[#This Row],[Nro Almacen]],Almacen!A:D,4,FALSE),"")</f>
        <v>Montelima</v>
      </c>
    </row>
    <row r="4732" spans="1:12" x14ac:dyDescent="0.3">
      <c r="A4732" s="29" t="str">
        <f>Detalle_OC[[#This Row],[Centro]]&amp;Detalle_OC[[#This Row],[Nom Almacen]]&amp;Detalle_OC[[#This Row],[Material]]&amp;Detalle_OC[[#This Row],[Pedido]]&amp;Detalle_OC[[#This Row],[Posicion]]</f>
        <v>Agricola del Chira PlantaMontelima82639755000191881080</v>
      </c>
      <c r="B4732" t="s">
        <v>28</v>
      </c>
      <c r="C4732" t="s">
        <v>82</v>
      </c>
      <c r="D4732" s="11">
        <v>43549</v>
      </c>
      <c r="E4732" t="s">
        <v>16</v>
      </c>
      <c r="F4732" t="s">
        <v>12</v>
      </c>
      <c r="G4732">
        <v>826397</v>
      </c>
      <c r="H4732">
        <v>5500019188</v>
      </c>
      <c r="I4732">
        <v>1080</v>
      </c>
      <c r="J4732" s="29">
        <v>1</v>
      </c>
      <c r="K4732" s="29" t="s">
        <v>743</v>
      </c>
      <c r="L4732" t="str">
        <f>IFERROR(VLOOKUP(Detalle_OC[[#This Row],[Centro]]&amp;Detalle_OC[[#This Row],[Nro Almacen]],Almacen!A:D,4,FALSE),"")</f>
        <v>Montelima</v>
      </c>
    </row>
    <row r="4733" spans="1:12" x14ac:dyDescent="0.3">
      <c r="A4733" s="29" t="str">
        <f>Detalle_OC[[#This Row],[Centro]]&amp;Detalle_OC[[#This Row],[Nom Almacen]]&amp;Detalle_OC[[#This Row],[Material]]&amp;Detalle_OC[[#This Row],[Pedido]]&amp;Detalle_OC[[#This Row],[Posicion]]</f>
        <v>Agricola del Chira PlantaMontelima84557255000191881300</v>
      </c>
      <c r="B4733" t="s">
        <v>28</v>
      </c>
      <c r="C4733" t="s">
        <v>82</v>
      </c>
      <c r="D4733" s="11">
        <v>43549</v>
      </c>
      <c r="E4733" t="s">
        <v>16</v>
      </c>
      <c r="F4733" t="s">
        <v>12</v>
      </c>
      <c r="G4733">
        <v>845572</v>
      </c>
      <c r="H4733">
        <v>5500019188</v>
      </c>
      <c r="I4733">
        <v>1300</v>
      </c>
      <c r="J4733" s="29">
        <v>1</v>
      </c>
      <c r="K4733" s="29" t="s">
        <v>743</v>
      </c>
      <c r="L4733" t="str">
        <f>IFERROR(VLOOKUP(Detalle_OC[[#This Row],[Centro]]&amp;Detalle_OC[[#This Row],[Nro Almacen]],Almacen!A:D,4,FALSE),"")</f>
        <v>Montelima</v>
      </c>
    </row>
    <row r="4734" spans="1:12" x14ac:dyDescent="0.3">
      <c r="A4734" s="29" t="str">
        <f>Detalle_OC[[#This Row],[Centro]]&amp;Detalle_OC[[#This Row],[Nom Almacen]]&amp;Detalle_OC[[#This Row],[Material]]&amp;Detalle_OC[[#This Row],[Pedido]]&amp;Detalle_OC[[#This Row],[Posicion]]</f>
        <v>Agricola del Chira PlantaMontelima8445175500019188340</v>
      </c>
      <c r="B4734" t="s">
        <v>28</v>
      </c>
      <c r="C4734" t="s">
        <v>82</v>
      </c>
      <c r="D4734" s="11">
        <v>43546</v>
      </c>
      <c r="E4734" t="s">
        <v>16</v>
      </c>
      <c r="F4734" t="s">
        <v>12</v>
      </c>
      <c r="G4734">
        <v>844517</v>
      </c>
      <c r="H4734">
        <v>5500019188</v>
      </c>
      <c r="I4734">
        <v>340</v>
      </c>
      <c r="J4734" s="29">
        <v>1</v>
      </c>
      <c r="K4734" s="29" t="s">
        <v>744</v>
      </c>
      <c r="L4734" t="str">
        <f>IFERROR(VLOOKUP(Detalle_OC[[#This Row],[Centro]]&amp;Detalle_OC[[#This Row],[Nro Almacen]],Almacen!A:D,4,FALSE),"")</f>
        <v>Montelima</v>
      </c>
    </row>
    <row r="4735" spans="1:12" x14ac:dyDescent="0.3">
      <c r="A4735" s="29" t="str">
        <f>Detalle_OC[[#This Row],[Centro]]&amp;Detalle_OC[[#This Row],[Nom Almacen]]&amp;Detalle_OC[[#This Row],[Material]]&amp;Detalle_OC[[#This Row],[Pedido]]&amp;Detalle_OC[[#This Row],[Posicion]]</f>
        <v>Agricola del Chira PlantaMontelima83507555000191881310</v>
      </c>
      <c r="B4735" t="s">
        <v>28</v>
      </c>
      <c r="C4735" t="s">
        <v>82</v>
      </c>
      <c r="D4735" s="11">
        <v>43732</v>
      </c>
      <c r="E4735" t="s">
        <v>16</v>
      </c>
      <c r="F4735" t="s">
        <v>12</v>
      </c>
      <c r="G4735">
        <v>835075</v>
      </c>
      <c r="H4735">
        <v>5500019188</v>
      </c>
      <c r="I4735">
        <v>1310</v>
      </c>
      <c r="J4735" s="29">
        <v>1</v>
      </c>
      <c r="K4735" s="29" t="s">
        <v>744</v>
      </c>
      <c r="L4735" t="str">
        <f>IFERROR(VLOOKUP(Detalle_OC[[#This Row],[Centro]]&amp;Detalle_OC[[#This Row],[Nro Almacen]],Almacen!A:D,4,FALSE),"")</f>
        <v>Montelima</v>
      </c>
    </row>
    <row r="4736" spans="1:12" x14ac:dyDescent="0.3">
      <c r="A4736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4736" t="s">
        <v>28</v>
      </c>
      <c r="C4736" t="s">
        <v>82</v>
      </c>
      <c r="D4736" s="11">
        <v>43544</v>
      </c>
      <c r="E4736" t="s">
        <v>16</v>
      </c>
      <c r="F4736" t="s">
        <v>12</v>
      </c>
      <c r="G4736">
        <v>844523</v>
      </c>
      <c r="H4736">
        <v>5500019188</v>
      </c>
      <c r="I4736">
        <v>140</v>
      </c>
      <c r="J4736" s="29">
        <v>1</v>
      </c>
      <c r="K4736" s="29" t="s">
        <v>745</v>
      </c>
      <c r="L4736" t="str">
        <f>IFERROR(VLOOKUP(Detalle_OC[[#This Row],[Centro]]&amp;Detalle_OC[[#This Row],[Nro Almacen]],Almacen!A:D,4,FALSE),"")</f>
        <v>Montelima</v>
      </c>
    </row>
    <row r="4737" spans="1:12" x14ac:dyDescent="0.3">
      <c r="A4737" s="29" t="str">
        <f>Detalle_OC[[#This Row],[Centro]]&amp;Detalle_OC[[#This Row],[Nom Almacen]]&amp;Detalle_OC[[#This Row],[Material]]&amp;Detalle_OC[[#This Row],[Pedido]]&amp;Detalle_OC[[#This Row],[Posicion]]</f>
        <v>Agricola del Chira PlantaMontelima8445335500019188170</v>
      </c>
      <c r="B4737" t="s">
        <v>28</v>
      </c>
      <c r="C4737" t="s">
        <v>82</v>
      </c>
      <c r="D4737" s="11">
        <v>43544</v>
      </c>
      <c r="E4737" t="s">
        <v>16</v>
      </c>
      <c r="F4737" t="s">
        <v>12</v>
      </c>
      <c r="G4737">
        <v>844533</v>
      </c>
      <c r="H4737">
        <v>5500019188</v>
      </c>
      <c r="I4737">
        <v>170</v>
      </c>
      <c r="J4737" s="29">
        <v>1</v>
      </c>
      <c r="K4737" s="29" t="s">
        <v>745</v>
      </c>
      <c r="L4737" t="str">
        <f>IFERROR(VLOOKUP(Detalle_OC[[#This Row],[Centro]]&amp;Detalle_OC[[#This Row],[Nro Almacen]],Almacen!A:D,4,FALSE),"")</f>
        <v>Montelima</v>
      </c>
    </row>
    <row r="4738" spans="1:12" x14ac:dyDescent="0.3">
      <c r="A4738" s="29" t="str">
        <f>Detalle_OC[[#This Row],[Centro]]&amp;Detalle_OC[[#This Row],[Nom Almacen]]&amp;Detalle_OC[[#This Row],[Material]]&amp;Detalle_OC[[#This Row],[Pedido]]&amp;Detalle_OC[[#This Row],[Posicion]]</f>
        <v>Agricola del Chira PlantaMontelima762202550001918850</v>
      </c>
      <c r="B4738" t="s">
        <v>28</v>
      </c>
      <c r="C4738" t="s">
        <v>82</v>
      </c>
      <c r="D4738" s="11">
        <v>43544</v>
      </c>
      <c r="E4738" t="s">
        <v>16</v>
      </c>
      <c r="F4738" t="s">
        <v>12</v>
      </c>
      <c r="G4738">
        <v>762202</v>
      </c>
      <c r="H4738">
        <v>5500019188</v>
      </c>
      <c r="I4738">
        <v>50</v>
      </c>
      <c r="J4738" s="29">
        <v>1</v>
      </c>
      <c r="K4738" s="29" t="s">
        <v>746</v>
      </c>
      <c r="L4738" t="str">
        <f>IFERROR(VLOOKUP(Detalle_OC[[#This Row],[Centro]]&amp;Detalle_OC[[#This Row],[Nro Almacen]],Almacen!A:D,4,FALSE),"")</f>
        <v>Montelima</v>
      </c>
    </row>
    <row r="4739" spans="1:12" x14ac:dyDescent="0.3">
      <c r="A4739" s="29" t="str">
        <f>Detalle_OC[[#This Row],[Centro]]&amp;Detalle_OC[[#This Row],[Nom Almacen]]&amp;Detalle_OC[[#This Row],[Material]]&amp;Detalle_OC[[#This Row],[Pedido]]&amp;Detalle_OC[[#This Row],[Posicion]]</f>
        <v>Agricola del Chira PlantaMontelima82719955000191881020</v>
      </c>
      <c r="B4739" t="s">
        <v>28</v>
      </c>
      <c r="C4739" t="s">
        <v>82</v>
      </c>
      <c r="D4739" s="11">
        <v>43544</v>
      </c>
      <c r="E4739" t="s">
        <v>16</v>
      </c>
      <c r="F4739" t="s">
        <v>12</v>
      </c>
      <c r="G4739">
        <v>827199</v>
      </c>
      <c r="H4739">
        <v>5500019188</v>
      </c>
      <c r="I4739">
        <v>1020</v>
      </c>
      <c r="J4739" s="29">
        <v>1</v>
      </c>
      <c r="K4739" s="29" t="s">
        <v>746</v>
      </c>
      <c r="L4739" t="str">
        <f>IFERROR(VLOOKUP(Detalle_OC[[#This Row],[Centro]]&amp;Detalle_OC[[#This Row],[Nro Almacen]],Almacen!A:D,4,FALSE),"")</f>
        <v>Montelima</v>
      </c>
    </row>
    <row r="4740" spans="1:12" x14ac:dyDescent="0.3">
      <c r="A4740" s="29" t="str">
        <f>Detalle_OC[[#This Row],[Centro]]&amp;Detalle_OC[[#This Row],[Nom Almacen]]&amp;Detalle_OC[[#This Row],[Material]]&amp;Detalle_OC[[#This Row],[Pedido]]&amp;Detalle_OC[[#This Row],[Posicion]]</f>
        <v>Agricola del Chira PlantaMontelima82638255000191881070</v>
      </c>
      <c r="B4740" t="s">
        <v>28</v>
      </c>
      <c r="C4740" t="s">
        <v>82</v>
      </c>
      <c r="D4740" s="11">
        <v>43544</v>
      </c>
      <c r="E4740" t="s">
        <v>16</v>
      </c>
      <c r="F4740" t="s">
        <v>12</v>
      </c>
      <c r="G4740">
        <v>826382</v>
      </c>
      <c r="H4740">
        <v>5500019188</v>
      </c>
      <c r="I4740">
        <v>1070</v>
      </c>
      <c r="J4740" s="29">
        <v>1</v>
      </c>
      <c r="K4740" s="29" t="s">
        <v>746</v>
      </c>
      <c r="L4740" t="str">
        <f>IFERROR(VLOOKUP(Detalle_OC[[#This Row],[Centro]]&amp;Detalle_OC[[#This Row],[Nro Almacen]],Almacen!A:D,4,FALSE),"")</f>
        <v>Montelima</v>
      </c>
    </row>
    <row r="4741" spans="1:12" x14ac:dyDescent="0.3">
      <c r="A4741" s="29" t="str">
        <f>Detalle_OC[[#This Row],[Centro]]&amp;Detalle_OC[[#This Row],[Nom Almacen]]&amp;Detalle_OC[[#This Row],[Material]]&amp;Detalle_OC[[#This Row],[Pedido]]&amp;Detalle_OC[[#This Row],[Posicion]]</f>
        <v>Agricola del Chira PlantaMontelima88882255000191881090</v>
      </c>
      <c r="B4741" t="s">
        <v>28</v>
      </c>
      <c r="C4741" t="s">
        <v>82</v>
      </c>
      <c r="D4741" s="11">
        <v>43544</v>
      </c>
      <c r="E4741" t="s">
        <v>16</v>
      </c>
      <c r="F4741" t="s">
        <v>12</v>
      </c>
      <c r="G4741">
        <v>888822</v>
      </c>
      <c r="H4741">
        <v>5500019188</v>
      </c>
      <c r="I4741">
        <v>1090</v>
      </c>
      <c r="J4741" s="29">
        <v>1</v>
      </c>
      <c r="K4741" s="29" t="s">
        <v>746</v>
      </c>
      <c r="L4741" t="str">
        <f>IFERROR(VLOOKUP(Detalle_OC[[#This Row],[Centro]]&amp;Detalle_OC[[#This Row],[Nro Almacen]],Almacen!A:D,4,FALSE),"")</f>
        <v>Montelima</v>
      </c>
    </row>
    <row r="4742" spans="1:12" x14ac:dyDescent="0.3">
      <c r="A4742" s="29" t="str">
        <f>Detalle_OC[[#This Row],[Centro]]&amp;Detalle_OC[[#This Row],[Nom Almacen]]&amp;Detalle_OC[[#This Row],[Material]]&amp;Detalle_OC[[#This Row],[Pedido]]&amp;Detalle_OC[[#This Row],[Posicion]]</f>
        <v>Agricola del Chira PlantaMontelima83507555000191881310</v>
      </c>
      <c r="B4742" t="s">
        <v>28</v>
      </c>
      <c r="C4742" t="s">
        <v>82</v>
      </c>
      <c r="D4742" s="11">
        <v>43544</v>
      </c>
      <c r="E4742" t="s">
        <v>16</v>
      </c>
      <c r="F4742" t="s">
        <v>12</v>
      </c>
      <c r="G4742">
        <v>835075</v>
      </c>
      <c r="H4742">
        <v>5500019188</v>
      </c>
      <c r="I4742">
        <v>1310</v>
      </c>
      <c r="J4742" s="29">
        <v>1</v>
      </c>
      <c r="K4742" s="29" t="s">
        <v>746</v>
      </c>
      <c r="L4742" t="str">
        <f>IFERROR(VLOOKUP(Detalle_OC[[#This Row],[Centro]]&amp;Detalle_OC[[#This Row],[Nro Almacen]],Almacen!A:D,4,FALSE),"")</f>
        <v>Montelima</v>
      </c>
    </row>
    <row r="4743" spans="1:12" x14ac:dyDescent="0.3">
      <c r="A4743" s="29" t="str">
        <f>Detalle_OC[[#This Row],[Centro]]&amp;Detalle_OC[[#This Row],[Nom Almacen]]&amp;Detalle_OC[[#This Row],[Material]]&amp;Detalle_OC[[#This Row],[Pedido]]&amp;Detalle_OC[[#This Row],[Posicion]]</f>
        <v>Agricola del Chira PlantaMontelima83507655000191881340</v>
      </c>
      <c r="B4743" t="s">
        <v>28</v>
      </c>
      <c r="C4743" t="s">
        <v>82</v>
      </c>
      <c r="D4743" s="11">
        <v>43544</v>
      </c>
      <c r="E4743" t="s">
        <v>16</v>
      </c>
      <c r="F4743" t="s">
        <v>12</v>
      </c>
      <c r="G4743">
        <v>835076</v>
      </c>
      <c r="H4743">
        <v>5500019188</v>
      </c>
      <c r="I4743">
        <v>1340</v>
      </c>
      <c r="J4743" s="29">
        <v>1</v>
      </c>
      <c r="K4743" s="29" t="s">
        <v>746</v>
      </c>
      <c r="L4743" t="str">
        <f>IFERROR(VLOOKUP(Detalle_OC[[#This Row],[Centro]]&amp;Detalle_OC[[#This Row],[Nro Almacen]],Almacen!A:D,4,FALSE),"")</f>
        <v>Montelima</v>
      </c>
    </row>
    <row r="4744" spans="1:12" x14ac:dyDescent="0.3">
      <c r="A4744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4744" t="s">
        <v>28</v>
      </c>
      <c r="C4744" t="s">
        <v>82</v>
      </c>
      <c r="D4744" s="11">
        <v>43535</v>
      </c>
      <c r="E4744" t="s">
        <v>16</v>
      </c>
      <c r="F4744" t="s">
        <v>12</v>
      </c>
      <c r="G4744">
        <v>844516</v>
      </c>
      <c r="H4744">
        <v>5500019188</v>
      </c>
      <c r="I4744">
        <v>190</v>
      </c>
      <c r="J4744" s="29">
        <v>1</v>
      </c>
      <c r="K4744" s="29" t="s">
        <v>747</v>
      </c>
      <c r="L4744" t="str">
        <f>IFERROR(VLOOKUP(Detalle_OC[[#This Row],[Centro]]&amp;Detalle_OC[[#This Row],[Nro Almacen]],Almacen!A:D,4,FALSE),"")</f>
        <v>Montelima</v>
      </c>
    </row>
    <row r="4745" spans="1:12" x14ac:dyDescent="0.3">
      <c r="A4745" s="29" t="str">
        <f>Detalle_OC[[#This Row],[Centro]]&amp;Detalle_OC[[#This Row],[Nom Almacen]]&amp;Detalle_OC[[#This Row],[Material]]&amp;Detalle_OC[[#This Row],[Pedido]]&amp;Detalle_OC[[#This Row],[Posicion]]</f>
        <v>Agricola del Chira PlantaMontelima8445185500019188270</v>
      </c>
      <c r="B4745" t="s">
        <v>28</v>
      </c>
      <c r="C4745" t="s">
        <v>82</v>
      </c>
      <c r="D4745" s="11">
        <v>43535</v>
      </c>
      <c r="E4745" t="s">
        <v>16</v>
      </c>
      <c r="F4745" t="s">
        <v>12</v>
      </c>
      <c r="G4745">
        <v>844518</v>
      </c>
      <c r="H4745">
        <v>5500019188</v>
      </c>
      <c r="I4745">
        <v>270</v>
      </c>
      <c r="J4745" s="29">
        <v>1</v>
      </c>
      <c r="K4745" s="29" t="s">
        <v>747</v>
      </c>
      <c r="L4745" t="str">
        <f>IFERROR(VLOOKUP(Detalle_OC[[#This Row],[Centro]]&amp;Detalle_OC[[#This Row],[Nro Almacen]],Almacen!A:D,4,FALSE),"")</f>
        <v>Montelima</v>
      </c>
    </row>
    <row r="4746" spans="1:12" x14ac:dyDescent="0.3">
      <c r="A4746" s="29" t="str">
        <f>Detalle_OC[[#This Row],[Centro]]&amp;Detalle_OC[[#This Row],[Nom Almacen]]&amp;Detalle_OC[[#This Row],[Material]]&amp;Detalle_OC[[#This Row],[Pedido]]&amp;Detalle_OC[[#This Row],[Posicion]]</f>
        <v>Agricola del Chira PlantaMontelima8445295500019188380</v>
      </c>
      <c r="B4746" t="s">
        <v>28</v>
      </c>
      <c r="C4746" t="s">
        <v>82</v>
      </c>
      <c r="D4746" s="11">
        <v>43535</v>
      </c>
      <c r="E4746" t="s">
        <v>16</v>
      </c>
      <c r="F4746" t="s">
        <v>12</v>
      </c>
      <c r="G4746">
        <v>844529</v>
      </c>
      <c r="H4746">
        <v>5500019188</v>
      </c>
      <c r="I4746">
        <v>380</v>
      </c>
      <c r="J4746" s="29">
        <v>1</v>
      </c>
      <c r="K4746" s="29" t="s">
        <v>747</v>
      </c>
      <c r="L4746" t="str">
        <f>IFERROR(VLOOKUP(Detalle_OC[[#This Row],[Centro]]&amp;Detalle_OC[[#This Row],[Nro Almacen]],Almacen!A:D,4,FALSE),"")</f>
        <v>Montelima</v>
      </c>
    </row>
    <row r="4747" spans="1:12" x14ac:dyDescent="0.3">
      <c r="A4747" s="29" t="str">
        <f>Detalle_OC[[#This Row],[Centro]]&amp;Detalle_OC[[#This Row],[Nom Almacen]]&amp;Detalle_OC[[#This Row],[Material]]&amp;Detalle_OC[[#This Row],[Pedido]]&amp;Detalle_OC[[#This Row],[Posicion]]</f>
        <v>Agricola del Chira PlantaMontelima8457155500019188650</v>
      </c>
      <c r="B4747" t="s">
        <v>28</v>
      </c>
      <c r="C4747" t="s">
        <v>82</v>
      </c>
      <c r="D4747" s="11">
        <v>43535</v>
      </c>
      <c r="E4747" t="s">
        <v>16</v>
      </c>
      <c r="F4747" t="s">
        <v>12</v>
      </c>
      <c r="G4747">
        <v>845715</v>
      </c>
      <c r="H4747">
        <v>5500019188</v>
      </c>
      <c r="I4747">
        <v>650</v>
      </c>
      <c r="J4747" s="29">
        <v>1</v>
      </c>
      <c r="K4747" s="29" t="s">
        <v>747</v>
      </c>
      <c r="L4747" t="str">
        <f>IFERROR(VLOOKUP(Detalle_OC[[#This Row],[Centro]]&amp;Detalle_OC[[#This Row],[Nro Almacen]],Almacen!A:D,4,FALSE),"")</f>
        <v>Montelima</v>
      </c>
    </row>
    <row r="4748" spans="1:12" x14ac:dyDescent="0.3">
      <c r="A4748" s="29" t="str">
        <f>Detalle_OC[[#This Row],[Centro]]&amp;Detalle_OC[[#This Row],[Nom Almacen]]&amp;Detalle_OC[[#This Row],[Material]]&amp;Detalle_OC[[#This Row],[Pedido]]&amp;Detalle_OC[[#This Row],[Posicion]]</f>
        <v>Agricola del Chira PlantaMontelima8444995500019188740</v>
      </c>
      <c r="B4748" t="s">
        <v>28</v>
      </c>
      <c r="C4748" t="s">
        <v>82</v>
      </c>
      <c r="D4748" s="11">
        <v>43535</v>
      </c>
      <c r="E4748" t="s">
        <v>16</v>
      </c>
      <c r="F4748" t="s">
        <v>12</v>
      </c>
      <c r="G4748">
        <v>844499</v>
      </c>
      <c r="H4748">
        <v>5500019188</v>
      </c>
      <c r="I4748">
        <v>740</v>
      </c>
      <c r="J4748" s="29">
        <v>1</v>
      </c>
      <c r="K4748" s="29" t="s">
        <v>747</v>
      </c>
      <c r="L4748" t="str">
        <f>IFERROR(VLOOKUP(Detalle_OC[[#This Row],[Centro]]&amp;Detalle_OC[[#This Row],[Nro Almacen]],Almacen!A:D,4,FALSE),"")</f>
        <v>Montelima</v>
      </c>
    </row>
    <row r="4749" spans="1:12" x14ac:dyDescent="0.3">
      <c r="A4749" s="29" t="str">
        <f>Detalle_OC[[#This Row],[Centro]]&amp;Detalle_OC[[#This Row],[Nom Almacen]]&amp;Detalle_OC[[#This Row],[Material]]&amp;Detalle_OC[[#This Row],[Pedido]]&amp;Detalle_OC[[#This Row],[Posicion]]</f>
        <v>Agricola del Chira PlantaMontelima83507655000191881340</v>
      </c>
      <c r="B4749" t="s">
        <v>28</v>
      </c>
      <c r="C4749" t="s">
        <v>82</v>
      </c>
      <c r="D4749" s="11">
        <v>43535</v>
      </c>
      <c r="E4749" t="s">
        <v>16</v>
      </c>
      <c r="F4749" t="s">
        <v>12</v>
      </c>
      <c r="G4749">
        <v>835076</v>
      </c>
      <c r="H4749">
        <v>5500019188</v>
      </c>
      <c r="I4749">
        <v>1340</v>
      </c>
      <c r="J4749" s="29">
        <v>1</v>
      </c>
      <c r="K4749" s="29" t="s">
        <v>747</v>
      </c>
      <c r="L4749" t="str">
        <f>IFERROR(VLOOKUP(Detalle_OC[[#This Row],[Centro]]&amp;Detalle_OC[[#This Row],[Nro Almacen]],Almacen!A:D,4,FALSE),"")</f>
        <v>Montelima</v>
      </c>
    </row>
    <row r="4750" spans="1:12" x14ac:dyDescent="0.3">
      <c r="A4750" s="29" t="str">
        <f>Detalle_OC[[#This Row],[Centro]]&amp;Detalle_OC[[#This Row],[Nom Almacen]]&amp;Detalle_OC[[#This Row],[Material]]&amp;Detalle_OC[[#This Row],[Pedido]]&amp;Detalle_OC[[#This Row],[Posicion]]</f>
        <v>Agricola del Chira PlantaMontelima738330550001918820</v>
      </c>
      <c r="B4750" t="s">
        <v>28</v>
      </c>
      <c r="C4750" t="s">
        <v>82</v>
      </c>
      <c r="D4750" s="11">
        <v>43530</v>
      </c>
      <c r="E4750" t="s">
        <v>16</v>
      </c>
      <c r="F4750" t="s">
        <v>12</v>
      </c>
      <c r="G4750">
        <v>738330</v>
      </c>
      <c r="H4750">
        <v>5500019188</v>
      </c>
      <c r="I4750">
        <v>20</v>
      </c>
      <c r="J4750" s="29">
        <v>1</v>
      </c>
      <c r="K4750" s="29" t="s">
        <v>748</v>
      </c>
      <c r="L4750" t="str">
        <f>IFERROR(VLOOKUP(Detalle_OC[[#This Row],[Centro]]&amp;Detalle_OC[[#This Row],[Nro Almacen]],Almacen!A:D,4,FALSE),"")</f>
        <v>Montelima</v>
      </c>
    </row>
    <row r="4751" spans="1:12" x14ac:dyDescent="0.3">
      <c r="A4751" s="29" t="str">
        <f>Detalle_OC[[#This Row],[Centro]]&amp;Detalle_OC[[#This Row],[Nom Almacen]]&amp;Detalle_OC[[#This Row],[Material]]&amp;Detalle_OC[[#This Row],[Pedido]]&amp;Detalle_OC[[#This Row],[Posicion]]</f>
        <v>Agricola del Chira PlantaMontelima8445335500019188170</v>
      </c>
      <c r="B4751" t="s">
        <v>28</v>
      </c>
      <c r="C4751" t="s">
        <v>82</v>
      </c>
      <c r="D4751" s="11">
        <v>43530</v>
      </c>
      <c r="E4751" t="s">
        <v>16</v>
      </c>
      <c r="F4751" t="s">
        <v>12</v>
      </c>
      <c r="G4751">
        <v>844533</v>
      </c>
      <c r="H4751">
        <v>5500019188</v>
      </c>
      <c r="I4751">
        <v>170</v>
      </c>
      <c r="J4751" s="29">
        <v>1</v>
      </c>
      <c r="K4751" s="29" t="s">
        <v>748</v>
      </c>
      <c r="L4751" t="str">
        <f>IFERROR(VLOOKUP(Detalle_OC[[#This Row],[Centro]]&amp;Detalle_OC[[#This Row],[Nro Almacen]],Almacen!A:D,4,FALSE),"")</f>
        <v>Montelima</v>
      </c>
    </row>
    <row r="4752" spans="1:12" x14ac:dyDescent="0.3">
      <c r="A4752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4752" t="s">
        <v>28</v>
      </c>
      <c r="C4752" t="s">
        <v>82</v>
      </c>
      <c r="D4752" s="11">
        <v>43530</v>
      </c>
      <c r="E4752" t="s">
        <v>16</v>
      </c>
      <c r="F4752" t="s">
        <v>12</v>
      </c>
      <c r="G4752">
        <v>844516</v>
      </c>
      <c r="H4752">
        <v>5500019188</v>
      </c>
      <c r="I4752">
        <v>190</v>
      </c>
      <c r="J4752" s="29">
        <v>1</v>
      </c>
      <c r="K4752" s="29" t="s">
        <v>748</v>
      </c>
      <c r="L4752" t="str">
        <f>IFERROR(VLOOKUP(Detalle_OC[[#This Row],[Centro]]&amp;Detalle_OC[[#This Row],[Nro Almacen]],Almacen!A:D,4,FALSE),"")</f>
        <v>Montelima</v>
      </c>
    </row>
    <row r="4753" spans="1:12" x14ac:dyDescent="0.3">
      <c r="A4753" s="29" t="str">
        <f>Detalle_OC[[#This Row],[Centro]]&amp;Detalle_OC[[#This Row],[Nom Almacen]]&amp;Detalle_OC[[#This Row],[Material]]&amp;Detalle_OC[[#This Row],[Pedido]]&amp;Detalle_OC[[#This Row],[Posicion]]</f>
        <v>Agricola del Chira PlantaMontelima8449175500019188240</v>
      </c>
      <c r="B4753" t="s">
        <v>28</v>
      </c>
      <c r="C4753" t="s">
        <v>82</v>
      </c>
      <c r="D4753" s="11">
        <v>43530</v>
      </c>
      <c r="E4753" t="s">
        <v>16</v>
      </c>
      <c r="F4753" t="s">
        <v>12</v>
      </c>
      <c r="G4753">
        <v>844917</v>
      </c>
      <c r="H4753">
        <v>5500019188</v>
      </c>
      <c r="I4753">
        <v>240</v>
      </c>
      <c r="J4753" s="29">
        <v>1</v>
      </c>
      <c r="K4753" s="29" t="s">
        <v>748</v>
      </c>
      <c r="L4753" t="str">
        <f>IFERROR(VLOOKUP(Detalle_OC[[#This Row],[Centro]]&amp;Detalle_OC[[#This Row],[Nro Almacen]],Almacen!A:D,4,FALSE),"")</f>
        <v>Montelima</v>
      </c>
    </row>
    <row r="4754" spans="1:12" x14ac:dyDescent="0.3">
      <c r="A4754" s="29" t="str">
        <f>Detalle_OC[[#This Row],[Centro]]&amp;Detalle_OC[[#This Row],[Nom Almacen]]&amp;Detalle_OC[[#This Row],[Material]]&amp;Detalle_OC[[#This Row],[Pedido]]&amp;Detalle_OC[[#This Row],[Posicion]]</f>
        <v>Agricola del Chira PlantaMontelima8445395500019188300</v>
      </c>
      <c r="B4754" t="s">
        <v>28</v>
      </c>
      <c r="C4754" t="s">
        <v>82</v>
      </c>
      <c r="D4754" s="11">
        <v>43530</v>
      </c>
      <c r="E4754" t="s">
        <v>16</v>
      </c>
      <c r="F4754" t="s">
        <v>12</v>
      </c>
      <c r="G4754">
        <v>844539</v>
      </c>
      <c r="H4754">
        <v>5500019188</v>
      </c>
      <c r="I4754">
        <v>300</v>
      </c>
      <c r="J4754" s="29">
        <v>1</v>
      </c>
      <c r="K4754" s="29" t="s">
        <v>748</v>
      </c>
      <c r="L4754" t="str">
        <f>IFERROR(VLOOKUP(Detalle_OC[[#This Row],[Centro]]&amp;Detalle_OC[[#This Row],[Nro Almacen]],Almacen!A:D,4,FALSE),"")</f>
        <v>Montelima</v>
      </c>
    </row>
    <row r="4755" spans="1:12" x14ac:dyDescent="0.3">
      <c r="A4755" s="29" t="str">
        <f>Detalle_OC[[#This Row],[Centro]]&amp;Detalle_OC[[#This Row],[Nom Almacen]]&amp;Detalle_OC[[#This Row],[Material]]&amp;Detalle_OC[[#This Row],[Pedido]]&amp;Detalle_OC[[#This Row],[Posicion]]</f>
        <v>Agricola del Chira PlantaMontelima8445295500019188380</v>
      </c>
      <c r="B4755" t="s">
        <v>28</v>
      </c>
      <c r="C4755" t="s">
        <v>82</v>
      </c>
      <c r="D4755" s="11">
        <v>43530</v>
      </c>
      <c r="E4755" t="s">
        <v>16</v>
      </c>
      <c r="F4755" t="s">
        <v>12</v>
      </c>
      <c r="G4755">
        <v>844529</v>
      </c>
      <c r="H4755">
        <v>5500019188</v>
      </c>
      <c r="I4755">
        <v>380</v>
      </c>
      <c r="J4755" s="29">
        <v>1</v>
      </c>
      <c r="K4755" s="29" t="s">
        <v>748</v>
      </c>
      <c r="L4755" t="str">
        <f>IFERROR(VLOOKUP(Detalle_OC[[#This Row],[Centro]]&amp;Detalle_OC[[#This Row],[Nro Almacen]],Almacen!A:D,4,FALSE),"")</f>
        <v>Montelima</v>
      </c>
    </row>
    <row r="4756" spans="1:12" x14ac:dyDescent="0.3">
      <c r="A4756" s="29" t="str">
        <f>Detalle_OC[[#This Row],[Centro]]&amp;Detalle_OC[[#This Row],[Nom Almacen]]&amp;Detalle_OC[[#This Row],[Material]]&amp;Detalle_OC[[#This Row],[Pedido]]&amp;Detalle_OC[[#This Row],[Posicion]]</f>
        <v>Agricola del Chira PlantaMontelima8445325500019188440</v>
      </c>
      <c r="B4756" t="s">
        <v>28</v>
      </c>
      <c r="C4756" t="s">
        <v>82</v>
      </c>
      <c r="D4756" s="11">
        <v>43530</v>
      </c>
      <c r="E4756" t="s">
        <v>16</v>
      </c>
      <c r="F4756" t="s">
        <v>12</v>
      </c>
      <c r="G4756">
        <v>844532</v>
      </c>
      <c r="H4756">
        <v>5500019188</v>
      </c>
      <c r="I4756">
        <v>440</v>
      </c>
      <c r="J4756" s="29">
        <v>1</v>
      </c>
      <c r="K4756" s="29" t="s">
        <v>748</v>
      </c>
      <c r="L4756" t="str">
        <f>IFERROR(VLOOKUP(Detalle_OC[[#This Row],[Centro]]&amp;Detalle_OC[[#This Row],[Nro Almacen]],Almacen!A:D,4,FALSE),"")</f>
        <v>Montelima</v>
      </c>
    </row>
    <row r="4757" spans="1:12" x14ac:dyDescent="0.3">
      <c r="A4757" s="29" t="str">
        <f>Detalle_OC[[#This Row],[Centro]]&amp;Detalle_OC[[#This Row],[Nom Almacen]]&amp;Detalle_OC[[#This Row],[Material]]&amp;Detalle_OC[[#This Row],[Pedido]]&amp;Detalle_OC[[#This Row],[Posicion]]</f>
        <v>Agricola del Chira PlantaMontelima7004178355000191882260</v>
      </c>
      <c r="B4757" t="s">
        <v>28</v>
      </c>
      <c r="C4757" t="s">
        <v>82</v>
      </c>
      <c r="D4757" s="11">
        <v>43525</v>
      </c>
      <c r="E4757" t="s">
        <v>16</v>
      </c>
      <c r="F4757" t="s">
        <v>12</v>
      </c>
      <c r="G4757">
        <v>70041783</v>
      </c>
      <c r="H4757">
        <v>5500019188</v>
      </c>
      <c r="I4757">
        <v>2260</v>
      </c>
      <c r="J4757" s="29">
        <v>1</v>
      </c>
      <c r="K4757" s="29" t="s">
        <v>749</v>
      </c>
      <c r="L4757" t="str">
        <f>IFERROR(VLOOKUP(Detalle_OC[[#This Row],[Centro]]&amp;Detalle_OC[[#This Row],[Nro Almacen]],Almacen!A:D,4,FALSE),"")</f>
        <v>Montelima</v>
      </c>
    </row>
    <row r="4758" spans="1:12" x14ac:dyDescent="0.3">
      <c r="A4758" s="29" t="str">
        <f>Detalle_OC[[#This Row],[Centro]]&amp;Detalle_OC[[#This Row],[Nom Almacen]]&amp;Detalle_OC[[#This Row],[Material]]&amp;Detalle_OC[[#This Row],[Pedido]]&amp;Detalle_OC[[#This Row],[Posicion]]</f>
        <v>Agricola del Chira PlantaMontelima7382475500019188100</v>
      </c>
      <c r="B4758" t="s">
        <v>28</v>
      </c>
      <c r="C4758" t="s">
        <v>82</v>
      </c>
      <c r="D4758" s="11">
        <v>43565</v>
      </c>
      <c r="E4758" t="s">
        <v>16</v>
      </c>
      <c r="F4758" t="s">
        <v>12</v>
      </c>
      <c r="G4758">
        <v>738247</v>
      </c>
      <c r="H4758">
        <v>5500019188</v>
      </c>
      <c r="I4758">
        <v>100</v>
      </c>
      <c r="J4758" s="29">
        <v>1</v>
      </c>
      <c r="K4758" s="29" t="s">
        <v>750</v>
      </c>
      <c r="L4758" t="str">
        <f>IFERROR(VLOOKUP(Detalle_OC[[#This Row],[Centro]]&amp;Detalle_OC[[#This Row],[Nro Almacen]],Almacen!A:D,4,FALSE),"")</f>
        <v>Montelima</v>
      </c>
    </row>
    <row r="4759" spans="1:12" x14ac:dyDescent="0.3">
      <c r="A4759" s="29" t="str">
        <f>Detalle_OC[[#This Row],[Centro]]&amp;Detalle_OC[[#This Row],[Nom Almacen]]&amp;Detalle_OC[[#This Row],[Material]]&amp;Detalle_OC[[#This Row],[Pedido]]&amp;Detalle_OC[[#This Row],[Posicion]]</f>
        <v>Agricola del Chira PlantaMontelima8445275500019188310</v>
      </c>
      <c r="B4759" t="s">
        <v>28</v>
      </c>
      <c r="C4759" t="s">
        <v>82</v>
      </c>
      <c r="D4759" s="11">
        <v>43517</v>
      </c>
      <c r="E4759" t="s">
        <v>16</v>
      </c>
      <c r="F4759" t="s">
        <v>12</v>
      </c>
      <c r="G4759">
        <v>844527</v>
      </c>
      <c r="H4759">
        <v>5500019188</v>
      </c>
      <c r="I4759">
        <v>310</v>
      </c>
      <c r="J4759" s="29">
        <v>1</v>
      </c>
      <c r="K4759" s="29" t="s">
        <v>750</v>
      </c>
      <c r="L4759" t="str">
        <f>IFERROR(VLOOKUP(Detalle_OC[[#This Row],[Centro]]&amp;Detalle_OC[[#This Row],[Nro Almacen]],Almacen!A:D,4,FALSE),"")</f>
        <v>Montelima</v>
      </c>
    </row>
    <row r="4760" spans="1:12" x14ac:dyDescent="0.3">
      <c r="A4760" s="29" t="str">
        <f>Detalle_OC[[#This Row],[Centro]]&amp;Detalle_OC[[#This Row],[Nom Almacen]]&amp;Detalle_OC[[#This Row],[Material]]&amp;Detalle_OC[[#This Row],[Pedido]]&amp;Detalle_OC[[#This Row],[Posicion]]</f>
        <v>Agricola del Chira PlantaMontelima8445365500019188330</v>
      </c>
      <c r="B4760" t="s">
        <v>28</v>
      </c>
      <c r="C4760" t="s">
        <v>82</v>
      </c>
      <c r="D4760" s="11">
        <v>43517</v>
      </c>
      <c r="E4760" t="s">
        <v>16</v>
      </c>
      <c r="F4760" t="s">
        <v>12</v>
      </c>
      <c r="G4760">
        <v>844536</v>
      </c>
      <c r="H4760">
        <v>5500019188</v>
      </c>
      <c r="I4760">
        <v>330</v>
      </c>
      <c r="J4760" s="29">
        <v>1</v>
      </c>
      <c r="K4760" s="29" t="s">
        <v>750</v>
      </c>
      <c r="L4760" t="str">
        <f>IFERROR(VLOOKUP(Detalle_OC[[#This Row],[Centro]]&amp;Detalle_OC[[#This Row],[Nro Almacen]],Almacen!A:D,4,FALSE),"")</f>
        <v>Montelima</v>
      </c>
    </row>
    <row r="4761" spans="1:12" x14ac:dyDescent="0.3">
      <c r="A4761" s="29" t="str">
        <f>Detalle_OC[[#This Row],[Centro]]&amp;Detalle_OC[[#This Row],[Nom Almacen]]&amp;Detalle_OC[[#This Row],[Material]]&amp;Detalle_OC[[#This Row],[Pedido]]&amp;Detalle_OC[[#This Row],[Posicion]]</f>
        <v>Agricola del Chira PlantaMontelima82639655000191881050</v>
      </c>
      <c r="B4761" t="s">
        <v>28</v>
      </c>
      <c r="C4761" t="s">
        <v>82</v>
      </c>
      <c r="D4761" s="11">
        <v>43517</v>
      </c>
      <c r="E4761" t="s">
        <v>16</v>
      </c>
      <c r="F4761" t="s">
        <v>12</v>
      </c>
      <c r="G4761">
        <v>826396</v>
      </c>
      <c r="H4761">
        <v>5500019188</v>
      </c>
      <c r="I4761">
        <v>1050</v>
      </c>
      <c r="J4761" s="29">
        <v>1</v>
      </c>
      <c r="K4761" s="29" t="s">
        <v>750</v>
      </c>
      <c r="L4761" t="str">
        <f>IFERROR(VLOOKUP(Detalle_OC[[#This Row],[Centro]]&amp;Detalle_OC[[#This Row],[Nro Almacen]],Almacen!A:D,4,FALSE),"")</f>
        <v>Montelima</v>
      </c>
    </row>
    <row r="4762" spans="1:12" x14ac:dyDescent="0.3">
      <c r="A4762" s="29" t="str">
        <f>Detalle_OC[[#This Row],[Centro]]&amp;Detalle_OC[[#This Row],[Nom Almacen]]&amp;Detalle_OC[[#This Row],[Material]]&amp;Detalle_OC[[#This Row],[Pedido]]&amp;Detalle_OC[[#This Row],[Posicion]]</f>
        <v>Agricola del Chira PlantaMontelima84557255000191881300</v>
      </c>
      <c r="B4762" t="s">
        <v>28</v>
      </c>
      <c r="C4762" t="s">
        <v>82</v>
      </c>
      <c r="D4762" s="11">
        <v>43517</v>
      </c>
      <c r="E4762" t="s">
        <v>16</v>
      </c>
      <c r="F4762" t="s">
        <v>12</v>
      </c>
      <c r="G4762">
        <v>845572</v>
      </c>
      <c r="H4762">
        <v>5500019188</v>
      </c>
      <c r="I4762">
        <v>1300</v>
      </c>
      <c r="J4762" s="29">
        <v>1</v>
      </c>
      <c r="K4762" s="29" t="s">
        <v>750</v>
      </c>
      <c r="L4762" t="str">
        <f>IFERROR(VLOOKUP(Detalle_OC[[#This Row],[Centro]]&amp;Detalle_OC[[#This Row],[Nro Almacen]],Almacen!A:D,4,FALSE),"")</f>
        <v>Montelima</v>
      </c>
    </row>
    <row r="4763" spans="1:12" x14ac:dyDescent="0.3">
      <c r="A4763" s="29" t="str">
        <f>Detalle_OC[[#This Row],[Centro]]&amp;Detalle_OC[[#This Row],[Nom Almacen]]&amp;Detalle_OC[[#This Row],[Material]]&amp;Detalle_OC[[#This Row],[Pedido]]&amp;Detalle_OC[[#This Row],[Posicion]]</f>
        <v>Agricola del Chira PlantaMontelima7003087755000191881690</v>
      </c>
      <c r="B4763" t="s">
        <v>28</v>
      </c>
      <c r="C4763" t="s">
        <v>82</v>
      </c>
      <c r="D4763" s="11">
        <v>43517</v>
      </c>
      <c r="E4763" t="s">
        <v>16</v>
      </c>
      <c r="F4763" t="s">
        <v>12</v>
      </c>
      <c r="G4763">
        <v>70030877</v>
      </c>
      <c r="H4763">
        <v>5500019188</v>
      </c>
      <c r="I4763">
        <v>1690</v>
      </c>
      <c r="J4763" s="29">
        <v>1</v>
      </c>
      <c r="K4763" s="29" t="s">
        <v>750</v>
      </c>
      <c r="L4763" t="str">
        <f>IFERROR(VLOOKUP(Detalle_OC[[#This Row],[Centro]]&amp;Detalle_OC[[#This Row],[Nro Almacen]],Almacen!A:D,4,FALSE),"")</f>
        <v>Montelima</v>
      </c>
    </row>
    <row r="4764" spans="1:12" x14ac:dyDescent="0.3">
      <c r="A4764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4764" t="s">
        <v>28</v>
      </c>
      <c r="C4764" t="s">
        <v>82</v>
      </c>
      <c r="D4764" s="11">
        <v>43510</v>
      </c>
      <c r="E4764" t="s">
        <v>16</v>
      </c>
      <c r="F4764" t="s">
        <v>12</v>
      </c>
      <c r="G4764">
        <v>844515</v>
      </c>
      <c r="H4764">
        <v>5500019188</v>
      </c>
      <c r="I4764">
        <v>200</v>
      </c>
      <c r="J4764" s="29">
        <v>1</v>
      </c>
      <c r="K4764" s="29" t="s">
        <v>751</v>
      </c>
      <c r="L4764" t="str">
        <f>IFERROR(VLOOKUP(Detalle_OC[[#This Row],[Centro]]&amp;Detalle_OC[[#This Row],[Nro Almacen]],Almacen!A:D,4,FALSE),"")</f>
        <v>Montelima</v>
      </c>
    </row>
    <row r="4765" spans="1:12" x14ac:dyDescent="0.3">
      <c r="A4765" s="29" t="str">
        <f>Detalle_OC[[#This Row],[Centro]]&amp;Detalle_OC[[#This Row],[Nom Almacen]]&amp;Detalle_OC[[#This Row],[Material]]&amp;Detalle_OC[[#This Row],[Pedido]]&amp;Detalle_OC[[#This Row],[Posicion]]</f>
        <v>Agricola del Chira PlantaMontelima8445025500019188250</v>
      </c>
      <c r="B4765" t="s">
        <v>28</v>
      </c>
      <c r="C4765" t="s">
        <v>82</v>
      </c>
      <c r="D4765" s="11">
        <v>43510</v>
      </c>
      <c r="E4765" t="s">
        <v>16</v>
      </c>
      <c r="F4765" t="s">
        <v>12</v>
      </c>
      <c r="G4765">
        <v>844502</v>
      </c>
      <c r="H4765">
        <v>5500019188</v>
      </c>
      <c r="I4765">
        <v>250</v>
      </c>
      <c r="J4765" s="29">
        <v>1</v>
      </c>
      <c r="K4765" s="29" t="s">
        <v>751</v>
      </c>
      <c r="L4765" t="str">
        <f>IFERROR(VLOOKUP(Detalle_OC[[#This Row],[Centro]]&amp;Detalle_OC[[#This Row],[Nro Almacen]],Almacen!A:D,4,FALSE),"")</f>
        <v>Montelima</v>
      </c>
    </row>
    <row r="4766" spans="1:12" x14ac:dyDescent="0.3">
      <c r="A4766" s="29" t="str">
        <f>Detalle_OC[[#This Row],[Centro]]&amp;Detalle_OC[[#This Row],[Nom Almacen]]&amp;Detalle_OC[[#This Row],[Material]]&amp;Detalle_OC[[#This Row],[Pedido]]&amp;Detalle_OC[[#This Row],[Posicion]]</f>
        <v>Agricola del Chira PlantaMontelima8445515500019188320</v>
      </c>
      <c r="B4766" t="s">
        <v>28</v>
      </c>
      <c r="C4766" t="s">
        <v>82</v>
      </c>
      <c r="D4766" s="11">
        <v>43510</v>
      </c>
      <c r="E4766" t="s">
        <v>16</v>
      </c>
      <c r="F4766" t="s">
        <v>12</v>
      </c>
      <c r="G4766">
        <v>844551</v>
      </c>
      <c r="H4766">
        <v>5500019188</v>
      </c>
      <c r="I4766">
        <v>320</v>
      </c>
      <c r="J4766" s="29">
        <v>1</v>
      </c>
      <c r="K4766" s="29" t="s">
        <v>751</v>
      </c>
      <c r="L4766" t="str">
        <f>IFERROR(VLOOKUP(Detalle_OC[[#This Row],[Centro]]&amp;Detalle_OC[[#This Row],[Nro Almacen]],Almacen!A:D,4,FALSE),"")</f>
        <v>Montelima</v>
      </c>
    </row>
    <row r="4767" spans="1:12" x14ac:dyDescent="0.3">
      <c r="A4767" s="29" t="str">
        <f>Detalle_OC[[#This Row],[Centro]]&amp;Detalle_OC[[#This Row],[Nom Almacen]]&amp;Detalle_OC[[#This Row],[Material]]&amp;Detalle_OC[[#This Row],[Pedido]]&amp;Detalle_OC[[#This Row],[Posicion]]</f>
        <v>Agricola del Chira PlantaMontelima8445365500019188330</v>
      </c>
      <c r="B4767" t="s">
        <v>28</v>
      </c>
      <c r="C4767" t="s">
        <v>82</v>
      </c>
      <c r="D4767" s="11">
        <v>43510</v>
      </c>
      <c r="E4767" t="s">
        <v>16</v>
      </c>
      <c r="F4767" t="s">
        <v>12</v>
      </c>
      <c r="G4767">
        <v>844536</v>
      </c>
      <c r="H4767">
        <v>5500019188</v>
      </c>
      <c r="I4767">
        <v>330</v>
      </c>
      <c r="J4767" s="29">
        <v>1</v>
      </c>
      <c r="K4767" s="29" t="s">
        <v>751</v>
      </c>
      <c r="L4767" t="str">
        <f>IFERROR(VLOOKUP(Detalle_OC[[#This Row],[Centro]]&amp;Detalle_OC[[#This Row],[Nro Almacen]],Almacen!A:D,4,FALSE),"")</f>
        <v>Montelima</v>
      </c>
    </row>
    <row r="4768" spans="1:12" x14ac:dyDescent="0.3">
      <c r="A4768" s="29" t="str">
        <f>Detalle_OC[[#This Row],[Centro]]&amp;Detalle_OC[[#This Row],[Nom Almacen]]&amp;Detalle_OC[[#This Row],[Material]]&amp;Detalle_OC[[#This Row],[Pedido]]&amp;Detalle_OC[[#This Row],[Posicion]]</f>
        <v>Agricola del Chira PlantaMontelima8445035500019188370</v>
      </c>
      <c r="B4768" t="s">
        <v>28</v>
      </c>
      <c r="C4768" t="s">
        <v>82</v>
      </c>
      <c r="D4768" s="11">
        <v>43510</v>
      </c>
      <c r="E4768" t="s">
        <v>16</v>
      </c>
      <c r="F4768" t="s">
        <v>12</v>
      </c>
      <c r="G4768">
        <v>844503</v>
      </c>
      <c r="H4768">
        <v>5500019188</v>
      </c>
      <c r="I4768">
        <v>370</v>
      </c>
      <c r="J4768" s="29">
        <v>1</v>
      </c>
      <c r="K4768" s="29" t="s">
        <v>751</v>
      </c>
      <c r="L4768" t="str">
        <f>IFERROR(VLOOKUP(Detalle_OC[[#This Row],[Centro]]&amp;Detalle_OC[[#This Row],[Nro Almacen]],Almacen!A:D,4,FALSE),"")</f>
        <v>Montelima</v>
      </c>
    </row>
    <row r="4769" spans="1:12" x14ac:dyDescent="0.3">
      <c r="A4769" s="29" t="str">
        <f>Detalle_OC[[#This Row],[Centro]]&amp;Detalle_OC[[#This Row],[Nom Almacen]]&amp;Detalle_OC[[#This Row],[Material]]&amp;Detalle_OC[[#This Row],[Pedido]]&amp;Detalle_OC[[#This Row],[Posicion]]</f>
        <v>Agricola del Chira PlantaMontelima8445045500019188480</v>
      </c>
      <c r="B4769" t="s">
        <v>28</v>
      </c>
      <c r="C4769" t="s">
        <v>82</v>
      </c>
      <c r="D4769" s="11">
        <v>43510</v>
      </c>
      <c r="E4769" t="s">
        <v>16</v>
      </c>
      <c r="F4769" t="s">
        <v>12</v>
      </c>
      <c r="G4769">
        <v>844504</v>
      </c>
      <c r="H4769">
        <v>5500019188</v>
      </c>
      <c r="I4769">
        <v>480</v>
      </c>
      <c r="J4769" s="29">
        <v>1</v>
      </c>
      <c r="K4769" s="29" t="s">
        <v>751</v>
      </c>
      <c r="L4769" t="str">
        <f>IFERROR(VLOOKUP(Detalle_OC[[#This Row],[Centro]]&amp;Detalle_OC[[#This Row],[Nro Almacen]],Almacen!A:D,4,FALSE),"")</f>
        <v>Montelima</v>
      </c>
    </row>
    <row r="4770" spans="1:12" x14ac:dyDescent="0.3">
      <c r="A4770" s="29" t="str">
        <f>Detalle_OC[[#This Row],[Centro]]&amp;Detalle_OC[[#This Row],[Nom Almacen]]&amp;Detalle_OC[[#This Row],[Material]]&amp;Detalle_OC[[#This Row],[Pedido]]&amp;Detalle_OC[[#This Row],[Posicion]]</f>
        <v>Agricola del Chira PlantaMontelima8459045500019188720</v>
      </c>
      <c r="B4770" t="s">
        <v>28</v>
      </c>
      <c r="C4770" t="s">
        <v>82</v>
      </c>
      <c r="D4770" s="11">
        <v>43510</v>
      </c>
      <c r="E4770" t="s">
        <v>16</v>
      </c>
      <c r="F4770" t="s">
        <v>12</v>
      </c>
      <c r="G4770">
        <v>845904</v>
      </c>
      <c r="H4770">
        <v>5500019188</v>
      </c>
      <c r="I4770">
        <v>720</v>
      </c>
      <c r="J4770" s="29">
        <v>1</v>
      </c>
      <c r="K4770" s="29" t="s">
        <v>751</v>
      </c>
      <c r="L4770" t="str">
        <f>IFERROR(VLOOKUP(Detalle_OC[[#This Row],[Centro]]&amp;Detalle_OC[[#This Row],[Nro Almacen]],Almacen!A:D,4,FALSE),"")</f>
        <v>Montelima</v>
      </c>
    </row>
    <row r="4771" spans="1:12" x14ac:dyDescent="0.3">
      <c r="A4771" s="29" t="str">
        <f>Detalle_OC[[#This Row],[Centro]]&amp;Detalle_OC[[#This Row],[Nom Almacen]]&amp;Detalle_OC[[#This Row],[Material]]&amp;Detalle_OC[[#This Row],[Pedido]]&amp;Detalle_OC[[#This Row],[Posicion]]</f>
        <v>Agricola del Chira PlantaMontelima82705755000191881210</v>
      </c>
      <c r="B4771" t="s">
        <v>28</v>
      </c>
      <c r="C4771" t="s">
        <v>82</v>
      </c>
      <c r="D4771" s="11">
        <v>43510</v>
      </c>
      <c r="E4771" t="s">
        <v>16</v>
      </c>
      <c r="F4771" t="s">
        <v>12</v>
      </c>
      <c r="G4771">
        <v>827057</v>
      </c>
      <c r="H4771">
        <v>5500019188</v>
      </c>
      <c r="I4771">
        <v>1210</v>
      </c>
      <c r="J4771" s="29">
        <v>1</v>
      </c>
      <c r="K4771" s="29" t="s">
        <v>751</v>
      </c>
      <c r="L4771" t="str">
        <f>IFERROR(VLOOKUP(Detalle_OC[[#This Row],[Centro]]&amp;Detalle_OC[[#This Row],[Nro Almacen]],Almacen!A:D,4,FALSE),"")</f>
        <v>Montelima</v>
      </c>
    </row>
    <row r="4772" spans="1:12" x14ac:dyDescent="0.3">
      <c r="A4772" s="29" t="str">
        <f>Detalle_OC[[#This Row],[Centro]]&amp;Detalle_OC[[#This Row],[Nom Almacen]]&amp;Detalle_OC[[#This Row],[Material]]&amp;Detalle_OC[[#This Row],[Pedido]]&amp;Detalle_OC[[#This Row],[Posicion]]</f>
        <v>Agricola del Chira PlantaMontelima7004178355000191882260</v>
      </c>
      <c r="B4772" t="s">
        <v>28</v>
      </c>
      <c r="C4772" t="s">
        <v>82</v>
      </c>
      <c r="D4772" s="11">
        <v>43512</v>
      </c>
      <c r="E4772" t="s">
        <v>16</v>
      </c>
      <c r="F4772" t="s">
        <v>12</v>
      </c>
      <c r="G4772">
        <v>70041783</v>
      </c>
      <c r="H4772">
        <v>5500019188</v>
      </c>
      <c r="I4772">
        <v>2260</v>
      </c>
      <c r="J4772" s="29">
        <v>1</v>
      </c>
      <c r="K4772" s="29" t="s">
        <v>751</v>
      </c>
      <c r="L4772" t="str">
        <f>IFERROR(VLOOKUP(Detalle_OC[[#This Row],[Centro]]&amp;Detalle_OC[[#This Row],[Nro Almacen]],Almacen!A:D,4,FALSE),"")</f>
        <v>Montelima</v>
      </c>
    </row>
    <row r="4773" spans="1:12" x14ac:dyDescent="0.3">
      <c r="A4773" s="29" t="str">
        <f>Detalle_OC[[#This Row],[Centro]]&amp;Detalle_OC[[#This Row],[Nom Almacen]]&amp;Detalle_OC[[#This Row],[Material]]&amp;Detalle_OC[[#This Row],[Pedido]]&amp;Detalle_OC[[#This Row],[Posicion]]</f>
        <v>Agricola del Chira PlantaMontelima738330550001918820</v>
      </c>
      <c r="B4773" t="s">
        <v>28</v>
      </c>
      <c r="C4773" t="s">
        <v>82</v>
      </c>
      <c r="D4773" s="11">
        <v>43497</v>
      </c>
      <c r="E4773" t="s">
        <v>16</v>
      </c>
      <c r="F4773" t="s">
        <v>12</v>
      </c>
      <c r="G4773">
        <v>738330</v>
      </c>
      <c r="H4773">
        <v>5500019188</v>
      </c>
      <c r="I4773">
        <v>20</v>
      </c>
      <c r="J4773" s="29">
        <v>1</v>
      </c>
      <c r="K4773" s="29" t="s">
        <v>752</v>
      </c>
      <c r="L4773" t="str">
        <f>IFERROR(VLOOKUP(Detalle_OC[[#This Row],[Centro]]&amp;Detalle_OC[[#This Row],[Nro Almacen]],Almacen!A:D,4,FALSE),"")</f>
        <v>Montelima</v>
      </c>
    </row>
    <row r="4774" spans="1:12" x14ac:dyDescent="0.3">
      <c r="A4774" s="29" t="str">
        <f>Detalle_OC[[#This Row],[Centro]]&amp;Detalle_OC[[#This Row],[Nom Almacen]]&amp;Detalle_OC[[#This Row],[Material]]&amp;Detalle_OC[[#This Row],[Pedido]]&amp;Detalle_OC[[#This Row],[Posicion]]</f>
        <v>Agricola del Chira PlantaMontelima762202550001918850</v>
      </c>
      <c r="B4774" t="s">
        <v>28</v>
      </c>
      <c r="C4774" t="s">
        <v>82</v>
      </c>
      <c r="D4774" s="11">
        <v>43497</v>
      </c>
      <c r="E4774" t="s">
        <v>16</v>
      </c>
      <c r="F4774" t="s">
        <v>12</v>
      </c>
      <c r="G4774">
        <v>762202</v>
      </c>
      <c r="H4774">
        <v>5500019188</v>
      </c>
      <c r="I4774">
        <v>50</v>
      </c>
      <c r="J4774" s="29">
        <v>1</v>
      </c>
      <c r="K4774" s="29" t="s">
        <v>752</v>
      </c>
      <c r="L4774" t="str">
        <f>IFERROR(VLOOKUP(Detalle_OC[[#This Row],[Centro]]&amp;Detalle_OC[[#This Row],[Nro Almacen]],Almacen!A:D,4,FALSE),"")</f>
        <v>Montelima</v>
      </c>
    </row>
    <row r="4775" spans="1:12" x14ac:dyDescent="0.3">
      <c r="A4775" s="29" t="str">
        <f>Detalle_OC[[#This Row],[Centro]]&amp;Detalle_OC[[#This Row],[Nom Almacen]]&amp;Detalle_OC[[#This Row],[Material]]&amp;Detalle_OC[[#This Row],[Pedido]]&amp;Detalle_OC[[#This Row],[Posicion]]</f>
        <v>Agricola del Chira PlantaMontelima738248550001918870</v>
      </c>
      <c r="B4775" t="s">
        <v>28</v>
      </c>
      <c r="C4775" t="s">
        <v>82</v>
      </c>
      <c r="D4775" s="11">
        <v>43565</v>
      </c>
      <c r="E4775" t="s">
        <v>16</v>
      </c>
      <c r="F4775" t="s">
        <v>12</v>
      </c>
      <c r="G4775">
        <v>738248</v>
      </c>
      <c r="H4775">
        <v>5500019188</v>
      </c>
      <c r="I4775">
        <v>70</v>
      </c>
      <c r="J4775" s="29">
        <v>1</v>
      </c>
      <c r="K4775" s="29" t="s">
        <v>752</v>
      </c>
      <c r="L4775" t="str">
        <f>IFERROR(VLOOKUP(Detalle_OC[[#This Row],[Centro]]&amp;Detalle_OC[[#This Row],[Nro Almacen]],Almacen!A:D,4,FALSE),"")</f>
        <v>Montelima</v>
      </c>
    </row>
    <row r="4776" spans="1:12" x14ac:dyDescent="0.3">
      <c r="A4776" s="29" t="str">
        <f>Detalle_OC[[#This Row],[Centro]]&amp;Detalle_OC[[#This Row],[Nom Almacen]]&amp;Detalle_OC[[#This Row],[Material]]&amp;Detalle_OC[[#This Row],[Pedido]]&amp;Detalle_OC[[#This Row],[Posicion]]</f>
        <v>Agricola del Chira PlantaMontelima7382475500019188100</v>
      </c>
      <c r="B4776" t="s">
        <v>28</v>
      </c>
      <c r="C4776" t="s">
        <v>82</v>
      </c>
      <c r="D4776" s="11">
        <v>43497</v>
      </c>
      <c r="E4776" t="s">
        <v>16</v>
      </c>
      <c r="F4776" t="s">
        <v>12</v>
      </c>
      <c r="G4776">
        <v>738247</v>
      </c>
      <c r="H4776">
        <v>5500019188</v>
      </c>
      <c r="I4776">
        <v>100</v>
      </c>
      <c r="J4776" s="29">
        <v>1</v>
      </c>
      <c r="K4776" s="29" t="s">
        <v>752</v>
      </c>
      <c r="L4776" t="str">
        <f>IFERROR(VLOOKUP(Detalle_OC[[#This Row],[Centro]]&amp;Detalle_OC[[#This Row],[Nro Almacen]],Almacen!A:D,4,FALSE),"")</f>
        <v>Montelima</v>
      </c>
    </row>
    <row r="4777" spans="1:12" x14ac:dyDescent="0.3">
      <c r="A4777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4777" t="s">
        <v>28</v>
      </c>
      <c r="C4777" t="s">
        <v>82</v>
      </c>
      <c r="D4777" s="11">
        <v>43497</v>
      </c>
      <c r="E4777" t="s">
        <v>16</v>
      </c>
      <c r="F4777" t="s">
        <v>12</v>
      </c>
      <c r="G4777">
        <v>844523</v>
      </c>
      <c r="H4777">
        <v>5500019188</v>
      </c>
      <c r="I4777">
        <v>140</v>
      </c>
      <c r="J4777" s="29">
        <v>1</v>
      </c>
      <c r="K4777" s="29" t="s">
        <v>752</v>
      </c>
      <c r="L4777" t="str">
        <f>IFERROR(VLOOKUP(Detalle_OC[[#This Row],[Centro]]&amp;Detalle_OC[[#This Row],[Nro Almacen]],Almacen!A:D,4,FALSE),"")</f>
        <v>Montelima</v>
      </c>
    </row>
    <row r="4778" spans="1:12" x14ac:dyDescent="0.3">
      <c r="A4778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4778" t="s">
        <v>28</v>
      </c>
      <c r="C4778" t="s">
        <v>82</v>
      </c>
      <c r="D4778" s="11">
        <v>43497</v>
      </c>
      <c r="E4778" t="s">
        <v>16</v>
      </c>
      <c r="F4778" t="s">
        <v>12</v>
      </c>
      <c r="G4778">
        <v>844508</v>
      </c>
      <c r="H4778">
        <v>5500019188</v>
      </c>
      <c r="I4778">
        <v>220</v>
      </c>
      <c r="J4778" s="29">
        <v>1</v>
      </c>
      <c r="K4778" s="29" t="s">
        <v>752</v>
      </c>
      <c r="L4778" t="str">
        <f>IFERROR(VLOOKUP(Detalle_OC[[#This Row],[Centro]]&amp;Detalle_OC[[#This Row],[Nro Almacen]],Almacen!A:D,4,FALSE),"")</f>
        <v>Montelima</v>
      </c>
    </row>
    <row r="4779" spans="1:12" x14ac:dyDescent="0.3">
      <c r="A4779" s="29" t="str">
        <f>Detalle_OC[[#This Row],[Centro]]&amp;Detalle_OC[[#This Row],[Nom Almacen]]&amp;Detalle_OC[[#This Row],[Material]]&amp;Detalle_OC[[#This Row],[Pedido]]&amp;Detalle_OC[[#This Row],[Posicion]]</f>
        <v>Agricola del Chira PlantaMontelima8443985500019188290</v>
      </c>
      <c r="B4779" t="s">
        <v>28</v>
      </c>
      <c r="C4779" t="s">
        <v>82</v>
      </c>
      <c r="D4779" s="11">
        <v>43497</v>
      </c>
      <c r="E4779" t="s">
        <v>16</v>
      </c>
      <c r="F4779" t="s">
        <v>12</v>
      </c>
      <c r="G4779">
        <v>844398</v>
      </c>
      <c r="H4779">
        <v>5500019188</v>
      </c>
      <c r="I4779">
        <v>290</v>
      </c>
      <c r="J4779" s="29">
        <v>1</v>
      </c>
      <c r="K4779" s="29" t="s">
        <v>752</v>
      </c>
      <c r="L4779" t="str">
        <f>IFERROR(VLOOKUP(Detalle_OC[[#This Row],[Centro]]&amp;Detalle_OC[[#This Row],[Nro Almacen]],Almacen!A:D,4,FALSE),"")</f>
        <v>Montelima</v>
      </c>
    </row>
    <row r="4780" spans="1:12" x14ac:dyDescent="0.3">
      <c r="A4780" s="29" t="str">
        <f>Detalle_OC[[#This Row],[Centro]]&amp;Detalle_OC[[#This Row],[Nom Almacen]]&amp;Detalle_OC[[#This Row],[Material]]&amp;Detalle_OC[[#This Row],[Pedido]]&amp;Detalle_OC[[#This Row],[Posicion]]</f>
        <v>Agricola del Chira PlantaMontelima8445125500019188620</v>
      </c>
      <c r="B4780" t="s">
        <v>28</v>
      </c>
      <c r="C4780" t="s">
        <v>82</v>
      </c>
      <c r="D4780" s="11">
        <v>43497</v>
      </c>
      <c r="E4780" t="s">
        <v>16</v>
      </c>
      <c r="F4780" t="s">
        <v>12</v>
      </c>
      <c r="G4780">
        <v>844512</v>
      </c>
      <c r="H4780">
        <v>5500019188</v>
      </c>
      <c r="I4780">
        <v>620</v>
      </c>
      <c r="J4780" s="29">
        <v>1</v>
      </c>
      <c r="K4780" s="29" t="s">
        <v>752</v>
      </c>
      <c r="L4780" t="str">
        <f>IFERROR(VLOOKUP(Detalle_OC[[#This Row],[Centro]]&amp;Detalle_OC[[#This Row],[Nro Almacen]],Almacen!A:D,4,FALSE),"")</f>
        <v>Montelima</v>
      </c>
    </row>
    <row r="4781" spans="1:12" x14ac:dyDescent="0.3">
      <c r="A4781" s="29" t="str">
        <f>Detalle_OC[[#This Row],[Centro]]&amp;Detalle_OC[[#This Row],[Nom Almacen]]&amp;Detalle_OC[[#This Row],[Material]]&amp;Detalle_OC[[#This Row],[Pedido]]&amp;Detalle_OC[[#This Row],[Posicion]]</f>
        <v>Agricola del Chira PlantaMontelima8445015500019188760</v>
      </c>
      <c r="B4781" t="s">
        <v>28</v>
      </c>
      <c r="C4781" t="s">
        <v>82</v>
      </c>
      <c r="D4781" s="11">
        <v>43497</v>
      </c>
      <c r="E4781" t="s">
        <v>16</v>
      </c>
      <c r="F4781" t="s">
        <v>12</v>
      </c>
      <c r="G4781">
        <v>844501</v>
      </c>
      <c r="H4781">
        <v>5500019188</v>
      </c>
      <c r="I4781">
        <v>760</v>
      </c>
      <c r="J4781" s="29">
        <v>1</v>
      </c>
      <c r="K4781" s="29" t="s">
        <v>752</v>
      </c>
      <c r="L4781" t="str">
        <f>IFERROR(VLOOKUP(Detalle_OC[[#This Row],[Centro]]&amp;Detalle_OC[[#This Row],[Nro Almacen]],Almacen!A:D,4,FALSE),"")</f>
        <v>Montelima</v>
      </c>
    </row>
    <row r="4782" spans="1:12" x14ac:dyDescent="0.3">
      <c r="A4782" s="29" t="str">
        <f>Detalle_OC[[#This Row],[Centro]]&amp;Detalle_OC[[#This Row],[Nom Almacen]]&amp;Detalle_OC[[#This Row],[Material]]&amp;Detalle_OC[[#This Row],[Pedido]]&amp;Detalle_OC[[#This Row],[Posicion]]</f>
        <v>Agricola del Chira PlantaMontelima82638555000191881100</v>
      </c>
      <c r="B4782" t="s">
        <v>28</v>
      </c>
      <c r="C4782" t="s">
        <v>82</v>
      </c>
      <c r="D4782" s="11">
        <v>43497</v>
      </c>
      <c r="E4782" t="s">
        <v>16</v>
      </c>
      <c r="F4782" t="s">
        <v>12</v>
      </c>
      <c r="G4782">
        <v>826385</v>
      </c>
      <c r="H4782">
        <v>5500019188</v>
      </c>
      <c r="I4782">
        <v>1100</v>
      </c>
      <c r="J4782" s="29">
        <v>1</v>
      </c>
      <c r="K4782" s="29" t="s">
        <v>752</v>
      </c>
      <c r="L4782" t="str">
        <f>IFERROR(VLOOKUP(Detalle_OC[[#This Row],[Centro]]&amp;Detalle_OC[[#This Row],[Nro Almacen]],Almacen!A:D,4,FALSE),"")</f>
        <v>Montelima</v>
      </c>
    </row>
    <row r="4783" spans="1:12" x14ac:dyDescent="0.3">
      <c r="A4783" s="29" t="str">
        <f>Detalle_OC[[#This Row],[Centro]]&amp;Detalle_OC[[#This Row],[Nom Almacen]]&amp;Detalle_OC[[#This Row],[Material]]&amp;Detalle_OC[[#This Row],[Pedido]]&amp;Detalle_OC[[#This Row],[Posicion]]</f>
        <v>Agricola del Chira PlantaMontelima84557255000191881300</v>
      </c>
      <c r="B4783" t="s">
        <v>28</v>
      </c>
      <c r="C4783" t="s">
        <v>82</v>
      </c>
      <c r="D4783" s="11">
        <v>43497</v>
      </c>
      <c r="E4783" t="s">
        <v>16</v>
      </c>
      <c r="F4783" t="s">
        <v>12</v>
      </c>
      <c r="G4783">
        <v>845572</v>
      </c>
      <c r="H4783">
        <v>5500019188</v>
      </c>
      <c r="I4783">
        <v>1300</v>
      </c>
      <c r="J4783" s="29">
        <v>1</v>
      </c>
      <c r="K4783" s="29" t="s">
        <v>752</v>
      </c>
      <c r="L4783" t="str">
        <f>IFERROR(VLOOKUP(Detalle_OC[[#This Row],[Centro]]&amp;Detalle_OC[[#This Row],[Nro Almacen]],Almacen!A:D,4,FALSE),"")</f>
        <v>Montelima</v>
      </c>
    </row>
    <row r="4784" spans="1:12" x14ac:dyDescent="0.3">
      <c r="A4784" s="29" t="str">
        <f>Detalle_OC[[#This Row],[Centro]]&amp;Detalle_OC[[#This Row],[Nom Almacen]]&amp;Detalle_OC[[#This Row],[Material]]&amp;Detalle_OC[[#This Row],[Pedido]]&amp;Detalle_OC[[#This Row],[Posicion]]</f>
        <v>Agricola del Chira PlantaMontelima83507355000191881320</v>
      </c>
      <c r="B4784" t="s">
        <v>28</v>
      </c>
      <c r="C4784" t="s">
        <v>82</v>
      </c>
      <c r="D4784" s="11">
        <v>43497</v>
      </c>
      <c r="E4784" t="s">
        <v>16</v>
      </c>
      <c r="F4784" t="s">
        <v>12</v>
      </c>
      <c r="G4784">
        <v>835073</v>
      </c>
      <c r="H4784">
        <v>5500019188</v>
      </c>
      <c r="I4784">
        <v>1320</v>
      </c>
      <c r="J4784" s="29">
        <v>1</v>
      </c>
      <c r="K4784" s="29" t="s">
        <v>752</v>
      </c>
      <c r="L4784" t="str">
        <f>IFERROR(VLOOKUP(Detalle_OC[[#This Row],[Centro]]&amp;Detalle_OC[[#This Row],[Nro Almacen]],Almacen!A:D,4,FALSE),"")</f>
        <v>Montelima</v>
      </c>
    </row>
    <row r="4785" spans="1:12" x14ac:dyDescent="0.3">
      <c r="A4785" s="29" t="str">
        <f>Detalle_OC[[#This Row],[Centro]]&amp;Detalle_OC[[#This Row],[Nom Almacen]]&amp;Detalle_OC[[#This Row],[Material]]&amp;Detalle_OC[[#This Row],[Pedido]]&amp;Detalle_OC[[#This Row],[Posicion]]</f>
        <v>Agricola del Chira PlantaMontelima844601550001918860</v>
      </c>
      <c r="B4785" t="s">
        <v>28</v>
      </c>
      <c r="C4785" t="s">
        <v>82</v>
      </c>
      <c r="D4785" s="11">
        <v>43486</v>
      </c>
      <c r="E4785" t="s">
        <v>16</v>
      </c>
      <c r="F4785" t="s">
        <v>12</v>
      </c>
      <c r="G4785">
        <v>844601</v>
      </c>
      <c r="H4785">
        <v>5500019188</v>
      </c>
      <c r="I4785">
        <v>60</v>
      </c>
      <c r="J4785" s="29">
        <v>1</v>
      </c>
      <c r="K4785" s="29" t="s">
        <v>753</v>
      </c>
      <c r="L4785" t="str">
        <f>IFERROR(VLOOKUP(Detalle_OC[[#This Row],[Centro]]&amp;Detalle_OC[[#This Row],[Nro Almacen]],Almacen!A:D,4,FALSE),"")</f>
        <v>Montelima</v>
      </c>
    </row>
    <row r="4786" spans="1:12" x14ac:dyDescent="0.3">
      <c r="A4786" s="29" t="str">
        <f>Detalle_OC[[#This Row],[Centro]]&amp;Detalle_OC[[#This Row],[Nom Almacen]]&amp;Detalle_OC[[#This Row],[Material]]&amp;Detalle_OC[[#This Row],[Pedido]]&amp;Detalle_OC[[#This Row],[Posicion]]</f>
        <v>Agricola del Chira PlantaMontelima738241550001918880</v>
      </c>
      <c r="B4786" t="s">
        <v>28</v>
      </c>
      <c r="C4786" t="s">
        <v>82</v>
      </c>
      <c r="D4786" s="11">
        <v>43486</v>
      </c>
      <c r="E4786" t="s">
        <v>16</v>
      </c>
      <c r="F4786" t="s">
        <v>12</v>
      </c>
      <c r="G4786">
        <v>738241</v>
      </c>
      <c r="H4786">
        <v>5500019188</v>
      </c>
      <c r="I4786">
        <v>80</v>
      </c>
      <c r="J4786" s="29">
        <v>1</v>
      </c>
      <c r="K4786" s="29" t="s">
        <v>753</v>
      </c>
      <c r="L4786" t="str">
        <f>IFERROR(VLOOKUP(Detalle_OC[[#This Row],[Centro]]&amp;Detalle_OC[[#This Row],[Nro Almacen]],Almacen!A:D,4,FALSE),"")</f>
        <v>Montelima</v>
      </c>
    </row>
    <row r="4787" spans="1:12" x14ac:dyDescent="0.3">
      <c r="A4787" s="29" t="str">
        <f>Detalle_OC[[#This Row],[Centro]]&amp;Detalle_OC[[#This Row],[Nom Almacen]]&amp;Detalle_OC[[#This Row],[Material]]&amp;Detalle_OC[[#This Row],[Pedido]]&amp;Detalle_OC[[#This Row],[Posicion]]</f>
        <v>Agricola del Chira PlantaMontelima7382475500019188100</v>
      </c>
      <c r="B4787" t="s">
        <v>28</v>
      </c>
      <c r="C4787" t="s">
        <v>82</v>
      </c>
      <c r="D4787" s="11">
        <v>43486</v>
      </c>
      <c r="E4787" t="s">
        <v>16</v>
      </c>
      <c r="F4787" t="s">
        <v>12</v>
      </c>
      <c r="G4787">
        <v>738247</v>
      </c>
      <c r="H4787">
        <v>5500019188</v>
      </c>
      <c r="I4787">
        <v>100</v>
      </c>
      <c r="J4787" s="29">
        <v>1</v>
      </c>
      <c r="K4787" s="29" t="s">
        <v>753</v>
      </c>
      <c r="L4787" t="str">
        <f>IFERROR(VLOOKUP(Detalle_OC[[#This Row],[Centro]]&amp;Detalle_OC[[#This Row],[Nro Almacen]],Almacen!A:D,4,FALSE),"")</f>
        <v>Montelima</v>
      </c>
    </row>
    <row r="4788" spans="1:12" x14ac:dyDescent="0.3">
      <c r="A4788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4788" t="s">
        <v>28</v>
      </c>
      <c r="C4788" t="s">
        <v>82</v>
      </c>
      <c r="D4788" s="11">
        <v>43486</v>
      </c>
      <c r="E4788" t="s">
        <v>16</v>
      </c>
      <c r="F4788" t="s">
        <v>12</v>
      </c>
      <c r="G4788">
        <v>844516</v>
      </c>
      <c r="H4788">
        <v>5500019188</v>
      </c>
      <c r="I4788">
        <v>190</v>
      </c>
      <c r="J4788" s="29">
        <v>1</v>
      </c>
      <c r="K4788" s="29" t="s">
        <v>753</v>
      </c>
      <c r="L4788" t="str">
        <f>IFERROR(VLOOKUP(Detalle_OC[[#This Row],[Centro]]&amp;Detalle_OC[[#This Row],[Nro Almacen]],Almacen!A:D,4,FALSE),"")</f>
        <v>Montelima</v>
      </c>
    </row>
    <row r="4789" spans="1:12" x14ac:dyDescent="0.3">
      <c r="A4789" s="29" t="str">
        <f>Detalle_OC[[#This Row],[Centro]]&amp;Detalle_OC[[#This Row],[Nom Almacen]]&amp;Detalle_OC[[#This Row],[Material]]&amp;Detalle_OC[[#This Row],[Pedido]]&amp;Detalle_OC[[#This Row],[Posicion]]</f>
        <v>Agricola del Chira PlantaMontelima8445025500019188250</v>
      </c>
      <c r="B4789" t="s">
        <v>28</v>
      </c>
      <c r="C4789" t="s">
        <v>82</v>
      </c>
      <c r="D4789" s="11">
        <v>43486</v>
      </c>
      <c r="E4789" t="s">
        <v>16</v>
      </c>
      <c r="F4789" t="s">
        <v>12</v>
      </c>
      <c r="G4789">
        <v>844502</v>
      </c>
      <c r="H4789">
        <v>5500019188</v>
      </c>
      <c r="I4789">
        <v>250</v>
      </c>
      <c r="J4789" s="29">
        <v>1</v>
      </c>
      <c r="K4789" s="29" t="s">
        <v>753</v>
      </c>
      <c r="L4789" t="str">
        <f>IFERROR(VLOOKUP(Detalle_OC[[#This Row],[Centro]]&amp;Detalle_OC[[#This Row],[Nro Almacen]],Almacen!A:D,4,FALSE),"")</f>
        <v>Montelima</v>
      </c>
    </row>
    <row r="4790" spans="1:12" x14ac:dyDescent="0.3">
      <c r="A4790" s="29" t="str">
        <f>Detalle_OC[[#This Row],[Centro]]&amp;Detalle_OC[[#This Row],[Nom Almacen]]&amp;Detalle_OC[[#This Row],[Material]]&amp;Detalle_OC[[#This Row],[Pedido]]&amp;Detalle_OC[[#This Row],[Posicion]]</f>
        <v>Agricola del Chira PlantaMontelima8443975500019188280</v>
      </c>
      <c r="B4790" t="s">
        <v>28</v>
      </c>
      <c r="C4790" t="s">
        <v>82</v>
      </c>
      <c r="D4790" s="11">
        <v>43486</v>
      </c>
      <c r="E4790" t="s">
        <v>16</v>
      </c>
      <c r="F4790" t="s">
        <v>12</v>
      </c>
      <c r="G4790">
        <v>844397</v>
      </c>
      <c r="H4790">
        <v>5500019188</v>
      </c>
      <c r="I4790">
        <v>280</v>
      </c>
      <c r="J4790" s="29">
        <v>1</v>
      </c>
      <c r="K4790" s="29" t="s">
        <v>753</v>
      </c>
      <c r="L4790" t="str">
        <f>IFERROR(VLOOKUP(Detalle_OC[[#This Row],[Centro]]&amp;Detalle_OC[[#This Row],[Nro Almacen]],Almacen!A:D,4,FALSE),"")</f>
        <v>Montelima</v>
      </c>
    </row>
    <row r="4791" spans="1:12" x14ac:dyDescent="0.3">
      <c r="A4791" s="29" t="str">
        <f>Detalle_OC[[#This Row],[Centro]]&amp;Detalle_OC[[#This Row],[Nom Almacen]]&amp;Detalle_OC[[#This Row],[Material]]&amp;Detalle_OC[[#This Row],[Pedido]]&amp;Detalle_OC[[#This Row],[Posicion]]</f>
        <v>Agricola del Chira PlantaMontelima8445275500019188310</v>
      </c>
      <c r="B4791" t="s">
        <v>28</v>
      </c>
      <c r="C4791" t="s">
        <v>82</v>
      </c>
      <c r="D4791" s="11">
        <v>43486</v>
      </c>
      <c r="E4791" t="s">
        <v>16</v>
      </c>
      <c r="F4791" t="s">
        <v>12</v>
      </c>
      <c r="G4791">
        <v>844527</v>
      </c>
      <c r="H4791">
        <v>5500019188</v>
      </c>
      <c r="I4791">
        <v>310</v>
      </c>
      <c r="J4791" s="29">
        <v>1</v>
      </c>
      <c r="K4791" s="29" t="s">
        <v>753</v>
      </c>
      <c r="L4791" t="str">
        <f>IFERROR(VLOOKUP(Detalle_OC[[#This Row],[Centro]]&amp;Detalle_OC[[#This Row],[Nro Almacen]],Almacen!A:D,4,FALSE),"")</f>
        <v>Montelima</v>
      </c>
    </row>
    <row r="4792" spans="1:12" x14ac:dyDescent="0.3">
      <c r="A4792" s="29" t="str">
        <f>Detalle_OC[[#This Row],[Centro]]&amp;Detalle_OC[[#This Row],[Nom Almacen]]&amp;Detalle_OC[[#This Row],[Material]]&amp;Detalle_OC[[#This Row],[Pedido]]&amp;Detalle_OC[[#This Row],[Posicion]]</f>
        <v>Agricola del Chira PlantaMontelima8445285500019188360</v>
      </c>
      <c r="B4792" t="s">
        <v>28</v>
      </c>
      <c r="C4792" t="s">
        <v>82</v>
      </c>
      <c r="D4792" s="11">
        <v>43486</v>
      </c>
      <c r="E4792" t="s">
        <v>16</v>
      </c>
      <c r="F4792" t="s">
        <v>12</v>
      </c>
      <c r="G4792">
        <v>844528</v>
      </c>
      <c r="H4792">
        <v>5500019188</v>
      </c>
      <c r="I4792">
        <v>360</v>
      </c>
      <c r="J4792" s="29">
        <v>1</v>
      </c>
      <c r="K4792" s="29" t="s">
        <v>753</v>
      </c>
      <c r="L4792" t="str">
        <f>IFERROR(VLOOKUP(Detalle_OC[[#This Row],[Centro]]&amp;Detalle_OC[[#This Row],[Nro Almacen]],Almacen!A:D,4,FALSE),"")</f>
        <v>Montelima</v>
      </c>
    </row>
    <row r="4793" spans="1:12" x14ac:dyDescent="0.3">
      <c r="A4793" s="29" t="str">
        <f>Detalle_OC[[#This Row],[Centro]]&amp;Detalle_OC[[#This Row],[Nom Almacen]]&amp;Detalle_OC[[#This Row],[Material]]&amp;Detalle_OC[[#This Row],[Pedido]]&amp;Detalle_OC[[#This Row],[Posicion]]</f>
        <v>Agricola del Chira PlantaMontelima8445035500019188370</v>
      </c>
      <c r="B4793" t="s">
        <v>28</v>
      </c>
      <c r="C4793" t="s">
        <v>82</v>
      </c>
      <c r="D4793" s="11">
        <v>43486</v>
      </c>
      <c r="E4793" t="s">
        <v>16</v>
      </c>
      <c r="F4793" t="s">
        <v>12</v>
      </c>
      <c r="G4793">
        <v>844503</v>
      </c>
      <c r="H4793">
        <v>5500019188</v>
      </c>
      <c r="I4793">
        <v>370</v>
      </c>
      <c r="J4793" s="29">
        <v>1</v>
      </c>
      <c r="K4793" s="29" t="s">
        <v>753</v>
      </c>
      <c r="L4793" t="str">
        <f>IFERROR(VLOOKUP(Detalle_OC[[#This Row],[Centro]]&amp;Detalle_OC[[#This Row],[Nro Almacen]],Almacen!A:D,4,FALSE),"")</f>
        <v>Montelima</v>
      </c>
    </row>
    <row r="4794" spans="1:12" x14ac:dyDescent="0.3">
      <c r="A4794" s="29" t="str">
        <f>Detalle_OC[[#This Row],[Centro]]&amp;Detalle_OC[[#This Row],[Nom Almacen]]&amp;Detalle_OC[[#This Row],[Material]]&amp;Detalle_OC[[#This Row],[Pedido]]&amp;Detalle_OC[[#This Row],[Posicion]]</f>
        <v>Agricola del Chira PlantaMontelima8445045500019188480</v>
      </c>
      <c r="B4794" t="s">
        <v>28</v>
      </c>
      <c r="C4794" t="s">
        <v>82</v>
      </c>
      <c r="D4794" s="11">
        <v>43486</v>
      </c>
      <c r="E4794" t="s">
        <v>16</v>
      </c>
      <c r="F4794" t="s">
        <v>12</v>
      </c>
      <c r="G4794">
        <v>844504</v>
      </c>
      <c r="H4794">
        <v>5500019188</v>
      </c>
      <c r="I4794">
        <v>480</v>
      </c>
      <c r="J4794" s="29">
        <v>1</v>
      </c>
      <c r="K4794" s="29" t="s">
        <v>753</v>
      </c>
      <c r="L4794" t="str">
        <f>IFERROR(VLOOKUP(Detalle_OC[[#This Row],[Centro]]&amp;Detalle_OC[[#This Row],[Nro Almacen]],Almacen!A:D,4,FALSE),"")</f>
        <v>Montelima</v>
      </c>
    </row>
    <row r="4795" spans="1:12" x14ac:dyDescent="0.3">
      <c r="A4795" s="29" t="str">
        <f>Detalle_OC[[#This Row],[Centro]]&amp;Detalle_OC[[#This Row],[Nom Almacen]]&amp;Detalle_OC[[#This Row],[Material]]&amp;Detalle_OC[[#This Row],[Pedido]]&amp;Detalle_OC[[#This Row],[Posicion]]</f>
        <v>Agricola del Chira PlantaMontelima8443995500019188500</v>
      </c>
      <c r="B4795" t="s">
        <v>28</v>
      </c>
      <c r="C4795" t="s">
        <v>82</v>
      </c>
      <c r="D4795" s="11">
        <v>43486</v>
      </c>
      <c r="E4795" t="s">
        <v>16</v>
      </c>
      <c r="F4795" t="s">
        <v>12</v>
      </c>
      <c r="G4795">
        <v>844399</v>
      </c>
      <c r="H4795">
        <v>5500019188</v>
      </c>
      <c r="I4795">
        <v>500</v>
      </c>
      <c r="J4795" s="29">
        <v>1</v>
      </c>
      <c r="K4795" s="29" t="s">
        <v>753</v>
      </c>
      <c r="L4795" t="str">
        <f>IFERROR(VLOOKUP(Detalle_OC[[#This Row],[Centro]]&amp;Detalle_OC[[#This Row],[Nro Almacen]],Almacen!A:D,4,FALSE),"")</f>
        <v>Montelima</v>
      </c>
    </row>
    <row r="4796" spans="1:12" x14ac:dyDescent="0.3">
      <c r="A4796" s="29" t="str">
        <f>Detalle_OC[[#This Row],[Centro]]&amp;Detalle_OC[[#This Row],[Nom Almacen]]&amp;Detalle_OC[[#This Row],[Material]]&amp;Detalle_OC[[#This Row],[Pedido]]&amp;Detalle_OC[[#This Row],[Posicion]]</f>
        <v>Agricola del Chira PlantaMontelima8459035500019188630</v>
      </c>
      <c r="B4796" t="s">
        <v>28</v>
      </c>
      <c r="C4796" t="s">
        <v>82</v>
      </c>
      <c r="D4796" s="11">
        <v>43486</v>
      </c>
      <c r="E4796" t="s">
        <v>16</v>
      </c>
      <c r="F4796" t="s">
        <v>12</v>
      </c>
      <c r="G4796">
        <v>845903</v>
      </c>
      <c r="H4796">
        <v>5500019188</v>
      </c>
      <c r="I4796">
        <v>630</v>
      </c>
      <c r="J4796" s="29">
        <v>1</v>
      </c>
      <c r="K4796" s="29" t="s">
        <v>753</v>
      </c>
      <c r="L4796" t="str">
        <f>IFERROR(VLOOKUP(Detalle_OC[[#This Row],[Centro]]&amp;Detalle_OC[[#This Row],[Nro Almacen]],Almacen!A:D,4,FALSE),"")</f>
        <v>Montelima</v>
      </c>
    </row>
    <row r="4797" spans="1:12" x14ac:dyDescent="0.3">
      <c r="A4797" s="29" t="str">
        <f>Detalle_OC[[#This Row],[Centro]]&amp;Detalle_OC[[#This Row],[Nom Almacen]]&amp;Detalle_OC[[#This Row],[Material]]&amp;Detalle_OC[[#This Row],[Pedido]]&amp;Detalle_OC[[#This Row],[Posicion]]</f>
        <v>Agricola del Chira PlantaMontelima82719955000191881020</v>
      </c>
      <c r="B4797" t="s">
        <v>28</v>
      </c>
      <c r="C4797" t="s">
        <v>82</v>
      </c>
      <c r="D4797" s="11">
        <v>43486</v>
      </c>
      <c r="E4797" t="s">
        <v>16</v>
      </c>
      <c r="F4797" t="s">
        <v>12</v>
      </c>
      <c r="G4797">
        <v>827199</v>
      </c>
      <c r="H4797">
        <v>5500019188</v>
      </c>
      <c r="I4797">
        <v>1020</v>
      </c>
      <c r="J4797" s="29">
        <v>1</v>
      </c>
      <c r="K4797" s="29" t="s">
        <v>753</v>
      </c>
      <c r="L4797" t="str">
        <f>IFERROR(VLOOKUP(Detalle_OC[[#This Row],[Centro]]&amp;Detalle_OC[[#This Row],[Nro Almacen]],Almacen!A:D,4,FALSE),"")</f>
        <v>Montelima</v>
      </c>
    </row>
    <row r="4798" spans="1:12" x14ac:dyDescent="0.3">
      <c r="A4798" s="29" t="str">
        <f>Detalle_OC[[#This Row],[Centro]]&amp;Detalle_OC[[#This Row],[Nom Almacen]]&amp;Detalle_OC[[#This Row],[Material]]&amp;Detalle_OC[[#This Row],[Pedido]]&amp;Detalle_OC[[#This Row],[Posicion]]</f>
        <v>Agricola del Chira PlantaMontelima83106655000191881040</v>
      </c>
      <c r="B4798" t="s">
        <v>28</v>
      </c>
      <c r="C4798" t="s">
        <v>82</v>
      </c>
      <c r="D4798" s="11">
        <v>43486</v>
      </c>
      <c r="E4798" t="s">
        <v>16</v>
      </c>
      <c r="F4798" t="s">
        <v>12</v>
      </c>
      <c r="G4798">
        <v>831066</v>
      </c>
      <c r="H4798">
        <v>5500019188</v>
      </c>
      <c r="I4798">
        <v>1040</v>
      </c>
      <c r="J4798" s="29">
        <v>1</v>
      </c>
      <c r="K4798" s="29" t="s">
        <v>753</v>
      </c>
      <c r="L4798" t="str">
        <f>IFERROR(VLOOKUP(Detalle_OC[[#This Row],[Centro]]&amp;Detalle_OC[[#This Row],[Nro Almacen]],Almacen!A:D,4,FALSE),"")</f>
        <v>Montelima</v>
      </c>
    </row>
    <row r="4799" spans="1:12" x14ac:dyDescent="0.3">
      <c r="A4799" s="29" t="str">
        <f>Detalle_OC[[#This Row],[Centro]]&amp;Detalle_OC[[#This Row],[Nom Almacen]]&amp;Detalle_OC[[#This Row],[Material]]&amp;Detalle_OC[[#This Row],[Pedido]]&amp;Detalle_OC[[#This Row],[Posicion]]</f>
        <v>Agricola del Chira PlantaMontelima84557255000191881300</v>
      </c>
      <c r="B4799" t="s">
        <v>28</v>
      </c>
      <c r="C4799" t="s">
        <v>82</v>
      </c>
      <c r="D4799" s="11">
        <v>43486</v>
      </c>
      <c r="E4799" t="s">
        <v>16</v>
      </c>
      <c r="F4799" t="s">
        <v>12</v>
      </c>
      <c r="G4799">
        <v>845572</v>
      </c>
      <c r="H4799">
        <v>5500019188</v>
      </c>
      <c r="I4799">
        <v>1300</v>
      </c>
      <c r="J4799" s="29">
        <v>1</v>
      </c>
      <c r="K4799" s="29" t="s">
        <v>753</v>
      </c>
      <c r="L4799" t="str">
        <f>IFERROR(VLOOKUP(Detalle_OC[[#This Row],[Centro]]&amp;Detalle_OC[[#This Row],[Nro Almacen]],Almacen!A:D,4,FALSE),"")</f>
        <v>Montelima</v>
      </c>
    </row>
    <row r="4800" spans="1:12" x14ac:dyDescent="0.3">
      <c r="A4800" s="29" t="str">
        <f>Detalle_OC[[#This Row],[Centro]]&amp;Detalle_OC[[#This Row],[Nom Almacen]]&amp;Detalle_OC[[#This Row],[Material]]&amp;Detalle_OC[[#This Row],[Pedido]]&amp;Detalle_OC[[#This Row],[Posicion]]</f>
        <v>Agricola del Chira PlantaMontelima7004178355000191882260</v>
      </c>
      <c r="B4800" t="s">
        <v>28</v>
      </c>
      <c r="C4800" t="s">
        <v>82</v>
      </c>
      <c r="D4800" s="11">
        <v>43470</v>
      </c>
      <c r="E4800" t="s">
        <v>16</v>
      </c>
      <c r="F4800" t="s">
        <v>12</v>
      </c>
      <c r="G4800">
        <v>70041783</v>
      </c>
      <c r="H4800">
        <v>5500019188</v>
      </c>
      <c r="I4800">
        <v>2260</v>
      </c>
      <c r="J4800" s="29">
        <v>1</v>
      </c>
      <c r="K4800" s="29" t="s">
        <v>754</v>
      </c>
      <c r="L4800" t="str">
        <f>IFERROR(VLOOKUP(Detalle_OC[[#This Row],[Centro]]&amp;Detalle_OC[[#This Row],[Nro Almacen]],Almacen!A:D,4,FALSE),"")</f>
        <v>Montelima</v>
      </c>
    </row>
    <row r="4801" spans="1:12" x14ac:dyDescent="0.3">
      <c r="A4801" s="29" t="str">
        <f>Detalle_OC[[#This Row],[Centro]]&amp;Detalle_OC[[#This Row],[Nom Almacen]]&amp;Detalle_OC[[#This Row],[Material]]&amp;Detalle_OC[[#This Row],[Pedido]]&amp;Detalle_OC[[#This Row],[Posicion]]</f>
        <v>Agricola del Chira PlantaMontelima762202550001918850</v>
      </c>
      <c r="B4801" t="s">
        <v>28</v>
      </c>
      <c r="C4801" t="s">
        <v>82</v>
      </c>
      <c r="D4801" s="11">
        <v>43454</v>
      </c>
      <c r="E4801" t="s">
        <v>16</v>
      </c>
      <c r="F4801" t="s">
        <v>12</v>
      </c>
      <c r="G4801">
        <v>762202</v>
      </c>
      <c r="H4801">
        <v>5500019188</v>
      </c>
      <c r="I4801">
        <v>50</v>
      </c>
      <c r="J4801" s="29">
        <v>1</v>
      </c>
      <c r="K4801" s="29" t="s">
        <v>755</v>
      </c>
      <c r="L4801" t="str">
        <f>IFERROR(VLOOKUP(Detalle_OC[[#This Row],[Centro]]&amp;Detalle_OC[[#This Row],[Nro Almacen]],Almacen!A:D,4,FALSE),"")</f>
        <v>Montelima</v>
      </c>
    </row>
    <row r="4802" spans="1:12" x14ac:dyDescent="0.3">
      <c r="A4802" s="29" t="str">
        <f>Detalle_OC[[#This Row],[Centro]]&amp;Detalle_OC[[#This Row],[Nom Almacen]]&amp;Detalle_OC[[#This Row],[Material]]&amp;Detalle_OC[[#This Row],[Pedido]]&amp;Detalle_OC[[#This Row],[Posicion]]</f>
        <v>Agricola del Chira PlantaMontelima844601550001918860</v>
      </c>
      <c r="B4802" t="s">
        <v>28</v>
      </c>
      <c r="C4802" t="s">
        <v>82</v>
      </c>
      <c r="D4802" s="11">
        <v>43454</v>
      </c>
      <c r="E4802" t="s">
        <v>16</v>
      </c>
      <c r="F4802" t="s">
        <v>12</v>
      </c>
      <c r="G4802">
        <v>844601</v>
      </c>
      <c r="H4802">
        <v>5500019188</v>
      </c>
      <c r="I4802">
        <v>60</v>
      </c>
      <c r="J4802" s="29">
        <v>1</v>
      </c>
      <c r="K4802" s="29" t="s">
        <v>755</v>
      </c>
      <c r="L4802" t="str">
        <f>IFERROR(VLOOKUP(Detalle_OC[[#This Row],[Centro]]&amp;Detalle_OC[[#This Row],[Nro Almacen]],Almacen!A:D,4,FALSE),"")</f>
        <v>Montelima</v>
      </c>
    </row>
    <row r="4803" spans="1:12" x14ac:dyDescent="0.3">
      <c r="A4803" s="29" t="str">
        <f>Detalle_OC[[#This Row],[Centro]]&amp;Detalle_OC[[#This Row],[Nom Almacen]]&amp;Detalle_OC[[#This Row],[Material]]&amp;Detalle_OC[[#This Row],[Pedido]]&amp;Detalle_OC[[#This Row],[Posicion]]</f>
        <v>Agricola del Chira PlantaMontelima738330550001918820</v>
      </c>
      <c r="B4803" t="s">
        <v>28</v>
      </c>
      <c r="C4803" t="s">
        <v>82</v>
      </c>
      <c r="D4803" s="11">
        <v>43451</v>
      </c>
      <c r="E4803" t="s">
        <v>16</v>
      </c>
      <c r="F4803" t="s">
        <v>12</v>
      </c>
      <c r="G4803">
        <v>738330</v>
      </c>
      <c r="H4803">
        <v>5500019188</v>
      </c>
      <c r="I4803">
        <v>20</v>
      </c>
      <c r="J4803" s="29">
        <v>1</v>
      </c>
      <c r="K4803" s="29" t="s">
        <v>756</v>
      </c>
      <c r="L4803" t="str">
        <f>IFERROR(VLOOKUP(Detalle_OC[[#This Row],[Centro]]&amp;Detalle_OC[[#This Row],[Nro Almacen]],Almacen!A:D,4,FALSE),"")</f>
        <v>Montelima</v>
      </c>
    </row>
    <row r="4804" spans="1:12" x14ac:dyDescent="0.3">
      <c r="A4804" s="29" t="str">
        <f>Detalle_OC[[#This Row],[Centro]]&amp;Detalle_OC[[#This Row],[Nom Almacen]]&amp;Detalle_OC[[#This Row],[Material]]&amp;Detalle_OC[[#This Row],[Pedido]]&amp;Detalle_OC[[#This Row],[Posicion]]</f>
        <v>Agricola del Chira PlantaMontelima738248550001918870</v>
      </c>
      <c r="B4804" t="s">
        <v>28</v>
      </c>
      <c r="C4804" t="s">
        <v>82</v>
      </c>
      <c r="D4804" s="11">
        <v>43451</v>
      </c>
      <c r="E4804" t="s">
        <v>16</v>
      </c>
      <c r="F4804" t="s">
        <v>12</v>
      </c>
      <c r="G4804">
        <v>738248</v>
      </c>
      <c r="H4804">
        <v>5500019188</v>
      </c>
      <c r="I4804">
        <v>70</v>
      </c>
      <c r="J4804" s="29">
        <v>1</v>
      </c>
      <c r="K4804" s="29" t="s">
        <v>756</v>
      </c>
      <c r="L4804" t="str">
        <f>IFERROR(VLOOKUP(Detalle_OC[[#This Row],[Centro]]&amp;Detalle_OC[[#This Row],[Nro Almacen]],Almacen!A:D,4,FALSE),"")</f>
        <v>Montelima</v>
      </c>
    </row>
    <row r="4805" spans="1:12" x14ac:dyDescent="0.3">
      <c r="A4805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4805" t="s">
        <v>28</v>
      </c>
      <c r="C4805" t="s">
        <v>82</v>
      </c>
      <c r="D4805" s="11">
        <v>43451</v>
      </c>
      <c r="E4805" t="s">
        <v>16</v>
      </c>
      <c r="F4805" t="s">
        <v>12</v>
      </c>
      <c r="G4805">
        <v>844523</v>
      </c>
      <c r="H4805">
        <v>5500019188</v>
      </c>
      <c r="I4805">
        <v>140</v>
      </c>
      <c r="J4805" s="29">
        <v>1</v>
      </c>
      <c r="K4805" s="29" t="s">
        <v>756</v>
      </c>
      <c r="L4805" t="str">
        <f>IFERROR(VLOOKUP(Detalle_OC[[#This Row],[Centro]]&amp;Detalle_OC[[#This Row],[Nro Almacen]],Almacen!A:D,4,FALSE),"")</f>
        <v>Montelima</v>
      </c>
    </row>
    <row r="4806" spans="1:12" x14ac:dyDescent="0.3">
      <c r="A4806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4806" t="s">
        <v>28</v>
      </c>
      <c r="C4806" t="s">
        <v>82</v>
      </c>
      <c r="D4806" s="11">
        <v>43451</v>
      </c>
      <c r="E4806" t="s">
        <v>16</v>
      </c>
      <c r="F4806" t="s">
        <v>12</v>
      </c>
      <c r="G4806">
        <v>844522</v>
      </c>
      <c r="H4806">
        <v>5500019188</v>
      </c>
      <c r="I4806">
        <v>150</v>
      </c>
      <c r="J4806" s="29">
        <v>1</v>
      </c>
      <c r="K4806" s="29" t="s">
        <v>756</v>
      </c>
      <c r="L4806" t="str">
        <f>IFERROR(VLOOKUP(Detalle_OC[[#This Row],[Centro]]&amp;Detalle_OC[[#This Row],[Nro Almacen]],Almacen!A:D,4,FALSE),"")</f>
        <v>Montelima</v>
      </c>
    </row>
    <row r="4807" spans="1:12" x14ac:dyDescent="0.3">
      <c r="A4807" s="29" t="str">
        <f>Detalle_OC[[#This Row],[Centro]]&amp;Detalle_OC[[#This Row],[Nom Almacen]]&amp;Detalle_OC[[#This Row],[Material]]&amp;Detalle_OC[[#This Row],[Pedido]]&amp;Detalle_OC[[#This Row],[Posicion]]</f>
        <v>Agricola del Chira PlantaMontelima8445405500019188230</v>
      </c>
      <c r="B4807" t="s">
        <v>28</v>
      </c>
      <c r="C4807" t="s">
        <v>82</v>
      </c>
      <c r="D4807" s="11">
        <v>43451</v>
      </c>
      <c r="E4807" t="s">
        <v>16</v>
      </c>
      <c r="F4807" t="s">
        <v>12</v>
      </c>
      <c r="G4807">
        <v>844540</v>
      </c>
      <c r="H4807">
        <v>5500019188</v>
      </c>
      <c r="I4807">
        <v>230</v>
      </c>
      <c r="J4807" s="29">
        <v>1</v>
      </c>
      <c r="K4807" s="29" t="s">
        <v>756</v>
      </c>
      <c r="L4807" t="str">
        <f>IFERROR(VLOOKUP(Detalle_OC[[#This Row],[Centro]]&amp;Detalle_OC[[#This Row],[Nro Almacen]],Almacen!A:D,4,FALSE),"")</f>
        <v>Montelima</v>
      </c>
    </row>
    <row r="4808" spans="1:12" x14ac:dyDescent="0.3">
      <c r="A4808" s="29" t="str">
        <f>Detalle_OC[[#This Row],[Centro]]&amp;Detalle_OC[[#This Row],[Nom Almacen]]&amp;Detalle_OC[[#This Row],[Material]]&amp;Detalle_OC[[#This Row],[Pedido]]&amp;Detalle_OC[[#This Row],[Posicion]]</f>
        <v>Agricola del Chira PlantaMontelima8445095500019188260</v>
      </c>
      <c r="B4808" t="s">
        <v>28</v>
      </c>
      <c r="C4808" t="s">
        <v>82</v>
      </c>
      <c r="D4808" s="11">
        <v>43451</v>
      </c>
      <c r="E4808" t="s">
        <v>16</v>
      </c>
      <c r="F4808" t="s">
        <v>12</v>
      </c>
      <c r="G4808">
        <v>844509</v>
      </c>
      <c r="H4808">
        <v>5500019188</v>
      </c>
      <c r="I4808">
        <v>260</v>
      </c>
      <c r="J4808" s="29">
        <v>1</v>
      </c>
      <c r="K4808" s="29" t="s">
        <v>756</v>
      </c>
      <c r="L4808" t="str">
        <f>IFERROR(VLOOKUP(Detalle_OC[[#This Row],[Centro]]&amp;Detalle_OC[[#This Row],[Nro Almacen]],Almacen!A:D,4,FALSE),"")</f>
        <v>Montelima</v>
      </c>
    </row>
    <row r="4809" spans="1:12" x14ac:dyDescent="0.3">
      <c r="A4809" s="29" t="str">
        <f>Detalle_OC[[#This Row],[Centro]]&amp;Detalle_OC[[#This Row],[Nom Almacen]]&amp;Detalle_OC[[#This Row],[Material]]&amp;Detalle_OC[[#This Row],[Pedido]]&amp;Detalle_OC[[#This Row],[Posicion]]</f>
        <v>Agricola del Chira PlantaMontelima8443975500019188280</v>
      </c>
      <c r="B4809" t="s">
        <v>28</v>
      </c>
      <c r="C4809" t="s">
        <v>82</v>
      </c>
      <c r="D4809" s="11">
        <v>43451</v>
      </c>
      <c r="E4809" t="s">
        <v>16</v>
      </c>
      <c r="F4809" t="s">
        <v>12</v>
      </c>
      <c r="G4809">
        <v>844397</v>
      </c>
      <c r="H4809">
        <v>5500019188</v>
      </c>
      <c r="I4809">
        <v>280</v>
      </c>
      <c r="J4809" s="29">
        <v>1</v>
      </c>
      <c r="K4809" s="29" t="s">
        <v>756</v>
      </c>
      <c r="L4809" t="str">
        <f>IFERROR(VLOOKUP(Detalle_OC[[#This Row],[Centro]]&amp;Detalle_OC[[#This Row],[Nro Almacen]],Almacen!A:D,4,FALSE),"")</f>
        <v>Montelima</v>
      </c>
    </row>
    <row r="4810" spans="1:12" x14ac:dyDescent="0.3">
      <c r="A4810" s="29" t="str">
        <f>Detalle_OC[[#This Row],[Centro]]&amp;Detalle_OC[[#This Row],[Nom Almacen]]&amp;Detalle_OC[[#This Row],[Material]]&amp;Detalle_OC[[#This Row],[Pedido]]&amp;Detalle_OC[[#This Row],[Posicion]]</f>
        <v>Agricola del Chira PlantaMontelima8443985500019188290</v>
      </c>
      <c r="B4810" t="s">
        <v>28</v>
      </c>
      <c r="C4810" t="s">
        <v>82</v>
      </c>
      <c r="D4810" s="11">
        <v>43451</v>
      </c>
      <c r="E4810" t="s">
        <v>16</v>
      </c>
      <c r="F4810" t="s">
        <v>12</v>
      </c>
      <c r="G4810">
        <v>844398</v>
      </c>
      <c r="H4810">
        <v>5500019188</v>
      </c>
      <c r="I4810">
        <v>290</v>
      </c>
      <c r="J4810" s="29">
        <v>1</v>
      </c>
      <c r="K4810" s="29" t="s">
        <v>756</v>
      </c>
      <c r="L4810" t="str">
        <f>IFERROR(VLOOKUP(Detalle_OC[[#This Row],[Centro]]&amp;Detalle_OC[[#This Row],[Nro Almacen]],Almacen!A:D,4,FALSE),"")</f>
        <v>Montelima</v>
      </c>
    </row>
    <row r="4811" spans="1:12" x14ac:dyDescent="0.3">
      <c r="A4811" s="29" t="str">
        <f>Detalle_OC[[#This Row],[Centro]]&amp;Detalle_OC[[#This Row],[Nom Almacen]]&amp;Detalle_OC[[#This Row],[Material]]&amp;Detalle_OC[[#This Row],[Pedido]]&amp;Detalle_OC[[#This Row],[Posicion]]</f>
        <v>Agricola del Chira PlantaMontelima8444905500019188400</v>
      </c>
      <c r="B4811" t="s">
        <v>28</v>
      </c>
      <c r="C4811" t="s">
        <v>82</v>
      </c>
      <c r="D4811" s="11">
        <v>43451</v>
      </c>
      <c r="E4811" t="s">
        <v>16</v>
      </c>
      <c r="F4811" t="s">
        <v>12</v>
      </c>
      <c r="G4811">
        <v>844490</v>
      </c>
      <c r="H4811">
        <v>5500019188</v>
      </c>
      <c r="I4811">
        <v>400</v>
      </c>
      <c r="J4811" s="29">
        <v>1</v>
      </c>
      <c r="K4811" s="29" t="s">
        <v>756</v>
      </c>
      <c r="L4811" t="str">
        <f>IFERROR(VLOOKUP(Detalle_OC[[#This Row],[Centro]]&amp;Detalle_OC[[#This Row],[Nro Almacen]],Almacen!A:D,4,FALSE),"")</f>
        <v>Montelima</v>
      </c>
    </row>
    <row r="4812" spans="1:12" x14ac:dyDescent="0.3">
      <c r="A4812" s="29" t="str">
        <f>Detalle_OC[[#This Row],[Centro]]&amp;Detalle_OC[[#This Row],[Nom Almacen]]&amp;Detalle_OC[[#This Row],[Material]]&amp;Detalle_OC[[#This Row],[Pedido]]&amp;Detalle_OC[[#This Row],[Posicion]]</f>
        <v>Agricola del Chira PlantaMontelima8444995500019188740</v>
      </c>
      <c r="B4812" t="s">
        <v>28</v>
      </c>
      <c r="C4812" t="s">
        <v>82</v>
      </c>
      <c r="D4812" s="11">
        <v>43451</v>
      </c>
      <c r="E4812" t="s">
        <v>16</v>
      </c>
      <c r="F4812" t="s">
        <v>12</v>
      </c>
      <c r="G4812">
        <v>844499</v>
      </c>
      <c r="H4812">
        <v>5500019188</v>
      </c>
      <c r="I4812">
        <v>740</v>
      </c>
      <c r="J4812" s="29">
        <v>1</v>
      </c>
      <c r="K4812" s="29" t="s">
        <v>756</v>
      </c>
      <c r="L4812" t="str">
        <f>IFERROR(VLOOKUP(Detalle_OC[[#This Row],[Centro]]&amp;Detalle_OC[[#This Row],[Nro Almacen]],Almacen!A:D,4,FALSE),"")</f>
        <v>Montelima</v>
      </c>
    </row>
    <row r="4813" spans="1:12" x14ac:dyDescent="0.3">
      <c r="A4813" s="29" t="str">
        <f>Detalle_OC[[#This Row],[Centro]]&amp;Detalle_OC[[#This Row],[Nom Almacen]]&amp;Detalle_OC[[#This Row],[Material]]&amp;Detalle_OC[[#This Row],[Pedido]]&amp;Detalle_OC[[#This Row],[Posicion]]</f>
        <v>Agricola del Chira PlantaMontelima8444995500019188740</v>
      </c>
      <c r="B4813" t="s">
        <v>28</v>
      </c>
      <c r="C4813" t="s">
        <v>82</v>
      </c>
      <c r="D4813" s="11">
        <v>43451</v>
      </c>
      <c r="E4813" t="s">
        <v>16</v>
      </c>
      <c r="F4813" t="s">
        <v>12</v>
      </c>
      <c r="G4813">
        <v>844499</v>
      </c>
      <c r="H4813">
        <v>5500019188</v>
      </c>
      <c r="I4813">
        <v>740</v>
      </c>
      <c r="J4813" s="29">
        <v>1</v>
      </c>
      <c r="K4813" s="29" t="s">
        <v>756</v>
      </c>
      <c r="L4813" t="str">
        <f>IFERROR(VLOOKUP(Detalle_OC[[#This Row],[Centro]]&amp;Detalle_OC[[#This Row],[Nro Almacen]],Almacen!A:D,4,FALSE),"")</f>
        <v>Montelima</v>
      </c>
    </row>
    <row r="4814" spans="1:12" x14ac:dyDescent="0.3">
      <c r="A4814" s="29" t="str">
        <f>Detalle_OC[[#This Row],[Centro]]&amp;Detalle_OC[[#This Row],[Nom Almacen]]&amp;Detalle_OC[[#This Row],[Material]]&amp;Detalle_OC[[#This Row],[Pedido]]&amp;Detalle_OC[[#This Row],[Posicion]]</f>
        <v>Agricola del Chira PlantaMontelima84557255000191881300</v>
      </c>
      <c r="B4814" t="s">
        <v>28</v>
      </c>
      <c r="C4814" t="s">
        <v>82</v>
      </c>
      <c r="D4814" s="11">
        <v>43451</v>
      </c>
      <c r="E4814" t="s">
        <v>16</v>
      </c>
      <c r="F4814" t="s">
        <v>12</v>
      </c>
      <c r="G4814">
        <v>845572</v>
      </c>
      <c r="H4814">
        <v>5500019188</v>
      </c>
      <c r="I4814">
        <v>1300</v>
      </c>
      <c r="J4814" s="29">
        <v>1</v>
      </c>
      <c r="K4814" s="29" t="s">
        <v>756</v>
      </c>
      <c r="L4814" t="str">
        <f>IFERROR(VLOOKUP(Detalle_OC[[#This Row],[Centro]]&amp;Detalle_OC[[#This Row],[Nro Almacen]],Almacen!A:D,4,FALSE),"")</f>
        <v>Montelima</v>
      </c>
    </row>
    <row r="4815" spans="1:12" x14ac:dyDescent="0.3">
      <c r="A4815" s="29" t="str">
        <f>Detalle_OC[[#This Row],[Centro]]&amp;Detalle_OC[[#This Row],[Nom Almacen]]&amp;Detalle_OC[[#This Row],[Material]]&amp;Detalle_OC[[#This Row],[Pedido]]&amp;Detalle_OC[[#This Row],[Posicion]]</f>
        <v>Agricola del Chira PlantaMontelima83507355000191881320</v>
      </c>
      <c r="B4815" t="s">
        <v>28</v>
      </c>
      <c r="C4815" t="s">
        <v>82</v>
      </c>
      <c r="D4815" s="11">
        <v>43451</v>
      </c>
      <c r="E4815" t="s">
        <v>16</v>
      </c>
      <c r="F4815" t="s">
        <v>12</v>
      </c>
      <c r="G4815">
        <v>835073</v>
      </c>
      <c r="H4815">
        <v>5500019188</v>
      </c>
      <c r="I4815">
        <v>1320</v>
      </c>
      <c r="J4815" s="29">
        <v>1</v>
      </c>
      <c r="K4815" s="29" t="s">
        <v>756</v>
      </c>
      <c r="L4815" t="str">
        <f>IFERROR(VLOOKUP(Detalle_OC[[#This Row],[Centro]]&amp;Detalle_OC[[#This Row],[Nro Almacen]],Almacen!A:D,4,FALSE),"")</f>
        <v>Montelima</v>
      </c>
    </row>
    <row r="4816" spans="1:12" x14ac:dyDescent="0.3">
      <c r="A4816" s="29" t="str">
        <f>Detalle_OC[[#This Row],[Centro]]&amp;Detalle_OC[[#This Row],[Nom Almacen]]&amp;Detalle_OC[[#This Row],[Material]]&amp;Detalle_OC[[#This Row],[Pedido]]&amp;Detalle_OC[[#This Row],[Posicion]]</f>
        <v>Agricola del Chira PlantaMontelima7004178255000191882250</v>
      </c>
      <c r="B4816" t="s">
        <v>28</v>
      </c>
      <c r="C4816" t="s">
        <v>82</v>
      </c>
      <c r="D4816" s="11">
        <v>43451</v>
      </c>
      <c r="E4816" t="s">
        <v>16</v>
      </c>
      <c r="F4816" t="s">
        <v>12</v>
      </c>
      <c r="G4816">
        <v>70041782</v>
      </c>
      <c r="H4816">
        <v>5500019188</v>
      </c>
      <c r="I4816">
        <v>2250</v>
      </c>
      <c r="J4816" s="29">
        <v>1</v>
      </c>
      <c r="K4816" s="29" t="s">
        <v>757</v>
      </c>
      <c r="L4816" t="str">
        <f>IFERROR(VLOOKUP(Detalle_OC[[#This Row],[Centro]]&amp;Detalle_OC[[#This Row],[Nro Almacen]],Almacen!A:D,4,FALSE),"")</f>
        <v>Montelima</v>
      </c>
    </row>
    <row r="4817" spans="1:12" x14ac:dyDescent="0.3">
      <c r="A4817" s="29" t="str">
        <f>Detalle_OC[[#This Row],[Centro]]&amp;Detalle_OC[[#This Row],[Nom Almacen]]&amp;Detalle_OC[[#This Row],[Material]]&amp;Detalle_OC[[#This Row],[Pedido]]&amp;Detalle_OC[[#This Row],[Posicion]]</f>
        <v>Agricola del Chira PlantaMontelima762202550001918850</v>
      </c>
      <c r="B4817" t="s">
        <v>28</v>
      </c>
      <c r="C4817" t="s">
        <v>82</v>
      </c>
      <c r="D4817" s="11">
        <v>43421</v>
      </c>
      <c r="E4817" t="s">
        <v>16</v>
      </c>
      <c r="F4817" t="s">
        <v>12</v>
      </c>
      <c r="G4817">
        <v>762202</v>
      </c>
      <c r="H4817">
        <v>5500019188</v>
      </c>
      <c r="I4817">
        <v>50</v>
      </c>
      <c r="J4817" s="29">
        <v>1</v>
      </c>
      <c r="K4817" s="29" t="s">
        <v>758</v>
      </c>
      <c r="L4817" t="str">
        <f>IFERROR(VLOOKUP(Detalle_OC[[#This Row],[Centro]]&amp;Detalle_OC[[#This Row],[Nro Almacen]],Almacen!A:D,4,FALSE),"")</f>
        <v>Montelima</v>
      </c>
    </row>
    <row r="4818" spans="1:12" x14ac:dyDescent="0.3">
      <c r="A4818" s="29" t="str">
        <f>Detalle_OC[[#This Row],[Centro]]&amp;Detalle_OC[[#This Row],[Nom Almacen]]&amp;Detalle_OC[[#This Row],[Material]]&amp;Detalle_OC[[#This Row],[Pedido]]&amp;Detalle_OC[[#This Row],[Posicion]]</f>
        <v>Agricola del Chira PlantaMontelima7004178355000191882260</v>
      </c>
      <c r="B4818" t="s">
        <v>28</v>
      </c>
      <c r="C4818" t="s">
        <v>82</v>
      </c>
      <c r="D4818" s="11">
        <v>43416</v>
      </c>
      <c r="E4818" t="s">
        <v>16</v>
      </c>
      <c r="F4818" t="s">
        <v>12</v>
      </c>
      <c r="G4818">
        <v>70041783</v>
      </c>
      <c r="H4818">
        <v>5500019188</v>
      </c>
      <c r="I4818">
        <v>2260</v>
      </c>
      <c r="J4818" s="29">
        <v>1</v>
      </c>
      <c r="K4818" s="29" t="s">
        <v>759</v>
      </c>
      <c r="L4818" t="str">
        <f>IFERROR(VLOOKUP(Detalle_OC[[#This Row],[Centro]]&amp;Detalle_OC[[#This Row],[Nro Almacen]],Almacen!A:D,4,FALSE),"")</f>
        <v>Montelima</v>
      </c>
    </row>
    <row r="4819" spans="1:12" x14ac:dyDescent="0.3">
      <c r="A4819" s="29" t="str">
        <f>Detalle_OC[[#This Row],[Centro]]&amp;Detalle_OC[[#This Row],[Nom Almacen]]&amp;Detalle_OC[[#This Row],[Material]]&amp;Detalle_OC[[#This Row],[Pedido]]&amp;Detalle_OC[[#This Row],[Posicion]]</f>
        <v>Agricola del Chira PlantaMontelima725201550001918830</v>
      </c>
      <c r="B4819" t="s">
        <v>28</v>
      </c>
      <c r="C4819" t="s">
        <v>82</v>
      </c>
      <c r="D4819" s="11">
        <v>43412</v>
      </c>
      <c r="E4819" t="s">
        <v>16</v>
      </c>
      <c r="F4819" t="s">
        <v>12</v>
      </c>
      <c r="G4819">
        <v>725201</v>
      </c>
      <c r="H4819">
        <v>5500019188</v>
      </c>
      <c r="I4819">
        <v>30</v>
      </c>
      <c r="J4819" s="29">
        <v>1</v>
      </c>
      <c r="K4819" s="29" t="s">
        <v>760</v>
      </c>
      <c r="L4819" t="str">
        <f>IFERROR(VLOOKUP(Detalle_OC[[#This Row],[Centro]]&amp;Detalle_OC[[#This Row],[Nro Almacen]],Almacen!A:D,4,FALSE),"")</f>
        <v>Montelima</v>
      </c>
    </row>
    <row r="4820" spans="1:12" x14ac:dyDescent="0.3">
      <c r="A4820" s="29" t="str">
        <f>Detalle_OC[[#This Row],[Centro]]&amp;Detalle_OC[[#This Row],[Nom Almacen]]&amp;Detalle_OC[[#This Row],[Material]]&amp;Detalle_OC[[#This Row],[Pedido]]&amp;Detalle_OC[[#This Row],[Posicion]]</f>
        <v>Agricola del Chira PlantaMontelima7382475500019188100</v>
      </c>
      <c r="B4820" t="s">
        <v>28</v>
      </c>
      <c r="C4820" t="s">
        <v>82</v>
      </c>
      <c r="D4820" s="11">
        <v>43412</v>
      </c>
      <c r="E4820" t="s">
        <v>16</v>
      </c>
      <c r="F4820" t="s">
        <v>12</v>
      </c>
      <c r="G4820">
        <v>738247</v>
      </c>
      <c r="H4820">
        <v>5500019188</v>
      </c>
      <c r="I4820">
        <v>100</v>
      </c>
      <c r="J4820" s="29">
        <v>1</v>
      </c>
      <c r="K4820" s="29" t="s">
        <v>760</v>
      </c>
      <c r="L4820" t="str">
        <f>IFERROR(VLOOKUP(Detalle_OC[[#This Row],[Centro]]&amp;Detalle_OC[[#This Row],[Nro Almacen]],Almacen!A:D,4,FALSE),"")</f>
        <v>Montelima</v>
      </c>
    </row>
    <row r="4821" spans="1:12" x14ac:dyDescent="0.3">
      <c r="A4821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4821" t="s">
        <v>28</v>
      </c>
      <c r="C4821" t="s">
        <v>82</v>
      </c>
      <c r="D4821" s="11">
        <v>43412</v>
      </c>
      <c r="E4821" t="s">
        <v>16</v>
      </c>
      <c r="F4821" t="s">
        <v>12</v>
      </c>
      <c r="G4821">
        <v>844523</v>
      </c>
      <c r="H4821">
        <v>5500019188</v>
      </c>
      <c r="I4821">
        <v>140</v>
      </c>
      <c r="J4821" s="29">
        <v>1</v>
      </c>
      <c r="K4821" s="29" t="s">
        <v>760</v>
      </c>
      <c r="L4821" t="str">
        <f>IFERROR(VLOOKUP(Detalle_OC[[#This Row],[Centro]]&amp;Detalle_OC[[#This Row],[Nro Almacen]],Almacen!A:D,4,FALSE),"")</f>
        <v>Montelima</v>
      </c>
    </row>
    <row r="4822" spans="1:12" x14ac:dyDescent="0.3">
      <c r="A4822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4822" t="s">
        <v>28</v>
      </c>
      <c r="C4822" t="s">
        <v>82</v>
      </c>
      <c r="D4822" s="11">
        <v>43412</v>
      </c>
      <c r="E4822" t="s">
        <v>16</v>
      </c>
      <c r="F4822" t="s">
        <v>12</v>
      </c>
      <c r="G4822">
        <v>844522</v>
      </c>
      <c r="H4822">
        <v>5500019188</v>
      </c>
      <c r="I4822">
        <v>150</v>
      </c>
      <c r="J4822" s="29">
        <v>1</v>
      </c>
      <c r="K4822" s="29" t="s">
        <v>760</v>
      </c>
      <c r="L4822" t="str">
        <f>IFERROR(VLOOKUP(Detalle_OC[[#This Row],[Centro]]&amp;Detalle_OC[[#This Row],[Nro Almacen]],Almacen!A:D,4,FALSE),"")</f>
        <v>Montelima</v>
      </c>
    </row>
    <row r="4823" spans="1:12" x14ac:dyDescent="0.3">
      <c r="A4823" s="29" t="str">
        <f>Detalle_OC[[#This Row],[Centro]]&amp;Detalle_OC[[#This Row],[Nom Almacen]]&amp;Detalle_OC[[#This Row],[Material]]&amp;Detalle_OC[[#This Row],[Pedido]]&amp;Detalle_OC[[#This Row],[Posicion]]</f>
        <v>Agricola del Chira PlantaMontelima8445335500019188170</v>
      </c>
      <c r="B4823" t="s">
        <v>28</v>
      </c>
      <c r="C4823" t="s">
        <v>82</v>
      </c>
      <c r="D4823" s="11">
        <v>43412</v>
      </c>
      <c r="E4823" t="s">
        <v>16</v>
      </c>
      <c r="F4823" t="s">
        <v>12</v>
      </c>
      <c r="G4823">
        <v>844533</v>
      </c>
      <c r="H4823">
        <v>5500019188</v>
      </c>
      <c r="I4823">
        <v>170</v>
      </c>
      <c r="J4823" s="29">
        <v>1</v>
      </c>
      <c r="K4823" s="29" t="s">
        <v>760</v>
      </c>
      <c r="L4823" t="str">
        <f>IFERROR(VLOOKUP(Detalle_OC[[#This Row],[Centro]]&amp;Detalle_OC[[#This Row],[Nro Almacen]],Almacen!A:D,4,FALSE),"")</f>
        <v>Montelima</v>
      </c>
    </row>
    <row r="4824" spans="1:12" x14ac:dyDescent="0.3">
      <c r="A4824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4824" t="s">
        <v>28</v>
      </c>
      <c r="C4824" t="s">
        <v>82</v>
      </c>
      <c r="D4824" s="11">
        <v>43412</v>
      </c>
      <c r="E4824" t="s">
        <v>16</v>
      </c>
      <c r="F4824" t="s">
        <v>12</v>
      </c>
      <c r="G4824">
        <v>844508</v>
      </c>
      <c r="H4824">
        <v>5500019188</v>
      </c>
      <c r="I4824">
        <v>220</v>
      </c>
      <c r="J4824" s="29">
        <v>1</v>
      </c>
      <c r="K4824" s="29" t="s">
        <v>760</v>
      </c>
      <c r="L4824" t="str">
        <f>IFERROR(VLOOKUP(Detalle_OC[[#This Row],[Centro]]&amp;Detalle_OC[[#This Row],[Nro Almacen]],Almacen!A:D,4,FALSE),"")</f>
        <v>Montelima</v>
      </c>
    </row>
    <row r="4825" spans="1:12" x14ac:dyDescent="0.3">
      <c r="A4825" s="29" t="str">
        <f>Detalle_OC[[#This Row],[Centro]]&amp;Detalle_OC[[#This Row],[Nom Almacen]]&amp;Detalle_OC[[#This Row],[Material]]&amp;Detalle_OC[[#This Row],[Pedido]]&amp;Detalle_OC[[#This Row],[Posicion]]</f>
        <v>Agricola del Chira PlantaMontelima82638255000191881070</v>
      </c>
      <c r="B4825" t="s">
        <v>28</v>
      </c>
      <c r="C4825" t="s">
        <v>82</v>
      </c>
      <c r="D4825" s="11">
        <v>43412</v>
      </c>
      <c r="E4825" t="s">
        <v>16</v>
      </c>
      <c r="F4825" t="s">
        <v>12</v>
      </c>
      <c r="G4825">
        <v>826382</v>
      </c>
      <c r="H4825">
        <v>5500019188</v>
      </c>
      <c r="I4825">
        <v>1070</v>
      </c>
      <c r="J4825" s="29">
        <v>1</v>
      </c>
      <c r="K4825" s="29" t="s">
        <v>760</v>
      </c>
      <c r="L4825" t="str">
        <f>IFERROR(VLOOKUP(Detalle_OC[[#This Row],[Centro]]&amp;Detalle_OC[[#This Row],[Nro Almacen]],Almacen!A:D,4,FALSE),"")</f>
        <v>Montelima</v>
      </c>
    </row>
    <row r="4826" spans="1:12" x14ac:dyDescent="0.3">
      <c r="A4826" s="29" t="str">
        <f>Detalle_OC[[#This Row],[Centro]]&amp;Detalle_OC[[#This Row],[Nom Almacen]]&amp;Detalle_OC[[#This Row],[Material]]&amp;Detalle_OC[[#This Row],[Pedido]]&amp;Detalle_OC[[#This Row],[Posicion]]</f>
        <v>Agricola del Chira PlantaMontelima82638355000191881150</v>
      </c>
      <c r="B4826" t="s">
        <v>28</v>
      </c>
      <c r="C4826" t="s">
        <v>82</v>
      </c>
      <c r="D4826" s="11">
        <v>43412</v>
      </c>
      <c r="E4826" t="s">
        <v>16</v>
      </c>
      <c r="F4826" t="s">
        <v>12</v>
      </c>
      <c r="G4826">
        <v>826383</v>
      </c>
      <c r="H4826">
        <v>5500019188</v>
      </c>
      <c r="I4826">
        <v>1150</v>
      </c>
      <c r="J4826" s="29">
        <v>1</v>
      </c>
      <c r="K4826" s="29" t="s">
        <v>760</v>
      </c>
      <c r="L4826" t="str">
        <f>IFERROR(VLOOKUP(Detalle_OC[[#This Row],[Centro]]&amp;Detalle_OC[[#This Row],[Nro Almacen]],Almacen!A:D,4,FALSE),"")</f>
        <v>Montelima</v>
      </c>
    </row>
    <row r="4827" spans="1:12" x14ac:dyDescent="0.3">
      <c r="A4827" s="29" t="str">
        <f>Detalle_OC[[#This Row],[Centro]]&amp;Detalle_OC[[#This Row],[Nom Almacen]]&amp;Detalle_OC[[#This Row],[Material]]&amp;Detalle_OC[[#This Row],[Pedido]]&amp;Detalle_OC[[#This Row],[Posicion]]</f>
        <v>Agricola del Chira PlantaMontelima7004178355000191882260</v>
      </c>
      <c r="B4827" t="s">
        <v>28</v>
      </c>
      <c r="C4827" t="s">
        <v>82</v>
      </c>
      <c r="D4827" s="11">
        <v>43411</v>
      </c>
      <c r="E4827" t="s">
        <v>16</v>
      </c>
      <c r="F4827" t="s">
        <v>12</v>
      </c>
      <c r="G4827">
        <v>70041783</v>
      </c>
      <c r="H4827">
        <v>5500019188</v>
      </c>
      <c r="I4827">
        <v>2260</v>
      </c>
      <c r="J4827" s="29">
        <v>1</v>
      </c>
      <c r="K4827" s="29" t="s">
        <v>761</v>
      </c>
      <c r="L4827" t="str">
        <f>IFERROR(VLOOKUP(Detalle_OC[[#This Row],[Centro]]&amp;Detalle_OC[[#This Row],[Nro Almacen]],Almacen!A:D,4,FALSE),"")</f>
        <v>Montelima</v>
      </c>
    </row>
    <row r="4828" spans="1:12" x14ac:dyDescent="0.3">
      <c r="A4828" s="29" t="str">
        <f>Detalle_OC[[#This Row],[Centro]]&amp;Detalle_OC[[#This Row],[Nom Almacen]]&amp;Detalle_OC[[#This Row],[Material]]&amp;Detalle_OC[[#This Row],[Pedido]]&amp;Detalle_OC[[#This Row],[Posicion]]</f>
        <v>Agricola del Chira PlantaMontelima7004178455000191882270</v>
      </c>
      <c r="B4828" t="s">
        <v>28</v>
      </c>
      <c r="C4828" t="s">
        <v>82</v>
      </c>
      <c r="D4828" s="11">
        <v>43411</v>
      </c>
      <c r="E4828" t="s">
        <v>16</v>
      </c>
      <c r="F4828" t="s">
        <v>12</v>
      </c>
      <c r="G4828">
        <v>70041784</v>
      </c>
      <c r="H4828">
        <v>5500019188</v>
      </c>
      <c r="I4828">
        <v>2270</v>
      </c>
      <c r="J4828" s="29">
        <v>1</v>
      </c>
      <c r="K4828" s="29" t="s">
        <v>761</v>
      </c>
      <c r="L4828" t="str">
        <f>IFERROR(VLOOKUP(Detalle_OC[[#This Row],[Centro]]&amp;Detalle_OC[[#This Row],[Nro Almacen]],Almacen!A:D,4,FALSE),"")</f>
        <v>Montelima</v>
      </c>
    </row>
    <row r="4829" spans="1:12" x14ac:dyDescent="0.3">
      <c r="A4829" s="29" t="str">
        <f>Detalle_OC[[#This Row],[Centro]]&amp;Detalle_OC[[#This Row],[Nom Almacen]]&amp;Detalle_OC[[#This Row],[Material]]&amp;Detalle_OC[[#This Row],[Pedido]]&amp;Detalle_OC[[#This Row],[Posicion]]</f>
        <v>Agricola del Chira PlantaMontelima7004178255000191882250</v>
      </c>
      <c r="B4829" t="s">
        <v>28</v>
      </c>
      <c r="C4829" t="s">
        <v>82</v>
      </c>
      <c r="D4829" s="11">
        <v>43405</v>
      </c>
      <c r="E4829" t="s">
        <v>16</v>
      </c>
      <c r="F4829" t="s">
        <v>12</v>
      </c>
      <c r="G4829">
        <v>70041782</v>
      </c>
      <c r="H4829">
        <v>5500019188</v>
      </c>
      <c r="I4829">
        <v>2250</v>
      </c>
      <c r="J4829" s="29">
        <v>1</v>
      </c>
      <c r="K4829" s="29" t="s">
        <v>762</v>
      </c>
      <c r="L4829" t="str">
        <f>IFERROR(VLOOKUP(Detalle_OC[[#This Row],[Centro]]&amp;Detalle_OC[[#This Row],[Nro Almacen]],Almacen!A:D,4,FALSE),"")</f>
        <v>Montelima</v>
      </c>
    </row>
    <row r="4830" spans="1:12" x14ac:dyDescent="0.3">
      <c r="A4830" s="29" t="str">
        <f>Detalle_OC[[#This Row],[Centro]]&amp;Detalle_OC[[#This Row],[Nom Almacen]]&amp;Detalle_OC[[#This Row],[Material]]&amp;Detalle_OC[[#This Row],[Pedido]]&amp;Detalle_OC[[#This Row],[Posicion]]</f>
        <v>Agricola del Chira PlantaMontelima844601550001918860</v>
      </c>
      <c r="B4830" t="s">
        <v>28</v>
      </c>
      <c r="C4830" t="s">
        <v>82</v>
      </c>
      <c r="D4830" s="11">
        <v>43451</v>
      </c>
      <c r="E4830" t="s">
        <v>16</v>
      </c>
      <c r="F4830" t="s">
        <v>12</v>
      </c>
      <c r="G4830">
        <v>844601</v>
      </c>
      <c r="H4830">
        <v>5500019188</v>
      </c>
      <c r="I4830">
        <v>60</v>
      </c>
      <c r="J4830" s="29">
        <v>1</v>
      </c>
      <c r="K4830" s="29" t="s">
        <v>763</v>
      </c>
      <c r="L4830" t="str">
        <f>IFERROR(VLOOKUP(Detalle_OC[[#This Row],[Centro]]&amp;Detalle_OC[[#This Row],[Nro Almacen]],Almacen!A:D,4,FALSE),"")</f>
        <v>Montelima</v>
      </c>
    </row>
    <row r="4831" spans="1:12" x14ac:dyDescent="0.3">
      <c r="A4831" s="29" t="str">
        <f>Detalle_OC[[#This Row],[Centro]]&amp;Detalle_OC[[#This Row],[Nom Almacen]]&amp;Detalle_OC[[#This Row],[Material]]&amp;Detalle_OC[[#This Row],[Pedido]]&amp;Detalle_OC[[#This Row],[Posicion]]</f>
        <v>Agricola del Chira PlantaMontelima7382475500019188100</v>
      </c>
      <c r="B4831" t="s">
        <v>28</v>
      </c>
      <c r="C4831" t="s">
        <v>82</v>
      </c>
      <c r="D4831" s="11">
        <v>43391</v>
      </c>
      <c r="E4831" t="s">
        <v>16</v>
      </c>
      <c r="F4831" t="s">
        <v>12</v>
      </c>
      <c r="G4831">
        <v>738247</v>
      </c>
      <c r="H4831">
        <v>5500019188</v>
      </c>
      <c r="I4831">
        <v>100</v>
      </c>
      <c r="J4831" s="29">
        <v>1</v>
      </c>
      <c r="K4831" s="29" t="s">
        <v>763</v>
      </c>
      <c r="L4831" t="str">
        <f>IFERROR(VLOOKUP(Detalle_OC[[#This Row],[Centro]]&amp;Detalle_OC[[#This Row],[Nro Almacen]],Almacen!A:D,4,FALSE),"")</f>
        <v>Montelima</v>
      </c>
    </row>
    <row r="4832" spans="1:12" x14ac:dyDescent="0.3">
      <c r="A4832" s="29" t="str">
        <f>Detalle_OC[[#This Row],[Centro]]&amp;Detalle_OC[[#This Row],[Nom Almacen]]&amp;Detalle_OC[[#This Row],[Material]]&amp;Detalle_OC[[#This Row],[Pedido]]&amp;Detalle_OC[[#This Row],[Posicion]]</f>
        <v>Agricola del Chira PlantaMontelima8445335500019188170</v>
      </c>
      <c r="B4832" t="s">
        <v>28</v>
      </c>
      <c r="C4832" t="s">
        <v>82</v>
      </c>
      <c r="D4832" s="11">
        <v>43391</v>
      </c>
      <c r="E4832" t="s">
        <v>16</v>
      </c>
      <c r="F4832" t="s">
        <v>12</v>
      </c>
      <c r="G4832">
        <v>844533</v>
      </c>
      <c r="H4832">
        <v>5500019188</v>
      </c>
      <c r="I4832">
        <v>170</v>
      </c>
      <c r="J4832" s="29">
        <v>1</v>
      </c>
      <c r="K4832" s="29" t="s">
        <v>763</v>
      </c>
      <c r="L4832" t="str">
        <f>IFERROR(VLOOKUP(Detalle_OC[[#This Row],[Centro]]&amp;Detalle_OC[[#This Row],[Nro Almacen]],Almacen!A:D,4,FALSE),"")</f>
        <v>Montelima</v>
      </c>
    </row>
    <row r="4833" spans="1:12" x14ac:dyDescent="0.3">
      <c r="A4833" s="29" t="str">
        <f>Detalle_OC[[#This Row],[Centro]]&amp;Detalle_OC[[#This Row],[Nom Almacen]]&amp;Detalle_OC[[#This Row],[Material]]&amp;Detalle_OC[[#This Row],[Pedido]]&amp;Detalle_OC[[#This Row],[Posicion]]</f>
        <v>Agricola del Chira PlantaMontelima8445185500019188270</v>
      </c>
      <c r="B4833" t="s">
        <v>28</v>
      </c>
      <c r="C4833" t="s">
        <v>82</v>
      </c>
      <c r="D4833" s="11">
        <v>43391</v>
      </c>
      <c r="E4833" t="s">
        <v>16</v>
      </c>
      <c r="F4833" t="s">
        <v>12</v>
      </c>
      <c r="G4833">
        <v>844518</v>
      </c>
      <c r="H4833">
        <v>5500019188</v>
      </c>
      <c r="I4833">
        <v>270</v>
      </c>
      <c r="J4833" s="29">
        <v>1</v>
      </c>
      <c r="K4833" s="29" t="s">
        <v>763</v>
      </c>
      <c r="L4833" t="str">
        <f>IFERROR(VLOOKUP(Detalle_OC[[#This Row],[Centro]]&amp;Detalle_OC[[#This Row],[Nro Almacen]],Almacen!A:D,4,FALSE),"")</f>
        <v>Montelima</v>
      </c>
    </row>
    <row r="4834" spans="1:12" x14ac:dyDescent="0.3">
      <c r="A4834" s="29" t="str">
        <f>Detalle_OC[[#This Row],[Centro]]&amp;Detalle_OC[[#This Row],[Nom Almacen]]&amp;Detalle_OC[[#This Row],[Material]]&amp;Detalle_OC[[#This Row],[Pedido]]&amp;Detalle_OC[[#This Row],[Posicion]]</f>
        <v>Agricola del Chira PlantaMontelima8444995500019188740</v>
      </c>
      <c r="B4834" t="s">
        <v>28</v>
      </c>
      <c r="C4834" t="s">
        <v>82</v>
      </c>
      <c r="D4834" s="11">
        <v>43423</v>
      </c>
      <c r="E4834" t="s">
        <v>16</v>
      </c>
      <c r="F4834" t="s">
        <v>12</v>
      </c>
      <c r="G4834">
        <v>844499</v>
      </c>
      <c r="H4834">
        <v>5500019188</v>
      </c>
      <c r="I4834">
        <v>740</v>
      </c>
      <c r="J4834" s="29">
        <v>1</v>
      </c>
      <c r="K4834" s="29" t="s">
        <v>763</v>
      </c>
      <c r="L4834" t="str">
        <f>IFERROR(VLOOKUP(Detalle_OC[[#This Row],[Centro]]&amp;Detalle_OC[[#This Row],[Nro Almacen]],Almacen!A:D,4,FALSE),"")</f>
        <v>Montelima</v>
      </c>
    </row>
    <row r="4835" spans="1:12" x14ac:dyDescent="0.3">
      <c r="A4835" s="29" t="str">
        <f>Detalle_OC[[#This Row],[Centro]]&amp;Detalle_OC[[#This Row],[Nom Almacen]]&amp;Detalle_OC[[#This Row],[Material]]&amp;Detalle_OC[[#This Row],[Pedido]]&amp;Detalle_OC[[#This Row],[Posicion]]</f>
        <v>Agricola del Chira PlantaMontelima7003087855000191881730</v>
      </c>
      <c r="B4835" t="s">
        <v>28</v>
      </c>
      <c r="C4835" t="s">
        <v>82</v>
      </c>
      <c r="D4835" s="11">
        <v>43391</v>
      </c>
      <c r="E4835" t="s">
        <v>16</v>
      </c>
      <c r="F4835" t="s">
        <v>12</v>
      </c>
      <c r="G4835">
        <v>70030878</v>
      </c>
      <c r="H4835">
        <v>5500019188</v>
      </c>
      <c r="I4835">
        <v>1730</v>
      </c>
      <c r="J4835" s="29">
        <v>1</v>
      </c>
      <c r="K4835" s="29" t="s">
        <v>763</v>
      </c>
      <c r="L4835" t="str">
        <f>IFERROR(VLOOKUP(Detalle_OC[[#This Row],[Centro]]&amp;Detalle_OC[[#This Row],[Nro Almacen]],Almacen!A:D,4,FALSE),"")</f>
        <v>Montelima</v>
      </c>
    </row>
    <row r="4836" spans="1:12" x14ac:dyDescent="0.3">
      <c r="A4836" s="29" t="str">
        <f>Detalle_OC[[#This Row],[Centro]]&amp;Detalle_OC[[#This Row],[Nom Almacen]]&amp;Detalle_OC[[#This Row],[Material]]&amp;Detalle_OC[[#This Row],[Pedido]]&amp;Detalle_OC[[#This Row],[Posicion]]</f>
        <v>Agricola del Chira PlantaMontelima8445185500019188270</v>
      </c>
      <c r="B4836" t="s">
        <v>28</v>
      </c>
      <c r="C4836" t="s">
        <v>82</v>
      </c>
      <c r="D4836" s="11">
        <v>43378</v>
      </c>
      <c r="E4836" t="s">
        <v>16</v>
      </c>
      <c r="F4836" t="s">
        <v>12</v>
      </c>
      <c r="G4836">
        <v>844518</v>
      </c>
      <c r="H4836">
        <v>5500019188</v>
      </c>
      <c r="I4836">
        <v>270</v>
      </c>
      <c r="J4836" s="29">
        <v>1</v>
      </c>
      <c r="K4836" s="29" t="s">
        <v>764</v>
      </c>
      <c r="L4836" t="str">
        <f>IFERROR(VLOOKUP(Detalle_OC[[#This Row],[Centro]]&amp;Detalle_OC[[#This Row],[Nro Almacen]],Almacen!A:D,4,FALSE),"")</f>
        <v>Montelima</v>
      </c>
    </row>
    <row r="4837" spans="1:12" x14ac:dyDescent="0.3">
      <c r="A4837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4837" t="s">
        <v>28</v>
      </c>
      <c r="C4837" t="s">
        <v>82</v>
      </c>
      <c r="D4837" s="11">
        <v>43374</v>
      </c>
      <c r="E4837" t="s">
        <v>16</v>
      </c>
      <c r="F4837" t="s">
        <v>12</v>
      </c>
      <c r="G4837">
        <v>844508</v>
      </c>
      <c r="H4837">
        <v>5500019188</v>
      </c>
      <c r="I4837">
        <v>220</v>
      </c>
      <c r="J4837" s="29">
        <v>1</v>
      </c>
      <c r="K4837" s="29" t="s">
        <v>765</v>
      </c>
      <c r="L4837" t="str">
        <f>IFERROR(VLOOKUP(Detalle_OC[[#This Row],[Centro]]&amp;Detalle_OC[[#This Row],[Nro Almacen]],Almacen!A:D,4,FALSE),"")</f>
        <v>Montelima</v>
      </c>
    </row>
    <row r="4838" spans="1:12" x14ac:dyDescent="0.3">
      <c r="A4838" s="29" t="str">
        <f>Detalle_OC[[#This Row],[Centro]]&amp;Detalle_OC[[#This Row],[Nom Almacen]]&amp;Detalle_OC[[#This Row],[Material]]&amp;Detalle_OC[[#This Row],[Pedido]]&amp;Detalle_OC[[#This Row],[Posicion]]</f>
        <v>Agricola del Chira PlantaMontelima8445095500019188260</v>
      </c>
      <c r="B4838" t="s">
        <v>28</v>
      </c>
      <c r="C4838" t="s">
        <v>82</v>
      </c>
      <c r="D4838" s="11">
        <v>43374</v>
      </c>
      <c r="E4838" t="s">
        <v>16</v>
      </c>
      <c r="F4838" t="s">
        <v>12</v>
      </c>
      <c r="G4838">
        <v>844509</v>
      </c>
      <c r="H4838">
        <v>5500019188</v>
      </c>
      <c r="I4838">
        <v>260</v>
      </c>
      <c r="J4838" s="29">
        <v>1</v>
      </c>
      <c r="K4838" s="29" t="s">
        <v>765</v>
      </c>
      <c r="L4838" t="str">
        <f>IFERROR(VLOOKUP(Detalle_OC[[#This Row],[Centro]]&amp;Detalle_OC[[#This Row],[Nro Almacen]],Almacen!A:D,4,FALSE),"")</f>
        <v>Montelima</v>
      </c>
    </row>
    <row r="4839" spans="1:12" x14ac:dyDescent="0.3">
      <c r="A4839" s="29" t="str">
        <f>Detalle_OC[[#This Row],[Centro]]&amp;Detalle_OC[[#This Row],[Nom Almacen]]&amp;Detalle_OC[[#This Row],[Material]]&amp;Detalle_OC[[#This Row],[Pedido]]&amp;Detalle_OC[[#This Row],[Posicion]]</f>
        <v>Agricola del Chira PlantaMontelima8443975500019188280</v>
      </c>
      <c r="B4839" t="s">
        <v>28</v>
      </c>
      <c r="C4839" t="s">
        <v>82</v>
      </c>
      <c r="D4839" s="11">
        <v>43361</v>
      </c>
      <c r="E4839" t="s">
        <v>16</v>
      </c>
      <c r="F4839" t="s">
        <v>12</v>
      </c>
      <c r="G4839">
        <v>844397</v>
      </c>
      <c r="H4839">
        <v>5500019188</v>
      </c>
      <c r="I4839">
        <v>280</v>
      </c>
      <c r="J4839" s="29">
        <v>1</v>
      </c>
      <c r="K4839" s="29" t="s">
        <v>766</v>
      </c>
      <c r="L4839" t="str">
        <f>IFERROR(VLOOKUP(Detalle_OC[[#This Row],[Centro]]&amp;Detalle_OC[[#This Row],[Nro Almacen]],Almacen!A:D,4,FALSE),"")</f>
        <v>Montelima</v>
      </c>
    </row>
    <row r="4840" spans="1:12" x14ac:dyDescent="0.3">
      <c r="A4840" s="29" t="str">
        <f>Detalle_OC[[#This Row],[Centro]]&amp;Detalle_OC[[#This Row],[Nom Almacen]]&amp;Detalle_OC[[#This Row],[Material]]&amp;Detalle_OC[[#This Row],[Pedido]]&amp;Detalle_OC[[#This Row],[Posicion]]</f>
        <v>Agricola del Chira PlantaMontelima761905550001918810</v>
      </c>
      <c r="B4840" t="s">
        <v>28</v>
      </c>
      <c r="C4840" t="s">
        <v>82</v>
      </c>
      <c r="D4840" s="11">
        <v>43361</v>
      </c>
      <c r="E4840" t="s">
        <v>16</v>
      </c>
      <c r="F4840" t="s">
        <v>12</v>
      </c>
      <c r="G4840">
        <v>761905</v>
      </c>
      <c r="H4840">
        <v>5500019188</v>
      </c>
      <c r="I4840">
        <v>10</v>
      </c>
      <c r="J4840" s="29">
        <v>1</v>
      </c>
      <c r="K4840" s="29" t="s">
        <v>767</v>
      </c>
      <c r="L4840" t="str">
        <f>IFERROR(VLOOKUP(Detalle_OC[[#This Row],[Centro]]&amp;Detalle_OC[[#This Row],[Nro Almacen]],Almacen!A:D,4,FALSE),"")</f>
        <v>Montelima</v>
      </c>
    </row>
    <row r="4841" spans="1:12" x14ac:dyDescent="0.3">
      <c r="A4841" s="29" t="str">
        <f>Detalle_OC[[#This Row],[Centro]]&amp;Detalle_OC[[#This Row],[Nom Almacen]]&amp;Detalle_OC[[#This Row],[Material]]&amp;Detalle_OC[[#This Row],[Pedido]]&amp;Detalle_OC[[#This Row],[Posicion]]</f>
        <v>Agricola del Chira PlantaMontelima738330550001918820</v>
      </c>
      <c r="B4841" t="s">
        <v>28</v>
      </c>
      <c r="C4841" t="s">
        <v>82</v>
      </c>
      <c r="D4841" s="11">
        <v>43361</v>
      </c>
      <c r="E4841" t="s">
        <v>16</v>
      </c>
      <c r="F4841" t="s">
        <v>12</v>
      </c>
      <c r="G4841">
        <v>738330</v>
      </c>
      <c r="H4841">
        <v>5500019188</v>
      </c>
      <c r="I4841">
        <v>20</v>
      </c>
      <c r="J4841" s="29">
        <v>1</v>
      </c>
      <c r="K4841" s="29" t="s">
        <v>767</v>
      </c>
      <c r="L4841" t="str">
        <f>IFERROR(VLOOKUP(Detalle_OC[[#This Row],[Centro]]&amp;Detalle_OC[[#This Row],[Nro Almacen]],Almacen!A:D,4,FALSE),"")</f>
        <v>Montelima</v>
      </c>
    </row>
    <row r="4842" spans="1:12" x14ac:dyDescent="0.3">
      <c r="A4842" s="29" t="str">
        <f>Detalle_OC[[#This Row],[Centro]]&amp;Detalle_OC[[#This Row],[Nom Almacen]]&amp;Detalle_OC[[#This Row],[Material]]&amp;Detalle_OC[[#This Row],[Pedido]]&amp;Detalle_OC[[#This Row],[Posicion]]</f>
        <v>Agricola del Chira PlantaMontelima738330550001918820</v>
      </c>
      <c r="B4842" t="s">
        <v>28</v>
      </c>
      <c r="C4842" t="s">
        <v>82</v>
      </c>
      <c r="D4842" s="11">
        <v>43361</v>
      </c>
      <c r="E4842" t="s">
        <v>16</v>
      </c>
      <c r="F4842" t="s">
        <v>12</v>
      </c>
      <c r="G4842">
        <v>738330</v>
      </c>
      <c r="H4842">
        <v>5500019188</v>
      </c>
      <c r="I4842">
        <v>20</v>
      </c>
      <c r="J4842" s="29">
        <v>1</v>
      </c>
      <c r="K4842" s="29" t="s">
        <v>767</v>
      </c>
      <c r="L4842" t="str">
        <f>IFERROR(VLOOKUP(Detalle_OC[[#This Row],[Centro]]&amp;Detalle_OC[[#This Row],[Nro Almacen]],Almacen!A:D,4,FALSE),"")</f>
        <v>Montelima</v>
      </c>
    </row>
    <row r="4843" spans="1:12" x14ac:dyDescent="0.3">
      <c r="A4843" s="29" t="str">
        <f>Detalle_OC[[#This Row],[Centro]]&amp;Detalle_OC[[#This Row],[Nom Almacen]]&amp;Detalle_OC[[#This Row],[Material]]&amp;Detalle_OC[[#This Row],[Pedido]]&amp;Detalle_OC[[#This Row],[Posicion]]</f>
        <v>Agricola del Chira PlantaMontelima762202550001918850</v>
      </c>
      <c r="B4843" t="s">
        <v>28</v>
      </c>
      <c r="C4843" t="s">
        <v>82</v>
      </c>
      <c r="D4843" s="11">
        <v>43361</v>
      </c>
      <c r="E4843" t="s">
        <v>16</v>
      </c>
      <c r="F4843" t="s">
        <v>12</v>
      </c>
      <c r="G4843">
        <v>762202</v>
      </c>
      <c r="H4843">
        <v>5500019188</v>
      </c>
      <c r="I4843">
        <v>50</v>
      </c>
      <c r="J4843" s="29">
        <v>1</v>
      </c>
      <c r="K4843" s="29" t="s">
        <v>767</v>
      </c>
      <c r="L4843" t="str">
        <f>IFERROR(VLOOKUP(Detalle_OC[[#This Row],[Centro]]&amp;Detalle_OC[[#This Row],[Nro Almacen]],Almacen!A:D,4,FALSE),"")</f>
        <v>Montelima</v>
      </c>
    </row>
    <row r="4844" spans="1:12" x14ac:dyDescent="0.3">
      <c r="A4844" s="29" t="str">
        <f>Detalle_OC[[#This Row],[Centro]]&amp;Detalle_OC[[#This Row],[Nom Almacen]]&amp;Detalle_OC[[#This Row],[Material]]&amp;Detalle_OC[[#This Row],[Pedido]]&amp;Detalle_OC[[#This Row],[Posicion]]</f>
        <v>Agricola del Chira PlantaMontelima8445335500019188170</v>
      </c>
      <c r="B4844" t="s">
        <v>28</v>
      </c>
      <c r="C4844" t="s">
        <v>82</v>
      </c>
      <c r="D4844" s="11">
        <v>43361</v>
      </c>
      <c r="E4844" t="s">
        <v>16</v>
      </c>
      <c r="F4844" t="s">
        <v>12</v>
      </c>
      <c r="G4844">
        <v>844533</v>
      </c>
      <c r="H4844">
        <v>5500019188</v>
      </c>
      <c r="I4844">
        <v>170</v>
      </c>
      <c r="J4844" s="29">
        <v>1</v>
      </c>
      <c r="K4844" s="29" t="s">
        <v>767</v>
      </c>
      <c r="L4844" t="str">
        <f>IFERROR(VLOOKUP(Detalle_OC[[#This Row],[Centro]]&amp;Detalle_OC[[#This Row],[Nro Almacen]],Almacen!A:D,4,FALSE),"")</f>
        <v>Montelima</v>
      </c>
    </row>
    <row r="4845" spans="1:12" x14ac:dyDescent="0.3">
      <c r="A4845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4845" t="s">
        <v>28</v>
      </c>
      <c r="C4845" t="s">
        <v>82</v>
      </c>
      <c r="D4845" s="11">
        <v>43361</v>
      </c>
      <c r="E4845" t="s">
        <v>16</v>
      </c>
      <c r="F4845" t="s">
        <v>12</v>
      </c>
      <c r="G4845">
        <v>844515</v>
      </c>
      <c r="H4845">
        <v>5500019188</v>
      </c>
      <c r="I4845">
        <v>200</v>
      </c>
      <c r="J4845" s="29">
        <v>1</v>
      </c>
      <c r="K4845" s="29" t="s">
        <v>767</v>
      </c>
      <c r="L4845" t="str">
        <f>IFERROR(VLOOKUP(Detalle_OC[[#This Row],[Centro]]&amp;Detalle_OC[[#This Row],[Nro Almacen]],Almacen!A:D,4,FALSE),"")</f>
        <v>Montelima</v>
      </c>
    </row>
    <row r="4846" spans="1:12" x14ac:dyDescent="0.3">
      <c r="A4846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4846" t="s">
        <v>28</v>
      </c>
      <c r="C4846" t="s">
        <v>82</v>
      </c>
      <c r="D4846" s="11">
        <v>43361</v>
      </c>
      <c r="E4846" t="s">
        <v>16</v>
      </c>
      <c r="F4846" t="s">
        <v>12</v>
      </c>
      <c r="G4846">
        <v>844508</v>
      </c>
      <c r="H4846">
        <v>5500019188</v>
      </c>
      <c r="I4846">
        <v>220</v>
      </c>
      <c r="J4846" s="29">
        <v>1</v>
      </c>
      <c r="K4846" s="29" t="s">
        <v>767</v>
      </c>
      <c r="L4846" t="str">
        <f>IFERROR(VLOOKUP(Detalle_OC[[#This Row],[Centro]]&amp;Detalle_OC[[#This Row],[Nro Almacen]],Almacen!A:D,4,FALSE),"")</f>
        <v>Montelima</v>
      </c>
    </row>
    <row r="4847" spans="1:12" x14ac:dyDescent="0.3">
      <c r="A4847" s="29" t="str">
        <f>Detalle_OC[[#This Row],[Centro]]&amp;Detalle_OC[[#This Row],[Nom Almacen]]&amp;Detalle_OC[[#This Row],[Material]]&amp;Detalle_OC[[#This Row],[Pedido]]&amp;Detalle_OC[[#This Row],[Posicion]]</f>
        <v>Agricola del Chira PlantaMontelima8445095500019188260</v>
      </c>
      <c r="B4847" t="s">
        <v>28</v>
      </c>
      <c r="C4847" t="s">
        <v>82</v>
      </c>
      <c r="D4847" s="11">
        <v>43361</v>
      </c>
      <c r="E4847" t="s">
        <v>16</v>
      </c>
      <c r="F4847" t="s">
        <v>12</v>
      </c>
      <c r="G4847">
        <v>844509</v>
      </c>
      <c r="H4847">
        <v>5500019188</v>
      </c>
      <c r="I4847">
        <v>260</v>
      </c>
      <c r="J4847" s="29">
        <v>1</v>
      </c>
      <c r="K4847" s="29" t="s">
        <v>767</v>
      </c>
      <c r="L4847" t="str">
        <f>IFERROR(VLOOKUP(Detalle_OC[[#This Row],[Centro]]&amp;Detalle_OC[[#This Row],[Nro Almacen]],Almacen!A:D,4,FALSE),"")</f>
        <v>Montelima</v>
      </c>
    </row>
    <row r="4848" spans="1:12" x14ac:dyDescent="0.3">
      <c r="A4848" s="29" t="str">
        <f>Detalle_OC[[#This Row],[Centro]]&amp;Detalle_OC[[#This Row],[Nom Almacen]]&amp;Detalle_OC[[#This Row],[Material]]&amp;Detalle_OC[[#This Row],[Pedido]]&amp;Detalle_OC[[#This Row],[Posicion]]</f>
        <v>Agricola del Chira PlantaMontelima8445175500019188340</v>
      </c>
      <c r="B4848" t="s">
        <v>28</v>
      </c>
      <c r="C4848" t="s">
        <v>82</v>
      </c>
      <c r="D4848" s="11">
        <v>43361</v>
      </c>
      <c r="E4848" t="s">
        <v>16</v>
      </c>
      <c r="F4848" t="s">
        <v>12</v>
      </c>
      <c r="G4848">
        <v>844517</v>
      </c>
      <c r="H4848">
        <v>5500019188</v>
      </c>
      <c r="I4848">
        <v>340</v>
      </c>
      <c r="J4848" s="29">
        <v>1</v>
      </c>
      <c r="K4848" s="29" t="s">
        <v>767</v>
      </c>
      <c r="L4848" t="str">
        <f>IFERROR(VLOOKUP(Detalle_OC[[#This Row],[Centro]]&amp;Detalle_OC[[#This Row],[Nro Almacen]],Almacen!A:D,4,FALSE),"")</f>
        <v>Montelima</v>
      </c>
    </row>
    <row r="4849" spans="1:12" x14ac:dyDescent="0.3">
      <c r="A4849" s="29" t="str">
        <f>Detalle_OC[[#This Row],[Centro]]&amp;Detalle_OC[[#This Row],[Nom Almacen]]&amp;Detalle_OC[[#This Row],[Material]]&amp;Detalle_OC[[#This Row],[Pedido]]&amp;Detalle_OC[[#This Row],[Posicion]]</f>
        <v>Agricola del Chira PlantaMontelima8445375500019188420</v>
      </c>
      <c r="B4849" t="s">
        <v>28</v>
      </c>
      <c r="C4849" t="s">
        <v>82</v>
      </c>
      <c r="D4849" s="11">
        <v>43361</v>
      </c>
      <c r="E4849" t="s">
        <v>16</v>
      </c>
      <c r="F4849" t="s">
        <v>12</v>
      </c>
      <c r="G4849">
        <v>844537</v>
      </c>
      <c r="H4849">
        <v>5500019188</v>
      </c>
      <c r="I4849">
        <v>420</v>
      </c>
      <c r="J4849" s="29">
        <v>1</v>
      </c>
      <c r="K4849" s="29" t="s">
        <v>767</v>
      </c>
      <c r="L4849" t="str">
        <f>IFERROR(VLOOKUP(Detalle_OC[[#This Row],[Centro]]&amp;Detalle_OC[[#This Row],[Nro Almacen]],Almacen!A:D,4,FALSE),"")</f>
        <v>Montelima</v>
      </c>
    </row>
    <row r="4850" spans="1:12" x14ac:dyDescent="0.3">
      <c r="A4850" s="29" t="str">
        <f>Detalle_OC[[#This Row],[Centro]]&amp;Detalle_OC[[#This Row],[Nom Almacen]]&amp;Detalle_OC[[#This Row],[Material]]&amp;Detalle_OC[[#This Row],[Pedido]]&amp;Detalle_OC[[#This Row],[Posicion]]</f>
        <v>Agricola del Chira PlantaMontelima8444995500019188740</v>
      </c>
      <c r="B4850" t="s">
        <v>28</v>
      </c>
      <c r="C4850" t="s">
        <v>82</v>
      </c>
      <c r="D4850" s="11">
        <v>43391</v>
      </c>
      <c r="E4850" t="s">
        <v>16</v>
      </c>
      <c r="F4850" t="s">
        <v>12</v>
      </c>
      <c r="G4850">
        <v>844499</v>
      </c>
      <c r="H4850">
        <v>5500019188</v>
      </c>
      <c r="I4850">
        <v>740</v>
      </c>
      <c r="J4850" s="29">
        <v>1</v>
      </c>
      <c r="K4850" s="29" t="s">
        <v>767</v>
      </c>
      <c r="L4850" t="str">
        <f>IFERROR(VLOOKUP(Detalle_OC[[#This Row],[Centro]]&amp;Detalle_OC[[#This Row],[Nro Almacen]],Almacen!A:D,4,FALSE),"")</f>
        <v>Montelima</v>
      </c>
    </row>
    <row r="4851" spans="1:12" x14ac:dyDescent="0.3">
      <c r="A4851" s="29" t="str">
        <f>Detalle_OC[[#This Row],[Centro]]&amp;Detalle_OC[[#This Row],[Nom Almacen]]&amp;Detalle_OC[[#This Row],[Material]]&amp;Detalle_OC[[#This Row],[Pedido]]&amp;Detalle_OC[[#This Row],[Posicion]]</f>
        <v>Agricola del Chira PlantaMontelima8445485500019188900</v>
      </c>
      <c r="B4851" t="s">
        <v>28</v>
      </c>
      <c r="C4851" t="s">
        <v>82</v>
      </c>
      <c r="D4851" s="11">
        <v>43361</v>
      </c>
      <c r="E4851" t="s">
        <v>16</v>
      </c>
      <c r="F4851" t="s">
        <v>12</v>
      </c>
      <c r="G4851">
        <v>844548</v>
      </c>
      <c r="H4851">
        <v>5500019188</v>
      </c>
      <c r="I4851">
        <v>900</v>
      </c>
      <c r="J4851" s="29">
        <v>1</v>
      </c>
      <c r="K4851" s="29" t="s">
        <v>767</v>
      </c>
      <c r="L4851" t="str">
        <f>IFERROR(VLOOKUP(Detalle_OC[[#This Row],[Centro]]&amp;Detalle_OC[[#This Row],[Nro Almacen]],Almacen!A:D,4,FALSE),"")</f>
        <v>Montelima</v>
      </c>
    </row>
    <row r="4852" spans="1:12" x14ac:dyDescent="0.3">
      <c r="A4852" s="29" t="str">
        <f>Detalle_OC[[#This Row],[Centro]]&amp;Detalle_OC[[#This Row],[Nom Almacen]]&amp;Detalle_OC[[#This Row],[Material]]&amp;Detalle_OC[[#This Row],[Pedido]]&amp;Detalle_OC[[#This Row],[Posicion]]</f>
        <v>Agricola del Chira PlantaMontelima82639655000191881050</v>
      </c>
      <c r="B4852" t="s">
        <v>28</v>
      </c>
      <c r="C4852" t="s">
        <v>82</v>
      </c>
      <c r="D4852" s="11">
        <v>43361</v>
      </c>
      <c r="E4852" t="s">
        <v>16</v>
      </c>
      <c r="F4852" t="s">
        <v>12</v>
      </c>
      <c r="G4852">
        <v>826396</v>
      </c>
      <c r="H4852">
        <v>5500019188</v>
      </c>
      <c r="I4852">
        <v>1050</v>
      </c>
      <c r="J4852" s="29">
        <v>1</v>
      </c>
      <c r="K4852" s="29" t="s">
        <v>767</v>
      </c>
      <c r="L4852" t="str">
        <f>IFERROR(VLOOKUP(Detalle_OC[[#This Row],[Centro]]&amp;Detalle_OC[[#This Row],[Nro Almacen]],Almacen!A:D,4,FALSE),"")</f>
        <v>Montelima</v>
      </c>
    </row>
    <row r="4853" spans="1:12" x14ac:dyDescent="0.3">
      <c r="A4853" s="29" t="str">
        <f>Detalle_OC[[#This Row],[Centro]]&amp;Detalle_OC[[#This Row],[Nom Almacen]]&amp;Detalle_OC[[#This Row],[Material]]&amp;Detalle_OC[[#This Row],[Pedido]]&amp;Detalle_OC[[#This Row],[Posicion]]</f>
        <v>Agricola del Chira PlantaMontelima83507555000191881310</v>
      </c>
      <c r="B4853" t="s">
        <v>28</v>
      </c>
      <c r="C4853" t="s">
        <v>82</v>
      </c>
      <c r="D4853" s="11">
        <v>43361</v>
      </c>
      <c r="E4853" t="s">
        <v>16</v>
      </c>
      <c r="F4853" t="s">
        <v>12</v>
      </c>
      <c r="G4853">
        <v>835075</v>
      </c>
      <c r="H4853">
        <v>5500019188</v>
      </c>
      <c r="I4853">
        <v>1310</v>
      </c>
      <c r="J4853" s="29">
        <v>1</v>
      </c>
      <c r="K4853" s="29" t="s">
        <v>767</v>
      </c>
      <c r="L4853" t="str">
        <f>IFERROR(VLOOKUP(Detalle_OC[[#This Row],[Centro]]&amp;Detalle_OC[[#This Row],[Nro Almacen]],Almacen!A:D,4,FALSE),"")</f>
        <v>Montelima</v>
      </c>
    </row>
    <row r="4854" spans="1:12" x14ac:dyDescent="0.3">
      <c r="A4854" s="29" t="str">
        <f>Detalle_OC[[#This Row],[Centro]]&amp;Detalle_OC[[#This Row],[Nom Almacen]]&amp;Detalle_OC[[#This Row],[Material]]&amp;Detalle_OC[[#This Row],[Pedido]]&amp;Detalle_OC[[#This Row],[Posicion]]</f>
        <v>Agricola del Chira PlantaMontelima83507655000191881340</v>
      </c>
      <c r="B4854" t="s">
        <v>28</v>
      </c>
      <c r="C4854" t="s">
        <v>82</v>
      </c>
      <c r="D4854" s="11">
        <v>43362</v>
      </c>
      <c r="E4854" t="s">
        <v>16</v>
      </c>
      <c r="F4854" t="s">
        <v>12</v>
      </c>
      <c r="G4854">
        <v>835076</v>
      </c>
      <c r="H4854">
        <v>5500019188</v>
      </c>
      <c r="I4854">
        <v>1340</v>
      </c>
      <c r="J4854" s="29">
        <v>1</v>
      </c>
      <c r="K4854" s="29" t="s">
        <v>767</v>
      </c>
      <c r="L4854" t="str">
        <f>IFERROR(VLOOKUP(Detalle_OC[[#This Row],[Centro]]&amp;Detalle_OC[[#This Row],[Nro Almacen]],Almacen!A:D,4,FALSE),"")</f>
        <v>Montelima</v>
      </c>
    </row>
    <row r="4855" spans="1:12" x14ac:dyDescent="0.3">
      <c r="A4855" s="29" t="str">
        <f>Detalle_OC[[#This Row],[Centro]]&amp;Detalle_OC[[#This Row],[Nom Almacen]]&amp;Detalle_OC[[#This Row],[Material]]&amp;Detalle_OC[[#This Row],[Pedido]]&amp;Detalle_OC[[#This Row],[Posicion]]</f>
        <v>Agricola del Chira PlantaMontelima83507655000191881340</v>
      </c>
      <c r="B4855" t="s">
        <v>28</v>
      </c>
      <c r="C4855" t="s">
        <v>82</v>
      </c>
      <c r="D4855" s="11">
        <v>43353</v>
      </c>
      <c r="E4855" t="s">
        <v>16</v>
      </c>
      <c r="F4855" t="s">
        <v>12</v>
      </c>
      <c r="G4855">
        <v>835076</v>
      </c>
      <c r="H4855">
        <v>5500019188</v>
      </c>
      <c r="I4855">
        <v>1340</v>
      </c>
      <c r="J4855" s="29">
        <v>1</v>
      </c>
      <c r="K4855" s="29" t="s">
        <v>768</v>
      </c>
      <c r="L4855" t="str">
        <f>IFERROR(VLOOKUP(Detalle_OC[[#This Row],[Centro]]&amp;Detalle_OC[[#This Row],[Nro Almacen]],Almacen!A:D,4,FALSE),"")</f>
        <v>Montelima</v>
      </c>
    </row>
    <row r="4856" spans="1:12" x14ac:dyDescent="0.3">
      <c r="A4856" s="29" t="str">
        <f>Detalle_OC[[#This Row],[Centro]]&amp;Detalle_OC[[#This Row],[Nom Almacen]]&amp;Detalle_OC[[#This Row],[Material]]&amp;Detalle_OC[[#This Row],[Pedido]]&amp;Detalle_OC[[#This Row],[Posicion]]</f>
        <v>Agricola del Chira PlantaMontelima83507555000191881310</v>
      </c>
      <c r="B4856" t="s">
        <v>28</v>
      </c>
      <c r="C4856" t="s">
        <v>82</v>
      </c>
      <c r="D4856" s="11">
        <v>43353</v>
      </c>
      <c r="E4856" t="s">
        <v>16</v>
      </c>
      <c r="F4856" t="s">
        <v>12</v>
      </c>
      <c r="G4856">
        <v>835075</v>
      </c>
      <c r="H4856">
        <v>5500019188</v>
      </c>
      <c r="I4856">
        <v>1310</v>
      </c>
      <c r="J4856" s="29">
        <v>1</v>
      </c>
      <c r="K4856" s="29" t="s">
        <v>769</v>
      </c>
      <c r="L4856" t="str">
        <f>IFERROR(VLOOKUP(Detalle_OC[[#This Row],[Centro]]&amp;Detalle_OC[[#This Row],[Nro Almacen]],Almacen!A:D,4,FALSE),"")</f>
        <v>Montelima</v>
      </c>
    </row>
    <row r="4857" spans="1:12" x14ac:dyDescent="0.3">
      <c r="A4857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4857" t="s">
        <v>28</v>
      </c>
      <c r="C4857" t="s">
        <v>82</v>
      </c>
      <c r="D4857" s="11">
        <v>43339</v>
      </c>
      <c r="E4857" t="s">
        <v>16</v>
      </c>
      <c r="F4857" t="s">
        <v>12</v>
      </c>
      <c r="G4857">
        <v>844508</v>
      </c>
      <c r="H4857">
        <v>5500019188</v>
      </c>
      <c r="I4857">
        <v>220</v>
      </c>
      <c r="J4857" s="29">
        <v>1</v>
      </c>
      <c r="K4857" s="29" t="s">
        <v>770</v>
      </c>
      <c r="L4857" t="str">
        <f>IFERROR(VLOOKUP(Detalle_OC[[#This Row],[Centro]]&amp;Detalle_OC[[#This Row],[Nro Almacen]],Almacen!A:D,4,FALSE),"")</f>
        <v>Montelima</v>
      </c>
    </row>
    <row r="4858" spans="1:12" x14ac:dyDescent="0.3">
      <c r="A4858" s="29" t="str">
        <f>Detalle_OC[[#This Row],[Centro]]&amp;Detalle_OC[[#This Row],[Nom Almacen]]&amp;Detalle_OC[[#This Row],[Material]]&amp;Detalle_OC[[#This Row],[Pedido]]&amp;Detalle_OC[[#This Row],[Posicion]]</f>
        <v>Agricola del Chira PlantaMontelima8445025500019188250</v>
      </c>
      <c r="B4858" t="s">
        <v>28</v>
      </c>
      <c r="C4858" t="s">
        <v>82</v>
      </c>
      <c r="D4858" s="11">
        <v>43339</v>
      </c>
      <c r="E4858" t="s">
        <v>16</v>
      </c>
      <c r="F4858" t="s">
        <v>12</v>
      </c>
      <c r="G4858">
        <v>844502</v>
      </c>
      <c r="H4858">
        <v>5500019188</v>
      </c>
      <c r="I4858">
        <v>250</v>
      </c>
      <c r="J4858" s="29">
        <v>1</v>
      </c>
      <c r="K4858" s="29" t="s">
        <v>770</v>
      </c>
      <c r="L4858" t="str">
        <f>IFERROR(VLOOKUP(Detalle_OC[[#This Row],[Centro]]&amp;Detalle_OC[[#This Row],[Nro Almacen]],Almacen!A:D,4,FALSE),"")</f>
        <v>Montelima</v>
      </c>
    </row>
    <row r="4859" spans="1:12" x14ac:dyDescent="0.3">
      <c r="A4859" s="29" t="str">
        <f>Detalle_OC[[#This Row],[Centro]]&amp;Detalle_OC[[#This Row],[Nom Almacen]]&amp;Detalle_OC[[#This Row],[Material]]&amp;Detalle_OC[[#This Row],[Pedido]]&amp;Detalle_OC[[#This Row],[Posicion]]</f>
        <v>Agricola del Chira PlantaMontelima8445095500019188260</v>
      </c>
      <c r="B4859" t="s">
        <v>28</v>
      </c>
      <c r="C4859" t="s">
        <v>82</v>
      </c>
      <c r="D4859" s="11">
        <v>43339</v>
      </c>
      <c r="E4859" t="s">
        <v>16</v>
      </c>
      <c r="F4859" t="s">
        <v>12</v>
      </c>
      <c r="G4859">
        <v>844509</v>
      </c>
      <c r="H4859">
        <v>5500019188</v>
      </c>
      <c r="I4859">
        <v>260</v>
      </c>
      <c r="J4859" s="29">
        <v>1</v>
      </c>
      <c r="K4859" s="29" t="s">
        <v>770</v>
      </c>
      <c r="L4859" t="str">
        <f>IFERROR(VLOOKUP(Detalle_OC[[#This Row],[Centro]]&amp;Detalle_OC[[#This Row],[Nro Almacen]],Almacen!A:D,4,FALSE),"")</f>
        <v>Montelima</v>
      </c>
    </row>
    <row r="4860" spans="1:12" x14ac:dyDescent="0.3">
      <c r="A4860" s="29" t="str">
        <f>Detalle_OC[[#This Row],[Centro]]&amp;Detalle_OC[[#This Row],[Nom Almacen]]&amp;Detalle_OC[[#This Row],[Material]]&amp;Detalle_OC[[#This Row],[Pedido]]&amp;Detalle_OC[[#This Row],[Posicion]]</f>
        <v>Agricola del Chira PlantaMontelima8445365500019188330</v>
      </c>
      <c r="B4860" t="s">
        <v>28</v>
      </c>
      <c r="C4860" t="s">
        <v>82</v>
      </c>
      <c r="D4860" s="11">
        <v>43339</v>
      </c>
      <c r="E4860" t="s">
        <v>16</v>
      </c>
      <c r="F4860" t="s">
        <v>12</v>
      </c>
      <c r="G4860">
        <v>844536</v>
      </c>
      <c r="H4860">
        <v>5500019188</v>
      </c>
      <c r="I4860">
        <v>330</v>
      </c>
      <c r="J4860" s="29">
        <v>1</v>
      </c>
      <c r="K4860" s="29" t="s">
        <v>770</v>
      </c>
      <c r="L4860" t="str">
        <f>IFERROR(VLOOKUP(Detalle_OC[[#This Row],[Centro]]&amp;Detalle_OC[[#This Row],[Nro Almacen]],Almacen!A:D,4,FALSE),"")</f>
        <v>Montelima</v>
      </c>
    </row>
    <row r="4861" spans="1:12" x14ac:dyDescent="0.3">
      <c r="A4861" s="29" t="str">
        <f>Detalle_OC[[#This Row],[Centro]]&amp;Detalle_OC[[#This Row],[Nom Almacen]]&amp;Detalle_OC[[#This Row],[Material]]&amp;Detalle_OC[[#This Row],[Pedido]]&amp;Detalle_OC[[#This Row],[Posicion]]</f>
        <v>Agricola del Chira PlantaMontelima8459085500019188350</v>
      </c>
      <c r="B4861" t="s">
        <v>28</v>
      </c>
      <c r="C4861" t="s">
        <v>82</v>
      </c>
      <c r="D4861" s="11">
        <v>43339</v>
      </c>
      <c r="E4861" t="s">
        <v>16</v>
      </c>
      <c r="F4861" t="s">
        <v>12</v>
      </c>
      <c r="G4861">
        <v>845908</v>
      </c>
      <c r="H4861">
        <v>5500019188</v>
      </c>
      <c r="I4861">
        <v>350</v>
      </c>
      <c r="J4861" s="29">
        <v>1</v>
      </c>
      <c r="K4861" s="29" t="s">
        <v>770</v>
      </c>
      <c r="L4861" t="str">
        <f>IFERROR(VLOOKUP(Detalle_OC[[#This Row],[Centro]]&amp;Detalle_OC[[#This Row],[Nro Almacen]],Almacen!A:D,4,FALSE),"")</f>
        <v>Montelima</v>
      </c>
    </row>
    <row r="4862" spans="1:12" x14ac:dyDescent="0.3">
      <c r="A4862" s="29" t="str">
        <f>Detalle_OC[[#This Row],[Centro]]&amp;Detalle_OC[[#This Row],[Nom Almacen]]&amp;Detalle_OC[[#This Row],[Material]]&amp;Detalle_OC[[#This Row],[Pedido]]&amp;Detalle_OC[[#This Row],[Posicion]]</f>
        <v>Agricola del Chira PlantaMontelima8445035500019188370</v>
      </c>
      <c r="B4862" t="s">
        <v>28</v>
      </c>
      <c r="C4862" t="s">
        <v>82</v>
      </c>
      <c r="D4862" s="11">
        <v>43339</v>
      </c>
      <c r="E4862" t="s">
        <v>16</v>
      </c>
      <c r="F4862" t="s">
        <v>12</v>
      </c>
      <c r="G4862">
        <v>844503</v>
      </c>
      <c r="H4862">
        <v>5500019188</v>
      </c>
      <c r="I4862">
        <v>370</v>
      </c>
      <c r="J4862" s="29">
        <v>1</v>
      </c>
      <c r="K4862" s="29" t="s">
        <v>770</v>
      </c>
      <c r="L4862" t="str">
        <f>IFERROR(VLOOKUP(Detalle_OC[[#This Row],[Centro]]&amp;Detalle_OC[[#This Row],[Nro Almacen]],Almacen!A:D,4,FALSE),"")</f>
        <v>Montelima</v>
      </c>
    </row>
    <row r="4863" spans="1:12" x14ac:dyDescent="0.3">
      <c r="A4863" s="29" t="str">
        <f>Detalle_OC[[#This Row],[Centro]]&amp;Detalle_OC[[#This Row],[Nom Almacen]]&amp;Detalle_OC[[#This Row],[Material]]&amp;Detalle_OC[[#This Row],[Pedido]]&amp;Detalle_OC[[#This Row],[Posicion]]</f>
        <v>Agricola del Chira PlantaMontelima8445375500019188420</v>
      </c>
      <c r="B4863" t="s">
        <v>28</v>
      </c>
      <c r="C4863" t="s">
        <v>82</v>
      </c>
      <c r="D4863" s="11">
        <v>43339</v>
      </c>
      <c r="E4863" t="s">
        <v>16</v>
      </c>
      <c r="F4863" t="s">
        <v>12</v>
      </c>
      <c r="G4863">
        <v>844537</v>
      </c>
      <c r="H4863">
        <v>5500019188</v>
      </c>
      <c r="I4863">
        <v>420</v>
      </c>
      <c r="J4863" s="29">
        <v>1</v>
      </c>
      <c r="K4863" s="29" t="s">
        <v>770</v>
      </c>
      <c r="L4863" t="str">
        <f>IFERROR(VLOOKUP(Detalle_OC[[#This Row],[Centro]]&amp;Detalle_OC[[#This Row],[Nro Almacen]],Almacen!A:D,4,FALSE),"")</f>
        <v>Montelima</v>
      </c>
    </row>
    <row r="4864" spans="1:12" x14ac:dyDescent="0.3">
      <c r="A4864" s="29" t="str">
        <f>Detalle_OC[[#This Row],[Centro]]&amp;Detalle_OC[[#This Row],[Nom Almacen]]&amp;Detalle_OC[[#This Row],[Material]]&amp;Detalle_OC[[#This Row],[Pedido]]&amp;Detalle_OC[[#This Row],[Posicion]]</f>
        <v>Agricola del Chira PlantaMontelima8445185500019188270</v>
      </c>
      <c r="B4864" t="s">
        <v>28</v>
      </c>
      <c r="C4864" t="s">
        <v>82</v>
      </c>
      <c r="D4864" s="11">
        <v>43336</v>
      </c>
      <c r="E4864" t="s">
        <v>16</v>
      </c>
      <c r="F4864" t="s">
        <v>12</v>
      </c>
      <c r="G4864">
        <v>844518</v>
      </c>
      <c r="H4864">
        <v>5500019188</v>
      </c>
      <c r="I4864">
        <v>270</v>
      </c>
      <c r="J4864" s="29">
        <v>1</v>
      </c>
      <c r="K4864" s="29" t="s">
        <v>771</v>
      </c>
      <c r="L4864" t="str">
        <f>IFERROR(VLOOKUP(Detalle_OC[[#This Row],[Centro]]&amp;Detalle_OC[[#This Row],[Nro Almacen]],Almacen!A:D,4,FALSE),"")</f>
        <v>Montelima</v>
      </c>
    </row>
    <row r="4865" spans="1:12" x14ac:dyDescent="0.3">
      <c r="A4865" s="29" t="str">
        <f>Detalle_OC[[#This Row],[Centro]]&amp;Detalle_OC[[#This Row],[Nom Almacen]]&amp;Detalle_OC[[#This Row],[Material]]&amp;Detalle_OC[[#This Row],[Pedido]]&amp;Detalle_OC[[#This Row],[Posicion]]</f>
        <v>Agricola del Chira PlantaMontelima761905550001918810</v>
      </c>
      <c r="B4865" t="s">
        <v>28</v>
      </c>
      <c r="C4865" t="s">
        <v>82</v>
      </c>
      <c r="D4865" s="11">
        <v>43332</v>
      </c>
      <c r="E4865" t="s">
        <v>16</v>
      </c>
      <c r="F4865" t="s">
        <v>12</v>
      </c>
      <c r="G4865">
        <v>761905</v>
      </c>
      <c r="H4865">
        <v>5500019188</v>
      </c>
      <c r="I4865">
        <v>10</v>
      </c>
      <c r="J4865" s="29">
        <v>1</v>
      </c>
      <c r="K4865" s="29" t="s">
        <v>772</v>
      </c>
      <c r="L4865" t="str">
        <f>IFERROR(VLOOKUP(Detalle_OC[[#This Row],[Centro]]&amp;Detalle_OC[[#This Row],[Nro Almacen]],Almacen!A:D,4,FALSE),"")</f>
        <v>Montelima</v>
      </c>
    </row>
    <row r="4866" spans="1:12" x14ac:dyDescent="0.3">
      <c r="A4866" s="29" t="str">
        <f>Detalle_OC[[#This Row],[Centro]]&amp;Detalle_OC[[#This Row],[Nom Almacen]]&amp;Detalle_OC[[#This Row],[Material]]&amp;Detalle_OC[[#This Row],[Pedido]]&amp;Detalle_OC[[#This Row],[Posicion]]</f>
        <v>Agricola del Chira PlantaMontelima7382475500019188100</v>
      </c>
      <c r="B4866" t="s">
        <v>28</v>
      </c>
      <c r="C4866" t="s">
        <v>82</v>
      </c>
      <c r="D4866" s="11">
        <v>43332</v>
      </c>
      <c r="E4866" t="s">
        <v>16</v>
      </c>
      <c r="F4866" t="s">
        <v>12</v>
      </c>
      <c r="G4866">
        <v>738247</v>
      </c>
      <c r="H4866">
        <v>5500019188</v>
      </c>
      <c r="I4866">
        <v>100</v>
      </c>
      <c r="J4866" s="29">
        <v>1</v>
      </c>
      <c r="K4866" s="29" t="s">
        <v>772</v>
      </c>
      <c r="L4866" t="str">
        <f>IFERROR(VLOOKUP(Detalle_OC[[#This Row],[Centro]]&amp;Detalle_OC[[#This Row],[Nro Almacen]],Almacen!A:D,4,FALSE),"")</f>
        <v>Montelima</v>
      </c>
    </row>
    <row r="4867" spans="1:12" x14ac:dyDescent="0.3">
      <c r="A4867" s="29" t="str">
        <f>Detalle_OC[[#This Row],[Centro]]&amp;Detalle_OC[[#This Row],[Nom Almacen]]&amp;Detalle_OC[[#This Row],[Material]]&amp;Detalle_OC[[#This Row],[Pedido]]&amp;Detalle_OC[[#This Row],[Posicion]]</f>
        <v>Agricola del Chira PlantaMontelima8445115500019188180</v>
      </c>
      <c r="B4867" t="s">
        <v>28</v>
      </c>
      <c r="C4867" t="s">
        <v>82</v>
      </c>
      <c r="D4867" s="11">
        <v>43332</v>
      </c>
      <c r="E4867" t="s">
        <v>16</v>
      </c>
      <c r="F4867" t="s">
        <v>12</v>
      </c>
      <c r="G4867">
        <v>844511</v>
      </c>
      <c r="H4867">
        <v>5500019188</v>
      </c>
      <c r="I4867">
        <v>180</v>
      </c>
      <c r="J4867" s="29">
        <v>1</v>
      </c>
      <c r="K4867" s="29" t="s">
        <v>772</v>
      </c>
      <c r="L4867" t="str">
        <f>IFERROR(VLOOKUP(Detalle_OC[[#This Row],[Centro]]&amp;Detalle_OC[[#This Row],[Nro Almacen]],Almacen!A:D,4,FALSE),"")</f>
        <v>Montelima</v>
      </c>
    </row>
    <row r="4868" spans="1:12" x14ac:dyDescent="0.3">
      <c r="A4868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4868" t="s">
        <v>28</v>
      </c>
      <c r="C4868" t="s">
        <v>82</v>
      </c>
      <c r="D4868" s="11">
        <v>43332</v>
      </c>
      <c r="E4868" t="s">
        <v>16</v>
      </c>
      <c r="F4868" t="s">
        <v>12</v>
      </c>
      <c r="G4868">
        <v>844516</v>
      </c>
      <c r="H4868">
        <v>5500019188</v>
      </c>
      <c r="I4868">
        <v>190</v>
      </c>
      <c r="J4868" s="29">
        <v>1</v>
      </c>
      <c r="K4868" s="29" t="s">
        <v>772</v>
      </c>
      <c r="L4868" t="str">
        <f>IFERROR(VLOOKUP(Detalle_OC[[#This Row],[Centro]]&amp;Detalle_OC[[#This Row],[Nro Almacen]],Almacen!A:D,4,FALSE),"")</f>
        <v>Montelima</v>
      </c>
    </row>
    <row r="4869" spans="1:12" x14ac:dyDescent="0.3">
      <c r="A4869" s="29" t="str">
        <f>Detalle_OC[[#This Row],[Centro]]&amp;Detalle_OC[[#This Row],[Nom Almacen]]&amp;Detalle_OC[[#This Row],[Material]]&amp;Detalle_OC[[#This Row],[Pedido]]&amp;Detalle_OC[[#This Row],[Posicion]]</f>
        <v>Agricola del Chira PlantaMontelima8443975500019188280</v>
      </c>
      <c r="B4869" t="s">
        <v>28</v>
      </c>
      <c r="C4869" t="s">
        <v>82</v>
      </c>
      <c r="D4869" s="11">
        <v>43332</v>
      </c>
      <c r="E4869" t="s">
        <v>16</v>
      </c>
      <c r="F4869" t="s">
        <v>12</v>
      </c>
      <c r="G4869">
        <v>844397</v>
      </c>
      <c r="H4869">
        <v>5500019188</v>
      </c>
      <c r="I4869">
        <v>280</v>
      </c>
      <c r="J4869" s="29">
        <v>1</v>
      </c>
      <c r="K4869" s="29" t="s">
        <v>772</v>
      </c>
      <c r="L4869" t="str">
        <f>IFERROR(VLOOKUP(Detalle_OC[[#This Row],[Centro]]&amp;Detalle_OC[[#This Row],[Nro Almacen]],Almacen!A:D,4,FALSE),"")</f>
        <v>Montelima</v>
      </c>
    </row>
    <row r="4870" spans="1:12" x14ac:dyDescent="0.3">
      <c r="A4870" s="29" t="str">
        <f>Detalle_OC[[#This Row],[Centro]]&amp;Detalle_OC[[#This Row],[Nom Almacen]]&amp;Detalle_OC[[#This Row],[Material]]&amp;Detalle_OC[[#This Row],[Pedido]]&amp;Detalle_OC[[#This Row],[Posicion]]</f>
        <v>Agricola del Chira PlantaMontelima8459085500019188350</v>
      </c>
      <c r="B4870" t="s">
        <v>28</v>
      </c>
      <c r="C4870" t="s">
        <v>82</v>
      </c>
      <c r="D4870" s="11">
        <v>43332</v>
      </c>
      <c r="E4870" t="s">
        <v>16</v>
      </c>
      <c r="F4870" t="s">
        <v>12</v>
      </c>
      <c r="G4870">
        <v>845908</v>
      </c>
      <c r="H4870">
        <v>5500019188</v>
      </c>
      <c r="I4870">
        <v>350</v>
      </c>
      <c r="J4870" s="29">
        <v>1</v>
      </c>
      <c r="K4870" s="29" t="s">
        <v>772</v>
      </c>
      <c r="L4870" t="str">
        <f>IFERROR(VLOOKUP(Detalle_OC[[#This Row],[Centro]]&amp;Detalle_OC[[#This Row],[Nro Almacen]],Almacen!A:D,4,FALSE),"")</f>
        <v>Montelima</v>
      </c>
    </row>
    <row r="4871" spans="1:12" x14ac:dyDescent="0.3">
      <c r="A4871" s="29" t="str">
        <f>Detalle_OC[[#This Row],[Centro]]&amp;Detalle_OC[[#This Row],[Nom Almacen]]&amp;Detalle_OC[[#This Row],[Material]]&amp;Detalle_OC[[#This Row],[Pedido]]&amp;Detalle_OC[[#This Row],[Posicion]]</f>
        <v>Agricola del Chira PlantaMontelima738245550001918840</v>
      </c>
      <c r="B4871" t="s">
        <v>28</v>
      </c>
      <c r="C4871" t="s">
        <v>82</v>
      </c>
      <c r="D4871" s="11">
        <v>43326</v>
      </c>
      <c r="E4871" t="s">
        <v>16</v>
      </c>
      <c r="F4871" t="s">
        <v>12</v>
      </c>
      <c r="G4871">
        <v>738245</v>
      </c>
      <c r="H4871">
        <v>5500019188</v>
      </c>
      <c r="I4871">
        <v>40</v>
      </c>
      <c r="J4871" s="29">
        <v>1</v>
      </c>
      <c r="K4871" s="29" t="s">
        <v>773</v>
      </c>
      <c r="L4871" t="str">
        <f>IFERROR(VLOOKUP(Detalle_OC[[#This Row],[Centro]]&amp;Detalle_OC[[#This Row],[Nro Almacen]],Almacen!A:D,4,FALSE),"")</f>
        <v>Montelima</v>
      </c>
    </row>
    <row r="4872" spans="1:12" x14ac:dyDescent="0.3">
      <c r="A4872" s="29" t="str">
        <f>Detalle_OC[[#This Row],[Centro]]&amp;Detalle_OC[[#This Row],[Nom Almacen]]&amp;Detalle_OC[[#This Row],[Material]]&amp;Detalle_OC[[#This Row],[Pedido]]&amp;Detalle_OC[[#This Row],[Posicion]]</f>
        <v>Agricola del Chira PlantaMontelima7382475500019188100</v>
      </c>
      <c r="B4872" t="s">
        <v>28</v>
      </c>
      <c r="C4872" t="s">
        <v>82</v>
      </c>
      <c r="D4872" s="11">
        <v>43328</v>
      </c>
      <c r="E4872" t="s">
        <v>16</v>
      </c>
      <c r="F4872" t="s">
        <v>12</v>
      </c>
      <c r="G4872">
        <v>738247</v>
      </c>
      <c r="H4872">
        <v>5500019188</v>
      </c>
      <c r="I4872">
        <v>100</v>
      </c>
      <c r="J4872" s="29">
        <v>1</v>
      </c>
      <c r="K4872" s="29" t="s">
        <v>773</v>
      </c>
      <c r="L4872" t="str">
        <f>IFERROR(VLOOKUP(Detalle_OC[[#This Row],[Centro]]&amp;Detalle_OC[[#This Row],[Nro Almacen]],Almacen!A:D,4,FALSE),"")</f>
        <v>Montelima</v>
      </c>
    </row>
    <row r="4873" spans="1:12" x14ac:dyDescent="0.3">
      <c r="A4873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4873" t="s">
        <v>28</v>
      </c>
      <c r="C4873" t="s">
        <v>82</v>
      </c>
      <c r="D4873" s="11">
        <v>43326</v>
      </c>
      <c r="E4873" t="s">
        <v>16</v>
      </c>
      <c r="F4873" t="s">
        <v>12</v>
      </c>
      <c r="G4873">
        <v>844523</v>
      </c>
      <c r="H4873">
        <v>5500019188</v>
      </c>
      <c r="I4873">
        <v>140</v>
      </c>
      <c r="J4873" s="29">
        <v>1</v>
      </c>
      <c r="K4873" s="29" t="s">
        <v>773</v>
      </c>
      <c r="L4873" t="str">
        <f>IFERROR(VLOOKUP(Detalle_OC[[#This Row],[Centro]]&amp;Detalle_OC[[#This Row],[Nro Almacen]],Almacen!A:D,4,FALSE),"")</f>
        <v>Montelima</v>
      </c>
    </row>
    <row r="4874" spans="1:12" x14ac:dyDescent="0.3">
      <c r="A4874" s="29" t="str">
        <f>Detalle_OC[[#This Row],[Centro]]&amp;Detalle_OC[[#This Row],[Nom Almacen]]&amp;Detalle_OC[[#This Row],[Material]]&amp;Detalle_OC[[#This Row],[Pedido]]&amp;Detalle_OC[[#This Row],[Posicion]]</f>
        <v>Agricola del Chira PlantaMontelima8445335500019188170</v>
      </c>
      <c r="B4874" t="s">
        <v>28</v>
      </c>
      <c r="C4874" t="s">
        <v>82</v>
      </c>
      <c r="D4874" s="11">
        <v>43326</v>
      </c>
      <c r="E4874" t="s">
        <v>16</v>
      </c>
      <c r="F4874" t="s">
        <v>12</v>
      </c>
      <c r="G4874">
        <v>844533</v>
      </c>
      <c r="H4874">
        <v>5500019188</v>
      </c>
      <c r="I4874">
        <v>170</v>
      </c>
      <c r="J4874" s="29">
        <v>1</v>
      </c>
      <c r="K4874" s="29" t="s">
        <v>773</v>
      </c>
      <c r="L4874" t="str">
        <f>IFERROR(VLOOKUP(Detalle_OC[[#This Row],[Centro]]&amp;Detalle_OC[[#This Row],[Nro Almacen]],Almacen!A:D,4,FALSE),"")</f>
        <v>Montelima</v>
      </c>
    </row>
    <row r="4875" spans="1:12" x14ac:dyDescent="0.3">
      <c r="A4875" s="29" t="str">
        <f>Detalle_OC[[#This Row],[Centro]]&amp;Detalle_OC[[#This Row],[Nom Almacen]]&amp;Detalle_OC[[#This Row],[Material]]&amp;Detalle_OC[[#This Row],[Pedido]]&amp;Detalle_OC[[#This Row],[Posicion]]</f>
        <v>Agricola del Chira PlantaMontelima8445115500019188180</v>
      </c>
      <c r="B4875" t="s">
        <v>28</v>
      </c>
      <c r="C4875" t="s">
        <v>82</v>
      </c>
      <c r="D4875" s="11">
        <v>43328</v>
      </c>
      <c r="E4875" t="s">
        <v>16</v>
      </c>
      <c r="F4875" t="s">
        <v>12</v>
      </c>
      <c r="G4875">
        <v>844511</v>
      </c>
      <c r="H4875">
        <v>5500019188</v>
      </c>
      <c r="I4875">
        <v>180</v>
      </c>
      <c r="J4875" s="29">
        <v>1</v>
      </c>
      <c r="K4875" s="29" t="s">
        <v>773</v>
      </c>
      <c r="L4875" t="str">
        <f>IFERROR(VLOOKUP(Detalle_OC[[#This Row],[Centro]]&amp;Detalle_OC[[#This Row],[Nro Almacen]],Almacen!A:D,4,FALSE),"")</f>
        <v>Montelima</v>
      </c>
    </row>
    <row r="4876" spans="1:12" x14ac:dyDescent="0.3">
      <c r="A4876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4876" t="s">
        <v>28</v>
      </c>
      <c r="C4876" t="s">
        <v>82</v>
      </c>
      <c r="D4876" s="11">
        <v>43328</v>
      </c>
      <c r="E4876" t="s">
        <v>16</v>
      </c>
      <c r="F4876" t="s">
        <v>12</v>
      </c>
      <c r="G4876">
        <v>844516</v>
      </c>
      <c r="H4876">
        <v>5500019188</v>
      </c>
      <c r="I4876">
        <v>190</v>
      </c>
      <c r="J4876" s="29">
        <v>1</v>
      </c>
      <c r="K4876" s="29" t="s">
        <v>773</v>
      </c>
      <c r="L4876" t="str">
        <f>IFERROR(VLOOKUP(Detalle_OC[[#This Row],[Centro]]&amp;Detalle_OC[[#This Row],[Nro Almacen]],Almacen!A:D,4,FALSE),"")</f>
        <v>Montelima</v>
      </c>
    </row>
    <row r="4877" spans="1:12" x14ac:dyDescent="0.3">
      <c r="A4877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4877" t="s">
        <v>28</v>
      </c>
      <c r="C4877" t="s">
        <v>82</v>
      </c>
      <c r="D4877" s="11">
        <v>43326</v>
      </c>
      <c r="E4877" t="s">
        <v>16</v>
      </c>
      <c r="F4877" t="s">
        <v>12</v>
      </c>
      <c r="G4877">
        <v>844515</v>
      </c>
      <c r="H4877">
        <v>5500019188</v>
      </c>
      <c r="I4877">
        <v>200</v>
      </c>
      <c r="J4877" s="29">
        <v>1</v>
      </c>
      <c r="K4877" s="29" t="s">
        <v>773</v>
      </c>
      <c r="L4877" t="str">
        <f>IFERROR(VLOOKUP(Detalle_OC[[#This Row],[Centro]]&amp;Detalle_OC[[#This Row],[Nro Almacen]],Almacen!A:D,4,FALSE),"")</f>
        <v>Montelima</v>
      </c>
    </row>
    <row r="4878" spans="1:12" x14ac:dyDescent="0.3">
      <c r="A4878" s="29" t="str">
        <f>Detalle_OC[[#This Row],[Centro]]&amp;Detalle_OC[[#This Row],[Nom Almacen]]&amp;Detalle_OC[[#This Row],[Material]]&amp;Detalle_OC[[#This Row],[Pedido]]&amp;Detalle_OC[[#This Row],[Posicion]]</f>
        <v>Agricola del Chira PlantaMontelima8445025500019188250</v>
      </c>
      <c r="B4878" t="s">
        <v>28</v>
      </c>
      <c r="C4878" t="s">
        <v>82</v>
      </c>
      <c r="D4878" s="11">
        <v>43326</v>
      </c>
      <c r="E4878" t="s">
        <v>16</v>
      </c>
      <c r="F4878" t="s">
        <v>12</v>
      </c>
      <c r="G4878">
        <v>844502</v>
      </c>
      <c r="H4878">
        <v>5500019188</v>
      </c>
      <c r="I4878">
        <v>250</v>
      </c>
      <c r="J4878" s="29">
        <v>1</v>
      </c>
      <c r="K4878" s="29" t="s">
        <v>773</v>
      </c>
      <c r="L4878" t="str">
        <f>IFERROR(VLOOKUP(Detalle_OC[[#This Row],[Centro]]&amp;Detalle_OC[[#This Row],[Nro Almacen]],Almacen!A:D,4,FALSE),"")</f>
        <v>Montelima</v>
      </c>
    </row>
    <row r="4879" spans="1:12" x14ac:dyDescent="0.3">
      <c r="A4879" s="29" t="str">
        <f>Detalle_OC[[#This Row],[Centro]]&amp;Detalle_OC[[#This Row],[Nom Almacen]]&amp;Detalle_OC[[#This Row],[Material]]&amp;Detalle_OC[[#This Row],[Pedido]]&amp;Detalle_OC[[#This Row],[Posicion]]</f>
        <v>Agricola del Chira PlantaMontelima8443985500019188290</v>
      </c>
      <c r="B4879" t="s">
        <v>28</v>
      </c>
      <c r="C4879" t="s">
        <v>82</v>
      </c>
      <c r="D4879" s="11">
        <v>43326</v>
      </c>
      <c r="E4879" t="s">
        <v>16</v>
      </c>
      <c r="F4879" t="s">
        <v>12</v>
      </c>
      <c r="G4879">
        <v>844398</v>
      </c>
      <c r="H4879">
        <v>5500019188</v>
      </c>
      <c r="I4879">
        <v>290</v>
      </c>
      <c r="J4879" s="29">
        <v>1</v>
      </c>
      <c r="K4879" s="29" t="s">
        <v>773</v>
      </c>
      <c r="L4879" t="str">
        <f>IFERROR(VLOOKUP(Detalle_OC[[#This Row],[Centro]]&amp;Detalle_OC[[#This Row],[Nro Almacen]],Almacen!A:D,4,FALSE),"")</f>
        <v>Montelima</v>
      </c>
    </row>
    <row r="4880" spans="1:12" x14ac:dyDescent="0.3">
      <c r="A4880" s="29" t="str">
        <f>Detalle_OC[[#This Row],[Centro]]&amp;Detalle_OC[[#This Row],[Nom Almacen]]&amp;Detalle_OC[[#This Row],[Material]]&amp;Detalle_OC[[#This Row],[Pedido]]&amp;Detalle_OC[[#This Row],[Posicion]]</f>
        <v>Agricola del Chira PlantaMontelima8445215500019188410</v>
      </c>
      <c r="B4880" t="s">
        <v>28</v>
      </c>
      <c r="C4880" t="s">
        <v>82</v>
      </c>
      <c r="D4880" s="11">
        <v>43326</v>
      </c>
      <c r="E4880" t="s">
        <v>16</v>
      </c>
      <c r="F4880" t="s">
        <v>12</v>
      </c>
      <c r="G4880">
        <v>844521</v>
      </c>
      <c r="H4880">
        <v>5500019188</v>
      </c>
      <c r="I4880">
        <v>410</v>
      </c>
      <c r="J4880" s="29">
        <v>1</v>
      </c>
      <c r="K4880" s="29" t="s">
        <v>773</v>
      </c>
      <c r="L4880" t="str">
        <f>IFERROR(VLOOKUP(Detalle_OC[[#This Row],[Centro]]&amp;Detalle_OC[[#This Row],[Nro Almacen]],Almacen!A:D,4,FALSE),"")</f>
        <v>Montelima</v>
      </c>
    </row>
    <row r="4881" spans="1:12" x14ac:dyDescent="0.3">
      <c r="A4881" s="29" t="str">
        <f>Detalle_OC[[#This Row],[Centro]]&amp;Detalle_OC[[#This Row],[Nom Almacen]]&amp;Detalle_OC[[#This Row],[Material]]&amp;Detalle_OC[[#This Row],[Pedido]]&amp;Detalle_OC[[#This Row],[Posicion]]</f>
        <v>Agricola del Chira PlantaMontelima8445205500019188520</v>
      </c>
      <c r="B4881" t="s">
        <v>28</v>
      </c>
      <c r="C4881" t="s">
        <v>82</v>
      </c>
      <c r="D4881" s="11">
        <v>43328</v>
      </c>
      <c r="E4881" t="s">
        <v>16</v>
      </c>
      <c r="F4881" t="s">
        <v>12</v>
      </c>
      <c r="G4881">
        <v>844520</v>
      </c>
      <c r="H4881">
        <v>5500019188</v>
      </c>
      <c r="I4881">
        <v>520</v>
      </c>
      <c r="J4881" s="29">
        <v>1</v>
      </c>
      <c r="K4881" s="29" t="s">
        <v>773</v>
      </c>
      <c r="L4881" t="str">
        <f>IFERROR(VLOOKUP(Detalle_OC[[#This Row],[Centro]]&amp;Detalle_OC[[#This Row],[Nro Almacen]],Almacen!A:D,4,FALSE),"")</f>
        <v>Montelima</v>
      </c>
    </row>
    <row r="4882" spans="1:12" x14ac:dyDescent="0.3">
      <c r="A4882" s="29" t="str">
        <f>Detalle_OC[[#This Row],[Centro]]&amp;Detalle_OC[[#This Row],[Nom Almacen]]&amp;Detalle_OC[[#This Row],[Material]]&amp;Detalle_OC[[#This Row],[Pedido]]&amp;Detalle_OC[[#This Row],[Posicion]]</f>
        <v>Agricola del Chira PlantaMontelima84557255000191881300</v>
      </c>
      <c r="B4882" t="s">
        <v>28</v>
      </c>
      <c r="C4882" t="s">
        <v>82</v>
      </c>
      <c r="D4882" s="11">
        <v>43326</v>
      </c>
      <c r="E4882" t="s">
        <v>16</v>
      </c>
      <c r="F4882" t="s">
        <v>12</v>
      </c>
      <c r="G4882">
        <v>845572</v>
      </c>
      <c r="H4882">
        <v>5500019188</v>
      </c>
      <c r="I4882">
        <v>1300</v>
      </c>
      <c r="J4882" s="29">
        <v>1</v>
      </c>
      <c r="K4882" s="29" t="s">
        <v>773</v>
      </c>
      <c r="L4882" t="str">
        <f>IFERROR(VLOOKUP(Detalle_OC[[#This Row],[Centro]]&amp;Detalle_OC[[#This Row],[Nro Almacen]],Almacen!A:D,4,FALSE),"")</f>
        <v>Montelima</v>
      </c>
    </row>
    <row r="4883" spans="1:12" x14ac:dyDescent="0.3">
      <c r="A4883" s="29" t="str">
        <f>Detalle_OC[[#This Row],[Centro]]&amp;Detalle_OC[[#This Row],[Nom Almacen]]&amp;Detalle_OC[[#This Row],[Material]]&amp;Detalle_OC[[#This Row],[Pedido]]&amp;Detalle_OC[[#This Row],[Posicion]]</f>
        <v>Agricola del Chira PlantaMontelima83507555000191881310</v>
      </c>
      <c r="B4883" t="s">
        <v>28</v>
      </c>
      <c r="C4883" t="s">
        <v>82</v>
      </c>
      <c r="D4883" s="11">
        <v>43326</v>
      </c>
      <c r="E4883" t="s">
        <v>16</v>
      </c>
      <c r="F4883" t="s">
        <v>12</v>
      </c>
      <c r="G4883">
        <v>835075</v>
      </c>
      <c r="H4883">
        <v>5500019188</v>
      </c>
      <c r="I4883">
        <v>1310</v>
      </c>
      <c r="J4883" s="29">
        <v>1</v>
      </c>
      <c r="K4883" s="29" t="s">
        <v>773</v>
      </c>
      <c r="L4883" t="str">
        <f>IFERROR(VLOOKUP(Detalle_OC[[#This Row],[Centro]]&amp;Detalle_OC[[#This Row],[Nro Almacen]],Almacen!A:D,4,FALSE),"")</f>
        <v>Montelima</v>
      </c>
    </row>
    <row r="4884" spans="1:12" x14ac:dyDescent="0.3">
      <c r="A4884" s="29" t="str">
        <f>Detalle_OC[[#This Row],[Centro]]&amp;Detalle_OC[[#This Row],[Nom Almacen]]&amp;Detalle_OC[[#This Row],[Material]]&amp;Detalle_OC[[#This Row],[Pedido]]&amp;Detalle_OC[[#This Row],[Posicion]]</f>
        <v>Agricola del Chira PlantaMontelima8445115500019188180</v>
      </c>
      <c r="B4884" t="s">
        <v>28</v>
      </c>
      <c r="C4884" t="s">
        <v>82</v>
      </c>
      <c r="D4884" s="11">
        <v>43326</v>
      </c>
      <c r="E4884" t="s">
        <v>16</v>
      </c>
      <c r="F4884" t="s">
        <v>12</v>
      </c>
      <c r="G4884">
        <v>844511</v>
      </c>
      <c r="H4884">
        <v>5500019188</v>
      </c>
      <c r="I4884">
        <v>180</v>
      </c>
      <c r="J4884" s="29">
        <v>1</v>
      </c>
      <c r="K4884" s="29" t="s">
        <v>774</v>
      </c>
      <c r="L4884" t="str">
        <f>IFERROR(VLOOKUP(Detalle_OC[[#This Row],[Centro]]&amp;Detalle_OC[[#This Row],[Nro Almacen]],Almacen!A:D,4,FALSE),"")</f>
        <v>Montelima</v>
      </c>
    </row>
    <row r="4885" spans="1:12" x14ac:dyDescent="0.3">
      <c r="A4885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4885" t="s">
        <v>28</v>
      </c>
      <c r="C4885" t="s">
        <v>82</v>
      </c>
      <c r="D4885" s="11">
        <v>43325</v>
      </c>
      <c r="E4885" t="s">
        <v>16</v>
      </c>
      <c r="F4885" t="s">
        <v>12</v>
      </c>
      <c r="G4885">
        <v>844516</v>
      </c>
      <c r="H4885">
        <v>5500019188</v>
      </c>
      <c r="I4885">
        <v>190</v>
      </c>
      <c r="J4885" s="29">
        <v>1</v>
      </c>
      <c r="K4885" s="29" t="s">
        <v>774</v>
      </c>
      <c r="L4885" t="str">
        <f>IFERROR(VLOOKUP(Detalle_OC[[#This Row],[Centro]]&amp;Detalle_OC[[#This Row],[Nro Almacen]],Almacen!A:D,4,FALSE),"")</f>
        <v>Montelima</v>
      </c>
    </row>
    <row r="4886" spans="1:12" x14ac:dyDescent="0.3">
      <c r="A4886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4886" t="s">
        <v>28</v>
      </c>
      <c r="C4886" t="s">
        <v>82</v>
      </c>
      <c r="D4886" s="11">
        <v>43326</v>
      </c>
      <c r="E4886" t="s">
        <v>16</v>
      </c>
      <c r="F4886" t="s">
        <v>12</v>
      </c>
      <c r="G4886">
        <v>844515</v>
      </c>
      <c r="H4886">
        <v>5500019188</v>
      </c>
      <c r="I4886">
        <v>200</v>
      </c>
      <c r="J4886" s="29">
        <v>1</v>
      </c>
      <c r="K4886" s="29" t="s">
        <v>774</v>
      </c>
      <c r="L4886" t="str">
        <f>IFERROR(VLOOKUP(Detalle_OC[[#This Row],[Centro]]&amp;Detalle_OC[[#This Row],[Nro Almacen]],Almacen!A:D,4,FALSE),"")</f>
        <v>Montelima</v>
      </c>
    </row>
    <row r="4887" spans="1:12" x14ac:dyDescent="0.3">
      <c r="A4887" s="29" t="str">
        <f>Detalle_OC[[#This Row],[Centro]]&amp;Detalle_OC[[#This Row],[Nom Almacen]]&amp;Detalle_OC[[#This Row],[Material]]&amp;Detalle_OC[[#This Row],[Pedido]]&amp;Detalle_OC[[#This Row],[Posicion]]</f>
        <v>Agricola del Chira PlantaMontelima8443975500019188280</v>
      </c>
      <c r="B4887" t="s">
        <v>28</v>
      </c>
      <c r="C4887" t="s">
        <v>82</v>
      </c>
      <c r="D4887" s="11">
        <v>43332</v>
      </c>
      <c r="E4887" t="s">
        <v>16</v>
      </c>
      <c r="F4887" t="s">
        <v>12</v>
      </c>
      <c r="G4887">
        <v>844397</v>
      </c>
      <c r="H4887">
        <v>5500019188</v>
      </c>
      <c r="I4887">
        <v>280</v>
      </c>
      <c r="J4887" s="29">
        <v>1</v>
      </c>
      <c r="K4887" s="29" t="s">
        <v>774</v>
      </c>
      <c r="L4887" t="str">
        <f>IFERROR(VLOOKUP(Detalle_OC[[#This Row],[Centro]]&amp;Detalle_OC[[#This Row],[Nro Almacen]],Almacen!A:D,4,FALSE),"")</f>
        <v>Montelima</v>
      </c>
    </row>
    <row r="4888" spans="1:12" x14ac:dyDescent="0.3">
      <c r="A4888" s="29" t="str">
        <f>Detalle_OC[[#This Row],[Centro]]&amp;Detalle_OC[[#This Row],[Nom Almacen]]&amp;Detalle_OC[[#This Row],[Material]]&amp;Detalle_OC[[#This Row],[Pedido]]&amp;Detalle_OC[[#This Row],[Posicion]]</f>
        <v>Agricola del Chira PlantaMontelima8445305500019188490</v>
      </c>
      <c r="B4888" t="s">
        <v>28</v>
      </c>
      <c r="C4888" t="s">
        <v>82</v>
      </c>
      <c r="D4888" s="11">
        <v>43325</v>
      </c>
      <c r="E4888" t="s">
        <v>16</v>
      </c>
      <c r="F4888" t="s">
        <v>12</v>
      </c>
      <c r="G4888">
        <v>844530</v>
      </c>
      <c r="H4888">
        <v>5500019188</v>
      </c>
      <c r="I4888">
        <v>490</v>
      </c>
      <c r="J4888" s="29">
        <v>1</v>
      </c>
      <c r="K4888" s="29" t="s">
        <v>774</v>
      </c>
      <c r="L4888" t="str">
        <f>IFERROR(VLOOKUP(Detalle_OC[[#This Row],[Centro]]&amp;Detalle_OC[[#This Row],[Nro Almacen]],Almacen!A:D,4,FALSE),"")</f>
        <v>Montelima</v>
      </c>
    </row>
    <row r="4889" spans="1:12" x14ac:dyDescent="0.3">
      <c r="A4889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4889" t="s">
        <v>28</v>
      </c>
      <c r="C4889" t="s">
        <v>82</v>
      </c>
      <c r="D4889" s="11">
        <v>43327</v>
      </c>
      <c r="E4889" t="s">
        <v>16</v>
      </c>
      <c r="F4889" t="s">
        <v>12</v>
      </c>
      <c r="G4889">
        <v>844516</v>
      </c>
      <c r="H4889">
        <v>5500019188</v>
      </c>
      <c r="I4889">
        <v>190</v>
      </c>
      <c r="J4889" s="29">
        <v>1</v>
      </c>
      <c r="K4889" s="29" t="s">
        <v>775</v>
      </c>
      <c r="L4889" t="str">
        <f>IFERROR(VLOOKUP(Detalle_OC[[#This Row],[Centro]]&amp;Detalle_OC[[#This Row],[Nro Almacen]],Almacen!A:D,4,FALSE),"")</f>
        <v>Montelima</v>
      </c>
    </row>
    <row r="4890" spans="1:12" x14ac:dyDescent="0.3">
      <c r="A4890" s="29" t="str">
        <f>Detalle_OC[[#This Row],[Centro]]&amp;Detalle_OC[[#This Row],[Nom Almacen]]&amp;Detalle_OC[[#This Row],[Material]]&amp;Detalle_OC[[#This Row],[Pedido]]&amp;Detalle_OC[[#This Row],[Posicion]]</f>
        <v>Agricola del Chira PlantaMontelima738245550001918840</v>
      </c>
      <c r="B4890" t="s">
        <v>28</v>
      </c>
      <c r="C4890" t="s">
        <v>82</v>
      </c>
      <c r="D4890" s="11">
        <v>43326</v>
      </c>
      <c r="E4890" t="s">
        <v>16</v>
      </c>
      <c r="F4890" t="s">
        <v>12</v>
      </c>
      <c r="G4890">
        <v>738245</v>
      </c>
      <c r="H4890">
        <v>5500019188</v>
      </c>
      <c r="I4890">
        <v>40</v>
      </c>
      <c r="J4890" s="29">
        <v>1</v>
      </c>
      <c r="K4890" s="29" t="s">
        <v>776</v>
      </c>
      <c r="L4890" t="str">
        <f>IFERROR(VLOOKUP(Detalle_OC[[#This Row],[Centro]]&amp;Detalle_OC[[#This Row],[Nro Almacen]],Almacen!A:D,4,FALSE),"")</f>
        <v>Montelima</v>
      </c>
    </row>
    <row r="4891" spans="1:12" x14ac:dyDescent="0.3">
      <c r="A4891" s="29" t="str">
        <f>Detalle_OC[[#This Row],[Centro]]&amp;Detalle_OC[[#This Row],[Nom Almacen]]&amp;Detalle_OC[[#This Row],[Material]]&amp;Detalle_OC[[#This Row],[Pedido]]&amp;Detalle_OC[[#This Row],[Posicion]]</f>
        <v>Agricola del Chira PlantaMontelima7382475500019188100</v>
      </c>
      <c r="B4891" t="s">
        <v>28</v>
      </c>
      <c r="C4891" t="s">
        <v>82</v>
      </c>
      <c r="D4891" s="11">
        <v>43304</v>
      </c>
      <c r="E4891" t="s">
        <v>16</v>
      </c>
      <c r="F4891" t="s">
        <v>12</v>
      </c>
      <c r="G4891">
        <v>738247</v>
      </c>
      <c r="H4891">
        <v>5500019188</v>
      </c>
      <c r="I4891">
        <v>100</v>
      </c>
      <c r="J4891" s="29">
        <v>1</v>
      </c>
      <c r="K4891" s="29" t="s">
        <v>776</v>
      </c>
      <c r="L4891" t="str">
        <f>IFERROR(VLOOKUP(Detalle_OC[[#This Row],[Centro]]&amp;Detalle_OC[[#This Row],[Nro Almacen]],Almacen!A:D,4,FALSE),"")</f>
        <v>Montelima</v>
      </c>
    </row>
    <row r="4892" spans="1:12" x14ac:dyDescent="0.3">
      <c r="A4892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4892" t="s">
        <v>28</v>
      </c>
      <c r="C4892" t="s">
        <v>82</v>
      </c>
      <c r="D4892" s="11">
        <v>43326</v>
      </c>
      <c r="E4892" t="s">
        <v>16</v>
      </c>
      <c r="F4892" t="s">
        <v>12</v>
      </c>
      <c r="G4892">
        <v>844523</v>
      </c>
      <c r="H4892">
        <v>5500019188</v>
      </c>
      <c r="I4892">
        <v>140</v>
      </c>
      <c r="J4892" s="29">
        <v>1</v>
      </c>
      <c r="K4892" s="29" t="s">
        <v>776</v>
      </c>
      <c r="L4892" t="str">
        <f>IFERROR(VLOOKUP(Detalle_OC[[#This Row],[Centro]]&amp;Detalle_OC[[#This Row],[Nro Almacen]],Almacen!A:D,4,FALSE),"")</f>
        <v>Montelima</v>
      </c>
    </row>
    <row r="4893" spans="1:12" x14ac:dyDescent="0.3">
      <c r="A4893" s="29" t="str">
        <f>Detalle_OC[[#This Row],[Centro]]&amp;Detalle_OC[[#This Row],[Nom Almacen]]&amp;Detalle_OC[[#This Row],[Material]]&amp;Detalle_OC[[#This Row],[Pedido]]&amp;Detalle_OC[[#This Row],[Posicion]]</f>
        <v>Agricola del Chira PlantaMontelima8445335500019188170</v>
      </c>
      <c r="B4893" t="s">
        <v>28</v>
      </c>
      <c r="C4893" t="s">
        <v>82</v>
      </c>
      <c r="D4893" s="11">
        <v>43326</v>
      </c>
      <c r="E4893" t="s">
        <v>16</v>
      </c>
      <c r="F4893" t="s">
        <v>12</v>
      </c>
      <c r="G4893">
        <v>844533</v>
      </c>
      <c r="H4893">
        <v>5500019188</v>
      </c>
      <c r="I4893">
        <v>170</v>
      </c>
      <c r="J4893" s="29">
        <v>1</v>
      </c>
      <c r="K4893" s="29" t="s">
        <v>776</v>
      </c>
      <c r="L4893" t="str">
        <f>IFERROR(VLOOKUP(Detalle_OC[[#This Row],[Centro]]&amp;Detalle_OC[[#This Row],[Nro Almacen]],Almacen!A:D,4,FALSE),"")</f>
        <v>Montelima</v>
      </c>
    </row>
    <row r="4894" spans="1:12" x14ac:dyDescent="0.3">
      <c r="A4894" s="29" t="str">
        <f>Detalle_OC[[#This Row],[Centro]]&amp;Detalle_OC[[#This Row],[Nom Almacen]]&amp;Detalle_OC[[#This Row],[Material]]&amp;Detalle_OC[[#This Row],[Pedido]]&amp;Detalle_OC[[#This Row],[Posicion]]</f>
        <v>Agricola del Chira PlantaMontelima8443985500019188290</v>
      </c>
      <c r="B4894" t="s">
        <v>28</v>
      </c>
      <c r="C4894" t="s">
        <v>82</v>
      </c>
      <c r="D4894" s="11">
        <v>43326</v>
      </c>
      <c r="E4894" t="s">
        <v>16</v>
      </c>
      <c r="F4894" t="s">
        <v>12</v>
      </c>
      <c r="G4894">
        <v>844398</v>
      </c>
      <c r="H4894">
        <v>5500019188</v>
      </c>
      <c r="I4894">
        <v>290</v>
      </c>
      <c r="J4894" s="29">
        <v>1</v>
      </c>
      <c r="K4894" s="29" t="s">
        <v>776</v>
      </c>
      <c r="L4894" t="str">
        <f>IFERROR(VLOOKUP(Detalle_OC[[#This Row],[Centro]]&amp;Detalle_OC[[#This Row],[Nro Almacen]],Almacen!A:D,4,FALSE),"")</f>
        <v>Montelima</v>
      </c>
    </row>
    <row r="4895" spans="1:12" x14ac:dyDescent="0.3">
      <c r="A4895" s="29" t="str">
        <f>Detalle_OC[[#This Row],[Centro]]&amp;Detalle_OC[[#This Row],[Nom Almacen]]&amp;Detalle_OC[[#This Row],[Material]]&amp;Detalle_OC[[#This Row],[Pedido]]&amp;Detalle_OC[[#This Row],[Posicion]]</f>
        <v>Agricola del Chira PlantaMontelima8445215500019188410</v>
      </c>
      <c r="B4895" t="s">
        <v>28</v>
      </c>
      <c r="C4895" t="s">
        <v>82</v>
      </c>
      <c r="D4895" s="11">
        <v>43304</v>
      </c>
      <c r="E4895" t="s">
        <v>16</v>
      </c>
      <c r="F4895" t="s">
        <v>12</v>
      </c>
      <c r="G4895">
        <v>844521</v>
      </c>
      <c r="H4895">
        <v>5500019188</v>
      </c>
      <c r="I4895">
        <v>410</v>
      </c>
      <c r="J4895" s="29">
        <v>1</v>
      </c>
      <c r="K4895" s="29" t="s">
        <v>776</v>
      </c>
      <c r="L4895" t="str">
        <f>IFERROR(VLOOKUP(Detalle_OC[[#This Row],[Centro]]&amp;Detalle_OC[[#This Row],[Nro Almacen]],Almacen!A:D,4,FALSE),"")</f>
        <v>Montelima</v>
      </c>
    </row>
    <row r="4896" spans="1:12" x14ac:dyDescent="0.3">
      <c r="A4896" s="29" t="str">
        <f>Detalle_OC[[#This Row],[Centro]]&amp;Detalle_OC[[#This Row],[Nom Almacen]]&amp;Detalle_OC[[#This Row],[Material]]&amp;Detalle_OC[[#This Row],[Pedido]]&amp;Detalle_OC[[#This Row],[Posicion]]</f>
        <v>Agricola del Chira PlantaMontelima84557255000191881300</v>
      </c>
      <c r="B4896" t="s">
        <v>28</v>
      </c>
      <c r="C4896" t="s">
        <v>82</v>
      </c>
      <c r="D4896" s="11">
        <v>43304</v>
      </c>
      <c r="E4896" t="s">
        <v>16</v>
      </c>
      <c r="F4896" t="s">
        <v>12</v>
      </c>
      <c r="G4896">
        <v>845572</v>
      </c>
      <c r="H4896">
        <v>5500019188</v>
      </c>
      <c r="I4896">
        <v>1300</v>
      </c>
      <c r="J4896" s="29">
        <v>1</v>
      </c>
      <c r="K4896" s="29" t="s">
        <v>776</v>
      </c>
      <c r="L4896" t="str">
        <f>IFERROR(VLOOKUP(Detalle_OC[[#This Row],[Centro]]&amp;Detalle_OC[[#This Row],[Nro Almacen]],Almacen!A:D,4,FALSE),"")</f>
        <v>Montelima</v>
      </c>
    </row>
    <row r="4897" spans="1:12" x14ac:dyDescent="0.3">
      <c r="A4897" s="29" t="str">
        <f>Detalle_OC[[#This Row],[Centro]]&amp;Detalle_OC[[#This Row],[Nom Almacen]]&amp;Detalle_OC[[#This Row],[Material]]&amp;Detalle_OC[[#This Row],[Pedido]]&amp;Detalle_OC[[#This Row],[Posicion]]</f>
        <v>Agricola del Chira PlantaMontelima83507555000191881310</v>
      </c>
      <c r="B4897" t="s">
        <v>28</v>
      </c>
      <c r="C4897" t="s">
        <v>82</v>
      </c>
      <c r="D4897" s="11">
        <v>43304</v>
      </c>
      <c r="E4897" t="s">
        <v>16</v>
      </c>
      <c r="F4897" t="s">
        <v>12</v>
      </c>
      <c r="G4897">
        <v>835075</v>
      </c>
      <c r="H4897">
        <v>5500019188</v>
      </c>
      <c r="I4897">
        <v>1310</v>
      </c>
      <c r="J4897" s="29">
        <v>1</v>
      </c>
      <c r="K4897" s="29" t="s">
        <v>776</v>
      </c>
      <c r="L4897" t="str">
        <f>IFERROR(VLOOKUP(Detalle_OC[[#This Row],[Centro]]&amp;Detalle_OC[[#This Row],[Nro Almacen]],Almacen!A:D,4,FALSE),"")</f>
        <v>Montelima</v>
      </c>
    </row>
    <row r="4898" spans="1:12" x14ac:dyDescent="0.3">
      <c r="A4898" s="29" t="str">
        <f>Detalle_OC[[#This Row],[Centro]]&amp;Detalle_OC[[#This Row],[Nom Almacen]]&amp;Detalle_OC[[#This Row],[Material]]&amp;Detalle_OC[[#This Row],[Pedido]]&amp;Detalle_OC[[#This Row],[Posicion]]</f>
        <v>Agricola del Chira PlantaMontelima738245550001918840</v>
      </c>
      <c r="B4898" t="s">
        <v>28</v>
      </c>
      <c r="C4898" t="s">
        <v>82</v>
      </c>
      <c r="D4898" s="11">
        <v>43297</v>
      </c>
      <c r="E4898" t="s">
        <v>16</v>
      </c>
      <c r="F4898" t="s">
        <v>12</v>
      </c>
      <c r="G4898">
        <v>738245</v>
      </c>
      <c r="H4898">
        <v>5500019188</v>
      </c>
      <c r="I4898">
        <v>40</v>
      </c>
      <c r="J4898" s="29">
        <v>1</v>
      </c>
      <c r="K4898" s="29" t="s">
        <v>777</v>
      </c>
      <c r="L4898" t="str">
        <f>IFERROR(VLOOKUP(Detalle_OC[[#This Row],[Centro]]&amp;Detalle_OC[[#This Row],[Nro Almacen]],Almacen!A:D,4,FALSE),"")</f>
        <v>Montelima</v>
      </c>
    </row>
    <row r="4899" spans="1:12" x14ac:dyDescent="0.3">
      <c r="A4899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4899" t="s">
        <v>28</v>
      </c>
      <c r="C4899" t="s">
        <v>82</v>
      </c>
      <c r="D4899" s="11">
        <v>43297</v>
      </c>
      <c r="E4899" t="s">
        <v>16</v>
      </c>
      <c r="F4899" t="s">
        <v>12</v>
      </c>
      <c r="G4899">
        <v>844523</v>
      </c>
      <c r="H4899">
        <v>5500019188</v>
      </c>
      <c r="I4899">
        <v>140</v>
      </c>
      <c r="J4899" s="29">
        <v>1</v>
      </c>
      <c r="K4899" s="29" t="s">
        <v>777</v>
      </c>
      <c r="L4899" t="str">
        <f>IFERROR(VLOOKUP(Detalle_OC[[#This Row],[Centro]]&amp;Detalle_OC[[#This Row],[Nro Almacen]],Almacen!A:D,4,FALSE),"")</f>
        <v>Montelima</v>
      </c>
    </row>
    <row r="4900" spans="1:12" x14ac:dyDescent="0.3">
      <c r="A4900" s="29" t="str">
        <f>Detalle_OC[[#This Row],[Centro]]&amp;Detalle_OC[[#This Row],[Nom Almacen]]&amp;Detalle_OC[[#This Row],[Material]]&amp;Detalle_OC[[#This Row],[Pedido]]&amp;Detalle_OC[[#This Row],[Posicion]]</f>
        <v>Agricola del Chira PlantaMontelima8445335500019188170</v>
      </c>
      <c r="B4900" t="s">
        <v>28</v>
      </c>
      <c r="C4900" t="s">
        <v>82</v>
      </c>
      <c r="D4900" s="11">
        <v>43297</v>
      </c>
      <c r="E4900" t="s">
        <v>16</v>
      </c>
      <c r="F4900" t="s">
        <v>12</v>
      </c>
      <c r="G4900">
        <v>844533</v>
      </c>
      <c r="H4900">
        <v>5500019188</v>
      </c>
      <c r="I4900">
        <v>170</v>
      </c>
      <c r="J4900" s="29">
        <v>1</v>
      </c>
      <c r="K4900" s="29" t="s">
        <v>777</v>
      </c>
      <c r="L4900" t="str">
        <f>IFERROR(VLOOKUP(Detalle_OC[[#This Row],[Centro]]&amp;Detalle_OC[[#This Row],[Nro Almacen]],Almacen!A:D,4,FALSE),"")</f>
        <v>Montelima</v>
      </c>
    </row>
    <row r="4901" spans="1:12" x14ac:dyDescent="0.3">
      <c r="A4901" s="29" t="str">
        <f>Detalle_OC[[#This Row],[Centro]]&amp;Detalle_OC[[#This Row],[Nom Almacen]]&amp;Detalle_OC[[#This Row],[Material]]&amp;Detalle_OC[[#This Row],[Pedido]]&amp;Detalle_OC[[#This Row],[Posicion]]</f>
        <v>Agricola del Chira PlantaMontelima8445405500019188230</v>
      </c>
      <c r="B4901" t="s">
        <v>28</v>
      </c>
      <c r="C4901" t="s">
        <v>82</v>
      </c>
      <c r="D4901" s="11">
        <v>43297</v>
      </c>
      <c r="E4901" t="s">
        <v>16</v>
      </c>
      <c r="F4901" t="s">
        <v>12</v>
      </c>
      <c r="G4901">
        <v>844540</v>
      </c>
      <c r="H4901">
        <v>5500019188</v>
      </c>
      <c r="I4901">
        <v>230</v>
      </c>
      <c r="J4901" s="29">
        <v>1</v>
      </c>
      <c r="K4901" s="29" t="s">
        <v>777</v>
      </c>
      <c r="L4901" t="str">
        <f>IFERROR(VLOOKUP(Detalle_OC[[#This Row],[Centro]]&amp;Detalle_OC[[#This Row],[Nro Almacen]],Almacen!A:D,4,FALSE),"")</f>
        <v>Montelima</v>
      </c>
    </row>
    <row r="4902" spans="1:12" x14ac:dyDescent="0.3">
      <c r="A4902" s="29" t="str">
        <f>Detalle_OC[[#This Row],[Centro]]&amp;Detalle_OC[[#This Row],[Nom Almacen]]&amp;Detalle_OC[[#This Row],[Material]]&amp;Detalle_OC[[#This Row],[Pedido]]&amp;Detalle_OC[[#This Row],[Posicion]]</f>
        <v>Agricola del Chira PlantaMontelima8445215500019188410</v>
      </c>
      <c r="B4902" t="s">
        <v>28</v>
      </c>
      <c r="C4902" t="s">
        <v>82</v>
      </c>
      <c r="D4902" s="11">
        <v>43297</v>
      </c>
      <c r="E4902" t="s">
        <v>16</v>
      </c>
      <c r="F4902" t="s">
        <v>12</v>
      </c>
      <c r="G4902">
        <v>844521</v>
      </c>
      <c r="H4902">
        <v>5500019188</v>
      </c>
      <c r="I4902">
        <v>410</v>
      </c>
      <c r="J4902" s="29">
        <v>1</v>
      </c>
      <c r="K4902" s="29" t="s">
        <v>777</v>
      </c>
      <c r="L4902" t="str">
        <f>IFERROR(VLOOKUP(Detalle_OC[[#This Row],[Centro]]&amp;Detalle_OC[[#This Row],[Nro Almacen]],Almacen!A:D,4,FALSE),"")</f>
        <v>Montelima</v>
      </c>
    </row>
    <row r="4903" spans="1:12" x14ac:dyDescent="0.3">
      <c r="A4903" s="29" t="str">
        <f>Detalle_OC[[#This Row],[Centro]]&amp;Detalle_OC[[#This Row],[Nom Almacen]]&amp;Detalle_OC[[#This Row],[Material]]&amp;Detalle_OC[[#This Row],[Pedido]]&amp;Detalle_OC[[#This Row],[Posicion]]</f>
        <v>Agricola del Chira PlantaMontelima8445335500019188170</v>
      </c>
      <c r="B4903" t="s">
        <v>28</v>
      </c>
      <c r="C4903" t="s">
        <v>82</v>
      </c>
      <c r="D4903" s="11">
        <v>43283</v>
      </c>
      <c r="E4903" t="s">
        <v>16</v>
      </c>
      <c r="F4903" t="s">
        <v>12</v>
      </c>
      <c r="G4903">
        <v>844533</v>
      </c>
      <c r="H4903">
        <v>5500019188</v>
      </c>
      <c r="I4903">
        <v>170</v>
      </c>
      <c r="J4903" s="29">
        <v>1</v>
      </c>
      <c r="K4903" s="29" t="s">
        <v>778</v>
      </c>
      <c r="L4903" t="str">
        <f>IFERROR(VLOOKUP(Detalle_OC[[#This Row],[Centro]]&amp;Detalle_OC[[#This Row],[Nro Almacen]],Almacen!A:D,4,FALSE),"")</f>
        <v>Montelima</v>
      </c>
    </row>
    <row r="4904" spans="1:12" x14ac:dyDescent="0.3">
      <c r="A4904" s="29" t="str">
        <f>Detalle_OC[[#This Row],[Centro]]&amp;Detalle_OC[[#This Row],[Nom Almacen]]&amp;Detalle_OC[[#This Row],[Material]]&amp;Detalle_OC[[#This Row],[Pedido]]&amp;Detalle_OC[[#This Row],[Posicion]]</f>
        <v>Agricola del Chira PlantaMontelima7382475500019188100</v>
      </c>
      <c r="B4904" t="s">
        <v>28</v>
      </c>
      <c r="C4904" t="s">
        <v>82</v>
      </c>
      <c r="D4904" s="11">
        <v>43277</v>
      </c>
      <c r="E4904" t="s">
        <v>16</v>
      </c>
      <c r="F4904" t="s">
        <v>12</v>
      </c>
      <c r="G4904">
        <v>738247</v>
      </c>
      <c r="H4904">
        <v>5500019188</v>
      </c>
      <c r="I4904">
        <v>100</v>
      </c>
      <c r="J4904" s="29">
        <v>1</v>
      </c>
      <c r="K4904" s="29" t="s">
        <v>779</v>
      </c>
      <c r="L4904" t="str">
        <f>IFERROR(VLOOKUP(Detalle_OC[[#This Row],[Centro]]&amp;Detalle_OC[[#This Row],[Nro Almacen]],Almacen!A:D,4,FALSE),"")</f>
        <v>Montelima</v>
      </c>
    </row>
    <row r="4905" spans="1:12" x14ac:dyDescent="0.3">
      <c r="A4905" s="29" t="str">
        <f>Detalle_OC[[#This Row],[Centro]]&amp;Detalle_OC[[#This Row],[Nom Almacen]]&amp;Detalle_OC[[#This Row],[Material]]&amp;Detalle_OC[[#This Row],[Pedido]]&amp;Detalle_OC[[#This Row],[Posicion]]</f>
        <v>Agricola del Chira PlantaMontelima82720055000191881280</v>
      </c>
      <c r="B4905" t="s">
        <v>28</v>
      </c>
      <c r="C4905" t="s">
        <v>82</v>
      </c>
      <c r="D4905" s="11">
        <v>43277</v>
      </c>
      <c r="E4905" t="s">
        <v>16</v>
      </c>
      <c r="F4905" t="s">
        <v>12</v>
      </c>
      <c r="G4905">
        <v>827200</v>
      </c>
      <c r="H4905">
        <v>5500019188</v>
      </c>
      <c r="I4905">
        <v>1280</v>
      </c>
      <c r="J4905" s="29">
        <v>1</v>
      </c>
      <c r="K4905" s="29" t="s">
        <v>779</v>
      </c>
      <c r="L4905" t="str">
        <f>IFERROR(VLOOKUP(Detalle_OC[[#This Row],[Centro]]&amp;Detalle_OC[[#This Row],[Nro Almacen]],Almacen!A:D,4,FALSE),"")</f>
        <v>Montelima</v>
      </c>
    </row>
    <row r="4906" spans="1:12" x14ac:dyDescent="0.3">
      <c r="A4906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4906" t="s">
        <v>28</v>
      </c>
      <c r="C4906" t="s">
        <v>82</v>
      </c>
      <c r="D4906" s="11">
        <v>43277</v>
      </c>
      <c r="E4906" t="s">
        <v>16</v>
      </c>
      <c r="F4906" t="s">
        <v>12</v>
      </c>
      <c r="G4906">
        <v>844516</v>
      </c>
      <c r="H4906">
        <v>5500019188</v>
      </c>
      <c r="I4906">
        <v>190</v>
      </c>
      <c r="J4906" s="29">
        <v>1</v>
      </c>
      <c r="K4906" s="29" t="s">
        <v>780</v>
      </c>
      <c r="L4906" t="str">
        <f>IFERROR(VLOOKUP(Detalle_OC[[#This Row],[Centro]]&amp;Detalle_OC[[#This Row],[Nro Almacen]],Almacen!A:D,4,FALSE),"")</f>
        <v>Montelima</v>
      </c>
    </row>
    <row r="4907" spans="1:12" x14ac:dyDescent="0.3">
      <c r="A4907" s="29" t="str">
        <f>Detalle_OC[[#This Row],[Centro]]&amp;Detalle_OC[[#This Row],[Nom Almacen]]&amp;Detalle_OC[[#This Row],[Material]]&amp;Detalle_OC[[#This Row],[Pedido]]&amp;Detalle_OC[[#This Row],[Posicion]]</f>
        <v>Agricola del Chira PlantaMontelima8445095500019188260</v>
      </c>
      <c r="B4907" t="s">
        <v>28</v>
      </c>
      <c r="C4907" t="s">
        <v>82</v>
      </c>
      <c r="D4907" s="11">
        <v>43278</v>
      </c>
      <c r="E4907" t="s">
        <v>16</v>
      </c>
      <c r="F4907" t="s">
        <v>12</v>
      </c>
      <c r="G4907">
        <v>844509</v>
      </c>
      <c r="H4907">
        <v>5500019188</v>
      </c>
      <c r="I4907">
        <v>260</v>
      </c>
      <c r="J4907" s="29">
        <v>1</v>
      </c>
      <c r="K4907" s="29" t="s">
        <v>780</v>
      </c>
      <c r="L4907" t="str">
        <f>IFERROR(VLOOKUP(Detalle_OC[[#This Row],[Centro]]&amp;Detalle_OC[[#This Row],[Nro Almacen]],Almacen!A:D,4,FALSE),"")</f>
        <v>Montelima</v>
      </c>
    </row>
    <row r="4908" spans="1:12" x14ac:dyDescent="0.3">
      <c r="A4908" s="29" t="str">
        <f>Detalle_OC[[#This Row],[Centro]]&amp;Detalle_OC[[#This Row],[Nom Almacen]]&amp;Detalle_OC[[#This Row],[Material]]&amp;Detalle_OC[[#This Row],[Pedido]]&amp;Detalle_OC[[#This Row],[Posicion]]</f>
        <v>Agricola del Chira PlantaMontelima8445185500019188270</v>
      </c>
      <c r="B4908" t="s">
        <v>28</v>
      </c>
      <c r="C4908" t="s">
        <v>82</v>
      </c>
      <c r="D4908" s="11">
        <v>43278</v>
      </c>
      <c r="E4908" t="s">
        <v>16</v>
      </c>
      <c r="F4908" t="s">
        <v>12</v>
      </c>
      <c r="G4908">
        <v>844518</v>
      </c>
      <c r="H4908">
        <v>5500019188</v>
      </c>
      <c r="I4908">
        <v>270</v>
      </c>
      <c r="J4908" s="29">
        <v>1</v>
      </c>
      <c r="K4908" s="29" t="s">
        <v>780</v>
      </c>
      <c r="L4908" t="str">
        <f>IFERROR(VLOOKUP(Detalle_OC[[#This Row],[Centro]]&amp;Detalle_OC[[#This Row],[Nro Almacen]],Almacen!A:D,4,FALSE),"")</f>
        <v>Montelima</v>
      </c>
    </row>
    <row r="4909" spans="1:12" x14ac:dyDescent="0.3">
      <c r="A4909" s="29" t="str">
        <f>Detalle_OC[[#This Row],[Centro]]&amp;Detalle_OC[[#This Row],[Nom Almacen]]&amp;Detalle_OC[[#This Row],[Material]]&amp;Detalle_OC[[#This Row],[Pedido]]&amp;Detalle_OC[[#This Row],[Posicion]]</f>
        <v>Agricola del Chira PlantaMontelima8443985500019188290</v>
      </c>
      <c r="B4909" t="s">
        <v>28</v>
      </c>
      <c r="C4909" t="s">
        <v>82</v>
      </c>
      <c r="D4909" s="11">
        <v>43278</v>
      </c>
      <c r="E4909" t="s">
        <v>16</v>
      </c>
      <c r="F4909" t="s">
        <v>12</v>
      </c>
      <c r="G4909">
        <v>844398</v>
      </c>
      <c r="H4909">
        <v>5500019188</v>
      </c>
      <c r="I4909">
        <v>290</v>
      </c>
      <c r="J4909" s="29">
        <v>1</v>
      </c>
      <c r="K4909" s="29" t="s">
        <v>780</v>
      </c>
      <c r="L4909" t="str">
        <f>IFERROR(VLOOKUP(Detalle_OC[[#This Row],[Centro]]&amp;Detalle_OC[[#This Row],[Nro Almacen]],Almacen!A:D,4,FALSE),"")</f>
        <v>Montelima</v>
      </c>
    </row>
    <row r="4910" spans="1:12" x14ac:dyDescent="0.3">
      <c r="A4910" s="29" t="str">
        <f>Detalle_OC[[#This Row],[Centro]]&amp;Detalle_OC[[#This Row],[Nom Almacen]]&amp;Detalle_OC[[#This Row],[Material]]&amp;Detalle_OC[[#This Row],[Pedido]]&amp;Detalle_OC[[#This Row],[Posicion]]</f>
        <v>Agricola del Chira PlantaMontelima7003087955000191881700</v>
      </c>
      <c r="B4910" t="s">
        <v>28</v>
      </c>
      <c r="C4910" t="s">
        <v>82</v>
      </c>
      <c r="D4910" s="11">
        <v>43270</v>
      </c>
      <c r="E4910" t="s">
        <v>16</v>
      </c>
      <c r="F4910" t="s">
        <v>12</v>
      </c>
      <c r="G4910">
        <v>70030879</v>
      </c>
      <c r="H4910">
        <v>5500019188</v>
      </c>
      <c r="I4910">
        <v>1700</v>
      </c>
      <c r="J4910" s="29">
        <v>1</v>
      </c>
      <c r="K4910" s="29" t="s">
        <v>781</v>
      </c>
      <c r="L4910" t="str">
        <f>IFERROR(VLOOKUP(Detalle_OC[[#This Row],[Centro]]&amp;Detalle_OC[[#This Row],[Nro Almacen]],Almacen!A:D,4,FALSE),"")</f>
        <v>Montelima</v>
      </c>
    </row>
    <row r="4911" spans="1:12" x14ac:dyDescent="0.3">
      <c r="A4911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4911" t="s">
        <v>28</v>
      </c>
      <c r="C4911" t="s">
        <v>82</v>
      </c>
      <c r="D4911" s="11">
        <v>43263</v>
      </c>
      <c r="E4911" t="s">
        <v>16</v>
      </c>
      <c r="F4911" t="s">
        <v>12</v>
      </c>
      <c r="G4911">
        <v>844522</v>
      </c>
      <c r="H4911">
        <v>5500019188</v>
      </c>
      <c r="I4911">
        <v>150</v>
      </c>
      <c r="J4911" s="29">
        <v>1</v>
      </c>
      <c r="K4911" s="29" t="s">
        <v>782</v>
      </c>
      <c r="L4911" t="str">
        <f>IFERROR(VLOOKUP(Detalle_OC[[#This Row],[Centro]]&amp;Detalle_OC[[#This Row],[Nro Almacen]],Almacen!A:D,4,FALSE),"")</f>
        <v>Montelima</v>
      </c>
    </row>
    <row r="4912" spans="1:12" x14ac:dyDescent="0.3">
      <c r="A4912" s="29" t="str">
        <f>Detalle_OC[[#This Row],[Centro]]&amp;Detalle_OC[[#This Row],[Nom Almacen]]&amp;Detalle_OC[[#This Row],[Material]]&amp;Detalle_OC[[#This Row],[Pedido]]&amp;Detalle_OC[[#This Row],[Posicion]]</f>
        <v>Agricola del Chira PlantaMontelima8445245500019188210</v>
      </c>
      <c r="B4912" t="s">
        <v>28</v>
      </c>
      <c r="C4912" t="s">
        <v>82</v>
      </c>
      <c r="D4912" s="11">
        <v>43263</v>
      </c>
      <c r="E4912" t="s">
        <v>16</v>
      </c>
      <c r="F4912" t="s">
        <v>12</v>
      </c>
      <c r="G4912">
        <v>844524</v>
      </c>
      <c r="H4912">
        <v>5500019188</v>
      </c>
      <c r="I4912">
        <v>210</v>
      </c>
      <c r="J4912" s="29">
        <v>1</v>
      </c>
      <c r="K4912" s="29" t="s">
        <v>782</v>
      </c>
      <c r="L4912" t="str">
        <f>IFERROR(VLOOKUP(Detalle_OC[[#This Row],[Centro]]&amp;Detalle_OC[[#This Row],[Nro Almacen]],Almacen!A:D,4,FALSE),"")</f>
        <v>Montelima</v>
      </c>
    </row>
    <row r="4913" spans="1:12" x14ac:dyDescent="0.3">
      <c r="A4913" s="29" t="str">
        <f>Detalle_OC[[#This Row],[Centro]]&amp;Detalle_OC[[#This Row],[Nom Almacen]]&amp;Detalle_OC[[#This Row],[Material]]&amp;Detalle_OC[[#This Row],[Pedido]]&amp;Detalle_OC[[#This Row],[Posicion]]</f>
        <v>Agricola del Chira PlantaMontelima8445185500019188270</v>
      </c>
      <c r="B4913" t="s">
        <v>28</v>
      </c>
      <c r="C4913" t="s">
        <v>82</v>
      </c>
      <c r="D4913" s="11">
        <v>43271</v>
      </c>
      <c r="E4913" t="s">
        <v>16</v>
      </c>
      <c r="F4913" t="s">
        <v>12</v>
      </c>
      <c r="G4913">
        <v>844518</v>
      </c>
      <c r="H4913">
        <v>5500019188</v>
      </c>
      <c r="I4913">
        <v>270</v>
      </c>
      <c r="J4913" s="29">
        <v>1</v>
      </c>
      <c r="K4913" s="29" t="s">
        <v>782</v>
      </c>
      <c r="L4913" t="str">
        <f>IFERROR(VLOOKUP(Detalle_OC[[#This Row],[Centro]]&amp;Detalle_OC[[#This Row],[Nro Almacen]],Almacen!A:D,4,FALSE),"")</f>
        <v>Montelima</v>
      </c>
    </row>
    <row r="4914" spans="1:12" x14ac:dyDescent="0.3">
      <c r="A4914" s="29" t="str">
        <f>Detalle_OC[[#This Row],[Centro]]&amp;Detalle_OC[[#This Row],[Nom Almacen]]&amp;Detalle_OC[[#This Row],[Material]]&amp;Detalle_OC[[#This Row],[Pedido]]&amp;Detalle_OC[[#This Row],[Posicion]]</f>
        <v>Agricola del Chira PlantaMontelima8443985500019188290</v>
      </c>
      <c r="B4914" t="s">
        <v>28</v>
      </c>
      <c r="C4914" t="s">
        <v>82</v>
      </c>
      <c r="D4914" s="11">
        <v>43263</v>
      </c>
      <c r="E4914" t="s">
        <v>16</v>
      </c>
      <c r="F4914" t="s">
        <v>12</v>
      </c>
      <c r="G4914">
        <v>844398</v>
      </c>
      <c r="H4914">
        <v>5500019188</v>
      </c>
      <c r="I4914">
        <v>290</v>
      </c>
      <c r="J4914" s="29">
        <v>1</v>
      </c>
      <c r="K4914" s="29" t="s">
        <v>782</v>
      </c>
      <c r="L4914" t="str">
        <f>IFERROR(VLOOKUP(Detalle_OC[[#This Row],[Centro]]&amp;Detalle_OC[[#This Row],[Nro Almacen]],Almacen!A:D,4,FALSE),"")</f>
        <v>Montelima</v>
      </c>
    </row>
    <row r="4915" spans="1:12" x14ac:dyDescent="0.3">
      <c r="A4915" s="29" t="str">
        <f>Detalle_OC[[#This Row],[Centro]]&amp;Detalle_OC[[#This Row],[Nom Almacen]]&amp;Detalle_OC[[#This Row],[Material]]&amp;Detalle_OC[[#This Row],[Pedido]]&amp;Detalle_OC[[#This Row],[Posicion]]</f>
        <v>Agricola del Chira PlantaMontelima7002961455000191881550</v>
      </c>
      <c r="B4915" t="s">
        <v>28</v>
      </c>
      <c r="C4915" t="s">
        <v>82</v>
      </c>
      <c r="D4915" s="11">
        <v>43263</v>
      </c>
      <c r="E4915" t="s">
        <v>16</v>
      </c>
      <c r="F4915" t="s">
        <v>12</v>
      </c>
      <c r="G4915">
        <v>70029614</v>
      </c>
      <c r="H4915">
        <v>5500019188</v>
      </c>
      <c r="I4915">
        <v>1550</v>
      </c>
      <c r="J4915" s="29">
        <v>1</v>
      </c>
      <c r="K4915" s="29" t="s">
        <v>782</v>
      </c>
      <c r="L4915" t="str">
        <f>IFERROR(VLOOKUP(Detalle_OC[[#This Row],[Centro]]&amp;Detalle_OC[[#This Row],[Nro Almacen]],Almacen!A:D,4,FALSE),"")</f>
        <v>Montelima</v>
      </c>
    </row>
    <row r="4916" spans="1:12" x14ac:dyDescent="0.3">
      <c r="A4916" s="29" t="str">
        <f>Detalle_OC[[#This Row],[Centro]]&amp;Detalle_OC[[#This Row],[Nom Almacen]]&amp;Detalle_OC[[#This Row],[Material]]&amp;Detalle_OC[[#This Row],[Pedido]]&amp;Detalle_OC[[#This Row],[Posicion]]</f>
        <v>Agricola del Chira PlantaMontelima7002966055000191881560</v>
      </c>
      <c r="B4916" t="s">
        <v>28</v>
      </c>
      <c r="C4916" t="s">
        <v>82</v>
      </c>
      <c r="D4916" s="11">
        <v>43263</v>
      </c>
      <c r="E4916" t="s">
        <v>16</v>
      </c>
      <c r="F4916" t="s">
        <v>12</v>
      </c>
      <c r="G4916">
        <v>70029660</v>
      </c>
      <c r="H4916">
        <v>5500019188</v>
      </c>
      <c r="I4916">
        <v>1560</v>
      </c>
      <c r="J4916" s="29">
        <v>1</v>
      </c>
      <c r="K4916" s="29" t="s">
        <v>782</v>
      </c>
      <c r="L4916" t="str">
        <f>IFERROR(VLOOKUP(Detalle_OC[[#This Row],[Centro]]&amp;Detalle_OC[[#This Row],[Nro Almacen]],Almacen!A:D,4,FALSE),"")</f>
        <v>Montelima</v>
      </c>
    </row>
    <row r="4917" spans="1:12" x14ac:dyDescent="0.3">
      <c r="A4917" s="29" t="str">
        <f>Detalle_OC[[#This Row],[Centro]]&amp;Detalle_OC[[#This Row],[Nom Almacen]]&amp;Detalle_OC[[#This Row],[Material]]&amp;Detalle_OC[[#This Row],[Pedido]]&amp;Detalle_OC[[#This Row],[Posicion]]</f>
        <v>Agricola del Chira PlantaMontelima7002963455000191881660</v>
      </c>
      <c r="B4917" t="s">
        <v>28</v>
      </c>
      <c r="C4917" t="s">
        <v>82</v>
      </c>
      <c r="D4917" s="11">
        <v>43263</v>
      </c>
      <c r="E4917" t="s">
        <v>16</v>
      </c>
      <c r="F4917" t="s">
        <v>12</v>
      </c>
      <c r="G4917">
        <v>70029634</v>
      </c>
      <c r="H4917">
        <v>5500019188</v>
      </c>
      <c r="I4917">
        <v>1660</v>
      </c>
      <c r="J4917" s="29">
        <v>1</v>
      </c>
      <c r="K4917" s="29" t="s">
        <v>782</v>
      </c>
      <c r="L4917" t="str">
        <f>IFERROR(VLOOKUP(Detalle_OC[[#This Row],[Centro]]&amp;Detalle_OC[[#This Row],[Nro Almacen]],Almacen!A:D,4,FALSE),"")</f>
        <v>Montelima</v>
      </c>
    </row>
    <row r="4918" spans="1:12" x14ac:dyDescent="0.3">
      <c r="A4918" s="29" t="str">
        <f>Detalle_OC[[#This Row],[Centro]]&amp;Detalle_OC[[#This Row],[Nom Almacen]]&amp;Detalle_OC[[#This Row],[Material]]&amp;Detalle_OC[[#This Row],[Pedido]]&amp;Detalle_OC[[#This Row],[Posicion]]</f>
        <v>Agricola del Chira PlantaMontelima7003088455000191881760</v>
      </c>
      <c r="B4918" t="s">
        <v>28</v>
      </c>
      <c r="C4918" t="s">
        <v>82</v>
      </c>
      <c r="D4918" s="11">
        <v>43263</v>
      </c>
      <c r="E4918" t="s">
        <v>16</v>
      </c>
      <c r="F4918" t="s">
        <v>12</v>
      </c>
      <c r="G4918">
        <v>70030884</v>
      </c>
      <c r="H4918">
        <v>5500019188</v>
      </c>
      <c r="I4918">
        <v>1760</v>
      </c>
      <c r="J4918" s="29">
        <v>1</v>
      </c>
      <c r="K4918" s="29" t="s">
        <v>782</v>
      </c>
      <c r="L4918" t="str">
        <f>IFERROR(VLOOKUP(Detalle_OC[[#This Row],[Centro]]&amp;Detalle_OC[[#This Row],[Nro Almacen]],Almacen!A:D,4,FALSE),"")</f>
        <v>Montelima</v>
      </c>
    </row>
    <row r="4919" spans="1:12" x14ac:dyDescent="0.3">
      <c r="A4919" s="29" t="str">
        <f>Detalle_OC[[#This Row],[Centro]]&amp;Detalle_OC[[#This Row],[Nom Almacen]]&amp;Detalle_OC[[#This Row],[Material]]&amp;Detalle_OC[[#This Row],[Pedido]]&amp;Detalle_OC[[#This Row],[Posicion]]</f>
        <v>Agricola del Chira PlantaMontelima7382475500019188100</v>
      </c>
      <c r="B4919" t="s">
        <v>28</v>
      </c>
      <c r="C4919" t="s">
        <v>82</v>
      </c>
      <c r="D4919" s="11">
        <v>43248</v>
      </c>
      <c r="E4919" t="s">
        <v>16</v>
      </c>
      <c r="F4919" t="s">
        <v>12</v>
      </c>
      <c r="G4919">
        <v>738247</v>
      </c>
      <c r="H4919">
        <v>5500019188</v>
      </c>
      <c r="I4919">
        <v>100</v>
      </c>
      <c r="J4919" s="29">
        <v>1</v>
      </c>
      <c r="K4919" s="29" t="s">
        <v>783</v>
      </c>
      <c r="L4919" t="str">
        <f>IFERROR(VLOOKUP(Detalle_OC[[#This Row],[Centro]]&amp;Detalle_OC[[#This Row],[Nro Almacen]],Almacen!A:D,4,FALSE),"")</f>
        <v>Montelima</v>
      </c>
    </row>
    <row r="4920" spans="1:12" x14ac:dyDescent="0.3">
      <c r="A4920" s="29" t="str">
        <f>Detalle_OC[[#This Row],[Centro]]&amp;Detalle_OC[[#This Row],[Nom Almacen]]&amp;Detalle_OC[[#This Row],[Material]]&amp;Detalle_OC[[#This Row],[Pedido]]&amp;Detalle_OC[[#This Row],[Posicion]]</f>
        <v>Agricola del Chira PlantaMontelima8445485500019188900</v>
      </c>
      <c r="B4920" t="s">
        <v>28</v>
      </c>
      <c r="C4920" t="s">
        <v>82</v>
      </c>
      <c r="D4920" s="11">
        <v>43326</v>
      </c>
      <c r="E4920" t="s">
        <v>16</v>
      </c>
      <c r="F4920" t="s">
        <v>12</v>
      </c>
      <c r="G4920">
        <v>844548</v>
      </c>
      <c r="H4920">
        <v>5500019188</v>
      </c>
      <c r="I4920">
        <v>900</v>
      </c>
      <c r="J4920" s="29">
        <v>1</v>
      </c>
      <c r="K4920" s="29" t="s">
        <v>783</v>
      </c>
      <c r="L4920" t="str">
        <f>IFERROR(VLOOKUP(Detalle_OC[[#This Row],[Centro]]&amp;Detalle_OC[[#This Row],[Nro Almacen]],Almacen!A:D,4,FALSE),"")</f>
        <v>Montelima</v>
      </c>
    </row>
    <row r="4921" spans="1:12" x14ac:dyDescent="0.3">
      <c r="A4921" s="29" t="str">
        <f>Detalle_OC[[#This Row],[Centro]]&amp;Detalle_OC[[#This Row],[Nom Almacen]]&amp;Detalle_OC[[#This Row],[Material]]&amp;Detalle_OC[[#This Row],[Pedido]]&amp;Detalle_OC[[#This Row],[Posicion]]</f>
        <v>Agricola del Chira PlantaMontelima7003088355000191881740</v>
      </c>
      <c r="B4921" t="s">
        <v>28</v>
      </c>
      <c r="C4921" t="s">
        <v>82</v>
      </c>
      <c r="D4921" s="11">
        <v>43248</v>
      </c>
      <c r="E4921" t="s">
        <v>16</v>
      </c>
      <c r="F4921" t="s">
        <v>12</v>
      </c>
      <c r="G4921">
        <v>70030883</v>
      </c>
      <c r="H4921">
        <v>5500019188</v>
      </c>
      <c r="I4921">
        <v>1740</v>
      </c>
      <c r="J4921" s="29">
        <v>1</v>
      </c>
      <c r="K4921" s="29" t="s">
        <v>783</v>
      </c>
      <c r="L4921" t="str">
        <f>IFERROR(VLOOKUP(Detalle_OC[[#This Row],[Centro]]&amp;Detalle_OC[[#This Row],[Nro Almacen]],Almacen!A:D,4,FALSE),"")</f>
        <v>Montelima</v>
      </c>
    </row>
    <row r="4922" spans="1:12" x14ac:dyDescent="0.3">
      <c r="A4922" s="29" t="str">
        <f>Detalle_OC[[#This Row],[Centro]]&amp;Detalle_OC[[#This Row],[Nom Almacen]]&amp;Detalle_OC[[#This Row],[Material]]&amp;Detalle_OC[[#This Row],[Pedido]]&amp;Detalle_OC[[#This Row],[Posicion]]</f>
        <v>Agricola del Chira PlantaMontelima761905550001918810</v>
      </c>
      <c r="B4922" t="s">
        <v>28</v>
      </c>
      <c r="C4922" t="s">
        <v>82</v>
      </c>
      <c r="D4922" s="11">
        <v>43235</v>
      </c>
      <c r="E4922" t="s">
        <v>16</v>
      </c>
      <c r="F4922" t="s">
        <v>12</v>
      </c>
      <c r="G4922">
        <v>761905</v>
      </c>
      <c r="H4922">
        <v>5500019188</v>
      </c>
      <c r="I4922">
        <v>10</v>
      </c>
      <c r="J4922" s="29">
        <v>1</v>
      </c>
      <c r="K4922" s="29" t="s">
        <v>784</v>
      </c>
      <c r="L4922" t="str">
        <f>IFERROR(VLOOKUP(Detalle_OC[[#This Row],[Centro]]&amp;Detalle_OC[[#This Row],[Nro Almacen]],Almacen!A:D,4,FALSE),"")</f>
        <v>Montelima</v>
      </c>
    </row>
    <row r="4923" spans="1:12" x14ac:dyDescent="0.3">
      <c r="A4923" s="29" t="str">
        <f>Detalle_OC[[#This Row],[Centro]]&amp;Detalle_OC[[#This Row],[Nom Almacen]]&amp;Detalle_OC[[#This Row],[Material]]&amp;Detalle_OC[[#This Row],[Pedido]]&amp;Detalle_OC[[#This Row],[Posicion]]</f>
        <v>Agricola del Chira PlantaMontelima762202550001918850</v>
      </c>
      <c r="B4923" t="s">
        <v>28</v>
      </c>
      <c r="C4923" t="s">
        <v>82</v>
      </c>
      <c r="D4923" s="11">
        <v>43235</v>
      </c>
      <c r="E4923" t="s">
        <v>16</v>
      </c>
      <c r="F4923" t="s">
        <v>12</v>
      </c>
      <c r="G4923">
        <v>762202</v>
      </c>
      <c r="H4923">
        <v>5500019188</v>
      </c>
      <c r="I4923">
        <v>50</v>
      </c>
      <c r="J4923" s="29">
        <v>1</v>
      </c>
      <c r="K4923" s="29" t="s">
        <v>784</v>
      </c>
      <c r="L4923" t="str">
        <f>IFERROR(VLOOKUP(Detalle_OC[[#This Row],[Centro]]&amp;Detalle_OC[[#This Row],[Nro Almacen]],Almacen!A:D,4,FALSE),"")</f>
        <v>Montelima</v>
      </c>
    </row>
    <row r="4924" spans="1:12" x14ac:dyDescent="0.3">
      <c r="A4924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4924" t="s">
        <v>28</v>
      </c>
      <c r="C4924" t="s">
        <v>82</v>
      </c>
      <c r="D4924" s="11">
        <v>43235</v>
      </c>
      <c r="E4924" t="s">
        <v>16</v>
      </c>
      <c r="F4924" t="s">
        <v>12</v>
      </c>
      <c r="G4924">
        <v>844522</v>
      </c>
      <c r="H4924">
        <v>5500019188</v>
      </c>
      <c r="I4924">
        <v>150</v>
      </c>
      <c r="J4924" s="29">
        <v>1</v>
      </c>
      <c r="K4924" s="29" t="s">
        <v>784</v>
      </c>
      <c r="L4924" t="str">
        <f>IFERROR(VLOOKUP(Detalle_OC[[#This Row],[Centro]]&amp;Detalle_OC[[#This Row],[Nro Almacen]],Almacen!A:D,4,FALSE),"")</f>
        <v>Montelima</v>
      </c>
    </row>
    <row r="4925" spans="1:12" x14ac:dyDescent="0.3">
      <c r="A4925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4925" t="s">
        <v>28</v>
      </c>
      <c r="C4925" t="s">
        <v>82</v>
      </c>
      <c r="D4925" s="11">
        <v>43235</v>
      </c>
      <c r="E4925" t="s">
        <v>16</v>
      </c>
      <c r="F4925" t="s">
        <v>12</v>
      </c>
      <c r="G4925">
        <v>844508</v>
      </c>
      <c r="H4925">
        <v>5500019188</v>
      </c>
      <c r="I4925">
        <v>220</v>
      </c>
      <c r="J4925" s="29">
        <v>1</v>
      </c>
      <c r="K4925" s="29" t="s">
        <v>784</v>
      </c>
      <c r="L4925" t="str">
        <f>IFERROR(VLOOKUP(Detalle_OC[[#This Row],[Centro]]&amp;Detalle_OC[[#This Row],[Nro Almacen]],Almacen!A:D,4,FALSE),"")</f>
        <v>Montelima</v>
      </c>
    </row>
    <row r="4926" spans="1:12" x14ac:dyDescent="0.3">
      <c r="A4926" s="29" t="str">
        <f>Detalle_OC[[#This Row],[Centro]]&amp;Detalle_OC[[#This Row],[Nom Almacen]]&amp;Detalle_OC[[#This Row],[Material]]&amp;Detalle_OC[[#This Row],[Pedido]]&amp;Detalle_OC[[#This Row],[Posicion]]</f>
        <v>Agricola del Chira PlantaMontelima8445095500019188260</v>
      </c>
      <c r="B4926" t="s">
        <v>28</v>
      </c>
      <c r="C4926" t="s">
        <v>82</v>
      </c>
      <c r="D4926" s="11">
        <v>43235</v>
      </c>
      <c r="E4926" t="s">
        <v>16</v>
      </c>
      <c r="F4926" t="s">
        <v>12</v>
      </c>
      <c r="G4926">
        <v>844509</v>
      </c>
      <c r="H4926">
        <v>5500019188</v>
      </c>
      <c r="I4926">
        <v>260</v>
      </c>
      <c r="J4926" s="29">
        <v>1</v>
      </c>
      <c r="K4926" s="29" t="s">
        <v>784</v>
      </c>
      <c r="L4926" t="str">
        <f>IFERROR(VLOOKUP(Detalle_OC[[#This Row],[Centro]]&amp;Detalle_OC[[#This Row],[Nro Almacen]],Almacen!A:D,4,FALSE),"")</f>
        <v>Montelima</v>
      </c>
    </row>
    <row r="4927" spans="1:12" x14ac:dyDescent="0.3">
      <c r="A4927" s="29" t="str">
        <f>Detalle_OC[[#This Row],[Centro]]&amp;Detalle_OC[[#This Row],[Nom Almacen]]&amp;Detalle_OC[[#This Row],[Material]]&amp;Detalle_OC[[#This Row],[Pedido]]&amp;Detalle_OC[[#This Row],[Posicion]]</f>
        <v>Agricola del Chira PlantaMontelima8445045500019188480</v>
      </c>
      <c r="B4927" t="s">
        <v>28</v>
      </c>
      <c r="C4927" t="s">
        <v>82</v>
      </c>
      <c r="D4927" s="11">
        <v>43235</v>
      </c>
      <c r="E4927" t="s">
        <v>16</v>
      </c>
      <c r="F4927" t="s">
        <v>12</v>
      </c>
      <c r="G4927">
        <v>844504</v>
      </c>
      <c r="H4927">
        <v>5500019188</v>
      </c>
      <c r="I4927">
        <v>480</v>
      </c>
      <c r="J4927" s="29">
        <v>1</v>
      </c>
      <c r="K4927" s="29" t="s">
        <v>784</v>
      </c>
      <c r="L4927" t="str">
        <f>IFERROR(VLOOKUP(Detalle_OC[[#This Row],[Centro]]&amp;Detalle_OC[[#This Row],[Nro Almacen]],Almacen!A:D,4,FALSE),"")</f>
        <v>Montelima</v>
      </c>
    </row>
    <row r="4928" spans="1:12" x14ac:dyDescent="0.3">
      <c r="A4928" s="29" t="str">
        <f>Detalle_OC[[#This Row],[Centro]]&amp;Detalle_OC[[#This Row],[Nom Almacen]]&amp;Detalle_OC[[#This Row],[Material]]&amp;Detalle_OC[[#This Row],[Pedido]]&amp;Detalle_OC[[#This Row],[Posicion]]</f>
        <v>Agricola del Chira PlantaMontelima7003070555000191881780</v>
      </c>
      <c r="B4928" t="s">
        <v>28</v>
      </c>
      <c r="C4928" t="s">
        <v>82</v>
      </c>
      <c r="D4928" s="11">
        <v>43235</v>
      </c>
      <c r="E4928" t="s">
        <v>16</v>
      </c>
      <c r="F4928" t="s">
        <v>12</v>
      </c>
      <c r="G4928">
        <v>70030705</v>
      </c>
      <c r="H4928">
        <v>5500019188</v>
      </c>
      <c r="I4928">
        <v>1780</v>
      </c>
      <c r="J4928" s="29">
        <v>1</v>
      </c>
      <c r="K4928" s="29" t="s">
        <v>784</v>
      </c>
      <c r="L4928" t="str">
        <f>IFERROR(VLOOKUP(Detalle_OC[[#This Row],[Centro]]&amp;Detalle_OC[[#This Row],[Nro Almacen]],Almacen!A:D,4,FALSE),"")</f>
        <v>Montelima</v>
      </c>
    </row>
    <row r="4929" spans="1:12" x14ac:dyDescent="0.3">
      <c r="A4929" s="29" t="str">
        <f>Detalle_OC[[#This Row],[Centro]]&amp;Detalle_OC[[#This Row],[Nom Almacen]]&amp;Detalle_OC[[#This Row],[Material]]&amp;Detalle_OC[[#This Row],[Pedido]]&amp;Detalle_OC[[#This Row],[Posicion]]</f>
        <v>Agricola del Chira PlantaMontelima762202550001918850</v>
      </c>
      <c r="B4929" t="s">
        <v>28</v>
      </c>
      <c r="C4929" t="s">
        <v>82</v>
      </c>
      <c r="D4929" s="11">
        <v>43213</v>
      </c>
      <c r="E4929" t="s">
        <v>16</v>
      </c>
      <c r="F4929" t="s">
        <v>12</v>
      </c>
      <c r="G4929">
        <v>762202</v>
      </c>
      <c r="H4929">
        <v>5500019188</v>
      </c>
      <c r="I4929">
        <v>50</v>
      </c>
      <c r="J4929" s="29">
        <v>1</v>
      </c>
      <c r="K4929" s="29" t="s">
        <v>785</v>
      </c>
      <c r="L4929" t="str">
        <f>IFERROR(VLOOKUP(Detalle_OC[[#This Row],[Centro]]&amp;Detalle_OC[[#This Row],[Nro Almacen]],Almacen!A:D,4,FALSE),"")</f>
        <v>Montelima</v>
      </c>
    </row>
    <row r="4930" spans="1:12" x14ac:dyDescent="0.3">
      <c r="A4930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4930" t="s">
        <v>28</v>
      </c>
      <c r="C4930" t="s">
        <v>82</v>
      </c>
      <c r="D4930" s="11">
        <v>43213</v>
      </c>
      <c r="E4930" t="s">
        <v>16</v>
      </c>
      <c r="F4930" t="s">
        <v>12</v>
      </c>
      <c r="G4930">
        <v>844523</v>
      </c>
      <c r="H4930">
        <v>5500019188</v>
      </c>
      <c r="I4930">
        <v>140</v>
      </c>
      <c r="J4930" s="29">
        <v>1</v>
      </c>
      <c r="K4930" s="29" t="s">
        <v>785</v>
      </c>
      <c r="L4930" t="str">
        <f>IFERROR(VLOOKUP(Detalle_OC[[#This Row],[Centro]]&amp;Detalle_OC[[#This Row],[Nro Almacen]],Almacen!A:D,4,FALSE),"")</f>
        <v>Montelima</v>
      </c>
    </row>
    <row r="4931" spans="1:12" x14ac:dyDescent="0.3">
      <c r="A4931" s="29" t="str">
        <f>Detalle_OC[[#This Row],[Centro]]&amp;Detalle_OC[[#This Row],[Nom Almacen]]&amp;Detalle_OC[[#This Row],[Material]]&amp;Detalle_OC[[#This Row],[Pedido]]&amp;Detalle_OC[[#This Row],[Posicion]]</f>
        <v>Agricola del Chira PlantaMontelima8445095500019188260</v>
      </c>
      <c r="B4931" t="s">
        <v>28</v>
      </c>
      <c r="C4931" t="s">
        <v>82</v>
      </c>
      <c r="D4931" s="11">
        <v>43213</v>
      </c>
      <c r="E4931" t="s">
        <v>16</v>
      </c>
      <c r="F4931" t="s">
        <v>12</v>
      </c>
      <c r="G4931">
        <v>844509</v>
      </c>
      <c r="H4931">
        <v>5500019188</v>
      </c>
      <c r="I4931">
        <v>260</v>
      </c>
      <c r="J4931" s="29">
        <v>1</v>
      </c>
      <c r="K4931" s="29" t="s">
        <v>785</v>
      </c>
      <c r="L4931" t="str">
        <f>IFERROR(VLOOKUP(Detalle_OC[[#This Row],[Centro]]&amp;Detalle_OC[[#This Row],[Nro Almacen]],Almacen!A:D,4,FALSE),"")</f>
        <v>Montelima</v>
      </c>
    </row>
    <row r="4932" spans="1:12" x14ac:dyDescent="0.3">
      <c r="A4932" s="29" t="str">
        <f>Detalle_OC[[#This Row],[Centro]]&amp;Detalle_OC[[#This Row],[Nom Almacen]]&amp;Detalle_OC[[#This Row],[Material]]&amp;Detalle_OC[[#This Row],[Pedido]]&amp;Detalle_OC[[#This Row],[Posicion]]</f>
        <v>Agricola del Chira PlantaMontelima8445185500019188270</v>
      </c>
      <c r="B4932" t="s">
        <v>28</v>
      </c>
      <c r="C4932" t="s">
        <v>82</v>
      </c>
      <c r="D4932" s="11">
        <v>43213</v>
      </c>
      <c r="E4932" t="s">
        <v>16</v>
      </c>
      <c r="F4932" t="s">
        <v>12</v>
      </c>
      <c r="G4932">
        <v>844518</v>
      </c>
      <c r="H4932">
        <v>5500019188</v>
      </c>
      <c r="I4932">
        <v>270</v>
      </c>
      <c r="J4932" s="29">
        <v>1</v>
      </c>
      <c r="K4932" s="29" t="s">
        <v>785</v>
      </c>
      <c r="L4932" t="str">
        <f>IFERROR(VLOOKUP(Detalle_OC[[#This Row],[Centro]]&amp;Detalle_OC[[#This Row],[Nro Almacen]],Almacen!A:D,4,FALSE),"")</f>
        <v>Montelima</v>
      </c>
    </row>
    <row r="4933" spans="1:12" x14ac:dyDescent="0.3">
      <c r="A4933" s="29" t="str">
        <f>Detalle_OC[[#This Row],[Centro]]&amp;Detalle_OC[[#This Row],[Nom Almacen]]&amp;Detalle_OC[[#This Row],[Material]]&amp;Detalle_OC[[#This Row],[Pedido]]&amp;Detalle_OC[[#This Row],[Posicion]]</f>
        <v>Agricola del Chira PlantaMontelima8445095500019188260</v>
      </c>
      <c r="B4933" t="s">
        <v>28</v>
      </c>
      <c r="C4933" t="s">
        <v>82</v>
      </c>
      <c r="D4933" s="11">
        <v>43200</v>
      </c>
      <c r="E4933" t="s">
        <v>16</v>
      </c>
      <c r="F4933" t="s">
        <v>12</v>
      </c>
      <c r="G4933">
        <v>844509</v>
      </c>
      <c r="H4933">
        <v>5500019188</v>
      </c>
      <c r="I4933">
        <v>260</v>
      </c>
      <c r="J4933" s="29">
        <v>1</v>
      </c>
      <c r="K4933" s="29" t="s">
        <v>786</v>
      </c>
      <c r="L4933" t="str">
        <f>IFERROR(VLOOKUP(Detalle_OC[[#This Row],[Centro]]&amp;Detalle_OC[[#This Row],[Nro Almacen]],Almacen!A:D,4,FALSE),"")</f>
        <v>Montelima</v>
      </c>
    </row>
    <row r="4934" spans="1:12" x14ac:dyDescent="0.3">
      <c r="A4934" s="29" t="str">
        <f>Detalle_OC[[#This Row],[Centro]]&amp;Detalle_OC[[#This Row],[Nom Almacen]]&amp;Detalle_OC[[#This Row],[Material]]&amp;Detalle_OC[[#This Row],[Pedido]]&amp;Detalle_OC[[#This Row],[Posicion]]</f>
        <v>Agricola del Chira PlantaMontelima8445395500019188300</v>
      </c>
      <c r="B4934" t="s">
        <v>28</v>
      </c>
      <c r="C4934" t="s">
        <v>82</v>
      </c>
      <c r="D4934" s="11">
        <v>43200</v>
      </c>
      <c r="E4934" t="s">
        <v>16</v>
      </c>
      <c r="F4934" t="s">
        <v>12</v>
      </c>
      <c r="G4934">
        <v>844539</v>
      </c>
      <c r="H4934">
        <v>5500019188</v>
      </c>
      <c r="I4934">
        <v>300</v>
      </c>
      <c r="J4934" s="29">
        <v>1</v>
      </c>
      <c r="K4934" s="29" t="s">
        <v>786</v>
      </c>
      <c r="L4934" t="str">
        <f>IFERROR(VLOOKUP(Detalle_OC[[#This Row],[Centro]]&amp;Detalle_OC[[#This Row],[Nro Almacen]],Almacen!A:D,4,FALSE),"")</f>
        <v>Montelima</v>
      </c>
    </row>
    <row r="4935" spans="1:12" x14ac:dyDescent="0.3">
      <c r="A4935" s="29" t="str">
        <f>Detalle_OC[[#This Row],[Centro]]&amp;Detalle_OC[[#This Row],[Nom Almacen]]&amp;Detalle_OC[[#This Row],[Material]]&amp;Detalle_OC[[#This Row],[Pedido]]&amp;Detalle_OC[[#This Row],[Posicion]]</f>
        <v>Agricola del Chira PlantaMontelima8444905500019188400</v>
      </c>
      <c r="B4935" t="s">
        <v>28</v>
      </c>
      <c r="C4935" t="s">
        <v>82</v>
      </c>
      <c r="D4935" s="11">
        <v>43200</v>
      </c>
      <c r="E4935" t="s">
        <v>16</v>
      </c>
      <c r="F4935" t="s">
        <v>12</v>
      </c>
      <c r="G4935">
        <v>844490</v>
      </c>
      <c r="H4935">
        <v>5500019188</v>
      </c>
      <c r="I4935">
        <v>400</v>
      </c>
      <c r="J4935" s="29">
        <v>1</v>
      </c>
      <c r="K4935" s="29" t="s">
        <v>786</v>
      </c>
      <c r="L4935" t="str">
        <f>IFERROR(VLOOKUP(Detalle_OC[[#This Row],[Centro]]&amp;Detalle_OC[[#This Row],[Nro Almacen]],Almacen!A:D,4,FALSE),"")</f>
        <v>Montelima</v>
      </c>
    </row>
    <row r="4936" spans="1:12" x14ac:dyDescent="0.3">
      <c r="A4936" s="29" t="str">
        <f>Detalle_OC[[#This Row],[Centro]]&amp;Detalle_OC[[#This Row],[Nom Almacen]]&amp;Detalle_OC[[#This Row],[Material]]&amp;Detalle_OC[[#This Row],[Pedido]]&amp;Detalle_OC[[#This Row],[Posicion]]</f>
        <v>Agricola del Chira PlantaMontelima8444995500019188740</v>
      </c>
      <c r="B4936" t="s">
        <v>28</v>
      </c>
      <c r="C4936" t="s">
        <v>82</v>
      </c>
      <c r="D4936" s="11">
        <v>43200</v>
      </c>
      <c r="E4936" t="s">
        <v>16</v>
      </c>
      <c r="F4936" t="s">
        <v>12</v>
      </c>
      <c r="G4936">
        <v>844499</v>
      </c>
      <c r="H4936">
        <v>5500019188</v>
      </c>
      <c r="I4936">
        <v>740</v>
      </c>
      <c r="J4936" s="29">
        <v>1</v>
      </c>
      <c r="K4936" s="29" t="s">
        <v>786</v>
      </c>
      <c r="L4936" t="str">
        <f>IFERROR(VLOOKUP(Detalle_OC[[#This Row],[Centro]]&amp;Detalle_OC[[#This Row],[Nro Almacen]],Almacen!A:D,4,FALSE),"")</f>
        <v>Montelima</v>
      </c>
    </row>
    <row r="4937" spans="1:12" x14ac:dyDescent="0.3">
      <c r="A4937" s="29" t="str">
        <f>Detalle_OC[[#This Row],[Centro]]&amp;Detalle_OC[[#This Row],[Nom Almacen]]&amp;Detalle_OC[[#This Row],[Material]]&amp;Detalle_OC[[#This Row],[Pedido]]&amp;Detalle_OC[[#This Row],[Posicion]]</f>
        <v>Agricola del Chira PlantaMontelima8445465500019188890</v>
      </c>
      <c r="B4937" t="s">
        <v>28</v>
      </c>
      <c r="C4937" t="s">
        <v>82</v>
      </c>
      <c r="D4937" s="11">
        <v>43200</v>
      </c>
      <c r="E4937" t="s">
        <v>16</v>
      </c>
      <c r="F4937" t="s">
        <v>12</v>
      </c>
      <c r="G4937">
        <v>844546</v>
      </c>
      <c r="H4937">
        <v>5500019188</v>
      </c>
      <c r="I4937">
        <v>890</v>
      </c>
      <c r="J4937" s="29">
        <v>1</v>
      </c>
      <c r="K4937" s="29" t="s">
        <v>786</v>
      </c>
      <c r="L4937" t="str">
        <f>IFERROR(VLOOKUP(Detalle_OC[[#This Row],[Centro]]&amp;Detalle_OC[[#This Row],[Nro Almacen]],Almacen!A:D,4,FALSE),"")</f>
        <v>Montelima</v>
      </c>
    </row>
    <row r="4938" spans="1:12" x14ac:dyDescent="0.3">
      <c r="A4938" s="29" t="str">
        <f>Detalle_OC[[#This Row],[Centro]]&amp;Detalle_OC[[#This Row],[Nom Almacen]]&amp;Detalle_OC[[#This Row],[Material]]&amp;Detalle_OC[[#This Row],[Pedido]]&amp;Detalle_OC[[#This Row],[Posicion]]</f>
        <v>Agricola del Chira PlantaMontelima84557255000191881300</v>
      </c>
      <c r="B4938" t="s">
        <v>28</v>
      </c>
      <c r="C4938" t="s">
        <v>82</v>
      </c>
      <c r="D4938" s="11">
        <v>43200</v>
      </c>
      <c r="E4938" t="s">
        <v>16</v>
      </c>
      <c r="F4938" t="s">
        <v>12</v>
      </c>
      <c r="G4938">
        <v>845572</v>
      </c>
      <c r="H4938">
        <v>5500019188</v>
      </c>
      <c r="I4938">
        <v>1300</v>
      </c>
      <c r="J4938" s="29">
        <v>1</v>
      </c>
      <c r="K4938" s="29" t="s">
        <v>786</v>
      </c>
      <c r="L4938" t="str">
        <f>IFERROR(VLOOKUP(Detalle_OC[[#This Row],[Centro]]&amp;Detalle_OC[[#This Row],[Nro Almacen]],Almacen!A:D,4,FALSE),"")</f>
        <v>Montelima</v>
      </c>
    </row>
    <row r="4939" spans="1:12" x14ac:dyDescent="0.3">
      <c r="A4939" s="29" t="str">
        <f>Detalle_OC[[#This Row],[Centro]]&amp;Detalle_OC[[#This Row],[Nom Almacen]]&amp;Detalle_OC[[#This Row],[Material]]&amp;Detalle_OC[[#This Row],[Pedido]]&amp;Detalle_OC[[#This Row],[Posicion]]</f>
        <v>Agricola del Chira PlantaMontelima83507555000191881310</v>
      </c>
      <c r="B4939" t="s">
        <v>28</v>
      </c>
      <c r="C4939" t="s">
        <v>82</v>
      </c>
      <c r="D4939" s="11">
        <v>43200</v>
      </c>
      <c r="E4939" t="s">
        <v>16</v>
      </c>
      <c r="F4939" t="s">
        <v>12</v>
      </c>
      <c r="G4939">
        <v>835075</v>
      </c>
      <c r="H4939">
        <v>5500019188</v>
      </c>
      <c r="I4939">
        <v>1310</v>
      </c>
      <c r="J4939" s="29">
        <v>1</v>
      </c>
      <c r="K4939" s="29" t="s">
        <v>786</v>
      </c>
      <c r="L4939" t="str">
        <f>IFERROR(VLOOKUP(Detalle_OC[[#This Row],[Centro]]&amp;Detalle_OC[[#This Row],[Nro Almacen]],Almacen!A:D,4,FALSE),"")</f>
        <v>Montelima</v>
      </c>
    </row>
    <row r="4940" spans="1:12" x14ac:dyDescent="0.3">
      <c r="A4940" s="29" t="str">
        <f>Detalle_OC[[#This Row],[Centro]]&amp;Detalle_OC[[#This Row],[Nom Almacen]]&amp;Detalle_OC[[#This Row],[Material]]&amp;Detalle_OC[[#This Row],[Pedido]]&amp;Detalle_OC[[#This Row],[Posicion]]</f>
        <v>Agricola del Chira PlantaMontelima83507855000191881330</v>
      </c>
      <c r="B4940" t="s">
        <v>28</v>
      </c>
      <c r="C4940" t="s">
        <v>82</v>
      </c>
      <c r="D4940" s="11">
        <v>43200</v>
      </c>
      <c r="E4940" t="s">
        <v>16</v>
      </c>
      <c r="F4940" t="s">
        <v>12</v>
      </c>
      <c r="G4940">
        <v>835078</v>
      </c>
      <c r="H4940">
        <v>5500019188</v>
      </c>
      <c r="I4940">
        <v>1330</v>
      </c>
      <c r="J4940" s="29">
        <v>1</v>
      </c>
      <c r="K4940" s="29" t="s">
        <v>786</v>
      </c>
      <c r="L4940" t="str">
        <f>IFERROR(VLOOKUP(Detalle_OC[[#This Row],[Centro]]&amp;Detalle_OC[[#This Row],[Nro Almacen]],Almacen!A:D,4,FALSE),"")</f>
        <v>Montelima</v>
      </c>
    </row>
    <row r="4941" spans="1:12" x14ac:dyDescent="0.3">
      <c r="A4941" s="29" t="str">
        <f>Detalle_OC[[#This Row],[Centro]]&amp;Detalle_OC[[#This Row],[Nom Almacen]]&amp;Detalle_OC[[#This Row],[Material]]&amp;Detalle_OC[[#This Row],[Pedido]]&amp;Detalle_OC[[#This Row],[Posicion]]</f>
        <v>Agricola del Chira PlantaMontelima7002961555000191881570</v>
      </c>
      <c r="B4941" t="s">
        <v>28</v>
      </c>
      <c r="C4941" t="s">
        <v>82</v>
      </c>
      <c r="D4941" s="11">
        <v>43200</v>
      </c>
      <c r="E4941" t="s">
        <v>16</v>
      </c>
      <c r="F4941" t="s">
        <v>12</v>
      </c>
      <c r="G4941">
        <v>70029615</v>
      </c>
      <c r="H4941">
        <v>5500019188</v>
      </c>
      <c r="I4941">
        <v>1570</v>
      </c>
      <c r="J4941" s="29">
        <v>1</v>
      </c>
      <c r="K4941" s="29" t="s">
        <v>786</v>
      </c>
      <c r="L4941" t="str">
        <f>IFERROR(VLOOKUP(Detalle_OC[[#This Row],[Centro]]&amp;Detalle_OC[[#This Row],[Nro Almacen]],Almacen!A:D,4,FALSE),"")</f>
        <v>Montelima</v>
      </c>
    </row>
    <row r="4942" spans="1:12" x14ac:dyDescent="0.3">
      <c r="A4942" s="29" t="str">
        <f>Detalle_OC[[#This Row],[Centro]]&amp;Detalle_OC[[#This Row],[Nom Almacen]]&amp;Detalle_OC[[#This Row],[Material]]&amp;Detalle_OC[[#This Row],[Pedido]]&amp;Detalle_OC[[#This Row],[Posicion]]</f>
        <v>Agricola del Chira PlantaMontelima7002961655000191881580</v>
      </c>
      <c r="B4942" t="s">
        <v>28</v>
      </c>
      <c r="C4942" t="s">
        <v>82</v>
      </c>
      <c r="D4942" s="11">
        <v>43200</v>
      </c>
      <c r="E4942" t="s">
        <v>16</v>
      </c>
      <c r="F4942" t="s">
        <v>12</v>
      </c>
      <c r="G4942">
        <v>70029616</v>
      </c>
      <c r="H4942">
        <v>5500019188</v>
      </c>
      <c r="I4942">
        <v>1580</v>
      </c>
      <c r="J4942" s="29">
        <v>1</v>
      </c>
      <c r="K4942" s="29" t="s">
        <v>786</v>
      </c>
      <c r="L4942" t="str">
        <f>IFERROR(VLOOKUP(Detalle_OC[[#This Row],[Centro]]&amp;Detalle_OC[[#This Row],[Nro Almacen]],Almacen!A:D,4,FALSE),"")</f>
        <v>Montelima</v>
      </c>
    </row>
    <row r="4943" spans="1:12" x14ac:dyDescent="0.3">
      <c r="A4943" s="29" t="str">
        <f>Detalle_OC[[#This Row],[Centro]]&amp;Detalle_OC[[#This Row],[Nom Almacen]]&amp;Detalle_OC[[#This Row],[Material]]&amp;Detalle_OC[[#This Row],[Pedido]]&amp;Detalle_OC[[#This Row],[Posicion]]</f>
        <v>Agricola del Chira PlantaMontelima7003070555000191881780</v>
      </c>
      <c r="B4943" t="s">
        <v>28</v>
      </c>
      <c r="C4943" t="s">
        <v>82</v>
      </c>
      <c r="D4943" s="11">
        <v>43200</v>
      </c>
      <c r="E4943" t="s">
        <v>16</v>
      </c>
      <c r="F4943" t="s">
        <v>12</v>
      </c>
      <c r="G4943">
        <v>70030705</v>
      </c>
      <c r="H4943">
        <v>5500019188</v>
      </c>
      <c r="I4943">
        <v>1780</v>
      </c>
      <c r="J4943" s="29">
        <v>1</v>
      </c>
      <c r="K4943" s="29" t="s">
        <v>786</v>
      </c>
      <c r="L4943" t="str">
        <f>IFERROR(VLOOKUP(Detalle_OC[[#This Row],[Centro]]&amp;Detalle_OC[[#This Row],[Nro Almacen]],Almacen!A:D,4,FALSE),"")</f>
        <v>Montelima</v>
      </c>
    </row>
    <row r="4944" spans="1:12" x14ac:dyDescent="0.3">
      <c r="A4944" s="29" t="str">
        <f>Detalle_OC[[#This Row],[Centro]]&amp;Detalle_OC[[#This Row],[Nom Almacen]]&amp;Detalle_OC[[#This Row],[Material]]&amp;Detalle_OC[[#This Row],[Pedido]]&amp;Detalle_OC[[#This Row],[Posicion]]</f>
        <v>Agricola del Chira PlantaMontelima7003069455000191881790</v>
      </c>
      <c r="B4944" t="s">
        <v>28</v>
      </c>
      <c r="C4944" t="s">
        <v>82</v>
      </c>
      <c r="D4944" s="11">
        <v>43200</v>
      </c>
      <c r="E4944" t="s">
        <v>16</v>
      </c>
      <c r="F4944" t="s">
        <v>12</v>
      </c>
      <c r="G4944">
        <v>70030694</v>
      </c>
      <c r="H4944">
        <v>5500019188</v>
      </c>
      <c r="I4944">
        <v>1790</v>
      </c>
      <c r="J4944" s="29">
        <v>1</v>
      </c>
      <c r="K4944" s="29" t="s">
        <v>786</v>
      </c>
      <c r="L4944" t="str">
        <f>IFERROR(VLOOKUP(Detalle_OC[[#This Row],[Centro]]&amp;Detalle_OC[[#This Row],[Nro Almacen]],Almacen!A:D,4,FALSE),"")</f>
        <v>Montelima</v>
      </c>
    </row>
    <row r="4945" spans="1:12" x14ac:dyDescent="0.3">
      <c r="A4945" s="29" t="str">
        <f>Detalle_OC[[#This Row],[Centro]]&amp;Detalle_OC[[#This Row],[Nom Almacen]]&amp;Detalle_OC[[#This Row],[Material]]&amp;Detalle_OC[[#This Row],[Pedido]]&amp;Detalle_OC[[#This Row],[Posicion]]</f>
        <v>Agricola del Chira PlantaMontelima7003087755000191881690</v>
      </c>
      <c r="B4945" t="s">
        <v>28</v>
      </c>
      <c r="C4945" t="s">
        <v>82</v>
      </c>
      <c r="D4945" s="11">
        <v>43187</v>
      </c>
      <c r="E4945" t="s">
        <v>16</v>
      </c>
      <c r="F4945" t="s">
        <v>12</v>
      </c>
      <c r="G4945">
        <v>70030877</v>
      </c>
      <c r="H4945">
        <v>5500019188</v>
      </c>
      <c r="I4945">
        <v>1690</v>
      </c>
      <c r="J4945" s="29">
        <v>1</v>
      </c>
      <c r="K4945" s="29" t="s">
        <v>787</v>
      </c>
      <c r="L4945" t="str">
        <f>IFERROR(VLOOKUP(Detalle_OC[[#This Row],[Centro]]&amp;Detalle_OC[[#This Row],[Nro Almacen]],Almacen!A:D,4,FALSE),"")</f>
        <v>Montelima</v>
      </c>
    </row>
    <row r="4946" spans="1:12" x14ac:dyDescent="0.3">
      <c r="A4946" s="29" t="str">
        <f>Detalle_OC[[#This Row],[Centro]]&amp;Detalle_OC[[#This Row],[Nom Almacen]]&amp;Detalle_OC[[#This Row],[Material]]&amp;Detalle_OC[[#This Row],[Pedido]]&amp;Detalle_OC[[#This Row],[Posicion]]</f>
        <v>Agricola del Chira PlantaMontelima7003087955000191881700</v>
      </c>
      <c r="B4946" t="s">
        <v>28</v>
      </c>
      <c r="C4946" t="s">
        <v>82</v>
      </c>
      <c r="D4946" s="11">
        <v>43187</v>
      </c>
      <c r="E4946" t="s">
        <v>16</v>
      </c>
      <c r="F4946" t="s">
        <v>12</v>
      </c>
      <c r="G4946">
        <v>70030879</v>
      </c>
      <c r="H4946">
        <v>5500019188</v>
      </c>
      <c r="I4946">
        <v>1700</v>
      </c>
      <c r="J4946" s="29">
        <v>1</v>
      </c>
      <c r="K4946" s="29" t="s">
        <v>787</v>
      </c>
      <c r="L4946" t="str">
        <f>IFERROR(VLOOKUP(Detalle_OC[[#This Row],[Centro]]&amp;Detalle_OC[[#This Row],[Nro Almacen]],Almacen!A:D,4,FALSE),"")</f>
        <v>Montelima</v>
      </c>
    </row>
    <row r="4947" spans="1:12" x14ac:dyDescent="0.3">
      <c r="A4947" s="29" t="str">
        <f>Detalle_OC[[#This Row],[Centro]]&amp;Detalle_OC[[#This Row],[Nom Almacen]]&amp;Detalle_OC[[#This Row],[Material]]&amp;Detalle_OC[[#This Row],[Pedido]]&amp;Detalle_OC[[#This Row],[Posicion]]</f>
        <v>Agricola del Chira PlantaMontelima7003090555000191881710</v>
      </c>
      <c r="B4947" t="s">
        <v>28</v>
      </c>
      <c r="C4947" t="s">
        <v>82</v>
      </c>
      <c r="D4947" s="11">
        <v>43187</v>
      </c>
      <c r="E4947" t="s">
        <v>16</v>
      </c>
      <c r="F4947" t="s">
        <v>12</v>
      </c>
      <c r="G4947">
        <v>70030905</v>
      </c>
      <c r="H4947">
        <v>5500019188</v>
      </c>
      <c r="I4947">
        <v>1710</v>
      </c>
      <c r="J4947" s="29">
        <v>1</v>
      </c>
      <c r="K4947" s="29" t="s">
        <v>787</v>
      </c>
      <c r="L4947" t="str">
        <f>IFERROR(VLOOKUP(Detalle_OC[[#This Row],[Centro]]&amp;Detalle_OC[[#This Row],[Nro Almacen]],Almacen!A:D,4,FALSE),"")</f>
        <v>Montelima</v>
      </c>
    </row>
    <row r="4948" spans="1:12" x14ac:dyDescent="0.3">
      <c r="A4948" s="29" t="str">
        <f>Detalle_OC[[#This Row],[Centro]]&amp;Detalle_OC[[#This Row],[Nom Almacen]]&amp;Detalle_OC[[#This Row],[Material]]&amp;Detalle_OC[[#This Row],[Pedido]]&amp;Detalle_OC[[#This Row],[Posicion]]</f>
        <v>Agricola del Chira PlantaMontelima7003088255000191881720</v>
      </c>
      <c r="B4948" t="s">
        <v>28</v>
      </c>
      <c r="C4948" t="s">
        <v>82</v>
      </c>
      <c r="D4948" s="11">
        <v>43187</v>
      </c>
      <c r="E4948" t="s">
        <v>16</v>
      </c>
      <c r="F4948" t="s">
        <v>12</v>
      </c>
      <c r="G4948">
        <v>70030882</v>
      </c>
      <c r="H4948">
        <v>5500019188</v>
      </c>
      <c r="I4948">
        <v>1720</v>
      </c>
      <c r="J4948" s="29">
        <v>1</v>
      </c>
      <c r="K4948" s="29" t="s">
        <v>787</v>
      </c>
      <c r="L4948" t="str">
        <f>IFERROR(VLOOKUP(Detalle_OC[[#This Row],[Centro]]&amp;Detalle_OC[[#This Row],[Nro Almacen]],Almacen!A:D,4,FALSE),"")</f>
        <v>Montelima</v>
      </c>
    </row>
    <row r="4949" spans="1:12" x14ac:dyDescent="0.3">
      <c r="A4949" s="29" t="str">
        <f>Detalle_OC[[#This Row],[Centro]]&amp;Detalle_OC[[#This Row],[Nom Almacen]]&amp;Detalle_OC[[#This Row],[Material]]&amp;Detalle_OC[[#This Row],[Pedido]]&amp;Detalle_OC[[#This Row],[Posicion]]</f>
        <v>Agricola del Chira PlantaMontelima7003087855000191881730</v>
      </c>
      <c r="B4949" t="s">
        <v>28</v>
      </c>
      <c r="C4949" t="s">
        <v>82</v>
      </c>
      <c r="D4949" s="11">
        <v>43187</v>
      </c>
      <c r="E4949" t="s">
        <v>16</v>
      </c>
      <c r="F4949" t="s">
        <v>12</v>
      </c>
      <c r="G4949">
        <v>70030878</v>
      </c>
      <c r="H4949">
        <v>5500019188</v>
      </c>
      <c r="I4949">
        <v>1730</v>
      </c>
      <c r="J4949" s="29">
        <v>1</v>
      </c>
      <c r="K4949" s="29" t="s">
        <v>787</v>
      </c>
      <c r="L4949" t="str">
        <f>IFERROR(VLOOKUP(Detalle_OC[[#This Row],[Centro]]&amp;Detalle_OC[[#This Row],[Nro Almacen]],Almacen!A:D,4,FALSE),"")</f>
        <v>Montelima</v>
      </c>
    </row>
    <row r="4950" spans="1:12" x14ac:dyDescent="0.3">
      <c r="A4950" s="29" t="str">
        <f>Detalle_OC[[#This Row],[Centro]]&amp;Detalle_OC[[#This Row],[Nom Almacen]]&amp;Detalle_OC[[#This Row],[Material]]&amp;Detalle_OC[[#This Row],[Pedido]]&amp;Detalle_OC[[#This Row],[Posicion]]</f>
        <v>Agricola del Chira PlantaMontelima7003088055000191881750</v>
      </c>
      <c r="B4950" t="s">
        <v>28</v>
      </c>
      <c r="C4950" t="s">
        <v>82</v>
      </c>
      <c r="D4950" s="11">
        <v>43187</v>
      </c>
      <c r="E4950" t="s">
        <v>16</v>
      </c>
      <c r="F4950" t="s">
        <v>12</v>
      </c>
      <c r="G4950">
        <v>70030880</v>
      </c>
      <c r="H4950">
        <v>5500019188</v>
      </c>
      <c r="I4950">
        <v>1750</v>
      </c>
      <c r="J4950" s="29">
        <v>1</v>
      </c>
      <c r="K4950" s="29" t="s">
        <v>787</v>
      </c>
      <c r="L4950" t="str">
        <f>IFERROR(VLOOKUP(Detalle_OC[[#This Row],[Centro]]&amp;Detalle_OC[[#This Row],[Nro Almacen]],Almacen!A:D,4,FALSE),"")</f>
        <v>Montelima</v>
      </c>
    </row>
    <row r="4951" spans="1:12" x14ac:dyDescent="0.3">
      <c r="A4951" s="29" t="str">
        <f>Detalle_OC[[#This Row],[Centro]]&amp;Detalle_OC[[#This Row],[Nom Almacen]]&amp;Detalle_OC[[#This Row],[Material]]&amp;Detalle_OC[[#This Row],[Pedido]]&amp;Detalle_OC[[#This Row],[Posicion]]</f>
        <v>Agricola del Chira PlantaMontelima7003088155000191881770</v>
      </c>
      <c r="B4951" t="s">
        <v>28</v>
      </c>
      <c r="C4951" t="s">
        <v>82</v>
      </c>
      <c r="D4951" s="11">
        <v>43187</v>
      </c>
      <c r="E4951" t="s">
        <v>16</v>
      </c>
      <c r="F4951" t="s">
        <v>12</v>
      </c>
      <c r="G4951">
        <v>70030881</v>
      </c>
      <c r="H4951">
        <v>5500019188</v>
      </c>
      <c r="I4951">
        <v>1770</v>
      </c>
      <c r="J4951" s="29">
        <v>1</v>
      </c>
      <c r="K4951" s="29" t="s">
        <v>787</v>
      </c>
      <c r="L4951" t="str">
        <f>IFERROR(VLOOKUP(Detalle_OC[[#This Row],[Centro]]&amp;Detalle_OC[[#This Row],[Nro Almacen]],Almacen!A:D,4,FALSE),"")</f>
        <v>Montelima</v>
      </c>
    </row>
    <row r="4952" spans="1:12" x14ac:dyDescent="0.3">
      <c r="A4952" s="29" t="str">
        <f>Detalle_OC[[#This Row],[Centro]]&amp;Detalle_OC[[#This Row],[Nom Almacen]]&amp;Detalle_OC[[#This Row],[Material]]&amp;Detalle_OC[[#This Row],[Pedido]]&amp;Detalle_OC[[#This Row],[Posicion]]</f>
        <v>Agricola del Chira PlantaMontelima738330550001918820</v>
      </c>
      <c r="B4952" t="s">
        <v>28</v>
      </c>
      <c r="C4952" t="s">
        <v>82</v>
      </c>
      <c r="D4952" s="11">
        <v>43185</v>
      </c>
      <c r="E4952" t="s">
        <v>16</v>
      </c>
      <c r="F4952" t="s">
        <v>12</v>
      </c>
      <c r="G4952">
        <v>738330</v>
      </c>
      <c r="H4952">
        <v>5500019188</v>
      </c>
      <c r="I4952">
        <v>20</v>
      </c>
      <c r="J4952" s="29">
        <v>1</v>
      </c>
      <c r="K4952" s="29" t="s">
        <v>788</v>
      </c>
      <c r="L4952" t="str">
        <f>IFERROR(VLOOKUP(Detalle_OC[[#This Row],[Centro]]&amp;Detalle_OC[[#This Row],[Nro Almacen]],Almacen!A:D,4,FALSE),"")</f>
        <v>Montelima</v>
      </c>
    </row>
    <row r="4953" spans="1:12" x14ac:dyDescent="0.3">
      <c r="A4953" s="29" t="str">
        <f>Detalle_OC[[#This Row],[Centro]]&amp;Detalle_OC[[#This Row],[Nom Almacen]]&amp;Detalle_OC[[#This Row],[Material]]&amp;Detalle_OC[[#This Row],[Pedido]]&amp;Detalle_OC[[#This Row],[Posicion]]</f>
        <v>Agricola del Chira PlantaMontelima844601550001918860</v>
      </c>
      <c r="B4953" t="s">
        <v>28</v>
      </c>
      <c r="C4953" t="s">
        <v>82</v>
      </c>
      <c r="D4953" s="11">
        <v>43185</v>
      </c>
      <c r="E4953" t="s">
        <v>16</v>
      </c>
      <c r="F4953" t="s">
        <v>12</v>
      </c>
      <c r="G4953">
        <v>844601</v>
      </c>
      <c r="H4953">
        <v>5500019188</v>
      </c>
      <c r="I4953">
        <v>60</v>
      </c>
      <c r="J4953" s="29">
        <v>1</v>
      </c>
      <c r="K4953" s="29" t="s">
        <v>788</v>
      </c>
      <c r="L4953" t="str">
        <f>IFERROR(VLOOKUP(Detalle_OC[[#This Row],[Centro]]&amp;Detalle_OC[[#This Row],[Nro Almacen]],Almacen!A:D,4,FALSE),"")</f>
        <v>Montelima</v>
      </c>
    </row>
    <row r="4954" spans="1:12" x14ac:dyDescent="0.3">
      <c r="A4954" s="29" t="str">
        <f>Detalle_OC[[#This Row],[Centro]]&amp;Detalle_OC[[#This Row],[Nom Almacen]]&amp;Detalle_OC[[#This Row],[Material]]&amp;Detalle_OC[[#This Row],[Pedido]]&amp;Detalle_OC[[#This Row],[Posicion]]</f>
        <v>Agricola del Chira PlantaMontelima738248550001918870</v>
      </c>
      <c r="B4954" t="s">
        <v>28</v>
      </c>
      <c r="C4954" t="s">
        <v>82</v>
      </c>
      <c r="D4954" s="11">
        <v>43185</v>
      </c>
      <c r="E4954" t="s">
        <v>16</v>
      </c>
      <c r="F4954" t="s">
        <v>12</v>
      </c>
      <c r="G4954">
        <v>738248</v>
      </c>
      <c r="H4954">
        <v>5500019188</v>
      </c>
      <c r="I4954">
        <v>70</v>
      </c>
      <c r="J4954" s="29">
        <v>1</v>
      </c>
      <c r="K4954" s="29" t="s">
        <v>788</v>
      </c>
      <c r="L4954" t="str">
        <f>IFERROR(VLOOKUP(Detalle_OC[[#This Row],[Centro]]&amp;Detalle_OC[[#This Row],[Nro Almacen]],Almacen!A:D,4,FALSE),"")</f>
        <v>Montelima</v>
      </c>
    </row>
    <row r="4955" spans="1:12" x14ac:dyDescent="0.3">
      <c r="A4955" s="29" t="str">
        <f>Detalle_OC[[#This Row],[Centro]]&amp;Detalle_OC[[#This Row],[Nom Almacen]]&amp;Detalle_OC[[#This Row],[Material]]&amp;Detalle_OC[[#This Row],[Pedido]]&amp;Detalle_OC[[#This Row],[Posicion]]</f>
        <v>Agricola del Chira PlantaMontelima8444995500019188740</v>
      </c>
      <c r="B4955" t="s">
        <v>28</v>
      </c>
      <c r="C4955" t="s">
        <v>82</v>
      </c>
      <c r="D4955" s="11">
        <v>43185</v>
      </c>
      <c r="E4955" t="s">
        <v>16</v>
      </c>
      <c r="F4955" t="s">
        <v>12</v>
      </c>
      <c r="G4955">
        <v>844499</v>
      </c>
      <c r="H4955">
        <v>5500019188</v>
      </c>
      <c r="I4955">
        <v>740</v>
      </c>
      <c r="J4955" s="29">
        <v>1</v>
      </c>
      <c r="K4955" s="29" t="s">
        <v>788</v>
      </c>
      <c r="L4955" t="str">
        <f>IFERROR(VLOOKUP(Detalle_OC[[#This Row],[Centro]]&amp;Detalle_OC[[#This Row],[Nro Almacen]],Almacen!A:D,4,FALSE),"")</f>
        <v>Montelima</v>
      </c>
    </row>
    <row r="4956" spans="1:12" x14ac:dyDescent="0.3">
      <c r="A4956" s="29" t="str">
        <f>Detalle_OC[[#This Row],[Centro]]&amp;Detalle_OC[[#This Row],[Nom Almacen]]&amp;Detalle_OC[[#This Row],[Material]]&amp;Detalle_OC[[#This Row],[Pedido]]&amp;Detalle_OC[[#This Row],[Posicion]]</f>
        <v>Agricola del Chira PlantaMontelima8445035500019188370</v>
      </c>
      <c r="B4956" t="s">
        <v>28</v>
      </c>
      <c r="C4956" t="s">
        <v>82</v>
      </c>
      <c r="D4956" s="11">
        <v>43339</v>
      </c>
      <c r="E4956" t="s">
        <v>16</v>
      </c>
      <c r="F4956" t="s">
        <v>12</v>
      </c>
      <c r="G4956">
        <v>844503</v>
      </c>
      <c r="H4956">
        <v>5500019188</v>
      </c>
      <c r="I4956">
        <v>370</v>
      </c>
      <c r="J4956" s="29">
        <v>1</v>
      </c>
      <c r="K4956" s="29" t="s">
        <v>789</v>
      </c>
      <c r="L4956" t="str">
        <f>IFERROR(VLOOKUP(Detalle_OC[[#This Row],[Centro]]&amp;Detalle_OC[[#This Row],[Nro Almacen]],Almacen!A:D,4,FALSE),"")</f>
        <v>Montelima</v>
      </c>
    </row>
    <row r="4957" spans="1:12" x14ac:dyDescent="0.3">
      <c r="A4957" s="29" t="str">
        <f>Detalle_OC[[#This Row],[Centro]]&amp;Detalle_OC[[#This Row],[Nom Almacen]]&amp;Detalle_OC[[#This Row],[Material]]&amp;Detalle_OC[[#This Row],[Pedido]]&amp;Detalle_OC[[#This Row],[Posicion]]</f>
        <v>Agricola del Chira PlantaMontelima8457585500019188980</v>
      </c>
      <c r="B4957" t="s">
        <v>28</v>
      </c>
      <c r="C4957" t="s">
        <v>82</v>
      </c>
      <c r="D4957" s="11">
        <v>43181</v>
      </c>
      <c r="E4957" t="s">
        <v>16</v>
      </c>
      <c r="F4957" t="s">
        <v>12</v>
      </c>
      <c r="G4957">
        <v>845758</v>
      </c>
      <c r="H4957">
        <v>5500019188</v>
      </c>
      <c r="I4957">
        <v>980</v>
      </c>
      <c r="J4957" s="29">
        <v>1</v>
      </c>
      <c r="K4957" s="29" t="s">
        <v>789</v>
      </c>
      <c r="L4957" t="str">
        <f>IFERROR(VLOOKUP(Detalle_OC[[#This Row],[Centro]]&amp;Detalle_OC[[#This Row],[Nro Almacen]],Almacen!A:D,4,FALSE),"")</f>
        <v>Montelima</v>
      </c>
    </row>
    <row r="4958" spans="1:12" x14ac:dyDescent="0.3">
      <c r="A4958" s="29" t="str">
        <f>Detalle_OC[[#This Row],[Centro]]&amp;Detalle_OC[[#This Row],[Nom Almacen]]&amp;Detalle_OC[[#This Row],[Material]]&amp;Detalle_OC[[#This Row],[Pedido]]&amp;Detalle_OC[[#This Row],[Posicion]]</f>
        <v>Agricola del Chira PlantaMontelima8457915500019188990</v>
      </c>
      <c r="B4958" t="s">
        <v>28</v>
      </c>
      <c r="C4958" t="s">
        <v>82</v>
      </c>
      <c r="D4958" s="11">
        <v>43181</v>
      </c>
      <c r="E4958" t="s">
        <v>16</v>
      </c>
      <c r="F4958" t="s">
        <v>12</v>
      </c>
      <c r="G4958">
        <v>845791</v>
      </c>
      <c r="H4958">
        <v>5500019188</v>
      </c>
      <c r="I4958">
        <v>990</v>
      </c>
      <c r="J4958" s="29">
        <v>1</v>
      </c>
      <c r="K4958" s="29" t="s">
        <v>789</v>
      </c>
      <c r="L4958" t="str">
        <f>IFERROR(VLOOKUP(Detalle_OC[[#This Row],[Centro]]&amp;Detalle_OC[[#This Row],[Nro Almacen]],Almacen!A:D,4,FALSE),"")</f>
        <v>Montelima</v>
      </c>
    </row>
    <row r="4959" spans="1:12" x14ac:dyDescent="0.3">
      <c r="A4959" s="29" t="str">
        <f>Detalle_OC[[#This Row],[Centro]]&amp;Detalle_OC[[#This Row],[Nom Almacen]]&amp;Detalle_OC[[#This Row],[Material]]&amp;Detalle_OC[[#This Row],[Pedido]]&amp;Detalle_OC[[#This Row],[Posicion]]</f>
        <v>Agricola del Chira PlantaMontelima83705955000191881260</v>
      </c>
      <c r="B4959" t="s">
        <v>28</v>
      </c>
      <c r="C4959" t="s">
        <v>82</v>
      </c>
      <c r="D4959" s="11">
        <v>43181</v>
      </c>
      <c r="E4959" t="s">
        <v>16</v>
      </c>
      <c r="F4959" t="s">
        <v>12</v>
      </c>
      <c r="G4959">
        <v>837059</v>
      </c>
      <c r="H4959">
        <v>5500019188</v>
      </c>
      <c r="I4959">
        <v>1260</v>
      </c>
      <c r="J4959" s="29">
        <v>1</v>
      </c>
      <c r="K4959" s="29" t="s">
        <v>789</v>
      </c>
      <c r="L4959" t="str">
        <f>IFERROR(VLOOKUP(Detalle_OC[[#This Row],[Centro]]&amp;Detalle_OC[[#This Row],[Nro Almacen]],Almacen!A:D,4,FALSE),"")</f>
        <v>Montelima</v>
      </c>
    </row>
    <row r="4960" spans="1:12" x14ac:dyDescent="0.3">
      <c r="A4960" s="29" t="str">
        <f>Detalle_OC[[#This Row],[Centro]]&amp;Detalle_OC[[#This Row],[Nom Almacen]]&amp;Detalle_OC[[#This Row],[Material]]&amp;Detalle_OC[[#This Row],[Pedido]]&amp;Detalle_OC[[#This Row],[Posicion]]</f>
        <v>Agricola del Chira PlantaMontelima85063755000191881390</v>
      </c>
      <c r="B4960" t="s">
        <v>28</v>
      </c>
      <c r="C4960" t="s">
        <v>82</v>
      </c>
      <c r="D4960" s="11">
        <v>43181</v>
      </c>
      <c r="E4960" t="s">
        <v>16</v>
      </c>
      <c r="F4960" t="s">
        <v>12</v>
      </c>
      <c r="G4960">
        <v>850637</v>
      </c>
      <c r="H4960">
        <v>5500019188</v>
      </c>
      <c r="I4960">
        <v>1390</v>
      </c>
      <c r="J4960" s="29">
        <v>1</v>
      </c>
      <c r="K4960" s="29" t="s">
        <v>789</v>
      </c>
      <c r="L4960" t="str">
        <f>IFERROR(VLOOKUP(Detalle_OC[[#This Row],[Centro]]&amp;Detalle_OC[[#This Row],[Nro Almacen]],Almacen!A:D,4,FALSE),"")</f>
        <v>Montelima</v>
      </c>
    </row>
    <row r="4961" spans="1:12" x14ac:dyDescent="0.3">
      <c r="A4961" s="29" t="str">
        <f>Detalle_OC[[#This Row],[Centro]]&amp;Detalle_OC[[#This Row],[Nom Almacen]]&amp;Detalle_OC[[#This Row],[Material]]&amp;Detalle_OC[[#This Row],[Pedido]]&amp;Detalle_OC[[#This Row],[Posicion]]</f>
        <v>Agricola del Chira PlantaMontelima84709955000191881400</v>
      </c>
      <c r="B4961" t="s">
        <v>28</v>
      </c>
      <c r="C4961" t="s">
        <v>82</v>
      </c>
      <c r="D4961" s="11">
        <v>43181</v>
      </c>
      <c r="E4961" t="s">
        <v>16</v>
      </c>
      <c r="F4961" t="s">
        <v>12</v>
      </c>
      <c r="G4961">
        <v>847099</v>
      </c>
      <c r="H4961">
        <v>5500019188</v>
      </c>
      <c r="I4961">
        <v>1400</v>
      </c>
      <c r="J4961" s="29">
        <v>1</v>
      </c>
      <c r="K4961" s="29" t="s">
        <v>789</v>
      </c>
      <c r="L4961" t="str">
        <f>IFERROR(VLOOKUP(Detalle_OC[[#This Row],[Centro]]&amp;Detalle_OC[[#This Row],[Nro Almacen]],Almacen!A:D,4,FALSE),"")</f>
        <v>Montelima</v>
      </c>
    </row>
    <row r="4962" spans="1:12" x14ac:dyDescent="0.3">
      <c r="A4962" s="29" t="str">
        <f>Detalle_OC[[#This Row],[Centro]]&amp;Detalle_OC[[#This Row],[Nom Almacen]]&amp;Detalle_OC[[#This Row],[Material]]&amp;Detalle_OC[[#This Row],[Pedido]]&amp;Detalle_OC[[#This Row],[Posicion]]</f>
        <v>Agricola del Chira PlantaMontelima83605355000191881450</v>
      </c>
      <c r="B4962" t="s">
        <v>28</v>
      </c>
      <c r="C4962" t="s">
        <v>82</v>
      </c>
      <c r="D4962" s="11">
        <v>43181</v>
      </c>
      <c r="E4962" t="s">
        <v>16</v>
      </c>
      <c r="F4962" t="s">
        <v>12</v>
      </c>
      <c r="G4962">
        <v>836053</v>
      </c>
      <c r="H4962">
        <v>5500019188</v>
      </c>
      <c r="I4962">
        <v>1450</v>
      </c>
      <c r="J4962" s="29">
        <v>1</v>
      </c>
      <c r="K4962" s="29" t="s">
        <v>789</v>
      </c>
      <c r="L4962" t="str">
        <f>IFERROR(VLOOKUP(Detalle_OC[[#This Row],[Centro]]&amp;Detalle_OC[[#This Row],[Nro Almacen]],Almacen!A:D,4,FALSE),"")</f>
        <v>Montelima</v>
      </c>
    </row>
    <row r="4963" spans="1:12" x14ac:dyDescent="0.3">
      <c r="A4963" s="29" t="str">
        <f>Detalle_OC[[#This Row],[Centro]]&amp;Detalle_OC[[#This Row],[Nom Almacen]]&amp;Detalle_OC[[#This Row],[Material]]&amp;Detalle_OC[[#This Row],[Pedido]]&amp;Detalle_OC[[#This Row],[Posicion]]</f>
        <v>Agricola del Chira PlantaMontelima83605255000191881460</v>
      </c>
      <c r="B4963" t="s">
        <v>28</v>
      </c>
      <c r="C4963" t="s">
        <v>82</v>
      </c>
      <c r="D4963" s="11">
        <v>43181</v>
      </c>
      <c r="E4963" t="s">
        <v>16</v>
      </c>
      <c r="F4963" t="s">
        <v>12</v>
      </c>
      <c r="G4963">
        <v>836052</v>
      </c>
      <c r="H4963">
        <v>5500019188</v>
      </c>
      <c r="I4963">
        <v>1460</v>
      </c>
      <c r="J4963" s="29">
        <v>1</v>
      </c>
      <c r="K4963" s="29" t="s">
        <v>789</v>
      </c>
      <c r="L4963" t="str">
        <f>IFERROR(VLOOKUP(Detalle_OC[[#This Row],[Centro]]&amp;Detalle_OC[[#This Row],[Nro Almacen]],Almacen!A:D,4,FALSE),"")</f>
        <v>Montelima</v>
      </c>
    </row>
    <row r="4964" spans="1:12" x14ac:dyDescent="0.3">
      <c r="A4964" s="29" t="str">
        <f>Detalle_OC[[#This Row],[Centro]]&amp;Detalle_OC[[#This Row],[Nom Almacen]]&amp;Detalle_OC[[#This Row],[Material]]&amp;Detalle_OC[[#This Row],[Pedido]]&amp;Detalle_OC[[#This Row],[Posicion]]</f>
        <v>Agricola del Chira PlantaMontelima83082955000191881490</v>
      </c>
      <c r="B4964" t="s">
        <v>28</v>
      </c>
      <c r="C4964" t="s">
        <v>82</v>
      </c>
      <c r="D4964" s="11">
        <v>43181</v>
      </c>
      <c r="E4964" t="s">
        <v>16</v>
      </c>
      <c r="F4964" t="s">
        <v>12</v>
      </c>
      <c r="G4964">
        <v>830829</v>
      </c>
      <c r="H4964">
        <v>5500019188</v>
      </c>
      <c r="I4964">
        <v>1490</v>
      </c>
      <c r="J4964" s="29">
        <v>1</v>
      </c>
      <c r="K4964" s="29" t="s">
        <v>789</v>
      </c>
      <c r="L4964" t="str">
        <f>IFERROR(VLOOKUP(Detalle_OC[[#This Row],[Centro]]&amp;Detalle_OC[[#This Row],[Nro Almacen]],Almacen!A:D,4,FALSE),"")</f>
        <v>Montelima</v>
      </c>
    </row>
    <row r="4965" spans="1:12" x14ac:dyDescent="0.3">
      <c r="A4965" s="29" t="str">
        <f>Detalle_OC[[#This Row],[Centro]]&amp;Detalle_OC[[#This Row],[Nom Almacen]]&amp;Detalle_OC[[#This Row],[Material]]&amp;Detalle_OC[[#This Row],[Pedido]]&amp;Detalle_OC[[#This Row],[Posicion]]</f>
        <v>Agricola del Chira PlantaMontelima7382475500019188100</v>
      </c>
      <c r="B4965" t="s">
        <v>28</v>
      </c>
      <c r="C4965" t="s">
        <v>82</v>
      </c>
      <c r="D4965" s="11">
        <v>43171</v>
      </c>
      <c r="E4965" t="s">
        <v>16</v>
      </c>
      <c r="F4965" t="s">
        <v>12</v>
      </c>
      <c r="G4965">
        <v>738247</v>
      </c>
      <c r="H4965">
        <v>5500019188</v>
      </c>
      <c r="I4965">
        <v>100</v>
      </c>
      <c r="J4965" s="29">
        <v>1</v>
      </c>
      <c r="K4965" s="29" t="s">
        <v>790</v>
      </c>
      <c r="L4965" t="str">
        <f>IFERROR(VLOOKUP(Detalle_OC[[#This Row],[Centro]]&amp;Detalle_OC[[#This Row],[Nro Almacen]],Almacen!A:D,4,FALSE),"")</f>
        <v>Montelima</v>
      </c>
    </row>
    <row r="4966" spans="1:12" x14ac:dyDescent="0.3">
      <c r="A4966" s="29" t="str">
        <f>Detalle_OC[[#This Row],[Centro]]&amp;Detalle_OC[[#This Row],[Nom Almacen]]&amp;Detalle_OC[[#This Row],[Material]]&amp;Detalle_OC[[#This Row],[Pedido]]&amp;Detalle_OC[[#This Row],[Posicion]]</f>
        <v>Agricola del Chira PlantaMontelima8459085500019188350</v>
      </c>
      <c r="B4966" t="s">
        <v>28</v>
      </c>
      <c r="C4966" t="s">
        <v>82</v>
      </c>
      <c r="D4966" s="11">
        <v>43171</v>
      </c>
      <c r="E4966" t="s">
        <v>16</v>
      </c>
      <c r="F4966" t="s">
        <v>12</v>
      </c>
      <c r="G4966">
        <v>845908</v>
      </c>
      <c r="H4966">
        <v>5500019188</v>
      </c>
      <c r="I4966">
        <v>350</v>
      </c>
      <c r="J4966" s="29">
        <v>1</v>
      </c>
      <c r="K4966" s="29" t="s">
        <v>790</v>
      </c>
      <c r="L4966" t="str">
        <f>IFERROR(VLOOKUP(Detalle_OC[[#This Row],[Centro]]&amp;Detalle_OC[[#This Row],[Nro Almacen]],Almacen!A:D,4,FALSE),"")</f>
        <v>Montelima</v>
      </c>
    </row>
    <row r="4967" spans="1:12" x14ac:dyDescent="0.3">
      <c r="A4967" s="29" t="str">
        <f>Detalle_OC[[#This Row],[Centro]]&amp;Detalle_OC[[#This Row],[Nom Almacen]]&amp;Detalle_OC[[#This Row],[Material]]&amp;Detalle_OC[[#This Row],[Pedido]]&amp;Detalle_OC[[#This Row],[Posicion]]</f>
        <v>Agricola del Chira PlantaMontelima8444905500019188400</v>
      </c>
      <c r="B4967" t="s">
        <v>28</v>
      </c>
      <c r="C4967" t="s">
        <v>82</v>
      </c>
      <c r="D4967" s="11">
        <v>44586</v>
      </c>
      <c r="E4967" t="s">
        <v>16</v>
      </c>
      <c r="F4967" t="s">
        <v>12</v>
      </c>
      <c r="G4967">
        <v>844490</v>
      </c>
      <c r="H4967">
        <v>5500019188</v>
      </c>
      <c r="I4967">
        <v>400</v>
      </c>
      <c r="J4967" s="29">
        <v>1</v>
      </c>
      <c r="K4967" s="29" t="s">
        <v>790</v>
      </c>
      <c r="L4967" t="str">
        <f>IFERROR(VLOOKUP(Detalle_OC[[#This Row],[Centro]]&amp;Detalle_OC[[#This Row],[Nro Almacen]],Almacen!A:D,4,FALSE),"")</f>
        <v>Montelima</v>
      </c>
    </row>
    <row r="4968" spans="1:12" x14ac:dyDescent="0.3">
      <c r="A4968" s="29" t="str">
        <f>Detalle_OC[[#This Row],[Centro]]&amp;Detalle_OC[[#This Row],[Nom Almacen]]&amp;Detalle_OC[[#This Row],[Material]]&amp;Detalle_OC[[#This Row],[Pedido]]&amp;Detalle_OC[[#This Row],[Posicion]]</f>
        <v>Agricola del Chira PlantaMontelima8445215500019188410</v>
      </c>
      <c r="B4968" t="s">
        <v>28</v>
      </c>
      <c r="C4968" t="s">
        <v>82</v>
      </c>
      <c r="D4968" s="11">
        <v>43171</v>
      </c>
      <c r="E4968" t="s">
        <v>16</v>
      </c>
      <c r="F4968" t="s">
        <v>12</v>
      </c>
      <c r="G4968">
        <v>844521</v>
      </c>
      <c r="H4968">
        <v>5500019188</v>
      </c>
      <c r="I4968">
        <v>410</v>
      </c>
      <c r="J4968" s="29">
        <v>1</v>
      </c>
      <c r="K4968" s="29" t="s">
        <v>790</v>
      </c>
      <c r="L4968" t="str">
        <f>IFERROR(VLOOKUP(Detalle_OC[[#This Row],[Centro]]&amp;Detalle_OC[[#This Row],[Nro Almacen]],Almacen!A:D,4,FALSE),"")</f>
        <v>Montelima</v>
      </c>
    </row>
    <row r="4969" spans="1:12" x14ac:dyDescent="0.3">
      <c r="A4969" s="29" t="str">
        <f>Detalle_OC[[#This Row],[Centro]]&amp;Detalle_OC[[#This Row],[Nom Almacen]]&amp;Detalle_OC[[#This Row],[Material]]&amp;Detalle_OC[[#This Row],[Pedido]]&amp;Detalle_OC[[#This Row],[Posicion]]</f>
        <v>Agricola del Chira PlantaMontelima8445125500019188620</v>
      </c>
      <c r="B4969" t="s">
        <v>28</v>
      </c>
      <c r="C4969" t="s">
        <v>82</v>
      </c>
      <c r="D4969" s="11">
        <v>43171</v>
      </c>
      <c r="E4969" t="s">
        <v>16</v>
      </c>
      <c r="F4969" t="s">
        <v>12</v>
      </c>
      <c r="G4969">
        <v>844512</v>
      </c>
      <c r="H4969">
        <v>5500019188</v>
      </c>
      <c r="I4969">
        <v>620</v>
      </c>
      <c r="J4969" s="29">
        <v>1</v>
      </c>
      <c r="K4969" s="29" t="s">
        <v>790</v>
      </c>
      <c r="L4969" t="str">
        <f>IFERROR(VLOOKUP(Detalle_OC[[#This Row],[Centro]]&amp;Detalle_OC[[#This Row],[Nro Almacen]],Almacen!A:D,4,FALSE),"")</f>
        <v>Montelima</v>
      </c>
    </row>
    <row r="4970" spans="1:12" x14ac:dyDescent="0.3">
      <c r="A4970" s="29" t="str">
        <f>Detalle_OC[[#This Row],[Centro]]&amp;Detalle_OC[[#This Row],[Nom Almacen]]&amp;Detalle_OC[[#This Row],[Material]]&amp;Detalle_OC[[#This Row],[Pedido]]&amp;Detalle_OC[[#This Row],[Posicion]]</f>
        <v>Agricola del Chira PlantaMontelima8794985500019188670</v>
      </c>
      <c r="B4970" t="s">
        <v>28</v>
      </c>
      <c r="C4970" t="s">
        <v>82</v>
      </c>
      <c r="D4970" s="11">
        <v>43171</v>
      </c>
      <c r="E4970" t="s">
        <v>16</v>
      </c>
      <c r="F4970" t="s">
        <v>12</v>
      </c>
      <c r="G4970">
        <v>879498</v>
      </c>
      <c r="H4970">
        <v>5500019188</v>
      </c>
      <c r="I4970">
        <v>670</v>
      </c>
      <c r="J4970" s="29">
        <v>1</v>
      </c>
      <c r="K4970" s="29" t="s">
        <v>790</v>
      </c>
      <c r="L4970" t="str">
        <f>IFERROR(VLOOKUP(Detalle_OC[[#This Row],[Centro]]&amp;Detalle_OC[[#This Row],[Nro Almacen]],Almacen!A:D,4,FALSE),"")</f>
        <v>Montelima</v>
      </c>
    </row>
    <row r="4971" spans="1:12" x14ac:dyDescent="0.3">
      <c r="A4971" s="29" t="str">
        <f>Detalle_OC[[#This Row],[Centro]]&amp;Detalle_OC[[#This Row],[Nom Almacen]]&amp;Detalle_OC[[#This Row],[Material]]&amp;Detalle_OC[[#This Row],[Pedido]]&amp;Detalle_OC[[#This Row],[Posicion]]</f>
        <v>Agricola del Chira PlantaMontelima8445425500019188680</v>
      </c>
      <c r="B4971" t="s">
        <v>28</v>
      </c>
      <c r="C4971" t="s">
        <v>82</v>
      </c>
      <c r="D4971" s="11">
        <v>43171</v>
      </c>
      <c r="E4971" t="s">
        <v>16</v>
      </c>
      <c r="F4971" t="s">
        <v>12</v>
      </c>
      <c r="G4971">
        <v>844542</v>
      </c>
      <c r="H4971">
        <v>5500019188</v>
      </c>
      <c r="I4971">
        <v>680</v>
      </c>
      <c r="J4971" s="29">
        <v>1</v>
      </c>
      <c r="K4971" s="29" t="s">
        <v>790</v>
      </c>
      <c r="L4971" t="str">
        <f>IFERROR(VLOOKUP(Detalle_OC[[#This Row],[Centro]]&amp;Detalle_OC[[#This Row],[Nro Almacen]],Almacen!A:D,4,FALSE),"")</f>
        <v>Montelima</v>
      </c>
    </row>
    <row r="4972" spans="1:12" x14ac:dyDescent="0.3">
      <c r="A4972" s="29" t="str">
        <f>Detalle_OC[[#This Row],[Centro]]&amp;Detalle_OC[[#This Row],[Nom Almacen]]&amp;Detalle_OC[[#This Row],[Material]]&amp;Detalle_OC[[#This Row],[Pedido]]&amp;Detalle_OC[[#This Row],[Posicion]]</f>
        <v>Agricola del Chira PlantaMontelima8445015500019188760</v>
      </c>
      <c r="B4972" t="s">
        <v>28</v>
      </c>
      <c r="C4972" t="s">
        <v>82</v>
      </c>
      <c r="D4972" s="11">
        <v>43171</v>
      </c>
      <c r="E4972" t="s">
        <v>16</v>
      </c>
      <c r="F4972" t="s">
        <v>12</v>
      </c>
      <c r="G4972">
        <v>844501</v>
      </c>
      <c r="H4972">
        <v>5500019188</v>
      </c>
      <c r="I4972">
        <v>760</v>
      </c>
      <c r="J4972" s="29">
        <v>1</v>
      </c>
      <c r="K4972" s="29" t="s">
        <v>790</v>
      </c>
      <c r="L4972" t="str">
        <f>IFERROR(VLOOKUP(Detalle_OC[[#This Row],[Centro]]&amp;Detalle_OC[[#This Row],[Nro Almacen]],Almacen!A:D,4,FALSE),"")</f>
        <v>Montelima</v>
      </c>
    </row>
    <row r="4973" spans="1:12" x14ac:dyDescent="0.3">
      <c r="A4973" s="29" t="str">
        <f>Detalle_OC[[#This Row],[Centro]]&amp;Detalle_OC[[#This Row],[Nom Almacen]]&amp;Detalle_OC[[#This Row],[Material]]&amp;Detalle_OC[[#This Row],[Pedido]]&amp;Detalle_OC[[#This Row],[Posicion]]</f>
        <v>Agricola del Chira PlantaMontelima8445495500019188770</v>
      </c>
      <c r="B4973" t="s">
        <v>28</v>
      </c>
      <c r="C4973" t="s">
        <v>82</v>
      </c>
      <c r="D4973" s="11">
        <v>43171</v>
      </c>
      <c r="E4973" t="s">
        <v>16</v>
      </c>
      <c r="F4973" t="s">
        <v>12</v>
      </c>
      <c r="G4973">
        <v>844549</v>
      </c>
      <c r="H4973">
        <v>5500019188</v>
      </c>
      <c r="I4973">
        <v>770</v>
      </c>
      <c r="J4973" s="29">
        <v>1</v>
      </c>
      <c r="K4973" s="29" t="s">
        <v>790</v>
      </c>
      <c r="L4973" t="str">
        <f>IFERROR(VLOOKUP(Detalle_OC[[#This Row],[Centro]]&amp;Detalle_OC[[#This Row],[Nro Almacen]],Almacen!A:D,4,FALSE),"")</f>
        <v>Montelima</v>
      </c>
    </row>
    <row r="4974" spans="1:12" x14ac:dyDescent="0.3">
      <c r="A4974" s="29" t="str">
        <f>Detalle_OC[[#This Row],[Centro]]&amp;Detalle_OC[[#This Row],[Nom Almacen]]&amp;Detalle_OC[[#This Row],[Material]]&amp;Detalle_OC[[#This Row],[Pedido]]&amp;Detalle_OC[[#This Row],[Posicion]]</f>
        <v>Agricola del Chira PlantaMontelima8445255500019188870</v>
      </c>
      <c r="B4974" t="s">
        <v>28</v>
      </c>
      <c r="C4974" t="s">
        <v>82</v>
      </c>
      <c r="D4974" s="11">
        <v>43171</v>
      </c>
      <c r="E4974" t="s">
        <v>16</v>
      </c>
      <c r="F4974" t="s">
        <v>12</v>
      </c>
      <c r="G4974">
        <v>844525</v>
      </c>
      <c r="H4974">
        <v>5500019188</v>
      </c>
      <c r="I4974">
        <v>870</v>
      </c>
      <c r="J4974" s="29">
        <v>1</v>
      </c>
      <c r="K4974" s="29" t="s">
        <v>790</v>
      </c>
      <c r="L4974" t="str">
        <f>IFERROR(VLOOKUP(Detalle_OC[[#This Row],[Centro]]&amp;Detalle_OC[[#This Row],[Nro Almacen]],Almacen!A:D,4,FALSE),"")</f>
        <v>Montelima</v>
      </c>
    </row>
    <row r="4975" spans="1:12" x14ac:dyDescent="0.3">
      <c r="A4975" s="29" t="str">
        <f>Detalle_OC[[#This Row],[Centro]]&amp;Detalle_OC[[#This Row],[Nom Almacen]]&amp;Detalle_OC[[#This Row],[Material]]&amp;Detalle_OC[[#This Row],[Pedido]]&amp;Detalle_OC[[#This Row],[Posicion]]</f>
        <v>Agricola del Chira PlantaMontelima8445465500019188890</v>
      </c>
      <c r="B4975" t="s">
        <v>28</v>
      </c>
      <c r="C4975" t="s">
        <v>82</v>
      </c>
      <c r="D4975" s="11">
        <v>43171</v>
      </c>
      <c r="E4975" t="s">
        <v>16</v>
      </c>
      <c r="F4975" t="s">
        <v>12</v>
      </c>
      <c r="G4975">
        <v>844546</v>
      </c>
      <c r="H4975">
        <v>5500019188</v>
      </c>
      <c r="I4975">
        <v>890</v>
      </c>
      <c r="J4975" s="29">
        <v>1</v>
      </c>
      <c r="K4975" s="29" t="s">
        <v>790</v>
      </c>
      <c r="L4975" t="str">
        <f>IFERROR(VLOOKUP(Detalle_OC[[#This Row],[Centro]]&amp;Detalle_OC[[#This Row],[Nro Almacen]],Almacen!A:D,4,FALSE),"")</f>
        <v>Montelima</v>
      </c>
    </row>
    <row r="4976" spans="1:12" x14ac:dyDescent="0.3">
      <c r="A4976" s="29" t="str">
        <f>Detalle_OC[[#This Row],[Centro]]&amp;Detalle_OC[[#This Row],[Nom Almacen]]&amp;Detalle_OC[[#This Row],[Material]]&amp;Detalle_OC[[#This Row],[Pedido]]&amp;Detalle_OC[[#This Row],[Posicion]]</f>
        <v>Agricola del Chira PlantaMontelima8445005500019188910</v>
      </c>
      <c r="B4976" t="s">
        <v>28</v>
      </c>
      <c r="C4976" t="s">
        <v>82</v>
      </c>
      <c r="D4976" s="11">
        <v>43171</v>
      </c>
      <c r="E4976" t="s">
        <v>16</v>
      </c>
      <c r="F4976" t="s">
        <v>12</v>
      </c>
      <c r="G4976">
        <v>844500</v>
      </c>
      <c r="H4976">
        <v>5500019188</v>
      </c>
      <c r="I4976">
        <v>910</v>
      </c>
      <c r="J4976" s="29">
        <v>1</v>
      </c>
      <c r="K4976" s="29" t="s">
        <v>790</v>
      </c>
      <c r="L4976" t="str">
        <f>IFERROR(VLOOKUP(Detalle_OC[[#This Row],[Centro]]&amp;Detalle_OC[[#This Row],[Nro Almacen]],Almacen!A:D,4,FALSE),"")</f>
        <v>Montelima</v>
      </c>
    </row>
    <row r="4977" spans="1:12" x14ac:dyDescent="0.3">
      <c r="A4977" s="29" t="str">
        <f>Detalle_OC[[#This Row],[Centro]]&amp;Detalle_OC[[#This Row],[Nom Almacen]]&amp;Detalle_OC[[#This Row],[Material]]&amp;Detalle_OC[[#This Row],[Pedido]]&amp;Detalle_OC[[#This Row],[Posicion]]</f>
        <v>Agricola del Chira PlantaMontelima8462845500019188970</v>
      </c>
      <c r="B4977" t="s">
        <v>28</v>
      </c>
      <c r="C4977" t="s">
        <v>82</v>
      </c>
      <c r="D4977" s="11">
        <v>43171</v>
      </c>
      <c r="E4977" t="s">
        <v>16</v>
      </c>
      <c r="F4977" t="s">
        <v>12</v>
      </c>
      <c r="G4977">
        <v>846284</v>
      </c>
      <c r="H4977">
        <v>5500019188</v>
      </c>
      <c r="I4977">
        <v>970</v>
      </c>
      <c r="J4977" s="29">
        <v>1</v>
      </c>
      <c r="K4977" s="29" t="s">
        <v>790</v>
      </c>
      <c r="L4977" t="str">
        <f>IFERROR(VLOOKUP(Detalle_OC[[#This Row],[Centro]]&amp;Detalle_OC[[#This Row],[Nro Almacen]],Almacen!A:D,4,FALSE),"")</f>
        <v>Montelima</v>
      </c>
    </row>
    <row r="4978" spans="1:12" x14ac:dyDescent="0.3">
      <c r="A4978" s="29" t="str">
        <f>Detalle_OC[[#This Row],[Centro]]&amp;Detalle_OC[[#This Row],[Nom Almacen]]&amp;Detalle_OC[[#This Row],[Material]]&amp;Detalle_OC[[#This Row],[Pedido]]&amp;Detalle_OC[[#This Row],[Posicion]]</f>
        <v>Agricola del Chira PlantaMontelima83546155000191881060</v>
      </c>
      <c r="B4978" t="s">
        <v>28</v>
      </c>
      <c r="C4978" t="s">
        <v>82</v>
      </c>
      <c r="D4978" s="11">
        <v>43171</v>
      </c>
      <c r="E4978" t="s">
        <v>16</v>
      </c>
      <c r="F4978" t="s">
        <v>12</v>
      </c>
      <c r="G4978">
        <v>835461</v>
      </c>
      <c r="H4978">
        <v>5500019188</v>
      </c>
      <c r="I4978">
        <v>1060</v>
      </c>
      <c r="J4978" s="29">
        <v>1</v>
      </c>
      <c r="K4978" s="29" t="s">
        <v>790</v>
      </c>
      <c r="L4978" t="str">
        <f>IFERROR(VLOOKUP(Detalle_OC[[#This Row],[Centro]]&amp;Detalle_OC[[#This Row],[Nro Almacen]],Almacen!A:D,4,FALSE),"")</f>
        <v>Montelima</v>
      </c>
    </row>
    <row r="4979" spans="1:12" x14ac:dyDescent="0.3">
      <c r="A4979" s="29" t="str">
        <f>Detalle_OC[[#This Row],[Centro]]&amp;Detalle_OC[[#This Row],[Nom Almacen]]&amp;Detalle_OC[[#This Row],[Material]]&amp;Detalle_OC[[#This Row],[Pedido]]&amp;Detalle_OC[[#This Row],[Posicion]]</f>
        <v>Agricola del Chira PlantaMontelima82639755000191881080</v>
      </c>
      <c r="B4979" t="s">
        <v>28</v>
      </c>
      <c r="C4979" t="s">
        <v>82</v>
      </c>
      <c r="D4979" s="11">
        <v>43171</v>
      </c>
      <c r="E4979" t="s">
        <v>16</v>
      </c>
      <c r="F4979" t="s">
        <v>12</v>
      </c>
      <c r="G4979">
        <v>826397</v>
      </c>
      <c r="H4979">
        <v>5500019188</v>
      </c>
      <c r="I4979">
        <v>1080</v>
      </c>
      <c r="J4979" s="29">
        <v>1</v>
      </c>
      <c r="K4979" s="29" t="s">
        <v>790</v>
      </c>
      <c r="L4979" t="str">
        <f>IFERROR(VLOOKUP(Detalle_OC[[#This Row],[Centro]]&amp;Detalle_OC[[#This Row],[Nro Almacen]],Almacen!A:D,4,FALSE),"")</f>
        <v>Montelima</v>
      </c>
    </row>
    <row r="4980" spans="1:12" x14ac:dyDescent="0.3">
      <c r="A4980" s="29" t="str">
        <f>Detalle_OC[[#This Row],[Centro]]&amp;Detalle_OC[[#This Row],[Nom Almacen]]&amp;Detalle_OC[[#This Row],[Material]]&amp;Detalle_OC[[#This Row],[Pedido]]&amp;Detalle_OC[[#This Row],[Posicion]]</f>
        <v>Agricola del Chira PlantaMontelima82720355000191881140</v>
      </c>
      <c r="B4980" t="s">
        <v>28</v>
      </c>
      <c r="C4980" t="s">
        <v>82</v>
      </c>
      <c r="D4980" s="11">
        <v>43171</v>
      </c>
      <c r="E4980" t="s">
        <v>16</v>
      </c>
      <c r="F4980" t="s">
        <v>12</v>
      </c>
      <c r="G4980">
        <v>827203</v>
      </c>
      <c r="H4980">
        <v>5500019188</v>
      </c>
      <c r="I4980">
        <v>1140</v>
      </c>
      <c r="J4980" s="29">
        <v>1</v>
      </c>
      <c r="K4980" s="29" t="s">
        <v>790</v>
      </c>
      <c r="L4980" t="str">
        <f>IFERROR(VLOOKUP(Detalle_OC[[#This Row],[Centro]]&amp;Detalle_OC[[#This Row],[Nro Almacen]],Almacen!A:D,4,FALSE),"")</f>
        <v>Montelima</v>
      </c>
    </row>
    <row r="4981" spans="1:12" x14ac:dyDescent="0.3">
      <c r="A4981" s="29" t="str">
        <f>Detalle_OC[[#This Row],[Centro]]&amp;Detalle_OC[[#This Row],[Nom Almacen]]&amp;Detalle_OC[[#This Row],[Material]]&amp;Detalle_OC[[#This Row],[Pedido]]&amp;Detalle_OC[[#This Row],[Posicion]]</f>
        <v>Agricola del Chira PlantaMontelima89260455000191881180</v>
      </c>
      <c r="B4981" t="s">
        <v>28</v>
      </c>
      <c r="C4981" t="s">
        <v>82</v>
      </c>
      <c r="D4981" s="11">
        <v>43171</v>
      </c>
      <c r="E4981" t="s">
        <v>16</v>
      </c>
      <c r="F4981" t="s">
        <v>12</v>
      </c>
      <c r="G4981">
        <v>892604</v>
      </c>
      <c r="H4981">
        <v>5500019188</v>
      </c>
      <c r="I4981">
        <v>1180</v>
      </c>
      <c r="J4981" s="29">
        <v>1</v>
      </c>
      <c r="K4981" s="29" t="s">
        <v>790</v>
      </c>
      <c r="L4981" t="str">
        <f>IFERROR(VLOOKUP(Detalle_OC[[#This Row],[Centro]]&amp;Detalle_OC[[#This Row],[Nro Almacen]],Almacen!A:D,4,FALSE),"")</f>
        <v>Montelima</v>
      </c>
    </row>
    <row r="4982" spans="1:12" x14ac:dyDescent="0.3">
      <c r="A4982" s="29" t="str">
        <f>Detalle_OC[[#This Row],[Centro]]&amp;Detalle_OC[[#This Row],[Nom Almacen]]&amp;Detalle_OC[[#This Row],[Material]]&amp;Detalle_OC[[#This Row],[Pedido]]&amp;Detalle_OC[[#This Row],[Posicion]]</f>
        <v>Agricola del Chira PlantaMontelima83507355000191881320</v>
      </c>
      <c r="B4982" t="s">
        <v>28</v>
      </c>
      <c r="C4982" t="s">
        <v>82</v>
      </c>
      <c r="D4982" s="11">
        <v>43171</v>
      </c>
      <c r="E4982" t="s">
        <v>16</v>
      </c>
      <c r="F4982" t="s">
        <v>12</v>
      </c>
      <c r="G4982">
        <v>835073</v>
      </c>
      <c r="H4982">
        <v>5500019188</v>
      </c>
      <c r="I4982">
        <v>1320</v>
      </c>
      <c r="J4982" s="29">
        <v>1</v>
      </c>
      <c r="K4982" s="29" t="s">
        <v>790</v>
      </c>
      <c r="L4982" t="str">
        <f>IFERROR(VLOOKUP(Detalle_OC[[#This Row],[Centro]]&amp;Detalle_OC[[#This Row],[Nro Almacen]],Almacen!A:D,4,FALSE),"")</f>
        <v>Montelima</v>
      </c>
    </row>
    <row r="4983" spans="1:12" x14ac:dyDescent="0.3">
      <c r="A4983" s="29" t="str">
        <f>Detalle_OC[[#This Row],[Centro]]&amp;Detalle_OC[[#This Row],[Nom Almacen]]&amp;Detalle_OC[[#This Row],[Material]]&amp;Detalle_OC[[#This Row],[Pedido]]&amp;Detalle_OC[[#This Row],[Posicion]]</f>
        <v>Agricola del Chira PlantaMontelima83605355000191881450</v>
      </c>
      <c r="B4983" t="s">
        <v>28</v>
      </c>
      <c r="C4983" t="s">
        <v>82</v>
      </c>
      <c r="D4983" s="11">
        <v>43164</v>
      </c>
      <c r="E4983" t="s">
        <v>16</v>
      </c>
      <c r="F4983" t="s">
        <v>12</v>
      </c>
      <c r="G4983">
        <v>836053</v>
      </c>
      <c r="H4983">
        <v>5500019188</v>
      </c>
      <c r="I4983">
        <v>1450</v>
      </c>
      <c r="J4983" s="29">
        <v>1</v>
      </c>
      <c r="K4983" s="29" t="s">
        <v>790</v>
      </c>
      <c r="L4983" t="str">
        <f>IFERROR(VLOOKUP(Detalle_OC[[#This Row],[Centro]]&amp;Detalle_OC[[#This Row],[Nro Almacen]],Almacen!A:D,4,FALSE),"")</f>
        <v>Montelima</v>
      </c>
    </row>
    <row r="4984" spans="1:12" x14ac:dyDescent="0.3">
      <c r="A4984" s="29" t="str">
        <f>Detalle_OC[[#This Row],[Centro]]&amp;Detalle_OC[[#This Row],[Nom Almacen]]&amp;Detalle_OC[[#This Row],[Material]]&amp;Detalle_OC[[#This Row],[Pedido]]&amp;Detalle_OC[[#This Row],[Posicion]]</f>
        <v>Agricola del Chira PlantaMontelima7002963255000191881670</v>
      </c>
      <c r="B4984" t="s">
        <v>28</v>
      </c>
      <c r="C4984" t="s">
        <v>82</v>
      </c>
      <c r="D4984" s="11">
        <v>43171</v>
      </c>
      <c r="E4984" t="s">
        <v>16</v>
      </c>
      <c r="F4984" t="s">
        <v>12</v>
      </c>
      <c r="G4984">
        <v>70029632</v>
      </c>
      <c r="H4984">
        <v>5500019188</v>
      </c>
      <c r="I4984">
        <v>1670</v>
      </c>
      <c r="J4984" s="29">
        <v>1</v>
      </c>
      <c r="K4984" s="29" t="s">
        <v>790</v>
      </c>
      <c r="L4984" t="str">
        <f>IFERROR(VLOOKUP(Detalle_OC[[#This Row],[Centro]]&amp;Detalle_OC[[#This Row],[Nro Almacen]],Almacen!A:D,4,FALSE),"")</f>
        <v>Montelima</v>
      </c>
    </row>
    <row r="4985" spans="1:12" x14ac:dyDescent="0.3">
      <c r="A4985" s="29" t="str">
        <f>Detalle_OC[[#This Row],[Centro]]&amp;Detalle_OC[[#This Row],[Nom Almacen]]&amp;Detalle_OC[[#This Row],[Material]]&amp;Detalle_OC[[#This Row],[Pedido]]&amp;Detalle_OC[[#This Row],[Posicion]]</f>
        <v>Agricola del Chira PlantaMontelima8444995500019188740</v>
      </c>
      <c r="B4985" t="s">
        <v>28</v>
      </c>
      <c r="C4985" t="s">
        <v>82</v>
      </c>
      <c r="D4985" s="11">
        <v>43172</v>
      </c>
      <c r="E4985" t="s">
        <v>16</v>
      </c>
      <c r="F4985" t="s">
        <v>12</v>
      </c>
      <c r="G4985">
        <v>844499</v>
      </c>
      <c r="H4985">
        <v>5500019188</v>
      </c>
      <c r="I4985">
        <v>740</v>
      </c>
      <c r="J4985" s="29">
        <v>1</v>
      </c>
      <c r="K4985" s="29" t="s">
        <v>791</v>
      </c>
      <c r="L4985" t="str">
        <f>IFERROR(VLOOKUP(Detalle_OC[[#This Row],[Centro]]&amp;Detalle_OC[[#This Row],[Nro Almacen]],Almacen!A:D,4,FALSE),"")</f>
        <v>Montelima</v>
      </c>
    </row>
    <row r="4986" spans="1:12" x14ac:dyDescent="0.3">
      <c r="A4986" s="29" t="str">
        <f>Detalle_OC[[#This Row],[Centro]]&amp;Detalle_OC[[#This Row],[Nom Almacen]]&amp;Detalle_OC[[#This Row],[Material]]&amp;Detalle_OC[[#This Row],[Pedido]]&amp;Detalle_OC[[#This Row],[Posicion]]</f>
        <v>Agricola del Chira PlantaMontelima8459045500019188720</v>
      </c>
      <c r="B4986" t="s">
        <v>28</v>
      </c>
      <c r="C4986" t="s">
        <v>82</v>
      </c>
      <c r="D4986" s="11">
        <v>43164</v>
      </c>
      <c r="E4986" t="s">
        <v>16</v>
      </c>
      <c r="F4986" t="s">
        <v>12</v>
      </c>
      <c r="G4986">
        <v>845904</v>
      </c>
      <c r="H4986">
        <v>5500019188</v>
      </c>
      <c r="I4986">
        <v>720</v>
      </c>
      <c r="J4986" s="29">
        <v>1</v>
      </c>
      <c r="K4986" s="29" t="s">
        <v>792</v>
      </c>
      <c r="L4986" t="str">
        <f>IFERROR(VLOOKUP(Detalle_OC[[#This Row],[Centro]]&amp;Detalle_OC[[#This Row],[Nro Almacen]],Almacen!A:D,4,FALSE),"")</f>
        <v>Montelima</v>
      </c>
    </row>
    <row r="4987" spans="1:12" x14ac:dyDescent="0.3">
      <c r="A4987" s="29" t="str">
        <f>Detalle_OC[[#This Row],[Centro]]&amp;Detalle_OC[[#This Row],[Nom Almacen]]&amp;Detalle_OC[[#This Row],[Material]]&amp;Detalle_OC[[#This Row],[Pedido]]&amp;Detalle_OC[[#This Row],[Posicion]]</f>
        <v>Agricola del Chira PlantaMontelima8959485500019188860</v>
      </c>
      <c r="B4987" t="s">
        <v>28</v>
      </c>
      <c r="C4987" t="s">
        <v>82</v>
      </c>
      <c r="D4987" s="11">
        <v>43164</v>
      </c>
      <c r="E4987" t="s">
        <v>16</v>
      </c>
      <c r="F4987" t="s">
        <v>12</v>
      </c>
      <c r="G4987">
        <v>895948</v>
      </c>
      <c r="H4987">
        <v>5500019188</v>
      </c>
      <c r="I4987">
        <v>860</v>
      </c>
      <c r="J4987" s="29">
        <v>1</v>
      </c>
      <c r="K4987" s="29" t="s">
        <v>792</v>
      </c>
      <c r="L4987" t="str">
        <f>IFERROR(VLOOKUP(Detalle_OC[[#This Row],[Centro]]&amp;Detalle_OC[[#This Row],[Nro Almacen]],Almacen!A:D,4,FALSE),"")</f>
        <v>Montelima</v>
      </c>
    </row>
    <row r="4988" spans="1:12" x14ac:dyDescent="0.3">
      <c r="A4988" s="29" t="str">
        <f>Detalle_OC[[#This Row],[Centro]]&amp;Detalle_OC[[#This Row],[Nom Almacen]]&amp;Detalle_OC[[#This Row],[Material]]&amp;Detalle_OC[[#This Row],[Pedido]]&amp;Detalle_OC[[#This Row],[Posicion]]</f>
        <v>Agricola del Chira PlantaMontelima88882255000191881090</v>
      </c>
      <c r="B4988" t="s">
        <v>28</v>
      </c>
      <c r="C4988" t="s">
        <v>82</v>
      </c>
      <c r="D4988" s="11">
        <v>43164</v>
      </c>
      <c r="E4988" t="s">
        <v>16</v>
      </c>
      <c r="F4988" t="s">
        <v>12</v>
      </c>
      <c r="G4988">
        <v>888822</v>
      </c>
      <c r="H4988">
        <v>5500019188</v>
      </c>
      <c r="I4988">
        <v>1090</v>
      </c>
      <c r="J4988" s="29">
        <v>1</v>
      </c>
      <c r="K4988" s="29" t="s">
        <v>792</v>
      </c>
      <c r="L4988" t="str">
        <f>IFERROR(VLOOKUP(Detalle_OC[[#This Row],[Centro]]&amp;Detalle_OC[[#This Row],[Nro Almacen]],Almacen!A:D,4,FALSE),"")</f>
        <v>Montelima</v>
      </c>
    </row>
    <row r="4989" spans="1:12" x14ac:dyDescent="0.3">
      <c r="A4989" s="29" t="str">
        <f>Detalle_OC[[#This Row],[Centro]]&amp;Detalle_OC[[#This Row],[Nom Almacen]]&amp;Detalle_OC[[#This Row],[Material]]&amp;Detalle_OC[[#This Row],[Pedido]]&amp;Detalle_OC[[#This Row],[Posicion]]</f>
        <v>Agricola del Chira PlantaMontelima8459035500019188630</v>
      </c>
      <c r="B4989" t="s">
        <v>28</v>
      </c>
      <c r="C4989" t="s">
        <v>82</v>
      </c>
      <c r="D4989" s="11">
        <v>43160</v>
      </c>
      <c r="E4989" t="s">
        <v>16</v>
      </c>
      <c r="F4989" t="s">
        <v>12</v>
      </c>
      <c r="G4989">
        <v>845903</v>
      </c>
      <c r="H4989">
        <v>5500019188</v>
      </c>
      <c r="I4989">
        <v>630</v>
      </c>
      <c r="J4989" s="29">
        <v>1</v>
      </c>
      <c r="K4989" s="29" t="s">
        <v>793</v>
      </c>
      <c r="L4989" t="str">
        <f>IFERROR(VLOOKUP(Detalle_OC[[#This Row],[Centro]]&amp;Detalle_OC[[#This Row],[Nro Almacen]],Almacen!A:D,4,FALSE),"")</f>
        <v>Montelima</v>
      </c>
    </row>
    <row r="4990" spans="1:12" x14ac:dyDescent="0.3">
      <c r="A4990" s="29" t="str">
        <f>Detalle_OC[[#This Row],[Centro]]&amp;Detalle_OC[[#This Row],[Nom Almacen]]&amp;Detalle_OC[[#This Row],[Material]]&amp;Detalle_OC[[#This Row],[Pedido]]&amp;Detalle_OC[[#This Row],[Posicion]]</f>
        <v>Agricola del Chira PlantaMontelima8453145500019188640</v>
      </c>
      <c r="B4990" t="s">
        <v>28</v>
      </c>
      <c r="C4990" t="s">
        <v>82</v>
      </c>
      <c r="D4990" s="11">
        <v>43160</v>
      </c>
      <c r="E4990" t="s">
        <v>16</v>
      </c>
      <c r="F4990" t="s">
        <v>12</v>
      </c>
      <c r="G4990">
        <v>845314</v>
      </c>
      <c r="H4990">
        <v>5500019188</v>
      </c>
      <c r="I4990">
        <v>640</v>
      </c>
      <c r="J4990" s="29">
        <v>1</v>
      </c>
      <c r="K4990" s="29" t="s">
        <v>793</v>
      </c>
      <c r="L4990" t="str">
        <f>IFERROR(VLOOKUP(Detalle_OC[[#This Row],[Centro]]&amp;Detalle_OC[[#This Row],[Nro Almacen]],Almacen!A:D,4,FALSE),"")</f>
        <v>Montelima</v>
      </c>
    </row>
    <row r="4991" spans="1:12" x14ac:dyDescent="0.3">
      <c r="A4991" s="29" t="str">
        <f>Detalle_OC[[#This Row],[Centro]]&amp;Detalle_OC[[#This Row],[Nom Almacen]]&amp;Detalle_OC[[#This Row],[Material]]&amp;Detalle_OC[[#This Row],[Pedido]]&amp;Detalle_OC[[#This Row],[Posicion]]</f>
        <v>Agricola del Chira PlantaMontelima8445485500019188900</v>
      </c>
      <c r="B4991" t="s">
        <v>28</v>
      </c>
      <c r="C4991" t="s">
        <v>82</v>
      </c>
      <c r="D4991" s="11">
        <v>43160</v>
      </c>
      <c r="E4991" t="s">
        <v>16</v>
      </c>
      <c r="F4991" t="s">
        <v>12</v>
      </c>
      <c r="G4991">
        <v>844548</v>
      </c>
      <c r="H4991">
        <v>5500019188</v>
      </c>
      <c r="I4991">
        <v>900</v>
      </c>
      <c r="J4991" s="29">
        <v>1</v>
      </c>
      <c r="K4991" s="29" t="s">
        <v>793</v>
      </c>
      <c r="L4991" t="str">
        <f>IFERROR(VLOOKUP(Detalle_OC[[#This Row],[Centro]]&amp;Detalle_OC[[#This Row],[Nro Almacen]],Almacen!A:D,4,FALSE),"")</f>
        <v>Montelima</v>
      </c>
    </row>
    <row r="4992" spans="1:12" x14ac:dyDescent="0.3">
      <c r="A4992" s="29" t="str">
        <f>Detalle_OC[[#This Row],[Centro]]&amp;Detalle_OC[[#This Row],[Nom Almacen]]&amp;Detalle_OC[[#This Row],[Material]]&amp;Detalle_OC[[#This Row],[Pedido]]&amp;Detalle_OC[[#This Row],[Posicion]]</f>
        <v>Agricola del Chira PlantaMontelima82718155000191881520</v>
      </c>
      <c r="B4992" t="s">
        <v>28</v>
      </c>
      <c r="C4992" t="s">
        <v>82</v>
      </c>
      <c r="D4992" s="11">
        <v>43162</v>
      </c>
      <c r="E4992" t="s">
        <v>16</v>
      </c>
      <c r="F4992" t="s">
        <v>12</v>
      </c>
      <c r="G4992">
        <v>827181</v>
      </c>
      <c r="H4992">
        <v>5500019188</v>
      </c>
      <c r="I4992">
        <v>1520</v>
      </c>
      <c r="J4992" s="29">
        <v>1</v>
      </c>
      <c r="K4992" s="29" t="s">
        <v>793</v>
      </c>
      <c r="L4992" t="str">
        <f>IFERROR(VLOOKUP(Detalle_OC[[#This Row],[Centro]]&amp;Detalle_OC[[#This Row],[Nro Almacen]],Almacen!A:D,4,FALSE),"")</f>
        <v>Montelima</v>
      </c>
    </row>
    <row r="4993" spans="1:12" x14ac:dyDescent="0.3">
      <c r="A4993" s="29" t="str">
        <f>Detalle_OC[[#This Row],[Centro]]&amp;Detalle_OC[[#This Row],[Nom Almacen]]&amp;Detalle_OC[[#This Row],[Material]]&amp;Detalle_OC[[#This Row],[Pedido]]&amp;Detalle_OC[[#This Row],[Posicion]]</f>
        <v>Agricola del Chira PlantaMontelima7002963455000191881660</v>
      </c>
      <c r="B4993" t="s">
        <v>28</v>
      </c>
      <c r="C4993" t="s">
        <v>82</v>
      </c>
      <c r="D4993" s="11">
        <v>43160</v>
      </c>
      <c r="E4993" t="s">
        <v>16</v>
      </c>
      <c r="F4993" t="s">
        <v>12</v>
      </c>
      <c r="G4993">
        <v>70029634</v>
      </c>
      <c r="H4993">
        <v>5500019188</v>
      </c>
      <c r="I4993">
        <v>1660</v>
      </c>
      <c r="J4993" s="29">
        <v>1</v>
      </c>
      <c r="K4993" s="29" t="s">
        <v>793</v>
      </c>
      <c r="L4993" t="str">
        <f>IFERROR(VLOOKUP(Detalle_OC[[#This Row],[Centro]]&amp;Detalle_OC[[#This Row],[Nro Almacen]],Almacen!A:D,4,FALSE),"")</f>
        <v>Montelima</v>
      </c>
    </row>
    <row r="4994" spans="1:12" x14ac:dyDescent="0.3">
      <c r="A4994" s="29" t="str">
        <f>Detalle_OC[[#This Row],[Centro]]&amp;Detalle_OC[[#This Row],[Nom Almacen]]&amp;Detalle_OC[[#This Row],[Material]]&amp;Detalle_OC[[#This Row],[Pedido]]&amp;Detalle_OC[[#This Row],[Posicion]]</f>
        <v>Agricola del Chira PlantaMontelima8445035500019188370</v>
      </c>
      <c r="B4994" t="s">
        <v>28</v>
      </c>
      <c r="C4994" t="s">
        <v>82</v>
      </c>
      <c r="D4994" s="11">
        <v>43158</v>
      </c>
      <c r="E4994" t="s">
        <v>16</v>
      </c>
      <c r="F4994" t="s">
        <v>12</v>
      </c>
      <c r="G4994">
        <v>844503</v>
      </c>
      <c r="H4994">
        <v>5500019188</v>
      </c>
      <c r="I4994">
        <v>370</v>
      </c>
      <c r="J4994" s="29">
        <v>1</v>
      </c>
      <c r="K4994" s="29" t="s">
        <v>794</v>
      </c>
      <c r="L4994" t="str">
        <f>IFERROR(VLOOKUP(Detalle_OC[[#This Row],[Centro]]&amp;Detalle_OC[[#This Row],[Nro Almacen]],Almacen!A:D,4,FALSE),"")</f>
        <v>Montelima</v>
      </c>
    </row>
    <row r="4995" spans="1:12" x14ac:dyDescent="0.3">
      <c r="A4995" s="29" t="str">
        <f>Detalle_OC[[#This Row],[Centro]]&amp;Detalle_OC[[#This Row],[Nom Almacen]]&amp;Detalle_OC[[#This Row],[Material]]&amp;Detalle_OC[[#This Row],[Pedido]]&amp;Detalle_OC[[#This Row],[Posicion]]</f>
        <v>Agricola del Chira PlantaMontelima82639655000191881050</v>
      </c>
      <c r="B4995" t="s">
        <v>28</v>
      </c>
      <c r="C4995" t="s">
        <v>82</v>
      </c>
      <c r="D4995" s="11">
        <v>43158</v>
      </c>
      <c r="E4995" t="s">
        <v>16</v>
      </c>
      <c r="F4995" t="s">
        <v>12</v>
      </c>
      <c r="G4995">
        <v>826396</v>
      </c>
      <c r="H4995">
        <v>5500019188</v>
      </c>
      <c r="I4995">
        <v>1050</v>
      </c>
      <c r="J4995" s="29">
        <v>1</v>
      </c>
      <c r="K4995" s="29" t="s">
        <v>794</v>
      </c>
      <c r="L4995" t="str">
        <f>IFERROR(VLOOKUP(Detalle_OC[[#This Row],[Centro]]&amp;Detalle_OC[[#This Row],[Nro Almacen]],Almacen!A:D,4,FALSE),"")</f>
        <v>Montelima</v>
      </c>
    </row>
    <row r="4996" spans="1:12" x14ac:dyDescent="0.3">
      <c r="A4996" s="29" t="str">
        <f>Detalle_OC[[#This Row],[Centro]]&amp;Detalle_OC[[#This Row],[Nom Almacen]]&amp;Detalle_OC[[#This Row],[Material]]&amp;Detalle_OC[[#This Row],[Pedido]]&amp;Detalle_OC[[#This Row],[Posicion]]</f>
        <v>Agricola del Chira PlantaMontelima83546155000191881060</v>
      </c>
      <c r="B4996" t="s">
        <v>28</v>
      </c>
      <c r="C4996" t="s">
        <v>82</v>
      </c>
      <c r="D4996" s="11">
        <v>43158</v>
      </c>
      <c r="E4996" t="s">
        <v>16</v>
      </c>
      <c r="F4996" t="s">
        <v>12</v>
      </c>
      <c r="G4996">
        <v>835461</v>
      </c>
      <c r="H4996">
        <v>5500019188</v>
      </c>
      <c r="I4996">
        <v>1060</v>
      </c>
      <c r="J4996" s="29">
        <v>1</v>
      </c>
      <c r="K4996" s="29" t="s">
        <v>794</v>
      </c>
      <c r="L4996" t="str">
        <f>IFERROR(VLOOKUP(Detalle_OC[[#This Row],[Centro]]&amp;Detalle_OC[[#This Row],[Nro Almacen]],Almacen!A:D,4,FALSE),"")</f>
        <v>Montelima</v>
      </c>
    </row>
    <row r="4997" spans="1:12" x14ac:dyDescent="0.3">
      <c r="A4997" s="29" t="str">
        <f>Detalle_OC[[#This Row],[Centro]]&amp;Detalle_OC[[#This Row],[Nom Almacen]]&amp;Detalle_OC[[#This Row],[Material]]&amp;Detalle_OC[[#This Row],[Pedido]]&amp;Detalle_OC[[#This Row],[Posicion]]</f>
        <v>Agricola del Chira PlantaMontelima83106555000191881110</v>
      </c>
      <c r="B4997" t="s">
        <v>28</v>
      </c>
      <c r="C4997" t="s">
        <v>82</v>
      </c>
      <c r="D4997" s="11">
        <v>43159</v>
      </c>
      <c r="E4997" t="s">
        <v>16</v>
      </c>
      <c r="F4997" t="s">
        <v>12</v>
      </c>
      <c r="G4997">
        <v>831065</v>
      </c>
      <c r="H4997">
        <v>5500019188</v>
      </c>
      <c r="I4997">
        <v>1110</v>
      </c>
      <c r="J4997" s="29">
        <v>1</v>
      </c>
      <c r="K4997" s="29" t="s">
        <v>794</v>
      </c>
      <c r="L4997" t="str">
        <f>IFERROR(VLOOKUP(Detalle_OC[[#This Row],[Centro]]&amp;Detalle_OC[[#This Row],[Nro Almacen]],Almacen!A:D,4,FALSE),"")</f>
        <v>Montelima</v>
      </c>
    </row>
    <row r="4998" spans="1:12" x14ac:dyDescent="0.3">
      <c r="A4998" s="29" t="str">
        <f>Detalle_OC[[#This Row],[Centro]]&amp;Detalle_OC[[#This Row],[Nom Almacen]]&amp;Detalle_OC[[#This Row],[Material]]&amp;Detalle_OC[[#This Row],[Pedido]]&amp;Detalle_OC[[#This Row],[Posicion]]</f>
        <v>Agricola del Chira PlantaMontelima82639855000191881160</v>
      </c>
      <c r="B4998" t="s">
        <v>28</v>
      </c>
      <c r="C4998" t="s">
        <v>82</v>
      </c>
      <c r="D4998" s="11">
        <v>43158</v>
      </c>
      <c r="E4998" t="s">
        <v>16</v>
      </c>
      <c r="F4998" t="s">
        <v>12</v>
      </c>
      <c r="G4998">
        <v>826398</v>
      </c>
      <c r="H4998">
        <v>5500019188</v>
      </c>
      <c r="I4998">
        <v>1160</v>
      </c>
      <c r="J4998" s="29">
        <v>1</v>
      </c>
      <c r="K4998" s="29" t="s">
        <v>794</v>
      </c>
      <c r="L4998" t="str">
        <f>IFERROR(VLOOKUP(Detalle_OC[[#This Row],[Centro]]&amp;Detalle_OC[[#This Row],[Nro Almacen]],Almacen!A:D,4,FALSE),"")</f>
        <v>Montelima</v>
      </c>
    </row>
    <row r="4999" spans="1:12" x14ac:dyDescent="0.3">
      <c r="A4999" s="29" t="str">
        <f>Detalle_OC[[#This Row],[Centro]]&amp;Detalle_OC[[#This Row],[Nom Almacen]]&amp;Detalle_OC[[#This Row],[Material]]&amp;Detalle_OC[[#This Row],[Pedido]]&amp;Detalle_OC[[#This Row],[Posicion]]</f>
        <v>Agricola del Chira PlantaMontelima83082555000191881200</v>
      </c>
      <c r="B4999" t="s">
        <v>28</v>
      </c>
      <c r="C4999" t="s">
        <v>82</v>
      </c>
      <c r="D4999" s="11">
        <v>43158</v>
      </c>
      <c r="E4999" t="s">
        <v>16</v>
      </c>
      <c r="F4999" t="s">
        <v>12</v>
      </c>
      <c r="G4999">
        <v>830825</v>
      </c>
      <c r="H4999">
        <v>5500019188</v>
      </c>
      <c r="I4999">
        <v>1200</v>
      </c>
      <c r="J4999" s="29">
        <v>1</v>
      </c>
      <c r="K4999" s="29" t="s">
        <v>794</v>
      </c>
      <c r="L4999" t="str">
        <f>IFERROR(VLOOKUP(Detalle_OC[[#This Row],[Centro]]&amp;Detalle_OC[[#This Row],[Nro Almacen]],Almacen!A:D,4,FALSE),"")</f>
        <v>Montelima</v>
      </c>
    </row>
    <row r="5000" spans="1:12" x14ac:dyDescent="0.3">
      <c r="A5000" s="29" t="str">
        <f>Detalle_OC[[#This Row],[Centro]]&amp;Detalle_OC[[#This Row],[Nom Almacen]]&amp;Detalle_OC[[#This Row],[Material]]&amp;Detalle_OC[[#This Row],[Pedido]]&amp;Detalle_OC[[#This Row],[Posicion]]</f>
        <v>Agricola del Chira PlantaMontelima83705955000191881260</v>
      </c>
      <c r="B5000" t="s">
        <v>28</v>
      </c>
      <c r="C5000" t="s">
        <v>82</v>
      </c>
      <c r="D5000" s="11">
        <v>43159</v>
      </c>
      <c r="E5000" t="s">
        <v>16</v>
      </c>
      <c r="F5000" t="s">
        <v>12</v>
      </c>
      <c r="G5000">
        <v>837059</v>
      </c>
      <c r="H5000">
        <v>5500019188</v>
      </c>
      <c r="I5000">
        <v>1260</v>
      </c>
      <c r="J5000" s="29">
        <v>1</v>
      </c>
      <c r="K5000" s="29" t="s">
        <v>794</v>
      </c>
      <c r="L5000" t="str">
        <f>IFERROR(VLOOKUP(Detalle_OC[[#This Row],[Centro]]&amp;Detalle_OC[[#This Row],[Nro Almacen]],Almacen!A:D,4,FALSE),"")</f>
        <v>Montelima</v>
      </c>
    </row>
    <row r="5001" spans="1:12" x14ac:dyDescent="0.3">
      <c r="A5001" s="29" t="str">
        <f>Detalle_OC[[#This Row],[Centro]]&amp;Detalle_OC[[#This Row],[Nom Almacen]]&amp;Detalle_OC[[#This Row],[Material]]&amp;Detalle_OC[[#This Row],[Pedido]]&amp;Detalle_OC[[#This Row],[Posicion]]</f>
        <v>Agricola del Chira PlantaMontelima82229755000191881290</v>
      </c>
      <c r="B5001" t="s">
        <v>28</v>
      </c>
      <c r="C5001" t="s">
        <v>82</v>
      </c>
      <c r="D5001" s="11">
        <v>43158</v>
      </c>
      <c r="E5001" t="s">
        <v>16</v>
      </c>
      <c r="F5001" t="s">
        <v>12</v>
      </c>
      <c r="G5001">
        <v>822297</v>
      </c>
      <c r="H5001">
        <v>5500019188</v>
      </c>
      <c r="I5001">
        <v>1290</v>
      </c>
      <c r="J5001" s="29">
        <v>1</v>
      </c>
      <c r="K5001" s="29" t="s">
        <v>794</v>
      </c>
      <c r="L5001" t="str">
        <f>IFERROR(VLOOKUP(Detalle_OC[[#This Row],[Centro]]&amp;Detalle_OC[[#This Row],[Nro Almacen]],Almacen!A:D,4,FALSE),"")</f>
        <v>Montelima</v>
      </c>
    </row>
    <row r="5002" spans="1:12" x14ac:dyDescent="0.3">
      <c r="A5002" s="29" t="str">
        <f>Detalle_OC[[#This Row],[Centro]]&amp;Detalle_OC[[#This Row],[Nom Almacen]]&amp;Detalle_OC[[#This Row],[Material]]&amp;Detalle_OC[[#This Row],[Pedido]]&amp;Detalle_OC[[#This Row],[Posicion]]</f>
        <v>Agricola del Chira PlantaMontelima83605355000191881450</v>
      </c>
      <c r="B5002" t="s">
        <v>28</v>
      </c>
      <c r="C5002" t="s">
        <v>82</v>
      </c>
      <c r="D5002" s="11">
        <v>43158</v>
      </c>
      <c r="E5002" t="s">
        <v>16</v>
      </c>
      <c r="F5002" t="s">
        <v>12</v>
      </c>
      <c r="G5002">
        <v>836053</v>
      </c>
      <c r="H5002">
        <v>5500019188</v>
      </c>
      <c r="I5002">
        <v>1450</v>
      </c>
      <c r="J5002" s="29">
        <v>1</v>
      </c>
      <c r="K5002" s="29" t="s">
        <v>794</v>
      </c>
      <c r="L5002" t="str">
        <f>IFERROR(VLOOKUP(Detalle_OC[[#This Row],[Centro]]&amp;Detalle_OC[[#This Row],[Nro Almacen]],Almacen!A:D,4,FALSE),"")</f>
        <v>Montelima</v>
      </c>
    </row>
    <row r="5003" spans="1:12" x14ac:dyDescent="0.3">
      <c r="A5003" s="29" t="str">
        <f>Detalle_OC[[#This Row],[Centro]]&amp;Detalle_OC[[#This Row],[Nom Almacen]]&amp;Detalle_OC[[#This Row],[Material]]&amp;Detalle_OC[[#This Row],[Pedido]]&amp;Detalle_OC[[#This Row],[Posicion]]</f>
        <v>Agricola del Chira PlantaMontelima82718155000191881520</v>
      </c>
      <c r="B5003" t="s">
        <v>28</v>
      </c>
      <c r="C5003" t="s">
        <v>82</v>
      </c>
      <c r="D5003" s="11">
        <v>43158</v>
      </c>
      <c r="E5003" t="s">
        <v>16</v>
      </c>
      <c r="F5003" t="s">
        <v>12</v>
      </c>
      <c r="G5003">
        <v>827181</v>
      </c>
      <c r="H5003">
        <v>5500019188</v>
      </c>
      <c r="I5003">
        <v>1520</v>
      </c>
      <c r="J5003" s="29">
        <v>1</v>
      </c>
      <c r="K5003" s="29" t="s">
        <v>794</v>
      </c>
      <c r="L5003" t="str">
        <f>IFERROR(VLOOKUP(Detalle_OC[[#This Row],[Centro]]&amp;Detalle_OC[[#This Row],[Nro Almacen]],Almacen!A:D,4,FALSE),"")</f>
        <v>Montelima</v>
      </c>
    </row>
    <row r="5004" spans="1:12" x14ac:dyDescent="0.3">
      <c r="A5004" s="29" t="str">
        <f>Detalle_OC[[#This Row],[Centro]]&amp;Detalle_OC[[#This Row],[Nom Almacen]]&amp;Detalle_OC[[#This Row],[Material]]&amp;Detalle_OC[[#This Row],[Pedido]]&amp;Detalle_OC[[#This Row],[Posicion]]</f>
        <v>Agricola del Chira PlantaMontelima8445195500019188530</v>
      </c>
      <c r="B5004" t="s">
        <v>28</v>
      </c>
      <c r="C5004" t="s">
        <v>82</v>
      </c>
      <c r="D5004" s="11">
        <v>43150</v>
      </c>
      <c r="E5004" t="s">
        <v>16</v>
      </c>
      <c r="F5004" t="s">
        <v>12</v>
      </c>
      <c r="G5004">
        <v>844519</v>
      </c>
      <c r="H5004">
        <v>5500019188</v>
      </c>
      <c r="I5004">
        <v>530</v>
      </c>
      <c r="J5004" s="29">
        <v>1</v>
      </c>
      <c r="K5004" s="29" t="s">
        <v>795</v>
      </c>
      <c r="L5004" t="str">
        <f>IFERROR(VLOOKUP(Detalle_OC[[#This Row],[Centro]]&amp;Detalle_OC[[#This Row],[Nro Almacen]],Almacen!A:D,4,FALSE),"")</f>
        <v>Montelima</v>
      </c>
    </row>
    <row r="5005" spans="1:12" x14ac:dyDescent="0.3">
      <c r="A5005" s="29" t="str">
        <f>Detalle_OC[[#This Row],[Centro]]&amp;Detalle_OC[[#This Row],[Nom Almacen]]&amp;Detalle_OC[[#This Row],[Material]]&amp;Detalle_OC[[#This Row],[Pedido]]&amp;Detalle_OC[[#This Row],[Posicion]]</f>
        <v>Agricola del Chira PlantaMontelima8453145500019188640</v>
      </c>
      <c r="B5005" t="s">
        <v>28</v>
      </c>
      <c r="C5005" t="s">
        <v>82</v>
      </c>
      <c r="D5005" s="11">
        <v>43150</v>
      </c>
      <c r="E5005" t="s">
        <v>16</v>
      </c>
      <c r="F5005" t="s">
        <v>12</v>
      </c>
      <c r="G5005">
        <v>845314</v>
      </c>
      <c r="H5005">
        <v>5500019188</v>
      </c>
      <c r="I5005">
        <v>640</v>
      </c>
      <c r="J5005" s="29">
        <v>1</v>
      </c>
      <c r="K5005" s="29" t="s">
        <v>795</v>
      </c>
      <c r="L5005" t="str">
        <f>IFERROR(VLOOKUP(Detalle_OC[[#This Row],[Centro]]&amp;Detalle_OC[[#This Row],[Nro Almacen]],Almacen!A:D,4,FALSE),"")</f>
        <v>Montelima</v>
      </c>
    </row>
    <row r="5006" spans="1:12" x14ac:dyDescent="0.3">
      <c r="A5006" s="29" t="str">
        <f>Detalle_OC[[#This Row],[Centro]]&amp;Detalle_OC[[#This Row],[Nom Almacen]]&amp;Detalle_OC[[#This Row],[Material]]&amp;Detalle_OC[[#This Row],[Pedido]]&amp;Detalle_OC[[#This Row],[Posicion]]</f>
        <v>Agricola del Chira PlantaMontelima8445485500019188900</v>
      </c>
      <c r="B5006" t="s">
        <v>28</v>
      </c>
      <c r="C5006" t="s">
        <v>82</v>
      </c>
      <c r="D5006" s="11">
        <v>43150</v>
      </c>
      <c r="E5006" t="s">
        <v>16</v>
      </c>
      <c r="F5006" t="s">
        <v>12</v>
      </c>
      <c r="G5006">
        <v>844548</v>
      </c>
      <c r="H5006">
        <v>5500019188</v>
      </c>
      <c r="I5006">
        <v>900</v>
      </c>
      <c r="J5006" s="29">
        <v>1</v>
      </c>
      <c r="K5006" s="29" t="s">
        <v>795</v>
      </c>
      <c r="L5006" t="str">
        <f>IFERROR(VLOOKUP(Detalle_OC[[#This Row],[Centro]]&amp;Detalle_OC[[#This Row],[Nro Almacen]],Almacen!A:D,4,FALSE),"")</f>
        <v>Montelima</v>
      </c>
    </row>
    <row r="5007" spans="1:12" x14ac:dyDescent="0.3">
      <c r="A5007" s="29" t="str">
        <f>Detalle_OC[[#This Row],[Centro]]&amp;Detalle_OC[[#This Row],[Nom Almacen]]&amp;Detalle_OC[[#This Row],[Material]]&amp;Detalle_OC[[#This Row],[Pedido]]&amp;Detalle_OC[[#This Row],[Posicion]]</f>
        <v>Agricola del Chira PlantaMontelima82638355000191881150</v>
      </c>
      <c r="B5007" t="s">
        <v>28</v>
      </c>
      <c r="C5007" t="s">
        <v>82</v>
      </c>
      <c r="D5007" s="11">
        <v>43150</v>
      </c>
      <c r="E5007" t="s">
        <v>16</v>
      </c>
      <c r="F5007" t="s">
        <v>12</v>
      </c>
      <c r="G5007">
        <v>826383</v>
      </c>
      <c r="H5007">
        <v>5500019188</v>
      </c>
      <c r="I5007">
        <v>1150</v>
      </c>
      <c r="J5007" s="29">
        <v>1</v>
      </c>
      <c r="K5007" s="29" t="s">
        <v>795</v>
      </c>
      <c r="L5007" t="str">
        <f>IFERROR(VLOOKUP(Detalle_OC[[#This Row],[Centro]]&amp;Detalle_OC[[#This Row],[Nro Almacen]],Almacen!A:D,4,FALSE),"")</f>
        <v>Montelima</v>
      </c>
    </row>
    <row r="5008" spans="1:12" x14ac:dyDescent="0.3">
      <c r="A5008" s="29" t="str">
        <f>Detalle_OC[[#This Row],[Centro]]&amp;Detalle_OC[[#This Row],[Nom Almacen]]&amp;Detalle_OC[[#This Row],[Material]]&amp;Detalle_OC[[#This Row],[Pedido]]&amp;Detalle_OC[[#This Row],[Posicion]]</f>
        <v>Agricola del Chira PlantaMontelima89230155000191881220</v>
      </c>
      <c r="B5008" t="s">
        <v>28</v>
      </c>
      <c r="C5008" t="s">
        <v>82</v>
      </c>
      <c r="D5008" s="11">
        <v>43150</v>
      </c>
      <c r="E5008" t="s">
        <v>16</v>
      </c>
      <c r="F5008" t="s">
        <v>12</v>
      </c>
      <c r="G5008">
        <v>892301</v>
      </c>
      <c r="H5008">
        <v>5500019188</v>
      </c>
      <c r="I5008">
        <v>1220</v>
      </c>
      <c r="J5008" s="29">
        <v>1</v>
      </c>
      <c r="K5008" s="29" t="s">
        <v>795</v>
      </c>
      <c r="L5008" t="str">
        <f>IFERROR(VLOOKUP(Detalle_OC[[#This Row],[Centro]]&amp;Detalle_OC[[#This Row],[Nro Almacen]],Almacen!A:D,4,FALSE),"")</f>
        <v>Montelima</v>
      </c>
    </row>
    <row r="5009" spans="1:12" x14ac:dyDescent="0.3">
      <c r="A5009" s="29" t="str">
        <f>Detalle_OC[[#This Row],[Centro]]&amp;Detalle_OC[[#This Row],[Nom Almacen]]&amp;Detalle_OC[[#This Row],[Material]]&amp;Detalle_OC[[#This Row],[Pedido]]&amp;Detalle_OC[[#This Row],[Posicion]]</f>
        <v>Agricola del Chira PlantaMontelima89664055000191881230</v>
      </c>
      <c r="B5009" t="s">
        <v>28</v>
      </c>
      <c r="C5009" t="s">
        <v>82</v>
      </c>
      <c r="D5009" s="11">
        <v>43150</v>
      </c>
      <c r="E5009" t="s">
        <v>16</v>
      </c>
      <c r="F5009" t="s">
        <v>12</v>
      </c>
      <c r="G5009">
        <v>896640</v>
      </c>
      <c r="H5009">
        <v>5500019188</v>
      </c>
      <c r="I5009">
        <v>1230</v>
      </c>
      <c r="J5009" s="29">
        <v>1</v>
      </c>
      <c r="K5009" s="29" t="s">
        <v>795</v>
      </c>
      <c r="L5009" t="str">
        <f>IFERROR(VLOOKUP(Detalle_OC[[#This Row],[Centro]]&amp;Detalle_OC[[#This Row],[Nro Almacen]],Almacen!A:D,4,FALSE),"")</f>
        <v>Montelima</v>
      </c>
    </row>
    <row r="5010" spans="1:12" x14ac:dyDescent="0.3">
      <c r="A5010" s="29" t="str">
        <f>Detalle_OC[[#This Row],[Centro]]&amp;Detalle_OC[[#This Row],[Nom Almacen]]&amp;Detalle_OC[[#This Row],[Material]]&amp;Detalle_OC[[#This Row],[Pedido]]&amp;Detalle_OC[[#This Row],[Posicion]]</f>
        <v>Agricola del Chira PlantaMontelima83507555000191881310</v>
      </c>
      <c r="B5010" t="s">
        <v>28</v>
      </c>
      <c r="C5010" t="s">
        <v>82</v>
      </c>
      <c r="D5010" s="11">
        <v>43150</v>
      </c>
      <c r="E5010" t="s">
        <v>16</v>
      </c>
      <c r="F5010" t="s">
        <v>12</v>
      </c>
      <c r="G5010">
        <v>835075</v>
      </c>
      <c r="H5010">
        <v>5500019188</v>
      </c>
      <c r="I5010">
        <v>1310</v>
      </c>
      <c r="J5010" s="29">
        <v>1</v>
      </c>
      <c r="K5010" s="29" t="s">
        <v>795</v>
      </c>
      <c r="L5010" t="str">
        <f>IFERROR(VLOOKUP(Detalle_OC[[#This Row],[Centro]]&amp;Detalle_OC[[#This Row],[Nro Almacen]],Almacen!A:D,4,FALSE),"")</f>
        <v>Montelima</v>
      </c>
    </row>
    <row r="5011" spans="1:12" x14ac:dyDescent="0.3">
      <c r="A5011" s="29" t="str">
        <f>Detalle_OC[[#This Row],[Centro]]&amp;Detalle_OC[[#This Row],[Nom Almacen]]&amp;Detalle_OC[[#This Row],[Material]]&amp;Detalle_OC[[#This Row],[Pedido]]&amp;Detalle_OC[[#This Row],[Posicion]]</f>
        <v>Agricola del Chira PlantaMontelima83507855000191881330</v>
      </c>
      <c r="B5011" t="s">
        <v>28</v>
      </c>
      <c r="C5011" t="s">
        <v>82</v>
      </c>
      <c r="D5011" s="11">
        <v>43150</v>
      </c>
      <c r="E5011" t="s">
        <v>16</v>
      </c>
      <c r="F5011" t="s">
        <v>12</v>
      </c>
      <c r="G5011">
        <v>835078</v>
      </c>
      <c r="H5011">
        <v>5500019188</v>
      </c>
      <c r="I5011">
        <v>1330</v>
      </c>
      <c r="J5011" s="29">
        <v>1</v>
      </c>
      <c r="K5011" s="29" t="s">
        <v>795</v>
      </c>
      <c r="L5011" t="str">
        <f>IFERROR(VLOOKUP(Detalle_OC[[#This Row],[Centro]]&amp;Detalle_OC[[#This Row],[Nro Almacen]],Almacen!A:D,4,FALSE),"")</f>
        <v>Montelima</v>
      </c>
    </row>
    <row r="5012" spans="1:12" x14ac:dyDescent="0.3">
      <c r="A5012" s="29" t="str">
        <f>Detalle_OC[[#This Row],[Centro]]&amp;Detalle_OC[[#This Row],[Nom Almacen]]&amp;Detalle_OC[[#This Row],[Material]]&amp;Detalle_OC[[#This Row],[Pedido]]&amp;Detalle_OC[[#This Row],[Posicion]]</f>
        <v>Agricola del Chira PlantaMontelima83507655000191881340</v>
      </c>
      <c r="B5012" t="s">
        <v>28</v>
      </c>
      <c r="C5012" t="s">
        <v>82</v>
      </c>
      <c r="D5012" s="11">
        <v>43150</v>
      </c>
      <c r="E5012" t="s">
        <v>16</v>
      </c>
      <c r="F5012" t="s">
        <v>12</v>
      </c>
      <c r="G5012">
        <v>835076</v>
      </c>
      <c r="H5012">
        <v>5500019188</v>
      </c>
      <c r="I5012">
        <v>1340</v>
      </c>
      <c r="J5012" s="29">
        <v>1</v>
      </c>
      <c r="K5012" s="29" t="s">
        <v>795</v>
      </c>
      <c r="L5012" t="str">
        <f>IFERROR(VLOOKUP(Detalle_OC[[#This Row],[Centro]]&amp;Detalle_OC[[#This Row],[Nro Almacen]],Almacen!A:D,4,FALSE),"")</f>
        <v>Montelima</v>
      </c>
    </row>
    <row r="5013" spans="1:12" x14ac:dyDescent="0.3">
      <c r="A5013" s="29" t="str">
        <f>Detalle_OC[[#This Row],[Centro]]&amp;Detalle_OC[[#This Row],[Nom Almacen]]&amp;Detalle_OC[[#This Row],[Material]]&amp;Detalle_OC[[#This Row],[Pedido]]&amp;Detalle_OC[[#This Row],[Posicion]]</f>
        <v>Agricola del Chira PlantaMontelima84737055000191881350</v>
      </c>
      <c r="B5013" t="s">
        <v>28</v>
      </c>
      <c r="C5013" t="s">
        <v>82</v>
      </c>
      <c r="D5013" s="11">
        <v>43150</v>
      </c>
      <c r="E5013" t="s">
        <v>16</v>
      </c>
      <c r="F5013" t="s">
        <v>12</v>
      </c>
      <c r="G5013">
        <v>847370</v>
      </c>
      <c r="H5013">
        <v>5500019188</v>
      </c>
      <c r="I5013">
        <v>1350</v>
      </c>
      <c r="J5013" s="29">
        <v>1</v>
      </c>
      <c r="K5013" s="29" t="s">
        <v>795</v>
      </c>
      <c r="L5013" t="str">
        <f>IFERROR(VLOOKUP(Detalle_OC[[#This Row],[Centro]]&amp;Detalle_OC[[#This Row],[Nro Almacen]],Almacen!A:D,4,FALSE),"")</f>
        <v>Montelima</v>
      </c>
    </row>
    <row r="5014" spans="1:12" x14ac:dyDescent="0.3">
      <c r="A5014" s="29" t="str">
        <f>Detalle_OC[[#This Row],[Centro]]&amp;Detalle_OC[[#This Row],[Nom Almacen]]&amp;Detalle_OC[[#This Row],[Material]]&amp;Detalle_OC[[#This Row],[Pedido]]&amp;Detalle_OC[[#This Row],[Posicion]]</f>
        <v>Agricola del Chira PlantaMontelima89021055000191881360</v>
      </c>
      <c r="B5014" t="s">
        <v>28</v>
      </c>
      <c r="C5014" t="s">
        <v>82</v>
      </c>
      <c r="D5014" s="11">
        <v>43150</v>
      </c>
      <c r="E5014" t="s">
        <v>16</v>
      </c>
      <c r="F5014" t="s">
        <v>12</v>
      </c>
      <c r="G5014">
        <v>890210</v>
      </c>
      <c r="H5014">
        <v>5500019188</v>
      </c>
      <c r="I5014">
        <v>1360</v>
      </c>
      <c r="J5014" s="29">
        <v>1</v>
      </c>
      <c r="K5014" s="29" t="s">
        <v>795</v>
      </c>
      <c r="L5014" t="str">
        <f>IFERROR(VLOOKUP(Detalle_OC[[#This Row],[Centro]]&amp;Detalle_OC[[#This Row],[Nro Almacen]],Almacen!A:D,4,FALSE),"")</f>
        <v>Montelima</v>
      </c>
    </row>
    <row r="5015" spans="1:12" x14ac:dyDescent="0.3">
      <c r="A5015" s="29" t="str">
        <f>Detalle_OC[[#This Row],[Centro]]&amp;Detalle_OC[[#This Row],[Nom Almacen]]&amp;Detalle_OC[[#This Row],[Material]]&amp;Detalle_OC[[#This Row],[Pedido]]&amp;Detalle_OC[[#This Row],[Posicion]]</f>
        <v>Agricola del Chira PlantaMontelima83605255000191881460</v>
      </c>
      <c r="B5015" t="s">
        <v>28</v>
      </c>
      <c r="C5015" t="s">
        <v>82</v>
      </c>
      <c r="D5015" s="11">
        <v>43150</v>
      </c>
      <c r="E5015" t="s">
        <v>16</v>
      </c>
      <c r="F5015" t="s">
        <v>12</v>
      </c>
      <c r="G5015">
        <v>836052</v>
      </c>
      <c r="H5015">
        <v>5500019188</v>
      </c>
      <c r="I5015">
        <v>1460</v>
      </c>
      <c r="J5015" s="29">
        <v>1</v>
      </c>
      <c r="K5015" s="29" t="s">
        <v>795</v>
      </c>
      <c r="L5015" t="str">
        <f>IFERROR(VLOOKUP(Detalle_OC[[#This Row],[Centro]]&amp;Detalle_OC[[#This Row],[Nro Almacen]],Almacen!A:D,4,FALSE),"")</f>
        <v>Montelima</v>
      </c>
    </row>
    <row r="5016" spans="1:12" x14ac:dyDescent="0.3">
      <c r="A5016" s="29" t="str">
        <f>Detalle_OC[[#This Row],[Centro]]&amp;Detalle_OC[[#This Row],[Nom Almacen]]&amp;Detalle_OC[[#This Row],[Material]]&amp;Detalle_OC[[#This Row],[Pedido]]&amp;Detalle_OC[[#This Row],[Posicion]]</f>
        <v>Agricola del Chira PlantaMontelima82639955000191881120</v>
      </c>
      <c r="B5016" t="s">
        <v>28</v>
      </c>
      <c r="C5016" t="s">
        <v>82</v>
      </c>
      <c r="D5016" s="11">
        <v>43150</v>
      </c>
      <c r="E5016" t="s">
        <v>16</v>
      </c>
      <c r="F5016" t="s">
        <v>12</v>
      </c>
      <c r="G5016">
        <v>826399</v>
      </c>
      <c r="H5016">
        <v>5500019188</v>
      </c>
      <c r="I5016">
        <v>1120</v>
      </c>
      <c r="J5016" s="29">
        <v>1</v>
      </c>
      <c r="K5016" s="29" t="s">
        <v>796</v>
      </c>
      <c r="L5016" t="str">
        <f>IFERROR(VLOOKUP(Detalle_OC[[#This Row],[Centro]]&amp;Detalle_OC[[#This Row],[Nro Almacen]],Almacen!A:D,4,FALSE),"")</f>
        <v>Montelima</v>
      </c>
    </row>
    <row r="5017" spans="1:12" x14ac:dyDescent="0.3">
      <c r="A5017" s="29" t="str">
        <f>Detalle_OC[[#This Row],[Centro]]&amp;Detalle_OC[[#This Row],[Nom Almacen]]&amp;Detalle_OC[[#This Row],[Material]]&amp;Detalle_OC[[#This Row],[Pedido]]&amp;Detalle_OC[[#This Row],[Posicion]]</f>
        <v>Agricola del Chira PlantaMontelima82638355000191881150</v>
      </c>
      <c r="B5017" t="s">
        <v>28</v>
      </c>
      <c r="C5017" t="s">
        <v>82</v>
      </c>
      <c r="D5017" s="11">
        <v>43150</v>
      </c>
      <c r="E5017" t="s">
        <v>16</v>
      </c>
      <c r="F5017" t="s">
        <v>12</v>
      </c>
      <c r="G5017">
        <v>826383</v>
      </c>
      <c r="H5017">
        <v>5500019188</v>
      </c>
      <c r="I5017">
        <v>1150</v>
      </c>
      <c r="J5017" s="29">
        <v>1</v>
      </c>
      <c r="K5017" s="29" t="s">
        <v>796</v>
      </c>
      <c r="L5017" t="str">
        <f>IFERROR(VLOOKUP(Detalle_OC[[#This Row],[Centro]]&amp;Detalle_OC[[#This Row],[Nro Almacen]],Almacen!A:D,4,FALSE),"")</f>
        <v>Montelima</v>
      </c>
    </row>
    <row r="5018" spans="1:12" x14ac:dyDescent="0.3">
      <c r="A5018" s="29" t="str">
        <f>Detalle_OC[[#This Row],[Centro]]&amp;Detalle_OC[[#This Row],[Nom Almacen]]&amp;Detalle_OC[[#This Row],[Material]]&amp;Detalle_OC[[#This Row],[Pedido]]&amp;Detalle_OC[[#This Row],[Posicion]]</f>
        <v>Agricola del Chira PlantaMontelima82718155000191881520</v>
      </c>
      <c r="B5018" t="s">
        <v>28</v>
      </c>
      <c r="C5018" t="s">
        <v>82</v>
      </c>
      <c r="D5018" s="11">
        <v>43150</v>
      </c>
      <c r="E5018" t="s">
        <v>16</v>
      </c>
      <c r="F5018" t="s">
        <v>12</v>
      </c>
      <c r="G5018">
        <v>827181</v>
      </c>
      <c r="H5018">
        <v>5500019188</v>
      </c>
      <c r="I5018">
        <v>1520</v>
      </c>
      <c r="J5018" s="29">
        <v>1</v>
      </c>
      <c r="K5018" s="29" t="s">
        <v>796</v>
      </c>
      <c r="L5018" t="str">
        <f>IFERROR(VLOOKUP(Detalle_OC[[#This Row],[Centro]]&amp;Detalle_OC[[#This Row],[Nro Almacen]],Almacen!A:D,4,FALSE),"")</f>
        <v>Montelima</v>
      </c>
    </row>
    <row r="5019" spans="1:12" x14ac:dyDescent="0.3">
      <c r="A5019" s="29" t="str">
        <f>Detalle_OC[[#This Row],[Centro]]&amp;Detalle_OC[[#This Row],[Nom Almacen]]&amp;Detalle_OC[[#This Row],[Material]]&amp;Detalle_OC[[#This Row],[Pedido]]&amp;Detalle_OC[[#This Row],[Posicion]]</f>
        <v>Agricola del Chira PlantaMontelima7002962855000191881530</v>
      </c>
      <c r="B5019" t="s">
        <v>28</v>
      </c>
      <c r="C5019" t="s">
        <v>82</v>
      </c>
      <c r="D5019" s="11">
        <v>43150</v>
      </c>
      <c r="E5019" t="s">
        <v>16</v>
      </c>
      <c r="F5019" t="s">
        <v>12</v>
      </c>
      <c r="G5019">
        <v>70029628</v>
      </c>
      <c r="H5019">
        <v>5500019188</v>
      </c>
      <c r="I5019">
        <v>1530</v>
      </c>
      <c r="J5019" s="29">
        <v>1</v>
      </c>
      <c r="K5019" s="29" t="s">
        <v>796</v>
      </c>
      <c r="L5019" t="str">
        <f>IFERROR(VLOOKUP(Detalle_OC[[#This Row],[Centro]]&amp;Detalle_OC[[#This Row],[Nro Almacen]],Almacen!A:D,4,FALSE),"")</f>
        <v>Montelima</v>
      </c>
    </row>
    <row r="5020" spans="1:12" x14ac:dyDescent="0.3">
      <c r="A5020" s="29" t="str">
        <f>Detalle_OC[[#This Row],[Centro]]&amp;Detalle_OC[[#This Row],[Nom Almacen]]&amp;Detalle_OC[[#This Row],[Material]]&amp;Detalle_OC[[#This Row],[Pedido]]&amp;Detalle_OC[[#This Row],[Posicion]]</f>
        <v>Agricola del Chira PlantaMontelima7002962955000191881540</v>
      </c>
      <c r="B5020" t="s">
        <v>28</v>
      </c>
      <c r="C5020" t="s">
        <v>82</v>
      </c>
      <c r="D5020" s="11">
        <v>43150</v>
      </c>
      <c r="E5020" t="s">
        <v>16</v>
      </c>
      <c r="F5020" t="s">
        <v>12</v>
      </c>
      <c r="G5020">
        <v>70029629</v>
      </c>
      <c r="H5020">
        <v>5500019188</v>
      </c>
      <c r="I5020">
        <v>1540</v>
      </c>
      <c r="J5020" s="29">
        <v>1</v>
      </c>
      <c r="K5020" s="29" t="s">
        <v>796</v>
      </c>
      <c r="L5020" t="str">
        <f>IFERROR(VLOOKUP(Detalle_OC[[#This Row],[Centro]]&amp;Detalle_OC[[#This Row],[Nro Almacen]],Almacen!A:D,4,FALSE),"")</f>
        <v>Montelima</v>
      </c>
    </row>
    <row r="5021" spans="1:12" x14ac:dyDescent="0.3">
      <c r="A5021" s="29" t="str">
        <f>Detalle_OC[[#This Row],[Centro]]&amp;Detalle_OC[[#This Row],[Nom Almacen]]&amp;Detalle_OC[[#This Row],[Material]]&amp;Detalle_OC[[#This Row],[Pedido]]&amp;Detalle_OC[[#This Row],[Posicion]]</f>
        <v>Agricola del Chira PlantaMontelima7002961455000191881550</v>
      </c>
      <c r="B5021" t="s">
        <v>28</v>
      </c>
      <c r="C5021" t="s">
        <v>82</v>
      </c>
      <c r="D5021" s="11">
        <v>43150</v>
      </c>
      <c r="E5021" t="s">
        <v>16</v>
      </c>
      <c r="F5021" t="s">
        <v>12</v>
      </c>
      <c r="G5021">
        <v>70029614</v>
      </c>
      <c r="H5021">
        <v>5500019188</v>
      </c>
      <c r="I5021">
        <v>1550</v>
      </c>
      <c r="J5021" s="29">
        <v>1</v>
      </c>
      <c r="K5021" s="29" t="s">
        <v>796</v>
      </c>
      <c r="L5021" t="str">
        <f>IFERROR(VLOOKUP(Detalle_OC[[#This Row],[Centro]]&amp;Detalle_OC[[#This Row],[Nro Almacen]],Almacen!A:D,4,FALSE),"")</f>
        <v>Montelima</v>
      </c>
    </row>
    <row r="5022" spans="1:12" x14ac:dyDescent="0.3">
      <c r="A5022" s="29" t="str">
        <f>Detalle_OC[[#This Row],[Centro]]&amp;Detalle_OC[[#This Row],[Nom Almacen]]&amp;Detalle_OC[[#This Row],[Material]]&amp;Detalle_OC[[#This Row],[Pedido]]&amp;Detalle_OC[[#This Row],[Posicion]]</f>
        <v>Agricola del Chira PlantaMontelima7002966055000191881560</v>
      </c>
      <c r="B5022" t="s">
        <v>28</v>
      </c>
      <c r="C5022" t="s">
        <v>82</v>
      </c>
      <c r="D5022" s="11">
        <v>43150</v>
      </c>
      <c r="E5022" t="s">
        <v>16</v>
      </c>
      <c r="F5022" t="s">
        <v>12</v>
      </c>
      <c r="G5022">
        <v>70029660</v>
      </c>
      <c r="H5022">
        <v>5500019188</v>
      </c>
      <c r="I5022">
        <v>1560</v>
      </c>
      <c r="J5022" s="29">
        <v>1</v>
      </c>
      <c r="K5022" s="29" t="s">
        <v>796</v>
      </c>
      <c r="L5022" t="str">
        <f>IFERROR(VLOOKUP(Detalle_OC[[#This Row],[Centro]]&amp;Detalle_OC[[#This Row],[Nro Almacen]],Almacen!A:D,4,FALSE),"")</f>
        <v>Montelima</v>
      </c>
    </row>
    <row r="5023" spans="1:12" x14ac:dyDescent="0.3">
      <c r="A5023" s="29" t="str">
        <f>Detalle_OC[[#This Row],[Centro]]&amp;Detalle_OC[[#This Row],[Nom Almacen]]&amp;Detalle_OC[[#This Row],[Material]]&amp;Detalle_OC[[#This Row],[Pedido]]&amp;Detalle_OC[[#This Row],[Posicion]]</f>
        <v>Agricola del Chira PlantaMontelima7002961555000191881570</v>
      </c>
      <c r="B5023" t="s">
        <v>28</v>
      </c>
      <c r="C5023" t="s">
        <v>82</v>
      </c>
      <c r="D5023" s="11">
        <v>43150</v>
      </c>
      <c r="E5023" t="s">
        <v>16</v>
      </c>
      <c r="F5023" t="s">
        <v>12</v>
      </c>
      <c r="G5023">
        <v>70029615</v>
      </c>
      <c r="H5023">
        <v>5500019188</v>
      </c>
      <c r="I5023">
        <v>1570</v>
      </c>
      <c r="J5023" s="29">
        <v>1</v>
      </c>
      <c r="K5023" s="29" t="s">
        <v>796</v>
      </c>
      <c r="L5023" t="str">
        <f>IFERROR(VLOOKUP(Detalle_OC[[#This Row],[Centro]]&amp;Detalle_OC[[#This Row],[Nro Almacen]],Almacen!A:D,4,FALSE),"")</f>
        <v>Montelima</v>
      </c>
    </row>
    <row r="5024" spans="1:12" x14ac:dyDescent="0.3">
      <c r="A5024" s="29" t="str">
        <f>Detalle_OC[[#This Row],[Centro]]&amp;Detalle_OC[[#This Row],[Nom Almacen]]&amp;Detalle_OC[[#This Row],[Material]]&amp;Detalle_OC[[#This Row],[Pedido]]&amp;Detalle_OC[[#This Row],[Posicion]]</f>
        <v>Agricola del Chira PlantaMontelima7002961755000191881590</v>
      </c>
      <c r="B5024" t="s">
        <v>28</v>
      </c>
      <c r="C5024" t="s">
        <v>82</v>
      </c>
      <c r="D5024" s="11">
        <v>43150</v>
      </c>
      <c r="E5024" t="s">
        <v>16</v>
      </c>
      <c r="F5024" t="s">
        <v>12</v>
      </c>
      <c r="G5024">
        <v>70029617</v>
      </c>
      <c r="H5024">
        <v>5500019188</v>
      </c>
      <c r="I5024">
        <v>1590</v>
      </c>
      <c r="J5024" s="29">
        <v>1</v>
      </c>
      <c r="K5024" s="29" t="s">
        <v>796</v>
      </c>
      <c r="L5024" t="str">
        <f>IFERROR(VLOOKUP(Detalle_OC[[#This Row],[Centro]]&amp;Detalle_OC[[#This Row],[Nro Almacen]],Almacen!A:D,4,FALSE),"")</f>
        <v>Montelima</v>
      </c>
    </row>
    <row r="5025" spans="1:12" x14ac:dyDescent="0.3">
      <c r="A5025" s="29" t="str">
        <f>Detalle_OC[[#This Row],[Centro]]&amp;Detalle_OC[[#This Row],[Nom Almacen]]&amp;Detalle_OC[[#This Row],[Material]]&amp;Detalle_OC[[#This Row],[Pedido]]&amp;Detalle_OC[[#This Row],[Posicion]]</f>
        <v>Agricola del Chira PlantaMontelima7002961955000191881600</v>
      </c>
      <c r="B5025" t="s">
        <v>28</v>
      </c>
      <c r="C5025" t="s">
        <v>82</v>
      </c>
      <c r="D5025" s="11">
        <v>43150</v>
      </c>
      <c r="E5025" t="s">
        <v>16</v>
      </c>
      <c r="F5025" t="s">
        <v>12</v>
      </c>
      <c r="G5025">
        <v>70029619</v>
      </c>
      <c r="H5025">
        <v>5500019188</v>
      </c>
      <c r="I5025">
        <v>1600</v>
      </c>
      <c r="J5025" s="29">
        <v>1</v>
      </c>
      <c r="K5025" s="29" t="s">
        <v>796</v>
      </c>
      <c r="L5025" t="str">
        <f>IFERROR(VLOOKUP(Detalle_OC[[#This Row],[Centro]]&amp;Detalle_OC[[#This Row],[Nro Almacen]],Almacen!A:D,4,FALSE),"")</f>
        <v>Montelima</v>
      </c>
    </row>
    <row r="5026" spans="1:12" x14ac:dyDescent="0.3">
      <c r="A5026" s="29" t="str">
        <f>Detalle_OC[[#This Row],[Centro]]&amp;Detalle_OC[[#This Row],[Nom Almacen]]&amp;Detalle_OC[[#This Row],[Material]]&amp;Detalle_OC[[#This Row],[Pedido]]&amp;Detalle_OC[[#This Row],[Posicion]]</f>
        <v>Agricola del Chira PlantaMontelima7002961855000191881610</v>
      </c>
      <c r="B5026" t="s">
        <v>28</v>
      </c>
      <c r="C5026" t="s">
        <v>82</v>
      </c>
      <c r="D5026" s="11">
        <v>43150</v>
      </c>
      <c r="E5026" t="s">
        <v>16</v>
      </c>
      <c r="F5026" t="s">
        <v>12</v>
      </c>
      <c r="G5026">
        <v>70029618</v>
      </c>
      <c r="H5026">
        <v>5500019188</v>
      </c>
      <c r="I5026">
        <v>1610</v>
      </c>
      <c r="J5026" s="29">
        <v>1</v>
      </c>
      <c r="K5026" s="29" t="s">
        <v>796</v>
      </c>
      <c r="L5026" t="str">
        <f>IFERROR(VLOOKUP(Detalle_OC[[#This Row],[Centro]]&amp;Detalle_OC[[#This Row],[Nro Almacen]],Almacen!A:D,4,FALSE),"")</f>
        <v>Montelima</v>
      </c>
    </row>
    <row r="5027" spans="1:12" x14ac:dyDescent="0.3">
      <c r="A5027" s="29" t="str">
        <f>Detalle_OC[[#This Row],[Centro]]&amp;Detalle_OC[[#This Row],[Nom Almacen]]&amp;Detalle_OC[[#This Row],[Material]]&amp;Detalle_OC[[#This Row],[Pedido]]&amp;Detalle_OC[[#This Row],[Posicion]]</f>
        <v>Agricola del Chira PlantaMontelima7002966155000191881630</v>
      </c>
      <c r="B5027" t="s">
        <v>28</v>
      </c>
      <c r="C5027" t="s">
        <v>82</v>
      </c>
      <c r="D5027" s="11">
        <v>43150</v>
      </c>
      <c r="E5027" t="s">
        <v>16</v>
      </c>
      <c r="F5027" t="s">
        <v>12</v>
      </c>
      <c r="G5027">
        <v>70029661</v>
      </c>
      <c r="H5027">
        <v>5500019188</v>
      </c>
      <c r="I5027">
        <v>1630</v>
      </c>
      <c r="J5027" s="29">
        <v>1</v>
      </c>
      <c r="K5027" s="29" t="s">
        <v>796</v>
      </c>
      <c r="L5027" t="str">
        <f>IFERROR(VLOOKUP(Detalle_OC[[#This Row],[Centro]]&amp;Detalle_OC[[#This Row],[Nro Almacen]],Almacen!A:D,4,FALSE),"")</f>
        <v>Montelima</v>
      </c>
    </row>
    <row r="5028" spans="1:12" x14ac:dyDescent="0.3">
      <c r="A5028" s="29" t="str">
        <f>Detalle_OC[[#This Row],[Centro]]&amp;Detalle_OC[[#This Row],[Nom Almacen]]&amp;Detalle_OC[[#This Row],[Material]]&amp;Detalle_OC[[#This Row],[Pedido]]&amp;Detalle_OC[[#This Row],[Posicion]]</f>
        <v>Agricola del Chira PlantaMontelima7002963055000191881640</v>
      </c>
      <c r="B5028" t="s">
        <v>28</v>
      </c>
      <c r="C5028" t="s">
        <v>82</v>
      </c>
      <c r="D5028" s="11">
        <v>43150</v>
      </c>
      <c r="E5028" t="s">
        <v>16</v>
      </c>
      <c r="F5028" t="s">
        <v>12</v>
      </c>
      <c r="G5028">
        <v>70029630</v>
      </c>
      <c r="H5028">
        <v>5500019188</v>
      </c>
      <c r="I5028">
        <v>1640</v>
      </c>
      <c r="J5028" s="29">
        <v>1</v>
      </c>
      <c r="K5028" s="29" t="s">
        <v>796</v>
      </c>
      <c r="L5028" t="str">
        <f>IFERROR(VLOOKUP(Detalle_OC[[#This Row],[Centro]]&amp;Detalle_OC[[#This Row],[Nro Almacen]],Almacen!A:D,4,FALSE),"")</f>
        <v>Montelima</v>
      </c>
    </row>
    <row r="5029" spans="1:12" x14ac:dyDescent="0.3">
      <c r="A5029" s="29" t="str">
        <f>Detalle_OC[[#This Row],[Centro]]&amp;Detalle_OC[[#This Row],[Nom Almacen]]&amp;Detalle_OC[[#This Row],[Material]]&amp;Detalle_OC[[#This Row],[Pedido]]&amp;Detalle_OC[[#This Row],[Posicion]]</f>
        <v>Agricola del Chira PlantaMontelima7002963155000191881650</v>
      </c>
      <c r="B5029" t="s">
        <v>28</v>
      </c>
      <c r="C5029" t="s">
        <v>82</v>
      </c>
      <c r="D5029" s="11">
        <v>43150</v>
      </c>
      <c r="E5029" t="s">
        <v>16</v>
      </c>
      <c r="F5029" t="s">
        <v>12</v>
      </c>
      <c r="G5029">
        <v>70029631</v>
      </c>
      <c r="H5029">
        <v>5500019188</v>
      </c>
      <c r="I5029">
        <v>1650</v>
      </c>
      <c r="J5029" s="29">
        <v>1</v>
      </c>
      <c r="K5029" s="29" t="s">
        <v>796</v>
      </c>
      <c r="L5029" t="str">
        <f>IFERROR(VLOOKUP(Detalle_OC[[#This Row],[Centro]]&amp;Detalle_OC[[#This Row],[Nro Almacen]],Almacen!A:D,4,FALSE),"")</f>
        <v>Montelima</v>
      </c>
    </row>
    <row r="5030" spans="1:12" x14ac:dyDescent="0.3">
      <c r="A5030" s="29" t="str">
        <f>Detalle_OC[[#This Row],[Centro]]&amp;Detalle_OC[[#This Row],[Nom Almacen]]&amp;Detalle_OC[[#This Row],[Material]]&amp;Detalle_OC[[#This Row],[Pedido]]&amp;Detalle_OC[[#This Row],[Posicion]]</f>
        <v>Agricola del Chira PlantaMontelima7002963255000191881670</v>
      </c>
      <c r="B5030" t="s">
        <v>28</v>
      </c>
      <c r="C5030" t="s">
        <v>82</v>
      </c>
      <c r="D5030" s="11">
        <v>43150</v>
      </c>
      <c r="E5030" t="s">
        <v>16</v>
      </c>
      <c r="F5030" t="s">
        <v>12</v>
      </c>
      <c r="G5030">
        <v>70029632</v>
      </c>
      <c r="H5030">
        <v>5500019188</v>
      </c>
      <c r="I5030">
        <v>1670</v>
      </c>
      <c r="J5030" s="29">
        <v>1</v>
      </c>
      <c r="K5030" s="29" t="s">
        <v>796</v>
      </c>
      <c r="L5030" t="str">
        <f>IFERROR(VLOOKUP(Detalle_OC[[#This Row],[Centro]]&amp;Detalle_OC[[#This Row],[Nro Almacen]],Almacen!A:D,4,FALSE),"")</f>
        <v>Montelima</v>
      </c>
    </row>
    <row r="5031" spans="1:12" x14ac:dyDescent="0.3">
      <c r="A5031" s="29" t="str">
        <f>Detalle_OC[[#This Row],[Centro]]&amp;Detalle_OC[[#This Row],[Nom Almacen]]&amp;Detalle_OC[[#This Row],[Material]]&amp;Detalle_OC[[#This Row],[Pedido]]&amp;Detalle_OC[[#This Row],[Posicion]]</f>
        <v>Agricola del Chira PlantaMontelima7002963355000191881680</v>
      </c>
      <c r="B5031" t="s">
        <v>28</v>
      </c>
      <c r="C5031" t="s">
        <v>82</v>
      </c>
      <c r="D5031" s="11">
        <v>43150</v>
      </c>
      <c r="E5031" t="s">
        <v>16</v>
      </c>
      <c r="F5031" t="s">
        <v>12</v>
      </c>
      <c r="G5031">
        <v>70029633</v>
      </c>
      <c r="H5031">
        <v>5500019188</v>
      </c>
      <c r="I5031">
        <v>1680</v>
      </c>
      <c r="J5031" s="29">
        <v>1</v>
      </c>
      <c r="K5031" s="29" t="s">
        <v>796</v>
      </c>
      <c r="L5031" t="str">
        <f>IFERROR(VLOOKUP(Detalle_OC[[#This Row],[Centro]]&amp;Detalle_OC[[#This Row],[Nro Almacen]],Almacen!A:D,4,FALSE),"")</f>
        <v>Montelima</v>
      </c>
    </row>
    <row r="5032" spans="1:12" x14ac:dyDescent="0.3">
      <c r="A5032" s="29" t="str">
        <f>Detalle_OC[[#This Row],[Centro]]&amp;Detalle_OC[[#This Row],[Nom Almacen]]&amp;Detalle_OC[[#This Row],[Material]]&amp;Detalle_OC[[#This Row],[Pedido]]&amp;Detalle_OC[[#This Row],[Posicion]]</f>
        <v>Agricola del Chira PlantaMontelima761905550001918810</v>
      </c>
      <c r="B5032" t="s">
        <v>28</v>
      </c>
      <c r="C5032" t="s">
        <v>82</v>
      </c>
      <c r="D5032" s="11">
        <v>43148</v>
      </c>
      <c r="E5032" t="s">
        <v>16</v>
      </c>
      <c r="F5032" t="s">
        <v>12</v>
      </c>
      <c r="G5032">
        <v>761905</v>
      </c>
      <c r="H5032">
        <v>5500019188</v>
      </c>
      <c r="I5032">
        <v>10</v>
      </c>
      <c r="J5032" s="29">
        <v>1</v>
      </c>
      <c r="K5032" s="29" t="s">
        <v>797</v>
      </c>
      <c r="L5032" t="str">
        <f>IFERROR(VLOOKUP(Detalle_OC[[#This Row],[Centro]]&amp;Detalle_OC[[#This Row],[Nro Almacen]],Almacen!A:D,4,FALSE),"")</f>
        <v>Montelima</v>
      </c>
    </row>
    <row r="5033" spans="1:12" x14ac:dyDescent="0.3">
      <c r="A5033" s="29" t="str">
        <f>Detalle_OC[[#This Row],[Centro]]&amp;Detalle_OC[[#This Row],[Nom Almacen]]&amp;Detalle_OC[[#This Row],[Material]]&amp;Detalle_OC[[#This Row],[Pedido]]&amp;Detalle_OC[[#This Row],[Posicion]]</f>
        <v>Agricola del Chira PlantaMontelima738330550001918820</v>
      </c>
      <c r="B5033" t="s">
        <v>28</v>
      </c>
      <c r="C5033" t="s">
        <v>82</v>
      </c>
      <c r="D5033" s="11">
        <v>43148</v>
      </c>
      <c r="E5033" t="s">
        <v>16</v>
      </c>
      <c r="F5033" t="s">
        <v>12</v>
      </c>
      <c r="G5033">
        <v>738330</v>
      </c>
      <c r="H5033">
        <v>5500019188</v>
      </c>
      <c r="I5033">
        <v>20</v>
      </c>
      <c r="J5033" s="29">
        <v>1</v>
      </c>
      <c r="K5033" s="29" t="s">
        <v>797</v>
      </c>
      <c r="L5033" t="str">
        <f>IFERROR(VLOOKUP(Detalle_OC[[#This Row],[Centro]]&amp;Detalle_OC[[#This Row],[Nro Almacen]],Almacen!A:D,4,FALSE),"")</f>
        <v>Montelima</v>
      </c>
    </row>
    <row r="5034" spans="1:12" x14ac:dyDescent="0.3">
      <c r="A5034" s="29" t="str">
        <f>Detalle_OC[[#This Row],[Centro]]&amp;Detalle_OC[[#This Row],[Nom Almacen]]&amp;Detalle_OC[[#This Row],[Material]]&amp;Detalle_OC[[#This Row],[Pedido]]&amp;Detalle_OC[[#This Row],[Posicion]]</f>
        <v>Agricola del Chira PlantaMontelima725201550001918830</v>
      </c>
      <c r="B5034" t="s">
        <v>28</v>
      </c>
      <c r="C5034" t="s">
        <v>82</v>
      </c>
      <c r="D5034" s="11">
        <v>43148</v>
      </c>
      <c r="E5034" t="s">
        <v>16</v>
      </c>
      <c r="F5034" t="s">
        <v>12</v>
      </c>
      <c r="G5034">
        <v>725201</v>
      </c>
      <c r="H5034">
        <v>5500019188</v>
      </c>
      <c r="I5034">
        <v>30</v>
      </c>
      <c r="J5034" s="29">
        <v>1</v>
      </c>
      <c r="K5034" s="29" t="s">
        <v>797</v>
      </c>
      <c r="L5034" t="str">
        <f>IFERROR(VLOOKUP(Detalle_OC[[#This Row],[Centro]]&amp;Detalle_OC[[#This Row],[Nro Almacen]],Almacen!A:D,4,FALSE),"")</f>
        <v>Montelima</v>
      </c>
    </row>
    <row r="5035" spans="1:12" x14ac:dyDescent="0.3">
      <c r="A5035" s="29" t="str">
        <f>Detalle_OC[[#This Row],[Centro]]&amp;Detalle_OC[[#This Row],[Nom Almacen]]&amp;Detalle_OC[[#This Row],[Material]]&amp;Detalle_OC[[#This Row],[Pedido]]&amp;Detalle_OC[[#This Row],[Posicion]]</f>
        <v>Agricola del Chira PlantaMontelima738245550001918840</v>
      </c>
      <c r="B5035" t="s">
        <v>28</v>
      </c>
      <c r="C5035" t="s">
        <v>82</v>
      </c>
      <c r="D5035" s="11">
        <v>43148</v>
      </c>
      <c r="E5035" t="s">
        <v>16</v>
      </c>
      <c r="F5035" t="s">
        <v>12</v>
      </c>
      <c r="G5035">
        <v>738245</v>
      </c>
      <c r="H5035">
        <v>5500019188</v>
      </c>
      <c r="I5035">
        <v>40</v>
      </c>
      <c r="J5035" s="29">
        <v>1</v>
      </c>
      <c r="K5035" s="29" t="s">
        <v>797</v>
      </c>
      <c r="L5035" t="str">
        <f>IFERROR(VLOOKUP(Detalle_OC[[#This Row],[Centro]]&amp;Detalle_OC[[#This Row],[Nro Almacen]],Almacen!A:D,4,FALSE),"")</f>
        <v>Montelima</v>
      </c>
    </row>
    <row r="5036" spans="1:12" x14ac:dyDescent="0.3">
      <c r="A5036" s="29" t="str">
        <f>Detalle_OC[[#This Row],[Centro]]&amp;Detalle_OC[[#This Row],[Nom Almacen]]&amp;Detalle_OC[[#This Row],[Material]]&amp;Detalle_OC[[#This Row],[Pedido]]&amp;Detalle_OC[[#This Row],[Posicion]]</f>
        <v>Agricola del Chira PlantaMontelima762202550001918850</v>
      </c>
      <c r="B5036" t="s">
        <v>28</v>
      </c>
      <c r="C5036" t="s">
        <v>82</v>
      </c>
      <c r="D5036" s="11">
        <v>43148</v>
      </c>
      <c r="E5036" t="s">
        <v>16</v>
      </c>
      <c r="F5036" t="s">
        <v>12</v>
      </c>
      <c r="G5036">
        <v>762202</v>
      </c>
      <c r="H5036">
        <v>5500019188</v>
      </c>
      <c r="I5036">
        <v>50</v>
      </c>
      <c r="J5036" s="29">
        <v>1</v>
      </c>
      <c r="K5036" s="29" t="s">
        <v>797</v>
      </c>
      <c r="L5036" t="str">
        <f>IFERROR(VLOOKUP(Detalle_OC[[#This Row],[Centro]]&amp;Detalle_OC[[#This Row],[Nro Almacen]],Almacen!A:D,4,FALSE),"")</f>
        <v>Montelima</v>
      </c>
    </row>
    <row r="5037" spans="1:12" x14ac:dyDescent="0.3">
      <c r="A5037" s="29" t="str">
        <f>Detalle_OC[[#This Row],[Centro]]&amp;Detalle_OC[[#This Row],[Nom Almacen]]&amp;Detalle_OC[[#This Row],[Material]]&amp;Detalle_OC[[#This Row],[Pedido]]&amp;Detalle_OC[[#This Row],[Posicion]]</f>
        <v>Agricola del Chira PlantaMontelima844601550001918860</v>
      </c>
      <c r="B5037" t="s">
        <v>28</v>
      </c>
      <c r="C5037" t="s">
        <v>82</v>
      </c>
      <c r="D5037" s="11">
        <v>43148</v>
      </c>
      <c r="E5037" t="s">
        <v>16</v>
      </c>
      <c r="F5037" t="s">
        <v>12</v>
      </c>
      <c r="G5037">
        <v>844601</v>
      </c>
      <c r="H5037">
        <v>5500019188</v>
      </c>
      <c r="I5037">
        <v>60</v>
      </c>
      <c r="J5037" s="29">
        <v>1</v>
      </c>
      <c r="K5037" s="29" t="s">
        <v>797</v>
      </c>
      <c r="L5037" t="str">
        <f>IFERROR(VLOOKUP(Detalle_OC[[#This Row],[Centro]]&amp;Detalle_OC[[#This Row],[Nro Almacen]],Almacen!A:D,4,FALSE),"")</f>
        <v>Montelima</v>
      </c>
    </row>
    <row r="5038" spans="1:12" x14ac:dyDescent="0.3">
      <c r="A5038" s="29" t="str">
        <f>Detalle_OC[[#This Row],[Centro]]&amp;Detalle_OC[[#This Row],[Nom Almacen]]&amp;Detalle_OC[[#This Row],[Material]]&amp;Detalle_OC[[#This Row],[Pedido]]&amp;Detalle_OC[[#This Row],[Posicion]]</f>
        <v>Agricola del Chira PlantaMontelima738248550001918870</v>
      </c>
      <c r="B5038" t="s">
        <v>28</v>
      </c>
      <c r="C5038" t="s">
        <v>82</v>
      </c>
      <c r="D5038" s="11">
        <v>43148</v>
      </c>
      <c r="E5038" t="s">
        <v>16</v>
      </c>
      <c r="F5038" t="s">
        <v>12</v>
      </c>
      <c r="G5038">
        <v>738248</v>
      </c>
      <c r="H5038">
        <v>5500019188</v>
      </c>
      <c r="I5038">
        <v>70</v>
      </c>
      <c r="J5038" s="29">
        <v>1</v>
      </c>
      <c r="K5038" s="29" t="s">
        <v>797</v>
      </c>
      <c r="L5038" t="str">
        <f>IFERROR(VLOOKUP(Detalle_OC[[#This Row],[Centro]]&amp;Detalle_OC[[#This Row],[Nro Almacen]],Almacen!A:D,4,FALSE),"")</f>
        <v>Montelima</v>
      </c>
    </row>
    <row r="5039" spans="1:12" x14ac:dyDescent="0.3">
      <c r="A5039" s="29" t="str">
        <f>Detalle_OC[[#This Row],[Centro]]&amp;Detalle_OC[[#This Row],[Nom Almacen]]&amp;Detalle_OC[[#This Row],[Material]]&amp;Detalle_OC[[#This Row],[Pedido]]&amp;Detalle_OC[[#This Row],[Posicion]]</f>
        <v>Agricola del Chira PlantaMontelima738241550001918880</v>
      </c>
      <c r="B5039" t="s">
        <v>28</v>
      </c>
      <c r="C5039" t="s">
        <v>82</v>
      </c>
      <c r="D5039" s="11">
        <v>43148</v>
      </c>
      <c r="E5039" t="s">
        <v>16</v>
      </c>
      <c r="F5039" t="s">
        <v>12</v>
      </c>
      <c r="G5039">
        <v>738241</v>
      </c>
      <c r="H5039">
        <v>5500019188</v>
      </c>
      <c r="I5039">
        <v>80</v>
      </c>
      <c r="J5039" s="29">
        <v>1</v>
      </c>
      <c r="K5039" s="29" t="s">
        <v>797</v>
      </c>
      <c r="L5039" t="str">
        <f>IFERROR(VLOOKUP(Detalle_OC[[#This Row],[Centro]]&amp;Detalle_OC[[#This Row],[Nro Almacen]],Almacen!A:D,4,FALSE),"")</f>
        <v>Montelima</v>
      </c>
    </row>
    <row r="5040" spans="1:12" x14ac:dyDescent="0.3">
      <c r="A5040" s="29" t="str">
        <f>Detalle_OC[[#This Row],[Centro]]&amp;Detalle_OC[[#This Row],[Nom Almacen]]&amp;Detalle_OC[[#This Row],[Material]]&amp;Detalle_OC[[#This Row],[Pedido]]&amp;Detalle_OC[[#This Row],[Posicion]]</f>
        <v>Agricola del Chira PlantaMontelima896638550001918890</v>
      </c>
      <c r="B5040" t="s">
        <v>28</v>
      </c>
      <c r="C5040" t="s">
        <v>82</v>
      </c>
      <c r="D5040" s="11">
        <v>43148</v>
      </c>
      <c r="E5040" t="s">
        <v>16</v>
      </c>
      <c r="F5040" t="s">
        <v>12</v>
      </c>
      <c r="G5040">
        <v>896638</v>
      </c>
      <c r="H5040">
        <v>5500019188</v>
      </c>
      <c r="I5040">
        <v>90</v>
      </c>
      <c r="J5040" s="29">
        <v>1</v>
      </c>
      <c r="K5040" s="29" t="s">
        <v>797</v>
      </c>
      <c r="L5040" t="str">
        <f>IFERROR(VLOOKUP(Detalle_OC[[#This Row],[Centro]]&amp;Detalle_OC[[#This Row],[Nro Almacen]],Almacen!A:D,4,FALSE),"")</f>
        <v>Montelima</v>
      </c>
    </row>
    <row r="5041" spans="1:12" x14ac:dyDescent="0.3">
      <c r="A5041" s="29" t="str">
        <f>Detalle_OC[[#This Row],[Centro]]&amp;Detalle_OC[[#This Row],[Nom Almacen]]&amp;Detalle_OC[[#This Row],[Material]]&amp;Detalle_OC[[#This Row],[Pedido]]&amp;Detalle_OC[[#This Row],[Posicion]]</f>
        <v>Agricola del Chira PlantaMontelima7382475500019188100</v>
      </c>
      <c r="B5041" t="s">
        <v>28</v>
      </c>
      <c r="C5041" t="s">
        <v>82</v>
      </c>
      <c r="D5041" s="11">
        <v>43148</v>
      </c>
      <c r="E5041" t="s">
        <v>16</v>
      </c>
      <c r="F5041" t="s">
        <v>12</v>
      </c>
      <c r="G5041">
        <v>738247</v>
      </c>
      <c r="H5041">
        <v>5500019188</v>
      </c>
      <c r="I5041">
        <v>100</v>
      </c>
      <c r="J5041" s="29">
        <v>1</v>
      </c>
      <c r="K5041" s="29" t="s">
        <v>797</v>
      </c>
      <c r="L5041" t="str">
        <f>IFERROR(VLOOKUP(Detalle_OC[[#This Row],[Centro]]&amp;Detalle_OC[[#This Row],[Nro Almacen]],Almacen!A:D,4,FALSE),"")</f>
        <v>Montelima</v>
      </c>
    </row>
    <row r="5042" spans="1:12" x14ac:dyDescent="0.3">
      <c r="A5042" s="29" t="str">
        <f>Detalle_OC[[#This Row],[Centro]]&amp;Detalle_OC[[#This Row],[Nom Almacen]]&amp;Detalle_OC[[#This Row],[Material]]&amp;Detalle_OC[[#This Row],[Pedido]]&amp;Detalle_OC[[#This Row],[Posicion]]</f>
        <v>Agricola del Chira PlantaMontelima8446025500019188110</v>
      </c>
      <c r="B5042" t="s">
        <v>28</v>
      </c>
      <c r="C5042" t="s">
        <v>82</v>
      </c>
      <c r="D5042" s="11">
        <v>43148</v>
      </c>
      <c r="E5042" t="s">
        <v>16</v>
      </c>
      <c r="F5042" t="s">
        <v>12</v>
      </c>
      <c r="G5042">
        <v>844602</v>
      </c>
      <c r="H5042">
        <v>5500019188</v>
      </c>
      <c r="I5042">
        <v>110</v>
      </c>
      <c r="J5042" s="29">
        <v>1</v>
      </c>
      <c r="K5042" s="29" t="s">
        <v>797</v>
      </c>
      <c r="L5042" t="str">
        <f>IFERROR(VLOOKUP(Detalle_OC[[#This Row],[Centro]]&amp;Detalle_OC[[#This Row],[Nro Almacen]],Almacen!A:D,4,FALSE),"")</f>
        <v>Montelima</v>
      </c>
    </row>
    <row r="5043" spans="1:12" x14ac:dyDescent="0.3">
      <c r="A5043" s="29" t="str">
        <f>Detalle_OC[[#This Row],[Centro]]&amp;Detalle_OC[[#This Row],[Nom Almacen]]&amp;Detalle_OC[[#This Row],[Material]]&amp;Detalle_OC[[#This Row],[Pedido]]&amp;Detalle_OC[[#This Row],[Posicion]]</f>
        <v>Agricola del Chira PlantaMontelima8966395500019188120</v>
      </c>
      <c r="B5043" t="s">
        <v>28</v>
      </c>
      <c r="C5043" t="s">
        <v>82</v>
      </c>
      <c r="D5043" s="11">
        <v>43148</v>
      </c>
      <c r="E5043" t="s">
        <v>16</v>
      </c>
      <c r="F5043" t="s">
        <v>12</v>
      </c>
      <c r="G5043">
        <v>896639</v>
      </c>
      <c r="H5043">
        <v>5500019188</v>
      </c>
      <c r="I5043">
        <v>120</v>
      </c>
      <c r="J5043" s="29">
        <v>1</v>
      </c>
      <c r="K5043" s="29" t="s">
        <v>797</v>
      </c>
      <c r="L5043" t="str">
        <f>IFERROR(VLOOKUP(Detalle_OC[[#This Row],[Centro]]&amp;Detalle_OC[[#This Row],[Nro Almacen]],Almacen!A:D,4,FALSE),"")</f>
        <v>Montelima</v>
      </c>
    </row>
    <row r="5044" spans="1:12" x14ac:dyDescent="0.3">
      <c r="A5044" s="29" t="str">
        <f>Detalle_OC[[#This Row],[Centro]]&amp;Detalle_OC[[#This Row],[Nom Almacen]]&amp;Detalle_OC[[#This Row],[Material]]&amp;Detalle_OC[[#This Row],[Pedido]]&amp;Detalle_OC[[#This Row],[Posicion]]</f>
        <v>Agricola del Chira PlantaMontelima8453165500019188130</v>
      </c>
      <c r="B5044" t="s">
        <v>28</v>
      </c>
      <c r="C5044" t="s">
        <v>82</v>
      </c>
      <c r="D5044" s="11">
        <v>43148</v>
      </c>
      <c r="E5044" t="s">
        <v>16</v>
      </c>
      <c r="F5044" t="s">
        <v>12</v>
      </c>
      <c r="G5044">
        <v>845316</v>
      </c>
      <c r="H5044">
        <v>5500019188</v>
      </c>
      <c r="I5044">
        <v>130</v>
      </c>
      <c r="J5044" s="29">
        <v>1</v>
      </c>
      <c r="K5044" s="29" t="s">
        <v>797</v>
      </c>
      <c r="L5044" t="str">
        <f>IFERROR(VLOOKUP(Detalle_OC[[#This Row],[Centro]]&amp;Detalle_OC[[#This Row],[Nro Almacen]],Almacen!A:D,4,FALSE),"")</f>
        <v>Montelima</v>
      </c>
    </row>
    <row r="5045" spans="1:12" x14ac:dyDescent="0.3">
      <c r="A5045" s="29" t="str">
        <f>Detalle_OC[[#This Row],[Centro]]&amp;Detalle_OC[[#This Row],[Nom Almacen]]&amp;Detalle_OC[[#This Row],[Material]]&amp;Detalle_OC[[#This Row],[Pedido]]&amp;Detalle_OC[[#This Row],[Posicion]]</f>
        <v>Agricola del Chira PlantaMontelima8445235500019188140</v>
      </c>
      <c r="B5045" t="s">
        <v>28</v>
      </c>
      <c r="C5045" t="s">
        <v>82</v>
      </c>
      <c r="D5045" s="11">
        <v>43148</v>
      </c>
      <c r="E5045" t="s">
        <v>16</v>
      </c>
      <c r="F5045" t="s">
        <v>12</v>
      </c>
      <c r="G5045">
        <v>844523</v>
      </c>
      <c r="H5045">
        <v>5500019188</v>
      </c>
      <c r="I5045">
        <v>140</v>
      </c>
      <c r="J5045" s="29">
        <v>1</v>
      </c>
      <c r="K5045" s="29" t="s">
        <v>797</v>
      </c>
      <c r="L5045" t="str">
        <f>IFERROR(VLOOKUP(Detalle_OC[[#This Row],[Centro]]&amp;Detalle_OC[[#This Row],[Nro Almacen]],Almacen!A:D,4,FALSE),"")</f>
        <v>Montelima</v>
      </c>
    </row>
    <row r="5046" spans="1:12" x14ac:dyDescent="0.3">
      <c r="A5046" s="29" t="str">
        <f>Detalle_OC[[#This Row],[Centro]]&amp;Detalle_OC[[#This Row],[Nom Almacen]]&amp;Detalle_OC[[#This Row],[Material]]&amp;Detalle_OC[[#This Row],[Pedido]]&amp;Detalle_OC[[#This Row],[Posicion]]</f>
        <v>Agricola del Chira PlantaMontelima8445225500019188150</v>
      </c>
      <c r="B5046" t="s">
        <v>28</v>
      </c>
      <c r="C5046" t="s">
        <v>82</v>
      </c>
      <c r="D5046" s="11">
        <v>43148</v>
      </c>
      <c r="E5046" t="s">
        <v>16</v>
      </c>
      <c r="F5046" t="s">
        <v>12</v>
      </c>
      <c r="G5046">
        <v>844522</v>
      </c>
      <c r="H5046">
        <v>5500019188</v>
      </c>
      <c r="I5046">
        <v>150</v>
      </c>
      <c r="J5046" s="29">
        <v>1</v>
      </c>
      <c r="K5046" s="29" t="s">
        <v>797</v>
      </c>
      <c r="L5046" t="str">
        <f>IFERROR(VLOOKUP(Detalle_OC[[#This Row],[Centro]]&amp;Detalle_OC[[#This Row],[Nro Almacen]],Almacen!A:D,4,FALSE),"")</f>
        <v>Montelima</v>
      </c>
    </row>
    <row r="5047" spans="1:12" x14ac:dyDescent="0.3">
      <c r="A5047" s="29" t="str">
        <f>Detalle_OC[[#This Row],[Centro]]&amp;Detalle_OC[[#This Row],[Nom Almacen]]&amp;Detalle_OC[[#This Row],[Material]]&amp;Detalle_OC[[#This Row],[Pedido]]&amp;Detalle_OC[[#This Row],[Posicion]]</f>
        <v>Agricola del Chira PlantaMontelima8445335500019188170</v>
      </c>
      <c r="B5047" t="s">
        <v>28</v>
      </c>
      <c r="C5047" t="s">
        <v>82</v>
      </c>
      <c r="D5047" s="11">
        <v>43148</v>
      </c>
      <c r="E5047" t="s">
        <v>16</v>
      </c>
      <c r="F5047" t="s">
        <v>12</v>
      </c>
      <c r="G5047">
        <v>844533</v>
      </c>
      <c r="H5047">
        <v>5500019188</v>
      </c>
      <c r="I5047">
        <v>170</v>
      </c>
      <c r="J5047" s="29">
        <v>1</v>
      </c>
      <c r="K5047" s="29" t="s">
        <v>797</v>
      </c>
      <c r="L5047" t="str">
        <f>IFERROR(VLOOKUP(Detalle_OC[[#This Row],[Centro]]&amp;Detalle_OC[[#This Row],[Nro Almacen]],Almacen!A:D,4,FALSE),"")</f>
        <v>Montelima</v>
      </c>
    </row>
    <row r="5048" spans="1:12" x14ac:dyDescent="0.3">
      <c r="A5048" s="29" t="str">
        <f>Detalle_OC[[#This Row],[Centro]]&amp;Detalle_OC[[#This Row],[Nom Almacen]]&amp;Detalle_OC[[#This Row],[Material]]&amp;Detalle_OC[[#This Row],[Pedido]]&amp;Detalle_OC[[#This Row],[Posicion]]</f>
        <v>Agricola del Chira PlantaMontelima8445115500019188180</v>
      </c>
      <c r="B5048" t="s">
        <v>28</v>
      </c>
      <c r="C5048" t="s">
        <v>82</v>
      </c>
      <c r="D5048" s="11">
        <v>43148</v>
      </c>
      <c r="E5048" t="s">
        <v>16</v>
      </c>
      <c r="F5048" t="s">
        <v>12</v>
      </c>
      <c r="G5048">
        <v>844511</v>
      </c>
      <c r="H5048">
        <v>5500019188</v>
      </c>
      <c r="I5048">
        <v>180</v>
      </c>
      <c r="J5048" s="29">
        <v>1</v>
      </c>
      <c r="K5048" s="29" t="s">
        <v>797</v>
      </c>
      <c r="L5048" t="str">
        <f>IFERROR(VLOOKUP(Detalle_OC[[#This Row],[Centro]]&amp;Detalle_OC[[#This Row],[Nro Almacen]],Almacen!A:D,4,FALSE),"")</f>
        <v>Montelima</v>
      </c>
    </row>
    <row r="5049" spans="1:12" x14ac:dyDescent="0.3">
      <c r="A5049" s="29" t="str">
        <f>Detalle_OC[[#This Row],[Centro]]&amp;Detalle_OC[[#This Row],[Nom Almacen]]&amp;Detalle_OC[[#This Row],[Material]]&amp;Detalle_OC[[#This Row],[Pedido]]&amp;Detalle_OC[[#This Row],[Posicion]]</f>
        <v>Agricola del Chira PlantaMontelima8445165500019188190</v>
      </c>
      <c r="B5049" t="s">
        <v>28</v>
      </c>
      <c r="C5049" t="s">
        <v>82</v>
      </c>
      <c r="D5049" s="11">
        <v>43148</v>
      </c>
      <c r="E5049" t="s">
        <v>16</v>
      </c>
      <c r="F5049" t="s">
        <v>12</v>
      </c>
      <c r="G5049">
        <v>844516</v>
      </c>
      <c r="H5049">
        <v>5500019188</v>
      </c>
      <c r="I5049">
        <v>190</v>
      </c>
      <c r="J5049" s="29">
        <v>1</v>
      </c>
      <c r="K5049" s="29" t="s">
        <v>797</v>
      </c>
      <c r="L5049" t="str">
        <f>IFERROR(VLOOKUP(Detalle_OC[[#This Row],[Centro]]&amp;Detalle_OC[[#This Row],[Nro Almacen]],Almacen!A:D,4,FALSE),"")</f>
        <v>Montelima</v>
      </c>
    </row>
    <row r="5050" spans="1:12" x14ac:dyDescent="0.3">
      <c r="A5050" s="29" t="str">
        <f>Detalle_OC[[#This Row],[Centro]]&amp;Detalle_OC[[#This Row],[Nom Almacen]]&amp;Detalle_OC[[#This Row],[Material]]&amp;Detalle_OC[[#This Row],[Pedido]]&amp;Detalle_OC[[#This Row],[Posicion]]</f>
        <v>Agricola del Chira PlantaMontelima8445155500019188200</v>
      </c>
      <c r="B5050" t="s">
        <v>28</v>
      </c>
      <c r="C5050" t="s">
        <v>82</v>
      </c>
      <c r="D5050" s="11">
        <v>43148</v>
      </c>
      <c r="E5050" t="s">
        <v>16</v>
      </c>
      <c r="F5050" t="s">
        <v>12</v>
      </c>
      <c r="G5050">
        <v>844515</v>
      </c>
      <c r="H5050">
        <v>5500019188</v>
      </c>
      <c r="I5050">
        <v>200</v>
      </c>
      <c r="J5050" s="29">
        <v>1</v>
      </c>
      <c r="K5050" s="29" t="s">
        <v>797</v>
      </c>
      <c r="L5050" t="str">
        <f>IFERROR(VLOOKUP(Detalle_OC[[#This Row],[Centro]]&amp;Detalle_OC[[#This Row],[Nro Almacen]],Almacen!A:D,4,FALSE),"")</f>
        <v>Montelima</v>
      </c>
    </row>
    <row r="5051" spans="1:12" x14ac:dyDescent="0.3">
      <c r="A5051" s="29" t="str">
        <f>Detalle_OC[[#This Row],[Centro]]&amp;Detalle_OC[[#This Row],[Nom Almacen]]&amp;Detalle_OC[[#This Row],[Material]]&amp;Detalle_OC[[#This Row],[Pedido]]&amp;Detalle_OC[[#This Row],[Posicion]]</f>
        <v>Agricola del Chira PlantaMontelima8445245500019188210</v>
      </c>
      <c r="B5051" t="s">
        <v>28</v>
      </c>
      <c r="C5051" t="s">
        <v>82</v>
      </c>
      <c r="D5051" s="11">
        <v>43148</v>
      </c>
      <c r="E5051" t="s">
        <v>16</v>
      </c>
      <c r="F5051" t="s">
        <v>12</v>
      </c>
      <c r="G5051">
        <v>844524</v>
      </c>
      <c r="H5051">
        <v>5500019188</v>
      </c>
      <c r="I5051">
        <v>210</v>
      </c>
      <c r="J5051" s="29">
        <v>1</v>
      </c>
      <c r="K5051" s="29" t="s">
        <v>797</v>
      </c>
      <c r="L5051" t="str">
        <f>IFERROR(VLOOKUP(Detalle_OC[[#This Row],[Centro]]&amp;Detalle_OC[[#This Row],[Nro Almacen]],Almacen!A:D,4,FALSE),"")</f>
        <v>Montelima</v>
      </c>
    </row>
    <row r="5052" spans="1:12" x14ac:dyDescent="0.3">
      <c r="A5052" s="29" t="str">
        <f>Detalle_OC[[#This Row],[Centro]]&amp;Detalle_OC[[#This Row],[Nom Almacen]]&amp;Detalle_OC[[#This Row],[Material]]&amp;Detalle_OC[[#This Row],[Pedido]]&amp;Detalle_OC[[#This Row],[Posicion]]</f>
        <v>Agricola del Chira PlantaMontelima8445085500019188220</v>
      </c>
      <c r="B5052" t="s">
        <v>28</v>
      </c>
      <c r="C5052" t="s">
        <v>82</v>
      </c>
      <c r="D5052" s="11">
        <v>43148</v>
      </c>
      <c r="E5052" t="s">
        <v>16</v>
      </c>
      <c r="F5052" t="s">
        <v>12</v>
      </c>
      <c r="G5052">
        <v>844508</v>
      </c>
      <c r="H5052">
        <v>5500019188</v>
      </c>
      <c r="I5052">
        <v>220</v>
      </c>
      <c r="J5052" s="29">
        <v>1</v>
      </c>
      <c r="K5052" s="29" t="s">
        <v>797</v>
      </c>
      <c r="L5052" t="str">
        <f>IFERROR(VLOOKUP(Detalle_OC[[#This Row],[Centro]]&amp;Detalle_OC[[#This Row],[Nro Almacen]],Almacen!A:D,4,FALSE),"")</f>
        <v>Montelima</v>
      </c>
    </row>
    <row r="5053" spans="1:12" x14ac:dyDescent="0.3">
      <c r="A5053" s="29" t="str">
        <f>Detalle_OC[[#This Row],[Centro]]&amp;Detalle_OC[[#This Row],[Nom Almacen]]&amp;Detalle_OC[[#This Row],[Material]]&amp;Detalle_OC[[#This Row],[Pedido]]&amp;Detalle_OC[[#This Row],[Posicion]]</f>
        <v>Agricola del Chira PlantaMontelima8445405500019188230</v>
      </c>
      <c r="B5053" t="s">
        <v>28</v>
      </c>
      <c r="C5053" t="s">
        <v>82</v>
      </c>
      <c r="D5053" s="11">
        <v>43148</v>
      </c>
      <c r="E5053" t="s">
        <v>16</v>
      </c>
      <c r="F5053" t="s">
        <v>12</v>
      </c>
      <c r="G5053">
        <v>844540</v>
      </c>
      <c r="H5053">
        <v>5500019188</v>
      </c>
      <c r="I5053">
        <v>230</v>
      </c>
      <c r="J5053" s="29">
        <v>1</v>
      </c>
      <c r="K5053" s="29" t="s">
        <v>797</v>
      </c>
      <c r="L5053" t="str">
        <f>IFERROR(VLOOKUP(Detalle_OC[[#This Row],[Centro]]&amp;Detalle_OC[[#This Row],[Nro Almacen]],Almacen!A:D,4,FALSE),"")</f>
        <v>Montelima</v>
      </c>
    </row>
    <row r="5054" spans="1:12" x14ac:dyDescent="0.3">
      <c r="A5054" s="29" t="str">
        <f>Detalle_OC[[#This Row],[Centro]]&amp;Detalle_OC[[#This Row],[Nom Almacen]]&amp;Detalle_OC[[#This Row],[Material]]&amp;Detalle_OC[[#This Row],[Pedido]]&amp;Detalle_OC[[#This Row],[Posicion]]</f>
        <v>Agricola del Chira PlantaMontelima8449175500019188240</v>
      </c>
      <c r="B5054" t="s">
        <v>28</v>
      </c>
      <c r="C5054" t="s">
        <v>82</v>
      </c>
      <c r="D5054" s="11">
        <v>43148</v>
      </c>
      <c r="E5054" t="s">
        <v>16</v>
      </c>
      <c r="F5054" t="s">
        <v>12</v>
      </c>
      <c r="G5054">
        <v>844917</v>
      </c>
      <c r="H5054">
        <v>5500019188</v>
      </c>
      <c r="I5054">
        <v>240</v>
      </c>
      <c r="J5054" s="29">
        <v>1</v>
      </c>
      <c r="K5054" s="29" t="s">
        <v>797</v>
      </c>
      <c r="L5054" t="str">
        <f>IFERROR(VLOOKUP(Detalle_OC[[#This Row],[Centro]]&amp;Detalle_OC[[#This Row],[Nro Almacen]],Almacen!A:D,4,FALSE),"")</f>
        <v>Montelima</v>
      </c>
    </row>
    <row r="5055" spans="1:12" x14ac:dyDescent="0.3">
      <c r="A5055" s="29" t="str">
        <f>Detalle_OC[[#This Row],[Centro]]&amp;Detalle_OC[[#This Row],[Nom Almacen]]&amp;Detalle_OC[[#This Row],[Material]]&amp;Detalle_OC[[#This Row],[Pedido]]&amp;Detalle_OC[[#This Row],[Posicion]]</f>
        <v>Agricola del Chira PlantaMontelima8445025500019188250</v>
      </c>
      <c r="B5055" t="s">
        <v>28</v>
      </c>
      <c r="C5055" t="s">
        <v>82</v>
      </c>
      <c r="D5055" s="11">
        <v>43148</v>
      </c>
      <c r="E5055" t="s">
        <v>16</v>
      </c>
      <c r="F5055" t="s">
        <v>12</v>
      </c>
      <c r="G5055">
        <v>844502</v>
      </c>
      <c r="H5055">
        <v>5500019188</v>
      </c>
      <c r="I5055">
        <v>250</v>
      </c>
      <c r="J5055" s="29">
        <v>1</v>
      </c>
      <c r="K5055" s="29" t="s">
        <v>797</v>
      </c>
      <c r="L5055" t="str">
        <f>IFERROR(VLOOKUP(Detalle_OC[[#This Row],[Centro]]&amp;Detalle_OC[[#This Row],[Nro Almacen]],Almacen!A:D,4,FALSE),"")</f>
        <v>Montelima</v>
      </c>
    </row>
    <row r="5056" spans="1:12" x14ac:dyDescent="0.3">
      <c r="A5056" s="29" t="str">
        <f>Detalle_OC[[#This Row],[Centro]]&amp;Detalle_OC[[#This Row],[Nom Almacen]]&amp;Detalle_OC[[#This Row],[Material]]&amp;Detalle_OC[[#This Row],[Pedido]]&amp;Detalle_OC[[#This Row],[Posicion]]</f>
        <v>Agricola del Chira PlantaMontelima8445095500019188260</v>
      </c>
      <c r="B5056" t="s">
        <v>28</v>
      </c>
      <c r="C5056" t="s">
        <v>82</v>
      </c>
      <c r="D5056" s="11">
        <v>43148</v>
      </c>
      <c r="E5056" t="s">
        <v>16</v>
      </c>
      <c r="F5056" t="s">
        <v>12</v>
      </c>
      <c r="G5056">
        <v>844509</v>
      </c>
      <c r="H5056">
        <v>5500019188</v>
      </c>
      <c r="I5056">
        <v>260</v>
      </c>
      <c r="J5056" s="29">
        <v>1</v>
      </c>
      <c r="K5056" s="29" t="s">
        <v>797</v>
      </c>
      <c r="L5056" t="str">
        <f>IFERROR(VLOOKUP(Detalle_OC[[#This Row],[Centro]]&amp;Detalle_OC[[#This Row],[Nro Almacen]],Almacen!A:D,4,FALSE),"")</f>
        <v>Montelima</v>
      </c>
    </row>
    <row r="5057" spans="1:12" x14ac:dyDescent="0.3">
      <c r="A5057" s="29" t="str">
        <f>Detalle_OC[[#This Row],[Centro]]&amp;Detalle_OC[[#This Row],[Nom Almacen]]&amp;Detalle_OC[[#This Row],[Material]]&amp;Detalle_OC[[#This Row],[Pedido]]&amp;Detalle_OC[[#This Row],[Posicion]]</f>
        <v>Agricola del Chira PlantaMontelima8445185500019188270</v>
      </c>
      <c r="B5057" t="s">
        <v>28</v>
      </c>
      <c r="C5057" t="s">
        <v>82</v>
      </c>
      <c r="D5057" s="11">
        <v>43148</v>
      </c>
      <c r="E5057" t="s">
        <v>16</v>
      </c>
      <c r="F5057" t="s">
        <v>12</v>
      </c>
      <c r="G5057">
        <v>844518</v>
      </c>
      <c r="H5057">
        <v>5500019188</v>
      </c>
      <c r="I5057">
        <v>270</v>
      </c>
      <c r="J5057" s="29">
        <v>1</v>
      </c>
      <c r="K5057" s="29" t="s">
        <v>797</v>
      </c>
      <c r="L5057" t="str">
        <f>IFERROR(VLOOKUP(Detalle_OC[[#This Row],[Centro]]&amp;Detalle_OC[[#This Row],[Nro Almacen]],Almacen!A:D,4,FALSE),"")</f>
        <v>Montelima</v>
      </c>
    </row>
    <row r="5058" spans="1:12" x14ac:dyDescent="0.3">
      <c r="A5058" s="29" t="str">
        <f>Detalle_OC[[#This Row],[Centro]]&amp;Detalle_OC[[#This Row],[Nom Almacen]]&amp;Detalle_OC[[#This Row],[Material]]&amp;Detalle_OC[[#This Row],[Pedido]]&amp;Detalle_OC[[#This Row],[Posicion]]</f>
        <v>Agricola del Chira PlantaMontelima8443975500019188280</v>
      </c>
      <c r="B5058" t="s">
        <v>28</v>
      </c>
      <c r="C5058" t="s">
        <v>82</v>
      </c>
      <c r="D5058" s="11">
        <v>43148</v>
      </c>
      <c r="E5058" t="s">
        <v>16</v>
      </c>
      <c r="F5058" t="s">
        <v>12</v>
      </c>
      <c r="G5058">
        <v>844397</v>
      </c>
      <c r="H5058">
        <v>5500019188</v>
      </c>
      <c r="I5058">
        <v>280</v>
      </c>
      <c r="J5058" s="29">
        <v>1</v>
      </c>
      <c r="K5058" s="29" t="s">
        <v>797</v>
      </c>
      <c r="L5058" t="str">
        <f>IFERROR(VLOOKUP(Detalle_OC[[#This Row],[Centro]]&amp;Detalle_OC[[#This Row],[Nro Almacen]],Almacen!A:D,4,FALSE),"")</f>
        <v>Montelima</v>
      </c>
    </row>
    <row r="5059" spans="1:12" x14ac:dyDescent="0.3">
      <c r="A5059" s="29" t="str">
        <f>Detalle_OC[[#This Row],[Centro]]&amp;Detalle_OC[[#This Row],[Nom Almacen]]&amp;Detalle_OC[[#This Row],[Material]]&amp;Detalle_OC[[#This Row],[Pedido]]&amp;Detalle_OC[[#This Row],[Posicion]]</f>
        <v>Agricola del Chira PlantaMontelima8443985500019188290</v>
      </c>
      <c r="B5059" t="s">
        <v>28</v>
      </c>
      <c r="C5059" t="s">
        <v>82</v>
      </c>
      <c r="D5059" s="11">
        <v>43148</v>
      </c>
      <c r="E5059" t="s">
        <v>16</v>
      </c>
      <c r="F5059" t="s">
        <v>12</v>
      </c>
      <c r="G5059">
        <v>844398</v>
      </c>
      <c r="H5059">
        <v>5500019188</v>
      </c>
      <c r="I5059">
        <v>290</v>
      </c>
      <c r="J5059" s="29">
        <v>1</v>
      </c>
      <c r="K5059" s="29" t="s">
        <v>797</v>
      </c>
      <c r="L5059" t="str">
        <f>IFERROR(VLOOKUP(Detalle_OC[[#This Row],[Centro]]&amp;Detalle_OC[[#This Row],[Nro Almacen]],Almacen!A:D,4,FALSE),"")</f>
        <v>Montelima</v>
      </c>
    </row>
    <row r="5060" spans="1:12" x14ac:dyDescent="0.3">
      <c r="A5060" s="29" t="str">
        <f>Detalle_OC[[#This Row],[Centro]]&amp;Detalle_OC[[#This Row],[Nom Almacen]]&amp;Detalle_OC[[#This Row],[Material]]&amp;Detalle_OC[[#This Row],[Pedido]]&amp;Detalle_OC[[#This Row],[Posicion]]</f>
        <v>Agricola del Chira PlantaMontelima8445395500019188300</v>
      </c>
      <c r="B5060" t="s">
        <v>28</v>
      </c>
      <c r="C5060" t="s">
        <v>82</v>
      </c>
      <c r="D5060" s="11">
        <v>43148</v>
      </c>
      <c r="E5060" t="s">
        <v>16</v>
      </c>
      <c r="F5060" t="s">
        <v>12</v>
      </c>
      <c r="G5060">
        <v>844539</v>
      </c>
      <c r="H5060">
        <v>5500019188</v>
      </c>
      <c r="I5060">
        <v>300</v>
      </c>
      <c r="J5060" s="29">
        <v>1</v>
      </c>
      <c r="K5060" s="29" t="s">
        <v>797</v>
      </c>
      <c r="L5060" t="str">
        <f>IFERROR(VLOOKUP(Detalle_OC[[#This Row],[Centro]]&amp;Detalle_OC[[#This Row],[Nro Almacen]],Almacen!A:D,4,FALSE),"")</f>
        <v>Montelima</v>
      </c>
    </row>
    <row r="5061" spans="1:12" x14ac:dyDescent="0.3">
      <c r="A5061" s="29" t="str">
        <f>Detalle_OC[[#This Row],[Centro]]&amp;Detalle_OC[[#This Row],[Nom Almacen]]&amp;Detalle_OC[[#This Row],[Material]]&amp;Detalle_OC[[#This Row],[Pedido]]&amp;Detalle_OC[[#This Row],[Posicion]]</f>
        <v>Agricola del Chira PlantaMontelima8445275500019188310</v>
      </c>
      <c r="B5061" t="s">
        <v>28</v>
      </c>
      <c r="C5061" t="s">
        <v>82</v>
      </c>
      <c r="D5061" s="11">
        <v>43148</v>
      </c>
      <c r="E5061" t="s">
        <v>16</v>
      </c>
      <c r="F5061" t="s">
        <v>12</v>
      </c>
      <c r="G5061">
        <v>844527</v>
      </c>
      <c r="H5061">
        <v>5500019188</v>
      </c>
      <c r="I5061">
        <v>310</v>
      </c>
      <c r="J5061" s="29">
        <v>1</v>
      </c>
      <c r="K5061" s="29" t="s">
        <v>797</v>
      </c>
      <c r="L5061" t="str">
        <f>IFERROR(VLOOKUP(Detalle_OC[[#This Row],[Centro]]&amp;Detalle_OC[[#This Row],[Nro Almacen]],Almacen!A:D,4,FALSE),"")</f>
        <v>Montelima</v>
      </c>
    </row>
    <row r="5062" spans="1:12" x14ac:dyDescent="0.3">
      <c r="A5062" s="29" t="str">
        <f>Detalle_OC[[#This Row],[Centro]]&amp;Detalle_OC[[#This Row],[Nom Almacen]]&amp;Detalle_OC[[#This Row],[Material]]&amp;Detalle_OC[[#This Row],[Pedido]]&amp;Detalle_OC[[#This Row],[Posicion]]</f>
        <v>Agricola del Chira PlantaMontelima8445515500019188320</v>
      </c>
      <c r="B5062" t="s">
        <v>28</v>
      </c>
      <c r="C5062" t="s">
        <v>82</v>
      </c>
      <c r="D5062" s="11">
        <v>43148</v>
      </c>
      <c r="E5062" t="s">
        <v>16</v>
      </c>
      <c r="F5062" t="s">
        <v>12</v>
      </c>
      <c r="G5062">
        <v>844551</v>
      </c>
      <c r="H5062">
        <v>5500019188</v>
      </c>
      <c r="I5062">
        <v>320</v>
      </c>
      <c r="J5062" s="29">
        <v>1</v>
      </c>
      <c r="K5062" s="29" t="s">
        <v>797</v>
      </c>
      <c r="L5062" t="str">
        <f>IFERROR(VLOOKUP(Detalle_OC[[#This Row],[Centro]]&amp;Detalle_OC[[#This Row],[Nro Almacen]],Almacen!A:D,4,FALSE),"")</f>
        <v>Montelima</v>
      </c>
    </row>
    <row r="5063" spans="1:12" x14ac:dyDescent="0.3">
      <c r="A5063" s="29" t="str">
        <f>Detalle_OC[[#This Row],[Centro]]&amp;Detalle_OC[[#This Row],[Nom Almacen]]&amp;Detalle_OC[[#This Row],[Material]]&amp;Detalle_OC[[#This Row],[Pedido]]&amp;Detalle_OC[[#This Row],[Posicion]]</f>
        <v>Agricola del Chira PlantaMontelima8445365500019188330</v>
      </c>
      <c r="B5063" t="s">
        <v>28</v>
      </c>
      <c r="C5063" t="s">
        <v>82</v>
      </c>
      <c r="D5063" s="11">
        <v>43148</v>
      </c>
      <c r="E5063" t="s">
        <v>16</v>
      </c>
      <c r="F5063" t="s">
        <v>12</v>
      </c>
      <c r="G5063">
        <v>844536</v>
      </c>
      <c r="H5063">
        <v>5500019188</v>
      </c>
      <c r="I5063">
        <v>330</v>
      </c>
      <c r="J5063" s="29">
        <v>1</v>
      </c>
      <c r="K5063" s="29" t="s">
        <v>797</v>
      </c>
      <c r="L5063" t="str">
        <f>IFERROR(VLOOKUP(Detalle_OC[[#This Row],[Centro]]&amp;Detalle_OC[[#This Row],[Nro Almacen]],Almacen!A:D,4,FALSE),"")</f>
        <v>Montelima</v>
      </c>
    </row>
    <row r="5064" spans="1:12" x14ac:dyDescent="0.3">
      <c r="A5064" s="29" t="str">
        <f>Detalle_OC[[#This Row],[Centro]]&amp;Detalle_OC[[#This Row],[Nom Almacen]]&amp;Detalle_OC[[#This Row],[Material]]&amp;Detalle_OC[[#This Row],[Pedido]]&amp;Detalle_OC[[#This Row],[Posicion]]</f>
        <v>Agricola del Chira PlantaMontelima8445175500019188340</v>
      </c>
      <c r="B5064" t="s">
        <v>28</v>
      </c>
      <c r="C5064" t="s">
        <v>82</v>
      </c>
      <c r="D5064" s="11">
        <v>43148</v>
      </c>
      <c r="E5064" t="s">
        <v>16</v>
      </c>
      <c r="F5064" t="s">
        <v>12</v>
      </c>
      <c r="G5064">
        <v>844517</v>
      </c>
      <c r="H5064">
        <v>5500019188</v>
      </c>
      <c r="I5064">
        <v>340</v>
      </c>
      <c r="J5064" s="29">
        <v>1</v>
      </c>
      <c r="K5064" s="29" t="s">
        <v>797</v>
      </c>
      <c r="L5064" t="str">
        <f>IFERROR(VLOOKUP(Detalle_OC[[#This Row],[Centro]]&amp;Detalle_OC[[#This Row],[Nro Almacen]],Almacen!A:D,4,FALSE),"")</f>
        <v>Montelima</v>
      </c>
    </row>
    <row r="5065" spans="1:12" x14ac:dyDescent="0.3">
      <c r="A5065" s="29" t="str">
        <f>Detalle_OC[[#This Row],[Centro]]&amp;Detalle_OC[[#This Row],[Nom Almacen]]&amp;Detalle_OC[[#This Row],[Material]]&amp;Detalle_OC[[#This Row],[Pedido]]&amp;Detalle_OC[[#This Row],[Posicion]]</f>
        <v>Agricola del Chira PlantaMontelima8459085500019188350</v>
      </c>
      <c r="B5065" t="s">
        <v>28</v>
      </c>
      <c r="C5065" t="s">
        <v>82</v>
      </c>
      <c r="D5065" s="11">
        <v>43148</v>
      </c>
      <c r="E5065" t="s">
        <v>16</v>
      </c>
      <c r="F5065" t="s">
        <v>12</v>
      </c>
      <c r="G5065">
        <v>845908</v>
      </c>
      <c r="H5065">
        <v>5500019188</v>
      </c>
      <c r="I5065">
        <v>350</v>
      </c>
      <c r="J5065" s="29">
        <v>1</v>
      </c>
      <c r="K5065" s="29" t="s">
        <v>797</v>
      </c>
      <c r="L5065" t="str">
        <f>IFERROR(VLOOKUP(Detalle_OC[[#This Row],[Centro]]&amp;Detalle_OC[[#This Row],[Nro Almacen]],Almacen!A:D,4,FALSE),"")</f>
        <v>Montelima</v>
      </c>
    </row>
    <row r="5066" spans="1:12" x14ac:dyDescent="0.3">
      <c r="A5066" s="29" t="str">
        <f>Detalle_OC[[#This Row],[Centro]]&amp;Detalle_OC[[#This Row],[Nom Almacen]]&amp;Detalle_OC[[#This Row],[Material]]&amp;Detalle_OC[[#This Row],[Pedido]]&amp;Detalle_OC[[#This Row],[Posicion]]</f>
        <v>Agricola del Chira PlantaMontelima8445285500019188360</v>
      </c>
      <c r="B5066" t="s">
        <v>28</v>
      </c>
      <c r="C5066" t="s">
        <v>82</v>
      </c>
      <c r="D5066" s="11">
        <v>43148</v>
      </c>
      <c r="E5066" t="s">
        <v>16</v>
      </c>
      <c r="F5066" t="s">
        <v>12</v>
      </c>
      <c r="G5066">
        <v>844528</v>
      </c>
      <c r="H5066">
        <v>5500019188</v>
      </c>
      <c r="I5066">
        <v>360</v>
      </c>
      <c r="J5066" s="29">
        <v>1</v>
      </c>
      <c r="K5066" s="29" t="s">
        <v>797</v>
      </c>
      <c r="L5066" t="str">
        <f>IFERROR(VLOOKUP(Detalle_OC[[#This Row],[Centro]]&amp;Detalle_OC[[#This Row],[Nro Almacen]],Almacen!A:D,4,FALSE),"")</f>
        <v>Montelima</v>
      </c>
    </row>
    <row r="5067" spans="1:12" x14ac:dyDescent="0.3">
      <c r="A5067" s="29" t="str">
        <f>Detalle_OC[[#This Row],[Centro]]&amp;Detalle_OC[[#This Row],[Nom Almacen]]&amp;Detalle_OC[[#This Row],[Material]]&amp;Detalle_OC[[#This Row],[Pedido]]&amp;Detalle_OC[[#This Row],[Posicion]]</f>
        <v>Agricola del Chira PlantaMontelima8445295500019188380</v>
      </c>
      <c r="B5067" t="s">
        <v>28</v>
      </c>
      <c r="C5067" t="s">
        <v>82</v>
      </c>
      <c r="D5067" s="11">
        <v>43148</v>
      </c>
      <c r="E5067" t="s">
        <v>16</v>
      </c>
      <c r="F5067" t="s">
        <v>12</v>
      </c>
      <c r="G5067">
        <v>844529</v>
      </c>
      <c r="H5067">
        <v>5500019188</v>
      </c>
      <c r="I5067">
        <v>380</v>
      </c>
      <c r="J5067" s="29">
        <v>1</v>
      </c>
      <c r="K5067" s="29" t="s">
        <v>797</v>
      </c>
      <c r="L5067" t="str">
        <f>IFERROR(VLOOKUP(Detalle_OC[[#This Row],[Centro]]&amp;Detalle_OC[[#This Row],[Nro Almacen]],Almacen!A:D,4,FALSE),"")</f>
        <v>Montelima</v>
      </c>
    </row>
    <row r="5068" spans="1:12" x14ac:dyDescent="0.3">
      <c r="A5068" s="29" t="str">
        <f>Detalle_OC[[#This Row],[Centro]]&amp;Detalle_OC[[#This Row],[Nom Almacen]]&amp;Detalle_OC[[#This Row],[Material]]&amp;Detalle_OC[[#This Row],[Pedido]]&amp;Detalle_OC[[#This Row],[Posicion]]</f>
        <v>Agricola del Chira PlantaMontelima8445265500019188390</v>
      </c>
      <c r="B5068" t="s">
        <v>28</v>
      </c>
      <c r="C5068" t="s">
        <v>82</v>
      </c>
      <c r="D5068" s="11">
        <v>43148</v>
      </c>
      <c r="E5068" t="s">
        <v>16</v>
      </c>
      <c r="F5068" t="s">
        <v>12</v>
      </c>
      <c r="G5068">
        <v>844526</v>
      </c>
      <c r="H5068">
        <v>5500019188</v>
      </c>
      <c r="I5068">
        <v>390</v>
      </c>
      <c r="J5068" s="29">
        <v>1</v>
      </c>
      <c r="K5068" s="29" t="s">
        <v>797</v>
      </c>
      <c r="L5068" t="str">
        <f>IFERROR(VLOOKUP(Detalle_OC[[#This Row],[Centro]]&amp;Detalle_OC[[#This Row],[Nro Almacen]],Almacen!A:D,4,FALSE),"")</f>
        <v>Montelima</v>
      </c>
    </row>
    <row r="5069" spans="1:12" x14ac:dyDescent="0.3">
      <c r="A5069" s="29" t="str">
        <f>Detalle_OC[[#This Row],[Centro]]&amp;Detalle_OC[[#This Row],[Nom Almacen]]&amp;Detalle_OC[[#This Row],[Material]]&amp;Detalle_OC[[#This Row],[Pedido]]&amp;Detalle_OC[[#This Row],[Posicion]]</f>
        <v>Agricola del Chira PlantaMontelima8444905500019188400</v>
      </c>
      <c r="B5069" t="s">
        <v>28</v>
      </c>
      <c r="C5069" t="s">
        <v>82</v>
      </c>
      <c r="D5069" s="11">
        <v>43148</v>
      </c>
      <c r="E5069" t="s">
        <v>16</v>
      </c>
      <c r="F5069" t="s">
        <v>12</v>
      </c>
      <c r="G5069">
        <v>844490</v>
      </c>
      <c r="H5069">
        <v>5500019188</v>
      </c>
      <c r="I5069">
        <v>400</v>
      </c>
      <c r="J5069" s="29">
        <v>1</v>
      </c>
      <c r="K5069" s="29" t="s">
        <v>797</v>
      </c>
      <c r="L5069" t="str">
        <f>IFERROR(VLOOKUP(Detalle_OC[[#This Row],[Centro]]&amp;Detalle_OC[[#This Row],[Nro Almacen]],Almacen!A:D,4,FALSE),"")</f>
        <v>Montelima</v>
      </c>
    </row>
    <row r="5070" spans="1:12" x14ac:dyDescent="0.3">
      <c r="A5070" s="29" t="str">
        <f>Detalle_OC[[#This Row],[Centro]]&amp;Detalle_OC[[#This Row],[Nom Almacen]]&amp;Detalle_OC[[#This Row],[Material]]&amp;Detalle_OC[[#This Row],[Pedido]]&amp;Detalle_OC[[#This Row],[Posicion]]</f>
        <v>Agricola del Chira PlantaMontelima8445215500019188410</v>
      </c>
      <c r="B5070" t="s">
        <v>28</v>
      </c>
      <c r="C5070" t="s">
        <v>82</v>
      </c>
      <c r="D5070" s="11">
        <v>43148</v>
      </c>
      <c r="E5070" t="s">
        <v>16</v>
      </c>
      <c r="F5070" t="s">
        <v>12</v>
      </c>
      <c r="G5070">
        <v>844521</v>
      </c>
      <c r="H5070">
        <v>5500019188</v>
      </c>
      <c r="I5070">
        <v>410</v>
      </c>
      <c r="J5070" s="29">
        <v>1</v>
      </c>
      <c r="K5070" s="29" t="s">
        <v>797</v>
      </c>
      <c r="L5070" t="str">
        <f>IFERROR(VLOOKUP(Detalle_OC[[#This Row],[Centro]]&amp;Detalle_OC[[#This Row],[Nro Almacen]],Almacen!A:D,4,FALSE),"")</f>
        <v>Montelima</v>
      </c>
    </row>
    <row r="5071" spans="1:12" x14ac:dyDescent="0.3">
      <c r="A5071" s="29" t="str">
        <f>Detalle_OC[[#This Row],[Centro]]&amp;Detalle_OC[[#This Row],[Nom Almacen]]&amp;Detalle_OC[[#This Row],[Material]]&amp;Detalle_OC[[#This Row],[Pedido]]&amp;Detalle_OC[[#This Row],[Posicion]]</f>
        <v>Agricola del Chira PlantaMontelima8445375500019188420</v>
      </c>
      <c r="B5071" t="s">
        <v>28</v>
      </c>
      <c r="C5071" t="s">
        <v>82</v>
      </c>
      <c r="D5071" s="11">
        <v>43148</v>
      </c>
      <c r="E5071" t="s">
        <v>16</v>
      </c>
      <c r="F5071" t="s">
        <v>12</v>
      </c>
      <c r="G5071">
        <v>844537</v>
      </c>
      <c r="H5071">
        <v>5500019188</v>
      </c>
      <c r="I5071">
        <v>420</v>
      </c>
      <c r="J5071" s="29">
        <v>1</v>
      </c>
      <c r="K5071" s="29" t="s">
        <v>797</v>
      </c>
      <c r="L5071" t="str">
        <f>IFERROR(VLOOKUP(Detalle_OC[[#This Row],[Centro]]&amp;Detalle_OC[[#This Row],[Nro Almacen]],Almacen!A:D,4,FALSE),"")</f>
        <v>Montelima</v>
      </c>
    </row>
    <row r="5072" spans="1:12" x14ac:dyDescent="0.3">
      <c r="A5072" s="29" t="str">
        <f>Detalle_OC[[#This Row],[Centro]]&amp;Detalle_OC[[#This Row],[Nom Almacen]]&amp;Detalle_OC[[#This Row],[Material]]&amp;Detalle_OC[[#This Row],[Pedido]]&amp;Detalle_OC[[#This Row],[Posicion]]</f>
        <v>Agricola del Chira PlantaMontelima8445315500019188430</v>
      </c>
      <c r="B5072" t="s">
        <v>28</v>
      </c>
      <c r="C5072" t="s">
        <v>82</v>
      </c>
      <c r="D5072" s="11">
        <v>43148</v>
      </c>
      <c r="E5072" t="s">
        <v>16</v>
      </c>
      <c r="F5072" t="s">
        <v>12</v>
      </c>
      <c r="G5072">
        <v>844531</v>
      </c>
      <c r="H5072">
        <v>5500019188</v>
      </c>
      <c r="I5072">
        <v>430</v>
      </c>
      <c r="J5072" s="29">
        <v>1</v>
      </c>
      <c r="K5072" s="29" t="s">
        <v>797</v>
      </c>
      <c r="L5072" t="str">
        <f>IFERROR(VLOOKUP(Detalle_OC[[#This Row],[Centro]]&amp;Detalle_OC[[#This Row],[Nro Almacen]],Almacen!A:D,4,FALSE),"")</f>
        <v>Montelima</v>
      </c>
    </row>
    <row r="5073" spans="1:12" x14ac:dyDescent="0.3">
      <c r="A5073" s="29" t="str">
        <f>Detalle_OC[[#This Row],[Centro]]&amp;Detalle_OC[[#This Row],[Nom Almacen]]&amp;Detalle_OC[[#This Row],[Material]]&amp;Detalle_OC[[#This Row],[Pedido]]&amp;Detalle_OC[[#This Row],[Posicion]]</f>
        <v>Agricola del Chira PlantaMontelima8445325500019188440</v>
      </c>
      <c r="B5073" t="s">
        <v>28</v>
      </c>
      <c r="C5073" t="s">
        <v>82</v>
      </c>
      <c r="D5073" s="11">
        <v>43148</v>
      </c>
      <c r="E5073" t="s">
        <v>16</v>
      </c>
      <c r="F5073" t="s">
        <v>12</v>
      </c>
      <c r="G5073">
        <v>844532</v>
      </c>
      <c r="H5073">
        <v>5500019188</v>
      </c>
      <c r="I5073">
        <v>440</v>
      </c>
      <c r="J5073" s="29">
        <v>1</v>
      </c>
      <c r="K5073" s="29" t="s">
        <v>797</v>
      </c>
      <c r="L5073" t="str">
        <f>IFERROR(VLOOKUP(Detalle_OC[[#This Row],[Centro]]&amp;Detalle_OC[[#This Row],[Nro Almacen]],Almacen!A:D,4,FALSE),"")</f>
        <v>Montelima</v>
      </c>
    </row>
    <row r="5074" spans="1:12" x14ac:dyDescent="0.3">
      <c r="A5074" s="29" t="str">
        <f>Detalle_OC[[#This Row],[Centro]]&amp;Detalle_OC[[#This Row],[Nom Almacen]]&amp;Detalle_OC[[#This Row],[Material]]&amp;Detalle_OC[[#This Row],[Pedido]]&amp;Detalle_OC[[#This Row],[Posicion]]</f>
        <v>Agricola del Chira PlantaMontelima8445135500019188450</v>
      </c>
      <c r="B5074" t="s">
        <v>28</v>
      </c>
      <c r="C5074" t="s">
        <v>82</v>
      </c>
      <c r="D5074" s="11">
        <v>43148</v>
      </c>
      <c r="E5074" t="s">
        <v>16</v>
      </c>
      <c r="F5074" t="s">
        <v>12</v>
      </c>
      <c r="G5074">
        <v>844513</v>
      </c>
      <c r="H5074">
        <v>5500019188</v>
      </c>
      <c r="I5074">
        <v>450</v>
      </c>
      <c r="J5074" s="29">
        <v>1</v>
      </c>
      <c r="K5074" s="29" t="s">
        <v>797</v>
      </c>
      <c r="L5074" t="str">
        <f>IFERROR(VLOOKUP(Detalle_OC[[#This Row],[Centro]]&amp;Detalle_OC[[#This Row],[Nro Almacen]],Almacen!A:D,4,FALSE),"")</f>
        <v>Montelima</v>
      </c>
    </row>
    <row r="5075" spans="1:12" x14ac:dyDescent="0.3">
      <c r="A5075" s="29" t="str">
        <f>Detalle_OC[[#This Row],[Centro]]&amp;Detalle_OC[[#This Row],[Nom Almacen]]&amp;Detalle_OC[[#This Row],[Material]]&amp;Detalle_OC[[#This Row],[Pedido]]&amp;Detalle_OC[[#This Row],[Posicion]]</f>
        <v>Agricola del Chira PlantaMontelima8445415500019188460</v>
      </c>
      <c r="B5075" t="s">
        <v>28</v>
      </c>
      <c r="C5075" t="s">
        <v>82</v>
      </c>
      <c r="D5075" s="11">
        <v>43148</v>
      </c>
      <c r="E5075" t="s">
        <v>16</v>
      </c>
      <c r="F5075" t="s">
        <v>12</v>
      </c>
      <c r="G5075">
        <v>844541</v>
      </c>
      <c r="H5075">
        <v>5500019188</v>
      </c>
      <c r="I5075">
        <v>460</v>
      </c>
      <c r="J5075" s="29">
        <v>1</v>
      </c>
      <c r="K5075" s="29" t="s">
        <v>797</v>
      </c>
      <c r="L5075" t="str">
        <f>IFERROR(VLOOKUP(Detalle_OC[[#This Row],[Centro]]&amp;Detalle_OC[[#This Row],[Nro Almacen]],Almacen!A:D,4,FALSE),"")</f>
        <v>Montelima</v>
      </c>
    </row>
    <row r="5076" spans="1:12" x14ac:dyDescent="0.3">
      <c r="A5076" s="29" t="str">
        <f>Detalle_OC[[#This Row],[Centro]]&amp;Detalle_OC[[#This Row],[Nom Almacen]]&amp;Detalle_OC[[#This Row],[Material]]&amp;Detalle_OC[[#This Row],[Pedido]]&amp;Detalle_OC[[#This Row],[Posicion]]</f>
        <v>Agricola del Chira PlantaMontelima8445045500019188480</v>
      </c>
      <c r="B5076" t="s">
        <v>28</v>
      </c>
      <c r="C5076" t="s">
        <v>82</v>
      </c>
      <c r="D5076" s="11">
        <v>43148</v>
      </c>
      <c r="E5076" t="s">
        <v>16</v>
      </c>
      <c r="F5076" t="s">
        <v>12</v>
      </c>
      <c r="G5076">
        <v>844504</v>
      </c>
      <c r="H5076">
        <v>5500019188</v>
      </c>
      <c r="I5076">
        <v>480</v>
      </c>
      <c r="J5076" s="29">
        <v>1</v>
      </c>
      <c r="K5076" s="29" t="s">
        <v>797</v>
      </c>
      <c r="L5076" t="str">
        <f>IFERROR(VLOOKUP(Detalle_OC[[#This Row],[Centro]]&amp;Detalle_OC[[#This Row],[Nro Almacen]],Almacen!A:D,4,FALSE),"")</f>
        <v>Montelima</v>
      </c>
    </row>
    <row r="5077" spans="1:12" x14ac:dyDescent="0.3">
      <c r="A5077" s="29" t="str">
        <f>Detalle_OC[[#This Row],[Centro]]&amp;Detalle_OC[[#This Row],[Nom Almacen]]&amp;Detalle_OC[[#This Row],[Material]]&amp;Detalle_OC[[#This Row],[Pedido]]&amp;Detalle_OC[[#This Row],[Posicion]]</f>
        <v>Agricola del Chira PlantaMontelima8445305500019188490</v>
      </c>
      <c r="B5077" t="s">
        <v>28</v>
      </c>
      <c r="C5077" t="s">
        <v>82</v>
      </c>
      <c r="D5077" s="11">
        <v>43148</v>
      </c>
      <c r="E5077" t="s">
        <v>16</v>
      </c>
      <c r="F5077" t="s">
        <v>12</v>
      </c>
      <c r="G5077">
        <v>844530</v>
      </c>
      <c r="H5077">
        <v>5500019188</v>
      </c>
      <c r="I5077">
        <v>490</v>
      </c>
      <c r="J5077" s="29">
        <v>1</v>
      </c>
      <c r="K5077" s="29" t="s">
        <v>797</v>
      </c>
      <c r="L5077" t="str">
        <f>IFERROR(VLOOKUP(Detalle_OC[[#This Row],[Centro]]&amp;Detalle_OC[[#This Row],[Nro Almacen]],Almacen!A:D,4,FALSE),"")</f>
        <v>Montelima</v>
      </c>
    </row>
    <row r="5078" spans="1:12" x14ac:dyDescent="0.3">
      <c r="A5078" s="29" t="str">
        <f>Detalle_OC[[#This Row],[Centro]]&amp;Detalle_OC[[#This Row],[Nom Almacen]]&amp;Detalle_OC[[#This Row],[Material]]&amp;Detalle_OC[[#This Row],[Pedido]]&amp;Detalle_OC[[#This Row],[Posicion]]</f>
        <v>Agricola del Chira PlantaMontelima8443995500019188500</v>
      </c>
      <c r="B5078" t="s">
        <v>28</v>
      </c>
      <c r="C5078" t="s">
        <v>82</v>
      </c>
      <c r="D5078" s="11">
        <v>43148</v>
      </c>
      <c r="E5078" t="s">
        <v>16</v>
      </c>
      <c r="F5078" t="s">
        <v>12</v>
      </c>
      <c r="G5078">
        <v>844399</v>
      </c>
      <c r="H5078">
        <v>5500019188</v>
      </c>
      <c r="I5078">
        <v>500</v>
      </c>
      <c r="J5078" s="29">
        <v>1</v>
      </c>
      <c r="K5078" s="29" t="s">
        <v>797</v>
      </c>
      <c r="L5078" t="str">
        <f>IFERROR(VLOOKUP(Detalle_OC[[#This Row],[Centro]]&amp;Detalle_OC[[#This Row],[Nro Almacen]],Almacen!A:D,4,FALSE),"")</f>
        <v>Montelima</v>
      </c>
    </row>
    <row r="5079" spans="1:12" x14ac:dyDescent="0.3">
      <c r="A5079" s="29" t="str">
        <f>Detalle_OC[[#This Row],[Centro]]&amp;Detalle_OC[[#This Row],[Nom Almacen]]&amp;Detalle_OC[[#This Row],[Material]]&amp;Detalle_OC[[#This Row],[Pedido]]&amp;Detalle_OC[[#This Row],[Posicion]]</f>
        <v>Agricola del Chira PlantaMontelima8506365500019188510</v>
      </c>
      <c r="B5079" t="s">
        <v>28</v>
      </c>
      <c r="C5079" t="s">
        <v>82</v>
      </c>
      <c r="D5079" s="11">
        <v>43148</v>
      </c>
      <c r="E5079" t="s">
        <v>16</v>
      </c>
      <c r="F5079" t="s">
        <v>12</v>
      </c>
      <c r="G5079">
        <v>850636</v>
      </c>
      <c r="H5079">
        <v>5500019188</v>
      </c>
      <c r="I5079">
        <v>510</v>
      </c>
      <c r="J5079" s="29">
        <v>1</v>
      </c>
      <c r="K5079" s="29" t="s">
        <v>797</v>
      </c>
      <c r="L5079" t="str">
        <f>IFERROR(VLOOKUP(Detalle_OC[[#This Row],[Centro]]&amp;Detalle_OC[[#This Row],[Nro Almacen]],Almacen!A:D,4,FALSE),"")</f>
        <v>Montelima</v>
      </c>
    </row>
    <row r="5080" spans="1:12" x14ac:dyDescent="0.3">
      <c r="A5080" s="29" t="str">
        <f>Detalle_OC[[#This Row],[Centro]]&amp;Detalle_OC[[#This Row],[Nom Almacen]]&amp;Detalle_OC[[#This Row],[Material]]&amp;Detalle_OC[[#This Row],[Pedido]]&amp;Detalle_OC[[#This Row],[Posicion]]</f>
        <v>Agricola del Chira PlantaMontelima8445205500019188520</v>
      </c>
      <c r="B5080" t="s">
        <v>28</v>
      </c>
      <c r="C5080" t="s">
        <v>82</v>
      </c>
      <c r="D5080" s="11">
        <v>43148</v>
      </c>
      <c r="E5080" t="s">
        <v>16</v>
      </c>
      <c r="F5080" t="s">
        <v>12</v>
      </c>
      <c r="G5080">
        <v>844520</v>
      </c>
      <c r="H5080">
        <v>5500019188</v>
      </c>
      <c r="I5080">
        <v>520</v>
      </c>
      <c r="J5080" s="29">
        <v>1</v>
      </c>
      <c r="K5080" s="29" t="s">
        <v>797</v>
      </c>
      <c r="L5080" t="str">
        <f>IFERROR(VLOOKUP(Detalle_OC[[#This Row],[Centro]]&amp;Detalle_OC[[#This Row],[Nro Almacen]],Almacen!A:D,4,FALSE),"")</f>
        <v>Montelima</v>
      </c>
    </row>
    <row r="5081" spans="1:12" x14ac:dyDescent="0.3">
      <c r="A5081" s="29" t="str">
        <f>Detalle_OC[[#This Row],[Centro]]&amp;Detalle_OC[[#This Row],[Nom Almacen]]&amp;Detalle_OC[[#This Row],[Material]]&amp;Detalle_OC[[#This Row],[Pedido]]&amp;Detalle_OC[[#This Row],[Posicion]]</f>
        <v>Agricola del Chira PlantaMontelima8445145500019188540</v>
      </c>
      <c r="B5081" t="s">
        <v>28</v>
      </c>
      <c r="C5081" t="s">
        <v>82</v>
      </c>
      <c r="D5081" s="11">
        <v>43148</v>
      </c>
      <c r="E5081" t="s">
        <v>16</v>
      </c>
      <c r="F5081" t="s">
        <v>12</v>
      </c>
      <c r="G5081">
        <v>844514</v>
      </c>
      <c r="H5081">
        <v>5500019188</v>
      </c>
      <c r="I5081">
        <v>540</v>
      </c>
      <c r="J5081" s="29">
        <v>1</v>
      </c>
      <c r="K5081" s="29" t="s">
        <v>797</v>
      </c>
      <c r="L5081" t="str">
        <f>IFERROR(VLOOKUP(Detalle_OC[[#This Row],[Centro]]&amp;Detalle_OC[[#This Row],[Nro Almacen]],Almacen!A:D,4,FALSE),"")</f>
        <v>Montelima</v>
      </c>
    </row>
    <row r="5082" spans="1:12" x14ac:dyDescent="0.3">
      <c r="A5082" s="29" t="str">
        <f>Detalle_OC[[#This Row],[Centro]]&amp;Detalle_OC[[#This Row],[Nom Almacen]]&amp;Detalle_OC[[#This Row],[Material]]&amp;Detalle_OC[[#This Row],[Pedido]]&amp;Detalle_OC[[#This Row],[Posicion]]</f>
        <v>Agricola del Chira PlantaMontelima8445385500019188560</v>
      </c>
      <c r="B5082" t="s">
        <v>28</v>
      </c>
      <c r="C5082" t="s">
        <v>82</v>
      </c>
      <c r="D5082" s="11">
        <v>43148</v>
      </c>
      <c r="E5082" t="s">
        <v>16</v>
      </c>
      <c r="F5082" t="s">
        <v>12</v>
      </c>
      <c r="G5082">
        <v>844538</v>
      </c>
      <c r="H5082">
        <v>5500019188</v>
      </c>
      <c r="I5082">
        <v>560</v>
      </c>
      <c r="J5082" s="29">
        <v>1</v>
      </c>
      <c r="K5082" s="29" t="s">
        <v>797</v>
      </c>
      <c r="L5082" t="str">
        <f>IFERROR(VLOOKUP(Detalle_OC[[#This Row],[Centro]]&amp;Detalle_OC[[#This Row],[Nro Almacen]],Almacen!A:D,4,FALSE),"")</f>
        <v>Montelima</v>
      </c>
    </row>
    <row r="5083" spans="1:12" x14ac:dyDescent="0.3">
      <c r="A5083" s="29" t="str">
        <f>Detalle_OC[[#This Row],[Centro]]&amp;Detalle_OC[[#This Row],[Nom Almacen]]&amp;Detalle_OC[[#This Row],[Material]]&amp;Detalle_OC[[#This Row],[Pedido]]&amp;Detalle_OC[[#This Row],[Posicion]]</f>
        <v>Agricola del Chira PlantaMontelima8445435500019188570</v>
      </c>
      <c r="B5083" t="s">
        <v>28</v>
      </c>
      <c r="C5083" t="s">
        <v>82</v>
      </c>
      <c r="D5083" s="11">
        <v>43148</v>
      </c>
      <c r="E5083" t="s">
        <v>16</v>
      </c>
      <c r="F5083" t="s">
        <v>12</v>
      </c>
      <c r="G5083">
        <v>844543</v>
      </c>
      <c r="H5083">
        <v>5500019188</v>
      </c>
      <c r="I5083">
        <v>570</v>
      </c>
      <c r="J5083" s="29">
        <v>1</v>
      </c>
      <c r="K5083" s="29" t="s">
        <v>797</v>
      </c>
      <c r="L5083" t="str">
        <f>IFERROR(VLOOKUP(Detalle_OC[[#This Row],[Centro]]&amp;Detalle_OC[[#This Row],[Nro Almacen]],Almacen!A:D,4,FALSE),"")</f>
        <v>Montelima</v>
      </c>
    </row>
    <row r="5084" spans="1:12" x14ac:dyDescent="0.3">
      <c r="A5084" s="29" t="str">
        <f>Detalle_OC[[#This Row],[Centro]]&amp;Detalle_OC[[#This Row],[Nom Almacen]]&amp;Detalle_OC[[#This Row],[Material]]&amp;Detalle_OC[[#This Row],[Pedido]]&amp;Detalle_OC[[#This Row],[Posicion]]</f>
        <v>Agricola del Chira PlantaMontelima8445125500019188620</v>
      </c>
      <c r="B5084" t="s">
        <v>28</v>
      </c>
      <c r="C5084" t="s">
        <v>82</v>
      </c>
      <c r="D5084" s="11">
        <v>43148</v>
      </c>
      <c r="E5084" t="s">
        <v>16</v>
      </c>
      <c r="F5084" t="s">
        <v>12</v>
      </c>
      <c r="G5084">
        <v>844512</v>
      </c>
      <c r="H5084">
        <v>5500019188</v>
      </c>
      <c r="I5084">
        <v>620</v>
      </c>
      <c r="J5084" s="29">
        <v>1</v>
      </c>
      <c r="K5084" s="29" t="s">
        <v>797</v>
      </c>
      <c r="L5084" t="str">
        <f>IFERROR(VLOOKUP(Detalle_OC[[#This Row],[Centro]]&amp;Detalle_OC[[#This Row],[Nro Almacen]],Almacen!A:D,4,FALSE),"")</f>
        <v>Montelima</v>
      </c>
    </row>
    <row r="5085" spans="1:12" x14ac:dyDescent="0.3">
      <c r="A5085" s="29" t="str">
        <f>Detalle_OC[[#This Row],[Centro]]&amp;Detalle_OC[[#This Row],[Nom Almacen]]&amp;Detalle_OC[[#This Row],[Material]]&amp;Detalle_OC[[#This Row],[Pedido]]&amp;Detalle_OC[[#This Row],[Posicion]]</f>
        <v>Agricola del Chira PlantaMontelima8457155500019188650</v>
      </c>
      <c r="B5085" t="s">
        <v>28</v>
      </c>
      <c r="C5085" t="s">
        <v>82</v>
      </c>
      <c r="D5085" s="11">
        <v>43148</v>
      </c>
      <c r="E5085" t="s">
        <v>16</v>
      </c>
      <c r="F5085" t="s">
        <v>12</v>
      </c>
      <c r="G5085">
        <v>845715</v>
      </c>
      <c r="H5085">
        <v>5500019188</v>
      </c>
      <c r="I5085">
        <v>650</v>
      </c>
      <c r="J5085" s="29">
        <v>1</v>
      </c>
      <c r="K5085" s="29" t="s">
        <v>797</v>
      </c>
      <c r="L5085" t="str">
        <f>IFERROR(VLOOKUP(Detalle_OC[[#This Row],[Centro]]&amp;Detalle_OC[[#This Row],[Nro Almacen]],Almacen!A:D,4,FALSE),"")</f>
        <v>Montelima</v>
      </c>
    </row>
    <row r="5086" spans="1:12" x14ac:dyDescent="0.3">
      <c r="A5086" s="29" t="str">
        <f>Detalle_OC[[#This Row],[Centro]]&amp;Detalle_OC[[#This Row],[Nom Almacen]]&amp;Detalle_OC[[#This Row],[Material]]&amp;Detalle_OC[[#This Row],[Pedido]]&amp;Detalle_OC[[#This Row],[Posicion]]</f>
        <v>Agricola del Chira PlantaMontelima8794985500019188670</v>
      </c>
      <c r="B5086" t="s">
        <v>28</v>
      </c>
      <c r="C5086" t="s">
        <v>82</v>
      </c>
      <c r="D5086" s="11">
        <v>43148</v>
      </c>
      <c r="E5086" t="s">
        <v>16</v>
      </c>
      <c r="F5086" t="s">
        <v>12</v>
      </c>
      <c r="G5086">
        <v>879498</v>
      </c>
      <c r="H5086">
        <v>5500019188</v>
      </c>
      <c r="I5086">
        <v>670</v>
      </c>
      <c r="J5086" s="29">
        <v>1</v>
      </c>
      <c r="K5086" s="29" t="s">
        <v>797</v>
      </c>
      <c r="L5086" t="str">
        <f>IFERROR(VLOOKUP(Detalle_OC[[#This Row],[Centro]]&amp;Detalle_OC[[#This Row],[Nro Almacen]],Almacen!A:D,4,FALSE),"")</f>
        <v>Montelima</v>
      </c>
    </row>
    <row r="5087" spans="1:12" x14ac:dyDescent="0.3">
      <c r="A5087" s="29" t="str">
        <f>Detalle_OC[[#This Row],[Centro]]&amp;Detalle_OC[[#This Row],[Nom Almacen]]&amp;Detalle_OC[[#This Row],[Material]]&amp;Detalle_OC[[#This Row],[Pedido]]&amp;Detalle_OC[[#This Row],[Posicion]]</f>
        <v>Agricola del Chira PlantaMontelima8445425500019188680</v>
      </c>
      <c r="B5087" t="s">
        <v>28</v>
      </c>
      <c r="C5087" t="s">
        <v>82</v>
      </c>
      <c r="D5087" s="11">
        <v>43148</v>
      </c>
      <c r="E5087" t="s">
        <v>16</v>
      </c>
      <c r="F5087" t="s">
        <v>12</v>
      </c>
      <c r="G5087">
        <v>844542</v>
      </c>
      <c r="H5087">
        <v>5500019188</v>
      </c>
      <c r="I5087">
        <v>680</v>
      </c>
      <c r="J5087" s="29">
        <v>1</v>
      </c>
      <c r="K5087" s="29" t="s">
        <v>797</v>
      </c>
      <c r="L5087" t="str">
        <f>IFERROR(VLOOKUP(Detalle_OC[[#This Row],[Centro]]&amp;Detalle_OC[[#This Row],[Nro Almacen]],Almacen!A:D,4,FALSE),"")</f>
        <v>Montelima</v>
      </c>
    </row>
    <row r="5088" spans="1:12" x14ac:dyDescent="0.3">
      <c r="A5088" s="29" t="str">
        <f>Detalle_OC[[#This Row],[Centro]]&amp;Detalle_OC[[#This Row],[Nom Almacen]]&amp;Detalle_OC[[#This Row],[Material]]&amp;Detalle_OC[[#This Row],[Pedido]]&amp;Detalle_OC[[#This Row],[Posicion]]</f>
        <v>Agricola del Chira PlantaMontelima8469355500019188700</v>
      </c>
      <c r="B5088" t="s">
        <v>28</v>
      </c>
      <c r="C5088" t="s">
        <v>82</v>
      </c>
      <c r="D5088" s="11">
        <v>43148</v>
      </c>
      <c r="E5088" t="s">
        <v>16</v>
      </c>
      <c r="F5088" t="s">
        <v>12</v>
      </c>
      <c r="G5088">
        <v>846935</v>
      </c>
      <c r="H5088">
        <v>5500019188</v>
      </c>
      <c r="I5088">
        <v>700</v>
      </c>
      <c r="J5088" s="29">
        <v>1</v>
      </c>
      <c r="K5088" s="29" t="s">
        <v>797</v>
      </c>
      <c r="L5088" t="str">
        <f>IFERROR(VLOOKUP(Detalle_OC[[#This Row],[Centro]]&amp;Detalle_OC[[#This Row],[Nro Almacen]],Almacen!A:D,4,FALSE),"")</f>
        <v>Montelima</v>
      </c>
    </row>
    <row r="5089" spans="1:12" x14ac:dyDescent="0.3">
      <c r="A5089" s="29" t="str">
        <f>Detalle_OC[[#This Row],[Centro]]&amp;Detalle_OC[[#This Row],[Nom Almacen]]&amp;Detalle_OC[[#This Row],[Material]]&amp;Detalle_OC[[#This Row],[Pedido]]&amp;Detalle_OC[[#This Row],[Posicion]]</f>
        <v>Agricola del Chira PlantaMontelima8444995500019188740</v>
      </c>
      <c r="B5089" t="s">
        <v>28</v>
      </c>
      <c r="C5089" t="s">
        <v>82</v>
      </c>
      <c r="D5089" s="11">
        <v>43148</v>
      </c>
      <c r="E5089" t="s">
        <v>16</v>
      </c>
      <c r="F5089" t="s">
        <v>12</v>
      </c>
      <c r="G5089">
        <v>844499</v>
      </c>
      <c r="H5089">
        <v>5500019188</v>
      </c>
      <c r="I5089">
        <v>740</v>
      </c>
      <c r="J5089" s="29">
        <v>1</v>
      </c>
      <c r="K5089" s="29" t="s">
        <v>797</v>
      </c>
      <c r="L5089" t="str">
        <f>IFERROR(VLOOKUP(Detalle_OC[[#This Row],[Centro]]&amp;Detalle_OC[[#This Row],[Nro Almacen]],Almacen!A:D,4,FALSE),"")</f>
        <v>Montelima</v>
      </c>
    </row>
    <row r="5090" spans="1:12" x14ac:dyDescent="0.3">
      <c r="A5090" s="29" t="str">
        <f>Detalle_OC[[#This Row],[Centro]]&amp;Detalle_OC[[#This Row],[Nom Almacen]]&amp;Detalle_OC[[#This Row],[Material]]&amp;Detalle_OC[[#This Row],[Pedido]]&amp;Detalle_OC[[#This Row],[Posicion]]</f>
        <v>Agricola del Chira PlantaMontelima8445015500019188760</v>
      </c>
      <c r="B5090" t="s">
        <v>28</v>
      </c>
      <c r="C5090" t="s">
        <v>82</v>
      </c>
      <c r="D5090" s="11">
        <v>43148</v>
      </c>
      <c r="E5090" t="s">
        <v>16</v>
      </c>
      <c r="F5090" t="s">
        <v>12</v>
      </c>
      <c r="G5090">
        <v>844501</v>
      </c>
      <c r="H5090">
        <v>5500019188</v>
      </c>
      <c r="I5090">
        <v>760</v>
      </c>
      <c r="J5090" s="29">
        <v>1</v>
      </c>
      <c r="K5090" s="29" t="s">
        <v>797</v>
      </c>
      <c r="L5090" t="str">
        <f>IFERROR(VLOOKUP(Detalle_OC[[#This Row],[Centro]]&amp;Detalle_OC[[#This Row],[Nro Almacen]],Almacen!A:D,4,FALSE),"")</f>
        <v>Montelima</v>
      </c>
    </row>
    <row r="5091" spans="1:12" x14ac:dyDescent="0.3">
      <c r="A5091" s="29" t="str">
        <f>Detalle_OC[[#This Row],[Centro]]&amp;Detalle_OC[[#This Row],[Nom Almacen]]&amp;Detalle_OC[[#This Row],[Material]]&amp;Detalle_OC[[#This Row],[Pedido]]&amp;Detalle_OC[[#This Row],[Posicion]]</f>
        <v>Agricola del Chira PlantaMontelima8445495500019188770</v>
      </c>
      <c r="B5091" t="s">
        <v>28</v>
      </c>
      <c r="C5091" t="s">
        <v>82</v>
      </c>
      <c r="D5091" s="11">
        <v>43148</v>
      </c>
      <c r="E5091" t="s">
        <v>16</v>
      </c>
      <c r="F5091" t="s">
        <v>12</v>
      </c>
      <c r="G5091">
        <v>844549</v>
      </c>
      <c r="H5091">
        <v>5500019188</v>
      </c>
      <c r="I5091">
        <v>770</v>
      </c>
      <c r="J5091" s="29">
        <v>1</v>
      </c>
      <c r="K5091" s="29" t="s">
        <v>797</v>
      </c>
      <c r="L5091" t="str">
        <f>IFERROR(VLOOKUP(Detalle_OC[[#This Row],[Centro]]&amp;Detalle_OC[[#This Row],[Nro Almacen]],Almacen!A:D,4,FALSE),"")</f>
        <v>Montelima</v>
      </c>
    </row>
    <row r="5092" spans="1:12" x14ac:dyDescent="0.3">
      <c r="A5092" s="29" t="str">
        <f>Detalle_OC[[#This Row],[Centro]]&amp;Detalle_OC[[#This Row],[Nom Almacen]]&amp;Detalle_OC[[#This Row],[Material]]&amp;Detalle_OC[[#This Row],[Pedido]]&amp;Detalle_OC[[#This Row],[Posicion]]</f>
        <v>Agricola del Chira PlantaMontelima8445065500019188780</v>
      </c>
      <c r="B5092" t="s">
        <v>28</v>
      </c>
      <c r="C5092" t="s">
        <v>82</v>
      </c>
      <c r="D5092" s="11">
        <v>43148</v>
      </c>
      <c r="E5092" t="s">
        <v>16</v>
      </c>
      <c r="F5092" t="s">
        <v>12</v>
      </c>
      <c r="G5092">
        <v>844506</v>
      </c>
      <c r="H5092">
        <v>5500019188</v>
      </c>
      <c r="I5092">
        <v>780</v>
      </c>
      <c r="J5092" s="29">
        <v>1</v>
      </c>
      <c r="K5092" s="29" t="s">
        <v>797</v>
      </c>
      <c r="L5092" t="str">
        <f>IFERROR(VLOOKUP(Detalle_OC[[#This Row],[Centro]]&amp;Detalle_OC[[#This Row],[Nro Almacen]],Almacen!A:D,4,FALSE),"")</f>
        <v>Montelima</v>
      </c>
    </row>
    <row r="5093" spans="1:12" x14ac:dyDescent="0.3">
      <c r="A5093" s="29" t="str">
        <f>Detalle_OC[[#This Row],[Centro]]&amp;Detalle_OC[[#This Row],[Nom Almacen]]&amp;Detalle_OC[[#This Row],[Material]]&amp;Detalle_OC[[#This Row],[Pedido]]&amp;Detalle_OC[[#This Row],[Posicion]]</f>
        <v>Agricola del Chira PlantaMontelima8496185500019188830</v>
      </c>
      <c r="B5093" t="s">
        <v>28</v>
      </c>
      <c r="C5093" t="s">
        <v>82</v>
      </c>
      <c r="D5093" s="11">
        <v>43148</v>
      </c>
      <c r="E5093" t="s">
        <v>16</v>
      </c>
      <c r="F5093" t="s">
        <v>12</v>
      </c>
      <c r="G5093">
        <v>849618</v>
      </c>
      <c r="H5093">
        <v>5500019188</v>
      </c>
      <c r="I5093">
        <v>830</v>
      </c>
      <c r="J5093" s="29">
        <v>1</v>
      </c>
      <c r="K5093" s="29" t="s">
        <v>797</v>
      </c>
      <c r="L5093" t="str">
        <f>IFERROR(VLOOKUP(Detalle_OC[[#This Row],[Centro]]&amp;Detalle_OC[[#This Row],[Nro Almacen]],Almacen!A:D,4,FALSE),"")</f>
        <v>Montelima</v>
      </c>
    </row>
    <row r="5094" spans="1:12" x14ac:dyDescent="0.3">
      <c r="A5094" s="29" t="str">
        <f>Detalle_OC[[#This Row],[Centro]]&amp;Detalle_OC[[#This Row],[Nom Almacen]]&amp;Detalle_OC[[#This Row],[Material]]&amp;Detalle_OC[[#This Row],[Pedido]]&amp;Detalle_OC[[#This Row],[Posicion]]</f>
        <v>Agricola del Chira PlantaMontelima8445255500019188870</v>
      </c>
      <c r="B5094" t="s">
        <v>28</v>
      </c>
      <c r="C5094" t="s">
        <v>82</v>
      </c>
      <c r="D5094" s="11">
        <v>43148</v>
      </c>
      <c r="E5094" t="s">
        <v>16</v>
      </c>
      <c r="F5094" t="s">
        <v>12</v>
      </c>
      <c r="G5094">
        <v>844525</v>
      </c>
      <c r="H5094">
        <v>5500019188</v>
      </c>
      <c r="I5094">
        <v>870</v>
      </c>
      <c r="J5094" s="29">
        <v>1</v>
      </c>
      <c r="K5094" s="29" t="s">
        <v>797</v>
      </c>
      <c r="L5094" t="str">
        <f>IFERROR(VLOOKUP(Detalle_OC[[#This Row],[Centro]]&amp;Detalle_OC[[#This Row],[Nro Almacen]],Almacen!A:D,4,FALSE),"")</f>
        <v>Montelima</v>
      </c>
    </row>
    <row r="5095" spans="1:12" x14ac:dyDescent="0.3">
      <c r="A5095" s="29" t="str">
        <f>Detalle_OC[[#This Row],[Centro]]&amp;Detalle_OC[[#This Row],[Nom Almacen]]&amp;Detalle_OC[[#This Row],[Material]]&amp;Detalle_OC[[#This Row],[Pedido]]&amp;Detalle_OC[[#This Row],[Posicion]]</f>
        <v>Agricola del Chira PlantaMontelima8445465500019188890</v>
      </c>
      <c r="B5095" t="s">
        <v>28</v>
      </c>
      <c r="C5095" t="s">
        <v>82</v>
      </c>
      <c r="D5095" s="11">
        <v>43148</v>
      </c>
      <c r="E5095" t="s">
        <v>16</v>
      </c>
      <c r="F5095" t="s">
        <v>12</v>
      </c>
      <c r="G5095">
        <v>844546</v>
      </c>
      <c r="H5095">
        <v>5500019188</v>
      </c>
      <c r="I5095">
        <v>890</v>
      </c>
      <c r="J5095" s="29">
        <v>1</v>
      </c>
      <c r="K5095" s="29" t="s">
        <v>797</v>
      </c>
      <c r="L5095" t="str">
        <f>IFERROR(VLOOKUP(Detalle_OC[[#This Row],[Centro]]&amp;Detalle_OC[[#This Row],[Nro Almacen]],Almacen!A:D,4,FALSE),"")</f>
        <v>Montelima</v>
      </c>
    </row>
    <row r="5096" spans="1:12" x14ac:dyDescent="0.3">
      <c r="A5096" s="29" t="str">
        <f>Detalle_OC[[#This Row],[Centro]]&amp;Detalle_OC[[#This Row],[Nom Almacen]]&amp;Detalle_OC[[#This Row],[Material]]&amp;Detalle_OC[[#This Row],[Pedido]]&amp;Detalle_OC[[#This Row],[Posicion]]</f>
        <v>Agricola del Chira PlantaMontelima8445005500019188910</v>
      </c>
      <c r="B5096" t="s">
        <v>28</v>
      </c>
      <c r="C5096" t="s">
        <v>82</v>
      </c>
      <c r="D5096" s="11">
        <v>43148</v>
      </c>
      <c r="E5096" t="s">
        <v>16</v>
      </c>
      <c r="F5096" t="s">
        <v>12</v>
      </c>
      <c r="G5096">
        <v>844500</v>
      </c>
      <c r="H5096">
        <v>5500019188</v>
      </c>
      <c r="I5096">
        <v>910</v>
      </c>
      <c r="J5096" s="29">
        <v>1</v>
      </c>
      <c r="K5096" s="29" t="s">
        <v>797</v>
      </c>
      <c r="L5096" t="str">
        <f>IFERROR(VLOOKUP(Detalle_OC[[#This Row],[Centro]]&amp;Detalle_OC[[#This Row],[Nro Almacen]],Almacen!A:D,4,FALSE),"")</f>
        <v>Montelima</v>
      </c>
    </row>
    <row r="5097" spans="1:12" x14ac:dyDescent="0.3">
      <c r="A5097" s="29" t="str">
        <f>Detalle_OC[[#This Row],[Centro]]&amp;Detalle_OC[[#This Row],[Nom Almacen]]&amp;Detalle_OC[[#This Row],[Material]]&amp;Detalle_OC[[#This Row],[Pedido]]&amp;Detalle_OC[[#This Row],[Posicion]]</f>
        <v>Agricola del Chira PlantaMontelima8445055500019188920</v>
      </c>
      <c r="B5097" t="s">
        <v>28</v>
      </c>
      <c r="C5097" t="s">
        <v>82</v>
      </c>
      <c r="D5097" s="11">
        <v>43148</v>
      </c>
      <c r="E5097" t="s">
        <v>16</v>
      </c>
      <c r="F5097" t="s">
        <v>12</v>
      </c>
      <c r="G5097">
        <v>844505</v>
      </c>
      <c r="H5097">
        <v>5500019188</v>
      </c>
      <c r="I5097">
        <v>920</v>
      </c>
      <c r="J5097" s="29">
        <v>1</v>
      </c>
      <c r="K5097" s="29" t="s">
        <v>797</v>
      </c>
      <c r="L5097" t="str">
        <f>IFERROR(VLOOKUP(Detalle_OC[[#This Row],[Centro]]&amp;Detalle_OC[[#This Row],[Nro Almacen]],Almacen!A:D,4,FALSE),"")</f>
        <v>Montelima</v>
      </c>
    </row>
    <row r="5098" spans="1:12" x14ac:dyDescent="0.3">
      <c r="A5098" s="29" t="str">
        <f>Detalle_OC[[#This Row],[Centro]]&amp;Detalle_OC[[#This Row],[Nom Almacen]]&amp;Detalle_OC[[#This Row],[Material]]&amp;Detalle_OC[[#This Row],[Pedido]]&amp;Detalle_OC[[#This Row],[Posicion]]</f>
        <v>Agricola del Chira PlantaMontelima8459435500019188930</v>
      </c>
      <c r="B5098" t="s">
        <v>28</v>
      </c>
      <c r="C5098" t="s">
        <v>82</v>
      </c>
      <c r="D5098" s="11">
        <v>43148</v>
      </c>
      <c r="E5098" t="s">
        <v>16</v>
      </c>
      <c r="F5098" t="s">
        <v>12</v>
      </c>
      <c r="G5098">
        <v>845943</v>
      </c>
      <c r="H5098">
        <v>5500019188</v>
      </c>
      <c r="I5098">
        <v>930</v>
      </c>
      <c r="J5098" s="29">
        <v>1</v>
      </c>
      <c r="K5098" s="29" t="s">
        <v>797</v>
      </c>
      <c r="L5098" t="str">
        <f>IFERROR(VLOOKUP(Detalle_OC[[#This Row],[Centro]]&amp;Detalle_OC[[#This Row],[Nro Almacen]],Almacen!A:D,4,FALSE),"")</f>
        <v>Montelima</v>
      </c>
    </row>
    <row r="5099" spans="1:12" x14ac:dyDescent="0.3">
      <c r="A5099" s="29" t="str">
        <f>Detalle_OC[[#This Row],[Centro]]&amp;Detalle_OC[[#This Row],[Nom Almacen]]&amp;Detalle_OC[[#This Row],[Material]]&amp;Detalle_OC[[#This Row],[Pedido]]&amp;Detalle_OC[[#This Row],[Posicion]]</f>
        <v>Agricola del Chira PlantaMontelima8453135500019188950</v>
      </c>
      <c r="B5099" t="s">
        <v>28</v>
      </c>
      <c r="C5099" t="s">
        <v>82</v>
      </c>
      <c r="D5099" s="11">
        <v>43148</v>
      </c>
      <c r="E5099" t="s">
        <v>16</v>
      </c>
      <c r="F5099" t="s">
        <v>12</v>
      </c>
      <c r="G5099">
        <v>845313</v>
      </c>
      <c r="H5099">
        <v>5500019188</v>
      </c>
      <c r="I5099">
        <v>950</v>
      </c>
      <c r="J5099" s="29">
        <v>1</v>
      </c>
      <c r="K5099" s="29" t="s">
        <v>797</v>
      </c>
      <c r="L5099" t="str">
        <f>IFERROR(VLOOKUP(Detalle_OC[[#This Row],[Centro]]&amp;Detalle_OC[[#This Row],[Nro Almacen]],Almacen!A:D,4,FALSE),"")</f>
        <v>Montelima</v>
      </c>
    </row>
    <row r="5100" spans="1:12" x14ac:dyDescent="0.3">
      <c r="A5100" s="29" t="str">
        <f>Detalle_OC[[#This Row],[Centro]]&amp;Detalle_OC[[#This Row],[Nom Almacen]]&amp;Detalle_OC[[#This Row],[Material]]&amp;Detalle_OC[[#This Row],[Pedido]]&amp;Detalle_OC[[#This Row],[Posicion]]</f>
        <v>Agricola del Chira PlantaMontelima8462845500019188970</v>
      </c>
      <c r="B5100" t="s">
        <v>28</v>
      </c>
      <c r="C5100" t="s">
        <v>82</v>
      </c>
      <c r="D5100" s="11">
        <v>43148</v>
      </c>
      <c r="E5100" t="s">
        <v>16</v>
      </c>
      <c r="F5100" t="s">
        <v>12</v>
      </c>
      <c r="G5100">
        <v>846284</v>
      </c>
      <c r="H5100">
        <v>5500019188</v>
      </c>
      <c r="I5100">
        <v>970</v>
      </c>
      <c r="J5100" s="29">
        <v>1</v>
      </c>
      <c r="K5100" s="29" t="s">
        <v>797</v>
      </c>
      <c r="L5100" t="str">
        <f>IFERROR(VLOOKUP(Detalle_OC[[#This Row],[Centro]]&amp;Detalle_OC[[#This Row],[Nro Almacen]],Almacen!A:D,4,FALSE),"")</f>
        <v>Montelima</v>
      </c>
    </row>
    <row r="5101" spans="1:12" x14ac:dyDescent="0.3">
      <c r="A5101" s="29" t="str">
        <f>Detalle_OC[[#This Row],[Centro]]&amp;Detalle_OC[[#This Row],[Nom Almacen]]&amp;Detalle_OC[[#This Row],[Material]]&amp;Detalle_OC[[#This Row],[Pedido]]&amp;Detalle_OC[[#This Row],[Posicion]]</f>
        <v>Agricola del Chira PlantaMontelima8457585500019188980</v>
      </c>
      <c r="B5101" t="s">
        <v>28</v>
      </c>
      <c r="C5101" t="s">
        <v>82</v>
      </c>
      <c r="D5101" s="11">
        <v>43148</v>
      </c>
      <c r="E5101" t="s">
        <v>16</v>
      </c>
      <c r="F5101" t="s">
        <v>12</v>
      </c>
      <c r="G5101">
        <v>845758</v>
      </c>
      <c r="H5101">
        <v>5500019188</v>
      </c>
      <c r="I5101">
        <v>980</v>
      </c>
      <c r="J5101" s="29">
        <v>1</v>
      </c>
      <c r="K5101" s="29" t="s">
        <v>797</v>
      </c>
      <c r="L5101" t="str">
        <f>IFERROR(VLOOKUP(Detalle_OC[[#This Row],[Centro]]&amp;Detalle_OC[[#This Row],[Nro Almacen]],Almacen!A:D,4,FALSE),"")</f>
        <v>Montelima</v>
      </c>
    </row>
    <row r="5102" spans="1:12" x14ac:dyDescent="0.3">
      <c r="A5102" s="29" t="str">
        <f>Detalle_OC[[#This Row],[Centro]]&amp;Detalle_OC[[#This Row],[Nom Almacen]]&amp;Detalle_OC[[#This Row],[Material]]&amp;Detalle_OC[[#This Row],[Pedido]]&amp;Detalle_OC[[#This Row],[Posicion]]</f>
        <v>Agricola del Chira PlantaMontelima8457915500019188990</v>
      </c>
      <c r="B5102" t="s">
        <v>28</v>
      </c>
      <c r="C5102" t="s">
        <v>82</v>
      </c>
      <c r="D5102" s="11">
        <v>43148</v>
      </c>
      <c r="E5102" t="s">
        <v>16</v>
      </c>
      <c r="F5102" t="s">
        <v>12</v>
      </c>
      <c r="G5102">
        <v>845791</v>
      </c>
      <c r="H5102">
        <v>5500019188</v>
      </c>
      <c r="I5102">
        <v>990</v>
      </c>
      <c r="J5102" s="29">
        <v>1</v>
      </c>
      <c r="K5102" s="29" t="s">
        <v>797</v>
      </c>
      <c r="L5102" t="str">
        <f>IFERROR(VLOOKUP(Detalle_OC[[#This Row],[Centro]]&amp;Detalle_OC[[#This Row],[Nro Almacen]],Almacen!A:D,4,FALSE),"")</f>
        <v>Montelima</v>
      </c>
    </row>
    <row r="5103" spans="1:12" x14ac:dyDescent="0.3">
      <c r="A5103" s="29" t="str">
        <f>Detalle_OC[[#This Row],[Centro]]&amp;Detalle_OC[[#This Row],[Nom Almacen]]&amp;Detalle_OC[[#This Row],[Material]]&amp;Detalle_OC[[#This Row],[Pedido]]&amp;Detalle_OC[[#This Row],[Posicion]]</f>
        <v>Agricola del Chira PlantaMontelima82719955000191881020</v>
      </c>
      <c r="B5103" t="s">
        <v>28</v>
      </c>
      <c r="C5103" t="s">
        <v>82</v>
      </c>
      <c r="D5103" s="11">
        <v>43148</v>
      </c>
      <c r="E5103" t="s">
        <v>16</v>
      </c>
      <c r="F5103" t="s">
        <v>12</v>
      </c>
      <c r="G5103">
        <v>827199</v>
      </c>
      <c r="H5103">
        <v>5500019188</v>
      </c>
      <c r="I5103">
        <v>1020</v>
      </c>
      <c r="J5103" s="29">
        <v>1</v>
      </c>
      <c r="K5103" s="29" t="s">
        <v>797</v>
      </c>
      <c r="L5103" t="str">
        <f>IFERROR(VLOOKUP(Detalle_OC[[#This Row],[Centro]]&amp;Detalle_OC[[#This Row],[Nro Almacen]],Almacen!A:D,4,FALSE),"")</f>
        <v>Montelima</v>
      </c>
    </row>
    <row r="5104" spans="1:12" x14ac:dyDescent="0.3">
      <c r="A5104" s="29" t="str">
        <f>Detalle_OC[[#This Row],[Centro]]&amp;Detalle_OC[[#This Row],[Nom Almacen]]&amp;Detalle_OC[[#This Row],[Material]]&amp;Detalle_OC[[#This Row],[Pedido]]&amp;Detalle_OC[[#This Row],[Posicion]]</f>
        <v>Agricola del Chira PlantaMontelima88783455000191881030</v>
      </c>
      <c r="B5104" t="s">
        <v>28</v>
      </c>
      <c r="C5104" t="s">
        <v>82</v>
      </c>
      <c r="D5104" s="11">
        <v>43148</v>
      </c>
      <c r="E5104" t="s">
        <v>16</v>
      </c>
      <c r="F5104" t="s">
        <v>12</v>
      </c>
      <c r="G5104">
        <v>887834</v>
      </c>
      <c r="H5104">
        <v>5500019188</v>
      </c>
      <c r="I5104">
        <v>1030</v>
      </c>
      <c r="J5104" s="29">
        <v>1</v>
      </c>
      <c r="K5104" s="29" t="s">
        <v>797</v>
      </c>
      <c r="L5104" t="str">
        <f>IFERROR(VLOOKUP(Detalle_OC[[#This Row],[Centro]]&amp;Detalle_OC[[#This Row],[Nro Almacen]],Almacen!A:D,4,FALSE),"")</f>
        <v>Montelima</v>
      </c>
    </row>
    <row r="5105" spans="1:12" x14ac:dyDescent="0.3">
      <c r="A5105" s="29" t="str">
        <f>Detalle_OC[[#This Row],[Centro]]&amp;Detalle_OC[[#This Row],[Nom Almacen]]&amp;Detalle_OC[[#This Row],[Material]]&amp;Detalle_OC[[#This Row],[Pedido]]&amp;Detalle_OC[[#This Row],[Posicion]]</f>
        <v>Agricola del Chira PlantaMontelima83106655000191881040</v>
      </c>
      <c r="B5105" t="s">
        <v>28</v>
      </c>
      <c r="C5105" t="s">
        <v>82</v>
      </c>
      <c r="D5105" s="11">
        <v>43148</v>
      </c>
      <c r="E5105" t="s">
        <v>16</v>
      </c>
      <c r="F5105" t="s">
        <v>12</v>
      </c>
      <c r="G5105">
        <v>831066</v>
      </c>
      <c r="H5105">
        <v>5500019188</v>
      </c>
      <c r="I5105">
        <v>1040</v>
      </c>
      <c r="J5105" s="29">
        <v>1</v>
      </c>
      <c r="K5105" s="29" t="s">
        <v>797</v>
      </c>
      <c r="L5105" t="str">
        <f>IFERROR(VLOOKUP(Detalle_OC[[#This Row],[Centro]]&amp;Detalle_OC[[#This Row],[Nro Almacen]],Almacen!A:D,4,FALSE),"")</f>
        <v>Montelima</v>
      </c>
    </row>
    <row r="5106" spans="1:12" x14ac:dyDescent="0.3">
      <c r="A5106" s="29" t="str">
        <f>Detalle_OC[[#This Row],[Centro]]&amp;Detalle_OC[[#This Row],[Nom Almacen]]&amp;Detalle_OC[[#This Row],[Material]]&amp;Detalle_OC[[#This Row],[Pedido]]&amp;Detalle_OC[[#This Row],[Posicion]]</f>
        <v>Agricola del Chira PlantaMontelima82638255000191881070</v>
      </c>
      <c r="B5106" t="s">
        <v>28</v>
      </c>
      <c r="C5106" t="s">
        <v>82</v>
      </c>
      <c r="D5106" s="11">
        <v>43148</v>
      </c>
      <c r="E5106" t="s">
        <v>16</v>
      </c>
      <c r="F5106" t="s">
        <v>12</v>
      </c>
      <c r="G5106">
        <v>826382</v>
      </c>
      <c r="H5106">
        <v>5500019188</v>
      </c>
      <c r="I5106">
        <v>1070</v>
      </c>
      <c r="J5106" s="29">
        <v>1</v>
      </c>
      <c r="K5106" s="29" t="s">
        <v>797</v>
      </c>
      <c r="L5106" t="str">
        <f>IFERROR(VLOOKUP(Detalle_OC[[#This Row],[Centro]]&amp;Detalle_OC[[#This Row],[Nro Almacen]],Almacen!A:D,4,FALSE),"")</f>
        <v>Montelima</v>
      </c>
    </row>
    <row r="5107" spans="1:12" x14ac:dyDescent="0.3">
      <c r="A5107" s="29" t="str">
        <f>Detalle_OC[[#This Row],[Centro]]&amp;Detalle_OC[[#This Row],[Nom Almacen]]&amp;Detalle_OC[[#This Row],[Material]]&amp;Detalle_OC[[#This Row],[Pedido]]&amp;Detalle_OC[[#This Row],[Posicion]]</f>
        <v>Agricola del Chira PlantaMontelima82639755000191881080</v>
      </c>
      <c r="B5107" t="s">
        <v>28</v>
      </c>
      <c r="C5107" t="s">
        <v>82</v>
      </c>
      <c r="D5107" s="11">
        <v>43148</v>
      </c>
      <c r="E5107" t="s">
        <v>16</v>
      </c>
      <c r="F5107" t="s">
        <v>12</v>
      </c>
      <c r="G5107">
        <v>826397</v>
      </c>
      <c r="H5107">
        <v>5500019188</v>
      </c>
      <c r="I5107">
        <v>1080</v>
      </c>
      <c r="J5107" s="29">
        <v>1</v>
      </c>
      <c r="K5107" s="29" t="s">
        <v>797</v>
      </c>
      <c r="L5107" t="str">
        <f>IFERROR(VLOOKUP(Detalle_OC[[#This Row],[Centro]]&amp;Detalle_OC[[#This Row],[Nro Almacen]],Almacen!A:D,4,FALSE),"")</f>
        <v>Montelima</v>
      </c>
    </row>
    <row r="5108" spans="1:12" x14ac:dyDescent="0.3">
      <c r="A5108" s="29" t="str">
        <f>Detalle_OC[[#This Row],[Centro]]&amp;Detalle_OC[[#This Row],[Nom Almacen]]&amp;Detalle_OC[[#This Row],[Material]]&amp;Detalle_OC[[#This Row],[Pedido]]&amp;Detalle_OC[[#This Row],[Posicion]]</f>
        <v>Agricola del Chira PlantaMontelima82638555000191881100</v>
      </c>
      <c r="B5108" t="s">
        <v>28</v>
      </c>
      <c r="C5108" t="s">
        <v>82</v>
      </c>
      <c r="D5108" s="11">
        <v>43148</v>
      </c>
      <c r="E5108" t="s">
        <v>16</v>
      </c>
      <c r="F5108" t="s">
        <v>12</v>
      </c>
      <c r="G5108">
        <v>826385</v>
      </c>
      <c r="H5108">
        <v>5500019188</v>
      </c>
      <c r="I5108">
        <v>1100</v>
      </c>
      <c r="J5108" s="29">
        <v>1</v>
      </c>
      <c r="K5108" s="29" t="s">
        <v>797</v>
      </c>
      <c r="L5108" t="str">
        <f>IFERROR(VLOOKUP(Detalle_OC[[#This Row],[Centro]]&amp;Detalle_OC[[#This Row],[Nro Almacen]],Almacen!A:D,4,FALSE),"")</f>
        <v>Montelima</v>
      </c>
    </row>
    <row r="5109" spans="1:12" x14ac:dyDescent="0.3">
      <c r="A5109" s="29" t="str">
        <f>Detalle_OC[[#This Row],[Centro]]&amp;Detalle_OC[[#This Row],[Nom Almacen]]&amp;Detalle_OC[[#This Row],[Material]]&amp;Detalle_OC[[#This Row],[Pedido]]&amp;Detalle_OC[[#This Row],[Posicion]]</f>
        <v>Agricola del Chira PlantaMontelima82640155000191881130</v>
      </c>
      <c r="B5109" t="s">
        <v>28</v>
      </c>
      <c r="C5109" t="s">
        <v>82</v>
      </c>
      <c r="D5109" s="11">
        <v>43148</v>
      </c>
      <c r="E5109" t="s">
        <v>16</v>
      </c>
      <c r="F5109" t="s">
        <v>12</v>
      </c>
      <c r="G5109">
        <v>826401</v>
      </c>
      <c r="H5109">
        <v>5500019188</v>
      </c>
      <c r="I5109">
        <v>1130</v>
      </c>
      <c r="J5109" s="29">
        <v>1</v>
      </c>
      <c r="K5109" s="29" t="s">
        <v>797</v>
      </c>
      <c r="L5109" t="str">
        <f>IFERROR(VLOOKUP(Detalle_OC[[#This Row],[Centro]]&amp;Detalle_OC[[#This Row],[Nro Almacen]],Almacen!A:D,4,FALSE),"")</f>
        <v>Montelima</v>
      </c>
    </row>
    <row r="5110" spans="1:12" x14ac:dyDescent="0.3">
      <c r="A5110" s="29" t="str">
        <f>Detalle_OC[[#This Row],[Centro]]&amp;Detalle_OC[[#This Row],[Nom Almacen]]&amp;Detalle_OC[[#This Row],[Material]]&amp;Detalle_OC[[#This Row],[Pedido]]&amp;Detalle_OC[[#This Row],[Posicion]]</f>
        <v>Agricola del Chira PlantaMontelima82720355000191881140</v>
      </c>
      <c r="B5110" t="s">
        <v>28</v>
      </c>
      <c r="C5110" t="s">
        <v>82</v>
      </c>
      <c r="D5110" s="11">
        <v>43148</v>
      </c>
      <c r="E5110" t="s">
        <v>16</v>
      </c>
      <c r="F5110" t="s">
        <v>12</v>
      </c>
      <c r="G5110">
        <v>827203</v>
      </c>
      <c r="H5110">
        <v>5500019188</v>
      </c>
      <c r="I5110">
        <v>1140</v>
      </c>
      <c r="J5110" s="29">
        <v>1</v>
      </c>
      <c r="K5110" s="29" t="s">
        <v>797</v>
      </c>
      <c r="L5110" t="str">
        <f>IFERROR(VLOOKUP(Detalle_OC[[#This Row],[Centro]]&amp;Detalle_OC[[#This Row],[Nro Almacen]],Almacen!A:D,4,FALSE),"")</f>
        <v>Montelima</v>
      </c>
    </row>
    <row r="5111" spans="1:12" x14ac:dyDescent="0.3">
      <c r="A5111" s="29" t="str">
        <f>Detalle_OC[[#This Row],[Centro]]&amp;Detalle_OC[[#This Row],[Nom Almacen]]&amp;Detalle_OC[[#This Row],[Material]]&amp;Detalle_OC[[#This Row],[Pedido]]&amp;Detalle_OC[[#This Row],[Posicion]]</f>
        <v>Agricola del Chira PlantaMontelima82638355000191881150</v>
      </c>
      <c r="B5111" t="s">
        <v>28</v>
      </c>
      <c r="C5111" t="s">
        <v>82</v>
      </c>
      <c r="D5111" s="11">
        <v>43148</v>
      </c>
      <c r="E5111" t="s">
        <v>16</v>
      </c>
      <c r="F5111" t="s">
        <v>12</v>
      </c>
      <c r="G5111">
        <v>826383</v>
      </c>
      <c r="H5111">
        <v>5500019188</v>
      </c>
      <c r="I5111">
        <v>1150</v>
      </c>
      <c r="J5111" s="29">
        <v>1</v>
      </c>
      <c r="K5111" s="29" t="s">
        <v>797</v>
      </c>
      <c r="L5111" t="str">
        <f>IFERROR(VLOOKUP(Detalle_OC[[#This Row],[Centro]]&amp;Detalle_OC[[#This Row],[Nro Almacen]],Almacen!A:D,4,FALSE),"")</f>
        <v>Montelima</v>
      </c>
    </row>
    <row r="5112" spans="1:12" x14ac:dyDescent="0.3">
      <c r="A5112" s="29" t="str">
        <f>Detalle_OC[[#This Row],[Centro]]&amp;Detalle_OC[[#This Row],[Nom Almacen]]&amp;Detalle_OC[[#This Row],[Material]]&amp;Detalle_OC[[#This Row],[Pedido]]&amp;Detalle_OC[[#This Row],[Posicion]]</f>
        <v>Agricola del Chira PlantaMontelima83082755000191881170</v>
      </c>
      <c r="B5112" t="s">
        <v>28</v>
      </c>
      <c r="C5112" t="s">
        <v>82</v>
      </c>
      <c r="D5112" s="11">
        <v>43148</v>
      </c>
      <c r="E5112" t="s">
        <v>16</v>
      </c>
      <c r="F5112" t="s">
        <v>12</v>
      </c>
      <c r="G5112">
        <v>830827</v>
      </c>
      <c r="H5112">
        <v>5500019188</v>
      </c>
      <c r="I5112">
        <v>1170</v>
      </c>
      <c r="J5112" s="29">
        <v>1</v>
      </c>
      <c r="K5112" s="29" t="s">
        <v>797</v>
      </c>
      <c r="L5112" t="str">
        <f>IFERROR(VLOOKUP(Detalle_OC[[#This Row],[Centro]]&amp;Detalle_OC[[#This Row],[Nro Almacen]],Almacen!A:D,4,FALSE),"")</f>
        <v>Montelima</v>
      </c>
    </row>
    <row r="5113" spans="1:12" x14ac:dyDescent="0.3">
      <c r="A5113" s="29" t="str">
        <f>Detalle_OC[[#This Row],[Centro]]&amp;Detalle_OC[[#This Row],[Nom Almacen]]&amp;Detalle_OC[[#This Row],[Material]]&amp;Detalle_OC[[#This Row],[Pedido]]&amp;Detalle_OC[[#This Row],[Posicion]]</f>
        <v>Agricola del Chira PlantaMontelima89260455000191881180</v>
      </c>
      <c r="B5113" t="s">
        <v>28</v>
      </c>
      <c r="C5113" t="s">
        <v>82</v>
      </c>
      <c r="D5113" s="11">
        <v>43148</v>
      </c>
      <c r="E5113" t="s">
        <v>16</v>
      </c>
      <c r="F5113" t="s">
        <v>12</v>
      </c>
      <c r="G5113">
        <v>892604</v>
      </c>
      <c r="H5113">
        <v>5500019188</v>
      </c>
      <c r="I5113">
        <v>1180</v>
      </c>
      <c r="J5113" s="29">
        <v>1</v>
      </c>
      <c r="K5113" s="29" t="s">
        <v>797</v>
      </c>
      <c r="L5113" t="str">
        <f>IFERROR(VLOOKUP(Detalle_OC[[#This Row],[Centro]]&amp;Detalle_OC[[#This Row],[Nro Almacen]],Almacen!A:D,4,FALSE),"")</f>
        <v>Montelima</v>
      </c>
    </row>
    <row r="5114" spans="1:12" x14ac:dyDescent="0.3">
      <c r="A5114" s="29" t="str">
        <f>Detalle_OC[[#This Row],[Centro]]&amp;Detalle_OC[[#This Row],[Nom Almacen]]&amp;Detalle_OC[[#This Row],[Material]]&amp;Detalle_OC[[#This Row],[Pedido]]&amp;Detalle_OC[[#This Row],[Posicion]]</f>
        <v>Agricola del Chira PlantaMontelima83175855000191881190</v>
      </c>
      <c r="B5114" t="s">
        <v>28</v>
      </c>
      <c r="C5114" t="s">
        <v>82</v>
      </c>
      <c r="D5114" s="11">
        <v>43148</v>
      </c>
      <c r="E5114" t="s">
        <v>16</v>
      </c>
      <c r="F5114" t="s">
        <v>12</v>
      </c>
      <c r="G5114">
        <v>831758</v>
      </c>
      <c r="H5114">
        <v>5500019188</v>
      </c>
      <c r="I5114">
        <v>1190</v>
      </c>
      <c r="J5114" s="29">
        <v>1</v>
      </c>
      <c r="K5114" s="29" t="s">
        <v>797</v>
      </c>
      <c r="L5114" t="str">
        <f>IFERROR(VLOOKUP(Detalle_OC[[#This Row],[Centro]]&amp;Detalle_OC[[#This Row],[Nro Almacen]],Almacen!A:D,4,FALSE),"")</f>
        <v>Montelima</v>
      </c>
    </row>
    <row r="5115" spans="1:12" x14ac:dyDescent="0.3">
      <c r="A5115" s="29" t="str">
        <f>Detalle_OC[[#This Row],[Centro]]&amp;Detalle_OC[[#This Row],[Nom Almacen]]&amp;Detalle_OC[[#This Row],[Material]]&amp;Detalle_OC[[#This Row],[Pedido]]&amp;Detalle_OC[[#This Row],[Posicion]]</f>
        <v>Agricola del Chira PlantaMontelima82941355000191881250</v>
      </c>
      <c r="B5115" t="s">
        <v>28</v>
      </c>
      <c r="C5115" t="s">
        <v>82</v>
      </c>
      <c r="D5115" s="11">
        <v>43148</v>
      </c>
      <c r="E5115" t="s">
        <v>16</v>
      </c>
      <c r="F5115" t="s">
        <v>12</v>
      </c>
      <c r="G5115">
        <v>829413</v>
      </c>
      <c r="H5115">
        <v>5500019188</v>
      </c>
      <c r="I5115">
        <v>1250</v>
      </c>
      <c r="J5115" s="29">
        <v>1</v>
      </c>
      <c r="K5115" s="29" t="s">
        <v>797</v>
      </c>
      <c r="L5115" t="str">
        <f>IFERROR(VLOOKUP(Detalle_OC[[#This Row],[Centro]]&amp;Detalle_OC[[#This Row],[Nro Almacen]],Almacen!A:D,4,FALSE),"")</f>
        <v>Montelima</v>
      </c>
    </row>
    <row r="5116" spans="1:12" x14ac:dyDescent="0.3">
      <c r="A5116" s="29" t="str">
        <f>Detalle_OC[[#This Row],[Centro]]&amp;Detalle_OC[[#This Row],[Nom Almacen]]&amp;Detalle_OC[[#This Row],[Material]]&amp;Detalle_OC[[#This Row],[Pedido]]&amp;Detalle_OC[[#This Row],[Posicion]]</f>
        <v>Agricola del Chira PlantaMontelima88064955000191881270</v>
      </c>
      <c r="B5116" t="s">
        <v>28</v>
      </c>
      <c r="C5116" t="s">
        <v>82</v>
      </c>
      <c r="D5116" s="11">
        <v>43148</v>
      </c>
      <c r="E5116" t="s">
        <v>16</v>
      </c>
      <c r="F5116" t="s">
        <v>12</v>
      </c>
      <c r="G5116">
        <v>880649</v>
      </c>
      <c r="H5116">
        <v>5500019188</v>
      </c>
      <c r="I5116">
        <v>1270</v>
      </c>
      <c r="J5116" s="29">
        <v>1</v>
      </c>
      <c r="K5116" s="29" t="s">
        <v>797</v>
      </c>
      <c r="L5116" t="str">
        <f>IFERROR(VLOOKUP(Detalle_OC[[#This Row],[Centro]]&amp;Detalle_OC[[#This Row],[Nro Almacen]],Almacen!A:D,4,FALSE),"")</f>
        <v>Montelima</v>
      </c>
    </row>
    <row r="5117" spans="1:12" x14ac:dyDescent="0.3">
      <c r="A5117" s="29" t="str">
        <f>Detalle_OC[[#This Row],[Centro]]&amp;Detalle_OC[[#This Row],[Nom Almacen]]&amp;Detalle_OC[[#This Row],[Material]]&amp;Detalle_OC[[#This Row],[Pedido]]&amp;Detalle_OC[[#This Row],[Posicion]]</f>
        <v>Agricola del Chira PlantaMontelima82720055000191881280</v>
      </c>
      <c r="B5117" t="s">
        <v>28</v>
      </c>
      <c r="C5117" t="s">
        <v>82</v>
      </c>
      <c r="D5117" s="11">
        <v>43148</v>
      </c>
      <c r="E5117" t="s">
        <v>16</v>
      </c>
      <c r="F5117" t="s">
        <v>12</v>
      </c>
      <c r="G5117">
        <v>827200</v>
      </c>
      <c r="H5117">
        <v>5500019188</v>
      </c>
      <c r="I5117">
        <v>1280</v>
      </c>
      <c r="J5117" s="29">
        <v>1</v>
      </c>
      <c r="K5117" s="29" t="s">
        <v>797</v>
      </c>
      <c r="L5117" t="str">
        <f>IFERROR(VLOOKUP(Detalle_OC[[#This Row],[Centro]]&amp;Detalle_OC[[#This Row],[Nro Almacen]],Almacen!A:D,4,FALSE),"")</f>
        <v>Montelima</v>
      </c>
    </row>
    <row r="5118" spans="1:12" x14ac:dyDescent="0.3">
      <c r="A5118" s="29" t="str">
        <f>Detalle_OC[[#This Row],[Centro]]&amp;Detalle_OC[[#This Row],[Nom Almacen]]&amp;Detalle_OC[[#This Row],[Material]]&amp;Detalle_OC[[#This Row],[Pedido]]&amp;Detalle_OC[[#This Row],[Posicion]]</f>
        <v>Agricola del Chira PlantaMontelima84557255000191881300</v>
      </c>
      <c r="B5118" t="s">
        <v>28</v>
      </c>
      <c r="C5118" t="s">
        <v>82</v>
      </c>
      <c r="D5118" s="11">
        <v>43148</v>
      </c>
      <c r="E5118" t="s">
        <v>16</v>
      </c>
      <c r="F5118" t="s">
        <v>12</v>
      </c>
      <c r="G5118">
        <v>845572</v>
      </c>
      <c r="H5118">
        <v>5500019188</v>
      </c>
      <c r="I5118">
        <v>1300</v>
      </c>
      <c r="J5118" s="29">
        <v>1</v>
      </c>
      <c r="K5118" s="29" t="s">
        <v>797</v>
      </c>
      <c r="L5118" t="str">
        <f>IFERROR(VLOOKUP(Detalle_OC[[#This Row],[Centro]]&amp;Detalle_OC[[#This Row],[Nro Almacen]],Almacen!A:D,4,FALSE),"")</f>
        <v>Montelima</v>
      </c>
    </row>
    <row r="5119" spans="1:12" x14ac:dyDescent="0.3">
      <c r="A5119" s="29" t="str">
        <f>Detalle_OC[[#This Row],[Centro]]&amp;Detalle_OC[[#This Row],[Nom Almacen]]&amp;Detalle_OC[[#This Row],[Material]]&amp;Detalle_OC[[#This Row],[Pedido]]&amp;Detalle_OC[[#This Row],[Posicion]]</f>
        <v>Agricola del Chira PlantaMontelima85063755000191881390</v>
      </c>
      <c r="B5119" t="s">
        <v>28</v>
      </c>
      <c r="C5119" t="s">
        <v>82</v>
      </c>
      <c r="D5119" s="11">
        <v>43148</v>
      </c>
      <c r="E5119" t="s">
        <v>16</v>
      </c>
      <c r="F5119" t="s">
        <v>12</v>
      </c>
      <c r="G5119">
        <v>850637</v>
      </c>
      <c r="H5119">
        <v>5500019188</v>
      </c>
      <c r="I5119">
        <v>1390</v>
      </c>
      <c r="J5119" s="29">
        <v>1</v>
      </c>
      <c r="K5119" s="29" t="s">
        <v>797</v>
      </c>
      <c r="L5119" t="str">
        <f>IFERROR(VLOOKUP(Detalle_OC[[#This Row],[Centro]]&amp;Detalle_OC[[#This Row],[Nro Almacen]],Almacen!A:D,4,FALSE),"")</f>
        <v>Montelima</v>
      </c>
    </row>
    <row r="5120" spans="1:12" x14ac:dyDescent="0.3">
      <c r="A5120" s="29" t="str">
        <f>Detalle_OC[[#This Row],[Centro]]&amp;Detalle_OC[[#This Row],[Nom Almacen]]&amp;Detalle_OC[[#This Row],[Material]]&amp;Detalle_OC[[#This Row],[Pedido]]&amp;Detalle_OC[[#This Row],[Posicion]]</f>
        <v>Agricola del Chira PlantaMontelima84709955000191881400</v>
      </c>
      <c r="B5120" t="s">
        <v>28</v>
      </c>
      <c r="C5120" t="s">
        <v>82</v>
      </c>
      <c r="D5120" s="11">
        <v>43148</v>
      </c>
      <c r="E5120" t="s">
        <v>16</v>
      </c>
      <c r="F5120" t="s">
        <v>12</v>
      </c>
      <c r="G5120">
        <v>847099</v>
      </c>
      <c r="H5120">
        <v>5500019188</v>
      </c>
      <c r="I5120">
        <v>1400</v>
      </c>
      <c r="J5120" s="29">
        <v>1</v>
      </c>
      <c r="K5120" s="29" t="s">
        <v>797</v>
      </c>
      <c r="L5120" t="str">
        <f>IFERROR(VLOOKUP(Detalle_OC[[#This Row],[Centro]]&amp;Detalle_OC[[#This Row],[Nro Almacen]],Almacen!A:D,4,FALSE),"")</f>
        <v>Montelima</v>
      </c>
    </row>
    <row r="5121" spans="1:12" x14ac:dyDescent="0.3">
      <c r="A5121" s="29" t="str">
        <f>Detalle_OC[[#This Row],[Centro]]&amp;Detalle_OC[[#This Row],[Nom Almacen]]&amp;Detalle_OC[[#This Row],[Material]]&amp;Detalle_OC[[#This Row],[Pedido]]&amp;Detalle_OC[[#This Row],[Posicion]]</f>
        <v>Agricola del Chira PlantaMontelima83541955000191881470</v>
      </c>
      <c r="B5121" t="s">
        <v>28</v>
      </c>
      <c r="C5121" t="s">
        <v>82</v>
      </c>
      <c r="D5121" s="11">
        <v>43148</v>
      </c>
      <c r="E5121" t="s">
        <v>16</v>
      </c>
      <c r="F5121" t="s">
        <v>12</v>
      </c>
      <c r="G5121">
        <v>835419</v>
      </c>
      <c r="H5121">
        <v>5500019188</v>
      </c>
      <c r="I5121">
        <v>1470</v>
      </c>
      <c r="J5121" s="29">
        <v>1</v>
      </c>
      <c r="K5121" s="29" t="s">
        <v>797</v>
      </c>
      <c r="L5121" t="str">
        <f>IFERROR(VLOOKUP(Detalle_OC[[#This Row],[Centro]]&amp;Detalle_OC[[#This Row],[Nro Almacen]],Almacen!A:D,4,FALSE),"")</f>
        <v>Montelima</v>
      </c>
    </row>
    <row r="5122" spans="1:12" x14ac:dyDescent="0.3">
      <c r="A5122" s="29" t="str">
        <f>Detalle_OC[[#This Row],[Centro]]&amp;Detalle_OC[[#This Row],[Nom Almacen]]&amp;Detalle_OC[[#This Row],[Material]]&amp;Detalle_OC[[#This Row],[Pedido]]&amp;Detalle_OC[[#This Row],[Posicion]]</f>
        <v>Agricola del Chira PlantaMontelima83082955000191881490</v>
      </c>
      <c r="B5122" t="s">
        <v>28</v>
      </c>
      <c r="C5122" t="s">
        <v>82</v>
      </c>
      <c r="D5122" s="11">
        <v>43148</v>
      </c>
      <c r="E5122" t="s">
        <v>16</v>
      </c>
      <c r="F5122" t="s">
        <v>12</v>
      </c>
      <c r="G5122">
        <v>830829</v>
      </c>
      <c r="H5122">
        <v>5500019188</v>
      </c>
      <c r="I5122">
        <v>1490</v>
      </c>
      <c r="J5122" s="29">
        <v>1</v>
      </c>
      <c r="K5122" s="29" t="s">
        <v>797</v>
      </c>
      <c r="L5122" t="str">
        <f>IFERROR(VLOOKUP(Detalle_OC[[#This Row],[Centro]]&amp;Detalle_OC[[#This Row],[Nro Almacen]],Almacen!A:D,4,FALSE),"")</f>
        <v>Montelima</v>
      </c>
    </row>
    <row r="5123" spans="1:12" x14ac:dyDescent="0.3">
      <c r="A5123" s="29" t="str">
        <f>Detalle_OC[[#This Row],[Centro]]&amp;Detalle_OC[[#This Row],[Nom Almacen]]&amp;Detalle_OC[[#This Row],[Material]]&amp;Detalle_OC[[#This Row],[Pedido]]&amp;Detalle_OC[[#This Row],[Posicion]]</f>
        <v>Agricola del Chira PlantaMontelima83082655000191881500</v>
      </c>
      <c r="B5123" t="s">
        <v>28</v>
      </c>
      <c r="C5123" t="s">
        <v>82</v>
      </c>
      <c r="D5123" s="11">
        <v>43148</v>
      </c>
      <c r="E5123" t="s">
        <v>16</v>
      </c>
      <c r="F5123" t="s">
        <v>12</v>
      </c>
      <c r="G5123">
        <v>830826</v>
      </c>
      <c r="H5123">
        <v>5500019188</v>
      </c>
      <c r="I5123">
        <v>1500</v>
      </c>
      <c r="J5123" s="29">
        <v>1</v>
      </c>
      <c r="K5123" s="29" t="s">
        <v>797</v>
      </c>
      <c r="L5123" t="str">
        <f>IFERROR(VLOOKUP(Detalle_OC[[#This Row],[Centro]]&amp;Detalle_OC[[#This Row],[Nro Almacen]],Almacen!A:D,4,FALSE),"")</f>
        <v>Montelima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2979"/>
  <sheetViews>
    <sheetView showGridLines="0" zoomScale="80" zoomScaleNormal="80" workbookViewId="0">
      <pane ySplit="4" topLeftCell="A5" activePane="bottomLeft" state="frozen"/>
      <selection pane="bottomLeft" activeCell="B2920" sqref="B2920"/>
    </sheetView>
  </sheetViews>
  <sheetFormatPr baseColWidth="10" defaultColWidth="11.44140625" defaultRowHeight="14.4" x14ac:dyDescent="0.3"/>
  <cols>
    <col min="1" max="1" width="4.109375" customWidth="1"/>
    <col min="2" max="2" width="13.109375" customWidth="1"/>
    <col min="3" max="3" width="20.88671875" bestFit="1" customWidth="1"/>
    <col min="4" max="4" width="24.33203125" bestFit="1" customWidth="1"/>
    <col min="5" max="5" width="25.5546875" customWidth="1"/>
  </cols>
  <sheetData>
    <row r="1" spans="1:5" x14ac:dyDescent="0.3">
      <c r="A1">
        <f>COUNTA(Compradores[Usuario Comprador])+5</f>
        <v>2980</v>
      </c>
    </row>
    <row r="2" spans="1:5" ht="17.399999999999999" x14ac:dyDescent="0.3">
      <c r="B2" s="10" t="s">
        <v>798</v>
      </c>
      <c r="C2" s="9">
        <v>153</v>
      </c>
      <c r="D2" s="9">
        <v>157</v>
      </c>
      <c r="E2" s="9">
        <v>158</v>
      </c>
    </row>
    <row r="4" spans="1:5" x14ac:dyDescent="0.3">
      <c r="B4" t="s">
        <v>799</v>
      </c>
      <c r="C4" t="s">
        <v>800</v>
      </c>
    </row>
    <row r="5" spans="1:5" x14ac:dyDescent="0.3">
      <c r="B5">
        <v>4511057857</v>
      </c>
      <c r="C5" t="s">
        <v>801</v>
      </c>
    </row>
    <row r="6" spans="1:5" x14ac:dyDescent="0.3">
      <c r="B6">
        <v>4511574429</v>
      </c>
      <c r="C6" t="s">
        <v>30</v>
      </c>
    </row>
    <row r="7" spans="1:5" x14ac:dyDescent="0.3">
      <c r="B7">
        <v>4511574277</v>
      </c>
      <c r="C7" t="s">
        <v>1230</v>
      </c>
    </row>
    <row r="8" spans="1:5" x14ac:dyDescent="0.3">
      <c r="B8">
        <v>4511574248</v>
      </c>
      <c r="C8" t="s">
        <v>20</v>
      </c>
    </row>
    <row r="9" spans="1:5" x14ac:dyDescent="0.3">
      <c r="B9">
        <v>4511574248</v>
      </c>
      <c r="C9" t="s">
        <v>20</v>
      </c>
    </row>
    <row r="10" spans="1:5" x14ac:dyDescent="0.3">
      <c r="B10">
        <v>4511574235</v>
      </c>
      <c r="C10" t="s">
        <v>20</v>
      </c>
    </row>
    <row r="11" spans="1:5" x14ac:dyDescent="0.3">
      <c r="B11">
        <v>4511574235</v>
      </c>
      <c r="C11" t="s">
        <v>20</v>
      </c>
    </row>
    <row r="12" spans="1:5" x14ac:dyDescent="0.3">
      <c r="B12">
        <v>4511574235</v>
      </c>
      <c r="C12" t="s">
        <v>20</v>
      </c>
    </row>
    <row r="13" spans="1:5" x14ac:dyDescent="0.3">
      <c r="B13">
        <v>4511574235</v>
      </c>
      <c r="C13" t="s">
        <v>20</v>
      </c>
    </row>
    <row r="14" spans="1:5" x14ac:dyDescent="0.3">
      <c r="B14">
        <v>4511574235</v>
      </c>
      <c r="C14" t="s">
        <v>20</v>
      </c>
    </row>
    <row r="15" spans="1:5" x14ac:dyDescent="0.3">
      <c r="B15">
        <v>4511574235</v>
      </c>
      <c r="C15" t="s">
        <v>20</v>
      </c>
    </row>
    <row r="16" spans="1:5" x14ac:dyDescent="0.3">
      <c r="B16">
        <v>4511574234</v>
      </c>
      <c r="C16" t="s">
        <v>20</v>
      </c>
    </row>
    <row r="17" spans="2:3" x14ac:dyDescent="0.3">
      <c r="B17">
        <v>4511574234</v>
      </c>
      <c r="C17" t="s">
        <v>20</v>
      </c>
    </row>
    <row r="18" spans="2:3" x14ac:dyDescent="0.3">
      <c r="B18">
        <v>4511574186</v>
      </c>
      <c r="C18" t="s">
        <v>37</v>
      </c>
    </row>
    <row r="19" spans="2:3" x14ac:dyDescent="0.3">
      <c r="B19">
        <v>4511574170</v>
      </c>
      <c r="C19" t="s">
        <v>20</v>
      </c>
    </row>
    <row r="20" spans="2:3" x14ac:dyDescent="0.3">
      <c r="B20">
        <v>4511574160</v>
      </c>
      <c r="C20" t="s">
        <v>20</v>
      </c>
    </row>
    <row r="21" spans="2:3" x14ac:dyDescent="0.3">
      <c r="B21">
        <v>4511574160</v>
      </c>
      <c r="C21" t="s">
        <v>20</v>
      </c>
    </row>
    <row r="22" spans="2:3" x14ac:dyDescent="0.3">
      <c r="B22">
        <v>4511574160</v>
      </c>
      <c r="C22" t="s">
        <v>20</v>
      </c>
    </row>
    <row r="23" spans="2:3" x14ac:dyDescent="0.3">
      <c r="B23">
        <v>4511574115</v>
      </c>
      <c r="C23" t="s">
        <v>30</v>
      </c>
    </row>
    <row r="24" spans="2:3" x14ac:dyDescent="0.3">
      <c r="B24">
        <v>4511574115</v>
      </c>
      <c r="C24" t="s">
        <v>30</v>
      </c>
    </row>
    <row r="25" spans="2:3" x14ac:dyDescent="0.3">
      <c r="B25">
        <v>4511574098</v>
      </c>
      <c r="C25" t="s">
        <v>30</v>
      </c>
    </row>
    <row r="26" spans="2:3" x14ac:dyDescent="0.3">
      <c r="B26">
        <v>4511574098</v>
      </c>
      <c r="C26" t="s">
        <v>30</v>
      </c>
    </row>
    <row r="27" spans="2:3" x14ac:dyDescent="0.3">
      <c r="B27">
        <v>4511574098</v>
      </c>
      <c r="C27" t="s">
        <v>30</v>
      </c>
    </row>
    <row r="28" spans="2:3" x14ac:dyDescent="0.3">
      <c r="B28">
        <v>4511574026</v>
      </c>
      <c r="C28" t="s">
        <v>30</v>
      </c>
    </row>
    <row r="29" spans="2:3" x14ac:dyDescent="0.3">
      <c r="B29">
        <v>4511573966</v>
      </c>
      <c r="C29" t="s">
        <v>37</v>
      </c>
    </row>
    <row r="30" spans="2:3" x14ac:dyDescent="0.3">
      <c r="B30">
        <v>4511573948</v>
      </c>
      <c r="C30" t="s">
        <v>37</v>
      </c>
    </row>
    <row r="31" spans="2:3" x14ac:dyDescent="0.3">
      <c r="B31">
        <v>4511573948</v>
      </c>
      <c r="C31" t="s">
        <v>37</v>
      </c>
    </row>
    <row r="32" spans="2:3" x14ac:dyDescent="0.3">
      <c r="B32">
        <v>4511573948</v>
      </c>
      <c r="C32" t="s">
        <v>37</v>
      </c>
    </row>
    <row r="33" spans="2:3" x14ac:dyDescent="0.3">
      <c r="B33">
        <v>4511573948</v>
      </c>
      <c r="C33" t="s">
        <v>37</v>
      </c>
    </row>
    <row r="34" spans="2:3" x14ac:dyDescent="0.3">
      <c r="B34">
        <v>4511573948</v>
      </c>
      <c r="C34" t="s">
        <v>37</v>
      </c>
    </row>
    <row r="35" spans="2:3" x14ac:dyDescent="0.3">
      <c r="B35">
        <v>4511573948</v>
      </c>
      <c r="C35" t="s">
        <v>37</v>
      </c>
    </row>
    <row r="36" spans="2:3" x14ac:dyDescent="0.3">
      <c r="B36">
        <v>4511573948</v>
      </c>
      <c r="C36" t="s">
        <v>37</v>
      </c>
    </row>
    <row r="37" spans="2:3" x14ac:dyDescent="0.3">
      <c r="B37">
        <v>4511573937</v>
      </c>
      <c r="C37" t="s">
        <v>37</v>
      </c>
    </row>
    <row r="38" spans="2:3" x14ac:dyDescent="0.3">
      <c r="B38">
        <v>4511573937</v>
      </c>
      <c r="C38" t="s">
        <v>37</v>
      </c>
    </row>
    <row r="39" spans="2:3" x14ac:dyDescent="0.3">
      <c r="B39">
        <v>4511573937</v>
      </c>
      <c r="C39" t="s">
        <v>37</v>
      </c>
    </row>
    <row r="40" spans="2:3" x14ac:dyDescent="0.3">
      <c r="B40">
        <v>4511573918</v>
      </c>
      <c r="C40" t="s">
        <v>20</v>
      </c>
    </row>
    <row r="41" spans="2:3" x14ac:dyDescent="0.3">
      <c r="B41">
        <v>4511573918</v>
      </c>
      <c r="C41" t="s">
        <v>20</v>
      </c>
    </row>
    <row r="42" spans="2:3" x14ac:dyDescent="0.3">
      <c r="B42">
        <v>4511573914</v>
      </c>
      <c r="C42" t="s">
        <v>20</v>
      </c>
    </row>
    <row r="43" spans="2:3" x14ac:dyDescent="0.3">
      <c r="B43">
        <v>4511573914</v>
      </c>
      <c r="C43" t="s">
        <v>20</v>
      </c>
    </row>
    <row r="44" spans="2:3" x14ac:dyDescent="0.3">
      <c r="B44">
        <v>4511573914</v>
      </c>
      <c r="C44" t="s">
        <v>20</v>
      </c>
    </row>
    <row r="45" spans="2:3" x14ac:dyDescent="0.3">
      <c r="B45">
        <v>4511573913</v>
      </c>
      <c r="C45" t="s">
        <v>20</v>
      </c>
    </row>
    <row r="46" spans="2:3" x14ac:dyDescent="0.3">
      <c r="B46">
        <v>4511573913</v>
      </c>
      <c r="C46" t="s">
        <v>20</v>
      </c>
    </row>
    <row r="47" spans="2:3" x14ac:dyDescent="0.3">
      <c r="B47">
        <v>4511573910</v>
      </c>
      <c r="C47" t="s">
        <v>20</v>
      </c>
    </row>
    <row r="48" spans="2:3" x14ac:dyDescent="0.3">
      <c r="B48">
        <v>4511573910</v>
      </c>
      <c r="C48" t="s">
        <v>20</v>
      </c>
    </row>
    <row r="49" spans="2:3" x14ac:dyDescent="0.3">
      <c r="B49">
        <v>4511573910</v>
      </c>
      <c r="C49" t="s">
        <v>20</v>
      </c>
    </row>
    <row r="50" spans="2:3" x14ac:dyDescent="0.3">
      <c r="B50">
        <v>4511573901</v>
      </c>
      <c r="C50" t="s">
        <v>20</v>
      </c>
    </row>
    <row r="51" spans="2:3" x14ac:dyDescent="0.3">
      <c r="B51">
        <v>4511573901</v>
      </c>
      <c r="C51" t="s">
        <v>20</v>
      </c>
    </row>
    <row r="52" spans="2:3" x14ac:dyDescent="0.3">
      <c r="B52">
        <v>4511573901</v>
      </c>
      <c r="C52" t="s">
        <v>20</v>
      </c>
    </row>
    <row r="53" spans="2:3" x14ac:dyDescent="0.3">
      <c r="B53">
        <v>4511573901</v>
      </c>
      <c r="C53" t="s">
        <v>20</v>
      </c>
    </row>
    <row r="54" spans="2:3" x14ac:dyDescent="0.3">
      <c r="B54">
        <v>4511573901</v>
      </c>
      <c r="C54" t="s">
        <v>20</v>
      </c>
    </row>
    <row r="55" spans="2:3" x14ac:dyDescent="0.3">
      <c r="B55">
        <v>4511573901</v>
      </c>
      <c r="C55" t="s">
        <v>20</v>
      </c>
    </row>
    <row r="56" spans="2:3" x14ac:dyDescent="0.3">
      <c r="B56">
        <v>4511573901</v>
      </c>
      <c r="C56" t="s">
        <v>20</v>
      </c>
    </row>
    <row r="57" spans="2:3" x14ac:dyDescent="0.3">
      <c r="B57">
        <v>4511573901</v>
      </c>
      <c r="C57" t="s">
        <v>20</v>
      </c>
    </row>
    <row r="58" spans="2:3" x14ac:dyDescent="0.3">
      <c r="B58">
        <v>4511573901</v>
      </c>
      <c r="C58" t="s">
        <v>20</v>
      </c>
    </row>
    <row r="59" spans="2:3" x14ac:dyDescent="0.3">
      <c r="B59">
        <v>4511573901</v>
      </c>
      <c r="C59" t="s">
        <v>20</v>
      </c>
    </row>
    <row r="60" spans="2:3" x14ac:dyDescent="0.3">
      <c r="B60">
        <v>4511573901</v>
      </c>
      <c r="C60" t="s">
        <v>20</v>
      </c>
    </row>
    <row r="61" spans="2:3" x14ac:dyDescent="0.3">
      <c r="B61">
        <v>4511573901</v>
      </c>
      <c r="C61" t="s">
        <v>20</v>
      </c>
    </row>
    <row r="62" spans="2:3" x14ac:dyDescent="0.3">
      <c r="B62">
        <v>4511573901</v>
      </c>
      <c r="C62" t="s">
        <v>20</v>
      </c>
    </row>
    <row r="63" spans="2:3" x14ac:dyDescent="0.3">
      <c r="B63">
        <v>4511573901</v>
      </c>
      <c r="C63" t="s">
        <v>20</v>
      </c>
    </row>
    <row r="64" spans="2:3" x14ac:dyDescent="0.3">
      <c r="B64">
        <v>4511573901</v>
      </c>
      <c r="C64" t="s">
        <v>20</v>
      </c>
    </row>
    <row r="65" spans="2:3" x14ac:dyDescent="0.3">
      <c r="B65">
        <v>4511573901</v>
      </c>
      <c r="C65" t="s">
        <v>20</v>
      </c>
    </row>
    <row r="66" spans="2:3" x14ac:dyDescent="0.3">
      <c r="B66">
        <v>4511573901</v>
      </c>
      <c r="C66" t="s">
        <v>20</v>
      </c>
    </row>
    <row r="67" spans="2:3" x14ac:dyDescent="0.3">
      <c r="B67">
        <v>4511573901</v>
      </c>
      <c r="C67" t="s">
        <v>20</v>
      </c>
    </row>
    <row r="68" spans="2:3" x14ac:dyDescent="0.3">
      <c r="B68">
        <v>4511573901</v>
      </c>
      <c r="C68" t="s">
        <v>20</v>
      </c>
    </row>
    <row r="69" spans="2:3" x14ac:dyDescent="0.3">
      <c r="B69">
        <v>4511573901</v>
      </c>
      <c r="C69" t="s">
        <v>20</v>
      </c>
    </row>
    <row r="70" spans="2:3" x14ac:dyDescent="0.3">
      <c r="B70">
        <v>4511573901</v>
      </c>
      <c r="C70" t="s">
        <v>20</v>
      </c>
    </row>
    <row r="71" spans="2:3" x14ac:dyDescent="0.3">
      <c r="B71">
        <v>4511573901</v>
      </c>
      <c r="C71" t="s">
        <v>20</v>
      </c>
    </row>
    <row r="72" spans="2:3" x14ac:dyDescent="0.3">
      <c r="B72">
        <v>4511573901</v>
      </c>
      <c r="C72" t="s">
        <v>20</v>
      </c>
    </row>
    <row r="73" spans="2:3" x14ac:dyDescent="0.3">
      <c r="B73">
        <v>4511573897</v>
      </c>
      <c r="C73" t="s">
        <v>20</v>
      </c>
    </row>
    <row r="74" spans="2:3" x14ac:dyDescent="0.3">
      <c r="B74">
        <v>4511573897</v>
      </c>
      <c r="C74" t="s">
        <v>20</v>
      </c>
    </row>
    <row r="75" spans="2:3" x14ac:dyDescent="0.3">
      <c r="B75">
        <v>4511573897</v>
      </c>
      <c r="C75" t="s">
        <v>20</v>
      </c>
    </row>
    <row r="76" spans="2:3" x14ac:dyDescent="0.3">
      <c r="B76">
        <v>4511573897</v>
      </c>
      <c r="C76" t="s">
        <v>20</v>
      </c>
    </row>
    <row r="77" spans="2:3" x14ac:dyDescent="0.3">
      <c r="B77">
        <v>4511573897</v>
      </c>
      <c r="C77" t="s">
        <v>20</v>
      </c>
    </row>
    <row r="78" spans="2:3" x14ac:dyDescent="0.3">
      <c r="B78">
        <v>4511573897</v>
      </c>
      <c r="C78" t="s">
        <v>20</v>
      </c>
    </row>
    <row r="79" spans="2:3" x14ac:dyDescent="0.3">
      <c r="B79">
        <v>4511573897</v>
      </c>
      <c r="C79" t="s">
        <v>20</v>
      </c>
    </row>
    <row r="80" spans="2:3" x14ac:dyDescent="0.3">
      <c r="B80">
        <v>4511573886</v>
      </c>
      <c r="C80" t="s">
        <v>20</v>
      </c>
    </row>
    <row r="81" spans="2:3" x14ac:dyDescent="0.3">
      <c r="B81">
        <v>4511573886</v>
      </c>
      <c r="C81" t="s">
        <v>20</v>
      </c>
    </row>
    <row r="82" spans="2:3" x14ac:dyDescent="0.3">
      <c r="B82">
        <v>4511573884</v>
      </c>
      <c r="C82" t="s">
        <v>20</v>
      </c>
    </row>
    <row r="83" spans="2:3" x14ac:dyDescent="0.3">
      <c r="B83">
        <v>4511573884</v>
      </c>
      <c r="C83" t="s">
        <v>20</v>
      </c>
    </row>
    <row r="84" spans="2:3" x14ac:dyDescent="0.3">
      <c r="B84">
        <v>4511573884</v>
      </c>
      <c r="C84" t="s">
        <v>20</v>
      </c>
    </row>
    <row r="85" spans="2:3" x14ac:dyDescent="0.3">
      <c r="B85">
        <v>4511573884</v>
      </c>
      <c r="C85" t="s">
        <v>20</v>
      </c>
    </row>
    <row r="86" spans="2:3" x14ac:dyDescent="0.3">
      <c r="B86">
        <v>4511573884</v>
      </c>
      <c r="C86" t="s">
        <v>20</v>
      </c>
    </row>
    <row r="87" spans="2:3" x14ac:dyDescent="0.3">
      <c r="B87">
        <v>4511573884</v>
      </c>
      <c r="C87" t="s">
        <v>20</v>
      </c>
    </row>
    <row r="88" spans="2:3" x14ac:dyDescent="0.3">
      <c r="B88">
        <v>4511573884</v>
      </c>
      <c r="C88" t="s">
        <v>20</v>
      </c>
    </row>
    <row r="89" spans="2:3" x14ac:dyDescent="0.3">
      <c r="B89">
        <v>4511573884</v>
      </c>
      <c r="C89" t="s">
        <v>20</v>
      </c>
    </row>
    <row r="90" spans="2:3" x14ac:dyDescent="0.3">
      <c r="B90">
        <v>4511573884</v>
      </c>
      <c r="C90" t="s">
        <v>20</v>
      </c>
    </row>
    <row r="91" spans="2:3" x14ac:dyDescent="0.3">
      <c r="B91">
        <v>4511573884</v>
      </c>
      <c r="C91" t="s">
        <v>20</v>
      </c>
    </row>
    <row r="92" spans="2:3" x14ac:dyDescent="0.3">
      <c r="B92">
        <v>4511573884</v>
      </c>
      <c r="C92" t="s">
        <v>20</v>
      </c>
    </row>
    <row r="93" spans="2:3" x14ac:dyDescent="0.3">
      <c r="B93">
        <v>4511573884</v>
      </c>
      <c r="C93" t="s">
        <v>20</v>
      </c>
    </row>
    <row r="94" spans="2:3" x14ac:dyDescent="0.3">
      <c r="B94">
        <v>4511573884</v>
      </c>
      <c r="C94" t="s">
        <v>20</v>
      </c>
    </row>
    <row r="95" spans="2:3" x14ac:dyDescent="0.3">
      <c r="B95">
        <v>4511573877</v>
      </c>
      <c r="C95" t="s">
        <v>20</v>
      </c>
    </row>
    <row r="96" spans="2:3" x14ac:dyDescent="0.3">
      <c r="B96">
        <v>4511573877</v>
      </c>
      <c r="C96" t="s">
        <v>20</v>
      </c>
    </row>
    <row r="97" spans="2:3" x14ac:dyDescent="0.3">
      <c r="B97">
        <v>4511573877</v>
      </c>
      <c r="C97" t="s">
        <v>20</v>
      </c>
    </row>
    <row r="98" spans="2:3" x14ac:dyDescent="0.3">
      <c r="B98">
        <v>4511573877</v>
      </c>
      <c r="C98" t="s">
        <v>20</v>
      </c>
    </row>
    <row r="99" spans="2:3" x14ac:dyDescent="0.3">
      <c r="B99">
        <v>4511573877</v>
      </c>
      <c r="C99" t="s">
        <v>20</v>
      </c>
    </row>
    <row r="100" spans="2:3" x14ac:dyDescent="0.3">
      <c r="B100">
        <v>4511573877</v>
      </c>
      <c r="C100" t="s">
        <v>20</v>
      </c>
    </row>
    <row r="101" spans="2:3" x14ac:dyDescent="0.3">
      <c r="B101">
        <v>4511573877</v>
      </c>
      <c r="C101" t="s">
        <v>20</v>
      </c>
    </row>
    <row r="102" spans="2:3" x14ac:dyDescent="0.3">
      <c r="B102">
        <v>4511573877</v>
      </c>
      <c r="C102" t="s">
        <v>20</v>
      </c>
    </row>
    <row r="103" spans="2:3" x14ac:dyDescent="0.3">
      <c r="B103">
        <v>4511573877</v>
      </c>
      <c r="C103" t="s">
        <v>20</v>
      </c>
    </row>
    <row r="104" spans="2:3" x14ac:dyDescent="0.3">
      <c r="B104">
        <v>4511573877</v>
      </c>
      <c r="C104" t="s">
        <v>20</v>
      </c>
    </row>
    <row r="105" spans="2:3" x14ac:dyDescent="0.3">
      <c r="B105">
        <v>4511573877</v>
      </c>
      <c r="C105" t="s">
        <v>20</v>
      </c>
    </row>
    <row r="106" spans="2:3" x14ac:dyDescent="0.3">
      <c r="B106">
        <v>4511573877</v>
      </c>
      <c r="C106" t="s">
        <v>20</v>
      </c>
    </row>
    <row r="107" spans="2:3" x14ac:dyDescent="0.3">
      <c r="B107">
        <v>4511573877</v>
      </c>
      <c r="C107" t="s">
        <v>20</v>
      </c>
    </row>
    <row r="108" spans="2:3" x14ac:dyDescent="0.3">
      <c r="B108">
        <v>4511573877</v>
      </c>
      <c r="C108" t="s">
        <v>20</v>
      </c>
    </row>
    <row r="109" spans="2:3" x14ac:dyDescent="0.3">
      <c r="B109">
        <v>4511573877</v>
      </c>
      <c r="C109" t="s">
        <v>20</v>
      </c>
    </row>
    <row r="110" spans="2:3" x14ac:dyDescent="0.3">
      <c r="B110">
        <v>4511573877</v>
      </c>
      <c r="C110" t="s">
        <v>20</v>
      </c>
    </row>
    <row r="111" spans="2:3" x14ac:dyDescent="0.3">
      <c r="B111">
        <v>4511573877</v>
      </c>
      <c r="C111" t="s">
        <v>20</v>
      </c>
    </row>
    <row r="112" spans="2:3" x14ac:dyDescent="0.3">
      <c r="B112">
        <v>4511573877</v>
      </c>
      <c r="C112" t="s">
        <v>20</v>
      </c>
    </row>
    <row r="113" spans="2:3" x14ac:dyDescent="0.3">
      <c r="B113">
        <v>4511573877</v>
      </c>
      <c r="C113" t="s">
        <v>20</v>
      </c>
    </row>
    <row r="114" spans="2:3" x14ac:dyDescent="0.3">
      <c r="B114">
        <v>4511573877</v>
      </c>
      <c r="C114" t="s">
        <v>20</v>
      </c>
    </row>
    <row r="115" spans="2:3" x14ac:dyDescent="0.3">
      <c r="B115">
        <v>4511573877</v>
      </c>
      <c r="C115" t="s">
        <v>20</v>
      </c>
    </row>
    <row r="116" spans="2:3" x14ac:dyDescent="0.3">
      <c r="B116">
        <v>4511573877</v>
      </c>
      <c r="C116" t="s">
        <v>20</v>
      </c>
    </row>
    <row r="117" spans="2:3" x14ac:dyDescent="0.3">
      <c r="B117">
        <v>4511573873</v>
      </c>
      <c r="C117" t="s">
        <v>37</v>
      </c>
    </row>
    <row r="118" spans="2:3" x14ac:dyDescent="0.3">
      <c r="B118">
        <v>4511573873</v>
      </c>
      <c r="C118" t="s">
        <v>37</v>
      </c>
    </row>
    <row r="119" spans="2:3" x14ac:dyDescent="0.3">
      <c r="B119">
        <v>4511573858</v>
      </c>
      <c r="C119" t="s">
        <v>20</v>
      </c>
    </row>
    <row r="120" spans="2:3" x14ac:dyDescent="0.3">
      <c r="B120">
        <v>4511573858</v>
      </c>
      <c r="C120" t="s">
        <v>20</v>
      </c>
    </row>
    <row r="121" spans="2:3" x14ac:dyDescent="0.3">
      <c r="B121">
        <v>4511573858</v>
      </c>
      <c r="C121" t="s">
        <v>20</v>
      </c>
    </row>
    <row r="122" spans="2:3" x14ac:dyDescent="0.3">
      <c r="B122">
        <v>4511573843</v>
      </c>
      <c r="C122" t="s">
        <v>30</v>
      </c>
    </row>
    <row r="123" spans="2:3" x14ac:dyDescent="0.3">
      <c r="B123">
        <v>4511573820</v>
      </c>
      <c r="C123" t="s">
        <v>20</v>
      </c>
    </row>
    <row r="124" spans="2:3" x14ac:dyDescent="0.3">
      <c r="B124">
        <v>4511573820</v>
      </c>
      <c r="C124" t="s">
        <v>20</v>
      </c>
    </row>
    <row r="125" spans="2:3" x14ac:dyDescent="0.3">
      <c r="B125">
        <v>4511573820</v>
      </c>
      <c r="C125" t="s">
        <v>20</v>
      </c>
    </row>
    <row r="126" spans="2:3" x14ac:dyDescent="0.3">
      <c r="B126">
        <v>4511573820</v>
      </c>
      <c r="C126" t="s">
        <v>20</v>
      </c>
    </row>
    <row r="127" spans="2:3" x14ac:dyDescent="0.3">
      <c r="B127">
        <v>4511573820</v>
      </c>
      <c r="C127" t="s">
        <v>20</v>
      </c>
    </row>
    <row r="128" spans="2:3" x14ac:dyDescent="0.3">
      <c r="B128">
        <v>4511573809</v>
      </c>
      <c r="C128" t="s">
        <v>1230</v>
      </c>
    </row>
    <row r="129" spans="2:3" x14ac:dyDescent="0.3">
      <c r="B129">
        <v>4511573809</v>
      </c>
      <c r="C129" t="s">
        <v>1230</v>
      </c>
    </row>
    <row r="130" spans="2:3" x14ac:dyDescent="0.3">
      <c r="B130">
        <v>4511573809</v>
      </c>
      <c r="C130" t="s">
        <v>1230</v>
      </c>
    </row>
    <row r="131" spans="2:3" x14ac:dyDescent="0.3">
      <c r="B131">
        <v>4511573800</v>
      </c>
      <c r="C131" t="s">
        <v>30</v>
      </c>
    </row>
    <row r="132" spans="2:3" x14ac:dyDescent="0.3">
      <c r="B132">
        <v>4511573800</v>
      </c>
      <c r="C132" t="s">
        <v>30</v>
      </c>
    </row>
    <row r="133" spans="2:3" x14ac:dyDescent="0.3">
      <c r="B133">
        <v>4511573800</v>
      </c>
      <c r="C133" t="s">
        <v>30</v>
      </c>
    </row>
    <row r="134" spans="2:3" x14ac:dyDescent="0.3">
      <c r="B134">
        <v>4511573800</v>
      </c>
      <c r="C134" t="s">
        <v>30</v>
      </c>
    </row>
    <row r="135" spans="2:3" x14ac:dyDescent="0.3">
      <c r="B135">
        <v>4511573800</v>
      </c>
      <c r="C135" t="s">
        <v>30</v>
      </c>
    </row>
    <row r="136" spans="2:3" x14ac:dyDescent="0.3">
      <c r="B136">
        <v>4511573800</v>
      </c>
      <c r="C136" t="s">
        <v>30</v>
      </c>
    </row>
    <row r="137" spans="2:3" x14ac:dyDescent="0.3">
      <c r="B137">
        <v>4511573800</v>
      </c>
      <c r="C137" t="s">
        <v>30</v>
      </c>
    </row>
    <row r="138" spans="2:3" x14ac:dyDescent="0.3">
      <c r="B138">
        <v>4511573798</v>
      </c>
      <c r="C138" t="s">
        <v>30</v>
      </c>
    </row>
    <row r="139" spans="2:3" x14ac:dyDescent="0.3">
      <c r="B139">
        <v>4511573798</v>
      </c>
      <c r="C139" t="s">
        <v>30</v>
      </c>
    </row>
    <row r="140" spans="2:3" x14ac:dyDescent="0.3">
      <c r="B140">
        <v>4511573798</v>
      </c>
      <c r="C140" t="s">
        <v>30</v>
      </c>
    </row>
    <row r="141" spans="2:3" x14ac:dyDescent="0.3">
      <c r="B141">
        <v>4511573798</v>
      </c>
      <c r="C141" t="s">
        <v>30</v>
      </c>
    </row>
    <row r="142" spans="2:3" x14ac:dyDescent="0.3">
      <c r="B142">
        <v>4511573798</v>
      </c>
      <c r="C142" t="s">
        <v>30</v>
      </c>
    </row>
    <row r="143" spans="2:3" x14ac:dyDescent="0.3">
      <c r="B143">
        <v>4511573798</v>
      </c>
      <c r="C143" t="s">
        <v>30</v>
      </c>
    </row>
    <row r="144" spans="2:3" x14ac:dyDescent="0.3">
      <c r="B144">
        <v>4511573798</v>
      </c>
      <c r="C144" t="s">
        <v>30</v>
      </c>
    </row>
    <row r="145" spans="2:3" x14ac:dyDescent="0.3">
      <c r="B145">
        <v>4511573798</v>
      </c>
      <c r="C145" t="s">
        <v>30</v>
      </c>
    </row>
    <row r="146" spans="2:3" x14ac:dyDescent="0.3">
      <c r="B146">
        <v>4511573798</v>
      </c>
      <c r="C146" t="s">
        <v>30</v>
      </c>
    </row>
    <row r="147" spans="2:3" x14ac:dyDescent="0.3">
      <c r="B147">
        <v>4511573798</v>
      </c>
      <c r="C147" t="s">
        <v>30</v>
      </c>
    </row>
    <row r="148" spans="2:3" x14ac:dyDescent="0.3">
      <c r="B148">
        <v>4511573798</v>
      </c>
      <c r="C148" t="s">
        <v>30</v>
      </c>
    </row>
    <row r="149" spans="2:3" x14ac:dyDescent="0.3">
      <c r="B149">
        <v>4511573798</v>
      </c>
      <c r="C149" t="s">
        <v>30</v>
      </c>
    </row>
    <row r="150" spans="2:3" x14ac:dyDescent="0.3">
      <c r="B150">
        <v>4511573798</v>
      </c>
      <c r="C150" t="s">
        <v>30</v>
      </c>
    </row>
    <row r="151" spans="2:3" x14ac:dyDescent="0.3">
      <c r="B151">
        <v>4511573798</v>
      </c>
      <c r="C151" t="s">
        <v>30</v>
      </c>
    </row>
    <row r="152" spans="2:3" x14ac:dyDescent="0.3">
      <c r="B152">
        <v>4511573798</v>
      </c>
      <c r="C152" t="s">
        <v>30</v>
      </c>
    </row>
    <row r="153" spans="2:3" x14ac:dyDescent="0.3">
      <c r="B153">
        <v>4511573798</v>
      </c>
      <c r="C153" t="s">
        <v>30</v>
      </c>
    </row>
    <row r="154" spans="2:3" x14ac:dyDescent="0.3">
      <c r="B154">
        <v>4511573798</v>
      </c>
      <c r="C154" t="s">
        <v>30</v>
      </c>
    </row>
    <row r="155" spans="2:3" x14ac:dyDescent="0.3">
      <c r="B155">
        <v>4511573798</v>
      </c>
      <c r="C155" t="s">
        <v>30</v>
      </c>
    </row>
    <row r="156" spans="2:3" x14ac:dyDescent="0.3">
      <c r="B156">
        <v>4511573798</v>
      </c>
      <c r="C156" t="s">
        <v>30</v>
      </c>
    </row>
    <row r="157" spans="2:3" x14ac:dyDescent="0.3">
      <c r="B157">
        <v>4511573798</v>
      </c>
      <c r="C157" t="s">
        <v>30</v>
      </c>
    </row>
    <row r="158" spans="2:3" x14ac:dyDescent="0.3">
      <c r="B158">
        <v>4511573798</v>
      </c>
      <c r="C158" t="s">
        <v>30</v>
      </c>
    </row>
    <row r="159" spans="2:3" x14ac:dyDescent="0.3">
      <c r="B159">
        <v>4511573798</v>
      </c>
      <c r="C159" t="s">
        <v>30</v>
      </c>
    </row>
    <row r="160" spans="2:3" x14ac:dyDescent="0.3">
      <c r="B160">
        <v>4511573798</v>
      </c>
      <c r="C160" t="s">
        <v>30</v>
      </c>
    </row>
    <row r="161" spans="2:3" x14ac:dyDescent="0.3">
      <c r="B161">
        <v>4511573798</v>
      </c>
      <c r="C161" t="s">
        <v>30</v>
      </c>
    </row>
    <row r="162" spans="2:3" x14ac:dyDescent="0.3">
      <c r="B162">
        <v>4511573798</v>
      </c>
      <c r="C162" t="s">
        <v>30</v>
      </c>
    </row>
    <row r="163" spans="2:3" x14ac:dyDescent="0.3">
      <c r="B163">
        <v>4511573798</v>
      </c>
      <c r="C163" t="s">
        <v>30</v>
      </c>
    </row>
    <row r="164" spans="2:3" x14ac:dyDescent="0.3">
      <c r="B164">
        <v>4511573798</v>
      </c>
      <c r="C164" t="s">
        <v>30</v>
      </c>
    </row>
    <row r="165" spans="2:3" x14ac:dyDescent="0.3">
      <c r="B165">
        <v>4511573798</v>
      </c>
      <c r="C165" t="s">
        <v>30</v>
      </c>
    </row>
    <row r="166" spans="2:3" x14ac:dyDescent="0.3">
      <c r="B166">
        <v>4511573798</v>
      </c>
      <c r="C166" t="s">
        <v>30</v>
      </c>
    </row>
    <row r="167" spans="2:3" x14ac:dyDescent="0.3">
      <c r="B167">
        <v>4511573798</v>
      </c>
      <c r="C167" t="s">
        <v>30</v>
      </c>
    </row>
    <row r="168" spans="2:3" x14ac:dyDescent="0.3">
      <c r="B168">
        <v>4511573798</v>
      </c>
      <c r="C168" t="s">
        <v>30</v>
      </c>
    </row>
    <row r="169" spans="2:3" x14ac:dyDescent="0.3">
      <c r="B169">
        <v>4511573797</v>
      </c>
      <c r="C169" t="s">
        <v>30</v>
      </c>
    </row>
    <row r="170" spans="2:3" x14ac:dyDescent="0.3">
      <c r="B170">
        <v>4511573797</v>
      </c>
      <c r="C170" t="s">
        <v>30</v>
      </c>
    </row>
    <row r="171" spans="2:3" x14ac:dyDescent="0.3">
      <c r="B171">
        <v>4511573797</v>
      </c>
      <c r="C171" t="s">
        <v>30</v>
      </c>
    </row>
    <row r="172" spans="2:3" x14ac:dyDescent="0.3">
      <c r="B172">
        <v>4511573797</v>
      </c>
      <c r="C172" t="s">
        <v>30</v>
      </c>
    </row>
    <row r="173" spans="2:3" x14ac:dyDescent="0.3">
      <c r="B173">
        <v>4511573797</v>
      </c>
      <c r="C173" t="s">
        <v>30</v>
      </c>
    </row>
    <row r="174" spans="2:3" x14ac:dyDescent="0.3">
      <c r="B174">
        <v>4511573794</v>
      </c>
      <c r="C174" t="s">
        <v>30</v>
      </c>
    </row>
    <row r="175" spans="2:3" x14ac:dyDescent="0.3">
      <c r="B175">
        <v>4511573794</v>
      </c>
      <c r="C175" t="s">
        <v>30</v>
      </c>
    </row>
    <row r="176" spans="2:3" x14ac:dyDescent="0.3">
      <c r="B176">
        <v>4511573794</v>
      </c>
      <c r="C176" t="s">
        <v>30</v>
      </c>
    </row>
    <row r="177" spans="2:3" x14ac:dyDescent="0.3">
      <c r="B177">
        <v>4511573794</v>
      </c>
      <c r="C177" t="s">
        <v>30</v>
      </c>
    </row>
    <row r="178" spans="2:3" x14ac:dyDescent="0.3">
      <c r="B178">
        <v>4511573794</v>
      </c>
      <c r="C178" t="s">
        <v>30</v>
      </c>
    </row>
    <row r="179" spans="2:3" x14ac:dyDescent="0.3">
      <c r="B179">
        <v>4511573794</v>
      </c>
      <c r="C179" t="s">
        <v>30</v>
      </c>
    </row>
    <row r="180" spans="2:3" x14ac:dyDescent="0.3">
      <c r="B180">
        <v>4511573794</v>
      </c>
      <c r="C180" t="s">
        <v>30</v>
      </c>
    </row>
    <row r="181" spans="2:3" x14ac:dyDescent="0.3">
      <c r="B181">
        <v>4511573794</v>
      </c>
      <c r="C181" t="s">
        <v>30</v>
      </c>
    </row>
    <row r="182" spans="2:3" x14ac:dyDescent="0.3">
      <c r="B182">
        <v>4511573794</v>
      </c>
      <c r="C182" t="s">
        <v>30</v>
      </c>
    </row>
    <row r="183" spans="2:3" x14ac:dyDescent="0.3">
      <c r="B183">
        <v>4511573785</v>
      </c>
      <c r="C183" t="s">
        <v>20</v>
      </c>
    </row>
    <row r="184" spans="2:3" x14ac:dyDescent="0.3">
      <c r="B184">
        <v>4511573785</v>
      </c>
      <c r="C184" t="s">
        <v>20</v>
      </c>
    </row>
    <row r="185" spans="2:3" x14ac:dyDescent="0.3">
      <c r="B185">
        <v>4511573782</v>
      </c>
      <c r="C185" t="s">
        <v>20</v>
      </c>
    </row>
    <row r="186" spans="2:3" x14ac:dyDescent="0.3">
      <c r="B186">
        <v>4511573770</v>
      </c>
      <c r="C186" t="s">
        <v>20</v>
      </c>
    </row>
    <row r="187" spans="2:3" x14ac:dyDescent="0.3">
      <c r="B187">
        <v>4511573770</v>
      </c>
      <c r="C187" t="s">
        <v>20</v>
      </c>
    </row>
    <row r="188" spans="2:3" x14ac:dyDescent="0.3">
      <c r="B188">
        <v>4511573770</v>
      </c>
      <c r="C188" t="s">
        <v>20</v>
      </c>
    </row>
    <row r="189" spans="2:3" x14ac:dyDescent="0.3">
      <c r="B189">
        <v>4511573770</v>
      </c>
      <c r="C189" t="s">
        <v>20</v>
      </c>
    </row>
    <row r="190" spans="2:3" x14ac:dyDescent="0.3">
      <c r="B190">
        <v>4511573770</v>
      </c>
      <c r="C190" t="s">
        <v>20</v>
      </c>
    </row>
    <row r="191" spans="2:3" x14ac:dyDescent="0.3">
      <c r="B191">
        <v>4511573770</v>
      </c>
      <c r="C191" t="s">
        <v>20</v>
      </c>
    </row>
    <row r="192" spans="2:3" x14ac:dyDescent="0.3">
      <c r="B192">
        <v>4511573770</v>
      </c>
      <c r="C192" t="s">
        <v>20</v>
      </c>
    </row>
    <row r="193" spans="2:3" x14ac:dyDescent="0.3">
      <c r="B193">
        <v>4511573765</v>
      </c>
      <c r="C193" t="s">
        <v>20</v>
      </c>
    </row>
    <row r="194" spans="2:3" x14ac:dyDescent="0.3">
      <c r="B194">
        <v>4511573761</v>
      </c>
      <c r="C194" t="s">
        <v>20</v>
      </c>
    </row>
    <row r="195" spans="2:3" x14ac:dyDescent="0.3">
      <c r="B195">
        <v>4511573761</v>
      </c>
      <c r="C195" t="s">
        <v>20</v>
      </c>
    </row>
    <row r="196" spans="2:3" x14ac:dyDescent="0.3">
      <c r="B196">
        <v>4511573761</v>
      </c>
      <c r="C196" t="s">
        <v>20</v>
      </c>
    </row>
    <row r="197" spans="2:3" x14ac:dyDescent="0.3">
      <c r="B197">
        <v>4511573761</v>
      </c>
      <c r="C197" t="s">
        <v>20</v>
      </c>
    </row>
    <row r="198" spans="2:3" x14ac:dyDescent="0.3">
      <c r="B198">
        <v>4511573761</v>
      </c>
      <c r="C198" t="s">
        <v>20</v>
      </c>
    </row>
    <row r="199" spans="2:3" x14ac:dyDescent="0.3">
      <c r="B199">
        <v>4511573761</v>
      </c>
      <c r="C199" t="s">
        <v>20</v>
      </c>
    </row>
    <row r="200" spans="2:3" x14ac:dyDescent="0.3">
      <c r="B200">
        <v>4511573761</v>
      </c>
      <c r="C200" t="s">
        <v>20</v>
      </c>
    </row>
    <row r="201" spans="2:3" x14ac:dyDescent="0.3">
      <c r="B201">
        <v>4511573761</v>
      </c>
      <c r="C201" t="s">
        <v>20</v>
      </c>
    </row>
    <row r="202" spans="2:3" x14ac:dyDescent="0.3">
      <c r="B202">
        <v>4511573761</v>
      </c>
      <c r="C202" t="s">
        <v>20</v>
      </c>
    </row>
    <row r="203" spans="2:3" x14ac:dyDescent="0.3">
      <c r="B203">
        <v>4511573761</v>
      </c>
      <c r="C203" t="s">
        <v>20</v>
      </c>
    </row>
    <row r="204" spans="2:3" x14ac:dyDescent="0.3">
      <c r="B204">
        <v>4511573761</v>
      </c>
      <c r="C204" t="s">
        <v>20</v>
      </c>
    </row>
    <row r="205" spans="2:3" x14ac:dyDescent="0.3">
      <c r="B205">
        <v>4511573761</v>
      </c>
      <c r="C205" t="s">
        <v>20</v>
      </c>
    </row>
    <row r="206" spans="2:3" x14ac:dyDescent="0.3">
      <c r="B206">
        <v>4511573761</v>
      </c>
      <c r="C206" t="s">
        <v>20</v>
      </c>
    </row>
    <row r="207" spans="2:3" x14ac:dyDescent="0.3">
      <c r="B207">
        <v>4511573761</v>
      </c>
      <c r="C207" t="s">
        <v>20</v>
      </c>
    </row>
    <row r="208" spans="2:3" x14ac:dyDescent="0.3">
      <c r="B208">
        <v>4511573761</v>
      </c>
      <c r="C208" t="s">
        <v>20</v>
      </c>
    </row>
    <row r="209" spans="2:3" x14ac:dyDescent="0.3">
      <c r="B209">
        <v>4511573761</v>
      </c>
      <c r="C209" t="s">
        <v>20</v>
      </c>
    </row>
    <row r="210" spans="2:3" x14ac:dyDescent="0.3">
      <c r="B210">
        <v>4511573761</v>
      </c>
      <c r="C210" t="s">
        <v>20</v>
      </c>
    </row>
    <row r="211" spans="2:3" x14ac:dyDescent="0.3">
      <c r="B211">
        <v>4511573761</v>
      </c>
      <c r="C211" t="s">
        <v>20</v>
      </c>
    </row>
    <row r="212" spans="2:3" x14ac:dyDescent="0.3">
      <c r="B212">
        <v>4511573761</v>
      </c>
      <c r="C212" t="s">
        <v>20</v>
      </c>
    </row>
    <row r="213" spans="2:3" x14ac:dyDescent="0.3">
      <c r="B213">
        <v>4511573761</v>
      </c>
      <c r="C213" t="s">
        <v>20</v>
      </c>
    </row>
    <row r="214" spans="2:3" x14ac:dyDescent="0.3">
      <c r="B214">
        <v>4511573756</v>
      </c>
      <c r="C214" t="s">
        <v>20</v>
      </c>
    </row>
    <row r="215" spans="2:3" x14ac:dyDescent="0.3">
      <c r="B215">
        <v>4511573756</v>
      </c>
      <c r="C215" t="s">
        <v>20</v>
      </c>
    </row>
    <row r="216" spans="2:3" x14ac:dyDescent="0.3">
      <c r="B216">
        <v>4511573756</v>
      </c>
      <c r="C216" t="s">
        <v>20</v>
      </c>
    </row>
    <row r="217" spans="2:3" x14ac:dyDescent="0.3">
      <c r="B217">
        <v>4511573756</v>
      </c>
      <c r="C217" t="s">
        <v>20</v>
      </c>
    </row>
    <row r="218" spans="2:3" x14ac:dyDescent="0.3">
      <c r="B218">
        <v>4511573752</v>
      </c>
      <c r="C218" t="s">
        <v>20</v>
      </c>
    </row>
    <row r="219" spans="2:3" x14ac:dyDescent="0.3">
      <c r="B219">
        <v>4511573752</v>
      </c>
      <c r="C219" t="s">
        <v>20</v>
      </c>
    </row>
    <row r="220" spans="2:3" x14ac:dyDescent="0.3">
      <c r="B220">
        <v>4511573752</v>
      </c>
      <c r="C220" t="s">
        <v>20</v>
      </c>
    </row>
    <row r="221" spans="2:3" x14ac:dyDescent="0.3">
      <c r="B221">
        <v>4511573752</v>
      </c>
      <c r="C221" t="s">
        <v>20</v>
      </c>
    </row>
    <row r="222" spans="2:3" x14ac:dyDescent="0.3">
      <c r="B222">
        <v>4511573752</v>
      </c>
      <c r="C222" t="s">
        <v>20</v>
      </c>
    </row>
    <row r="223" spans="2:3" x14ac:dyDescent="0.3">
      <c r="B223">
        <v>4511573752</v>
      </c>
      <c r="C223" t="s">
        <v>20</v>
      </c>
    </row>
    <row r="224" spans="2:3" x14ac:dyDescent="0.3">
      <c r="B224">
        <v>4511573752</v>
      </c>
      <c r="C224" t="s">
        <v>20</v>
      </c>
    </row>
    <row r="225" spans="2:3" x14ac:dyDescent="0.3">
      <c r="B225">
        <v>4511573752</v>
      </c>
      <c r="C225" t="s">
        <v>20</v>
      </c>
    </row>
    <row r="226" spans="2:3" x14ac:dyDescent="0.3">
      <c r="B226">
        <v>4511573752</v>
      </c>
      <c r="C226" t="s">
        <v>20</v>
      </c>
    </row>
    <row r="227" spans="2:3" x14ac:dyDescent="0.3">
      <c r="B227">
        <v>4511573752</v>
      </c>
      <c r="C227" t="s">
        <v>20</v>
      </c>
    </row>
    <row r="228" spans="2:3" x14ac:dyDescent="0.3">
      <c r="B228">
        <v>4511573752</v>
      </c>
      <c r="C228" t="s">
        <v>20</v>
      </c>
    </row>
    <row r="229" spans="2:3" x14ac:dyDescent="0.3">
      <c r="B229">
        <v>4511573752</v>
      </c>
      <c r="C229" t="s">
        <v>20</v>
      </c>
    </row>
    <row r="230" spans="2:3" x14ac:dyDescent="0.3">
      <c r="B230">
        <v>4511573752</v>
      </c>
      <c r="C230" t="s">
        <v>20</v>
      </c>
    </row>
    <row r="231" spans="2:3" x14ac:dyDescent="0.3">
      <c r="B231">
        <v>4511573752</v>
      </c>
      <c r="C231" t="s">
        <v>20</v>
      </c>
    </row>
    <row r="232" spans="2:3" x14ac:dyDescent="0.3">
      <c r="B232">
        <v>4511573752</v>
      </c>
      <c r="C232" t="s">
        <v>20</v>
      </c>
    </row>
    <row r="233" spans="2:3" x14ac:dyDescent="0.3">
      <c r="B233">
        <v>4511573752</v>
      </c>
      <c r="C233" t="s">
        <v>20</v>
      </c>
    </row>
    <row r="234" spans="2:3" x14ac:dyDescent="0.3">
      <c r="B234">
        <v>4511573749</v>
      </c>
      <c r="C234" t="s">
        <v>20</v>
      </c>
    </row>
    <row r="235" spans="2:3" x14ac:dyDescent="0.3">
      <c r="B235">
        <v>4511573749</v>
      </c>
      <c r="C235" t="s">
        <v>20</v>
      </c>
    </row>
    <row r="236" spans="2:3" x14ac:dyDescent="0.3">
      <c r="B236">
        <v>4511573749</v>
      </c>
      <c r="C236" t="s">
        <v>20</v>
      </c>
    </row>
    <row r="237" spans="2:3" x14ac:dyDescent="0.3">
      <c r="B237">
        <v>4511573744</v>
      </c>
      <c r="C237" t="s">
        <v>20</v>
      </c>
    </row>
    <row r="238" spans="2:3" x14ac:dyDescent="0.3">
      <c r="B238">
        <v>4511573744</v>
      </c>
      <c r="C238" t="s">
        <v>20</v>
      </c>
    </row>
    <row r="239" spans="2:3" x14ac:dyDescent="0.3">
      <c r="B239">
        <v>4511573744</v>
      </c>
      <c r="C239" t="s">
        <v>20</v>
      </c>
    </row>
    <row r="240" spans="2:3" x14ac:dyDescent="0.3">
      <c r="B240">
        <v>4511573744</v>
      </c>
      <c r="C240" t="s">
        <v>20</v>
      </c>
    </row>
    <row r="241" spans="2:3" x14ac:dyDescent="0.3">
      <c r="B241">
        <v>4511573744</v>
      </c>
      <c r="C241" t="s">
        <v>20</v>
      </c>
    </row>
    <row r="242" spans="2:3" x14ac:dyDescent="0.3">
      <c r="B242">
        <v>4511573744</v>
      </c>
      <c r="C242" t="s">
        <v>20</v>
      </c>
    </row>
    <row r="243" spans="2:3" x14ac:dyDescent="0.3">
      <c r="B243">
        <v>4511573738</v>
      </c>
      <c r="C243" t="s">
        <v>20</v>
      </c>
    </row>
    <row r="244" spans="2:3" x14ac:dyDescent="0.3">
      <c r="B244">
        <v>4511573723</v>
      </c>
      <c r="C244" t="s">
        <v>37</v>
      </c>
    </row>
    <row r="245" spans="2:3" x14ac:dyDescent="0.3">
      <c r="B245">
        <v>4511573721</v>
      </c>
      <c r="C245" t="s">
        <v>20</v>
      </c>
    </row>
    <row r="246" spans="2:3" x14ac:dyDescent="0.3">
      <c r="B246">
        <v>4511573712</v>
      </c>
      <c r="C246" t="s">
        <v>37</v>
      </c>
    </row>
    <row r="247" spans="2:3" x14ac:dyDescent="0.3">
      <c r="B247">
        <v>4511573683</v>
      </c>
      <c r="C247" t="s">
        <v>20</v>
      </c>
    </row>
    <row r="248" spans="2:3" x14ac:dyDescent="0.3">
      <c r="B248">
        <v>4511573683</v>
      </c>
      <c r="C248" t="s">
        <v>20</v>
      </c>
    </row>
    <row r="249" spans="2:3" x14ac:dyDescent="0.3">
      <c r="B249">
        <v>4511573683</v>
      </c>
      <c r="C249" t="s">
        <v>20</v>
      </c>
    </row>
    <row r="250" spans="2:3" x14ac:dyDescent="0.3">
      <c r="B250">
        <v>4511573679</v>
      </c>
      <c r="C250" t="s">
        <v>20</v>
      </c>
    </row>
    <row r="251" spans="2:3" x14ac:dyDescent="0.3">
      <c r="B251">
        <v>4511573677</v>
      </c>
      <c r="C251" t="s">
        <v>37</v>
      </c>
    </row>
    <row r="252" spans="2:3" x14ac:dyDescent="0.3">
      <c r="B252">
        <v>4511573677</v>
      </c>
      <c r="C252" t="s">
        <v>37</v>
      </c>
    </row>
    <row r="253" spans="2:3" x14ac:dyDescent="0.3">
      <c r="B253">
        <v>4511573677</v>
      </c>
      <c r="C253" t="s">
        <v>37</v>
      </c>
    </row>
    <row r="254" spans="2:3" x14ac:dyDescent="0.3">
      <c r="B254">
        <v>4511573677</v>
      </c>
      <c r="C254" t="s">
        <v>37</v>
      </c>
    </row>
    <row r="255" spans="2:3" x14ac:dyDescent="0.3">
      <c r="B255">
        <v>4511573677</v>
      </c>
      <c r="C255" t="s">
        <v>37</v>
      </c>
    </row>
    <row r="256" spans="2:3" x14ac:dyDescent="0.3">
      <c r="B256">
        <v>4511573677</v>
      </c>
      <c r="C256" t="s">
        <v>37</v>
      </c>
    </row>
    <row r="257" spans="2:3" x14ac:dyDescent="0.3">
      <c r="B257">
        <v>4511573677</v>
      </c>
      <c r="C257" t="s">
        <v>37</v>
      </c>
    </row>
    <row r="258" spans="2:3" x14ac:dyDescent="0.3">
      <c r="B258">
        <v>4511573676</v>
      </c>
      <c r="C258" t="s">
        <v>20</v>
      </c>
    </row>
    <row r="259" spans="2:3" x14ac:dyDescent="0.3">
      <c r="B259">
        <v>4511573676</v>
      </c>
      <c r="C259" t="s">
        <v>20</v>
      </c>
    </row>
    <row r="260" spans="2:3" x14ac:dyDescent="0.3">
      <c r="B260">
        <v>4511573650</v>
      </c>
      <c r="C260" t="s">
        <v>37</v>
      </c>
    </row>
    <row r="261" spans="2:3" x14ac:dyDescent="0.3">
      <c r="B261">
        <v>4511573638</v>
      </c>
      <c r="C261" t="s">
        <v>30</v>
      </c>
    </row>
    <row r="262" spans="2:3" x14ac:dyDescent="0.3">
      <c r="B262">
        <v>4511573592</v>
      </c>
      <c r="C262" t="s">
        <v>30</v>
      </c>
    </row>
    <row r="263" spans="2:3" x14ac:dyDescent="0.3">
      <c r="B263">
        <v>4511573581</v>
      </c>
      <c r="C263" t="s">
        <v>37</v>
      </c>
    </row>
    <row r="264" spans="2:3" x14ac:dyDescent="0.3">
      <c r="B264">
        <v>4511573570</v>
      </c>
      <c r="C264" t="s">
        <v>37</v>
      </c>
    </row>
    <row r="265" spans="2:3" x14ac:dyDescent="0.3">
      <c r="B265">
        <v>4511573570</v>
      </c>
      <c r="C265" t="s">
        <v>37</v>
      </c>
    </row>
    <row r="266" spans="2:3" x14ac:dyDescent="0.3">
      <c r="B266">
        <v>4511573570</v>
      </c>
      <c r="C266" t="s">
        <v>37</v>
      </c>
    </row>
    <row r="267" spans="2:3" x14ac:dyDescent="0.3">
      <c r="B267">
        <v>4511573566</v>
      </c>
      <c r="C267" t="s">
        <v>30</v>
      </c>
    </row>
    <row r="268" spans="2:3" x14ac:dyDescent="0.3">
      <c r="B268">
        <v>4511573533</v>
      </c>
      <c r="C268" t="s">
        <v>18</v>
      </c>
    </row>
    <row r="269" spans="2:3" x14ac:dyDescent="0.3">
      <c r="B269">
        <v>4511573528</v>
      </c>
      <c r="C269" t="s">
        <v>18</v>
      </c>
    </row>
    <row r="270" spans="2:3" x14ac:dyDescent="0.3">
      <c r="B270">
        <v>4511573515</v>
      </c>
      <c r="C270" t="s">
        <v>18</v>
      </c>
    </row>
    <row r="271" spans="2:3" x14ac:dyDescent="0.3">
      <c r="B271">
        <v>4511573501</v>
      </c>
      <c r="C271" t="s">
        <v>18</v>
      </c>
    </row>
    <row r="272" spans="2:3" x14ac:dyDescent="0.3">
      <c r="B272">
        <v>4511573500</v>
      </c>
      <c r="C272" t="s">
        <v>18</v>
      </c>
    </row>
    <row r="273" spans="2:3" x14ac:dyDescent="0.3">
      <c r="B273">
        <v>4511573499</v>
      </c>
      <c r="C273" t="s">
        <v>18</v>
      </c>
    </row>
    <row r="274" spans="2:3" x14ac:dyDescent="0.3">
      <c r="B274">
        <v>4511573499</v>
      </c>
      <c r="C274" t="s">
        <v>18</v>
      </c>
    </row>
    <row r="275" spans="2:3" x14ac:dyDescent="0.3">
      <c r="B275">
        <v>4511573499</v>
      </c>
      <c r="C275" t="s">
        <v>18</v>
      </c>
    </row>
    <row r="276" spans="2:3" x14ac:dyDescent="0.3">
      <c r="B276">
        <v>4511573490</v>
      </c>
      <c r="C276" t="s">
        <v>37</v>
      </c>
    </row>
    <row r="277" spans="2:3" x14ac:dyDescent="0.3">
      <c r="B277">
        <v>4511573487</v>
      </c>
      <c r="C277" t="s">
        <v>18</v>
      </c>
    </row>
    <row r="278" spans="2:3" x14ac:dyDescent="0.3">
      <c r="B278">
        <v>4511573485</v>
      </c>
      <c r="C278" t="s">
        <v>18</v>
      </c>
    </row>
    <row r="279" spans="2:3" x14ac:dyDescent="0.3">
      <c r="B279">
        <v>4511573485</v>
      </c>
      <c r="C279" t="s">
        <v>18</v>
      </c>
    </row>
    <row r="280" spans="2:3" x14ac:dyDescent="0.3">
      <c r="B280">
        <v>4511573483</v>
      </c>
      <c r="C280" t="s">
        <v>37</v>
      </c>
    </row>
    <row r="281" spans="2:3" x14ac:dyDescent="0.3">
      <c r="B281">
        <v>4511573480</v>
      </c>
      <c r="C281" t="s">
        <v>37</v>
      </c>
    </row>
    <row r="282" spans="2:3" x14ac:dyDescent="0.3">
      <c r="B282">
        <v>4511573449</v>
      </c>
      <c r="C282" t="s">
        <v>18</v>
      </c>
    </row>
    <row r="283" spans="2:3" x14ac:dyDescent="0.3">
      <c r="B283">
        <v>4511573449</v>
      </c>
      <c r="C283" t="s">
        <v>18</v>
      </c>
    </row>
    <row r="284" spans="2:3" x14ac:dyDescent="0.3">
      <c r="B284">
        <v>4511573449</v>
      </c>
      <c r="C284" t="s">
        <v>18</v>
      </c>
    </row>
    <row r="285" spans="2:3" x14ac:dyDescent="0.3">
      <c r="B285">
        <v>4511573449</v>
      </c>
      <c r="C285" t="s">
        <v>18</v>
      </c>
    </row>
    <row r="286" spans="2:3" x14ac:dyDescent="0.3">
      <c r="B286">
        <v>4511573449</v>
      </c>
      <c r="C286" t="s">
        <v>18</v>
      </c>
    </row>
    <row r="287" spans="2:3" x14ac:dyDescent="0.3">
      <c r="B287">
        <v>4511573449</v>
      </c>
      <c r="C287" t="s">
        <v>18</v>
      </c>
    </row>
    <row r="288" spans="2:3" x14ac:dyDescent="0.3">
      <c r="B288">
        <v>4511573449</v>
      </c>
      <c r="C288" t="s">
        <v>18</v>
      </c>
    </row>
    <row r="289" spans="2:3" x14ac:dyDescent="0.3">
      <c r="B289">
        <v>4511573449</v>
      </c>
      <c r="C289" t="s">
        <v>18</v>
      </c>
    </row>
    <row r="290" spans="2:3" x14ac:dyDescent="0.3">
      <c r="B290">
        <v>4511573449</v>
      </c>
      <c r="C290" t="s">
        <v>18</v>
      </c>
    </row>
    <row r="291" spans="2:3" x14ac:dyDescent="0.3">
      <c r="B291">
        <v>4511573449</v>
      </c>
      <c r="C291" t="s">
        <v>18</v>
      </c>
    </row>
    <row r="292" spans="2:3" x14ac:dyDescent="0.3">
      <c r="B292">
        <v>4511573449</v>
      </c>
      <c r="C292" t="s">
        <v>18</v>
      </c>
    </row>
    <row r="293" spans="2:3" x14ac:dyDescent="0.3">
      <c r="B293">
        <v>4511573449</v>
      </c>
      <c r="C293" t="s">
        <v>18</v>
      </c>
    </row>
    <row r="294" spans="2:3" x14ac:dyDescent="0.3">
      <c r="B294">
        <v>4511573449</v>
      </c>
      <c r="C294" t="s">
        <v>18</v>
      </c>
    </row>
    <row r="295" spans="2:3" x14ac:dyDescent="0.3">
      <c r="B295">
        <v>4511573449</v>
      </c>
      <c r="C295" t="s">
        <v>18</v>
      </c>
    </row>
    <row r="296" spans="2:3" x14ac:dyDescent="0.3">
      <c r="B296">
        <v>4511573449</v>
      </c>
      <c r="C296" t="s">
        <v>18</v>
      </c>
    </row>
    <row r="297" spans="2:3" x14ac:dyDescent="0.3">
      <c r="B297">
        <v>4511573449</v>
      </c>
      <c r="C297" t="s">
        <v>18</v>
      </c>
    </row>
    <row r="298" spans="2:3" x14ac:dyDescent="0.3">
      <c r="B298">
        <v>4511573449</v>
      </c>
      <c r="C298" t="s">
        <v>18</v>
      </c>
    </row>
    <row r="299" spans="2:3" x14ac:dyDescent="0.3">
      <c r="B299">
        <v>4511573414</v>
      </c>
      <c r="C299" t="s">
        <v>20</v>
      </c>
    </row>
    <row r="300" spans="2:3" x14ac:dyDescent="0.3">
      <c r="B300">
        <v>4511573399</v>
      </c>
      <c r="C300" t="s">
        <v>20</v>
      </c>
    </row>
    <row r="301" spans="2:3" x14ac:dyDescent="0.3">
      <c r="B301">
        <v>4511573399</v>
      </c>
      <c r="C301" t="s">
        <v>20</v>
      </c>
    </row>
    <row r="302" spans="2:3" x14ac:dyDescent="0.3">
      <c r="B302">
        <v>4511573399</v>
      </c>
      <c r="C302" t="s">
        <v>20</v>
      </c>
    </row>
    <row r="303" spans="2:3" x14ac:dyDescent="0.3">
      <c r="B303">
        <v>4511573399</v>
      </c>
      <c r="C303" t="s">
        <v>20</v>
      </c>
    </row>
    <row r="304" spans="2:3" x14ac:dyDescent="0.3">
      <c r="B304">
        <v>4511573399</v>
      </c>
      <c r="C304" t="s">
        <v>20</v>
      </c>
    </row>
    <row r="305" spans="2:3" x14ac:dyDescent="0.3">
      <c r="B305">
        <v>4511573399</v>
      </c>
      <c r="C305" t="s">
        <v>20</v>
      </c>
    </row>
    <row r="306" spans="2:3" x14ac:dyDescent="0.3">
      <c r="B306">
        <v>4511573399</v>
      </c>
      <c r="C306" t="s">
        <v>20</v>
      </c>
    </row>
    <row r="307" spans="2:3" x14ac:dyDescent="0.3">
      <c r="B307">
        <v>4511573399</v>
      </c>
      <c r="C307" t="s">
        <v>20</v>
      </c>
    </row>
    <row r="308" spans="2:3" x14ac:dyDescent="0.3">
      <c r="B308">
        <v>4511573399</v>
      </c>
      <c r="C308" t="s">
        <v>20</v>
      </c>
    </row>
    <row r="309" spans="2:3" x14ac:dyDescent="0.3">
      <c r="B309">
        <v>4511573399</v>
      </c>
      <c r="C309" t="s">
        <v>20</v>
      </c>
    </row>
    <row r="310" spans="2:3" x14ac:dyDescent="0.3">
      <c r="B310">
        <v>4511573335</v>
      </c>
      <c r="C310" t="s">
        <v>30</v>
      </c>
    </row>
    <row r="311" spans="2:3" x14ac:dyDescent="0.3">
      <c r="B311">
        <v>4511573330</v>
      </c>
      <c r="C311" t="s">
        <v>20</v>
      </c>
    </row>
    <row r="312" spans="2:3" x14ac:dyDescent="0.3">
      <c r="B312">
        <v>4511573324</v>
      </c>
      <c r="C312" t="s">
        <v>20</v>
      </c>
    </row>
    <row r="313" spans="2:3" x14ac:dyDescent="0.3">
      <c r="B313">
        <v>4511573324</v>
      </c>
      <c r="C313" t="s">
        <v>20</v>
      </c>
    </row>
    <row r="314" spans="2:3" x14ac:dyDescent="0.3">
      <c r="B314">
        <v>4511573324</v>
      </c>
      <c r="C314" t="s">
        <v>20</v>
      </c>
    </row>
    <row r="315" spans="2:3" x14ac:dyDescent="0.3">
      <c r="B315">
        <v>4511573324</v>
      </c>
      <c r="C315" t="s">
        <v>20</v>
      </c>
    </row>
    <row r="316" spans="2:3" x14ac:dyDescent="0.3">
      <c r="B316">
        <v>4511573324</v>
      </c>
      <c r="C316" t="s">
        <v>20</v>
      </c>
    </row>
    <row r="317" spans="2:3" x14ac:dyDescent="0.3">
      <c r="B317">
        <v>4511573097</v>
      </c>
      <c r="C317" t="s">
        <v>20</v>
      </c>
    </row>
    <row r="318" spans="2:3" x14ac:dyDescent="0.3">
      <c r="B318">
        <v>4511573088</v>
      </c>
      <c r="C318" t="s">
        <v>30</v>
      </c>
    </row>
    <row r="319" spans="2:3" x14ac:dyDescent="0.3">
      <c r="B319">
        <v>4511573088</v>
      </c>
      <c r="C319" t="s">
        <v>30</v>
      </c>
    </row>
    <row r="320" spans="2:3" x14ac:dyDescent="0.3">
      <c r="B320">
        <v>4511573088</v>
      </c>
      <c r="C320" t="s">
        <v>30</v>
      </c>
    </row>
    <row r="321" spans="2:3" x14ac:dyDescent="0.3">
      <c r="B321">
        <v>4511573088</v>
      </c>
      <c r="C321" t="s">
        <v>30</v>
      </c>
    </row>
    <row r="322" spans="2:3" x14ac:dyDescent="0.3">
      <c r="B322">
        <v>4511573088</v>
      </c>
      <c r="C322" t="s">
        <v>30</v>
      </c>
    </row>
    <row r="323" spans="2:3" x14ac:dyDescent="0.3">
      <c r="B323">
        <v>4511573088</v>
      </c>
      <c r="C323" t="s">
        <v>30</v>
      </c>
    </row>
    <row r="324" spans="2:3" x14ac:dyDescent="0.3">
      <c r="B324">
        <v>4511573088</v>
      </c>
      <c r="C324" t="s">
        <v>30</v>
      </c>
    </row>
    <row r="325" spans="2:3" x14ac:dyDescent="0.3">
      <c r="B325">
        <v>4511573088</v>
      </c>
      <c r="C325" t="s">
        <v>30</v>
      </c>
    </row>
    <row r="326" spans="2:3" x14ac:dyDescent="0.3">
      <c r="B326">
        <v>4511573088</v>
      </c>
      <c r="C326" t="s">
        <v>30</v>
      </c>
    </row>
    <row r="327" spans="2:3" x14ac:dyDescent="0.3">
      <c r="B327">
        <v>4511573088</v>
      </c>
      <c r="C327" t="s">
        <v>30</v>
      </c>
    </row>
    <row r="328" spans="2:3" x14ac:dyDescent="0.3">
      <c r="B328">
        <v>4511573088</v>
      </c>
      <c r="C328" t="s">
        <v>30</v>
      </c>
    </row>
    <row r="329" spans="2:3" x14ac:dyDescent="0.3">
      <c r="B329">
        <v>4511573088</v>
      </c>
      <c r="C329" t="s">
        <v>30</v>
      </c>
    </row>
    <row r="330" spans="2:3" x14ac:dyDescent="0.3">
      <c r="B330">
        <v>4511573088</v>
      </c>
      <c r="C330" t="s">
        <v>30</v>
      </c>
    </row>
    <row r="331" spans="2:3" x14ac:dyDescent="0.3">
      <c r="B331">
        <v>4511573088</v>
      </c>
      <c r="C331" t="s">
        <v>30</v>
      </c>
    </row>
    <row r="332" spans="2:3" x14ac:dyDescent="0.3">
      <c r="B332">
        <v>4511573088</v>
      </c>
      <c r="C332" t="s">
        <v>30</v>
      </c>
    </row>
    <row r="333" spans="2:3" x14ac:dyDescent="0.3">
      <c r="B333">
        <v>4511573088</v>
      </c>
      <c r="C333" t="s">
        <v>30</v>
      </c>
    </row>
    <row r="334" spans="2:3" x14ac:dyDescent="0.3">
      <c r="B334">
        <v>4511573088</v>
      </c>
      <c r="C334" t="s">
        <v>30</v>
      </c>
    </row>
    <row r="335" spans="2:3" x14ac:dyDescent="0.3">
      <c r="B335">
        <v>4511573088</v>
      </c>
      <c r="C335" t="s">
        <v>30</v>
      </c>
    </row>
    <row r="336" spans="2:3" x14ac:dyDescent="0.3">
      <c r="B336">
        <v>4511573088</v>
      </c>
      <c r="C336" t="s">
        <v>30</v>
      </c>
    </row>
    <row r="337" spans="2:3" x14ac:dyDescent="0.3">
      <c r="B337">
        <v>4511573088</v>
      </c>
      <c r="C337" t="s">
        <v>30</v>
      </c>
    </row>
    <row r="338" spans="2:3" x14ac:dyDescent="0.3">
      <c r="B338">
        <v>4511573088</v>
      </c>
      <c r="C338" t="s">
        <v>30</v>
      </c>
    </row>
    <row r="339" spans="2:3" x14ac:dyDescent="0.3">
      <c r="B339">
        <v>4511573088</v>
      </c>
      <c r="C339" t="s">
        <v>30</v>
      </c>
    </row>
    <row r="340" spans="2:3" x14ac:dyDescent="0.3">
      <c r="B340">
        <v>4511573088</v>
      </c>
      <c r="C340" t="s">
        <v>30</v>
      </c>
    </row>
    <row r="341" spans="2:3" x14ac:dyDescent="0.3">
      <c r="B341">
        <v>4511573088</v>
      </c>
      <c r="C341" t="s">
        <v>30</v>
      </c>
    </row>
    <row r="342" spans="2:3" x14ac:dyDescent="0.3">
      <c r="B342">
        <v>4511573088</v>
      </c>
      <c r="C342" t="s">
        <v>30</v>
      </c>
    </row>
    <row r="343" spans="2:3" x14ac:dyDescent="0.3">
      <c r="B343">
        <v>4511573088</v>
      </c>
      <c r="C343" t="s">
        <v>30</v>
      </c>
    </row>
    <row r="344" spans="2:3" x14ac:dyDescent="0.3">
      <c r="B344">
        <v>4511573088</v>
      </c>
      <c r="C344" t="s">
        <v>30</v>
      </c>
    </row>
    <row r="345" spans="2:3" x14ac:dyDescent="0.3">
      <c r="B345">
        <v>4511573088</v>
      </c>
      <c r="C345" t="s">
        <v>30</v>
      </c>
    </row>
    <row r="346" spans="2:3" x14ac:dyDescent="0.3">
      <c r="B346">
        <v>4511573088</v>
      </c>
      <c r="C346" t="s">
        <v>30</v>
      </c>
    </row>
    <row r="347" spans="2:3" x14ac:dyDescent="0.3">
      <c r="B347">
        <v>4511573088</v>
      </c>
      <c r="C347" t="s">
        <v>30</v>
      </c>
    </row>
    <row r="348" spans="2:3" x14ac:dyDescent="0.3">
      <c r="B348">
        <v>4511573088</v>
      </c>
      <c r="C348" t="s">
        <v>30</v>
      </c>
    </row>
    <row r="349" spans="2:3" x14ac:dyDescent="0.3">
      <c r="B349">
        <v>4511573088</v>
      </c>
      <c r="C349" t="s">
        <v>30</v>
      </c>
    </row>
    <row r="350" spans="2:3" x14ac:dyDescent="0.3">
      <c r="B350">
        <v>4511573088</v>
      </c>
      <c r="C350" t="s">
        <v>30</v>
      </c>
    </row>
    <row r="351" spans="2:3" x14ac:dyDescent="0.3">
      <c r="B351">
        <v>4511573088</v>
      </c>
      <c r="C351" t="s">
        <v>30</v>
      </c>
    </row>
    <row r="352" spans="2:3" x14ac:dyDescent="0.3">
      <c r="B352">
        <v>4511573088</v>
      </c>
      <c r="C352" t="s">
        <v>30</v>
      </c>
    </row>
    <row r="353" spans="2:3" x14ac:dyDescent="0.3">
      <c r="B353">
        <v>4511573088</v>
      </c>
      <c r="C353" t="s">
        <v>30</v>
      </c>
    </row>
    <row r="354" spans="2:3" x14ac:dyDescent="0.3">
      <c r="B354">
        <v>4511573088</v>
      </c>
      <c r="C354" t="s">
        <v>30</v>
      </c>
    </row>
    <row r="355" spans="2:3" x14ac:dyDescent="0.3">
      <c r="B355">
        <v>4511573088</v>
      </c>
      <c r="C355" t="s">
        <v>30</v>
      </c>
    </row>
    <row r="356" spans="2:3" x14ac:dyDescent="0.3">
      <c r="B356">
        <v>4511573088</v>
      </c>
      <c r="C356" t="s">
        <v>30</v>
      </c>
    </row>
    <row r="357" spans="2:3" x14ac:dyDescent="0.3">
      <c r="B357">
        <v>4511573088</v>
      </c>
      <c r="C357" t="s">
        <v>30</v>
      </c>
    </row>
    <row r="358" spans="2:3" x14ac:dyDescent="0.3">
      <c r="B358">
        <v>4511573088</v>
      </c>
      <c r="C358" t="s">
        <v>30</v>
      </c>
    </row>
    <row r="359" spans="2:3" x14ac:dyDescent="0.3">
      <c r="B359">
        <v>4511573088</v>
      </c>
      <c r="C359" t="s">
        <v>30</v>
      </c>
    </row>
    <row r="360" spans="2:3" x14ac:dyDescent="0.3">
      <c r="B360">
        <v>4511573088</v>
      </c>
      <c r="C360" t="s">
        <v>30</v>
      </c>
    </row>
    <row r="361" spans="2:3" x14ac:dyDescent="0.3">
      <c r="B361">
        <v>4511573088</v>
      </c>
      <c r="C361" t="s">
        <v>30</v>
      </c>
    </row>
    <row r="362" spans="2:3" x14ac:dyDescent="0.3">
      <c r="B362">
        <v>4511573088</v>
      </c>
      <c r="C362" t="s">
        <v>30</v>
      </c>
    </row>
    <row r="363" spans="2:3" x14ac:dyDescent="0.3">
      <c r="B363">
        <v>4511573088</v>
      </c>
      <c r="C363" t="s">
        <v>30</v>
      </c>
    </row>
    <row r="364" spans="2:3" x14ac:dyDescent="0.3">
      <c r="B364">
        <v>4511573088</v>
      </c>
      <c r="C364" t="s">
        <v>30</v>
      </c>
    </row>
    <row r="365" spans="2:3" x14ac:dyDescent="0.3">
      <c r="B365">
        <v>4511573082</v>
      </c>
      <c r="C365" t="s">
        <v>20</v>
      </c>
    </row>
    <row r="366" spans="2:3" x14ac:dyDescent="0.3">
      <c r="B366">
        <v>4511573082</v>
      </c>
      <c r="C366" t="s">
        <v>20</v>
      </c>
    </row>
    <row r="367" spans="2:3" x14ac:dyDescent="0.3">
      <c r="B367">
        <v>4511573077</v>
      </c>
      <c r="C367" t="s">
        <v>20</v>
      </c>
    </row>
    <row r="368" spans="2:3" x14ac:dyDescent="0.3">
      <c r="B368">
        <v>4511573077</v>
      </c>
      <c r="C368" t="s">
        <v>20</v>
      </c>
    </row>
    <row r="369" spans="2:3" x14ac:dyDescent="0.3">
      <c r="B369">
        <v>4511573077</v>
      </c>
      <c r="C369" t="s">
        <v>20</v>
      </c>
    </row>
    <row r="370" spans="2:3" x14ac:dyDescent="0.3">
      <c r="B370">
        <v>4511573077</v>
      </c>
      <c r="C370" t="s">
        <v>20</v>
      </c>
    </row>
    <row r="371" spans="2:3" x14ac:dyDescent="0.3">
      <c r="B371">
        <v>4511573073</v>
      </c>
      <c r="C371" t="s">
        <v>20</v>
      </c>
    </row>
    <row r="372" spans="2:3" x14ac:dyDescent="0.3">
      <c r="B372">
        <v>4511573070</v>
      </c>
      <c r="C372" t="s">
        <v>30</v>
      </c>
    </row>
    <row r="373" spans="2:3" x14ac:dyDescent="0.3">
      <c r="B373">
        <v>4511573070</v>
      </c>
      <c r="C373" t="s">
        <v>30</v>
      </c>
    </row>
    <row r="374" spans="2:3" x14ac:dyDescent="0.3">
      <c r="B374">
        <v>4511573070</v>
      </c>
      <c r="C374" t="s">
        <v>30</v>
      </c>
    </row>
    <row r="375" spans="2:3" x14ac:dyDescent="0.3">
      <c r="B375">
        <v>4511573055</v>
      </c>
      <c r="C375" t="s">
        <v>20</v>
      </c>
    </row>
    <row r="376" spans="2:3" x14ac:dyDescent="0.3">
      <c r="B376">
        <v>4511572975</v>
      </c>
      <c r="C376" t="s">
        <v>18</v>
      </c>
    </row>
    <row r="377" spans="2:3" x14ac:dyDescent="0.3">
      <c r="B377">
        <v>4511572975</v>
      </c>
      <c r="C377" t="s">
        <v>18</v>
      </c>
    </row>
    <row r="378" spans="2:3" x14ac:dyDescent="0.3">
      <c r="B378">
        <v>4511572970</v>
      </c>
      <c r="C378" t="s">
        <v>30</v>
      </c>
    </row>
    <row r="379" spans="2:3" x14ac:dyDescent="0.3">
      <c r="B379">
        <v>4511572943</v>
      </c>
      <c r="C379" t="s">
        <v>30</v>
      </c>
    </row>
    <row r="380" spans="2:3" x14ac:dyDescent="0.3">
      <c r="B380">
        <v>4511572939</v>
      </c>
      <c r="C380" t="s">
        <v>18</v>
      </c>
    </row>
    <row r="381" spans="2:3" x14ac:dyDescent="0.3">
      <c r="B381">
        <v>4511572932</v>
      </c>
      <c r="C381" t="s">
        <v>37</v>
      </c>
    </row>
    <row r="382" spans="2:3" x14ac:dyDescent="0.3">
      <c r="B382">
        <v>4511572932</v>
      </c>
      <c r="C382" t="s">
        <v>37</v>
      </c>
    </row>
    <row r="383" spans="2:3" x14ac:dyDescent="0.3">
      <c r="B383">
        <v>4511572932</v>
      </c>
      <c r="C383" t="s">
        <v>37</v>
      </c>
    </row>
    <row r="384" spans="2:3" x14ac:dyDescent="0.3">
      <c r="B384">
        <v>4511572932</v>
      </c>
      <c r="C384" t="s">
        <v>37</v>
      </c>
    </row>
    <row r="385" spans="2:3" x14ac:dyDescent="0.3">
      <c r="B385">
        <v>4511572932</v>
      </c>
      <c r="C385" t="s">
        <v>37</v>
      </c>
    </row>
    <row r="386" spans="2:3" x14ac:dyDescent="0.3">
      <c r="B386">
        <v>4511572899</v>
      </c>
      <c r="C386" t="s">
        <v>30</v>
      </c>
    </row>
    <row r="387" spans="2:3" x14ac:dyDescent="0.3">
      <c r="B387">
        <v>4511572899</v>
      </c>
      <c r="C387" t="s">
        <v>30</v>
      </c>
    </row>
    <row r="388" spans="2:3" x14ac:dyDescent="0.3">
      <c r="B388">
        <v>4511572896</v>
      </c>
      <c r="C388" t="s">
        <v>30</v>
      </c>
    </row>
    <row r="389" spans="2:3" x14ac:dyDescent="0.3">
      <c r="B389">
        <v>4511572837</v>
      </c>
      <c r="C389" t="s">
        <v>20</v>
      </c>
    </row>
    <row r="390" spans="2:3" x14ac:dyDescent="0.3">
      <c r="B390">
        <v>4511572800</v>
      </c>
      <c r="C390" t="s">
        <v>30</v>
      </c>
    </row>
    <row r="391" spans="2:3" x14ac:dyDescent="0.3">
      <c r="B391">
        <v>4511572800</v>
      </c>
      <c r="C391" t="s">
        <v>30</v>
      </c>
    </row>
    <row r="392" spans="2:3" x14ac:dyDescent="0.3">
      <c r="B392">
        <v>4511572789</v>
      </c>
      <c r="C392" t="s">
        <v>30</v>
      </c>
    </row>
    <row r="393" spans="2:3" x14ac:dyDescent="0.3">
      <c r="B393">
        <v>4511572789</v>
      </c>
      <c r="C393" t="s">
        <v>30</v>
      </c>
    </row>
    <row r="394" spans="2:3" x14ac:dyDescent="0.3">
      <c r="B394">
        <v>4511572784</v>
      </c>
      <c r="C394" t="s">
        <v>20</v>
      </c>
    </row>
    <row r="395" spans="2:3" x14ac:dyDescent="0.3">
      <c r="B395">
        <v>4511572779</v>
      </c>
      <c r="C395" t="s">
        <v>18</v>
      </c>
    </row>
    <row r="396" spans="2:3" x14ac:dyDescent="0.3">
      <c r="B396">
        <v>4511572771</v>
      </c>
      <c r="C396" t="s">
        <v>30</v>
      </c>
    </row>
    <row r="397" spans="2:3" x14ac:dyDescent="0.3">
      <c r="B397">
        <v>4511572771</v>
      </c>
      <c r="C397" t="s">
        <v>30</v>
      </c>
    </row>
    <row r="398" spans="2:3" x14ac:dyDescent="0.3">
      <c r="B398">
        <v>4511572771</v>
      </c>
      <c r="C398" t="s">
        <v>30</v>
      </c>
    </row>
    <row r="399" spans="2:3" x14ac:dyDescent="0.3">
      <c r="B399">
        <v>4511572771</v>
      </c>
      <c r="C399" t="s">
        <v>30</v>
      </c>
    </row>
    <row r="400" spans="2:3" x14ac:dyDescent="0.3">
      <c r="B400">
        <v>4511572771</v>
      </c>
      <c r="C400" t="s">
        <v>30</v>
      </c>
    </row>
    <row r="401" spans="2:3" x14ac:dyDescent="0.3">
      <c r="B401">
        <v>4511572771</v>
      </c>
      <c r="C401" t="s">
        <v>30</v>
      </c>
    </row>
    <row r="402" spans="2:3" x14ac:dyDescent="0.3">
      <c r="B402">
        <v>4511572771</v>
      </c>
      <c r="C402" t="s">
        <v>30</v>
      </c>
    </row>
    <row r="403" spans="2:3" x14ac:dyDescent="0.3">
      <c r="B403">
        <v>4511572771</v>
      </c>
      <c r="C403" t="s">
        <v>30</v>
      </c>
    </row>
    <row r="404" spans="2:3" x14ac:dyDescent="0.3">
      <c r="B404">
        <v>4511572771</v>
      </c>
      <c r="C404" t="s">
        <v>30</v>
      </c>
    </row>
    <row r="405" spans="2:3" x14ac:dyDescent="0.3">
      <c r="B405">
        <v>4511572771</v>
      </c>
      <c r="C405" t="s">
        <v>30</v>
      </c>
    </row>
    <row r="406" spans="2:3" x14ac:dyDescent="0.3">
      <c r="B406">
        <v>4511572771</v>
      </c>
      <c r="C406" t="s">
        <v>30</v>
      </c>
    </row>
    <row r="407" spans="2:3" x14ac:dyDescent="0.3">
      <c r="B407">
        <v>4511572771</v>
      </c>
      <c r="C407" t="s">
        <v>30</v>
      </c>
    </row>
    <row r="408" spans="2:3" x14ac:dyDescent="0.3">
      <c r="B408">
        <v>4511572771</v>
      </c>
      <c r="C408" t="s">
        <v>30</v>
      </c>
    </row>
    <row r="409" spans="2:3" x14ac:dyDescent="0.3">
      <c r="B409">
        <v>4511572771</v>
      </c>
      <c r="C409" t="s">
        <v>30</v>
      </c>
    </row>
    <row r="410" spans="2:3" x14ac:dyDescent="0.3">
      <c r="B410">
        <v>4511572763</v>
      </c>
      <c r="C410" t="s">
        <v>30</v>
      </c>
    </row>
    <row r="411" spans="2:3" x14ac:dyDescent="0.3">
      <c r="B411">
        <v>4511572754</v>
      </c>
      <c r="C411" t="s">
        <v>18</v>
      </c>
    </row>
    <row r="412" spans="2:3" x14ac:dyDescent="0.3">
      <c r="B412">
        <v>4511572754</v>
      </c>
      <c r="C412" t="s">
        <v>18</v>
      </c>
    </row>
    <row r="413" spans="2:3" x14ac:dyDescent="0.3">
      <c r="B413">
        <v>4511572754</v>
      </c>
      <c r="C413" t="s">
        <v>18</v>
      </c>
    </row>
    <row r="414" spans="2:3" x14ac:dyDescent="0.3">
      <c r="B414">
        <v>4511572754</v>
      </c>
      <c r="C414" t="s">
        <v>18</v>
      </c>
    </row>
    <row r="415" spans="2:3" x14ac:dyDescent="0.3">
      <c r="B415">
        <v>4511572754</v>
      </c>
      <c r="C415" t="s">
        <v>18</v>
      </c>
    </row>
    <row r="416" spans="2:3" x14ac:dyDescent="0.3">
      <c r="B416">
        <v>4511572744</v>
      </c>
      <c r="C416" t="s">
        <v>20</v>
      </c>
    </row>
    <row r="417" spans="2:3" x14ac:dyDescent="0.3">
      <c r="B417">
        <v>4511572717</v>
      </c>
      <c r="C417" t="s">
        <v>20</v>
      </c>
    </row>
    <row r="418" spans="2:3" x14ac:dyDescent="0.3">
      <c r="B418">
        <v>4511572717</v>
      </c>
      <c r="C418" t="s">
        <v>20</v>
      </c>
    </row>
    <row r="419" spans="2:3" x14ac:dyDescent="0.3">
      <c r="B419">
        <v>4511572714</v>
      </c>
      <c r="C419" t="s">
        <v>30</v>
      </c>
    </row>
    <row r="420" spans="2:3" x14ac:dyDescent="0.3">
      <c r="B420">
        <v>4511572706</v>
      </c>
      <c r="C420" t="s">
        <v>20</v>
      </c>
    </row>
    <row r="421" spans="2:3" x14ac:dyDescent="0.3">
      <c r="B421">
        <v>4511572706</v>
      </c>
      <c r="C421" t="s">
        <v>20</v>
      </c>
    </row>
    <row r="422" spans="2:3" x14ac:dyDescent="0.3">
      <c r="B422">
        <v>4511572706</v>
      </c>
      <c r="C422" t="s">
        <v>20</v>
      </c>
    </row>
    <row r="423" spans="2:3" x14ac:dyDescent="0.3">
      <c r="B423">
        <v>4511572706</v>
      </c>
      <c r="C423" t="s">
        <v>20</v>
      </c>
    </row>
    <row r="424" spans="2:3" x14ac:dyDescent="0.3">
      <c r="B424">
        <v>4511572702</v>
      </c>
      <c r="C424" t="s">
        <v>20</v>
      </c>
    </row>
    <row r="425" spans="2:3" x14ac:dyDescent="0.3">
      <c r="B425">
        <v>4511572688</v>
      </c>
      <c r="C425" t="s">
        <v>20</v>
      </c>
    </row>
    <row r="426" spans="2:3" x14ac:dyDescent="0.3">
      <c r="B426">
        <v>4511572688</v>
      </c>
      <c r="C426" t="s">
        <v>20</v>
      </c>
    </row>
    <row r="427" spans="2:3" x14ac:dyDescent="0.3">
      <c r="B427">
        <v>4511572688</v>
      </c>
      <c r="C427" t="s">
        <v>20</v>
      </c>
    </row>
    <row r="428" spans="2:3" x14ac:dyDescent="0.3">
      <c r="B428">
        <v>4511572688</v>
      </c>
      <c r="C428" t="s">
        <v>20</v>
      </c>
    </row>
    <row r="429" spans="2:3" x14ac:dyDescent="0.3">
      <c r="B429">
        <v>4511572688</v>
      </c>
      <c r="C429" t="s">
        <v>20</v>
      </c>
    </row>
    <row r="430" spans="2:3" x14ac:dyDescent="0.3">
      <c r="B430">
        <v>4511572688</v>
      </c>
      <c r="C430" t="s">
        <v>20</v>
      </c>
    </row>
    <row r="431" spans="2:3" x14ac:dyDescent="0.3">
      <c r="B431">
        <v>4511572688</v>
      </c>
      <c r="C431" t="s">
        <v>20</v>
      </c>
    </row>
    <row r="432" spans="2:3" x14ac:dyDescent="0.3">
      <c r="B432">
        <v>4511572688</v>
      </c>
      <c r="C432" t="s">
        <v>20</v>
      </c>
    </row>
    <row r="433" spans="2:3" x14ac:dyDescent="0.3">
      <c r="B433">
        <v>4511572679</v>
      </c>
      <c r="C433" t="s">
        <v>20</v>
      </c>
    </row>
    <row r="434" spans="2:3" x14ac:dyDescent="0.3">
      <c r="B434">
        <v>4511572679</v>
      </c>
      <c r="C434" t="s">
        <v>20</v>
      </c>
    </row>
    <row r="435" spans="2:3" x14ac:dyDescent="0.3">
      <c r="B435">
        <v>4511572679</v>
      </c>
      <c r="C435" t="s">
        <v>20</v>
      </c>
    </row>
    <row r="436" spans="2:3" x14ac:dyDescent="0.3">
      <c r="B436">
        <v>4511572679</v>
      </c>
      <c r="C436" t="s">
        <v>20</v>
      </c>
    </row>
    <row r="437" spans="2:3" x14ac:dyDescent="0.3">
      <c r="B437">
        <v>4511572679</v>
      </c>
      <c r="C437" t="s">
        <v>20</v>
      </c>
    </row>
    <row r="438" spans="2:3" x14ac:dyDescent="0.3">
      <c r="B438">
        <v>4511572679</v>
      </c>
      <c r="C438" t="s">
        <v>20</v>
      </c>
    </row>
    <row r="439" spans="2:3" x14ac:dyDescent="0.3">
      <c r="B439">
        <v>4511572679</v>
      </c>
      <c r="C439" t="s">
        <v>20</v>
      </c>
    </row>
    <row r="440" spans="2:3" x14ac:dyDescent="0.3">
      <c r="B440">
        <v>4511572679</v>
      </c>
      <c r="C440" t="s">
        <v>20</v>
      </c>
    </row>
    <row r="441" spans="2:3" x14ac:dyDescent="0.3">
      <c r="B441">
        <v>4511572679</v>
      </c>
      <c r="C441" t="s">
        <v>20</v>
      </c>
    </row>
    <row r="442" spans="2:3" x14ac:dyDescent="0.3">
      <c r="B442">
        <v>4511572679</v>
      </c>
      <c r="C442" t="s">
        <v>20</v>
      </c>
    </row>
    <row r="443" spans="2:3" x14ac:dyDescent="0.3">
      <c r="B443">
        <v>4511572679</v>
      </c>
      <c r="C443" t="s">
        <v>20</v>
      </c>
    </row>
    <row r="444" spans="2:3" x14ac:dyDescent="0.3">
      <c r="B444">
        <v>4511572679</v>
      </c>
      <c r="C444" t="s">
        <v>20</v>
      </c>
    </row>
    <row r="445" spans="2:3" x14ac:dyDescent="0.3">
      <c r="B445">
        <v>4511572679</v>
      </c>
      <c r="C445" t="s">
        <v>20</v>
      </c>
    </row>
    <row r="446" spans="2:3" x14ac:dyDescent="0.3">
      <c r="B446">
        <v>4511572679</v>
      </c>
      <c r="C446" t="s">
        <v>20</v>
      </c>
    </row>
    <row r="447" spans="2:3" x14ac:dyDescent="0.3">
      <c r="B447">
        <v>4511572671</v>
      </c>
      <c r="C447" t="s">
        <v>30</v>
      </c>
    </row>
    <row r="448" spans="2:3" x14ac:dyDescent="0.3">
      <c r="B448">
        <v>4511572671</v>
      </c>
      <c r="C448" t="s">
        <v>30</v>
      </c>
    </row>
    <row r="449" spans="2:3" x14ac:dyDescent="0.3">
      <c r="B449">
        <v>4511572671</v>
      </c>
      <c r="C449" t="s">
        <v>30</v>
      </c>
    </row>
    <row r="450" spans="2:3" x14ac:dyDescent="0.3">
      <c r="B450">
        <v>4511572671</v>
      </c>
      <c r="C450" t="s">
        <v>30</v>
      </c>
    </row>
    <row r="451" spans="2:3" x14ac:dyDescent="0.3">
      <c r="B451">
        <v>4511572652</v>
      </c>
      <c r="C451" t="s">
        <v>20</v>
      </c>
    </row>
    <row r="452" spans="2:3" x14ac:dyDescent="0.3">
      <c r="B452">
        <v>4511572652</v>
      </c>
      <c r="C452" t="s">
        <v>20</v>
      </c>
    </row>
    <row r="453" spans="2:3" x14ac:dyDescent="0.3">
      <c r="B453">
        <v>4511572652</v>
      </c>
      <c r="C453" t="s">
        <v>20</v>
      </c>
    </row>
    <row r="454" spans="2:3" x14ac:dyDescent="0.3">
      <c r="B454">
        <v>4511572649</v>
      </c>
      <c r="C454" t="s">
        <v>20</v>
      </c>
    </row>
    <row r="455" spans="2:3" x14ac:dyDescent="0.3">
      <c r="B455">
        <v>4511572633</v>
      </c>
      <c r="C455" t="s">
        <v>18</v>
      </c>
    </row>
    <row r="456" spans="2:3" x14ac:dyDescent="0.3">
      <c r="B456">
        <v>4511572568</v>
      </c>
      <c r="C456" t="s">
        <v>18</v>
      </c>
    </row>
    <row r="457" spans="2:3" x14ac:dyDescent="0.3">
      <c r="B457">
        <v>4511572568</v>
      </c>
      <c r="C457" t="s">
        <v>18</v>
      </c>
    </row>
    <row r="458" spans="2:3" x14ac:dyDescent="0.3">
      <c r="B458">
        <v>4511572560</v>
      </c>
      <c r="C458" t="s">
        <v>20</v>
      </c>
    </row>
    <row r="459" spans="2:3" x14ac:dyDescent="0.3">
      <c r="B459">
        <v>4511572521</v>
      </c>
      <c r="C459" t="s">
        <v>18</v>
      </c>
    </row>
    <row r="460" spans="2:3" x14ac:dyDescent="0.3">
      <c r="B460">
        <v>4511572521</v>
      </c>
      <c r="C460" t="s">
        <v>18</v>
      </c>
    </row>
    <row r="461" spans="2:3" x14ac:dyDescent="0.3">
      <c r="B461">
        <v>4511572521</v>
      </c>
      <c r="C461" t="s">
        <v>18</v>
      </c>
    </row>
    <row r="462" spans="2:3" x14ac:dyDescent="0.3">
      <c r="B462">
        <v>4511572512</v>
      </c>
      <c r="C462" t="s">
        <v>20</v>
      </c>
    </row>
    <row r="463" spans="2:3" x14ac:dyDescent="0.3">
      <c r="B463">
        <v>4511572466</v>
      </c>
      <c r="C463" t="s">
        <v>20</v>
      </c>
    </row>
    <row r="464" spans="2:3" x14ac:dyDescent="0.3">
      <c r="B464">
        <v>4511572460</v>
      </c>
      <c r="C464" t="s">
        <v>20</v>
      </c>
    </row>
    <row r="465" spans="2:3" x14ac:dyDescent="0.3">
      <c r="B465">
        <v>4511572460</v>
      </c>
      <c r="C465" t="s">
        <v>20</v>
      </c>
    </row>
    <row r="466" spans="2:3" x14ac:dyDescent="0.3">
      <c r="B466">
        <v>4511572460</v>
      </c>
      <c r="C466" t="s">
        <v>20</v>
      </c>
    </row>
    <row r="467" spans="2:3" x14ac:dyDescent="0.3">
      <c r="B467">
        <v>4511572460</v>
      </c>
      <c r="C467" t="s">
        <v>20</v>
      </c>
    </row>
    <row r="468" spans="2:3" x14ac:dyDescent="0.3">
      <c r="B468">
        <v>4511572460</v>
      </c>
      <c r="C468" t="s">
        <v>20</v>
      </c>
    </row>
    <row r="469" spans="2:3" x14ac:dyDescent="0.3">
      <c r="B469">
        <v>4511572460</v>
      </c>
      <c r="C469" t="s">
        <v>20</v>
      </c>
    </row>
    <row r="470" spans="2:3" x14ac:dyDescent="0.3">
      <c r="B470">
        <v>4511572413</v>
      </c>
      <c r="C470" t="s">
        <v>20</v>
      </c>
    </row>
    <row r="471" spans="2:3" x14ac:dyDescent="0.3">
      <c r="B471">
        <v>4511572413</v>
      </c>
      <c r="C471" t="s">
        <v>20</v>
      </c>
    </row>
    <row r="472" spans="2:3" x14ac:dyDescent="0.3">
      <c r="B472">
        <v>4511572413</v>
      </c>
      <c r="C472" t="s">
        <v>20</v>
      </c>
    </row>
    <row r="473" spans="2:3" x14ac:dyDescent="0.3">
      <c r="B473">
        <v>4511572412</v>
      </c>
      <c r="C473" t="s">
        <v>18</v>
      </c>
    </row>
    <row r="474" spans="2:3" x14ac:dyDescent="0.3">
      <c r="B474">
        <v>4511572412</v>
      </c>
      <c r="C474" t="s">
        <v>18</v>
      </c>
    </row>
    <row r="475" spans="2:3" x14ac:dyDescent="0.3">
      <c r="B475">
        <v>4511572412</v>
      </c>
      <c r="C475" t="s">
        <v>18</v>
      </c>
    </row>
    <row r="476" spans="2:3" x14ac:dyDescent="0.3">
      <c r="B476">
        <v>4511572407</v>
      </c>
      <c r="C476" t="s">
        <v>18</v>
      </c>
    </row>
    <row r="477" spans="2:3" x14ac:dyDescent="0.3">
      <c r="B477">
        <v>4511572404</v>
      </c>
      <c r="C477" t="s">
        <v>18</v>
      </c>
    </row>
    <row r="478" spans="2:3" x14ac:dyDescent="0.3">
      <c r="B478">
        <v>4511572404</v>
      </c>
      <c r="C478" t="s">
        <v>18</v>
      </c>
    </row>
    <row r="479" spans="2:3" x14ac:dyDescent="0.3">
      <c r="B479">
        <v>4511572402</v>
      </c>
      <c r="C479" t="s">
        <v>18</v>
      </c>
    </row>
    <row r="480" spans="2:3" x14ac:dyDescent="0.3">
      <c r="B480">
        <v>4511572394</v>
      </c>
      <c r="C480" t="s">
        <v>18</v>
      </c>
    </row>
    <row r="481" spans="2:3" x14ac:dyDescent="0.3">
      <c r="B481">
        <v>4511572387</v>
      </c>
      <c r="C481" t="s">
        <v>20</v>
      </c>
    </row>
    <row r="482" spans="2:3" x14ac:dyDescent="0.3">
      <c r="B482">
        <v>4511572375</v>
      </c>
      <c r="C482" t="s">
        <v>18</v>
      </c>
    </row>
    <row r="483" spans="2:3" x14ac:dyDescent="0.3">
      <c r="B483">
        <v>4511572374</v>
      </c>
      <c r="C483" t="s">
        <v>18</v>
      </c>
    </row>
    <row r="484" spans="2:3" x14ac:dyDescent="0.3">
      <c r="B484">
        <v>4511572374</v>
      </c>
      <c r="C484" t="s">
        <v>18</v>
      </c>
    </row>
    <row r="485" spans="2:3" x14ac:dyDescent="0.3">
      <c r="B485">
        <v>4511572372</v>
      </c>
      <c r="C485" t="s">
        <v>18</v>
      </c>
    </row>
    <row r="486" spans="2:3" x14ac:dyDescent="0.3">
      <c r="B486">
        <v>4511572299</v>
      </c>
      <c r="C486" t="s">
        <v>18</v>
      </c>
    </row>
    <row r="487" spans="2:3" x14ac:dyDescent="0.3">
      <c r="B487">
        <v>4511572299</v>
      </c>
      <c r="C487" t="s">
        <v>18</v>
      </c>
    </row>
    <row r="488" spans="2:3" x14ac:dyDescent="0.3">
      <c r="B488">
        <v>4511572299</v>
      </c>
      <c r="C488" t="s">
        <v>18</v>
      </c>
    </row>
    <row r="489" spans="2:3" x14ac:dyDescent="0.3">
      <c r="B489">
        <v>4511572299</v>
      </c>
      <c r="C489" t="s">
        <v>18</v>
      </c>
    </row>
    <row r="490" spans="2:3" x14ac:dyDescent="0.3">
      <c r="B490">
        <v>4511572299</v>
      </c>
      <c r="C490" t="s">
        <v>18</v>
      </c>
    </row>
    <row r="491" spans="2:3" x14ac:dyDescent="0.3">
      <c r="B491">
        <v>4511572299</v>
      </c>
      <c r="C491" t="s">
        <v>18</v>
      </c>
    </row>
    <row r="492" spans="2:3" x14ac:dyDescent="0.3">
      <c r="B492">
        <v>4511572299</v>
      </c>
      <c r="C492" t="s">
        <v>18</v>
      </c>
    </row>
    <row r="493" spans="2:3" x14ac:dyDescent="0.3">
      <c r="B493">
        <v>4511572299</v>
      </c>
      <c r="C493" t="s">
        <v>18</v>
      </c>
    </row>
    <row r="494" spans="2:3" x14ac:dyDescent="0.3">
      <c r="B494">
        <v>4511572295</v>
      </c>
      <c r="C494" t="s">
        <v>18</v>
      </c>
    </row>
    <row r="495" spans="2:3" x14ac:dyDescent="0.3">
      <c r="B495">
        <v>4511572295</v>
      </c>
      <c r="C495" t="s">
        <v>18</v>
      </c>
    </row>
    <row r="496" spans="2:3" x14ac:dyDescent="0.3">
      <c r="B496">
        <v>4511572291</v>
      </c>
      <c r="C496" t="s">
        <v>18</v>
      </c>
    </row>
    <row r="497" spans="2:3" x14ac:dyDescent="0.3">
      <c r="B497">
        <v>4511572291</v>
      </c>
      <c r="C497" t="s">
        <v>18</v>
      </c>
    </row>
    <row r="498" spans="2:3" x14ac:dyDescent="0.3">
      <c r="B498">
        <v>4511572288</v>
      </c>
      <c r="C498" t="s">
        <v>18</v>
      </c>
    </row>
    <row r="499" spans="2:3" x14ac:dyDescent="0.3">
      <c r="B499">
        <v>4511572286</v>
      </c>
      <c r="C499" t="s">
        <v>18</v>
      </c>
    </row>
    <row r="500" spans="2:3" x14ac:dyDescent="0.3">
      <c r="B500">
        <v>4511572285</v>
      </c>
      <c r="C500" t="s">
        <v>18</v>
      </c>
    </row>
    <row r="501" spans="2:3" x14ac:dyDescent="0.3">
      <c r="B501">
        <v>4511572285</v>
      </c>
      <c r="C501" t="s">
        <v>18</v>
      </c>
    </row>
    <row r="502" spans="2:3" x14ac:dyDescent="0.3">
      <c r="B502">
        <v>4511572284</v>
      </c>
      <c r="C502" t="s">
        <v>18</v>
      </c>
    </row>
    <row r="503" spans="2:3" x14ac:dyDescent="0.3">
      <c r="B503">
        <v>4511572284</v>
      </c>
      <c r="C503" t="s">
        <v>18</v>
      </c>
    </row>
    <row r="504" spans="2:3" x14ac:dyDescent="0.3">
      <c r="B504">
        <v>4511572284</v>
      </c>
      <c r="C504" t="s">
        <v>18</v>
      </c>
    </row>
    <row r="505" spans="2:3" x14ac:dyDescent="0.3">
      <c r="B505">
        <v>4511572284</v>
      </c>
      <c r="C505" t="s">
        <v>18</v>
      </c>
    </row>
    <row r="506" spans="2:3" x14ac:dyDescent="0.3">
      <c r="B506">
        <v>4511572277</v>
      </c>
      <c r="C506" t="s">
        <v>20</v>
      </c>
    </row>
    <row r="507" spans="2:3" x14ac:dyDescent="0.3">
      <c r="B507">
        <v>4511572268</v>
      </c>
      <c r="C507" t="s">
        <v>30</v>
      </c>
    </row>
    <row r="508" spans="2:3" x14ac:dyDescent="0.3">
      <c r="B508">
        <v>4511572268</v>
      </c>
      <c r="C508" t="s">
        <v>30</v>
      </c>
    </row>
    <row r="509" spans="2:3" x14ac:dyDescent="0.3">
      <c r="B509">
        <v>4511572268</v>
      </c>
      <c r="C509" t="s">
        <v>30</v>
      </c>
    </row>
    <row r="510" spans="2:3" x14ac:dyDescent="0.3">
      <c r="B510">
        <v>4511572266</v>
      </c>
      <c r="C510" t="s">
        <v>30</v>
      </c>
    </row>
    <row r="511" spans="2:3" x14ac:dyDescent="0.3">
      <c r="B511">
        <v>4511572266</v>
      </c>
      <c r="C511" t="s">
        <v>30</v>
      </c>
    </row>
    <row r="512" spans="2:3" x14ac:dyDescent="0.3">
      <c r="B512">
        <v>4511572266</v>
      </c>
      <c r="C512" t="s">
        <v>30</v>
      </c>
    </row>
    <row r="513" spans="2:3" x14ac:dyDescent="0.3">
      <c r="B513">
        <v>4511572251</v>
      </c>
      <c r="C513" t="s">
        <v>20</v>
      </c>
    </row>
    <row r="514" spans="2:3" x14ac:dyDescent="0.3">
      <c r="B514">
        <v>4511572251</v>
      </c>
      <c r="C514" t="s">
        <v>20</v>
      </c>
    </row>
    <row r="515" spans="2:3" x14ac:dyDescent="0.3">
      <c r="B515">
        <v>4511572251</v>
      </c>
      <c r="C515" t="s">
        <v>20</v>
      </c>
    </row>
    <row r="516" spans="2:3" x14ac:dyDescent="0.3">
      <c r="B516">
        <v>4511572247</v>
      </c>
      <c r="C516" t="s">
        <v>20</v>
      </c>
    </row>
    <row r="517" spans="2:3" x14ac:dyDescent="0.3">
      <c r="B517">
        <v>4511572241</v>
      </c>
      <c r="C517" t="s">
        <v>18</v>
      </c>
    </row>
    <row r="518" spans="2:3" x14ac:dyDescent="0.3">
      <c r="B518">
        <v>4511572241</v>
      </c>
      <c r="C518" t="s">
        <v>18</v>
      </c>
    </row>
    <row r="519" spans="2:3" x14ac:dyDescent="0.3">
      <c r="B519">
        <v>4511572241</v>
      </c>
      <c r="C519" t="s">
        <v>18</v>
      </c>
    </row>
    <row r="520" spans="2:3" x14ac:dyDescent="0.3">
      <c r="B520">
        <v>4511572241</v>
      </c>
      <c r="C520" t="s">
        <v>18</v>
      </c>
    </row>
    <row r="521" spans="2:3" x14ac:dyDescent="0.3">
      <c r="B521">
        <v>4511572241</v>
      </c>
      <c r="C521" t="s">
        <v>18</v>
      </c>
    </row>
    <row r="522" spans="2:3" x14ac:dyDescent="0.3">
      <c r="B522">
        <v>4511572241</v>
      </c>
      <c r="C522" t="s">
        <v>18</v>
      </c>
    </row>
    <row r="523" spans="2:3" x14ac:dyDescent="0.3">
      <c r="B523">
        <v>4511572241</v>
      </c>
      <c r="C523" t="s">
        <v>18</v>
      </c>
    </row>
    <row r="524" spans="2:3" x14ac:dyDescent="0.3">
      <c r="B524">
        <v>4511572241</v>
      </c>
      <c r="C524" t="s">
        <v>18</v>
      </c>
    </row>
    <row r="525" spans="2:3" x14ac:dyDescent="0.3">
      <c r="B525">
        <v>4511572241</v>
      </c>
      <c r="C525" t="s">
        <v>18</v>
      </c>
    </row>
    <row r="526" spans="2:3" x14ac:dyDescent="0.3">
      <c r="B526">
        <v>4511572241</v>
      </c>
      <c r="C526" t="s">
        <v>18</v>
      </c>
    </row>
    <row r="527" spans="2:3" x14ac:dyDescent="0.3">
      <c r="B527">
        <v>4511572241</v>
      </c>
      <c r="C527" t="s">
        <v>18</v>
      </c>
    </row>
    <row r="528" spans="2:3" x14ac:dyDescent="0.3">
      <c r="B528">
        <v>4511572241</v>
      </c>
      <c r="C528" t="s">
        <v>18</v>
      </c>
    </row>
    <row r="529" spans="2:3" x14ac:dyDescent="0.3">
      <c r="B529">
        <v>4511572231</v>
      </c>
      <c r="C529" t="s">
        <v>30</v>
      </c>
    </row>
    <row r="530" spans="2:3" x14ac:dyDescent="0.3">
      <c r="B530">
        <v>4511572227</v>
      </c>
      <c r="C530" t="s">
        <v>30</v>
      </c>
    </row>
    <row r="531" spans="2:3" x14ac:dyDescent="0.3">
      <c r="B531">
        <v>4511572223</v>
      </c>
      <c r="C531" t="s">
        <v>20</v>
      </c>
    </row>
    <row r="532" spans="2:3" x14ac:dyDescent="0.3">
      <c r="B532">
        <v>4511572223</v>
      </c>
      <c r="C532" t="s">
        <v>20</v>
      </c>
    </row>
    <row r="533" spans="2:3" x14ac:dyDescent="0.3">
      <c r="B533">
        <v>4511572223</v>
      </c>
      <c r="C533" t="s">
        <v>20</v>
      </c>
    </row>
    <row r="534" spans="2:3" x14ac:dyDescent="0.3">
      <c r="B534">
        <v>4511572223</v>
      </c>
      <c r="C534" t="s">
        <v>20</v>
      </c>
    </row>
    <row r="535" spans="2:3" x14ac:dyDescent="0.3">
      <c r="B535">
        <v>4511572223</v>
      </c>
      <c r="C535" t="s">
        <v>20</v>
      </c>
    </row>
    <row r="536" spans="2:3" x14ac:dyDescent="0.3">
      <c r="B536">
        <v>4511572223</v>
      </c>
      <c r="C536" t="s">
        <v>20</v>
      </c>
    </row>
    <row r="537" spans="2:3" x14ac:dyDescent="0.3">
      <c r="B537">
        <v>4511572223</v>
      </c>
      <c r="C537" t="s">
        <v>20</v>
      </c>
    </row>
    <row r="538" spans="2:3" x14ac:dyDescent="0.3">
      <c r="B538">
        <v>4511572216</v>
      </c>
      <c r="C538" t="s">
        <v>20</v>
      </c>
    </row>
    <row r="539" spans="2:3" x14ac:dyDescent="0.3">
      <c r="B539">
        <v>4511572216</v>
      </c>
      <c r="C539" t="s">
        <v>20</v>
      </c>
    </row>
    <row r="540" spans="2:3" x14ac:dyDescent="0.3">
      <c r="B540">
        <v>4511572214</v>
      </c>
      <c r="C540" t="s">
        <v>20</v>
      </c>
    </row>
    <row r="541" spans="2:3" x14ac:dyDescent="0.3">
      <c r="B541">
        <v>4511572214</v>
      </c>
      <c r="C541" t="s">
        <v>20</v>
      </c>
    </row>
    <row r="542" spans="2:3" x14ac:dyDescent="0.3">
      <c r="B542">
        <v>4511572213</v>
      </c>
      <c r="C542" t="s">
        <v>30</v>
      </c>
    </row>
    <row r="543" spans="2:3" x14ac:dyDescent="0.3">
      <c r="B543">
        <v>4511572196</v>
      </c>
      <c r="C543" t="s">
        <v>20</v>
      </c>
    </row>
    <row r="544" spans="2:3" x14ac:dyDescent="0.3">
      <c r="B544">
        <v>4511572194</v>
      </c>
      <c r="C544" t="s">
        <v>20</v>
      </c>
    </row>
    <row r="545" spans="2:3" x14ac:dyDescent="0.3">
      <c r="B545">
        <v>4511572194</v>
      </c>
      <c r="C545" t="s">
        <v>20</v>
      </c>
    </row>
    <row r="546" spans="2:3" x14ac:dyDescent="0.3">
      <c r="B546">
        <v>4511572194</v>
      </c>
      <c r="C546" t="s">
        <v>20</v>
      </c>
    </row>
    <row r="547" spans="2:3" x14ac:dyDescent="0.3">
      <c r="B547">
        <v>4511572194</v>
      </c>
      <c r="C547" t="s">
        <v>20</v>
      </c>
    </row>
    <row r="548" spans="2:3" x14ac:dyDescent="0.3">
      <c r="B548">
        <v>4511572194</v>
      </c>
      <c r="C548" t="s">
        <v>20</v>
      </c>
    </row>
    <row r="549" spans="2:3" x14ac:dyDescent="0.3">
      <c r="B549">
        <v>4511572194</v>
      </c>
      <c r="C549" t="s">
        <v>20</v>
      </c>
    </row>
    <row r="550" spans="2:3" x14ac:dyDescent="0.3">
      <c r="B550">
        <v>4511572194</v>
      </c>
      <c r="C550" t="s">
        <v>20</v>
      </c>
    </row>
    <row r="551" spans="2:3" x14ac:dyDescent="0.3">
      <c r="B551">
        <v>4511572194</v>
      </c>
      <c r="C551" t="s">
        <v>20</v>
      </c>
    </row>
    <row r="552" spans="2:3" x14ac:dyDescent="0.3">
      <c r="B552">
        <v>4511572194</v>
      </c>
      <c r="C552" t="s">
        <v>20</v>
      </c>
    </row>
    <row r="553" spans="2:3" x14ac:dyDescent="0.3">
      <c r="B553">
        <v>4511572194</v>
      </c>
      <c r="C553" t="s">
        <v>20</v>
      </c>
    </row>
    <row r="554" spans="2:3" x14ac:dyDescent="0.3">
      <c r="B554">
        <v>4511572192</v>
      </c>
      <c r="C554" t="s">
        <v>20</v>
      </c>
    </row>
    <row r="555" spans="2:3" x14ac:dyDescent="0.3">
      <c r="B555">
        <v>4511572192</v>
      </c>
      <c r="C555" t="s">
        <v>20</v>
      </c>
    </row>
    <row r="556" spans="2:3" x14ac:dyDescent="0.3">
      <c r="B556">
        <v>4511572191</v>
      </c>
      <c r="C556" t="s">
        <v>20</v>
      </c>
    </row>
    <row r="557" spans="2:3" x14ac:dyDescent="0.3">
      <c r="B557">
        <v>4511572191</v>
      </c>
      <c r="C557" t="s">
        <v>20</v>
      </c>
    </row>
    <row r="558" spans="2:3" x14ac:dyDescent="0.3">
      <c r="B558">
        <v>4511572191</v>
      </c>
      <c r="C558" t="s">
        <v>20</v>
      </c>
    </row>
    <row r="559" spans="2:3" x14ac:dyDescent="0.3">
      <c r="B559">
        <v>4511572191</v>
      </c>
      <c r="C559" t="s">
        <v>20</v>
      </c>
    </row>
    <row r="560" spans="2:3" x14ac:dyDescent="0.3">
      <c r="B560">
        <v>4511572191</v>
      </c>
      <c r="C560" t="s">
        <v>20</v>
      </c>
    </row>
    <row r="561" spans="2:3" x14ac:dyDescent="0.3">
      <c r="B561">
        <v>4511572191</v>
      </c>
      <c r="C561" t="s">
        <v>20</v>
      </c>
    </row>
    <row r="562" spans="2:3" x14ac:dyDescent="0.3">
      <c r="B562">
        <v>4511572191</v>
      </c>
      <c r="C562" t="s">
        <v>20</v>
      </c>
    </row>
    <row r="563" spans="2:3" x14ac:dyDescent="0.3">
      <c r="B563">
        <v>4511572191</v>
      </c>
      <c r="C563" t="s">
        <v>20</v>
      </c>
    </row>
    <row r="564" spans="2:3" x14ac:dyDescent="0.3">
      <c r="B564">
        <v>4511572191</v>
      </c>
      <c r="C564" t="s">
        <v>20</v>
      </c>
    </row>
    <row r="565" spans="2:3" x14ac:dyDescent="0.3">
      <c r="B565">
        <v>4511572191</v>
      </c>
      <c r="C565" t="s">
        <v>20</v>
      </c>
    </row>
    <row r="566" spans="2:3" x14ac:dyDescent="0.3">
      <c r="B566">
        <v>4511572191</v>
      </c>
      <c r="C566" t="s">
        <v>20</v>
      </c>
    </row>
    <row r="567" spans="2:3" x14ac:dyDescent="0.3">
      <c r="B567">
        <v>4511572191</v>
      </c>
      <c r="C567" t="s">
        <v>20</v>
      </c>
    </row>
    <row r="568" spans="2:3" x14ac:dyDescent="0.3">
      <c r="B568">
        <v>4511572191</v>
      </c>
      <c r="C568" t="s">
        <v>20</v>
      </c>
    </row>
    <row r="569" spans="2:3" x14ac:dyDescent="0.3">
      <c r="B569">
        <v>4511572190</v>
      </c>
      <c r="C569" t="s">
        <v>20</v>
      </c>
    </row>
    <row r="570" spans="2:3" x14ac:dyDescent="0.3">
      <c r="B570">
        <v>4511572190</v>
      </c>
      <c r="C570" t="s">
        <v>20</v>
      </c>
    </row>
    <row r="571" spans="2:3" x14ac:dyDescent="0.3">
      <c r="B571">
        <v>4511572185</v>
      </c>
      <c r="C571" t="s">
        <v>30</v>
      </c>
    </row>
    <row r="572" spans="2:3" x14ac:dyDescent="0.3">
      <c r="B572">
        <v>4511572185</v>
      </c>
      <c r="C572" t="s">
        <v>30</v>
      </c>
    </row>
    <row r="573" spans="2:3" x14ac:dyDescent="0.3">
      <c r="B573">
        <v>4511572185</v>
      </c>
      <c r="C573" t="s">
        <v>30</v>
      </c>
    </row>
    <row r="574" spans="2:3" x14ac:dyDescent="0.3">
      <c r="B574">
        <v>4511572185</v>
      </c>
      <c r="C574" t="s">
        <v>30</v>
      </c>
    </row>
    <row r="575" spans="2:3" x14ac:dyDescent="0.3">
      <c r="B575">
        <v>4511572179</v>
      </c>
      <c r="C575" t="s">
        <v>20</v>
      </c>
    </row>
    <row r="576" spans="2:3" x14ac:dyDescent="0.3">
      <c r="B576">
        <v>4511572179</v>
      </c>
      <c r="C576" t="s">
        <v>20</v>
      </c>
    </row>
    <row r="577" spans="2:3" x14ac:dyDescent="0.3">
      <c r="B577">
        <v>4511572179</v>
      </c>
      <c r="C577" t="s">
        <v>20</v>
      </c>
    </row>
    <row r="578" spans="2:3" x14ac:dyDescent="0.3">
      <c r="B578">
        <v>4511572175</v>
      </c>
      <c r="C578" t="s">
        <v>30</v>
      </c>
    </row>
    <row r="579" spans="2:3" x14ac:dyDescent="0.3">
      <c r="B579">
        <v>4511572175</v>
      </c>
      <c r="C579" t="s">
        <v>30</v>
      </c>
    </row>
    <row r="580" spans="2:3" x14ac:dyDescent="0.3">
      <c r="B580">
        <v>4511572175</v>
      </c>
      <c r="C580" t="s">
        <v>30</v>
      </c>
    </row>
    <row r="581" spans="2:3" x14ac:dyDescent="0.3">
      <c r="B581">
        <v>4511572175</v>
      </c>
      <c r="C581" t="s">
        <v>30</v>
      </c>
    </row>
    <row r="582" spans="2:3" x14ac:dyDescent="0.3">
      <c r="B582">
        <v>4511572175</v>
      </c>
      <c r="C582" t="s">
        <v>30</v>
      </c>
    </row>
    <row r="583" spans="2:3" x14ac:dyDescent="0.3">
      <c r="B583">
        <v>4511572175</v>
      </c>
      <c r="C583" t="s">
        <v>30</v>
      </c>
    </row>
    <row r="584" spans="2:3" x14ac:dyDescent="0.3">
      <c r="B584">
        <v>4511572175</v>
      </c>
      <c r="C584" t="s">
        <v>30</v>
      </c>
    </row>
    <row r="585" spans="2:3" x14ac:dyDescent="0.3">
      <c r="B585">
        <v>4511572175</v>
      </c>
      <c r="C585" t="s">
        <v>30</v>
      </c>
    </row>
    <row r="586" spans="2:3" x14ac:dyDescent="0.3">
      <c r="B586">
        <v>4511572175</v>
      </c>
      <c r="C586" t="s">
        <v>30</v>
      </c>
    </row>
    <row r="587" spans="2:3" x14ac:dyDescent="0.3">
      <c r="B587">
        <v>4511572175</v>
      </c>
      <c r="C587" t="s">
        <v>30</v>
      </c>
    </row>
    <row r="588" spans="2:3" x14ac:dyDescent="0.3">
      <c r="B588">
        <v>4511572175</v>
      </c>
      <c r="C588" t="s">
        <v>30</v>
      </c>
    </row>
    <row r="589" spans="2:3" x14ac:dyDescent="0.3">
      <c r="B589">
        <v>4511572175</v>
      </c>
      <c r="C589" t="s">
        <v>30</v>
      </c>
    </row>
    <row r="590" spans="2:3" x14ac:dyDescent="0.3">
      <c r="B590">
        <v>4511572175</v>
      </c>
      <c r="C590" t="s">
        <v>30</v>
      </c>
    </row>
    <row r="591" spans="2:3" x14ac:dyDescent="0.3">
      <c r="B591">
        <v>4511572175</v>
      </c>
      <c r="C591" t="s">
        <v>30</v>
      </c>
    </row>
    <row r="592" spans="2:3" x14ac:dyDescent="0.3">
      <c r="B592">
        <v>4511572175</v>
      </c>
      <c r="C592" t="s">
        <v>30</v>
      </c>
    </row>
    <row r="593" spans="2:3" x14ac:dyDescent="0.3">
      <c r="B593">
        <v>4511572175</v>
      </c>
      <c r="C593" t="s">
        <v>30</v>
      </c>
    </row>
    <row r="594" spans="2:3" x14ac:dyDescent="0.3">
      <c r="B594">
        <v>4511572175</v>
      </c>
      <c r="C594" t="s">
        <v>30</v>
      </c>
    </row>
    <row r="595" spans="2:3" x14ac:dyDescent="0.3">
      <c r="B595">
        <v>4511572173</v>
      </c>
      <c r="C595" t="s">
        <v>20</v>
      </c>
    </row>
    <row r="596" spans="2:3" x14ac:dyDescent="0.3">
      <c r="B596">
        <v>4511572173</v>
      </c>
      <c r="C596" t="s">
        <v>20</v>
      </c>
    </row>
    <row r="597" spans="2:3" x14ac:dyDescent="0.3">
      <c r="B597">
        <v>4511572171</v>
      </c>
      <c r="C597" t="s">
        <v>20</v>
      </c>
    </row>
    <row r="598" spans="2:3" x14ac:dyDescent="0.3">
      <c r="B598">
        <v>4511572171</v>
      </c>
      <c r="C598" t="s">
        <v>20</v>
      </c>
    </row>
    <row r="599" spans="2:3" x14ac:dyDescent="0.3">
      <c r="B599">
        <v>4511572171</v>
      </c>
      <c r="C599" t="s">
        <v>20</v>
      </c>
    </row>
    <row r="600" spans="2:3" x14ac:dyDescent="0.3">
      <c r="B600">
        <v>4511572169</v>
      </c>
      <c r="C600" t="s">
        <v>20</v>
      </c>
    </row>
    <row r="601" spans="2:3" x14ac:dyDescent="0.3">
      <c r="B601">
        <v>4511572169</v>
      </c>
      <c r="C601" t="s">
        <v>20</v>
      </c>
    </row>
    <row r="602" spans="2:3" x14ac:dyDescent="0.3">
      <c r="B602">
        <v>4511572168</v>
      </c>
      <c r="C602" t="s">
        <v>30</v>
      </c>
    </row>
    <row r="603" spans="2:3" x14ac:dyDescent="0.3">
      <c r="B603">
        <v>4511572168</v>
      </c>
      <c r="C603" t="s">
        <v>30</v>
      </c>
    </row>
    <row r="604" spans="2:3" x14ac:dyDescent="0.3">
      <c r="B604">
        <v>4511572168</v>
      </c>
      <c r="C604" t="s">
        <v>30</v>
      </c>
    </row>
    <row r="605" spans="2:3" x14ac:dyDescent="0.3">
      <c r="B605">
        <v>4511572168</v>
      </c>
      <c r="C605" t="s">
        <v>30</v>
      </c>
    </row>
    <row r="606" spans="2:3" x14ac:dyDescent="0.3">
      <c r="B606">
        <v>4511572168</v>
      </c>
      <c r="C606" t="s">
        <v>30</v>
      </c>
    </row>
    <row r="607" spans="2:3" x14ac:dyDescent="0.3">
      <c r="B607">
        <v>4511572167</v>
      </c>
      <c r="C607" t="s">
        <v>20</v>
      </c>
    </row>
    <row r="608" spans="2:3" x14ac:dyDescent="0.3">
      <c r="B608">
        <v>4511572161</v>
      </c>
      <c r="C608" t="s">
        <v>30</v>
      </c>
    </row>
    <row r="609" spans="2:3" x14ac:dyDescent="0.3">
      <c r="B609">
        <v>4511572148</v>
      </c>
      <c r="C609" t="s">
        <v>30</v>
      </c>
    </row>
    <row r="610" spans="2:3" x14ac:dyDescent="0.3">
      <c r="B610">
        <v>4511572148</v>
      </c>
      <c r="C610" t="s">
        <v>30</v>
      </c>
    </row>
    <row r="611" spans="2:3" x14ac:dyDescent="0.3">
      <c r="B611">
        <v>4511572148</v>
      </c>
      <c r="C611" t="s">
        <v>30</v>
      </c>
    </row>
    <row r="612" spans="2:3" x14ac:dyDescent="0.3">
      <c r="B612">
        <v>4511572141</v>
      </c>
      <c r="C612" t="s">
        <v>20</v>
      </c>
    </row>
    <row r="613" spans="2:3" x14ac:dyDescent="0.3">
      <c r="B613">
        <v>4511572090</v>
      </c>
      <c r="C613" t="s">
        <v>20</v>
      </c>
    </row>
    <row r="614" spans="2:3" x14ac:dyDescent="0.3">
      <c r="B614">
        <v>4511572077</v>
      </c>
      <c r="C614" t="s">
        <v>18</v>
      </c>
    </row>
    <row r="615" spans="2:3" x14ac:dyDescent="0.3">
      <c r="B615">
        <v>4511572077</v>
      </c>
      <c r="C615" t="s">
        <v>18</v>
      </c>
    </row>
    <row r="616" spans="2:3" x14ac:dyDescent="0.3">
      <c r="B616">
        <v>4511572077</v>
      </c>
      <c r="C616" t="s">
        <v>18</v>
      </c>
    </row>
    <row r="617" spans="2:3" x14ac:dyDescent="0.3">
      <c r="B617">
        <v>4511572044</v>
      </c>
      <c r="C617" t="s">
        <v>30</v>
      </c>
    </row>
    <row r="618" spans="2:3" x14ac:dyDescent="0.3">
      <c r="B618">
        <v>4511572044</v>
      </c>
      <c r="C618" t="s">
        <v>30</v>
      </c>
    </row>
    <row r="619" spans="2:3" x14ac:dyDescent="0.3">
      <c r="B619">
        <v>4511572044</v>
      </c>
      <c r="C619" t="s">
        <v>30</v>
      </c>
    </row>
    <row r="620" spans="2:3" x14ac:dyDescent="0.3">
      <c r="B620">
        <v>4511572044</v>
      </c>
      <c r="C620" t="s">
        <v>30</v>
      </c>
    </row>
    <row r="621" spans="2:3" x14ac:dyDescent="0.3">
      <c r="B621">
        <v>4511572044</v>
      </c>
      <c r="C621" t="s">
        <v>30</v>
      </c>
    </row>
    <row r="622" spans="2:3" x14ac:dyDescent="0.3">
      <c r="B622">
        <v>4511572041</v>
      </c>
      <c r="C622" t="s">
        <v>20</v>
      </c>
    </row>
    <row r="623" spans="2:3" x14ac:dyDescent="0.3">
      <c r="B623">
        <v>4511572041</v>
      </c>
      <c r="C623" t="s">
        <v>20</v>
      </c>
    </row>
    <row r="624" spans="2:3" x14ac:dyDescent="0.3">
      <c r="B624">
        <v>4511572041</v>
      </c>
      <c r="C624" t="s">
        <v>20</v>
      </c>
    </row>
    <row r="625" spans="2:3" x14ac:dyDescent="0.3">
      <c r="B625">
        <v>4511572041</v>
      </c>
      <c r="C625" t="s">
        <v>20</v>
      </c>
    </row>
    <row r="626" spans="2:3" x14ac:dyDescent="0.3">
      <c r="B626">
        <v>4511572041</v>
      </c>
      <c r="C626" t="s">
        <v>20</v>
      </c>
    </row>
    <row r="627" spans="2:3" x14ac:dyDescent="0.3">
      <c r="B627">
        <v>4511572038</v>
      </c>
      <c r="C627" t="s">
        <v>20</v>
      </c>
    </row>
    <row r="628" spans="2:3" x14ac:dyDescent="0.3">
      <c r="B628">
        <v>4511572038</v>
      </c>
      <c r="C628" t="s">
        <v>20</v>
      </c>
    </row>
    <row r="629" spans="2:3" x14ac:dyDescent="0.3">
      <c r="B629">
        <v>4511572038</v>
      </c>
      <c r="C629" t="s">
        <v>20</v>
      </c>
    </row>
    <row r="630" spans="2:3" x14ac:dyDescent="0.3">
      <c r="B630">
        <v>4511572038</v>
      </c>
      <c r="C630" t="s">
        <v>20</v>
      </c>
    </row>
    <row r="631" spans="2:3" x14ac:dyDescent="0.3">
      <c r="B631">
        <v>4511572038</v>
      </c>
      <c r="C631" t="s">
        <v>20</v>
      </c>
    </row>
    <row r="632" spans="2:3" x14ac:dyDescent="0.3">
      <c r="B632">
        <v>4511572038</v>
      </c>
      <c r="C632" t="s">
        <v>20</v>
      </c>
    </row>
    <row r="633" spans="2:3" x14ac:dyDescent="0.3">
      <c r="B633">
        <v>4511572038</v>
      </c>
      <c r="C633" t="s">
        <v>20</v>
      </c>
    </row>
    <row r="634" spans="2:3" x14ac:dyDescent="0.3">
      <c r="B634">
        <v>4511572038</v>
      </c>
      <c r="C634" t="s">
        <v>20</v>
      </c>
    </row>
    <row r="635" spans="2:3" x14ac:dyDescent="0.3">
      <c r="B635">
        <v>4511572038</v>
      </c>
      <c r="C635" t="s">
        <v>20</v>
      </c>
    </row>
    <row r="636" spans="2:3" x14ac:dyDescent="0.3">
      <c r="B636">
        <v>4511572038</v>
      </c>
      <c r="C636" t="s">
        <v>20</v>
      </c>
    </row>
    <row r="637" spans="2:3" x14ac:dyDescent="0.3">
      <c r="B637">
        <v>4511572038</v>
      </c>
      <c r="C637" t="s">
        <v>20</v>
      </c>
    </row>
    <row r="638" spans="2:3" x14ac:dyDescent="0.3">
      <c r="B638">
        <v>4511572038</v>
      </c>
      <c r="C638" t="s">
        <v>20</v>
      </c>
    </row>
    <row r="639" spans="2:3" x14ac:dyDescent="0.3">
      <c r="B639">
        <v>4511572038</v>
      </c>
      <c r="C639" t="s">
        <v>20</v>
      </c>
    </row>
    <row r="640" spans="2:3" x14ac:dyDescent="0.3">
      <c r="B640">
        <v>4511572036</v>
      </c>
      <c r="C640" t="s">
        <v>20</v>
      </c>
    </row>
    <row r="641" spans="2:3" x14ac:dyDescent="0.3">
      <c r="B641">
        <v>4511572036</v>
      </c>
      <c r="C641" t="s">
        <v>20</v>
      </c>
    </row>
    <row r="642" spans="2:3" x14ac:dyDescent="0.3">
      <c r="B642">
        <v>4511572034</v>
      </c>
      <c r="C642" t="s">
        <v>20</v>
      </c>
    </row>
    <row r="643" spans="2:3" x14ac:dyDescent="0.3">
      <c r="B643">
        <v>4511572034</v>
      </c>
      <c r="C643" t="s">
        <v>20</v>
      </c>
    </row>
    <row r="644" spans="2:3" x14ac:dyDescent="0.3">
      <c r="B644">
        <v>4511572032</v>
      </c>
      <c r="C644" t="s">
        <v>20</v>
      </c>
    </row>
    <row r="645" spans="2:3" x14ac:dyDescent="0.3">
      <c r="B645">
        <v>4511571990</v>
      </c>
      <c r="C645" t="s">
        <v>30</v>
      </c>
    </row>
    <row r="646" spans="2:3" x14ac:dyDescent="0.3">
      <c r="B646">
        <v>4511571990</v>
      </c>
      <c r="C646" t="s">
        <v>30</v>
      </c>
    </row>
    <row r="647" spans="2:3" x14ac:dyDescent="0.3">
      <c r="B647">
        <v>4511571989</v>
      </c>
      <c r="C647" t="s">
        <v>30</v>
      </c>
    </row>
    <row r="648" spans="2:3" x14ac:dyDescent="0.3">
      <c r="B648">
        <v>4511571989</v>
      </c>
      <c r="C648" t="s">
        <v>30</v>
      </c>
    </row>
    <row r="649" spans="2:3" x14ac:dyDescent="0.3">
      <c r="B649">
        <v>4511571989</v>
      </c>
      <c r="C649" t="s">
        <v>30</v>
      </c>
    </row>
    <row r="650" spans="2:3" x14ac:dyDescent="0.3">
      <c r="B650">
        <v>4511571989</v>
      </c>
      <c r="C650" t="s">
        <v>30</v>
      </c>
    </row>
    <row r="651" spans="2:3" x14ac:dyDescent="0.3">
      <c r="B651">
        <v>4511571989</v>
      </c>
      <c r="C651" t="s">
        <v>30</v>
      </c>
    </row>
    <row r="652" spans="2:3" x14ac:dyDescent="0.3">
      <c r="B652">
        <v>4511571989</v>
      </c>
      <c r="C652" t="s">
        <v>30</v>
      </c>
    </row>
    <row r="653" spans="2:3" x14ac:dyDescent="0.3">
      <c r="B653">
        <v>4511571989</v>
      </c>
      <c r="C653" t="s">
        <v>30</v>
      </c>
    </row>
    <row r="654" spans="2:3" x14ac:dyDescent="0.3">
      <c r="B654">
        <v>4511571989</v>
      </c>
      <c r="C654" t="s">
        <v>30</v>
      </c>
    </row>
    <row r="655" spans="2:3" x14ac:dyDescent="0.3">
      <c r="B655">
        <v>4511571989</v>
      </c>
      <c r="C655" t="s">
        <v>30</v>
      </c>
    </row>
    <row r="656" spans="2:3" x14ac:dyDescent="0.3">
      <c r="B656">
        <v>4511571989</v>
      </c>
      <c r="C656" t="s">
        <v>30</v>
      </c>
    </row>
    <row r="657" spans="2:3" x14ac:dyDescent="0.3">
      <c r="B657">
        <v>4511571989</v>
      </c>
      <c r="C657" t="s">
        <v>30</v>
      </c>
    </row>
    <row r="658" spans="2:3" x14ac:dyDescent="0.3">
      <c r="B658">
        <v>4511571989</v>
      </c>
      <c r="C658" t="s">
        <v>30</v>
      </c>
    </row>
    <row r="659" spans="2:3" x14ac:dyDescent="0.3">
      <c r="B659">
        <v>4511571989</v>
      </c>
      <c r="C659" t="s">
        <v>30</v>
      </c>
    </row>
    <row r="660" spans="2:3" x14ac:dyDescent="0.3">
      <c r="B660">
        <v>4511571989</v>
      </c>
      <c r="C660" t="s">
        <v>30</v>
      </c>
    </row>
    <row r="661" spans="2:3" x14ac:dyDescent="0.3">
      <c r="B661">
        <v>4511571989</v>
      </c>
      <c r="C661" t="s">
        <v>30</v>
      </c>
    </row>
    <row r="662" spans="2:3" x14ac:dyDescent="0.3">
      <c r="B662">
        <v>4511571989</v>
      </c>
      <c r="C662" t="s">
        <v>30</v>
      </c>
    </row>
    <row r="663" spans="2:3" x14ac:dyDescent="0.3">
      <c r="B663">
        <v>4511571989</v>
      </c>
      <c r="C663" t="s">
        <v>30</v>
      </c>
    </row>
    <row r="664" spans="2:3" x14ac:dyDescent="0.3">
      <c r="B664">
        <v>4511571989</v>
      </c>
      <c r="C664" t="s">
        <v>30</v>
      </c>
    </row>
    <row r="665" spans="2:3" x14ac:dyDescent="0.3">
      <c r="B665">
        <v>4511571989</v>
      </c>
      <c r="C665" t="s">
        <v>30</v>
      </c>
    </row>
    <row r="666" spans="2:3" x14ac:dyDescent="0.3">
      <c r="B666">
        <v>4511571989</v>
      </c>
      <c r="C666" t="s">
        <v>30</v>
      </c>
    </row>
    <row r="667" spans="2:3" x14ac:dyDescent="0.3">
      <c r="B667">
        <v>4511571989</v>
      </c>
      <c r="C667" t="s">
        <v>30</v>
      </c>
    </row>
    <row r="668" spans="2:3" x14ac:dyDescent="0.3">
      <c r="B668">
        <v>4511571989</v>
      </c>
      <c r="C668" t="s">
        <v>30</v>
      </c>
    </row>
    <row r="669" spans="2:3" x14ac:dyDescent="0.3">
      <c r="B669">
        <v>4511571989</v>
      </c>
      <c r="C669" t="s">
        <v>30</v>
      </c>
    </row>
    <row r="670" spans="2:3" x14ac:dyDescent="0.3">
      <c r="B670">
        <v>4511571989</v>
      </c>
      <c r="C670" t="s">
        <v>30</v>
      </c>
    </row>
    <row r="671" spans="2:3" x14ac:dyDescent="0.3">
      <c r="B671">
        <v>4511571989</v>
      </c>
      <c r="C671" t="s">
        <v>30</v>
      </c>
    </row>
    <row r="672" spans="2:3" x14ac:dyDescent="0.3">
      <c r="B672">
        <v>4511571989</v>
      </c>
      <c r="C672" t="s">
        <v>30</v>
      </c>
    </row>
    <row r="673" spans="2:3" x14ac:dyDescent="0.3">
      <c r="B673">
        <v>4511571989</v>
      </c>
      <c r="C673" t="s">
        <v>30</v>
      </c>
    </row>
    <row r="674" spans="2:3" x14ac:dyDescent="0.3">
      <c r="B674">
        <v>4511571989</v>
      </c>
      <c r="C674" t="s">
        <v>30</v>
      </c>
    </row>
    <row r="675" spans="2:3" x14ac:dyDescent="0.3">
      <c r="B675">
        <v>4511571989</v>
      </c>
      <c r="C675" t="s">
        <v>30</v>
      </c>
    </row>
    <row r="676" spans="2:3" x14ac:dyDescent="0.3">
      <c r="B676">
        <v>4511571989</v>
      </c>
      <c r="C676" t="s">
        <v>30</v>
      </c>
    </row>
    <row r="677" spans="2:3" x14ac:dyDescent="0.3">
      <c r="B677">
        <v>4511571989</v>
      </c>
      <c r="C677" t="s">
        <v>30</v>
      </c>
    </row>
    <row r="678" spans="2:3" x14ac:dyDescent="0.3">
      <c r="B678">
        <v>4511571989</v>
      </c>
      <c r="C678" t="s">
        <v>30</v>
      </c>
    </row>
    <row r="679" spans="2:3" x14ac:dyDescent="0.3">
      <c r="B679">
        <v>4511571986</v>
      </c>
      <c r="C679" t="s">
        <v>18</v>
      </c>
    </row>
    <row r="680" spans="2:3" x14ac:dyDescent="0.3">
      <c r="B680">
        <v>4511571986</v>
      </c>
      <c r="C680" t="s">
        <v>18</v>
      </c>
    </row>
    <row r="681" spans="2:3" x14ac:dyDescent="0.3">
      <c r="B681">
        <v>4511571986</v>
      </c>
      <c r="C681" t="s">
        <v>18</v>
      </c>
    </row>
    <row r="682" spans="2:3" x14ac:dyDescent="0.3">
      <c r="B682">
        <v>4511571986</v>
      </c>
      <c r="C682" t="s">
        <v>18</v>
      </c>
    </row>
    <row r="683" spans="2:3" x14ac:dyDescent="0.3">
      <c r="B683">
        <v>4511571986</v>
      </c>
      <c r="C683" t="s">
        <v>18</v>
      </c>
    </row>
    <row r="684" spans="2:3" x14ac:dyDescent="0.3">
      <c r="B684">
        <v>4511571986</v>
      </c>
      <c r="C684" t="s">
        <v>18</v>
      </c>
    </row>
    <row r="685" spans="2:3" x14ac:dyDescent="0.3">
      <c r="B685">
        <v>4511571986</v>
      </c>
      <c r="C685" t="s">
        <v>18</v>
      </c>
    </row>
    <row r="686" spans="2:3" x14ac:dyDescent="0.3">
      <c r="B686">
        <v>4511571986</v>
      </c>
      <c r="C686" t="s">
        <v>18</v>
      </c>
    </row>
    <row r="687" spans="2:3" x14ac:dyDescent="0.3">
      <c r="B687">
        <v>4511571986</v>
      </c>
      <c r="C687" t="s">
        <v>18</v>
      </c>
    </row>
    <row r="688" spans="2:3" x14ac:dyDescent="0.3">
      <c r="B688">
        <v>4511571986</v>
      </c>
      <c r="C688" t="s">
        <v>18</v>
      </c>
    </row>
    <row r="689" spans="2:3" x14ac:dyDescent="0.3">
      <c r="B689">
        <v>4511571986</v>
      </c>
      <c r="C689" t="s">
        <v>18</v>
      </c>
    </row>
    <row r="690" spans="2:3" x14ac:dyDescent="0.3">
      <c r="B690">
        <v>4511571986</v>
      </c>
      <c r="C690" t="s">
        <v>18</v>
      </c>
    </row>
    <row r="691" spans="2:3" x14ac:dyDescent="0.3">
      <c r="B691">
        <v>4511571986</v>
      </c>
      <c r="C691" t="s">
        <v>18</v>
      </c>
    </row>
    <row r="692" spans="2:3" x14ac:dyDescent="0.3">
      <c r="B692">
        <v>4511571986</v>
      </c>
      <c r="C692" t="s">
        <v>18</v>
      </c>
    </row>
    <row r="693" spans="2:3" x14ac:dyDescent="0.3">
      <c r="B693">
        <v>4511571986</v>
      </c>
      <c r="C693" t="s">
        <v>18</v>
      </c>
    </row>
    <row r="694" spans="2:3" x14ac:dyDescent="0.3">
      <c r="B694">
        <v>4511571986</v>
      </c>
      <c r="C694" t="s">
        <v>18</v>
      </c>
    </row>
    <row r="695" spans="2:3" x14ac:dyDescent="0.3">
      <c r="B695">
        <v>4511571986</v>
      </c>
      <c r="C695" t="s">
        <v>18</v>
      </c>
    </row>
    <row r="696" spans="2:3" x14ac:dyDescent="0.3">
      <c r="B696">
        <v>4511571986</v>
      </c>
      <c r="C696" t="s">
        <v>18</v>
      </c>
    </row>
    <row r="697" spans="2:3" x14ac:dyDescent="0.3">
      <c r="B697">
        <v>4511571981</v>
      </c>
      <c r="C697" t="s">
        <v>18</v>
      </c>
    </row>
    <row r="698" spans="2:3" x14ac:dyDescent="0.3">
      <c r="B698">
        <v>4511571981</v>
      </c>
      <c r="C698" t="s">
        <v>18</v>
      </c>
    </row>
    <row r="699" spans="2:3" x14ac:dyDescent="0.3">
      <c r="B699">
        <v>4511571981</v>
      </c>
      <c r="C699" t="s">
        <v>18</v>
      </c>
    </row>
    <row r="700" spans="2:3" x14ac:dyDescent="0.3">
      <c r="B700">
        <v>4511571981</v>
      </c>
      <c r="C700" t="s">
        <v>18</v>
      </c>
    </row>
    <row r="701" spans="2:3" x14ac:dyDescent="0.3">
      <c r="B701">
        <v>4511571981</v>
      </c>
      <c r="C701" t="s">
        <v>18</v>
      </c>
    </row>
    <row r="702" spans="2:3" x14ac:dyDescent="0.3">
      <c r="B702">
        <v>4511571981</v>
      </c>
      <c r="C702" t="s">
        <v>18</v>
      </c>
    </row>
    <row r="703" spans="2:3" x14ac:dyDescent="0.3">
      <c r="B703">
        <v>4511571981</v>
      </c>
      <c r="C703" t="s">
        <v>18</v>
      </c>
    </row>
    <row r="704" spans="2:3" x14ac:dyDescent="0.3">
      <c r="B704">
        <v>4511571981</v>
      </c>
      <c r="C704" t="s">
        <v>18</v>
      </c>
    </row>
    <row r="705" spans="2:3" x14ac:dyDescent="0.3">
      <c r="B705">
        <v>4511571956</v>
      </c>
      <c r="C705" t="s">
        <v>20</v>
      </c>
    </row>
    <row r="706" spans="2:3" x14ac:dyDescent="0.3">
      <c r="B706">
        <v>4511571952</v>
      </c>
      <c r="C706" t="s">
        <v>20</v>
      </c>
    </row>
    <row r="707" spans="2:3" x14ac:dyDescent="0.3">
      <c r="B707">
        <v>4511571951</v>
      </c>
      <c r="C707" t="s">
        <v>20</v>
      </c>
    </row>
    <row r="708" spans="2:3" x14ac:dyDescent="0.3">
      <c r="B708">
        <v>4511571950</v>
      </c>
      <c r="C708" t="s">
        <v>20</v>
      </c>
    </row>
    <row r="709" spans="2:3" x14ac:dyDescent="0.3">
      <c r="B709">
        <v>4511571911</v>
      </c>
      <c r="C709" t="s">
        <v>30</v>
      </c>
    </row>
    <row r="710" spans="2:3" x14ac:dyDescent="0.3">
      <c r="B710">
        <v>4511571902</v>
      </c>
      <c r="C710" t="s">
        <v>30</v>
      </c>
    </row>
    <row r="711" spans="2:3" x14ac:dyDescent="0.3">
      <c r="B711">
        <v>4511571828</v>
      </c>
      <c r="C711" t="s">
        <v>30</v>
      </c>
    </row>
    <row r="712" spans="2:3" x14ac:dyDescent="0.3">
      <c r="B712">
        <v>4511571823</v>
      </c>
      <c r="C712" t="s">
        <v>30</v>
      </c>
    </row>
    <row r="713" spans="2:3" x14ac:dyDescent="0.3">
      <c r="B713">
        <v>4511571810</v>
      </c>
      <c r="C713" t="s">
        <v>30</v>
      </c>
    </row>
    <row r="714" spans="2:3" x14ac:dyDescent="0.3">
      <c r="B714">
        <v>4511571794</v>
      </c>
      <c r="C714" t="s">
        <v>30</v>
      </c>
    </row>
    <row r="715" spans="2:3" x14ac:dyDescent="0.3">
      <c r="B715">
        <v>4511571783</v>
      </c>
      <c r="C715" t="s">
        <v>30</v>
      </c>
    </row>
    <row r="716" spans="2:3" x14ac:dyDescent="0.3">
      <c r="B716">
        <v>4511571783</v>
      </c>
      <c r="C716" t="s">
        <v>30</v>
      </c>
    </row>
    <row r="717" spans="2:3" x14ac:dyDescent="0.3">
      <c r="B717">
        <v>4511571782</v>
      </c>
      <c r="C717" t="s">
        <v>30</v>
      </c>
    </row>
    <row r="718" spans="2:3" x14ac:dyDescent="0.3">
      <c r="B718">
        <v>4511571778</v>
      </c>
      <c r="C718" t="s">
        <v>20</v>
      </c>
    </row>
    <row r="719" spans="2:3" x14ac:dyDescent="0.3">
      <c r="B719">
        <v>4511571774</v>
      </c>
      <c r="C719" t="s">
        <v>18</v>
      </c>
    </row>
    <row r="720" spans="2:3" x14ac:dyDescent="0.3">
      <c r="B720">
        <v>4511571772</v>
      </c>
      <c r="C720" t="s">
        <v>18</v>
      </c>
    </row>
    <row r="721" spans="2:3" x14ac:dyDescent="0.3">
      <c r="B721">
        <v>4511571772</v>
      </c>
      <c r="C721" t="s">
        <v>18</v>
      </c>
    </row>
    <row r="722" spans="2:3" x14ac:dyDescent="0.3">
      <c r="B722">
        <v>4511571772</v>
      </c>
      <c r="C722" t="s">
        <v>18</v>
      </c>
    </row>
    <row r="723" spans="2:3" x14ac:dyDescent="0.3">
      <c r="B723">
        <v>4511571762</v>
      </c>
      <c r="C723" t="s">
        <v>30</v>
      </c>
    </row>
    <row r="724" spans="2:3" x14ac:dyDescent="0.3">
      <c r="B724">
        <v>4511571756</v>
      </c>
      <c r="C724" t="s">
        <v>20</v>
      </c>
    </row>
    <row r="725" spans="2:3" x14ac:dyDescent="0.3">
      <c r="B725">
        <v>4511571756</v>
      </c>
      <c r="C725" t="s">
        <v>20</v>
      </c>
    </row>
    <row r="726" spans="2:3" x14ac:dyDescent="0.3">
      <c r="B726">
        <v>4511571753</v>
      </c>
      <c r="C726" t="s">
        <v>20</v>
      </c>
    </row>
    <row r="727" spans="2:3" x14ac:dyDescent="0.3">
      <c r="B727">
        <v>4511571750</v>
      </c>
      <c r="C727" t="s">
        <v>20</v>
      </c>
    </row>
    <row r="728" spans="2:3" x14ac:dyDescent="0.3">
      <c r="B728">
        <v>4511571748</v>
      </c>
      <c r="C728" t="s">
        <v>20</v>
      </c>
    </row>
    <row r="729" spans="2:3" x14ac:dyDescent="0.3">
      <c r="B729">
        <v>4511571743</v>
      </c>
      <c r="C729" t="s">
        <v>18</v>
      </c>
    </row>
    <row r="730" spans="2:3" x14ac:dyDescent="0.3">
      <c r="B730">
        <v>4511571742</v>
      </c>
      <c r="C730" t="s">
        <v>20</v>
      </c>
    </row>
    <row r="731" spans="2:3" x14ac:dyDescent="0.3">
      <c r="B731">
        <v>4511571742</v>
      </c>
      <c r="C731" t="s">
        <v>20</v>
      </c>
    </row>
    <row r="732" spans="2:3" x14ac:dyDescent="0.3">
      <c r="B732">
        <v>4511571740</v>
      </c>
      <c r="C732" t="s">
        <v>18</v>
      </c>
    </row>
    <row r="733" spans="2:3" x14ac:dyDescent="0.3">
      <c r="B733">
        <v>4511571735</v>
      </c>
      <c r="C733" t="s">
        <v>20</v>
      </c>
    </row>
    <row r="734" spans="2:3" x14ac:dyDescent="0.3">
      <c r="B734">
        <v>4511571735</v>
      </c>
      <c r="C734" t="s">
        <v>20</v>
      </c>
    </row>
    <row r="735" spans="2:3" x14ac:dyDescent="0.3">
      <c r="B735">
        <v>4511571696</v>
      </c>
      <c r="C735" t="s">
        <v>18</v>
      </c>
    </row>
    <row r="736" spans="2:3" x14ac:dyDescent="0.3">
      <c r="B736">
        <v>4511571679</v>
      </c>
      <c r="C736" t="s">
        <v>30</v>
      </c>
    </row>
    <row r="737" spans="2:3" x14ac:dyDescent="0.3">
      <c r="B737">
        <v>4511571679</v>
      </c>
      <c r="C737" t="s">
        <v>30</v>
      </c>
    </row>
    <row r="738" spans="2:3" x14ac:dyDescent="0.3">
      <c r="B738">
        <v>4511571679</v>
      </c>
      <c r="C738" t="s">
        <v>30</v>
      </c>
    </row>
    <row r="739" spans="2:3" x14ac:dyDescent="0.3">
      <c r="B739">
        <v>4511571679</v>
      </c>
      <c r="C739" t="s">
        <v>30</v>
      </c>
    </row>
    <row r="740" spans="2:3" x14ac:dyDescent="0.3">
      <c r="B740">
        <v>4511571679</v>
      </c>
      <c r="C740" t="s">
        <v>30</v>
      </c>
    </row>
    <row r="741" spans="2:3" x14ac:dyDescent="0.3">
      <c r="B741">
        <v>4511571679</v>
      </c>
      <c r="C741" t="s">
        <v>30</v>
      </c>
    </row>
    <row r="742" spans="2:3" x14ac:dyDescent="0.3">
      <c r="B742">
        <v>4511571679</v>
      </c>
      <c r="C742" t="s">
        <v>30</v>
      </c>
    </row>
    <row r="743" spans="2:3" x14ac:dyDescent="0.3">
      <c r="B743">
        <v>4511571679</v>
      </c>
      <c r="C743" t="s">
        <v>30</v>
      </c>
    </row>
    <row r="744" spans="2:3" x14ac:dyDescent="0.3">
      <c r="B744">
        <v>4511571679</v>
      </c>
      <c r="C744" t="s">
        <v>30</v>
      </c>
    </row>
    <row r="745" spans="2:3" x14ac:dyDescent="0.3">
      <c r="B745">
        <v>4511571679</v>
      </c>
      <c r="C745" t="s">
        <v>30</v>
      </c>
    </row>
    <row r="746" spans="2:3" x14ac:dyDescent="0.3">
      <c r="B746">
        <v>4511571679</v>
      </c>
      <c r="C746" t="s">
        <v>30</v>
      </c>
    </row>
    <row r="747" spans="2:3" x14ac:dyDescent="0.3">
      <c r="B747">
        <v>4511571679</v>
      </c>
      <c r="C747" t="s">
        <v>30</v>
      </c>
    </row>
    <row r="748" spans="2:3" x14ac:dyDescent="0.3">
      <c r="B748">
        <v>4511571679</v>
      </c>
      <c r="C748" t="s">
        <v>30</v>
      </c>
    </row>
    <row r="749" spans="2:3" x14ac:dyDescent="0.3">
      <c r="B749">
        <v>4511571679</v>
      </c>
      <c r="C749" t="s">
        <v>30</v>
      </c>
    </row>
    <row r="750" spans="2:3" x14ac:dyDescent="0.3">
      <c r="B750">
        <v>4511571679</v>
      </c>
      <c r="C750" t="s">
        <v>30</v>
      </c>
    </row>
    <row r="751" spans="2:3" x14ac:dyDescent="0.3">
      <c r="B751">
        <v>4511571650</v>
      </c>
      <c r="C751" t="s">
        <v>30</v>
      </c>
    </row>
    <row r="752" spans="2:3" x14ac:dyDescent="0.3">
      <c r="B752">
        <v>4511571649</v>
      </c>
      <c r="C752" t="s">
        <v>30</v>
      </c>
    </row>
    <row r="753" spans="2:3" x14ac:dyDescent="0.3">
      <c r="B753">
        <v>4511571649</v>
      </c>
      <c r="C753" t="s">
        <v>30</v>
      </c>
    </row>
    <row r="754" spans="2:3" x14ac:dyDescent="0.3">
      <c r="B754">
        <v>4511571649</v>
      </c>
      <c r="C754" t="s">
        <v>30</v>
      </c>
    </row>
    <row r="755" spans="2:3" x14ac:dyDescent="0.3">
      <c r="B755">
        <v>4511571649</v>
      </c>
      <c r="C755" t="s">
        <v>30</v>
      </c>
    </row>
    <row r="756" spans="2:3" x14ac:dyDescent="0.3">
      <c r="B756">
        <v>4511571649</v>
      </c>
      <c r="C756" t="s">
        <v>30</v>
      </c>
    </row>
    <row r="757" spans="2:3" x14ac:dyDescent="0.3">
      <c r="B757">
        <v>4511571649</v>
      </c>
      <c r="C757" t="s">
        <v>30</v>
      </c>
    </row>
    <row r="758" spans="2:3" x14ac:dyDescent="0.3">
      <c r="B758">
        <v>4511571649</v>
      </c>
      <c r="C758" t="s">
        <v>30</v>
      </c>
    </row>
    <row r="759" spans="2:3" x14ac:dyDescent="0.3">
      <c r="B759">
        <v>4511571649</v>
      </c>
      <c r="C759" t="s">
        <v>30</v>
      </c>
    </row>
    <row r="760" spans="2:3" x14ac:dyDescent="0.3">
      <c r="B760">
        <v>4511571649</v>
      </c>
      <c r="C760" t="s">
        <v>30</v>
      </c>
    </row>
    <row r="761" spans="2:3" x14ac:dyDescent="0.3">
      <c r="B761">
        <v>4511571649</v>
      </c>
      <c r="C761" t="s">
        <v>30</v>
      </c>
    </row>
    <row r="762" spans="2:3" x14ac:dyDescent="0.3">
      <c r="B762">
        <v>4511571649</v>
      </c>
      <c r="C762" t="s">
        <v>30</v>
      </c>
    </row>
    <row r="763" spans="2:3" x14ac:dyDescent="0.3">
      <c r="B763">
        <v>4511571649</v>
      </c>
      <c r="C763" t="s">
        <v>30</v>
      </c>
    </row>
    <row r="764" spans="2:3" x14ac:dyDescent="0.3">
      <c r="B764">
        <v>4511571649</v>
      </c>
      <c r="C764" t="s">
        <v>30</v>
      </c>
    </row>
    <row r="765" spans="2:3" x14ac:dyDescent="0.3">
      <c r="B765">
        <v>4511571649</v>
      </c>
      <c r="C765" t="s">
        <v>30</v>
      </c>
    </row>
    <row r="766" spans="2:3" x14ac:dyDescent="0.3">
      <c r="B766">
        <v>4511571649</v>
      </c>
      <c r="C766" t="s">
        <v>30</v>
      </c>
    </row>
    <row r="767" spans="2:3" x14ac:dyDescent="0.3">
      <c r="B767">
        <v>4511571649</v>
      </c>
      <c r="C767" t="s">
        <v>30</v>
      </c>
    </row>
    <row r="768" spans="2:3" x14ac:dyDescent="0.3">
      <c r="B768">
        <v>4511571649</v>
      </c>
      <c r="C768" t="s">
        <v>30</v>
      </c>
    </row>
    <row r="769" spans="2:3" x14ac:dyDescent="0.3">
      <c r="B769">
        <v>4511571649</v>
      </c>
      <c r="C769" t="s">
        <v>30</v>
      </c>
    </row>
    <row r="770" spans="2:3" x14ac:dyDescent="0.3">
      <c r="B770">
        <v>4511571649</v>
      </c>
      <c r="C770" t="s">
        <v>30</v>
      </c>
    </row>
    <row r="771" spans="2:3" x14ac:dyDescent="0.3">
      <c r="B771">
        <v>4511571649</v>
      </c>
      <c r="C771" t="s">
        <v>30</v>
      </c>
    </row>
    <row r="772" spans="2:3" x14ac:dyDescent="0.3">
      <c r="B772">
        <v>4511571649</v>
      </c>
      <c r="C772" t="s">
        <v>30</v>
      </c>
    </row>
    <row r="773" spans="2:3" x14ac:dyDescent="0.3">
      <c r="B773">
        <v>4511571649</v>
      </c>
      <c r="C773" t="s">
        <v>30</v>
      </c>
    </row>
    <row r="774" spans="2:3" x14ac:dyDescent="0.3">
      <c r="B774">
        <v>4511571649</v>
      </c>
      <c r="C774" t="s">
        <v>30</v>
      </c>
    </row>
    <row r="775" spans="2:3" x14ac:dyDescent="0.3">
      <c r="B775">
        <v>4511571646</v>
      </c>
      <c r="C775" t="s">
        <v>30</v>
      </c>
    </row>
    <row r="776" spans="2:3" x14ac:dyDescent="0.3">
      <c r="B776">
        <v>4511571643</v>
      </c>
      <c r="C776" t="s">
        <v>20</v>
      </c>
    </row>
    <row r="777" spans="2:3" x14ac:dyDescent="0.3">
      <c r="B777">
        <v>4511571639</v>
      </c>
      <c r="C777" t="s">
        <v>20</v>
      </c>
    </row>
    <row r="778" spans="2:3" x14ac:dyDescent="0.3">
      <c r="B778">
        <v>4511571639</v>
      </c>
      <c r="C778" t="s">
        <v>20</v>
      </c>
    </row>
    <row r="779" spans="2:3" x14ac:dyDescent="0.3">
      <c r="B779">
        <v>4511571638</v>
      </c>
      <c r="C779" t="s">
        <v>30</v>
      </c>
    </row>
    <row r="780" spans="2:3" x14ac:dyDescent="0.3">
      <c r="B780">
        <v>4511571638</v>
      </c>
      <c r="C780" t="s">
        <v>30</v>
      </c>
    </row>
    <row r="781" spans="2:3" x14ac:dyDescent="0.3">
      <c r="B781">
        <v>4511571638</v>
      </c>
      <c r="C781" t="s">
        <v>30</v>
      </c>
    </row>
    <row r="782" spans="2:3" x14ac:dyDescent="0.3">
      <c r="B782">
        <v>4511571638</v>
      </c>
      <c r="C782" t="s">
        <v>30</v>
      </c>
    </row>
    <row r="783" spans="2:3" x14ac:dyDescent="0.3">
      <c r="B783">
        <v>4511571638</v>
      </c>
      <c r="C783" t="s">
        <v>30</v>
      </c>
    </row>
    <row r="784" spans="2:3" x14ac:dyDescent="0.3">
      <c r="B784">
        <v>4511571637</v>
      </c>
      <c r="C784" t="s">
        <v>20</v>
      </c>
    </row>
    <row r="785" spans="2:3" x14ac:dyDescent="0.3">
      <c r="B785">
        <v>4511571627</v>
      </c>
      <c r="C785" t="s">
        <v>30</v>
      </c>
    </row>
    <row r="786" spans="2:3" x14ac:dyDescent="0.3">
      <c r="B786">
        <v>4511571622</v>
      </c>
      <c r="C786" t="s">
        <v>20</v>
      </c>
    </row>
    <row r="787" spans="2:3" x14ac:dyDescent="0.3">
      <c r="B787">
        <v>4511571620</v>
      </c>
      <c r="C787" t="s">
        <v>30</v>
      </c>
    </row>
    <row r="788" spans="2:3" x14ac:dyDescent="0.3">
      <c r="B788">
        <v>4511571620</v>
      </c>
      <c r="C788" t="s">
        <v>30</v>
      </c>
    </row>
    <row r="789" spans="2:3" x14ac:dyDescent="0.3">
      <c r="B789">
        <v>4511571618</v>
      </c>
      <c r="C789" t="s">
        <v>20</v>
      </c>
    </row>
    <row r="790" spans="2:3" x14ac:dyDescent="0.3">
      <c r="B790">
        <v>4511571594</v>
      </c>
      <c r="C790" t="s">
        <v>20</v>
      </c>
    </row>
    <row r="791" spans="2:3" x14ac:dyDescent="0.3">
      <c r="B791">
        <v>4511571594</v>
      </c>
      <c r="C791" t="s">
        <v>20</v>
      </c>
    </row>
    <row r="792" spans="2:3" x14ac:dyDescent="0.3">
      <c r="B792">
        <v>4511571585</v>
      </c>
      <c r="C792" t="s">
        <v>20</v>
      </c>
    </row>
    <row r="793" spans="2:3" x14ac:dyDescent="0.3">
      <c r="B793">
        <v>4511571574</v>
      </c>
      <c r="C793" t="s">
        <v>20</v>
      </c>
    </row>
    <row r="794" spans="2:3" x14ac:dyDescent="0.3">
      <c r="B794">
        <v>4511571574</v>
      </c>
      <c r="C794" t="s">
        <v>20</v>
      </c>
    </row>
    <row r="795" spans="2:3" x14ac:dyDescent="0.3">
      <c r="B795">
        <v>4511571563</v>
      </c>
      <c r="C795" t="s">
        <v>18</v>
      </c>
    </row>
    <row r="796" spans="2:3" x14ac:dyDescent="0.3">
      <c r="B796">
        <v>4511571541</v>
      </c>
      <c r="C796" t="s">
        <v>30</v>
      </c>
    </row>
    <row r="797" spans="2:3" x14ac:dyDescent="0.3">
      <c r="B797">
        <v>4511571533</v>
      </c>
      <c r="C797" t="s">
        <v>30</v>
      </c>
    </row>
    <row r="798" spans="2:3" x14ac:dyDescent="0.3">
      <c r="B798">
        <v>4511571527</v>
      </c>
      <c r="C798" t="s">
        <v>30</v>
      </c>
    </row>
    <row r="799" spans="2:3" x14ac:dyDescent="0.3">
      <c r="B799">
        <v>4511571491</v>
      </c>
      <c r="C799" t="s">
        <v>30</v>
      </c>
    </row>
    <row r="800" spans="2:3" x14ac:dyDescent="0.3">
      <c r="B800">
        <v>4511571490</v>
      </c>
      <c r="C800" t="s">
        <v>30</v>
      </c>
    </row>
    <row r="801" spans="2:3" x14ac:dyDescent="0.3">
      <c r="B801">
        <v>4511571485</v>
      </c>
      <c r="C801" t="s">
        <v>37</v>
      </c>
    </row>
    <row r="802" spans="2:3" x14ac:dyDescent="0.3">
      <c r="B802">
        <v>4511571485</v>
      </c>
      <c r="C802" t="s">
        <v>37</v>
      </c>
    </row>
    <row r="803" spans="2:3" x14ac:dyDescent="0.3">
      <c r="B803">
        <v>4511571485</v>
      </c>
      <c r="C803" t="s">
        <v>37</v>
      </c>
    </row>
    <row r="804" spans="2:3" x14ac:dyDescent="0.3">
      <c r="B804">
        <v>4511571485</v>
      </c>
      <c r="C804" t="s">
        <v>37</v>
      </c>
    </row>
    <row r="805" spans="2:3" x14ac:dyDescent="0.3">
      <c r="B805">
        <v>4511571485</v>
      </c>
      <c r="C805" t="s">
        <v>37</v>
      </c>
    </row>
    <row r="806" spans="2:3" x14ac:dyDescent="0.3">
      <c r="B806">
        <v>4511571485</v>
      </c>
      <c r="C806" t="s">
        <v>37</v>
      </c>
    </row>
    <row r="807" spans="2:3" x14ac:dyDescent="0.3">
      <c r="B807">
        <v>4511571485</v>
      </c>
      <c r="C807" t="s">
        <v>37</v>
      </c>
    </row>
    <row r="808" spans="2:3" x14ac:dyDescent="0.3">
      <c r="B808">
        <v>4511571485</v>
      </c>
      <c r="C808" t="s">
        <v>37</v>
      </c>
    </row>
    <row r="809" spans="2:3" x14ac:dyDescent="0.3">
      <c r="B809">
        <v>4511571485</v>
      </c>
      <c r="C809" t="s">
        <v>37</v>
      </c>
    </row>
    <row r="810" spans="2:3" x14ac:dyDescent="0.3">
      <c r="B810">
        <v>4511571474</v>
      </c>
      <c r="C810" t="s">
        <v>30</v>
      </c>
    </row>
    <row r="811" spans="2:3" x14ac:dyDescent="0.3">
      <c r="B811">
        <v>4511571471</v>
      </c>
      <c r="C811" t="s">
        <v>30</v>
      </c>
    </row>
    <row r="812" spans="2:3" x14ac:dyDescent="0.3">
      <c r="B812">
        <v>4511571469</v>
      </c>
      <c r="C812" t="s">
        <v>20</v>
      </c>
    </row>
    <row r="813" spans="2:3" x14ac:dyDescent="0.3">
      <c r="B813">
        <v>4511571469</v>
      </c>
      <c r="C813" t="s">
        <v>20</v>
      </c>
    </row>
    <row r="814" spans="2:3" x14ac:dyDescent="0.3">
      <c r="B814">
        <v>4511571467</v>
      </c>
      <c r="C814" t="s">
        <v>20</v>
      </c>
    </row>
    <row r="815" spans="2:3" x14ac:dyDescent="0.3">
      <c r="B815">
        <v>4511571466</v>
      </c>
      <c r="C815" t="s">
        <v>20</v>
      </c>
    </row>
    <row r="816" spans="2:3" x14ac:dyDescent="0.3">
      <c r="B816">
        <v>4511571466</v>
      </c>
      <c r="C816" t="s">
        <v>20</v>
      </c>
    </row>
    <row r="817" spans="2:3" x14ac:dyDescent="0.3">
      <c r="B817">
        <v>4511571466</v>
      </c>
      <c r="C817" t="s">
        <v>20</v>
      </c>
    </row>
    <row r="818" spans="2:3" x14ac:dyDescent="0.3">
      <c r="B818">
        <v>4511571466</v>
      </c>
      <c r="C818" t="s">
        <v>20</v>
      </c>
    </row>
    <row r="819" spans="2:3" x14ac:dyDescent="0.3">
      <c r="B819">
        <v>4511571466</v>
      </c>
      <c r="C819" t="s">
        <v>20</v>
      </c>
    </row>
    <row r="820" spans="2:3" x14ac:dyDescent="0.3">
      <c r="B820">
        <v>4511571465</v>
      </c>
      <c r="C820" t="s">
        <v>20</v>
      </c>
    </row>
    <row r="821" spans="2:3" x14ac:dyDescent="0.3">
      <c r="B821">
        <v>4511571465</v>
      </c>
      <c r="C821" t="s">
        <v>20</v>
      </c>
    </row>
    <row r="822" spans="2:3" x14ac:dyDescent="0.3">
      <c r="B822">
        <v>4511571465</v>
      </c>
      <c r="C822" t="s">
        <v>20</v>
      </c>
    </row>
    <row r="823" spans="2:3" x14ac:dyDescent="0.3">
      <c r="B823">
        <v>4511571465</v>
      </c>
      <c r="C823" t="s">
        <v>20</v>
      </c>
    </row>
    <row r="824" spans="2:3" x14ac:dyDescent="0.3">
      <c r="B824">
        <v>4511571465</v>
      </c>
      <c r="C824" t="s">
        <v>20</v>
      </c>
    </row>
    <row r="825" spans="2:3" x14ac:dyDescent="0.3">
      <c r="B825">
        <v>4511571465</v>
      </c>
      <c r="C825" t="s">
        <v>20</v>
      </c>
    </row>
    <row r="826" spans="2:3" x14ac:dyDescent="0.3">
      <c r="B826">
        <v>4511571465</v>
      </c>
      <c r="C826" t="s">
        <v>20</v>
      </c>
    </row>
    <row r="827" spans="2:3" x14ac:dyDescent="0.3">
      <c r="B827">
        <v>4511571465</v>
      </c>
      <c r="C827" t="s">
        <v>20</v>
      </c>
    </row>
    <row r="828" spans="2:3" x14ac:dyDescent="0.3">
      <c r="B828">
        <v>4511571465</v>
      </c>
      <c r="C828" t="s">
        <v>20</v>
      </c>
    </row>
    <row r="829" spans="2:3" x14ac:dyDescent="0.3">
      <c r="B829">
        <v>4511571465</v>
      </c>
      <c r="C829" t="s">
        <v>20</v>
      </c>
    </row>
    <row r="830" spans="2:3" x14ac:dyDescent="0.3">
      <c r="B830">
        <v>4511571464</v>
      </c>
      <c r="C830" t="s">
        <v>30</v>
      </c>
    </row>
    <row r="831" spans="2:3" x14ac:dyDescent="0.3">
      <c r="B831">
        <v>4511571464</v>
      </c>
      <c r="C831" t="s">
        <v>30</v>
      </c>
    </row>
    <row r="832" spans="2:3" x14ac:dyDescent="0.3">
      <c r="B832">
        <v>4511571462</v>
      </c>
      <c r="C832" t="s">
        <v>20</v>
      </c>
    </row>
    <row r="833" spans="2:3" x14ac:dyDescent="0.3">
      <c r="B833">
        <v>4511571462</v>
      </c>
      <c r="C833" t="s">
        <v>20</v>
      </c>
    </row>
    <row r="834" spans="2:3" x14ac:dyDescent="0.3">
      <c r="B834">
        <v>4511571462</v>
      </c>
      <c r="C834" t="s">
        <v>20</v>
      </c>
    </row>
    <row r="835" spans="2:3" x14ac:dyDescent="0.3">
      <c r="B835">
        <v>4511571461</v>
      </c>
      <c r="C835" t="s">
        <v>20</v>
      </c>
    </row>
    <row r="836" spans="2:3" x14ac:dyDescent="0.3">
      <c r="B836">
        <v>4511571461</v>
      </c>
      <c r="C836" t="s">
        <v>20</v>
      </c>
    </row>
    <row r="837" spans="2:3" x14ac:dyDescent="0.3">
      <c r="B837">
        <v>4511571461</v>
      </c>
      <c r="C837" t="s">
        <v>20</v>
      </c>
    </row>
    <row r="838" spans="2:3" x14ac:dyDescent="0.3">
      <c r="B838">
        <v>4511571461</v>
      </c>
      <c r="C838" t="s">
        <v>20</v>
      </c>
    </row>
    <row r="839" spans="2:3" x14ac:dyDescent="0.3">
      <c r="B839">
        <v>4511571461</v>
      </c>
      <c r="C839" t="s">
        <v>20</v>
      </c>
    </row>
    <row r="840" spans="2:3" x14ac:dyDescent="0.3">
      <c r="B840">
        <v>4511571459</v>
      </c>
      <c r="C840" t="s">
        <v>20</v>
      </c>
    </row>
    <row r="841" spans="2:3" x14ac:dyDescent="0.3">
      <c r="B841">
        <v>4511571459</v>
      </c>
      <c r="C841" t="s">
        <v>20</v>
      </c>
    </row>
    <row r="842" spans="2:3" x14ac:dyDescent="0.3">
      <c r="B842">
        <v>4511571459</v>
      </c>
      <c r="C842" t="s">
        <v>20</v>
      </c>
    </row>
    <row r="843" spans="2:3" x14ac:dyDescent="0.3">
      <c r="B843">
        <v>4511571458</v>
      </c>
      <c r="C843" t="s">
        <v>20</v>
      </c>
    </row>
    <row r="844" spans="2:3" x14ac:dyDescent="0.3">
      <c r="B844">
        <v>4511571455</v>
      </c>
      <c r="C844" t="s">
        <v>20</v>
      </c>
    </row>
    <row r="845" spans="2:3" x14ac:dyDescent="0.3">
      <c r="B845">
        <v>4511571442</v>
      </c>
      <c r="C845" t="s">
        <v>20</v>
      </c>
    </row>
    <row r="846" spans="2:3" x14ac:dyDescent="0.3">
      <c r="B846">
        <v>4511571442</v>
      </c>
      <c r="C846" t="s">
        <v>20</v>
      </c>
    </row>
    <row r="847" spans="2:3" x14ac:dyDescent="0.3">
      <c r="B847">
        <v>4511571439</v>
      </c>
      <c r="C847" t="s">
        <v>20</v>
      </c>
    </row>
    <row r="848" spans="2:3" x14ac:dyDescent="0.3">
      <c r="B848">
        <v>4511571385</v>
      </c>
      <c r="C848" t="s">
        <v>37</v>
      </c>
    </row>
    <row r="849" spans="2:3" x14ac:dyDescent="0.3">
      <c r="B849">
        <v>4511571385</v>
      </c>
      <c r="C849" t="s">
        <v>37</v>
      </c>
    </row>
    <row r="850" spans="2:3" x14ac:dyDescent="0.3">
      <c r="B850">
        <v>4511571385</v>
      </c>
      <c r="C850" t="s">
        <v>37</v>
      </c>
    </row>
    <row r="851" spans="2:3" x14ac:dyDescent="0.3">
      <c r="B851">
        <v>4511571385</v>
      </c>
      <c r="C851" t="s">
        <v>37</v>
      </c>
    </row>
    <row r="852" spans="2:3" x14ac:dyDescent="0.3">
      <c r="B852">
        <v>4511571385</v>
      </c>
      <c r="C852" t="s">
        <v>37</v>
      </c>
    </row>
    <row r="853" spans="2:3" x14ac:dyDescent="0.3">
      <c r="B853">
        <v>4511571385</v>
      </c>
      <c r="C853" t="s">
        <v>37</v>
      </c>
    </row>
    <row r="854" spans="2:3" x14ac:dyDescent="0.3">
      <c r="B854">
        <v>4511571385</v>
      </c>
      <c r="C854" t="s">
        <v>37</v>
      </c>
    </row>
    <row r="855" spans="2:3" x14ac:dyDescent="0.3">
      <c r="B855">
        <v>4511571385</v>
      </c>
      <c r="C855" t="s">
        <v>37</v>
      </c>
    </row>
    <row r="856" spans="2:3" x14ac:dyDescent="0.3">
      <c r="B856">
        <v>4511571385</v>
      </c>
      <c r="C856" t="s">
        <v>37</v>
      </c>
    </row>
    <row r="857" spans="2:3" x14ac:dyDescent="0.3">
      <c r="B857">
        <v>4511571385</v>
      </c>
      <c r="C857" t="s">
        <v>37</v>
      </c>
    </row>
    <row r="858" spans="2:3" x14ac:dyDescent="0.3">
      <c r="B858">
        <v>4511571385</v>
      </c>
      <c r="C858" t="s">
        <v>37</v>
      </c>
    </row>
    <row r="859" spans="2:3" x14ac:dyDescent="0.3">
      <c r="B859">
        <v>4511571385</v>
      </c>
      <c r="C859" t="s">
        <v>37</v>
      </c>
    </row>
    <row r="860" spans="2:3" x14ac:dyDescent="0.3">
      <c r="B860">
        <v>4511571385</v>
      </c>
      <c r="C860" t="s">
        <v>37</v>
      </c>
    </row>
    <row r="861" spans="2:3" x14ac:dyDescent="0.3">
      <c r="B861">
        <v>4511571385</v>
      </c>
      <c r="C861" t="s">
        <v>37</v>
      </c>
    </row>
    <row r="862" spans="2:3" x14ac:dyDescent="0.3">
      <c r="B862">
        <v>4511571329</v>
      </c>
      <c r="C862" t="s">
        <v>20</v>
      </c>
    </row>
    <row r="863" spans="2:3" x14ac:dyDescent="0.3">
      <c r="B863">
        <v>4511571325</v>
      </c>
      <c r="C863" t="s">
        <v>20</v>
      </c>
    </row>
    <row r="864" spans="2:3" x14ac:dyDescent="0.3">
      <c r="B864">
        <v>4511571324</v>
      </c>
      <c r="C864" t="s">
        <v>20</v>
      </c>
    </row>
    <row r="865" spans="2:3" x14ac:dyDescent="0.3">
      <c r="B865">
        <v>4511571324</v>
      </c>
      <c r="C865" t="s">
        <v>20</v>
      </c>
    </row>
    <row r="866" spans="2:3" x14ac:dyDescent="0.3">
      <c r="B866">
        <v>4511571319</v>
      </c>
      <c r="C866" t="s">
        <v>20</v>
      </c>
    </row>
    <row r="867" spans="2:3" x14ac:dyDescent="0.3">
      <c r="B867">
        <v>4511571319</v>
      </c>
      <c r="C867" t="s">
        <v>20</v>
      </c>
    </row>
    <row r="868" spans="2:3" x14ac:dyDescent="0.3">
      <c r="B868">
        <v>4511571264</v>
      </c>
      <c r="C868" t="s">
        <v>37</v>
      </c>
    </row>
    <row r="869" spans="2:3" x14ac:dyDescent="0.3">
      <c r="B869">
        <v>4511571264</v>
      </c>
      <c r="C869" t="s">
        <v>37</v>
      </c>
    </row>
    <row r="870" spans="2:3" x14ac:dyDescent="0.3">
      <c r="B870">
        <v>4511571264</v>
      </c>
      <c r="C870" t="s">
        <v>37</v>
      </c>
    </row>
    <row r="871" spans="2:3" x14ac:dyDescent="0.3">
      <c r="B871">
        <v>4511571264</v>
      </c>
      <c r="C871" t="s">
        <v>37</v>
      </c>
    </row>
    <row r="872" spans="2:3" x14ac:dyDescent="0.3">
      <c r="B872">
        <v>4511571264</v>
      </c>
      <c r="C872" t="s">
        <v>37</v>
      </c>
    </row>
    <row r="873" spans="2:3" x14ac:dyDescent="0.3">
      <c r="B873">
        <v>4511571264</v>
      </c>
      <c r="C873" t="s">
        <v>37</v>
      </c>
    </row>
    <row r="874" spans="2:3" x14ac:dyDescent="0.3">
      <c r="B874">
        <v>4511571264</v>
      </c>
      <c r="C874" t="s">
        <v>37</v>
      </c>
    </row>
    <row r="875" spans="2:3" x14ac:dyDescent="0.3">
      <c r="B875">
        <v>4511571264</v>
      </c>
      <c r="C875" t="s">
        <v>37</v>
      </c>
    </row>
    <row r="876" spans="2:3" x14ac:dyDescent="0.3">
      <c r="B876">
        <v>4511571264</v>
      </c>
      <c r="C876" t="s">
        <v>37</v>
      </c>
    </row>
    <row r="877" spans="2:3" x14ac:dyDescent="0.3">
      <c r="B877">
        <v>4511571264</v>
      </c>
      <c r="C877" t="s">
        <v>37</v>
      </c>
    </row>
    <row r="878" spans="2:3" x14ac:dyDescent="0.3">
      <c r="B878">
        <v>4511571259</v>
      </c>
      <c r="C878" t="s">
        <v>20</v>
      </c>
    </row>
    <row r="879" spans="2:3" x14ac:dyDescent="0.3">
      <c r="B879">
        <v>4511571258</v>
      </c>
      <c r="C879" t="s">
        <v>37</v>
      </c>
    </row>
    <row r="880" spans="2:3" x14ac:dyDescent="0.3">
      <c r="B880">
        <v>4511571225</v>
      </c>
      <c r="C880" t="s">
        <v>20</v>
      </c>
    </row>
    <row r="881" spans="2:3" x14ac:dyDescent="0.3">
      <c r="B881">
        <v>4511571168</v>
      </c>
      <c r="C881" t="s">
        <v>30</v>
      </c>
    </row>
    <row r="882" spans="2:3" x14ac:dyDescent="0.3">
      <c r="B882">
        <v>4511571168</v>
      </c>
      <c r="C882" t="s">
        <v>30</v>
      </c>
    </row>
    <row r="883" spans="2:3" x14ac:dyDescent="0.3">
      <c r="B883">
        <v>4511571168</v>
      </c>
      <c r="C883" t="s">
        <v>30</v>
      </c>
    </row>
    <row r="884" spans="2:3" x14ac:dyDescent="0.3">
      <c r="B884">
        <v>4511571168</v>
      </c>
      <c r="C884" t="s">
        <v>30</v>
      </c>
    </row>
    <row r="885" spans="2:3" x14ac:dyDescent="0.3">
      <c r="B885">
        <v>4511571168</v>
      </c>
      <c r="C885" t="s">
        <v>30</v>
      </c>
    </row>
    <row r="886" spans="2:3" x14ac:dyDescent="0.3">
      <c r="B886">
        <v>4511571168</v>
      </c>
      <c r="C886" t="s">
        <v>30</v>
      </c>
    </row>
    <row r="887" spans="2:3" x14ac:dyDescent="0.3">
      <c r="B887">
        <v>4511571168</v>
      </c>
      <c r="C887" t="s">
        <v>30</v>
      </c>
    </row>
    <row r="888" spans="2:3" x14ac:dyDescent="0.3">
      <c r="B888">
        <v>4511571168</v>
      </c>
      <c r="C888" t="s">
        <v>30</v>
      </c>
    </row>
    <row r="889" spans="2:3" x14ac:dyDescent="0.3">
      <c r="B889">
        <v>4511571168</v>
      </c>
      <c r="C889" t="s">
        <v>30</v>
      </c>
    </row>
    <row r="890" spans="2:3" x14ac:dyDescent="0.3">
      <c r="B890">
        <v>4511571168</v>
      </c>
      <c r="C890" t="s">
        <v>30</v>
      </c>
    </row>
    <row r="891" spans="2:3" x14ac:dyDescent="0.3">
      <c r="B891">
        <v>4511571168</v>
      </c>
      <c r="C891" t="s">
        <v>30</v>
      </c>
    </row>
    <row r="892" spans="2:3" x14ac:dyDescent="0.3">
      <c r="B892">
        <v>4511571168</v>
      </c>
      <c r="C892" t="s">
        <v>30</v>
      </c>
    </row>
    <row r="893" spans="2:3" x14ac:dyDescent="0.3">
      <c r="B893">
        <v>4511571168</v>
      </c>
      <c r="C893" t="s">
        <v>30</v>
      </c>
    </row>
    <row r="894" spans="2:3" x14ac:dyDescent="0.3">
      <c r="B894">
        <v>4511571168</v>
      </c>
      <c r="C894" t="s">
        <v>30</v>
      </c>
    </row>
    <row r="895" spans="2:3" x14ac:dyDescent="0.3">
      <c r="B895">
        <v>4511571168</v>
      </c>
      <c r="C895" t="s">
        <v>30</v>
      </c>
    </row>
    <row r="896" spans="2:3" x14ac:dyDescent="0.3">
      <c r="B896">
        <v>4511571168</v>
      </c>
      <c r="C896" t="s">
        <v>30</v>
      </c>
    </row>
    <row r="897" spans="2:3" x14ac:dyDescent="0.3">
      <c r="B897">
        <v>4511571168</v>
      </c>
      <c r="C897" t="s">
        <v>30</v>
      </c>
    </row>
    <row r="898" spans="2:3" x14ac:dyDescent="0.3">
      <c r="B898">
        <v>4511571168</v>
      </c>
      <c r="C898" t="s">
        <v>30</v>
      </c>
    </row>
    <row r="899" spans="2:3" x14ac:dyDescent="0.3">
      <c r="B899">
        <v>4511571168</v>
      </c>
      <c r="C899" t="s">
        <v>30</v>
      </c>
    </row>
    <row r="900" spans="2:3" x14ac:dyDescent="0.3">
      <c r="B900">
        <v>4511571168</v>
      </c>
      <c r="C900" t="s">
        <v>30</v>
      </c>
    </row>
    <row r="901" spans="2:3" x14ac:dyDescent="0.3">
      <c r="B901">
        <v>4511571168</v>
      </c>
      <c r="C901" t="s">
        <v>30</v>
      </c>
    </row>
    <row r="902" spans="2:3" x14ac:dyDescent="0.3">
      <c r="B902">
        <v>4511571168</v>
      </c>
      <c r="C902" t="s">
        <v>30</v>
      </c>
    </row>
    <row r="903" spans="2:3" x14ac:dyDescent="0.3">
      <c r="B903">
        <v>4511571126</v>
      </c>
      <c r="C903" t="s">
        <v>30</v>
      </c>
    </row>
    <row r="904" spans="2:3" x14ac:dyDescent="0.3">
      <c r="B904">
        <v>4511571126</v>
      </c>
      <c r="C904" t="s">
        <v>30</v>
      </c>
    </row>
    <row r="905" spans="2:3" x14ac:dyDescent="0.3">
      <c r="B905">
        <v>4511571126</v>
      </c>
      <c r="C905" t="s">
        <v>30</v>
      </c>
    </row>
    <row r="906" spans="2:3" x14ac:dyDescent="0.3">
      <c r="B906">
        <v>4511571126</v>
      </c>
      <c r="C906" t="s">
        <v>30</v>
      </c>
    </row>
    <row r="907" spans="2:3" x14ac:dyDescent="0.3">
      <c r="B907">
        <v>4511571126</v>
      </c>
      <c r="C907" t="s">
        <v>30</v>
      </c>
    </row>
    <row r="908" spans="2:3" x14ac:dyDescent="0.3">
      <c r="B908">
        <v>4511571126</v>
      </c>
      <c r="C908" t="s">
        <v>30</v>
      </c>
    </row>
    <row r="909" spans="2:3" x14ac:dyDescent="0.3">
      <c r="B909">
        <v>4511571126</v>
      </c>
      <c r="C909" t="s">
        <v>30</v>
      </c>
    </row>
    <row r="910" spans="2:3" x14ac:dyDescent="0.3">
      <c r="B910">
        <v>4511571126</v>
      </c>
      <c r="C910" t="s">
        <v>30</v>
      </c>
    </row>
    <row r="911" spans="2:3" x14ac:dyDescent="0.3">
      <c r="B911">
        <v>4511571114</v>
      </c>
      <c r="C911" t="s">
        <v>30</v>
      </c>
    </row>
    <row r="912" spans="2:3" x14ac:dyDescent="0.3">
      <c r="B912">
        <v>4511571105</v>
      </c>
      <c r="C912" t="s">
        <v>30</v>
      </c>
    </row>
    <row r="913" spans="2:3" x14ac:dyDescent="0.3">
      <c r="B913">
        <v>4511571105</v>
      </c>
      <c r="C913" t="s">
        <v>30</v>
      </c>
    </row>
    <row r="914" spans="2:3" x14ac:dyDescent="0.3">
      <c r="B914">
        <v>4511571102</v>
      </c>
      <c r="C914" t="s">
        <v>20</v>
      </c>
    </row>
    <row r="915" spans="2:3" x14ac:dyDescent="0.3">
      <c r="B915">
        <v>4511571102</v>
      </c>
      <c r="C915" t="s">
        <v>20</v>
      </c>
    </row>
    <row r="916" spans="2:3" x14ac:dyDescent="0.3">
      <c r="B916">
        <v>4511571102</v>
      </c>
      <c r="C916" t="s">
        <v>20</v>
      </c>
    </row>
    <row r="917" spans="2:3" x14ac:dyDescent="0.3">
      <c r="B917">
        <v>4511571100</v>
      </c>
      <c r="C917" t="s">
        <v>20</v>
      </c>
    </row>
    <row r="918" spans="2:3" x14ac:dyDescent="0.3">
      <c r="B918">
        <v>4511571088</v>
      </c>
      <c r="C918" t="s">
        <v>20</v>
      </c>
    </row>
    <row r="919" spans="2:3" x14ac:dyDescent="0.3">
      <c r="B919">
        <v>4511571086</v>
      </c>
      <c r="C919" t="s">
        <v>20</v>
      </c>
    </row>
    <row r="920" spans="2:3" x14ac:dyDescent="0.3">
      <c r="B920">
        <v>4511571083</v>
      </c>
      <c r="C920" t="s">
        <v>20</v>
      </c>
    </row>
    <row r="921" spans="2:3" x14ac:dyDescent="0.3">
      <c r="B921">
        <v>4511571083</v>
      </c>
      <c r="C921" t="s">
        <v>20</v>
      </c>
    </row>
    <row r="922" spans="2:3" x14ac:dyDescent="0.3">
      <c r="B922">
        <v>4511571081</v>
      </c>
      <c r="C922" t="s">
        <v>20</v>
      </c>
    </row>
    <row r="923" spans="2:3" x14ac:dyDescent="0.3">
      <c r="B923">
        <v>4511571081</v>
      </c>
      <c r="C923" t="s">
        <v>20</v>
      </c>
    </row>
    <row r="924" spans="2:3" x14ac:dyDescent="0.3">
      <c r="B924">
        <v>4511571081</v>
      </c>
      <c r="C924" t="s">
        <v>20</v>
      </c>
    </row>
    <row r="925" spans="2:3" x14ac:dyDescent="0.3">
      <c r="B925">
        <v>4511571081</v>
      </c>
      <c r="C925" t="s">
        <v>20</v>
      </c>
    </row>
    <row r="926" spans="2:3" x14ac:dyDescent="0.3">
      <c r="B926">
        <v>4511571081</v>
      </c>
      <c r="C926" t="s">
        <v>20</v>
      </c>
    </row>
    <row r="927" spans="2:3" x14ac:dyDescent="0.3">
      <c r="B927">
        <v>4511571081</v>
      </c>
      <c r="C927" t="s">
        <v>20</v>
      </c>
    </row>
    <row r="928" spans="2:3" x14ac:dyDescent="0.3">
      <c r="B928">
        <v>4511571081</v>
      </c>
      <c r="C928" t="s">
        <v>20</v>
      </c>
    </row>
    <row r="929" spans="2:3" x14ac:dyDescent="0.3">
      <c r="B929">
        <v>4511571057</v>
      </c>
      <c r="C929" t="s">
        <v>20</v>
      </c>
    </row>
    <row r="930" spans="2:3" x14ac:dyDescent="0.3">
      <c r="B930">
        <v>4511571057</v>
      </c>
      <c r="C930" t="s">
        <v>20</v>
      </c>
    </row>
    <row r="931" spans="2:3" x14ac:dyDescent="0.3">
      <c r="B931">
        <v>4511571057</v>
      </c>
      <c r="C931" t="s">
        <v>20</v>
      </c>
    </row>
    <row r="932" spans="2:3" x14ac:dyDescent="0.3">
      <c r="B932">
        <v>4511571057</v>
      </c>
      <c r="C932" t="s">
        <v>20</v>
      </c>
    </row>
    <row r="933" spans="2:3" x14ac:dyDescent="0.3">
      <c r="B933">
        <v>4511571057</v>
      </c>
      <c r="C933" t="s">
        <v>20</v>
      </c>
    </row>
    <row r="934" spans="2:3" x14ac:dyDescent="0.3">
      <c r="B934">
        <v>4511571057</v>
      </c>
      <c r="C934" t="s">
        <v>20</v>
      </c>
    </row>
    <row r="935" spans="2:3" x14ac:dyDescent="0.3">
      <c r="B935">
        <v>4511571057</v>
      </c>
      <c r="C935" t="s">
        <v>20</v>
      </c>
    </row>
    <row r="936" spans="2:3" x14ac:dyDescent="0.3">
      <c r="B936">
        <v>4511571057</v>
      </c>
      <c r="C936" t="s">
        <v>20</v>
      </c>
    </row>
    <row r="937" spans="2:3" x14ac:dyDescent="0.3">
      <c r="B937">
        <v>4511571057</v>
      </c>
      <c r="C937" t="s">
        <v>20</v>
      </c>
    </row>
    <row r="938" spans="2:3" x14ac:dyDescent="0.3">
      <c r="B938">
        <v>4511571057</v>
      </c>
      <c r="C938" t="s">
        <v>20</v>
      </c>
    </row>
    <row r="939" spans="2:3" x14ac:dyDescent="0.3">
      <c r="B939">
        <v>4511571057</v>
      </c>
      <c r="C939" t="s">
        <v>20</v>
      </c>
    </row>
    <row r="940" spans="2:3" x14ac:dyDescent="0.3">
      <c r="B940">
        <v>4511571057</v>
      </c>
      <c r="C940" t="s">
        <v>20</v>
      </c>
    </row>
    <row r="941" spans="2:3" x14ac:dyDescent="0.3">
      <c r="B941">
        <v>4511571057</v>
      </c>
      <c r="C941" t="s">
        <v>20</v>
      </c>
    </row>
    <row r="942" spans="2:3" x14ac:dyDescent="0.3">
      <c r="B942">
        <v>4511571057</v>
      </c>
      <c r="C942" t="s">
        <v>20</v>
      </c>
    </row>
    <row r="943" spans="2:3" x14ac:dyDescent="0.3">
      <c r="B943">
        <v>4511571048</v>
      </c>
      <c r="C943" t="s">
        <v>30</v>
      </c>
    </row>
    <row r="944" spans="2:3" x14ac:dyDescent="0.3">
      <c r="B944">
        <v>4511570993</v>
      </c>
      <c r="C944" t="s">
        <v>30</v>
      </c>
    </row>
    <row r="945" spans="2:3" x14ac:dyDescent="0.3">
      <c r="B945">
        <v>4511570990</v>
      </c>
      <c r="C945" t="s">
        <v>18</v>
      </c>
    </row>
    <row r="946" spans="2:3" x14ac:dyDescent="0.3">
      <c r="B946">
        <v>4511570985</v>
      </c>
      <c r="C946" t="s">
        <v>18</v>
      </c>
    </row>
    <row r="947" spans="2:3" x14ac:dyDescent="0.3">
      <c r="B947">
        <v>4511570982</v>
      </c>
      <c r="C947" t="s">
        <v>18</v>
      </c>
    </row>
    <row r="948" spans="2:3" x14ac:dyDescent="0.3">
      <c r="B948">
        <v>4511570981</v>
      </c>
      <c r="C948" t="s">
        <v>18</v>
      </c>
    </row>
    <row r="949" spans="2:3" x14ac:dyDescent="0.3">
      <c r="B949">
        <v>4511570961</v>
      </c>
      <c r="C949" t="s">
        <v>18</v>
      </c>
    </row>
    <row r="950" spans="2:3" x14ac:dyDescent="0.3">
      <c r="B950">
        <v>4511570961</v>
      </c>
      <c r="C950" t="s">
        <v>18</v>
      </c>
    </row>
    <row r="951" spans="2:3" x14ac:dyDescent="0.3">
      <c r="B951">
        <v>4511570953</v>
      </c>
      <c r="C951" t="s">
        <v>18</v>
      </c>
    </row>
    <row r="952" spans="2:3" x14ac:dyDescent="0.3">
      <c r="B952">
        <v>4511570943</v>
      </c>
      <c r="C952" t="s">
        <v>20</v>
      </c>
    </row>
    <row r="953" spans="2:3" x14ac:dyDescent="0.3">
      <c r="B953">
        <v>4511570940</v>
      </c>
      <c r="C953" t="s">
        <v>18</v>
      </c>
    </row>
    <row r="954" spans="2:3" x14ac:dyDescent="0.3">
      <c r="B954">
        <v>4511570932</v>
      </c>
      <c r="C954" t="s">
        <v>20</v>
      </c>
    </row>
    <row r="955" spans="2:3" x14ac:dyDescent="0.3">
      <c r="B955">
        <v>4511570932</v>
      </c>
      <c r="C955" t="s">
        <v>20</v>
      </c>
    </row>
    <row r="956" spans="2:3" x14ac:dyDescent="0.3">
      <c r="B956">
        <v>4511570932</v>
      </c>
      <c r="C956" t="s">
        <v>20</v>
      </c>
    </row>
    <row r="957" spans="2:3" x14ac:dyDescent="0.3">
      <c r="B957">
        <v>4511570926</v>
      </c>
      <c r="C957" t="s">
        <v>20</v>
      </c>
    </row>
    <row r="958" spans="2:3" x14ac:dyDescent="0.3">
      <c r="B958">
        <v>4511570926</v>
      </c>
      <c r="C958" t="s">
        <v>20</v>
      </c>
    </row>
    <row r="959" spans="2:3" x14ac:dyDescent="0.3">
      <c r="B959">
        <v>4511570808</v>
      </c>
      <c r="C959" t="s">
        <v>18</v>
      </c>
    </row>
    <row r="960" spans="2:3" x14ac:dyDescent="0.3">
      <c r="B960">
        <v>4511570808</v>
      </c>
      <c r="C960" t="s">
        <v>18</v>
      </c>
    </row>
    <row r="961" spans="2:3" x14ac:dyDescent="0.3">
      <c r="B961">
        <v>4511570808</v>
      </c>
      <c r="C961" t="s">
        <v>18</v>
      </c>
    </row>
    <row r="962" spans="2:3" x14ac:dyDescent="0.3">
      <c r="B962">
        <v>4511570808</v>
      </c>
      <c r="C962" t="s">
        <v>18</v>
      </c>
    </row>
    <row r="963" spans="2:3" x14ac:dyDescent="0.3">
      <c r="B963">
        <v>4511570808</v>
      </c>
      <c r="C963" t="s">
        <v>18</v>
      </c>
    </row>
    <row r="964" spans="2:3" x14ac:dyDescent="0.3">
      <c r="B964">
        <v>4511570808</v>
      </c>
      <c r="C964" t="s">
        <v>18</v>
      </c>
    </row>
    <row r="965" spans="2:3" x14ac:dyDescent="0.3">
      <c r="B965">
        <v>4511570808</v>
      </c>
      <c r="C965" t="s">
        <v>18</v>
      </c>
    </row>
    <row r="966" spans="2:3" x14ac:dyDescent="0.3">
      <c r="B966">
        <v>4511570808</v>
      </c>
      <c r="C966" t="s">
        <v>18</v>
      </c>
    </row>
    <row r="967" spans="2:3" x14ac:dyDescent="0.3">
      <c r="B967">
        <v>4511570808</v>
      </c>
      <c r="C967" t="s">
        <v>18</v>
      </c>
    </row>
    <row r="968" spans="2:3" x14ac:dyDescent="0.3">
      <c r="B968">
        <v>4511570808</v>
      </c>
      <c r="C968" t="s">
        <v>18</v>
      </c>
    </row>
    <row r="969" spans="2:3" x14ac:dyDescent="0.3">
      <c r="B969">
        <v>4511570808</v>
      </c>
      <c r="C969" t="s">
        <v>18</v>
      </c>
    </row>
    <row r="970" spans="2:3" x14ac:dyDescent="0.3">
      <c r="B970">
        <v>4511570807</v>
      </c>
      <c r="C970" t="s">
        <v>20</v>
      </c>
    </row>
    <row r="971" spans="2:3" x14ac:dyDescent="0.3">
      <c r="B971">
        <v>4511570807</v>
      </c>
      <c r="C971" t="s">
        <v>20</v>
      </c>
    </row>
    <row r="972" spans="2:3" x14ac:dyDescent="0.3">
      <c r="B972">
        <v>4511570777</v>
      </c>
      <c r="C972" t="s">
        <v>20</v>
      </c>
    </row>
    <row r="973" spans="2:3" x14ac:dyDescent="0.3">
      <c r="B973">
        <v>4511570777</v>
      </c>
      <c r="C973" t="s">
        <v>20</v>
      </c>
    </row>
    <row r="974" spans="2:3" x14ac:dyDescent="0.3">
      <c r="B974">
        <v>4511570777</v>
      </c>
      <c r="C974" t="s">
        <v>20</v>
      </c>
    </row>
    <row r="975" spans="2:3" x14ac:dyDescent="0.3">
      <c r="B975">
        <v>4511570777</v>
      </c>
      <c r="C975" t="s">
        <v>20</v>
      </c>
    </row>
    <row r="976" spans="2:3" x14ac:dyDescent="0.3">
      <c r="B976">
        <v>4511570777</v>
      </c>
      <c r="C976" t="s">
        <v>20</v>
      </c>
    </row>
    <row r="977" spans="2:3" x14ac:dyDescent="0.3">
      <c r="B977">
        <v>4511570734</v>
      </c>
      <c r="C977" t="s">
        <v>30</v>
      </c>
    </row>
    <row r="978" spans="2:3" x14ac:dyDescent="0.3">
      <c r="B978">
        <v>4511570732</v>
      </c>
      <c r="C978" t="s">
        <v>30</v>
      </c>
    </row>
    <row r="979" spans="2:3" x14ac:dyDescent="0.3">
      <c r="B979">
        <v>4511570732</v>
      </c>
      <c r="C979" t="s">
        <v>30</v>
      </c>
    </row>
    <row r="980" spans="2:3" x14ac:dyDescent="0.3">
      <c r="B980">
        <v>4511570731</v>
      </c>
      <c r="C980" t="s">
        <v>30</v>
      </c>
    </row>
    <row r="981" spans="2:3" x14ac:dyDescent="0.3">
      <c r="B981">
        <v>4511570728</v>
      </c>
      <c r="C981" t="s">
        <v>30</v>
      </c>
    </row>
    <row r="982" spans="2:3" x14ac:dyDescent="0.3">
      <c r="B982">
        <v>4511570728</v>
      </c>
      <c r="C982" t="s">
        <v>30</v>
      </c>
    </row>
    <row r="983" spans="2:3" x14ac:dyDescent="0.3">
      <c r="B983">
        <v>4511570728</v>
      </c>
      <c r="C983" t="s">
        <v>30</v>
      </c>
    </row>
    <row r="984" spans="2:3" x14ac:dyDescent="0.3">
      <c r="B984">
        <v>4511570728</v>
      </c>
      <c r="C984" t="s">
        <v>30</v>
      </c>
    </row>
    <row r="985" spans="2:3" x14ac:dyDescent="0.3">
      <c r="B985">
        <v>4511570728</v>
      </c>
      <c r="C985" t="s">
        <v>30</v>
      </c>
    </row>
    <row r="986" spans="2:3" x14ac:dyDescent="0.3">
      <c r="B986">
        <v>4511570728</v>
      </c>
      <c r="C986" t="s">
        <v>30</v>
      </c>
    </row>
    <row r="987" spans="2:3" x14ac:dyDescent="0.3">
      <c r="B987">
        <v>4511570728</v>
      </c>
      <c r="C987" t="s">
        <v>30</v>
      </c>
    </row>
    <row r="988" spans="2:3" x14ac:dyDescent="0.3">
      <c r="B988">
        <v>4511570728</v>
      </c>
      <c r="C988" t="s">
        <v>30</v>
      </c>
    </row>
    <row r="989" spans="2:3" x14ac:dyDescent="0.3">
      <c r="B989">
        <v>4511570728</v>
      </c>
      <c r="C989" t="s">
        <v>30</v>
      </c>
    </row>
    <row r="990" spans="2:3" x14ac:dyDescent="0.3">
      <c r="B990">
        <v>4511570728</v>
      </c>
      <c r="C990" t="s">
        <v>30</v>
      </c>
    </row>
    <row r="991" spans="2:3" x14ac:dyDescent="0.3">
      <c r="B991">
        <v>4511570728</v>
      </c>
      <c r="C991" t="s">
        <v>30</v>
      </c>
    </row>
    <row r="992" spans="2:3" x14ac:dyDescent="0.3">
      <c r="B992">
        <v>4511570728</v>
      </c>
      <c r="C992" t="s">
        <v>30</v>
      </c>
    </row>
    <row r="993" spans="2:3" x14ac:dyDescent="0.3">
      <c r="B993">
        <v>4511570728</v>
      </c>
      <c r="C993" t="s">
        <v>30</v>
      </c>
    </row>
    <row r="994" spans="2:3" x14ac:dyDescent="0.3">
      <c r="B994">
        <v>4511570728</v>
      </c>
      <c r="C994" t="s">
        <v>30</v>
      </c>
    </row>
    <row r="995" spans="2:3" x14ac:dyDescent="0.3">
      <c r="B995">
        <v>4511570728</v>
      </c>
      <c r="C995" t="s">
        <v>30</v>
      </c>
    </row>
    <row r="996" spans="2:3" x14ac:dyDescent="0.3">
      <c r="B996">
        <v>4511570728</v>
      </c>
      <c r="C996" t="s">
        <v>30</v>
      </c>
    </row>
    <row r="997" spans="2:3" x14ac:dyDescent="0.3">
      <c r="B997">
        <v>4511570728</v>
      </c>
      <c r="C997" t="s">
        <v>30</v>
      </c>
    </row>
    <row r="998" spans="2:3" x14ac:dyDescent="0.3">
      <c r="B998">
        <v>4511570728</v>
      </c>
      <c r="C998" t="s">
        <v>30</v>
      </c>
    </row>
    <row r="999" spans="2:3" x14ac:dyDescent="0.3">
      <c r="B999">
        <v>4511570727</v>
      </c>
      <c r="C999" t="s">
        <v>18</v>
      </c>
    </row>
    <row r="1000" spans="2:3" x14ac:dyDescent="0.3">
      <c r="B1000">
        <v>4511570727</v>
      </c>
      <c r="C1000" t="s">
        <v>18</v>
      </c>
    </row>
    <row r="1001" spans="2:3" x14ac:dyDescent="0.3">
      <c r="B1001">
        <v>4511570724</v>
      </c>
      <c r="C1001" t="s">
        <v>18</v>
      </c>
    </row>
    <row r="1002" spans="2:3" x14ac:dyDescent="0.3">
      <c r="B1002">
        <v>4511570724</v>
      </c>
      <c r="C1002" t="s">
        <v>18</v>
      </c>
    </row>
    <row r="1003" spans="2:3" x14ac:dyDescent="0.3">
      <c r="B1003">
        <v>4511570722</v>
      </c>
      <c r="C1003" t="s">
        <v>18</v>
      </c>
    </row>
    <row r="1004" spans="2:3" x14ac:dyDescent="0.3">
      <c r="B1004">
        <v>4511570720</v>
      </c>
      <c r="C1004" t="s">
        <v>18</v>
      </c>
    </row>
    <row r="1005" spans="2:3" x14ac:dyDescent="0.3">
      <c r="B1005">
        <v>4511570719</v>
      </c>
      <c r="C1005" t="s">
        <v>18</v>
      </c>
    </row>
    <row r="1006" spans="2:3" x14ac:dyDescent="0.3">
      <c r="B1006">
        <v>4511570719</v>
      </c>
      <c r="C1006" t="s">
        <v>18</v>
      </c>
    </row>
    <row r="1007" spans="2:3" x14ac:dyDescent="0.3">
      <c r="B1007">
        <v>4511570719</v>
      </c>
      <c r="C1007" t="s">
        <v>18</v>
      </c>
    </row>
    <row r="1008" spans="2:3" x14ac:dyDescent="0.3">
      <c r="B1008">
        <v>4511570719</v>
      </c>
      <c r="C1008" t="s">
        <v>18</v>
      </c>
    </row>
    <row r="1009" spans="2:3" x14ac:dyDescent="0.3">
      <c r="B1009">
        <v>4511570719</v>
      </c>
      <c r="C1009" t="s">
        <v>18</v>
      </c>
    </row>
    <row r="1010" spans="2:3" x14ac:dyDescent="0.3">
      <c r="B1010">
        <v>4511570719</v>
      </c>
      <c r="C1010" t="s">
        <v>18</v>
      </c>
    </row>
    <row r="1011" spans="2:3" x14ac:dyDescent="0.3">
      <c r="B1011">
        <v>4511570688</v>
      </c>
      <c r="C1011" t="s">
        <v>20</v>
      </c>
    </row>
    <row r="1012" spans="2:3" x14ac:dyDescent="0.3">
      <c r="B1012">
        <v>4511570687</v>
      </c>
      <c r="C1012" t="s">
        <v>20</v>
      </c>
    </row>
    <row r="1013" spans="2:3" x14ac:dyDescent="0.3">
      <c r="B1013">
        <v>4511570684</v>
      </c>
      <c r="C1013" t="s">
        <v>20</v>
      </c>
    </row>
    <row r="1014" spans="2:3" x14ac:dyDescent="0.3">
      <c r="B1014">
        <v>4511570684</v>
      </c>
      <c r="C1014" t="s">
        <v>20</v>
      </c>
    </row>
    <row r="1015" spans="2:3" x14ac:dyDescent="0.3">
      <c r="B1015">
        <v>4511570659</v>
      </c>
      <c r="C1015" t="s">
        <v>20</v>
      </c>
    </row>
    <row r="1016" spans="2:3" x14ac:dyDescent="0.3">
      <c r="B1016">
        <v>4511570659</v>
      </c>
      <c r="C1016" t="s">
        <v>20</v>
      </c>
    </row>
    <row r="1017" spans="2:3" x14ac:dyDescent="0.3">
      <c r="B1017">
        <v>4511570659</v>
      </c>
      <c r="C1017" t="s">
        <v>20</v>
      </c>
    </row>
    <row r="1018" spans="2:3" x14ac:dyDescent="0.3">
      <c r="B1018">
        <v>4511570640</v>
      </c>
      <c r="C1018" t="s">
        <v>18</v>
      </c>
    </row>
    <row r="1019" spans="2:3" x14ac:dyDescent="0.3">
      <c r="B1019">
        <v>4511570640</v>
      </c>
      <c r="C1019" t="s">
        <v>18</v>
      </c>
    </row>
    <row r="1020" spans="2:3" x14ac:dyDescent="0.3">
      <c r="B1020">
        <v>4511570595</v>
      </c>
      <c r="C1020" t="s">
        <v>20</v>
      </c>
    </row>
    <row r="1021" spans="2:3" x14ac:dyDescent="0.3">
      <c r="B1021">
        <v>4511570595</v>
      </c>
      <c r="C1021" t="s">
        <v>20</v>
      </c>
    </row>
    <row r="1022" spans="2:3" x14ac:dyDescent="0.3">
      <c r="B1022">
        <v>4511570595</v>
      </c>
      <c r="C1022" t="s">
        <v>20</v>
      </c>
    </row>
    <row r="1023" spans="2:3" x14ac:dyDescent="0.3">
      <c r="B1023">
        <v>4511570503</v>
      </c>
      <c r="C1023" t="s">
        <v>30</v>
      </c>
    </row>
    <row r="1024" spans="2:3" x14ac:dyDescent="0.3">
      <c r="B1024">
        <v>4511570486</v>
      </c>
      <c r="C1024" t="s">
        <v>18</v>
      </c>
    </row>
    <row r="1025" spans="2:3" x14ac:dyDescent="0.3">
      <c r="B1025">
        <v>4511570486</v>
      </c>
      <c r="C1025" t="s">
        <v>18</v>
      </c>
    </row>
    <row r="1026" spans="2:3" x14ac:dyDescent="0.3">
      <c r="B1026">
        <v>4511570484</v>
      </c>
      <c r="C1026" t="s">
        <v>18</v>
      </c>
    </row>
    <row r="1027" spans="2:3" x14ac:dyDescent="0.3">
      <c r="B1027">
        <v>4511570484</v>
      </c>
      <c r="C1027" t="s">
        <v>18</v>
      </c>
    </row>
    <row r="1028" spans="2:3" x14ac:dyDescent="0.3">
      <c r="B1028">
        <v>4511570468</v>
      </c>
      <c r="C1028" t="s">
        <v>18</v>
      </c>
    </row>
    <row r="1029" spans="2:3" x14ac:dyDescent="0.3">
      <c r="B1029">
        <v>4511570463</v>
      </c>
      <c r="C1029" t="s">
        <v>18</v>
      </c>
    </row>
    <row r="1030" spans="2:3" x14ac:dyDescent="0.3">
      <c r="B1030">
        <v>4511570463</v>
      </c>
      <c r="C1030" t="s">
        <v>18</v>
      </c>
    </row>
    <row r="1031" spans="2:3" x14ac:dyDescent="0.3">
      <c r="B1031">
        <v>4511570463</v>
      </c>
      <c r="C1031" t="s">
        <v>18</v>
      </c>
    </row>
    <row r="1032" spans="2:3" x14ac:dyDescent="0.3">
      <c r="B1032">
        <v>4511570463</v>
      </c>
      <c r="C1032" t="s">
        <v>18</v>
      </c>
    </row>
    <row r="1033" spans="2:3" x14ac:dyDescent="0.3">
      <c r="B1033">
        <v>4511570463</v>
      </c>
      <c r="C1033" t="s">
        <v>18</v>
      </c>
    </row>
    <row r="1034" spans="2:3" x14ac:dyDescent="0.3">
      <c r="B1034">
        <v>4511570463</v>
      </c>
      <c r="C1034" t="s">
        <v>18</v>
      </c>
    </row>
    <row r="1035" spans="2:3" x14ac:dyDescent="0.3">
      <c r="B1035">
        <v>4511570463</v>
      </c>
      <c r="C1035" t="s">
        <v>18</v>
      </c>
    </row>
    <row r="1036" spans="2:3" x14ac:dyDescent="0.3">
      <c r="B1036">
        <v>4511570463</v>
      </c>
      <c r="C1036" t="s">
        <v>18</v>
      </c>
    </row>
    <row r="1037" spans="2:3" x14ac:dyDescent="0.3">
      <c r="B1037">
        <v>4520095183</v>
      </c>
      <c r="C1037" t="s">
        <v>18</v>
      </c>
    </row>
    <row r="1038" spans="2:3" x14ac:dyDescent="0.3">
      <c r="B1038">
        <v>4520095183</v>
      </c>
      <c r="C1038" t="s">
        <v>18</v>
      </c>
    </row>
    <row r="1039" spans="2:3" x14ac:dyDescent="0.3">
      <c r="B1039">
        <v>4520095183</v>
      </c>
      <c r="C1039" t="s">
        <v>18</v>
      </c>
    </row>
    <row r="1040" spans="2:3" x14ac:dyDescent="0.3">
      <c r="B1040">
        <v>4520095183</v>
      </c>
      <c r="C1040" t="s">
        <v>18</v>
      </c>
    </row>
    <row r="1041" spans="2:3" x14ac:dyDescent="0.3">
      <c r="B1041">
        <v>4520095183</v>
      </c>
      <c r="C1041" t="s">
        <v>18</v>
      </c>
    </row>
    <row r="1042" spans="2:3" x14ac:dyDescent="0.3">
      <c r="B1042">
        <v>4520095183</v>
      </c>
      <c r="C1042" t="s">
        <v>18</v>
      </c>
    </row>
    <row r="1043" spans="2:3" x14ac:dyDescent="0.3">
      <c r="B1043">
        <v>4520095183</v>
      </c>
      <c r="C1043" t="s">
        <v>18</v>
      </c>
    </row>
    <row r="1044" spans="2:3" x14ac:dyDescent="0.3">
      <c r="B1044">
        <v>4520095183</v>
      </c>
      <c r="C1044" t="s">
        <v>18</v>
      </c>
    </row>
    <row r="1045" spans="2:3" x14ac:dyDescent="0.3">
      <c r="B1045">
        <v>4520095183</v>
      </c>
      <c r="C1045" t="s">
        <v>18</v>
      </c>
    </row>
    <row r="1046" spans="2:3" x14ac:dyDescent="0.3">
      <c r="B1046">
        <v>4520095183</v>
      </c>
      <c r="C1046" t="s">
        <v>18</v>
      </c>
    </row>
    <row r="1047" spans="2:3" x14ac:dyDescent="0.3">
      <c r="B1047">
        <v>4520095183</v>
      </c>
      <c r="C1047" t="s">
        <v>18</v>
      </c>
    </row>
    <row r="1048" spans="2:3" x14ac:dyDescent="0.3">
      <c r="B1048">
        <v>4520095183</v>
      </c>
      <c r="C1048" t="s">
        <v>18</v>
      </c>
    </row>
    <row r="1049" spans="2:3" x14ac:dyDescent="0.3">
      <c r="B1049">
        <v>4511570459</v>
      </c>
      <c r="C1049" t="s">
        <v>20</v>
      </c>
    </row>
    <row r="1050" spans="2:3" x14ac:dyDescent="0.3">
      <c r="B1050">
        <v>4511570459</v>
      </c>
      <c r="C1050" t="s">
        <v>20</v>
      </c>
    </row>
    <row r="1051" spans="2:3" x14ac:dyDescent="0.3">
      <c r="B1051">
        <v>4511570459</v>
      </c>
      <c r="C1051" t="s">
        <v>20</v>
      </c>
    </row>
    <row r="1052" spans="2:3" x14ac:dyDescent="0.3">
      <c r="B1052">
        <v>4511570459</v>
      </c>
      <c r="C1052" t="s">
        <v>20</v>
      </c>
    </row>
    <row r="1053" spans="2:3" x14ac:dyDescent="0.3">
      <c r="B1053">
        <v>4511570459</v>
      </c>
      <c r="C1053" t="s">
        <v>20</v>
      </c>
    </row>
    <row r="1054" spans="2:3" x14ac:dyDescent="0.3">
      <c r="B1054">
        <v>4511570459</v>
      </c>
      <c r="C1054" t="s">
        <v>20</v>
      </c>
    </row>
    <row r="1055" spans="2:3" x14ac:dyDescent="0.3">
      <c r="B1055">
        <v>4511570459</v>
      </c>
      <c r="C1055" t="s">
        <v>20</v>
      </c>
    </row>
    <row r="1056" spans="2:3" x14ac:dyDescent="0.3">
      <c r="B1056">
        <v>4511570459</v>
      </c>
      <c r="C1056" t="s">
        <v>20</v>
      </c>
    </row>
    <row r="1057" spans="2:3" x14ac:dyDescent="0.3">
      <c r="B1057">
        <v>4511570459</v>
      </c>
      <c r="C1057" t="s">
        <v>20</v>
      </c>
    </row>
    <row r="1058" spans="2:3" x14ac:dyDescent="0.3">
      <c r="B1058">
        <v>4511570459</v>
      </c>
      <c r="C1058" t="s">
        <v>20</v>
      </c>
    </row>
    <row r="1059" spans="2:3" x14ac:dyDescent="0.3">
      <c r="B1059">
        <v>4511570459</v>
      </c>
      <c r="C1059" t="s">
        <v>20</v>
      </c>
    </row>
    <row r="1060" spans="2:3" x14ac:dyDescent="0.3">
      <c r="B1060">
        <v>4511570459</v>
      </c>
      <c r="C1060" t="s">
        <v>20</v>
      </c>
    </row>
    <row r="1061" spans="2:3" x14ac:dyDescent="0.3">
      <c r="B1061">
        <v>4511570459</v>
      </c>
      <c r="C1061" t="s">
        <v>20</v>
      </c>
    </row>
    <row r="1062" spans="2:3" x14ac:dyDescent="0.3">
      <c r="B1062">
        <v>4511570459</v>
      </c>
      <c r="C1062" t="s">
        <v>20</v>
      </c>
    </row>
    <row r="1063" spans="2:3" x14ac:dyDescent="0.3">
      <c r="B1063">
        <v>4511570459</v>
      </c>
      <c r="C1063" t="s">
        <v>20</v>
      </c>
    </row>
    <row r="1064" spans="2:3" x14ac:dyDescent="0.3">
      <c r="B1064">
        <v>4511570459</v>
      </c>
      <c r="C1064" t="s">
        <v>20</v>
      </c>
    </row>
    <row r="1065" spans="2:3" x14ac:dyDescent="0.3">
      <c r="B1065">
        <v>4511570454</v>
      </c>
      <c r="C1065" t="s">
        <v>18</v>
      </c>
    </row>
    <row r="1066" spans="2:3" x14ac:dyDescent="0.3">
      <c r="B1066">
        <v>4511570454</v>
      </c>
      <c r="C1066" t="s">
        <v>18</v>
      </c>
    </row>
    <row r="1067" spans="2:3" x14ac:dyDescent="0.3">
      <c r="B1067">
        <v>4511570454</v>
      </c>
      <c r="C1067" t="s">
        <v>18</v>
      </c>
    </row>
    <row r="1068" spans="2:3" x14ac:dyDescent="0.3">
      <c r="B1068">
        <v>4511570454</v>
      </c>
      <c r="C1068" t="s">
        <v>18</v>
      </c>
    </row>
    <row r="1069" spans="2:3" x14ac:dyDescent="0.3">
      <c r="B1069">
        <v>4511570454</v>
      </c>
      <c r="C1069" t="s">
        <v>18</v>
      </c>
    </row>
    <row r="1070" spans="2:3" x14ac:dyDescent="0.3">
      <c r="B1070">
        <v>4511570453</v>
      </c>
      <c r="C1070" t="s">
        <v>20</v>
      </c>
    </row>
    <row r="1071" spans="2:3" x14ac:dyDescent="0.3">
      <c r="B1071">
        <v>4511570435</v>
      </c>
      <c r="C1071" t="s">
        <v>20</v>
      </c>
    </row>
    <row r="1072" spans="2:3" x14ac:dyDescent="0.3">
      <c r="B1072">
        <v>4511570429</v>
      </c>
      <c r="C1072" t="s">
        <v>20</v>
      </c>
    </row>
    <row r="1073" spans="2:3" x14ac:dyDescent="0.3">
      <c r="B1073">
        <v>4511570429</v>
      </c>
      <c r="C1073" t="s">
        <v>20</v>
      </c>
    </row>
    <row r="1074" spans="2:3" x14ac:dyDescent="0.3">
      <c r="B1074">
        <v>4511570411</v>
      </c>
      <c r="C1074" t="s">
        <v>37</v>
      </c>
    </row>
    <row r="1075" spans="2:3" x14ac:dyDescent="0.3">
      <c r="B1075">
        <v>4511570411</v>
      </c>
      <c r="C1075" t="s">
        <v>37</v>
      </c>
    </row>
    <row r="1076" spans="2:3" x14ac:dyDescent="0.3">
      <c r="B1076">
        <v>4511570411</v>
      </c>
      <c r="C1076" t="s">
        <v>37</v>
      </c>
    </row>
    <row r="1077" spans="2:3" x14ac:dyDescent="0.3">
      <c r="B1077">
        <v>4511570411</v>
      </c>
      <c r="C1077" t="s">
        <v>37</v>
      </c>
    </row>
    <row r="1078" spans="2:3" x14ac:dyDescent="0.3">
      <c r="B1078">
        <v>4511570411</v>
      </c>
      <c r="C1078" t="s">
        <v>37</v>
      </c>
    </row>
    <row r="1079" spans="2:3" x14ac:dyDescent="0.3">
      <c r="B1079">
        <v>4511570411</v>
      </c>
      <c r="C1079" t="s">
        <v>37</v>
      </c>
    </row>
    <row r="1080" spans="2:3" x14ac:dyDescent="0.3">
      <c r="B1080">
        <v>4511570411</v>
      </c>
      <c r="C1080" t="s">
        <v>37</v>
      </c>
    </row>
    <row r="1081" spans="2:3" x14ac:dyDescent="0.3">
      <c r="B1081">
        <v>4511570411</v>
      </c>
      <c r="C1081" t="s">
        <v>37</v>
      </c>
    </row>
    <row r="1082" spans="2:3" x14ac:dyDescent="0.3">
      <c r="B1082">
        <v>4511570411</v>
      </c>
      <c r="C1082" t="s">
        <v>37</v>
      </c>
    </row>
    <row r="1083" spans="2:3" x14ac:dyDescent="0.3">
      <c r="B1083">
        <v>4511570411</v>
      </c>
      <c r="C1083" t="s">
        <v>37</v>
      </c>
    </row>
    <row r="1084" spans="2:3" x14ac:dyDescent="0.3">
      <c r="B1084">
        <v>4511570411</v>
      </c>
      <c r="C1084" t="s">
        <v>37</v>
      </c>
    </row>
    <row r="1085" spans="2:3" x14ac:dyDescent="0.3">
      <c r="B1085">
        <v>4511570411</v>
      </c>
      <c r="C1085" t="s">
        <v>37</v>
      </c>
    </row>
    <row r="1086" spans="2:3" x14ac:dyDescent="0.3">
      <c r="B1086">
        <v>4511570411</v>
      </c>
      <c r="C1086" t="s">
        <v>37</v>
      </c>
    </row>
    <row r="1087" spans="2:3" x14ac:dyDescent="0.3">
      <c r="B1087">
        <v>4511570411</v>
      </c>
      <c r="C1087" t="s">
        <v>37</v>
      </c>
    </row>
    <row r="1088" spans="2:3" x14ac:dyDescent="0.3">
      <c r="B1088">
        <v>4511570411</v>
      </c>
      <c r="C1088" t="s">
        <v>37</v>
      </c>
    </row>
    <row r="1089" spans="2:3" x14ac:dyDescent="0.3">
      <c r="B1089">
        <v>4511570411</v>
      </c>
      <c r="C1089" t="s">
        <v>37</v>
      </c>
    </row>
    <row r="1090" spans="2:3" x14ac:dyDescent="0.3">
      <c r="B1090">
        <v>4511570411</v>
      </c>
      <c r="C1090" t="s">
        <v>37</v>
      </c>
    </row>
    <row r="1091" spans="2:3" x14ac:dyDescent="0.3">
      <c r="B1091">
        <v>4511570411</v>
      </c>
      <c r="C1091" t="s">
        <v>37</v>
      </c>
    </row>
    <row r="1092" spans="2:3" x14ac:dyDescent="0.3">
      <c r="B1092">
        <v>4511570411</v>
      </c>
      <c r="C1092" t="s">
        <v>37</v>
      </c>
    </row>
    <row r="1093" spans="2:3" x14ac:dyDescent="0.3">
      <c r="B1093">
        <v>4511570411</v>
      </c>
      <c r="C1093" t="s">
        <v>37</v>
      </c>
    </row>
    <row r="1094" spans="2:3" x14ac:dyDescent="0.3">
      <c r="B1094">
        <v>4511570411</v>
      </c>
      <c r="C1094" t="s">
        <v>37</v>
      </c>
    </row>
    <row r="1095" spans="2:3" x14ac:dyDescent="0.3">
      <c r="B1095">
        <v>4511570411</v>
      </c>
      <c r="C1095" t="s">
        <v>37</v>
      </c>
    </row>
    <row r="1096" spans="2:3" x14ac:dyDescent="0.3">
      <c r="B1096">
        <v>4511570411</v>
      </c>
      <c r="C1096" t="s">
        <v>37</v>
      </c>
    </row>
    <row r="1097" spans="2:3" x14ac:dyDescent="0.3">
      <c r="B1097">
        <v>4511570411</v>
      </c>
      <c r="C1097" t="s">
        <v>37</v>
      </c>
    </row>
    <row r="1098" spans="2:3" x14ac:dyDescent="0.3">
      <c r="B1098">
        <v>4511570411</v>
      </c>
      <c r="C1098" t="s">
        <v>37</v>
      </c>
    </row>
    <row r="1099" spans="2:3" x14ac:dyDescent="0.3">
      <c r="B1099">
        <v>4511570411</v>
      </c>
      <c r="C1099" t="s">
        <v>37</v>
      </c>
    </row>
    <row r="1100" spans="2:3" x14ac:dyDescent="0.3">
      <c r="B1100">
        <v>4511570411</v>
      </c>
      <c r="C1100" t="s">
        <v>37</v>
      </c>
    </row>
    <row r="1101" spans="2:3" x14ac:dyDescent="0.3">
      <c r="B1101">
        <v>4511570411</v>
      </c>
      <c r="C1101" t="s">
        <v>37</v>
      </c>
    </row>
    <row r="1102" spans="2:3" x14ac:dyDescent="0.3">
      <c r="B1102">
        <v>4511570407</v>
      </c>
      <c r="C1102" t="s">
        <v>30</v>
      </c>
    </row>
    <row r="1103" spans="2:3" x14ac:dyDescent="0.3">
      <c r="B1103">
        <v>4511570407</v>
      </c>
      <c r="C1103" t="s">
        <v>30</v>
      </c>
    </row>
    <row r="1104" spans="2:3" x14ac:dyDescent="0.3">
      <c r="B1104">
        <v>4511570407</v>
      </c>
      <c r="C1104" t="s">
        <v>30</v>
      </c>
    </row>
    <row r="1105" spans="2:3" x14ac:dyDescent="0.3">
      <c r="B1105">
        <v>4511570356</v>
      </c>
      <c r="C1105" t="s">
        <v>20</v>
      </c>
    </row>
    <row r="1106" spans="2:3" x14ac:dyDescent="0.3">
      <c r="B1106">
        <v>4511570356</v>
      </c>
      <c r="C1106" t="s">
        <v>20</v>
      </c>
    </row>
    <row r="1107" spans="2:3" x14ac:dyDescent="0.3">
      <c r="B1107">
        <v>4511570356</v>
      </c>
      <c r="C1107" t="s">
        <v>20</v>
      </c>
    </row>
    <row r="1108" spans="2:3" x14ac:dyDescent="0.3">
      <c r="B1108">
        <v>4511570356</v>
      </c>
      <c r="C1108" t="s">
        <v>20</v>
      </c>
    </row>
    <row r="1109" spans="2:3" x14ac:dyDescent="0.3">
      <c r="B1109">
        <v>4511570356</v>
      </c>
      <c r="C1109" t="s">
        <v>20</v>
      </c>
    </row>
    <row r="1110" spans="2:3" x14ac:dyDescent="0.3">
      <c r="B1110">
        <v>4511570356</v>
      </c>
      <c r="C1110" t="s">
        <v>20</v>
      </c>
    </row>
    <row r="1111" spans="2:3" x14ac:dyDescent="0.3">
      <c r="B1111">
        <v>4511570356</v>
      </c>
      <c r="C1111" t="s">
        <v>20</v>
      </c>
    </row>
    <row r="1112" spans="2:3" x14ac:dyDescent="0.3">
      <c r="B1112">
        <v>4511570356</v>
      </c>
      <c r="C1112" t="s">
        <v>20</v>
      </c>
    </row>
    <row r="1113" spans="2:3" x14ac:dyDescent="0.3">
      <c r="B1113">
        <v>4511570356</v>
      </c>
      <c r="C1113" t="s">
        <v>20</v>
      </c>
    </row>
    <row r="1114" spans="2:3" x14ac:dyDescent="0.3">
      <c r="B1114">
        <v>4511570356</v>
      </c>
      <c r="C1114" t="s">
        <v>20</v>
      </c>
    </row>
    <row r="1115" spans="2:3" x14ac:dyDescent="0.3">
      <c r="B1115">
        <v>4511570356</v>
      </c>
      <c r="C1115" t="s">
        <v>20</v>
      </c>
    </row>
    <row r="1116" spans="2:3" x14ac:dyDescent="0.3">
      <c r="B1116">
        <v>4511570356</v>
      </c>
      <c r="C1116" t="s">
        <v>20</v>
      </c>
    </row>
    <row r="1117" spans="2:3" x14ac:dyDescent="0.3">
      <c r="B1117">
        <v>4511570292</v>
      </c>
      <c r="C1117" t="s">
        <v>30</v>
      </c>
    </row>
    <row r="1118" spans="2:3" x14ac:dyDescent="0.3">
      <c r="B1118">
        <v>4511570292</v>
      </c>
      <c r="C1118" t="s">
        <v>30</v>
      </c>
    </row>
    <row r="1119" spans="2:3" x14ac:dyDescent="0.3">
      <c r="B1119">
        <v>4511570292</v>
      </c>
      <c r="C1119" t="s">
        <v>30</v>
      </c>
    </row>
    <row r="1120" spans="2:3" x14ac:dyDescent="0.3">
      <c r="B1120">
        <v>4511570287</v>
      </c>
      <c r="C1120" t="s">
        <v>30</v>
      </c>
    </row>
    <row r="1121" spans="2:3" x14ac:dyDescent="0.3">
      <c r="B1121">
        <v>4511570279</v>
      </c>
      <c r="C1121" t="s">
        <v>30</v>
      </c>
    </row>
    <row r="1122" spans="2:3" x14ac:dyDescent="0.3">
      <c r="B1122">
        <v>4511570279</v>
      </c>
      <c r="C1122" t="s">
        <v>30</v>
      </c>
    </row>
    <row r="1123" spans="2:3" x14ac:dyDescent="0.3">
      <c r="B1123">
        <v>4511570279</v>
      </c>
      <c r="C1123" t="s">
        <v>30</v>
      </c>
    </row>
    <row r="1124" spans="2:3" x14ac:dyDescent="0.3">
      <c r="B1124">
        <v>4511570279</v>
      </c>
      <c r="C1124" t="s">
        <v>30</v>
      </c>
    </row>
    <row r="1125" spans="2:3" x14ac:dyDescent="0.3">
      <c r="B1125">
        <v>4511570279</v>
      </c>
      <c r="C1125" t="s">
        <v>30</v>
      </c>
    </row>
    <row r="1126" spans="2:3" x14ac:dyDescent="0.3">
      <c r="B1126">
        <v>4511570279</v>
      </c>
      <c r="C1126" t="s">
        <v>30</v>
      </c>
    </row>
    <row r="1127" spans="2:3" x14ac:dyDescent="0.3">
      <c r="B1127">
        <v>4511570279</v>
      </c>
      <c r="C1127" t="s">
        <v>30</v>
      </c>
    </row>
    <row r="1128" spans="2:3" x14ac:dyDescent="0.3">
      <c r="B1128">
        <v>4511570279</v>
      </c>
      <c r="C1128" t="s">
        <v>30</v>
      </c>
    </row>
    <row r="1129" spans="2:3" x14ac:dyDescent="0.3">
      <c r="B1129">
        <v>4511570279</v>
      </c>
      <c r="C1129" t="s">
        <v>30</v>
      </c>
    </row>
    <row r="1130" spans="2:3" x14ac:dyDescent="0.3">
      <c r="B1130">
        <v>4511570279</v>
      </c>
      <c r="C1130" t="s">
        <v>30</v>
      </c>
    </row>
    <row r="1131" spans="2:3" x14ac:dyDescent="0.3">
      <c r="B1131">
        <v>4511570279</v>
      </c>
      <c r="C1131" t="s">
        <v>30</v>
      </c>
    </row>
    <row r="1132" spans="2:3" x14ac:dyDescent="0.3">
      <c r="B1132">
        <v>4511570279</v>
      </c>
      <c r="C1132" t="s">
        <v>30</v>
      </c>
    </row>
    <row r="1133" spans="2:3" x14ac:dyDescent="0.3">
      <c r="B1133">
        <v>4511570279</v>
      </c>
      <c r="C1133" t="s">
        <v>30</v>
      </c>
    </row>
    <row r="1134" spans="2:3" x14ac:dyDescent="0.3">
      <c r="B1134">
        <v>4511570279</v>
      </c>
      <c r="C1134" t="s">
        <v>30</v>
      </c>
    </row>
    <row r="1135" spans="2:3" x14ac:dyDescent="0.3">
      <c r="B1135">
        <v>4511570279</v>
      </c>
      <c r="C1135" t="s">
        <v>30</v>
      </c>
    </row>
    <row r="1136" spans="2:3" x14ac:dyDescent="0.3">
      <c r="B1136">
        <v>4511570279</v>
      </c>
      <c r="C1136" t="s">
        <v>30</v>
      </c>
    </row>
    <row r="1137" spans="2:3" x14ac:dyDescent="0.3">
      <c r="B1137">
        <v>4511570279</v>
      </c>
      <c r="C1137" t="s">
        <v>30</v>
      </c>
    </row>
    <row r="1138" spans="2:3" x14ac:dyDescent="0.3">
      <c r="B1138">
        <v>4511570279</v>
      </c>
      <c r="C1138" t="s">
        <v>30</v>
      </c>
    </row>
    <row r="1139" spans="2:3" x14ac:dyDescent="0.3">
      <c r="B1139">
        <v>4511570279</v>
      </c>
      <c r="C1139" t="s">
        <v>30</v>
      </c>
    </row>
    <row r="1140" spans="2:3" x14ac:dyDescent="0.3">
      <c r="B1140">
        <v>4511570257</v>
      </c>
      <c r="C1140" t="s">
        <v>30</v>
      </c>
    </row>
    <row r="1141" spans="2:3" x14ac:dyDescent="0.3">
      <c r="B1141">
        <v>4511570217</v>
      </c>
      <c r="C1141" t="s">
        <v>18</v>
      </c>
    </row>
    <row r="1142" spans="2:3" x14ac:dyDescent="0.3">
      <c r="B1142">
        <v>4511570217</v>
      </c>
      <c r="C1142" t="s">
        <v>18</v>
      </c>
    </row>
    <row r="1143" spans="2:3" x14ac:dyDescent="0.3">
      <c r="B1143">
        <v>4511570217</v>
      </c>
      <c r="C1143" t="s">
        <v>18</v>
      </c>
    </row>
    <row r="1144" spans="2:3" x14ac:dyDescent="0.3">
      <c r="B1144">
        <v>4511570217</v>
      </c>
      <c r="C1144" t="s">
        <v>18</v>
      </c>
    </row>
    <row r="1145" spans="2:3" x14ac:dyDescent="0.3">
      <c r="B1145">
        <v>4511570217</v>
      </c>
      <c r="C1145" t="s">
        <v>18</v>
      </c>
    </row>
    <row r="1146" spans="2:3" x14ac:dyDescent="0.3">
      <c r="B1146">
        <v>4511570217</v>
      </c>
      <c r="C1146" t="s">
        <v>18</v>
      </c>
    </row>
    <row r="1147" spans="2:3" x14ac:dyDescent="0.3">
      <c r="B1147">
        <v>4511570217</v>
      </c>
      <c r="C1147" t="s">
        <v>18</v>
      </c>
    </row>
    <row r="1148" spans="2:3" x14ac:dyDescent="0.3">
      <c r="B1148">
        <v>4511570217</v>
      </c>
      <c r="C1148" t="s">
        <v>18</v>
      </c>
    </row>
    <row r="1149" spans="2:3" x14ac:dyDescent="0.3">
      <c r="B1149">
        <v>4511570217</v>
      </c>
      <c r="C1149" t="s">
        <v>18</v>
      </c>
    </row>
    <row r="1150" spans="2:3" x14ac:dyDescent="0.3">
      <c r="B1150">
        <v>4511570161</v>
      </c>
      <c r="C1150" t="s">
        <v>20</v>
      </c>
    </row>
    <row r="1151" spans="2:3" x14ac:dyDescent="0.3">
      <c r="B1151">
        <v>4511570161</v>
      </c>
      <c r="C1151" t="s">
        <v>20</v>
      </c>
    </row>
    <row r="1152" spans="2:3" x14ac:dyDescent="0.3">
      <c r="B1152">
        <v>4511570161</v>
      </c>
      <c r="C1152" t="s">
        <v>20</v>
      </c>
    </row>
    <row r="1153" spans="2:3" x14ac:dyDescent="0.3">
      <c r="B1153">
        <v>4511570161</v>
      </c>
      <c r="C1153" t="s">
        <v>20</v>
      </c>
    </row>
    <row r="1154" spans="2:3" x14ac:dyDescent="0.3">
      <c r="B1154">
        <v>4511570161</v>
      </c>
      <c r="C1154" t="s">
        <v>20</v>
      </c>
    </row>
    <row r="1155" spans="2:3" x14ac:dyDescent="0.3">
      <c r="B1155">
        <v>4511570161</v>
      </c>
      <c r="C1155" t="s">
        <v>20</v>
      </c>
    </row>
    <row r="1156" spans="2:3" x14ac:dyDescent="0.3">
      <c r="B1156">
        <v>4511570161</v>
      </c>
      <c r="C1156" t="s">
        <v>20</v>
      </c>
    </row>
    <row r="1157" spans="2:3" x14ac:dyDescent="0.3">
      <c r="B1157">
        <v>4511570161</v>
      </c>
      <c r="C1157" t="s">
        <v>20</v>
      </c>
    </row>
    <row r="1158" spans="2:3" x14ac:dyDescent="0.3">
      <c r="B1158">
        <v>4511570161</v>
      </c>
      <c r="C1158" t="s">
        <v>20</v>
      </c>
    </row>
    <row r="1159" spans="2:3" x14ac:dyDescent="0.3">
      <c r="B1159">
        <v>4511570161</v>
      </c>
      <c r="C1159" t="s">
        <v>20</v>
      </c>
    </row>
    <row r="1160" spans="2:3" x14ac:dyDescent="0.3">
      <c r="B1160">
        <v>4511570127</v>
      </c>
      <c r="C1160" t="s">
        <v>20</v>
      </c>
    </row>
    <row r="1161" spans="2:3" x14ac:dyDescent="0.3">
      <c r="B1161">
        <v>4511570127</v>
      </c>
      <c r="C1161" t="s">
        <v>20</v>
      </c>
    </row>
    <row r="1162" spans="2:3" x14ac:dyDescent="0.3">
      <c r="B1162">
        <v>4511570127</v>
      </c>
      <c r="C1162" t="s">
        <v>20</v>
      </c>
    </row>
    <row r="1163" spans="2:3" x14ac:dyDescent="0.3">
      <c r="B1163">
        <v>4511570127</v>
      </c>
      <c r="C1163" t="s">
        <v>20</v>
      </c>
    </row>
    <row r="1164" spans="2:3" x14ac:dyDescent="0.3">
      <c r="B1164">
        <v>4511570125</v>
      </c>
      <c r="C1164" t="s">
        <v>20</v>
      </c>
    </row>
    <row r="1165" spans="2:3" x14ac:dyDescent="0.3">
      <c r="B1165">
        <v>4511570125</v>
      </c>
      <c r="C1165" t="s">
        <v>20</v>
      </c>
    </row>
    <row r="1166" spans="2:3" x14ac:dyDescent="0.3">
      <c r="B1166">
        <v>4511570125</v>
      </c>
      <c r="C1166" t="s">
        <v>20</v>
      </c>
    </row>
    <row r="1167" spans="2:3" x14ac:dyDescent="0.3">
      <c r="B1167">
        <v>4511570125</v>
      </c>
      <c r="C1167" t="s">
        <v>20</v>
      </c>
    </row>
    <row r="1168" spans="2:3" x14ac:dyDescent="0.3">
      <c r="B1168">
        <v>4511570125</v>
      </c>
      <c r="C1168" t="s">
        <v>20</v>
      </c>
    </row>
    <row r="1169" spans="2:3" x14ac:dyDescent="0.3">
      <c r="B1169">
        <v>4511570125</v>
      </c>
      <c r="C1169" t="s">
        <v>20</v>
      </c>
    </row>
    <row r="1170" spans="2:3" x14ac:dyDescent="0.3">
      <c r="B1170">
        <v>4511570125</v>
      </c>
      <c r="C1170" t="s">
        <v>20</v>
      </c>
    </row>
    <row r="1171" spans="2:3" x14ac:dyDescent="0.3">
      <c r="B1171">
        <v>4511570125</v>
      </c>
      <c r="C1171" t="s">
        <v>20</v>
      </c>
    </row>
    <row r="1172" spans="2:3" x14ac:dyDescent="0.3">
      <c r="B1172">
        <v>4511570108</v>
      </c>
      <c r="C1172" t="s">
        <v>30</v>
      </c>
    </row>
    <row r="1173" spans="2:3" x14ac:dyDescent="0.3">
      <c r="B1173">
        <v>4511570108</v>
      </c>
      <c r="C1173" t="s">
        <v>30</v>
      </c>
    </row>
    <row r="1174" spans="2:3" x14ac:dyDescent="0.3">
      <c r="B1174">
        <v>4511570106</v>
      </c>
      <c r="C1174" t="s">
        <v>30</v>
      </c>
    </row>
    <row r="1175" spans="2:3" x14ac:dyDescent="0.3">
      <c r="B1175">
        <v>4511570103</v>
      </c>
      <c r="C1175" t="s">
        <v>30</v>
      </c>
    </row>
    <row r="1176" spans="2:3" x14ac:dyDescent="0.3">
      <c r="B1176">
        <v>4511570098</v>
      </c>
      <c r="C1176" t="s">
        <v>37</v>
      </c>
    </row>
    <row r="1177" spans="2:3" x14ac:dyDescent="0.3">
      <c r="B1177">
        <v>4511570098</v>
      </c>
      <c r="C1177" t="s">
        <v>37</v>
      </c>
    </row>
    <row r="1178" spans="2:3" x14ac:dyDescent="0.3">
      <c r="B1178">
        <v>4511570098</v>
      </c>
      <c r="C1178" t="s">
        <v>37</v>
      </c>
    </row>
    <row r="1179" spans="2:3" x14ac:dyDescent="0.3">
      <c r="B1179">
        <v>4511570098</v>
      </c>
      <c r="C1179" t="s">
        <v>37</v>
      </c>
    </row>
    <row r="1180" spans="2:3" x14ac:dyDescent="0.3">
      <c r="B1180">
        <v>4511570098</v>
      </c>
      <c r="C1180" t="s">
        <v>37</v>
      </c>
    </row>
    <row r="1181" spans="2:3" x14ac:dyDescent="0.3">
      <c r="B1181">
        <v>4511570093</v>
      </c>
      <c r="C1181" t="s">
        <v>37</v>
      </c>
    </row>
    <row r="1182" spans="2:3" x14ac:dyDescent="0.3">
      <c r="B1182">
        <v>4511570063</v>
      </c>
      <c r="C1182" t="s">
        <v>20</v>
      </c>
    </row>
    <row r="1183" spans="2:3" x14ac:dyDescent="0.3">
      <c r="B1183">
        <v>4511570063</v>
      </c>
      <c r="C1183" t="s">
        <v>20</v>
      </c>
    </row>
    <row r="1184" spans="2:3" x14ac:dyDescent="0.3">
      <c r="B1184">
        <v>4511570063</v>
      </c>
      <c r="C1184" t="s">
        <v>20</v>
      </c>
    </row>
    <row r="1185" spans="2:3" x14ac:dyDescent="0.3">
      <c r="B1185">
        <v>4511570063</v>
      </c>
      <c r="C1185" t="s">
        <v>20</v>
      </c>
    </row>
    <row r="1186" spans="2:3" x14ac:dyDescent="0.3">
      <c r="B1186">
        <v>4511570063</v>
      </c>
      <c r="C1186" t="s">
        <v>20</v>
      </c>
    </row>
    <row r="1187" spans="2:3" x14ac:dyDescent="0.3">
      <c r="B1187">
        <v>4511570063</v>
      </c>
      <c r="C1187" t="s">
        <v>20</v>
      </c>
    </row>
    <row r="1188" spans="2:3" x14ac:dyDescent="0.3">
      <c r="B1188">
        <v>4511570063</v>
      </c>
      <c r="C1188" t="s">
        <v>20</v>
      </c>
    </row>
    <row r="1189" spans="2:3" x14ac:dyDescent="0.3">
      <c r="B1189">
        <v>4511570063</v>
      </c>
      <c r="C1189" t="s">
        <v>20</v>
      </c>
    </row>
    <row r="1190" spans="2:3" x14ac:dyDescent="0.3">
      <c r="B1190">
        <v>4511570063</v>
      </c>
      <c r="C1190" t="s">
        <v>20</v>
      </c>
    </row>
    <row r="1191" spans="2:3" x14ac:dyDescent="0.3">
      <c r="B1191">
        <v>4511570063</v>
      </c>
      <c r="C1191" t="s">
        <v>20</v>
      </c>
    </row>
    <row r="1192" spans="2:3" x14ac:dyDescent="0.3">
      <c r="B1192">
        <v>4511570063</v>
      </c>
      <c r="C1192" t="s">
        <v>20</v>
      </c>
    </row>
    <row r="1193" spans="2:3" x14ac:dyDescent="0.3">
      <c r="B1193">
        <v>4511570063</v>
      </c>
      <c r="C1193" t="s">
        <v>20</v>
      </c>
    </row>
    <row r="1194" spans="2:3" x14ac:dyDescent="0.3">
      <c r="B1194">
        <v>4511570063</v>
      </c>
      <c r="C1194" t="s">
        <v>20</v>
      </c>
    </row>
    <row r="1195" spans="2:3" x14ac:dyDescent="0.3">
      <c r="B1195">
        <v>4511570063</v>
      </c>
      <c r="C1195" t="s">
        <v>20</v>
      </c>
    </row>
    <row r="1196" spans="2:3" x14ac:dyDescent="0.3">
      <c r="B1196">
        <v>4511570063</v>
      </c>
      <c r="C1196" t="s">
        <v>20</v>
      </c>
    </row>
    <row r="1197" spans="2:3" x14ac:dyDescent="0.3">
      <c r="B1197">
        <v>4511570063</v>
      </c>
      <c r="C1197" t="s">
        <v>20</v>
      </c>
    </row>
    <row r="1198" spans="2:3" x14ac:dyDescent="0.3">
      <c r="B1198">
        <v>4511570063</v>
      </c>
      <c r="C1198" t="s">
        <v>20</v>
      </c>
    </row>
    <row r="1199" spans="2:3" x14ac:dyDescent="0.3">
      <c r="B1199">
        <v>4511570063</v>
      </c>
      <c r="C1199" t="s">
        <v>20</v>
      </c>
    </row>
    <row r="1200" spans="2:3" x14ac:dyDescent="0.3">
      <c r="B1200">
        <v>4511570063</v>
      </c>
      <c r="C1200" t="s">
        <v>20</v>
      </c>
    </row>
    <row r="1201" spans="2:3" x14ac:dyDescent="0.3">
      <c r="B1201">
        <v>4511570063</v>
      </c>
      <c r="C1201" t="s">
        <v>20</v>
      </c>
    </row>
    <row r="1202" spans="2:3" x14ac:dyDescent="0.3">
      <c r="B1202">
        <v>4511570063</v>
      </c>
      <c r="C1202" t="s">
        <v>20</v>
      </c>
    </row>
    <row r="1203" spans="2:3" x14ac:dyDescent="0.3">
      <c r="B1203">
        <v>4511570063</v>
      </c>
      <c r="C1203" t="s">
        <v>20</v>
      </c>
    </row>
    <row r="1204" spans="2:3" x14ac:dyDescent="0.3">
      <c r="B1204">
        <v>4511570063</v>
      </c>
      <c r="C1204" t="s">
        <v>20</v>
      </c>
    </row>
    <row r="1205" spans="2:3" x14ac:dyDescent="0.3">
      <c r="B1205">
        <v>4511570063</v>
      </c>
      <c r="C1205" t="s">
        <v>20</v>
      </c>
    </row>
    <row r="1206" spans="2:3" x14ac:dyDescent="0.3">
      <c r="B1206">
        <v>4511570063</v>
      </c>
      <c r="C1206" t="s">
        <v>20</v>
      </c>
    </row>
    <row r="1207" spans="2:3" x14ac:dyDescent="0.3">
      <c r="B1207">
        <v>4511570063</v>
      </c>
      <c r="C1207" t="s">
        <v>20</v>
      </c>
    </row>
    <row r="1208" spans="2:3" x14ac:dyDescent="0.3">
      <c r="B1208">
        <v>4511570063</v>
      </c>
      <c r="C1208" t="s">
        <v>20</v>
      </c>
    </row>
    <row r="1209" spans="2:3" x14ac:dyDescent="0.3">
      <c r="B1209">
        <v>4511570063</v>
      </c>
      <c r="C1209" t="s">
        <v>20</v>
      </c>
    </row>
    <row r="1210" spans="2:3" x14ac:dyDescent="0.3">
      <c r="B1210">
        <v>4511570063</v>
      </c>
      <c r="C1210" t="s">
        <v>20</v>
      </c>
    </row>
    <row r="1211" spans="2:3" x14ac:dyDescent="0.3">
      <c r="B1211">
        <v>4511570063</v>
      </c>
      <c r="C1211" t="s">
        <v>20</v>
      </c>
    </row>
    <row r="1212" spans="2:3" x14ac:dyDescent="0.3">
      <c r="B1212">
        <v>4511570063</v>
      </c>
      <c r="C1212" t="s">
        <v>20</v>
      </c>
    </row>
    <row r="1213" spans="2:3" x14ac:dyDescent="0.3">
      <c r="B1213">
        <v>4511570063</v>
      </c>
      <c r="C1213" t="s">
        <v>20</v>
      </c>
    </row>
    <row r="1214" spans="2:3" x14ac:dyDescent="0.3">
      <c r="B1214">
        <v>4511570063</v>
      </c>
      <c r="C1214" t="s">
        <v>20</v>
      </c>
    </row>
    <row r="1215" spans="2:3" x14ac:dyDescent="0.3">
      <c r="B1215">
        <v>4511570063</v>
      </c>
      <c r="C1215" t="s">
        <v>20</v>
      </c>
    </row>
    <row r="1216" spans="2:3" x14ac:dyDescent="0.3">
      <c r="B1216">
        <v>4511570063</v>
      </c>
      <c r="C1216" t="s">
        <v>20</v>
      </c>
    </row>
    <row r="1217" spans="2:3" x14ac:dyDescent="0.3">
      <c r="B1217">
        <v>4511570063</v>
      </c>
      <c r="C1217" t="s">
        <v>20</v>
      </c>
    </row>
    <row r="1218" spans="2:3" x14ac:dyDescent="0.3">
      <c r="B1218">
        <v>4511570063</v>
      </c>
      <c r="C1218" t="s">
        <v>20</v>
      </c>
    </row>
    <row r="1219" spans="2:3" x14ac:dyDescent="0.3">
      <c r="B1219">
        <v>4511570063</v>
      </c>
      <c r="C1219" t="s">
        <v>20</v>
      </c>
    </row>
    <row r="1220" spans="2:3" x14ac:dyDescent="0.3">
      <c r="B1220">
        <v>4511570063</v>
      </c>
      <c r="C1220" t="s">
        <v>20</v>
      </c>
    </row>
    <row r="1221" spans="2:3" x14ac:dyDescent="0.3">
      <c r="B1221">
        <v>4511570063</v>
      </c>
      <c r="C1221" t="s">
        <v>20</v>
      </c>
    </row>
    <row r="1222" spans="2:3" x14ac:dyDescent="0.3">
      <c r="B1222">
        <v>4511570063</v>
      </c>
      <c r="C1222" t="s">
        <v>20</v>
      </c>
    </row>
    <row r="1223" spans="2:3" x14ac:dyDescent="0.3">
      <c r="B1223">
        <v>4511570063</v>
      </c>
      <c r="C1223" t="s">
        <v>20</v>
      </c>
    </row>
    <row r="1224" spans="2:3" x14ac:dyDescent="0.3">
      <c r="B1224">
        <v>4511570063</v>
      </c>
      <c r="C1224" t="s">
        <v>20</v>
      </c>
    </row>
    <row r="1225" spans="2:3" x14ac:dyDescent="0.3">
      <c r="B1225">
        <v>4511570063</v>
      </c>
      <c r="C1225" t="s">
        <v>20</v>
      </c>
    </row>
    <row r="1226" spans="2:3" x14ac:dyDescent="0.3">
      <c r="B1226">
        <v>4511570063</v>
      </c>
      <c r="C1226" t="s">
        <v>20</v>
      </c>
    </row>
    <row r="1227" spans="2:3" x14ac:dyDescent="0.3">
      <c r="B1227">
        <v>4511570063</v>
      </c>
      <c r="C1227" t="s">
        <v>20</v>
      </c>
    </row>
    <row r="1228" spans="2:3" x14ac:dyDescent="0.3">
      <c r="B1228">
        <v>4511570063</v>
      </c>
      <c r="C1228" t="s">
        <v>20</v>
      </c>
    </row>
    <row r="1229" spans="2:3" x14ac:dyDescent="0.3">
      <c r="B1229">
        <v>4511570063</v>
      </c>
      <c r="C1229" t="s">
        <v>20</v>
      </c>
    </row>
    <row r="1230" spans="2:3" x14ac:dyDescent="0.3">
      <c r="B1230">
        <v>4511570063</v>
      </c>
      <c r="C1230" t="s">
        <v>20</v>
      </c>
    </row>
    <row r="1231" spans="2:3" x14ac:dyDescent="0.3">
      <c r="B1231">
        <v>4511570063</v>
      </c>
      <c r="C1231" t="s">
        <v>20</v>
      </c>
    </row>
    <row r="1232" spans="2:3" x14ac:dyDescent="0.3">
      <c r="B1232">
        <v>4511570063</v>
      </c>
      <c r="C1232" t="s">
        <v>20</v>
      </c>
    </row>
    <row r="1233" spans="2:3" x14ac:dyDescent="0.3">
      <c r="B1233">
        <v>4511570063</v>
      </c>
      <c r="C1233" t="s">
        <v>20</v>
      </c>
    </row>
    <row r="1234" spans="2:3" x14ac:dyDescent="0.3">
      <c r="B1234">
        <v>4511570063</v>
      </c>
      <c r="C1234" t="s">
        <v>20</v>
      </c>
    </row>
    <row r="1235" spans="2:3" x14ac:dyDescent="0.3">
      <c r="B1235">
        <v>4511570063</v>
      </c>
      <c r="C1235" t="s">
        <v>20</v>
      </c>
    </row>
    <row r="1236" spans="2:3" x14ac:dyDescent="0.3">
      <c r="B1236">
        <v>4511570063</v>
      </c>
      <c r="C1236" t="s">
        <v>20</v>
      </c>
    </row>
    <row r="1237" spans="2:3" x14ac:dyDescent="0.3">
      <c r="B1237">
        <v>4511570041</v>
      </c>
      <c r="C1237" t="s">
        <v>30</v>
      </c>
    </row>
    <row r="1238" spans="2:3" x14ac:dyDescent="0.3">
      <c r="B1238">
        <v>4511570041</v>
      </c>
      <c r="C1238" t="s">
        <v>30</v>
      </c>
    </row>
    <row r="1239" spans="2:3" x14ac:dyDescent="0.3">
      <c r="B1239">
        <v>4511570041</v>
      </c>
      <c r="C1239" t="s">
        <v>30</v>
      </c>
    </row>
    <row r="1240" spans="2:3" x14ac:dyDescent="0.3">
      <c r="B1240">
        <v>4511570041</v>
      </c>
      <c r="C1240" t="s">
        <v>30</v>
      </c>
    </row>
    <row r="1241" spans="2:3" x14ac:dyDescent="0.3">
      <c r="B1241">
        <v>4511570041</v>
      </c>
      <c r="C1241" t="s">
        <v>30</v>
      </c>
    </row>
    <row r="1242" spans="2:3" x14ac:dyDescent="0.3">
      <c r="B1242">
        <v>4511570016</v>
      </c>
      <c r="C1242" t="s">
        <v>37</v>
      </c>
    </row>
    <row r="1243" spans="2:3" x14ac:dyDescent="0.3">
      <c r="B1243">
        <v>4511570016</v>
      </c>
      <c r="C1243" t="s">
        <v>37</v>
      </c>
    </row>
    <row r="1244" spans="2:3" x14ac:dyDescent="0.3">
      <c r="B1244">
        <v>4511570016</v>
      </c>
      <c r="C1244" t="s">
        <v>37</v>
      </c>
    </row>
    <row r="1245" spans="2:3" x14ac:dyDescent="0.3">
      <c r="B1245">
        <v>4511570016</v>
      </c>
      <c r="C1245" t="s">
        <v>37</v>
      </c>
    </row>
    <row r="1246" spans="2:3" x14ac:dyDescent="0.3">
      <c r="B1246">
        <v>4511570016</v>
      </c>
      <c r="C1246" t="s">
        <v>37</v>
      </c>
    </row>
    <row r="1247" spans="2:3" x14ac:dyDescent="0.3">
      <c r="B1247">
        <v>4511570016</v>
      </c>
      <c r="C1247" t="s">
        <v>37</v>
      </c>
    </row>
    <row r="1248" spans="2:3" x14ac:dyDescent="0.3">
      <c r="B1248">
        <v>4511570016</v>
      </c>
      <c r="C1248" t="s">
        <v>37</v>
      </c>
    </row>
    <row r="1249" spans="2:3" x14ac:dyDescent="0.3">
      <c r="B1249">
        <v>4511570016</v>
      </c>
      <c r="C1249" t="s">
        <v>37</v>
      </c>
    </row>
    <row r="1250" spans="2:3" x14ac:dyDescent="0.3">
      <c r="B1250">
        <v>4511570016</v>
      </c>
      <c r="C1250" t="s">
        <v>37</v>
      </c>
    </row>
    <row r="1251" spans="2:3" x14ac:dyDescent="0.3">
      <c r="B1251">
        <v>4511570004</v>
      </c>
      <c r="C1251" t="s">
        <v>18</v>
      </c>
    </row>
    <row r="1252" spans="2:3" x14ac:dyDescent="0.3">
      <c r="B1252">
        <v>4511570003</v>
      </c>
      <c r="C1252" t="s">
        <v>30</v>
      </c>
    </row>
    <row r="1253" spans="2:3" x14ac:dyDescent="0.3">
      <c r="B1253">
        <v>4511570003</v>
      </c>
      <c r="C1253" t="s">
        <v>30</v>
      </c>
    </row>
    <row r="1254" spans="2:3" x14ac:dyDescent="0.3">
      <c r="B1254">
        <v>4511570003</v>
      </c>
      <c r="C1254" t="s">
        <v>30</v>
      </c>
    </row>
    <row r="1255" spans="2:3" x14ac:dyDescent="0.3">
      <c r="B1255">
        <v>4511570001</v>
      </c>
      <c r="C1255" t="s">
        <v>20</v>
      </c>
    </row>
    <row r="1256" spans="2:3" x14ac:dyDescent="0.3">
      <c r="B1256">
        <v>4511570001</v>
      </c>
      <c r="C1256" t="s">
        <v>20</v>
      </c>
    </row>
    <row r="1257" spans="2:3" x14ac:dyDescent="0.3">
      <c r="B1257">
        <v>4511569996</v>
      </c>
      <c r="C1257" t="s">
        <v>30</v>
      </c>
    </row>
    <row r="1258" spans="2:3" x14ac:dyDescent="0.3">
      <c r="B1258">
        <v>4511569995</v>
      </c>
      <c r="C1258" t="s">
        <v>18</v>
      </c>
    </row>
    <row r="1259" spans="2:3" x14ac:dyDescent="0.3">
      <c r="B1259">
        <v>4511569995</v>
      </c>
      <c r="C1259" t="s">
        <v>18</v>
      </c>
    </row>
    <row r="1260" spans="2:3" x14ac:dyDescent="0.3">
      <c r="B1260">
        <v>4511569995</v>
      </c>
      <c r="C1260" t="s">
        <v>18</v>
      </c>
    </row>
    <row r="1261" spans="2:3" x14ac:dyDescent="0.3">
      <c r="B1261">
        <v>4511569995</v>
      </c>
      <c r="C1261" t="s">
        <v>18</v>
      </c>
    </row>
    <row r="1262" spans="2:3" x14ac:dyDescent="0.3">
      <c r="B1262">
        <v>4511569995</v>
      </c>
      <c r="C1262" t="s">
        <v>18</v>
      </c>
    </row>
    <row r="1263" spans="2:3" x14ac:dyDescent="0.3">
      <c r="B1263">
        <v>4511569995</v>
      </c>
      <c r="C1263" t="s">
        <v>18</v>
      </c>
    </row>
    <row r="1264" spans="2:3" x14ac:dyDescent="0.3">
      <c r="B1264">
        <v>4511569995</v>
      </c>
      <c r="C1264" t="s">
        <v>18</v>
      </c>
    </row>
    <row r="1265" spans="2:3" x14ac:dyDescent="0.3">
      <c r="B1265">
        <v>4511569995</v>
      </c>
      <c r="C1265" t="s">
        <v>18</v>
      </c>
    </row>
    <row r="1266" spans="2:3" x14ac:dyDescent="0.3">
      <c r="B1266">
        <v>4511569995</v>
      </c>
      <c r="C1266" t="s">
        <v>18</v>
      </c>
    </row>
    <row r="1267" spans="2:3" x14ac:dyDescent="0.3">
      <c r="B1267">
        <v>4511569995</v>
      </c>
      <c r="C1267" t="s">
        <v>18</v>
      </c>
    </row>
    <row r="1268" spans="2:3" x14ac:dyDescent="0.3">
      <c r="B1268">
        <v>4511569990</v>
      </c>
      <c r="C1268" t="s">
        <v>20</v>
      </c>
    </row>
    <row r="1269" spans="2:3" x14ac:dyDescent="0.3">
      <c r="B1269">
        <v>4511569990</v>
      </c>
      <c r="C1269" t="s">
        <v>20</v>
      </c>
    </row>
    <row r="1270" spans="2:3" x14ac:dyDescent="0.3">
      <c r="B1270">
        <v>4511569948</v>
      </c>
      <c r="C1270" t="s">
        <v>18</v>
      </c>
    </row>
    <row r="1271" spans="2:3" x14ac:dyDescent="0.3">
      <c r="B1271">
        <v>4511569948</v>
      </c>
      <c r="C1271" t="s">
        <v>18</v>
      </c>
    </row>
    <row r="1272" spans="2:3" x14ac:dyDescent="0.3">
      <c r="B1272">
        <v>4511569948</v>
      </c>
      <c r="C1272" t="s">
        <v>18</v>
      </c>
    </row>
    <row r="1273" spans="2:3" x14ac:dyDescent="0.3">
      <c r="B1273">
        <v>4511569944</v>
      </c>
      <c r="C1273" t="s">
        <v>30</v>
      </c>
    </row>
    <row r="1274" spans="2:3" x14ac:dyDescent="0.3">
      <c r="B1274">
        <v>4511569944</v>
      </c>
      <c r="C1274" t="s">
        <v>30</v>
      </c>
    </row>
    <row r="1275" spans="2:3" x14ac:dyDescent="0.3">
      <c r="B1275">
        <v>4511569944</v>
      </c>
      <c r="C1275" t="s">
        <v>30</v>
      </c>
    </row>
    <row r="1276" spans="2:3" x14ac:dyDescent="0.3">
      <c r="B1276">
        <v>4511569944</v>
      </c>
      <c r="C1276" t="s">
        <v>30</v>
      </c>
    </row>
    <row r="1277" spans="2:3" x14ac:dyDescent="0.3">
      <c r="B1277">
        <v>4511569940</v>
      </c>
      <c r="C1277" t="s">
        <v>18</v>
      </c>
    </row>
    <row r="1278" spans="2:3" x14ac:dyDescent="0.3">
      <c r="B1278">
        <v>4511569940</v>
      </c>
      <c r="C1278" t="s">
        <v>18</v>
      </c>
    </row>
    <row r="1279" spans="2:3" x14ac:dyDescent="0.3">
      <c r="B1279">
        <v>4511569936</v>
      </c>
      <c r="C1279" t="s">
        <v>18</v>
      </c>
    </row>
    <row r="1280" spans="2:3" x14ac:dyDescent="0.3">
      <c r="B1280">
        <v>4511569936</v>
      </c>
      <c r="C1280" t="s">
        <v>18</v>
      </c>
    </row>
    <row r="1281" spans="2:3" x14ac:dyDescent="0.3">
      <c r="B1281">
        <v>4511569936</v>
      </c>
      <c r="C1281" t="s">
        <v>18</v>
      </c>
    </row>
    <row r="1282" spans="2:3" x14ac:dyDescent="0.3">
      <c r="B1282">
        <v>4511569931</v>
      </c>
      <c r="C1282" t="s">
        <v>18</v>
      </c>
    </row>
    <row r="1283" spans="2:3" x14ac:dyDescent="0.3">
      <c r="B1283">
        <v>4511569931</v>
      </c>
      <c r="C1283" t="s">
        <v>18</v>
      </c>
    </row>
    <row r="1284" spans="2:3" x14ac:dyDescent="0.3">
      <c r="B1284">
        <v>4511569931</v>
      </c>
      <c r="C1284" t="s">
        <v>18</v>
      </c>
    </row>
    <row r="1285" spans="2:3" x14ac:dyDescent="0.3">
      <c r="B1285">
        <v>4511569929</v>
      </c>
      <c r="C1285" t="s">
        <v>20</v>
      </c>
    </row>
    <row r="1286" spans="2:3" x14ac:dyDescent="0.3">
      <c r="B1286">
        <v>4511569927</v>
      </c>
      <c r="C1286" t="s">
        <v>18</v>
      </c>
    </row>
    <row r="1287" spans="2:3" x14ac:dyDescent="0.3">
      <c r="B1287">
        <v>4511569917</v>
      </c>
      <c r="C1287" t="s">
        <v>18</v>
      </c>
    </row>
    <row r="1288" spans="2:3" x14ac:dyDescent="0.3">
      <c r="B1288">
        <v>4511569917</v>
      </c>
      <c r="C1288" t="s">
        <v>18</v>
      </c>
    </row>
    <row r="1289" spans="2:3" x14ac:dyDescent="0.3">
      <c r="B1289">
        <v>4511569875</v>
      </c>
      <c r="C1289" t="s">
        <v>18</v>
      </c>
    </row>
    <row r="1290" spans="2:3" x14ac:dyDescent="0.3">
      <c r="B1290">
        <v>4511569875</v>
      </c>
      <c r="C1290" t="s">
        <v>18</v>
      </c>
    </row>
    <row r="1291" spans="2:3" x14ac:dyDescent="0.3">
      <c r="B1291">
        <v>4511569867</v>
      </c>
      <c r="C1291" t="s">
        <v>30</v>
      </c>
    </row>
    <row r="1292" spans="2:3" x14ac:dyDescent="0.3">
      <c r="B1292">
        <v>4511569867</v>
      </c>
      <c r="C1292" t="s">
        <v>30</v>
      </c>
    </row>
    <row r="1293" spans="2:3" x14ac:dyDescent="0.3">
      <c r="B1293">
        <v>4511569867</v>
      </c>
      <c r="C1293" t="s">
        <v>30</v>
      </c>
    </row>
    <row r="1294" spans="2:3" x14ac:dyDescent="0.3">
      <c r="B1294">
        <v>4511569867</v>
      </c>
      <c r="C1294" t="s">
        <v>30</v>
      </c>
    </row>
    <row r="1295" spans="2:3" x14ac:dyDescent="0.3">
      <c r="B1295">
        <v>4511569867</v>
      </c>
      <c r="C1295" t="s">
        <v>30</v>
      </c>
    </row>
    <row r="1296" spans="2:3" x14ac:dyDescent="0.3">
      <c r="B1296">
        <v>4511569867</v>
      </c>
      <c r="C1296" t="s">
        <v>30</v>
      </c>
    </row>
    <row r="1297" spans="2:3" x14ac:dyDescent="0.3">
      <c r="B1297">
        <v>4511569867</v>
      </c>
      <c r="C1297" t="s">
        <v>30</v>
      </c>
    </row>
    <row r="1298" spans="2:3" x14ac:dyDescent="0.3">
      <c r="B1298">
        <v>4511569867</v>
      </c>
      <c r="C1298" t="s">
        <v>30</v>
      </c>
    </row>
    <row r="1299" spans="2:3" x14ac:dyDescent="0.3">
      <c r="B1299">
        <v>4511569867</v>
      </c>
      <c r="C1299" t="s">
        <v>30</v>
      </c>
    </row>
    <row r="1300" spans="2:3" x14ac:dyDescent="0.3">
      <c r="B1300">
        <v>4511569867</v>
      </c>
      <c r="C1300" t="s">
        <v>30</v>
      </c>
    </row>
    <row r="1301" spans="2:3" x14ac:dyDescent="0.3">
      <c r="B1301">
        <v>4511569867</v>
      </c>
      <c r="C1301" t="s">
        <v>30</v>
      </c>
    </row>
    <row r="1302" spans="2:3" x14ac:dyDescent="0.3">
      <c r="B1302">
        <v>4511569867</v>
      </c>
      <c r="C1302" t="s">
        <v>30</v>
      </c>
    </row>
    <row r="1303" spans="2:3" x14ac:dyDescent="0.3">
      <c r="B1303">
        <v>4511569867</v>
      </c>
      <c r="C1303" t="s">
        <v>30</v>
      </c>
    </row>
    <row r="1304" spans="2:3" x14ac:dyDescent="0.3">
      <c r="B1304">
        <v>4511569867</v>
      </c>
      <c r="C1304" t="s">
        <v>30</v>
      </c>
    </row>
    <row r="1305" spans="2:3" x14ac:dyDescent="0.3">
      <c r="B1305">
        <v>4511569867</v>
      </c>
      <c r="C1305" t="s">
        <v>30</v>
      </c>
    </row>
    <row r="1306" spans="2:3" x14ac:dyDescent="0.3">
      <c r="B1306">
        <v>4511569867</v>
      </c>
      <c r="C1306" t="s">
        <v>30</v>
      </c>
    </row>
    <row r="1307" spans="2:3" x14ac:dyDescent="0.3">
      <c r="B1307">
        <v>4511569867</v>
      </c>
      <c r="C1307" t="s">
        <v>30</v>
      </c>
    </row>
    <row r="1308" spans="2:3" x14ac:dyDescent="0.3">
      <c r="B1308">
        <v>4511569867</v>
      </c>
      <c r="C1308" t="s">
        <v>30</v>
      </c>
    </row>
    <row r="1309" spans="2:3" x14ac:dyDescent="0.3">
      <c r="B1309">
        <v>4511569867</v>
      </c>
      <c r="C1309" t="s">
        <v>30</v>
      </c>
    </row>
    <row r="1310" spans="2:3" x14ac:dyDescent="0.3">
      <c r="B1310">
        <v>4511569867</v>
      </c>
      <c r="C1310" t="s">
        <v>30</v>
      </c>
    </row>
    <row r="1311" spans="2:3" x14ac:dyDescent="0.3">
      <c r="B1311">
        <v>4511569867</v>
      </c>
      <c r="C1311" t="s">
        <v>30</v>
      </c>
    </row>
    <row r="1312" spans="2:3" x14ac:dyDescent="0.3">
      <c r="B1312">
        <v>4511569867</v>
      </c>
      <c r="C1312" t="s">
        <v>30</v>
      </c>
    </row>
    <row r="1313" spans="2:3" x14ac:dyDescent="0.3">
      <c r="B1313">
        <v>4511569867</v>
      </c>
      <c r="C1313" t="s">
        <v>30</v>
      </c>
    </row>
    <row r="1314" spans="2:3" x14ac:dyDescent="0.3">
      <c r="B1314">
        <v>4511569867</v>
      </c>
      <c r="C1314" t="s">
        <v>30</v>
      </c>
    </row>
    <row r="1315" spans="2:3" x14ac:dyDescent="0.3">
      <c r="B1315">
        <v>4511569867</v>
      </c>
      <c r="C1315" t="s">
        <v>30</v>
      </c>
    </row>
    <row r="1316" spans="2:3" x14ac:dyDescent="0.3">
      <c r="B1316">
        <v>4511569867</v>
      </c>
      <c r="C1316" t="s">
        <v>30</v>
      </c>
    </row>
    <row r="1317" spans="2:3" x14ac:dyDescent="0.3">
      <c r="B1317">
        <v>4511569867</v>
      </c>
      <c r="C1317" t="s">
        <v>30</v>
      </c>
    </row>
    <row r="1318" spans="2:3" x14ac:dyDescent="0.3">
      <c r="B1318">
        <v>4511569867</v>
      </c>
      <c r="C1318" t="s">
        <v>30</v>
      </c>
    </row>
    <row r="1319" spans="2:3" x14ac:dyDescent="0.3">
      <c r="B1319">
        <v>4511569867</v>
      </c>
      <c r="C1319" t="s">
        <v>30</v>
      </c>
    </row>
    <row r="1320" spans="2:3" x14ac:dyDescent="0.3">
      <c r="B1320">
        <v>4511569867</v>
      </c>
      <c r="C1320" t="s">
        <v>30</v>
      </c>
    </row>
    <row r="1321" spans="2:3" x14ac:dyDescent="0.3">
      <c r="B1321">
        <v>4511569866</v>
      </c>
      <c r="C1321" t="s">
        <v>18</v>
      </c>
    </row>
    <row r="1322" spans="2:3" x14ac:dyDescent="0.3">
      <c r="B1322">
        <v>4511569866</v>
      </c>
      <c r="C1322" t="s">
        <v>18</v>
      </c>
    </row>
    <row r="1323" spans="2:3" x14ac:dyDescent="0.3">
      <c r="B1323">
        <v>4511569866</v>
      </c>
      <c r="C1323" t="s">
        <v>18</v>
      </c>
    </row>
    <row r="1324" spans="2:3" x14ac:dyDescent="0.3">
      <c r="B1324">
        <v>4511569861</v>
      </c>
      <c r="C1324" t="s">
        <v>30</v>
      </c>
    </row>
    <row r="1325" spans="2:3" x14ac:dyDescent="0.3">
      <c r="B1325">
        <v>4511569861</v>
      </c>
      <c r="C1325" t="s">
        <v>30</v>
      </c>
    </row>
    <row r="1326" spans="2:3" x14ac:dyDescent="0.3">
      <c r="B1326">
        <v>4511569861</v>
      </c>
      <c r="C1326" t="s">
        <v>30</v>
      </c>
    </row>
    <row r="1327" spans="2:3" x14ac:dyDescent="0.3">
      <c r="B1327">
        <v>4511569861</v>
      </c>
      <c r="C1327" t="s">
        <v>30</v>
      </c>
    </row>
    <row r="1328" spans="2:3" x14ac:dyDescent="0.3">
      <c r="B1328">
        <v>4511569854</v>
      </c>
      <c r="C1328" t="s">
        <v>30</v>
      </c>
    </row>
    <row r="1329" spans="2:3" x14ac:dyDescent="0.3">
      <c r="B1329">
        <v>4511569803</v>
      </c>
      <c r="C1329" t="s">
        <v>20</v>
      </c>
    </row>
    <row r="1330" spans="2:3" x14ac:dyDescent="0.3">
      <c r="B1330">
        <v>4511569803</v>
      </c>
      <c r="C1330" t="s">
        <v>20</v>
      </c>
    </row>
    <row r="1331" spans="2:3" x14ac:dyDescent="0.3">
      <c r="B1331">
        <v>4511569751</v>
      </c>
      <c r="C1331" t="s">
        <v>30</v>
      </c>
    </row>
    <row r="1332" spans="2:3" x14ac:dyDescent="0.3">
      <c r="B1332">
        <v>4511569749</v>
      </c>
      <c r="C1332" t="s">
        <v>30</v>
      </c>
    </row>
    <row r="1333" spans="2:3" x14ac:dyDescent="0.3">
      <c r="B1333">
        <v>4511569749</v>
      </c>
      <c r="C1333" t="s">
        <v>30</v>
      </c>
    </row>
    <row r="1334" spans="2:3" x14ac:dyDescent="0.3">
      <c r="B1334">
        <v>4511569749</v>
      </c>
      <c r="C1334" t="s">
        <v>30</v>
      </c>
    </row>
    <row r="1335" spans="2:3" x14ac:dyDescent="0.3">
      <c r="B1335">
        <v>4511569749</v>
      </c>
      <c r="C1335" t="s">
        <v>30</v>
      </c>
    </row>
    <row r="1336" spans="2:3" x14ac:dyDescent="0.3">
      <c r="B1336">
        <v>4511569735</v>
      </c>
      <c r="C1336" t="s">
        <v>20</v>
      </c>
    </row>
    <row r="1337" spans="2:3" x14ac:dyDescent="0.3">
      <c r="B1337">
        <v>4511569735</v>
      </c>
      <c r="C1337" t="s">
        <v>20</v>
      </c>
    </row>
    <row r="1338" spans="2:3" x14ac:dyDescent="0.3">
      <c r="B1338">
        <v>4511569735</v>
      </c>
      <c r="C1338" t="s">
        <v>20</v>
      </c>
    </row>
    <row r="1339" spans="2:3" x14ac:dyDescent="0.3">
      <c r="B1339">
        <v>4511569735</v>
      </c>
      <c r="C1339" t="s">
        <v>20</v>
      </c>
    </row>
    <row r="1340" spans="2:3" x14ac:dyDescent="0.3">
      <c r="B1340">
        <v>4511569735</v>
      </c>
      <c r="C1340" t="s">
        <v>20</v>
      </c>
    </row>
    <row r="1341" spans="2:3" x14ac:dyDescent="0.3">
      <c r="B1341">
        <v>4511569735</v>
      </c>
      <c r="C1341" t="s">
        <v>20</v>
      </c>
    </row>
    <row r="1342" spans="2:3" x14ac:dyDescent="0.3">
      <c r="B1342">
        <v>4511569735</v>
      </c>
      <c r="C1342" t="s">
        <v>20</v>
      </c>
    </row>
    <row r="1343" spans="2:3" x14ac:dyDescent="0.3">
      <c r="B1343">
        <v>4511569735</v>
      </c>
      <c r="C1343" t="s">
        <v>20</v>
      </c>
    </row>
    <row r="1344" spans="2:3" x14ac:dyDescent="0.3">
      <c r="B1344">
        <v>4511569735</v>
      </c>
      <c r="C1344" t="s">
        <v>20</v>
      </c>
    </row>
    <row r="1345" spans="2:3" x14ac:dyDescent="0.3">
      <c r="B1345">
        <v>4511569717</v>
      </c>
      <c r="C1345" t="s">
        <v>37</v>
      </c>
    </row>
    <row r="1346" spans="2:3" x14ac:dyDescent="0.3">
      <c r="B1346">
        <v>4511569717</v>
      </c>
      <c r="C1346" t="s">
        <v>37</v>
      </c>
    </row>
    <row r="1347" spans="2:3" x14ac:dyDescent="0.3">
      <c r="B1347">
        <v>4511569717</v>
      </c>
      <c r="C1347" t="s">
        <v>37</v>
      </c>
    </row>
    <row r="1348" spans="2:3" x14ac:dyDescent="0.3">
      <c r="B1348">
        <v>4511569717</v>
      </c>
      <c r="C1348" t="s">
        <v>37</v>
      </c>
    </row>
    <row r="1349" spans="2:3" x14ac:dyDescent="0.3">
      <c r="B1349">
        <v>4511569717</v>
      </c>
      <c r="C1349" t="s">
        <v>37</v>
      </c>
    </row>
    <row r="1350" spans="2:3" x14ac:dyDescent="0.3">
      <c r="B1350">
        <v>4511569717</v>
      </c>
      <c r="C1350" t="s">
        <v>37</v>
      </c>
    </row>
    <row r="1351" spans="2:3" x14ac:dyDescent="0.3">
      <c r="B1351">
        <v>4511569717</v>
      </c>
      <c r="C1351" t="s">
        <v>37</v>
      </c>
    </row>
    <row r="1352" spans="2:3" x14ac:dyDescent="0.3">
      <c r="B1352">
        <v>4511569717</v>
      </c>
      <c r="C1352" t="s">
        <v>37</v>
      </c>
    </row>
    <row r="1353" spans="2:3" x14ac:dyDescent="0.3">
      <c r="B1353">
        <v>4511569717</v>
      </c>
      <c r="C1353" t="s">
        <v>37</v>
      </c>
    </row>
    <row r="1354" spans="2:3" x14ac:dyDescent="0.3">
      <c r="B1354">
        <v>4511569717</v>
      </c>
      <c r="C1354" t="s">
        <v>37</v>
      </c>
    </row>
    <row r="1355" spans="2:3" x14ac:dyDescent="0.3">
      <c r="B1355">
        <v>4511569717</v>
      </c>
      <c r="C1355" t="s">
        <v>37</v>
      </c>
    </row>
    <row r="1356" spans="2:3" x14ac:dyDescent="0.3">
      <c r="B1356">
        <v>4511569700</v>
      </c>
      <c r="C1356" t="s">
        <v>37</v>
      </c>
    </row>
    <row r="1357" spans="2:3" x14ac:dyDescent="0.3">
      <c r="B1357">
        <v>4511569700</v>
      </c>
      <c r="C1357" t="s">
        <v>37</v>
      </c>
    </row>
    <row r="1358" spans="2:3" x14ac:dyDescent="0.3">
      <c r="B1358">
        <v>4511569700</v>
      </c>
      <c r="C1358" t="s">
        <v>37</v>
      </c>
    </row>
    <row r="1359" spans="2:3" x14ac:dyDescent="0.3">
      <c r="B1359">
        <v>4511569700</v>
      </c>
      <c r="C1359" t="s">
        <v>37</v>
      </c>
    </row>
    <row r="1360" spans="2:3" x14ac:dyDescent="0.3">
      <c r="B1360">
        <v>4511569700</v>
      </c>
      <c r="C1360" t="s">
        <v>37</v>
      </c>
    </row>
    <row r="1361" spans="2:3" x14ac:dyDescent="0.3">
      <c r="B1361">
        <v>4511569700</v>
      </c>
      <c r="C1361" t="s">
        <v>37</v>
      </c>
    </row>
    <row r="1362" spans="2:3" x14ac:dyDescent="0.3">
      <c r="B1362">
        <v>4511569700</v>
      </c>
      <c r="C1362" t="s">
        <v>37</v>
      </c>
    </row>
    <row r="1363" spans="2:3" x14ac:dyDescent="0.3">
      <c r="B1363">
        <v>4511569700</v>
      </c>
      <c r="C1363" t="s">
        <v>37</v>
      </c>
    </row>
    <row r="1364" spans="2:3" x14ac:dyDescent="0.3">
      <c r="B1364">
        <v>4511569700</v>
      </c>
      <c r="C1364" t="s">
        <v>37</v>
      </c>
    </row>
    <row r="1365" spans="2:3" x14ac:dyDescent="0.3">
      <c r="B1365">
        <v>4511569700</v>
      </c>
      <c r="C1365" t="s">
        <v>37</v>
      </c>
    </row>
    <row r="1366" spans="2:3" x14ac:dyDescent="0.3">
      <c r="B1366">
        <v>4511569700</v>
      </c>
      <c r="C1366" t="s">
        <v>37</v>
      </c>
    </row>
    <row r="1367" spans="2:3" x14ac:dyDescent="0.3">
      <c r="B1367">
        <v>4511569700</v>
      </c>
      <c r="C1367" t="s">
        <v>37</v>
      </c>
    </row>
    <row r="1368" spans="2:3" x14ac:dyDescent="0.3">
      <c r="B1368">
        <v>4511569700</v>
      </c>
      <c r="C1368" t="s">
        <v>37</v>
      </c>
    </row>
    <row r="1369" spans="2:3" x14ac:dyDescent="0.3">
      <c r="B1369">
        <v>4511569700</v>
      </c>
      <c r="C1369" t="s">
        <v>37</v>
      </c>
    </row>
    <row r="1370" spans="2:3" x14ac:dyDescent="0.3">
      <c r="B1370">
        <v>4511569700</v>
      </c>
      <c r="C1370" t="s">
        <v>37</v>
      </c>
    </row>
    <row r="1371" spans="2:3" x14ac:dyDescent="0.3">
      <c r="B1371">
        <v>4511569700</v>
      </c>
      <c r="C1371" t="s">
        <v>37</v>
      </c>
    </row>
    <row r="1372" spans="2:3" x14ac:dyDescent="0.3">
      <c r="B1372">
        <v>4511569700</v>
      </c>
      <c r="C1372" t="s">
        <v>37</v>
      </c>
    </row>
    <row r="1373" spans="2:3" x14ac:dyDescent="0.3">
      <c r="B1373">
        <v>4511569699</v>
      </c>
      <c r="C1373" t="s">
        <v>37</v>
      </c>
    </row>
    <row r="1374" spans="2:3" x14ac:dyDescent="0.3">
      <c r="B1374">
        <v>4511569699</v>
      </c>
      <c r="C1374" t="s">
        <v>37</v>
      </c>
    </row>
    <row r="1375" spans="2:3" x14ac:dyDescent="0.3">
      <c r="B1375">
        <v>4511569699</v>
      </c>
      <c r="C1375" t="s">
        <v>37</v>
      </c>
    </row>
    <row r="1376" spans="2:3" x14ac:dyDescent="0.3">
      <c r="B1376">
        <v>4511569699</v>
      </c>
      <c r="C1376" t="s">
        <v>37</v>
      </c>
    </row>
    <row r="1377" spans="2:3" x14ac:dyDescent="0.3">
      <c r="B1377">
        <v>4511569699</v>
      </c>
      <c r="C1377" t="s">
        <v>37</v>
      </c>
    </row>
    <row r="1378" spans="2:3" x14ac:dyDescent="0.3">
      <c r="B1378">
        <v>4511569699</v>
      </c>
      <c r="C1378" t="s">
        <v>37</v>
      </c>
    </row>
    <row r="1379" spans="2:3" x14ac:dyDescent="0.3">
      <c r="B1379">
        <v>4511569699</v>
      </c>
      <c r="C1379" t="s">
        <v>37</v>
      </c>
    </row>
    <row r="1380" spans="2:3" x14ac:dyDescent="0.3">
      <c r="B1380">
        <v>4511569699</v>
      </c>
      <c r="C1380" t="s">
        <v>37</v>
      </c>
    </row>
    <row r="1381" spans="2:3" x14ac:dyDescent="0.3">
      <c r="B1381">
        <v>4511569699</v>
      </c>
      <c r="C1381" t="s">
        <v>37</v>
      </c>
    </row>
    <row r="1382" spans="2:3" x14ac:dyDescent="0.3">
      <c r="B1382">
        <v>4511569699</v>
      </c>
      <c r="C1382" t="s">
        <v>37</v>
      </c>
    </row>
    <row r="1383" spans="2:3" x14ac:dyDescent="0.3">
      <c r="B1383">
        <v>4511569699</v>
      </c>
      <c r="C1383" t="s">
        <v>37</v>
      </c>
    </row>
    <row r="1384" spans="2:3" x14ac:dyDescent="0.3">
      <c r="B1384">
        <v>4511569699</v>
      </c>
      <c r="C1384" t="s">
        <v>37</v>
      </c>
    </row>
    <row r="1385" spans="2:3" x14ac:dyDescent="0.3">
      <c r="B1385">
        <v>4511569699</v>
      </c>
      <c r="C1385" t="s">
        <v>37</v>
      </c>
    </row>
    <row r="1386" spans="2:3" x14ac:dyDescent="0.3">
      <c r="B1386">
        <v>4511569668</v>
      </c>
      <c r="C1386" t="s">
        <v>20</v>
      </c>
    </row>
    <row r="1387" spans="2:3" x14ac:dyDescent="0.3">
      <c r="B1387">
        <v>4511569668</v>
      </c>
      <c r="C1387" t="s">
        <v>20</v>
      </c>
    </row>
    <row r="1388" spans="2:3" x14ac:dyDescent="0.3">
      <c r="B1388">
        <v>4511569668</v>
      </c>
      <c r="C1388" t="s">
        <v>20</v>
      </c>
    </row>
    <row r="1389" spans="2:3" x14ac:dyDescent="0.3">
      <c r="B1389">
        <v>4511569668</v>
      </c>
      <c r="C1389" t="s">
        <v>20</v>
      </c>
    </row>
    <row r="1390" spans="2:3" x14ac:dyDescent="0.3">
      <c r="B1390">
        <v>4511569668</v>
      </c>
      <c r="C1390" t="s">
        <v>20</v>
      </c>
    </row>
    <row r="1391" spans="2:3" x14ac:dyDescent="0.3">
      <c r="B1391">
        <v>4511569668</v>
      </c>
      <c r="C1391" t="s">
        <v>20</v>
      </c>
    </row>
    <row r="1392" spans="2:3" x14ac:dyDescent="0.3">
      <c r="B1392">
        <v>4511569668</v>
      </c>
      <c r="C1392" t="s">
        <v>20</v>
      </c>
    </row>
    <row r="1393" spans="2:3" x14ac:dyDescent="0.3">
      <c r="B1393">
        <v>4511569668</v>
      </c>
      <c r="C1393" t="s">
        <v>20</v>
      </c>
    </row>
    <row r="1394" spans="2:3" x14ac:dyDescent="0.3">
      <c r="B1394">
        <v>4511569668</v>
      </c>
      <c r="C1394" t="s">
        <v>20</v>
      </c>
    </row>
    <row r="1395" spans="2:3" x14ac:dyDescent="0.3">
      <c r="B1395">
        <v>4511569668</v>
      </c>
      <c r="C1395" t="s">
        <v>20</v>
      </c>
    </row>
    <row r="1396" spans="2:3" x14ac:dyDescent="0.3">
      <c r="B1396">
        <v>4511569668</v>
      </c>
      <c r="C1396" t="s">
        <v>20</v>
      </c>
    </row>
    <row r="1397" spans="2:3" x14ac:dyDescent="0.3">
      <c r="B1397">
        <v>4511569668</v>
      </c>
      <c r="C1397" t="s">
        <v>20</v>
      </c>
    </row>
    <row r="1398" spans="2:3" x14ac:dyDescent="0.3">
      <c r="B1398">
        <v>4511569668</v>
      </c>
      <c r="C1398" t="s">
        <v>20</v>
      </c>
    </row>
    <row r="1399" spans="2:3" x14ac:dyDescent="0.3">
      <c r="B1399">
        <v>4511569668</v>
      </c>
      <c r="C1399" t="s">
        <v>20</v>
      </c>
    </row>
    <row r="1400" spans="2:3" x14ac:dyDescent="0.3">
      <c r="B1400">
        <v>4511569668</v>
      </c>
      <c r="C1400" t="s">
        <v>20</v>
      </c>
    </row>
    <row r="1401" spans="2:3" x14ac:dyDescent="0.3">
      <c r="B1401">
        <v>4511569653</v>
      </c>
      <c r="C1401" t="s">
        <v>37</v>
      </c>
    </row>
    <row r="1402" spans="2:3" x14ac:dyDescent="0.3">
      <c r="B1402">
        <v>4511569653</v>
      </c>
      <c r="C1402" t="s">
        <v>37</v>
      </c>
    </row>
    <row r="1403" spans="2:3" x14ac:dyDescent="0.3">
      <c r="B1403">
        <v>4511569653</v>
      </c>
      <c r="C1403" t="s">
        <v>37</v>
      </c>
    </row>
    <row r="1404" spans="2:3" x14ac:dyDescent="0.3">
      <c r="B1404">
        <v>4511569581</v>
      </c>
      <c r="C1404" t="s">
        <v>30</v>
      </c>
    </row>
    <row r="1405" spans="2:3" x14ac:dyDescent="0.3">
      <c r="B1405">
        <v>4511569436</v>
      </c>
      <c r="C1405" t="s">
        <v>18</v>
      </c>
    </row>
    <row r="1406" spans="2:3" x14ac:dyDescent="0.3">
      <c r="B1406">
        <v>4511569433</v>
      </c>
      <c r="C1406" t="s">
        <v>18</v>
      </c>
    </row>
    <row r="1407" spans="2:3" x14ac:dyDescent="0.3">
      <c r="B1407">
        <v>4511569140</v>
      </c>
      <c r="C1407" t="s">
        <v>30</v>
      </c>
    </row>
    <row r="1408" spans="2:3" x14ac:dyDescent="0.3">
      <c r="B1408">
        <v>4511569095</v>
      </c>
      <c r="C1408" t="s">
        <v>30</v>
      </c>
    </row>
    <row r="1409" spans="2:3" x14ac:dyDescent="0.3">
      <c r="B1409">
        <v>4511569095</v>
      </c>
      <c r="C1409" t="s">
        <v>30</v>
      </c>
    </row>
    <row r="1410" spans="2:3" x14ac:dyDescent="0.3">
      <c r="B1410">
        <v>4511569095</v>
      </c>
      <c r="C1410" t="s">
        <v>30</v>
      </c>
    </row>
    <row r="1411" spans="2:3" x14ac:dyDescent="0.3">
      <c r="B1411">
        <v>4511569095</v>
      </c>
      <c r="C1411" t="s">
        <v>30</v>
      </c>
    </row>
    <row r="1412" spans="2:3" x14ac:dyDescent="0.3">
      <c r="B1412">
        <v>4520095103</v>
      </c>
      <c r="C1412" t="s">
        <v>18</v>
      </c>
    </row>
    <row r="1413" spans="2:3" x14ac:dyDescent="0.3">
      <c r="B1413">
        <v>4511569036</v>
      </c>
      <c r="C1413" t="s">
        <v>18</v>
      </c>
    </row>
    <row r="1414" spans="2:3" x14ac:dyDescent="0.3">
      <c r="B1414">
        <v>4511569017</v>
      </c>
      <c r="C1414" t="s">
        <v>18</v>
      </c>
    </row>
    <row r="1415" spans="2:3" x14ac:dyDescent="0.3">
      <c r="B1415">
        <v>4511568981</v>
      </c>
      <c r="C1415" t="s">
        <v>20</v>
      </c>
    </row>
    <row r="1416" spans="2:3" x14ac:dyDescent="0.3">
      <c r="B1416">
        <v>4511568981</v>
      </c>
      <c r="C1416" t="s">
        <v>20</v>
      </c>
    </row>
    <row r="1417" spans="2:3" x14ac:dyDescent="0.3">
      <c r="B1417">
        <v>4511568802</v>
      </c>
      <c r="C1417" t="s">
        <v>30</v>
      </c>
    </row>
    <row r="1418" spans="2:3" x14ac:dyDescent="0.3">
      <c r="B1418">
        <v>4511568783</v>
      </c>
      <c r="C1418" t="s">
        <v>30</v>
      </c>
    </row>
    <row r="1419" spans="2:3" x14ac:dyDescent="0.3">
      <c r="B1419">
        <v>4520095089</v>
      </c>
      <c r="C1419" t="s">
        <v>18</v>
      </c>
    </row>
    <row r="1420" spans="2:3" x14ac:dyDescent="0.3">
      <c r="B1420">
        <v>4520095089</v>
      </c>
      <c r="C1420" t="s">
        <v>18</v>
      </c>
    </row>
    <row r="1421" spans="2:3" x14ac:dyDescent="0.3">
      <c r="B1421">
        <v>4520095089</v>
      </c>
      <c r="C1421" t="s">
        <v>18</v>
      </c>
    </row>
    <row r="1422" spans="2:3" x14ac:dyDescent="0.3">
      <c r="B1422">
        <v>4520095089</v>
      </c>
      <c r="C1422" t="s">
        <v>18</v>
      </c>
    </row>
    <row r="1423" spans="2:3" x14ac:dyDescent="0.3">
      <c r="B1423">
        <v>4511568757</v>
      </c>
      <c r="C1423" t="s">
        <v>20</v>
      </c>
    </row>
    <row r="1424" spans="2:3" x14ac:dyDescent="0.3">
      <c r="B1424">
        <v>4511568757</v>
      </c>
      <c r="C1424" t="s">
        <v>20</v>
      </c>
    </row>
    <row r="1425" spans="2:3" x14ac:dyDescent="0.3">
      <c r="B1425">
        <v>4511568757</v>
      </c>
      <c r="C1425" t="s">
        <v>20</v>
      </c>
    </row>
    <row r="1426" spans="2:3" x14ac:dyDescent="0.3">
      <c r="B1426">
        <v>4511568757</v>
      </c>
      <c r="C1426" t="s">
        <v>20</v>
      </c>
    </row>
    <row r="1427" spans="2:3" x14ac:dyDescent="0.3">
      <c r="B1427">
        <v>4511568757</v>
      </c>
      <c r="C1427" t="s">
        <v>20</v>
      </c>
    </row>
    <row r="1428" spans="2:3" x14ac:dyDescent="0.3">
      <c r="B1428">
        <v>4511568757</v>
      </c>
      <c r="C1428" t="s">
        <v>20</v>
      </c>
    </row>
    <row r="1429" spans="2:3" x14ac:dyDescent="0.3">
      <c r="B1429">
        <v>4511568757</v>
      </c>
      <c r="C1429" t="s">
        <v>20</v>
      </c>
    </row>
    <row r="1430" spans="2:3" x14ac:dyDescent="0.3">
      <c r="B1430">
        <v>4511568757</v>
      </c>
      <c r="C1430" t="s">
        <v>20</v>
      </c>
    </row>
    <row r="1431" spans="2:3" x14ac:dyDescent="0.3">
      <c r="B1431">
        <v>4511568757</v>
      </c>
      <c r="C1431" t="s">
        <v>20</v>
      </c>
    </row>
    <row r="1432" spans="2:3" x14ac:dyDescent="0.3">
      <c r="B1432">
        <v>4511568757</v>
      </c>
      <c r="C1432" t="s">
        <v>20</v>
      </c>
    </row>
    <row r="1433" spans="2:3" x14ac:dyDescent="0.3">
      <c r="B1433">
        <v>4511568730</v>
      </c>
      <c r="C1433" t="s">
        <v>20</v>
      </c>
    </row>
    <row r="1434" spans="2:3" x14ac:dyDescent="0.3">
      <c r="B1434">
        <v>4511568730</v>
      </c>
      <c r="C1434" t="s">
        <v>20</v>
      </c>
    </row>
    <row r="1435" spans="2:3" x14ac:dyDescent="0.3">
      <c r="B1435">
        <v>4511568730</v>
      </c>
      <c r="C1435" t="s">
        <v>20</v>
      </c>
    </row>
    <row r="1436" spans="2:3" x14ac:dyDescent="0.3">
      <c r="B1436">
        <v>4511568717</v>
      </c>
      <c r="C1436" t="s">
        <v>18</v>
      </c>
    </row>
    <row r="1437" spans="2:3" x14ac:dyDescent="0.3">
      <c r="B1437">
        <v>4511568663</v>
      </c>
      <c r="C1437" t="s">
        <v>18</v>
      </c>
    </row>
    <row r="1438" spans="2:3" x14ac:dyDescent="0.3">
      <c r="B1438">
        <v>4511568663</v>
      </c>
      <c r="C1438" t="s">
        <v>18</v>
      </c>
    </row>
    <row r="1439" spans="2:3" x14ac:dyDescent="0.3">
      <c r="B1439">
        <v>4511568663</v>
      </c>
      <c r="C1439" t="s">
        <v>18</v>
      </c>
    </row>
    <row r="1440" spans="2:3" x14ac:dyDescent="0.3">
      <c r="B1440">
        <v>4511568663</v>
      </c>
      <c r="C1440" t="s">
        <v>18</v>
      </c>
    </row>
    <row r="1441" spans="2:3" x14ac:dyDescent="0.3">
      <c r="B1441">
        <v>4511568660</v>
      </c>
      <c r="C1441" t="s">
        <v>18</v>
      </c>
    </row>
    <row r="1442" spans="2:3" x14ac:dyDescent="0.3">
      <c r="B1442">
        <v>4511568660</v>
      </c>
      <c r="C1442" t="s">
        <v>18</v>
      </c>
    </row>
    <row r="1443" spans="2:3" x14ac:dyDescent="0.3">
      <c r="B1443">
        <v>4511568660</v>
      </c>
      <c r="C1443" t="s">
        <v>18</v>
      </c>
    </row>
    <row r="1444" spans="2:3" x14ac:dyDescent="0.3">
      <c r="B1444">
        <v>4511568660</v>
      </c>
      <c r="C1444" t="s">
        <v>18</v>
      </c>
    </row>
    <row r="1445" spans="2:3" x14ac:dyDescent="0.3">
      <c r="B1445">
        <v>4511568646</v>
      </c>
      <c r="C1445" t="s">
        <v>20</v>
      </c>
    </row>
    <row r="1446" spans="2:3" x14ac:dyDescent="0.3">
      <c r="B1446">
        <v>4511568387</v>
      </c>
      <c r="C1446" t="s">
        <v>20</v>
      </c>
    </row>
    <row r="1447" spans="2:3" x14ac:dyDescent="0.3">
      <c r="B1447">
        <v>4511568387</v>
      </c>
      <c r="C1447" t="s">
        <v>20</v>
      </c>
    </row>
    <row r="1448" spans="2:3" x14ac:dyDescent="0.3">
      <c r="B1448">
        <v>4511568387</v>
      </c>
      <c r="C1448" t="s">
        <v>20</v>
      </c>
    </row>
    <row r="1449" spans="2:3" x14ac:dyDescent="0.3">
      <c r="B1449">
        <v>4511568387</v>
      </c>
      <c r="C1449" t="s">
        <v>20</v>
      </c>
    </row>
    <row r="1450" spans="2:3" x14ac:dyDescent="0.3">
      <c r="B1450">
        <v>4511568375</v>
      </c>
      <c r="C1450" t="s">
        <v>37</v>
      </c>
    </row>
    <row r="1451" spans="2:3" x14ac:dyDescent="0.3">
      <c r="B1451">
        <v>4511568375</v>
      </c>
      <c r="C1451" t="s">
        <v>37</v>
      </c>
    </row>
    <row r="1452" spans="2:3" x14ac:dyDescent="0.3">
      <c r="B1452">
        <v>4511568375</v>
      </c>
      <c r="C1452" t="s">
        <v>37</v>
      </c>
    </row>
    <row r="1453" spans="2:3" x14ac:dyDescent="0.3">
      <c r="B1453">
        <v>4511568375</v>
      </c>
      <c r="C1453" t="s">
        <v>37</v>
      </c>
    </row>
    <row r="1454" spans="2:3" x14ac:dyDescent="0.3">
      <c r="B1454">
        <v>4511568375</v>
      </c>
      <c r="C1454" t="s">
        <v>37</v>
      </c>
    </row>
    <row r="1455" spans="2:3" x14ac:dyDescent="0.3">
      <c r="B1455">
        <v>4511568375</v>
      </c>
      <c r="C1455" t="s">
        <v>37</v>
      </c>
    </row>
    <row r="1456" spans="2:3" x14ac:dyDescent="0.3">
      <c r="B1456">
        <v>4511568375</v>
      </c>
      <c r="C1456" t="s">
        <v>37</v>
      </c>
    </row>
    <row r="1457" spans="2:3" x14ac:dyDescent="0.3">
      <c r="B1457">
        <v>4511568375</v>
      </c>
      <c r="C1457" t="s">
        <v>37</v>
      </c>
    </row>
    <row r="1458" spans="2:3" x14ac:dyDescent="0.3">
      <c r="B1458">
        <v>4511568242</v>
      </c>
      <c r="C1458" t="s">
        <v>20</v>
      </c>
    </row>
    <row r="1459" spans="2:3" x14ac:dyDescent="0.3">
      <c r="B1459">
        <v>4511568242</v>
      </c>
      <c r="C1459" t="s">
        <v>20</v>
      </c>
    </row>
    <row r="1460" spans="2:3" x14ac:dyDescent="0.3">
      <c r="B1460">
        <v>4511568242</v>
      </c>
      <c r="C1460" t="s">
        <v>20</v>
      </c>
    </row>
    <row r="1461" spans="2:3" x14ac:dyDescent="0.3">
      <c r="B1461">
        <v>4511568242</v>
      </c>
      <c r="C1461" t="s">
        <v>20</v>
      </c>
    </row>
    <row r="1462" spans="2:3" x14ac:dyDescent="0.3">
      <c r="B1462">
        <v>4511568028</v>
      </c>
      <c r="C1462" t="s">
        <v>20</v>
      </c>
    </row>
    <row r="1463" spans="2:3" x14ac:dyDescent="0.3">
      <c r="B1463">
        <v>4511568028</v>
      </c>
      <c r="C1463" t="s">
        <v>20</v>
      </c>
    </row>
    <row r="1464" spans="2:3" x14ac:dyDescent="0.3">
      <c r="B1464">
        <v>4511568028</v>
      </c>
      <c r="C1464" t="s">
        <v>20</v>
      </c>
    </row>
    <row r="1465" spans="2:3" x14ac:dyDescent="0.3">
      <c r="B1465">
        <v>4511568028</v>
      </c>
      <c r="C1465" t="s">
        <v>20</v>
      </c>
    </row>
    <row r="1466" spans="2:3" x14ac:dyDescent="0.3">
      <c r="B1466">
        <v>4511568003</v>
      </c>
      <c r="C1466" t="s">
        <v>30</v>
      </c>
    </row>
    <row r="1467" spans="2:3" x14ac:dyDescent="0.3">
      <c r="B1467">
        <v>4511568003</v>
      </c>
      <c r="C1467" t="s">
        <v>30</v>
      </c>
    </row>
    <row r="1468" spans="2:3" x14ac:dyDescent="0.3">
      <c r="B1468">
        <v>4511568003</v>
      </c>
      <c r="C1468" t="s">
        <v>30</v>
      </c>
    </row>
    <row r="1469" spans="2:3" x14ac:dyDescent="0.3">
      <c r="B1469">
        <v>4511568003</v>
      </c>
      <c r="C1469" t="s">
        <v>30</v>
      </c>
    </row>
    <row r="1470" spans="2:3" x14ac:dyDescent="0.3">
      <c r="B1470">
        <v>4511568003</v>
      </c>
      <c r="C1470" t="s">
        <v>30</v>
      </c>
    </row>
    <row r="1471" spans="2:3" x14ac:dyDescent="0.3">
      <c r="B1471">
        <v>4511568003</v>
      </c>
      <c r="C1471" t="s">
        <v>30</v>
      </c>
    </row>
    <row r="1472" spans="2:3" x14ac:dyDescent="0.3">
      <c r="B1472">
        <v>4511568003</v>
      </c>
      <c r="C1472" t="s">
        <v>30</v>
      </c>
    </row>
    <row r="1473" spans="2:3" x14ac:dyDescent="0.3">
      <c r="B1473">
        <v>4511568003</v>
      </c>
      <c r="C1473" t="s">
        <v>30</v>
      </c>
    </row>
    <row r="1474" spans="2:3" x14ac:dyDescent="0.3">
      <c r="B1474">
        <v>4511568003</v>
      </c>
      <c r="C1474" t="s">
        <v>30</v>
      </c>
    </row>
    <row r="1475" spans="2:3" x14ac:dyDescent="0.3">
      <c r="B1475">
        <v>4511568003</v>
      </c>
      <c r="C1475" t="s">
        <v>30</v>
      </c>
    </row>
    <row r="1476" spans="2:3" x14ac:dyDescent="0.3">
      <c r="B1476">
        <v>4511568003</v>
      </c>
      <c r="C1476" t="s">
        <v>30</v>
      </c>
    </row>
    <row r="1477" spans="2:3" x14ac:dyDescent="0.3">
      <c r="B1477">
        <v>4511568003</v>
      </c>
      <c r="C1477" t="s">
        <v>30</v>
      </c>
    </row>
    <row r="1478" spans="2:3" x14ac:dyDescent="0.3">
      <c r="B1478">
        <v>4511568003</v>
      </c>
      <c r="C1478" t="s">
        <v>30</v>
      </c>
    </row>
    <row r="1479" spans="2:3" x14ac:dyDescent="0.3">
      <c r="B1479">
        <v>4511568003</v>
      </c>
      <c r="C1479" t="s">
        <v>30</v>
      </c>
    </row>
    <row r="1480" spans="2:3" x14ac:dyDescent="0.3">
      <c r="B1480">
        <v>4511568003</v>
      </c>
      <c r="C1480" t="s">
        <v>30</v>
      </c>
    </row>
    <row r="1481" spans="2:3" x14ac:dyDescent="0.3">
      <c r="B1481">
        <v>4511568003</v>
      </c>
      <c r="C1481" t="s">
        <v>30</v>
      </c>
    </row>
    <row r="1482" spans="2:3" x14ac:dyDescent="0.3">
      <c r="B1482">
        <v>4511568003</v>
      </c>
      <c r="C1482" t="s">
        <v>30</v>
      </c>
    </row>
    <row r="1483" spans="2:3" x14ac:dyDescent="0.3">
      <c r="B1483">
        <v>4511568003</v>
      </c>
      <c r="C1483" t="s">
        <v>30</v>
      </c>
    </row>
    <row r="1484" spans="2:3" x14ac:dyDescent="0.3">
      <c r="B1484">
        <v>4511568003</v>
      </c>
      <c r="C1484" t="s">
        <v>30</v>
      </c>
    </row>
    <row r="1485" spans="2:3" x14ac:dyDescent="0.3">
      <c r="B1485">
        <v>4511568003</v>
      </c>
      <c r="C1485" t="s">
        <v>30</v>
      </c>
    </row>
    <row r="1486" spans="2:3" x14ac:dyDescent="0.3">
      <c r="B1486">
        <v>4511568003</v>
      </c>
      <c r="C1486" t="s">
        <v>30</v>
      </c>
    </row>
    <row r="1487" spans="2:3" x14ac:dyDescent="0.3">
      <c r="B1487">
        <v>4511568003</v>
      </c>
      <c r="C1487" t="s">
        <v>30</v>
      </c>
    </row>
    <row r="1488" spans="2:3" x14ac:dyDescent="0.3">
      <c r="B1488">
        <v>4511568003</v>
      </c>
      <c r="C1488" t="s">
        <v>30</v>
      </c>
    </row>
    <row r="1489" spans="2:3" x14ac:dyDescent="0.3">
      <c r="B1489">
        <v>4511568003</v>
      </c>
      <c r="C1489" t="s">
        <v>30</v>
      </c>
    </row>
    <row r="1490" spans="2:3" x14ac:dyDescent="0.3">
      <c r="B1490">
        <v>4511568003</v>
      </c>
      <c r="C1490" t="s">
        <v>30</v>
      </c>
    </row>
    <row r="1491" spans="2:3" x14ac:dyDescent="0.3">
      <c r="B1491">
        <v>4511568003</v>
      </c>
      <c r="C1491" t="s">
        <v>30</v>
      </c>
    </row>
    <row r="1492" spans="2:3" x14ac:dyDescent="0.3">
      <c r="B1492">
        <v>4511568003</v>
      </c>
      <c r="C1492" t="s">
        <v>30</v>
      </c>
    </row>
    <row r="1493" spans="2:3" x14ac:dyDescent="0.3">
      <c r="B1493">
        <v>4511568003</v>
      </c>
      <c r="C1493" t="s">
        <v>30</v>
      </c>
    </row>
    <row r="1494" spans="2:3" x14ac:dyDescent="0.3">
      <c r="B1494">
        <v>4511568003</v>
      </c>
      <c r="C1494" t="s">
        <v>30</v>
      </c>
    </row>
    <row r="1495" spans="2:3" x14ac:dyDescent="0.3">
      <c r="B1495">
        <v>4511567967</v>
      </c>
      <c r="C1495" t="s">
        <v>30</v>
      </c>
    </row>
    <row r="1496" spans="2:3" x14ac:dyDescent="0.3">
      <c r="B1496">
        <v>4511567967</v>
      </c>
      <c r="C1496" t="s">
        <v>30</v>
      </c>
    </row>
    <row r="1497" spans="2:3" x14ac:dyDescent="0.3">
      <c r="B1497">
        <v>4511567967</v>
      </c>
      <c r="C1497" t="s">
        <v>30</v>
      </c>
    </row>
    <row r="1498" spans="2:3" x14ac:dyDescent="0.3">
      <c r="B1498">
        <v>4511567967</v>
      </c>
      <c r="C1498" t="s">
        <v>30</v>
      </c>
    </row>
    <row r="1499" spans="2:3" x14ac:dyDescent="0.3">
      <c r="B1499">
        <v>4511567873</v>
      </c>
      <c r="C1499" t="s">
        <v>20</v>
      </c>
    </row>
    <row r="1500" spans="2:3" x14ac:dyDescent="0.3">
      <c r="B1500">
        <v>4511567811</v>
      </c>
      <c r="C1500" t="s">
        <v>30</v>
      </c>
    </row>
    <row r="1501" spans="2:3" x14ac:dyDescent="0.3">
      <c r="B1501">
        <v>4511567811</v>
      </c>
      <c r="C1501" t="s">
        <v>30</v>
      </c>
    </row>
    <row r="1502" spans="2:3" x14ac:dyDescent="0.3">
      <c r="B1502">
        <v>4511567811</v>
      </c>
      <c r="C1502" t="s">
        <v>30</v>
      </c>
    </row>
    <row r="1503" spans="2:3" x14ac:dyDescent="0.3">
      <c r="B1503">
        <v>4511567811</v>
      </c>
      <c r="C1503" t="s">
        <v>30</v>
      </c>
    </row>
    <row r="1504" spans="2:3" x14ac:dyDescent="0.3">
      <c r="B1504">
        <v>4511567811</v>
      </c>
      <c r="C1504" t="s">
        <v>30</v>
      </c>
    </row>
    <row r="1505" spans="2:3" x14ac:dyDescent="0.3">
      <c r="B1505">
        <v>4511567811</v>
      </c>
      <c r="C1505" t="s">
        <v>30</v>
      </c>
    </row>
    <row r="1506" spans="2:3" x14ac:dyDescent="0.3">
      <c r="B1506">
        <v>4511567811</v>
      </c>
      <c r="C1506" t="s">
        <v>30</v>
      </c>
    </row>
    <row r="1507" spans="2:3" x14ac:dyDescent="0.3">
      <c r="B1507">
        <v>4511567781</v>
      </c>
      <c r="C1507" t="s">
        <v>18</v>
      </c>
    </row>
    <row r="1508" spans="2:3" x14ac:dyDescent="0.3">
      <c r="B1508">
        <v>4511567781</v>
      </c>
      <c r="C1508" t="s">
        <v>18</v>
      </c>
    </row>
    <row r="1509" spans="2:3" x14ac:dyDescent="0.3">
      <c r="B1509">
        <v>4511567781</v>
      </c>
      <c r="C1509" t="s">
        <v>18</v>
      </c>
    </row>
    <row r="1510" spans="2:3" x14ac:dyDescent="0.3">
      <c r="B1510">
        <v>4511567781</v>
      </c>
      <c r="C1510" t="s">
        <v>18</v>
      </c>
    </row>
    <row r="1511" spans="2:3" x14ac:dyDescent="0.3">
      <c r="B1511">
        <v>4511567781</v>
      </c>
      <c r="C1511" t="s">
        <v>18</v>
      </c>
    </row>
    <row r="1512" spans="2:3" x14ac:dyDescent="0.3">
      <c r="B1512">
        <v>4511567781</v>
      </c>
      <c r="C1512" t="s">
        <v>18</v>
      </c>
    </row>
    <row r="1513" spans="2:3" x14ac:dyDescent="0.3">
      <c r="B1513">
        <v>4511567781</v>
      </c>
      <c r="C1513" t="s">
        <v>18</v>
      </c>
    </row>
    <row r="1514" spans="2:3" x14ac:dyDescent="0.3">
      <c r="B1514">
        <v>4511567781</v>
      </c>
      <c r="C1514" t="s">
        <v>18</v>
      </c>
    </row>
    <row r="1515" spans="2:3" x14ac:dyDescent="0.3">
      <c r="B1515">
        <v>4511567781</v>
      </c>
      <c r="C1515" t="s">
        <v>18</v>
      </c>
    </row>
    <row r="1516" spans="2:3" x14ac:dyDescent="0.3">
      <c r="B1516">
        <v>4511567781</v>
      </c>
      <c r="C1516" t="s">
        <v>18</v>
      </c>
    </row>
    <row r="1517" spans="2:3" x14ac:dyDescent="0.3">
      <c r="B1517">
        <v>4511567781</v>
      </c>
      <c r="C1517" t="s">
        <v>18</v>
      </c>
    </row>
    <row r="1518" spans="2:3" x14ac:dyDescent="0.3">
      <c r="B1518">
        <v>4511567766</v>
      </c>
      <c r="C1518" t="s">
        <v>30</v>
      </c>
    </row>
    <row r="1519" spans="2:3" x14ac:dyDescent="0.3">
      <c r="B1519">
        <v>4511567766</v>
      </c>
      <c r="C1519" t="s">
        <v>30</v>
      </c>
    </row>
    <row r="1520" spans="2:3" x14ac:dyDescent="0.3">
      <c r="B1520">
        <v>4511567766</v>
      </c>
      <c r="C1520" t="s">
        <v>30</v>
      </c>
    </row>
    <row r="1521" spans="2:3" x14ac:dyDescent="0.3">
      <c r="B1521">
        <v>4511567726</v>
      </c>
      <c r="C1521" t="s">
        <v>20</v>
      </c>
    </row>
    <row r="1522" spans="2:3" x14ac:dyDescent="0.3">
      <c r="B1522">
        <v>4511567726</v>
      </c>
      <c r="C1522" t="s">
        <v>20</v>
      </c>
    </row>
    <row r="1523" spans="2:3" x14ac:dyDescent="0.3">
      <c r="B1523">
        <v>4511567726</v>
      </c>
      <c r="C1523" t="s">
        <v>20</v>
      </c>
    </row>
    <row r="1524" spans="2:3" x14ac:dyDescent="0.3">
      <c r="B1524">
        <v>4511567726</v>
      </c>
      <c r="C1524" t="s">
        <v>20</v>
      </c>
    </row>
    <row r="1525" spans="2:3" x14ac:dyDescent="0.3">
      <c r="B1525">
        <v>4511567726</v>
      </c>
      <c r="C1525" t="s">
        <v>20</v>
      </c>
    </row>
    <row r="1526" spans="2:3" x14ac:dyDescent="0.3">
      <c r="B1526">
        <v>4511567726</v>
      </c>
      <c r="C1526" t="s">
        <v>20</v>
      </c>
    </row>
    <row r="1527" spans="2:3" x14ac:dyDescent="0.3">
      <c r="B1527">
        <v>4511567726</v>
      </c>
      <c r="C1527" t="s">
        <v>20</v>
      </c>
    </row>
    <row r="1528" spans="2:3" x14ac:dyDescent="0.3">
      <c r="B1528">
        <v>4511567726</v>
      </c>
      <c r="C1528" t="s">
        <v>20</v>
      </c>
    </row>
    <row r="1529" spans="2:3" x14ac:dyDescent="0.3">
      <c r="B1529">
        <v>4511567726</v>
      </c>
      <c r="C1529" t="s">
        <v>20</v>
      </c>
    </row>
    <row r="1530" spans="2:3" x14ac:dyDescent="0.3">
      <c r="B1530">
        <v>4511567726</v>
      </c>
      <c r="C1530" t="s">
        <v>20</v>
      </c>
    </row>
    <row r="1531" spans="2:3" x14ac:dyDescent="0.3">
      <c r="B1531">
        <v>4511567724</v>
      </c>
      <c r="C1531" t="s">
        <v>20</v>
      </c>
    </row>
    <row r="1532" spans="2:3" x14ac:dyDescent="0.3">
      <c r="B1532">
        <v>4511567724</v>
      </c>
      <c r="C1532" t="s">
        <v>20</v>
      </c>
    </row>
    <row r="1533" spans="2:3" x14ac:dyDescent="0.3">
      <c r="B1533">
        <v>4511567683</v>
      </c>
      <c r="C1533" t="s">
        <v>18</v>
      </c>
    </row>
    <row r="1534" spans="2:3" x14ac:dyDescent="0.3">
      <c r="B1534">
        <v>4511567683</v>
      </c>
      <c r="C1534" t="s">
        <v>18</v>
      </c>
    </row>
    <row r="1535" spans="2:3" x14ac:dyDescent="0.3">
      <c r="B1535">
        <v>4520095034</v>
      </c>
      <c r="C1535" t="s">
        <v>18</v>
      </c>
    </row>
    <row r="1536" spans="2:3" x14ac:dyDescent="0.3">
      <c r="B1536">
        <v>4520095034</v>
      </c>
      <c r="C1536" t="s">
        <v>18</v>
      </c>
    </row>
    <row r="1537" spans="2:3" x14ac:dyDescent="0.3">
      <c r="B1537">
        <v>4520095034</v>
      </c>
      <c r="C1537" t="s">
        <v>18</v>
      </c>
    </row>
    <row r="1538" spans="2:3" x14ac:dyDescent="0.3">
      <c r="B1538">
        <v>4520095034</v>
      </c>
      <c r="C1538" t="s">
        <v>18</v>
      </c>
    </row>
    <row r="1539" spans="2:3" x14ac:dyDescent="0.3">
      <c r="B1539">
        <v>4520095034</v>
      </c>
      <c r="C1539" t="s">
        <v>18</v>
      </c>
    </row>
    <row r="1540" spans="2:3" x14ac:dyDescent="0.3">
      <c r="B1540">
        <v>4520095034</v>
      </c>
      <c r="C1540" t="s">
        <v>18</v>
      </c>
    </row>
    <row r="1541" spans="2:3" x14ac:dyDescent="0.3">
      <c r="B1541">
        <v>4511567223</v>
      </c>
      <c r="C1541" t="s">
        <v>18</v>
      </c>
    </row>
    <row r="1542" spans="2:3" x14ac:dyDescent="0.3">
      <c r="B1542">
        <v>4520095017</v>
      </c>
      <c r="C1542" t="s">
        <v>30</v>
      </c>
    </row>
    <row r="1543" spans="2:3" x14ac:dyDescent="0.3">
      <c r="B1543">
        <v>4520095017</v>
      </c>
      <c r="C1543" t="s">
        <v>30</v>
      </c>
    </row>
    <row r="1544" spans="2:3" x14ac:dyDescent="0.3">
      <c r="B1544">
        <v>4520095017</v>
      </c>
      <c r="C1544" t="s">
        <v>30</v>
      </c>
    </row>
    <row r="1545" spans="2:3" x14ac:dyDescent="0.3">
      <c r="B1545">
        <v>4520095017</v>
      </c>
      <c r="C1545" t="s">
        <v>30</v>
      </c>
    </row>
    <row r="1546" spans="2:3" x14ac:dyDescent="0.3">
      <c r="B1546">
        <v>4511567003</v>
      </c>
      <c r="C1546" t="s">
        <v>20</v>
      </c>
    </row>
    <row r="1547" spans="2:3" x14ac:dyDescent="0.3">
      <c r="B1547">
        <v>4511566991</v>
      </c>
      <c r="C1547" t="s">
        <v>20</v>
      </c>
    </row>
    <row r="1548" spans="2:3" x14ac:dyDescent="0.3">
      <c r="B1548">
        <v>4511566991</v>
      </c>
      <c r="C1548" t="s">
        <v>20</v>
      </c>
    </row>
    <row r="1549" spans="2:3" x14ac:dyDescent="0.3">
      <c r="B1549">
        <v>4511566985</v>
      </c>
      <c r="C1549" t="s">
        <v>30</v>
      </c>
    </row>
    <row r="1550" spans="2:3" x14ac:dyDescent="0.3">
      <c r="B1550">
        <v>4511566985</v>
      </c>
      <c r="C1550" t="s">
        <v>30</v>
      </c>
    </row>
    <row r="1551" spans="2:3" x14ac:dyDescent="0.3">
      <c r="B1551">
        <v>4511566985</v>
      </c>
      <c r="C1551" t="s">
        <v>30</v>
      </c>
    </row>
    <row r="1552" spans="2:3" x14ac:dyDescent="0.3">
      <c r="B1552">
        <v>4511566949</v>
      </c>
      <c r="C1552" t="s">
        <v>30</v>
      </c>
    </row>
    <row r="1553" spans="2:3" x14ac:dyDescent="0.3">
      <c r="B1553">
        <v>4511566949</v>
      </c>
      <c r="C1553" t="s">
        <v>30</v>
      </c>
    </row>
    <row r="1554" spans="2:3" x14ac:dyDescent="0.3">
      <c r="B1554">
        <v>4511566949</v>
      </c>
      <c r="C1554" t="s">
        <v>30</v>
      </c>
    </row>
    <row r="1555" spans="2:3" x14ac:dyDescent="0.3">
      <c r="B1555">
        <v>4511566949</v>
      </c>
      <c r="C1555" t="s">
        <v>30</v>
      </c>
    </row>
    <row r="1556" spans="2:3" x14ac:dyDescent="0.3">
      <c r="B1556">
        <v>4511566949</v>
      </c>
      <c r="C1556" t="s">
        <v>30</v>
      </c>
    </row>
    <row r="1557" spans="2:3" x14ac:dyDescent="0.3">
      <c r="B1557">
        <v>4511566949</v>
      </c>
      <c r="C1557" t="s">
        <v>30</v>
      </c>
    </row>
    <row r="1558" spans="2:3" x14ac:dyDescent="0.3">
      <c r="B1558">
        <v>4511566949</v>
      </c>
      <c r="C1558" t="s">
        <v>30</v>
      </c>
    </row>
    <row r="1559" spans="2:3" x14ac:dyDescent="0.3">
      <c r="B1559">
        <v>4511566949</v>
      </c>
      <c r="C1559" t="s">
        <v>30</v>
      </c>
    </row>
    <row r="1560" spans="2:3" x14ac:dyDescent="0.3">
      <c r="B1560">
        <v>4511566949</v>
      </c>
      <c r="C1560" t="s">
        <v>30</v>
      </c>
    </row>
    <row r="1561" spans="2:3" x14ac:dyDescent="0.3">
      <c r="B1561">
        <v>4511566949</v>
      </c>
      <c r="C1561" t="s">
        <v>30</v>
      </c>
    </row>
    <row r="1562" spans="2:3" x14ac:dyDescent="0.3">
      <c r="B1562">
        <v>4511566949</v>
      </c>
      <c r="C1562" t="s">
        <v>30</v>
      </c>
    </row>
    <row r="1563" spans="2:3" x14ac:dyDescent="0.3">
      <c r="B1563">
        <v>4511566949</v>
      </c>
      <c r="C1563" t="s">
        <v>30</v>
      </c>
    </row>
    <row r="1564" spans="2:3" x14ac:dyDescent="0.3">
      <c r="B1564">
        <v>4511566949</v>
      </c>
      <c r="C1564" t="s">
        <v>30</v>
      </c>
    </row>
    <row r="1565" spans="2:3" x14ac:dyDescent="0.3">
      <c r="B1565">
        <v>4511566949</v>
      </c>
      <c r="C1565" t="s">
        <v>30</v>
      </c>
    </row>
    <row r="1566" spans="2:3" x14ac:dyDescent="0.3">
      <c r="B1566">
        <v>4511566949</v>
      </c>
      <c r="C1566" t="s">
        <v>30</v>
      </c>
    </row>
    <row r="1567" spans="2:3" x14ac:dyDescent="0.3">
      <c r="B1567">
        <v>4511566949</v>
      </c>
      <c r="C1567" t="s">
        <v>30</v>
      </c>
    </row>
    <row r="1568" spans="2:3" x14ac:dyDescent="0.3">
      <c r="B1568">
        <v>4511566949</v>
      </c>
      <c r="C1568" t="s">
        <v>30</v>
      </c>
    </row>
    <row r="1569" spans="2:3" x14ac:dyDescent="0.3">
      <c r="B1569">
        <v>4511566949</v>
      </c>
      <c r="C1569" t="s">
        <v>30</v>
      </c>
    </row>
    <row r="1570" spans="2:3" x14ac:dyDescent="0.3">
      <c r="B1570">
        <v>4511566934</v>
      </c>
      <c r="C1570" t="s">
        <v>18</v>
      </c>
    </row>
    <row r="1571" spans="2:3" x14ac:dyDescent="0.3">
      <c r="B1571">
        <v>4511566934</v>
      </c>
      <c r="C1571" t="s">
        <v>18</v>
      </c>
    </row>
    <row r="1572" spans="2:3" x14ac:dyDescent="0.3">
      <c r="B1572">
        <v>4511566934</v>
      </c>
      <c r="C1572" t="s">
        <v>18</v>
      </c>
    </row>
    <row r="1573" spans="2:3" x14ac:dyDescent="0.3">
      <c r="B1573">
        <v>4511566934</v>
      </c>
      <c r="C1573" t="s">
        <v>18</v>
      </c>
    </row>
    <row r="1574" spans="2:3" x14ac:dyDescent="0.3">
      <c r="B1574">
        <v>4511566934</v>
      </c>
      <c r="C1574" t="s">
        <v>18</v>
      </c>
    </row>
    <row r="1575" spans="2:3" x14ac:dyDescent="0.3">
      <c r="B1575">
        <v>4511566870</v>
      </c>
      <c r="C1575" t="s">
        <v>30</v>
      </c>
    </row>
    <row r="1576" spans="2:3" x14ac:dyDescent="0.3">
      <c r="B1576">
        <v>4511566870</v>
      </c>
      <c r="C1576" t="s">
        <v>30</v>
      </c>
    </row>
    <row r="1577" spans="2:3" x14ac:dyDescent="0.3">
      <c r="B1577">
        <v>4511566870</v>
      </c>
      <c r="C1577" t="s">
        <v>30</v>
      </c>
    </row>
    <row r="1578" spans="2:3" x14ac:dyDescent="0.3">
      <c r="B1578">
        <v>4511566870</v>
      </c>
      <c r="C1578" t="s">
        <v>30</v>
      </c>
    </row>
    <row r="1579" spans="2:3" x14ac:dyDescent="0.3">
      <c r="B1579">
        <v>4511566870</v>
      </c>
      <c r="C1579" t="s">
        <v>30</v>
      </c>
    </row>
    <row r="1580" spans="2:3" x14ac:dyDescent="0.3">
      <c r="B1580">
        <v>4511566870</v>
      </c>
      <c r="C1580" t="s">
        <v>30</v>
      </c>
    </row>
    <row r="1581" spans="2:3" x14ac:dyDescent="0.3">
      <c r="B1581">
        <v>4511566870</v>
      </c>
      <c r="C1581" t="s">
        <v>30</v>
      </c>
    </row>
    <row r="1582" spans="2:3" x14ac:dyDescent="0.3">
      <c r="B1582">
        <v>4511566848</v>
      </c>
      <c r="C1582" t="s">
        <v>30</v>
      </c>
    </row>
    <row r="1583" spans="2:3" x14ac:dyDescent="0.3">
      <c r="B1583">
        <v>4520095016</v>
      </c>
      <c r="C1583" t="s">
        <v>30</v>
      </c>
    </row>
    <row r="1584" spans="2:3" x14ac:dyDescent="0.3">
      <c r="B1584">
        <v>4520095016</v>
      </c>
      <c r="C1584" t="s">
        <v>30</v>
      </c>
    </row>
    <row r="1585" spans="2:3" x14ac:dyDescent="0.3">
      <c r="B1585">
        <v>4520095016</v>
      </c>
      <c r="C1585" t="s">
        <v>30</v>
      </c>
    </row>
    <row r="1586" spans="2:3" x14ac:dyDescent="0.3">
      <c r="B1586">
        <v>4520095016</v>
      </c>
      <c r="C1586" t="s">
        <v>30</v>
      </c>
    </row>
    <row r="1587" spans="2:3" x14ac:dyDescent="0.3">
      <c r="B1587">
        <v>4520095016</v>
      </c>
      <c r="C1587" t="s">
        <v>30</v>
      </c>
    </row>
    <row r="1588" spans="2:3" x14ac:dyDescent="0.3">
      <c r="B1588">
        <v>4520095016</v>
      </c>
      <c r="C1588" t="s">
        <v>30</v>
      </c>
    </row>
    <row r="1589" spans="2:3" x14ac:dyDescent="0.3">
      <c r="B1589">
        <v>4511566828</v>
      </c>
      <c r="C1589" t="s">
        <v>20</v>
      </c>
    </row>
    <row r="1590" spans="2:3" x14ac:dyDescent="0.3">
      <c r="B1590">
        <v>4511566828</v>
      </c>
      <c r="C1590" t="s">
        <v>20</v>
      </c>
    </row>
    <row r="1591" spans="2:3" x14ac:dyDescent="0.3">
      <c r="B1591">
        <v>4511566828</v>
      </c>
      <c r="C1591" t="s">
        <v>20</v>
      </c>
    </row>
    <row r="1592" spans="2:3" x14ac:dyDescent="0.3">
      <c r="B1592">
        <v>4511566828</v>
      </c>
      <c r="C1592" t="s">
        <v>20</v>
      </c>
    </row>
    <row r="1593" spans="2:3" x14ac:dyDescent="0.3">
      <c r="B1593">
        <v>4511566751</v>
      </c>
      <c r="C1593" t="s">
        <v>30</v>
      </c>
    </row>
    <row r="1594" spans="2:3" x14ac:dyDescent="0.3">
      <c r="B1594">
        <v>4511566751</v>
      </c>
      <c r="C1594" t="s">
        <v>30</v>
      </c>
    </row>
    <row r="1595" spans="2:3" x14ac:dyDescent="0.3">
      <c r="B1595">
        <v>4511566751</v>
      </c>
      <c r="C1595" t="s">
        <v>30</v>
      </c>
    </row>
    <row r="1596" spans="2:3" x14ac:dyDescent="0.3">
      <c r="B1596">
        <v>4511566751</v>
      </c>
      <c r="C1596" t="s">
        <v>30</v>
      </c>
    </row>
    <row r="1597" spans="2:3" x14ac:dyDescent="0.3">
      <c r="B1597">
        <v>4511566751</v>
      </c>
      <c r="C1597" t="s">
        <v>30</v>
      </c>
    </row>
    <row r="1598" spans="2:3" x14ac:dyDescent="0.3">
      <c r="B1598">
        <v>4511566751</v>
      </c>
      <c r="C1598" t="s">
        <v>30</v>
      </c>
    </row>
    <row r="1599" spans="2:3" x14ac:dyDescent="0.3">
      <c r="B1599">
        <v>4511566669</v>
      </c>
      <c r="C1599" t="s">
        <v>30</v>
      </c>
    </row>
    <row r="1600" spans="2:3" x14ac:dyDescent="0.3">
      <c r="B1600">
        <v>4511566669</v>
      </c>
      <c r="C1600" t="s">
        <v>30</v>
      </c>
    </row>
    <row r="1601" spans="2:3" x14ac:dyDescent="0.3">
      <c r="B1601">
        <v>4511566669</v>
      </c>
      <c r="C1601" t="s">
        <v>30</v>
      </c>
    </row>
    <row r="1602" spans="2:3" x14ac:dyDescent="0.3">
      <c r="B1602">
        <v>4511566638</v>
      </c>
      <c r="C1602" t="s">
        <v>20</v>
      </c>
    </row>
    <row r="1603" spans="2:3" x14ac:dyDescent="0.3">
      <c r="B1603">
        <v>4511566521</v>
      </c>
      <c r="C1603" t="s">
        <v>30</v>
      </c>
    </row>
    <row r="1604" spans="2:3" x14ac:dyDescent="0.3">
      <c r="B1604">
        <v>4511566208</v>
      </c>
      <c r="C1604" t="s">
        <v>30</v>
      </c>
    </row>
    <row r="1605" spans="2:3" x14ac:dyDescent="0.3">
      <c r="B1605">
        <v>4511566208</v>
      </c>
      <c r="C1605" t="s">
        <v>30</v>
      </c>
    </row>
    <row r="1606" spans="2:3" x14ac:dyDescent="0.3">
      <c r="B1606">
        <v>4511566208</v>
      </c>
      <c r="C1606" t="s">
        <v>30</v>
      </c>
    </row>
    <row r="1607" spans="2:3" x14ac:dyDescent="0.3">
      <c r="B1607">
        <v>4511566154</v>
      </c>
      <c r="C1607" t="s">
        <v>37</v>
      </c>
    </row>
    <row r="1608" spans="2:3" x14ac:dyDescent="0.3">
      <c r="B1608">
        <v>4511566146</v>
      </c>
      <c r="C1608" t="s">
        <v>30</v>
      </c>
    </row>
    <row r="1609" spans="2:3" x14ac:dyDescent="0.3">
      <c r="B1609">
        <v>4511566146</v>
      </c>
      <c r="C1609" t="s">
        <v>30</v>
      </c>
    </row>
    <row r="1610" spans="2:3" x14ac:dyDescent="0.3">
      <c r="B1610">
        <v>4511566146</v>
      </c>
      <c r="C1610" t="s">
        <v>30</v>
      </c>
    </row>
    <row r="1611" spans="2:3" x14ac:dyDescent="0.3">
      <c r="B1611">
        <v>4511566146</v>
      </c>
      <c r="C1611" t="s">
        <v>30</v>
      </c>
    </row>
    <row r="1612" spans="2:3" x14ac:dyDescent="0.3">
      <c r="B1612">
        <v>4511566146</v>
      </c>
      <c r="C1612" t="s">
        <v>30</v>
      </c>
    </row>
    <row r="1613" spans="2:3" x14ac:dyDescent="0.3">
      <c r="B1613">
        <v>4511566146</v>
      </c>
      <c r="C1613" t="s">
        <v>30</v>
      </c>
    </row>
    <row r="1614" spans="2:3" x14ac:dyDescent="0.3">
      <c r="B1614">
        <v>4511566146</v>
      </c>
      <c r="C1614" t="s">
        <v>30</v>
      </c>
    </row>
    <row r="1615" spans="2:3" x14ac:dyDescent="0.3">
      <c r="B1615">
        <v>4511566146</v>
      </c>
      <c r="C1615" t="s">
        <v>30</v>
      </c>
    </row>
    <row r="1616" spans="2:3" x14ac:dyDescent="0.3">
      <c r="B1616">
        <v>4511566146</v>
      </c>
      <c r="C1616" t="s">
        <v>30</v>
      </c>
    </row>
    <row r="1617" spans="2:3" x14ac:dyDescent="0.3">
      <c r="B1617">
        <v>4511566146</v>
      </c>
      <c r="C1617" t="s">
        <v>30</v>
      </c>
    </row>
    <row r="1618" spans="2:3" x14ac:dyDescent="0.3">
      <c r="B1618">
        <v>4511566146</v>
      </c>
      <c r="C1618" t="s">
        <v>30</v>
      </c>
    </row>
    <row r="1619" spans="2:3" x14ac:dyDescent="0.3">
      <c r="B1619">
        <v>4511566146</v>
      </c>
      <c r="C1619" t="s">
        <v>30</v>
      </c>
    </row>
    <row r="1620" spans="2:3" x14ac:dyDescent="0.3">
      <c r="B1620">
        <v>4511566146</v>
      </c>
      <c r="C1620" t="s">
        <v>30</v>
      </c>
    </row>
    <row r="1621" spans="2:3" x14ac:dyDescent="0.3">
      <c r="B1621">
        <v>4511566146</v>
      </c>
      <c r="C1621" t="s">
        <v>30</v>
      </c>
    </row>
    <row r="1622" spans="2:3" x14ac:dyDescent="0.3">
      <c r="B1622">
        <v>4511566146</v>
      </c>
      <c r="C1622" t="s">
        <v>30</v>
      </c>
    </row>
    <row r="1623" spans="2:3" x14ac:dyDescent="0.3">
      <c r="B1623">
        <v>4511566146</v>
      </c>
      <c r="C1623" t="s">
        <v>30</v>
      </c>
    </row>
    <row r="1624" spans="2:3" x14ac:dyDescent="0.3">
      <c r="B1624">
        <v>4511566146</v>
      </c>
      <c r="C1624" t="s">
        <v>30</v>
      </c>
    </row>
    <row r="1625" spans="2:3" x14ac:dyDescent="0.3">
      <c r="B1625">
        <v>4511566146</v>
      </c>
      <c r="C1625" t="s">
        <v>30</v>
      </c>
    </row>
    <row r="1626" spans="2:3" x14ac:dyDescent="0.3">
      <c r="B1626">
        <v>4511566146</v>
      </c>
      <c r="C1626" t="s">
        <v>30</v>
      </c>
    </row>
    <row r="1627" spans="2:3" x14ac:dyDescent="0.3">
      <c r="B1627">
        <v>4511566146</v>
      </c>
      <c r="C1627" t="s">
        <v>30</v>
      </c>
    </row>
    <row r="1628" spans="2:3" x14ac:dyDescent="0.3">
      <c r="B1628">
        <v>4511566146</v>
      </c>
      <c r="C1628" t="s">
        <v>30</v>
      </c>
    </row>
    <row r="1629" spans="2:3" x14ac:dyDescent="0.3">
      <c r="B1629">
        <v>4511566146</v>
      </c>
      <c r="C1629" t="s">
        <v>30</v>
      </c>
    </row>
    <row r="1630" spans="2:3" x14ac:dyDescent="0.3">
      <c r="B1630">
        <v>4511566146</v>
      </c>
      <c r="C1630" t="s">
        <v>30</v>
      </c>
    </row>
    <row r="1631" spans="2:3" x14ac:dyDescent="0.3">
      <c r="B1631">
        <v>4511566146</v>
      </c>
      <c r="C1631" t="s">
        <v>30</v>
      </c>
    </row>
    <row r="1632" spans="2:3" x14ac:dyDescent="0.3">
      <c r="B1632">
        <v>4511566146</v>
      </c>
      <c r="C1632" t="s">
        <v>30</v>
      </c>
    </row>
    <row r="1633" spans="2:3" x14ac:dyDescent="0.3">
      <c r="B1633">
        <v>4511566146</v>
      </c>
      <c r="C1633" t="s">
        <v>30</v>
      </c>
    </row>
    <row r="1634" spans="2:3" x14ac:dyDescent="0.3">
      <c r="B1634">
        <v>4511566146</v>
      </c>
      <c r="C1634" t="s">
        <v>30</v>
      </c>
    </row>
    <row r="1635" spans="2:3" x14ac:dyDescent="0.3">
      <c r="B1635">
        <v>4511566146</v>
      </c>
      <c r="C1635" t="s">
        <v>30</v>
      </c>
    </row>
    <row r="1636" spans="2:3" x14ac:dyDescent="0.3">
      <c r="B1636">
        <v>4511566146</v>
      </c>
      <c r="C1636" t="s">
        <v>30</v>
      </c>
    </row>
    <row r="1637" spans="2:3" x14ac:dyDescent="0.3">
      <c r="B1637">
        <v>4511566146</v>
      </c>
      <c r="C1637" t="s">
        <v>30</v>
      </c>
    </row>
    <row r="1638" spans="2:3" x14ac:dyDescent="0.3">
      <c r="B1638">
        <v>4511566146</v>
      </c>
      <c r="C1638" t="s">
        <v>30</v>
      </c>
    </row>
    <row r="1639" spans="2:3" x14ac:dyDescent="0.3">
      <c r="B1639">
        <v>4511566146</v>
      </c>
      <c r="C1639" t="s">
        <v>30</v>
      </c>
    </row>
    <row r="1640" spans="2:3" x14ac:dyDescent="0.3">
      <c r="B1640">
        <v>4511566146</v>
      </c>
      <c r="C1640" t="s">
        <v>30</v>
      </c>
    </row>
    <row r="1641" spans="2:3" x14ac:dyDescent="0.3">
      <c r="B1641">
        <v>4511566146</v>
      </c>
      <c r="C1641" t="s">
        <v>30</v>
      </c>
    </row>
    <row r="1642" spans="2:3" x14ac:dyDescent="0.3">
      <c r="B1642">
        <v>4511566146</v>
      </c>
      <c r="C1642" t="s">
        <v>30</v>
      </c>
    </row>
    <row r="1643" spans="2:3" x14ac:dyDescent="0.3">
      <c r="B1643">
        <v>4511566146</v>
      </c>
      <c r="C1643" t="s">
        <v>30</v>
      </c>
    </row>
    <row r="1644" spans="2:3" x14ac:dyDescent="0.3">
      <c r="B1644">
        <v>4511566146</v>
      </c>
      <c r="C1644" t="s">
        <v>30</v>
      </c>
    </row>
    <row r="1645" spans="2:3" x14ac:dyDescent="0.3">
      <c r="B1645">
        <v>4511566146</v>
      </c>
      <c r="C1645" t="s">
        <v>30</v>
      </c>
    </row>
    <row r="1646" spans="2:3" x14ac:dyDescent="0.3">
      <c r="B1646">
        <v>4511566146</v>
      </c>
      <c r="C1646" t="s">
        <v>30</v>
      </c>
    </row>
    <row r="1647" spans="2:3" x14ac:dyDescent="0.3">
      <c r="B1647">
        <v>4511566146</v>
      </c>
      <c r="C1647" t="s">
        <v>30</v>
      </c>
    </row>
    <row r="1648" spans="2:3" x14ac:dyDescent="0.3">
      <c r="B1648">
        <v>4511566146</v>
      </c>
      <c r="C1648" t="s">
        <v>30</v>
      </c>
    </row>
    <row r="1649" spans="2:3" x14ac:dyDescent="0.3">
      <c r="B1649">
        <v>4511566142</v>
      </c>
      <c r="C1649" t="s">
        <v>30</v>
      </c>
    </row>
    <row r="1650" spans="2:3" x14ac:dyDescent="0.3">
      <c r="B1650">
        <v>4511566142</v>
      </c>
      <c r="C1650" t="s">
        <v>30</v>
      </c>
    </row>
    <row r="1651" spans="2:3" x14ac:dyDescent="0.3">
      <c r="B1651">
        <v>4511566142</v>
      </c>
      <c r="C1651" t="s">
        <v>30</v>
      </c>
    </row>
    <row r="1652" spans="2:3" x14ac:dyDescent="0.3">
      <c r="B1652">
        <v>4511566142</v>
      </c>
      <c r="C1652" t="s">
        <v>30</v>
      </c>
    </row>
    <row r="1653" spans="2:3" x14ac:dyDescent="0.3">
      <c r="B1653">
        <v>4511566142</v>
      </c>
      <c r="C1653" t="s">
        <v>30</v>
      </c>
    </row>
    <row r="1654" spans="2:3" x14ac:dyDescent="0.3">
      <c r="B1654">
        <v>4511566136</v>
      </c>
      <c r="C1654" t="s">
        <v>20</v>
      </c>
    </row>
    <row r="1655" spans="2:3" x14ac:dyDescent="0.3">
      <c r="B1655">
        <v>4511566136</v>
      </c>
      <c r="C1655" t="s">
        <v>20</v>
      </c>
    </row>
    <row r="1656" spans="2:3" x14ac:dyDescent="0.3">
      <c r="B1656">
        <v>4511566136</v>
      </c>
      <c r="C1656" t="s">
        <v>20</v>
      </c>
    </row>
    <row r="1657" spans="2:3" x14ac:dyDescent="0.3">
      <c r="B1657">
        <v>4511566108</v>
      </c>
      <c r="C1657" t="s">
        <v>30</v>
      </c>
    </row>
    <row r="1658" spans="2:3" x14ac:dyDescent="0.3">
      <c r="B1658">
        <v>4511566108</v>
      </c>
      <c r="C1658" t="s">
        <v>30</v>
      </c>
    </row>
    <row r="1659" spans="2:3" x14ac:dyDescent="0.3">
      <c r="B1659">
        <v>4511566008</v>
      </c>
      <c r="C1659" t="s">
        <v>18</v>
      </c>
    </row>
    <row r="1660" spans="2:3" x14ac:dyDescent="0.3">
      <c r="B1660">
        <v>4511566008</v>
      </c>
      <c r="C1660" t="s">
        <v>18</v>
      </c>
    </row>
    <row r="1661" spans="2:3" x14ac:dyDescent="0.3">
      <c r="B1661">
        <v>4511566008</v>
      </c>
      <c r="C1661" t="s">
        <v>18</v>
      </c>
    </row>
    <row r="1662" spans="2:3" x14ac:dyDescent="0.3">
      <c r="B1662">
        <v>4511566008</v>
      </c>
      <c r="C1662" t="s">
        <v>18</v>
      </c>
    </row>
    <row r="1663" spans="2:3" x14ac:dyDescent="0.3">
      <c r="B1663">
        <v>4511566008</v>
      </c>
      <c r="C1663" t="s">
        <v>18</v>
      </c>
    </row>
    <row r="1664" spans="2:3" x14ac:dyDescent="0.3">
      <c r="B1664">
        <v>4511566008</v>
      </c>
      <c r="C1664" t="s">
        <v>18</v>
      </c>
    </row>
    <row r="1665" spans="2:3" x14ac:dyDescent="0.3">
      <c r="B1665">
        <v>4511566008</v>
      </c>
      <c r="C1665" t="s">
        <v>18</v>
      </c>
    </row>
    <row r="1666" spans="2:3" x14ac:dyDescent="0.3">
      <c r="B1666">
        <v>4511566008</v>
      </c>
      <c r="C1666" t="s">
        <v>18</v>
      </c>
    </row>
    <row r="1667" spans="2:3" x14ac:dyDescent="0.3">
      <c r="B1667">
        <v>4511566008</v>
      </c>
      <c r="C1667" t="s">
        <v>18</v>
      </c>
    </row>
    <row r="1668" spans="2:3" x14ac:dyDescent="0.3">
      <c r="B1668">
        <v>4511566008</v>
      </c>
      <c r="C1668" t="s">
        <v>18</v>
      </c>
    </row>
    <row r="1669" spans="2:3" x14ac:dyDescent="0.3">
      <c r="B1669">
        <v>4511566008</v>
      </c>
      <c r="C1669" t="s">
        <v>18</v>
      </c>
    </row>
    <row r="1670" spans="2:3" x14ac:dyDescent="0.3">
      <c r="B1670">
        <v>4511566008</v>
      </c>
      <c r="C1670" t="s">
        <v>18</v>
      </c>
    </row>
    <row r="1671" spans="2:3" x14ac:dyDescent="0.3">
      <c r="B1671">
        <v>4511566008</v>
      </c>
      <c r="C1671" t="s">
        <v>18</v>
      </c>
    </row>
    <row r="1672" spans="2:3" x14ac:dyDescent="0.3">
      <c r="B1672">
        <v>4511566008</v>
      </c>
      <c r="C1672" t="s">
        <v>18</v>
      </c>
    </row>
    <row r="1673" spans="2:3" x14ac:dyDescent="0.3">
      <c r="B1673">
        <v>4511566008</v>
      </c>
      <c r="C1673" t="s">
        <v>18</v>
      </c>
    </row>
    <row r="1674" spans="2:3" x14ac:dyDescent="0.3">
      <c r="B1674">
        <v>4511566008</v>
      </c>
      <c r="C1674" t="s">
        <v>18</v>
      </c>
    </row>
    <row r="1675" spans="2:3" x14ac:dyDescent="0.3">
      <c r="B1675">
        <v>4511566008</v>
      </c>
      <c r="C1675" t="s">
        <v>18</v>
      </c>
    </row>
    <row r="1676" spans="2:3" x14ac:dyDescent="0.3">
      <c r="B1676">
        <v>4511566008</v>
      </c>
      <c r="C1676" t="s">
        <v>18</v>
      </c>
    </row>
    <row r="1677" spans="2:3" x14ac:dyDescent="0.3">
      <c r="B1677">
        <v>4511566008</v>
      </c>
      <c r="C1677" t="s">
        <v>18</v>
      </c>
    </row>
    <row r="1678" spans="2:3" x14ac:dyDescent="0.3">
      <c r="B1678">
        <v>4511566008</v>
      </c>
      <c r="C1678" t="s">
        <v>18</v>
      </c>
    </row>
    <row r="1679" spans="2:3" x14ac:dyDescent="0.3">
      <c r="B1679">
        <v>4511566008</v>
      </c>
      <c r="C1679" t="s">
        <v>18</v>
      </c>
    </row>
    <row r="1680" spans="2:3" x14ac:dyDescent="0.3">
      <c r="B1680">
        <v>4511566008</v>
      </c>
      <c r="C1680" t="s">
        <v>18</v>
      </c>
    </row>
    <row r="1681" spans="2:3" x14ac:dyDescent="0.3">
      <c r="B1681">
        <v>4511566008</v>
      </c>
      <c r="C1681" t="s">
        <v>18</v>
      </c>
    </row>
    <row r="1682" spans="2:3" x14ac:dyDescent="0.3">
      <c r="B1682">
        <v>4511566008</v>
      </c>
      <c r="C1682" t="s">
        <v>18</v>
      </c>
    </row>
    <row r="1683" spans="2:3" x14ac:dyDescent="0.3">
      <c r="B1683">
        <v>4511566008</v>
      </c>
      <c r="C1683" t="s">
        <v>18</v>
      </c>
    </row>
    <row r="1684" spans="2:3" x14ac:dyDescent="0.3">
      <c r="B1684">
        <v>4511566008</v>
      </c>
      <c r="C1684" t="s">
        <v>18</v>
      </c>
    </row>
    <row r="1685" spans="2:3" x14ac:dyDescent="0.3">
      <c r="B1685">
        <v>4511566008</v>
      </c>
      <c r="C1685" t="s">
        <v>18</v>
      </c>
    </row>
    <row r="1686" spans="2:3" x14ac:dyDescent="0.3">
      <c r="B1686">
        <v>4511566008</v>
      </c>
      <c r="C1686" t="s">
        <v>18</v>
      </c>
    </row>
    <row r="1687" spans="2:3" x14ac:dyDescent="0.3">
      <c r="B1687">
        <v>4511566008</v>
      </c>
      <c r="C1687" t="s">
        <v>18</v>
      </c>
    </row>
    <row r="1688" spans="2:3" x14ac:dyDescent="0.3">
      <c r="B1688">
        <v>4511566008</v>
      </c>
      <c r="C1688" t="s">
        <v>18</v>
      </c>
    </row>
    <row r="1689" spans="2:3" x14ac:dyDescent="0.3">
      <c r="B1689">
        <v>4511566008</v>
      </c>
      <c r="C1689" t="s">
        <v>18</v>
      </c>
    </row>
    <row r="1690" spans="2:3" x14ac:dyDescent="0.3">
      <c r="B1690">
        <v>4511566008</v>
      </c>
      <c r="C1690" t="s">
        <v>18</v>
      </c>
    </row>
    <row r="1691" spans="2:3" x14ac:dyDescent="0.3">
      <c r="B1691">
        <v>4511566008</v>
      </c>
      <c r="C1691" t="s">
        <v>18</v>
      </c>
    </row>
    <row r="1692" spans="2:3" x14ac:dyDescent="0.3">
      <c r="B1692">
        <v>4511566008</v>
      </c>
      <c r="C1692" t="s">
        <v>18</v>
      </c>
    </row>
    <row r="1693" spans="2:3" x14ac:dyDescent="0.3">
      <c r="B1693">
        <v>4511566008</v>
      </c>
      <c r="C1693" t="s">
        <v>18</v>
      </c>
    </row>
    <row r="1694" spans="2:3" x14ac:dyDescent="0.3">
      <c r="B1694">
        <v>4511566008</v>
      </c>
      <c r="C1694" t="s">
        <v>18</v>
      </c>
    </row>
    <row r="1695" spans="2:3" x14ac:dyDescent="0.3">
      <c r="B1695">
        <v>4511566008</v>
      </c>
      <c r="C1695" t="s">
        <v>18</v>
      </c>
    </row>
    <row r="1696" spans="2:3" x14ac:dyDescent="0.3">
      <c r="B1696">
        <v>4511566008</v>
      </c>
      <c r="C1696" t="s">
        <v>18</v>
      </c>
    </row>
    <row r="1697" spans="2:3" x14ac:dyDescent="0.3">
      <c r="B1697">
        <v>4511566008</v>
      </c>
      <c r="C1697" t="s">
        <v>18</v>
      </c>
    </row>
    <row r="1698" spans="2:3" x14ac:dyDescent="0.3">
      <c r="B1698">
        <v>4511566008</v>
      </c>
      <c r="C1698" t="s">
        <v>18</v>
      </c>
    </row>
    <row r="1699" spans="2:3" x14ac:dyDescent="0.3">
      <c r="B1699">
        <v>4511566008</v>
      </c>
      <c r="C1699" t="s">
        <v>18</v>
      </c>
    </row>
    <row r="1700" spans="2:3" x14ac:dyDescent="0.3">
      <c r="B1700">
        <v>4511566008</v>
      </c>
      <c r="C1700" t="s">
        <v>18</v>
      </c>
    </row>
    <row r="1701" spans="2:3" x14ac:dyDescent="0.3">
      <c r="B1701">
        <v>4511566008</v>
      </c>
      <c r="C1701" t="s">
        <v>18</v>
      </c>
    </row>
    <row r="1702" spans="2:3" x14ac:dyDescent="0.3">
      <c r="B1702">
        <v>4511566008</v>
      </c>
      <c r="C1702" t="s">
        <v>18</v>
      </c>
    </row>
    <row r="1703" spans="2:3" x14ac:dyDescent="0.3">
      <c r="B1703">
        <v>4511566008</v>
      </c>
      <c r="C1703" t="s">
        <v>18</v>
      </c>
    </row>
    <row r="1704" spans="2:3" x14ac:dyDescent="0.3">
      <c r="B1704">
        <v>4511566008</v>
      </c>
      <c r="C1704" t="s">
        <v>18</v>
      </c>
    </row>
    <row r="1705" spans="2:3" x14ac:dyDescent="0.3">
      <c r="B1705">
        <v>4511566008</v>
      </c>
      <c r="C1705" t="s">
        <v>18</v>
      </c>
    </row>
    <row r="1706" spans="2:3" x14ac:dyDescent="0.3">
      <c r="B1706">
        <v>4511566008</v>
      </c>
      <c r="C1706" t="s">
        <v>18</v>
      </c>
    </row>
    <row r="1707" spans="2:3" x14ac:dyDescent="0.3">
      <c r="B1707">
        <v>4511566008</v>
      </c>
      <c r="C1707" t="s">
        <v>18</v>
      </c>
    </row>
    <row r="1708" spans="2:3" x14ac:dyDescent="0.3">
      <c r="B1708">
        <v>4511566008</v>
      </c>
      <c r="C1708" t="s">
        <v>18</v>
      </c>
    </row>
    <row r="1709" spans="2:3" x14ac:dyDescent="0.3">
      <c r="B1709">
        <v>4511566008</v>
      </c>
      <c r="C1709" t="s">
        <v>18</v>
      </c>
    </row>
    <row r="1710" spans="2:3" x14ac:dyDescent="0.3">
      <c r="B1710">
        <v>4511566008</v>
      </c>
      <c r="C1710" t="s">
        <v>18</v>
      </c>
    </row>
    <row r="1711" spans="2:3" x14ac:dyDescent="0.3">
      <c r="B1711">
        <v>4511566008</v>
      </c>
      <c r="C1711" t="s">
        <v>18</v>
      </c>
    </row>
    <row r="1712" spans="2:3" x14ac:dyDescent="0.3">
      <c r="B1712">
        <v>4511566008</v>
      </c>
      <c r="C1712" t="s">
        <v>18</v>
      </c>
    </row>
    <row r="1713" spans="2:3" x14ac:dyDescent="0.3">
      <c r="B1713">
        <v>4511566008</v>
      </c>
      <c r="C1713" t="s">
        <v>18</v>
      </c>
    </row>
    <row r="1714" spans="2:3" x14ac:dyDescent="0.3">
      <c r="B1714">
        <v>4511566008</v>
      </c>
      <c r="C1714" t="s">
        <v>18</v>
      </c>
    </row>
    <row r="1715" spans="2:3" x14ac:dyDescent="0.3">
      <c r="B1715">
        <v>4511566008</v>
      </c>
      <c r="C1715" t="s">
        <v>18</v>
      </c>
    </row>
    <row r="1716" spans="2:3" x14ac:dyDescent="0.3">
      <c r="B1716">
        <v>4511566008</v>
      </c>
      <c r="C1716" t="s">
        <v>18</v>
      </c>
    </row>
    <row r="1717" spans="2:3" x14ac:dyDescent="0.3">
      <c r="B1717">
        <v>4511566008</v>
      </c>
      <c r="C1717" t="s">
        <v>18</v>
      </c>
    </row>
    <row r="1718" spans="2:3" x14ac:dyDescent="0.3">
      <c r="B1718">
        <v>4511566008</v>
      </c>
      <c r="C1718" t="s">
        <v>18</v>
      </c>
    </row>
    <row r="1719" spans="2:3" x14ac:dyDescent="0.3">
      <c r="B1719">
        <v>4511566008</v>
      </c>
      <c r="C1719" t="s">
        <v>18</v>
      </c>
    </row>
    <row r="1720" spans="2:3" x14ac:dyDescent="0.3">
      <c r="B1720">
        <v>4511566008</v>
      </c>
      <c r="C1720" t="s">
        <v>18</v>
      </c>
    </row>
    <row r="1721" spans="2:3" x14ac:dyDescent="0.3">
      <c r="B1721">
        <v>4511566008</v>
      </c>
      <c r="C1721" t="s">
        <v>18</v>
      </c>
    </row>
    <row r="1722" spans="2:3" x14ac:dyDescent="0.3">
      <c r="B1722">
        <v>4511566008</v>
      </c>
      <c r="C1722" t="s">
        <v>18</v>
      </c>
    </row>
    <row r="1723" spans="2:3" x14ac:dyDescent="0.3">
      <c r="B1723">
        <v>4511566008</v>
      </c>
      <c r="C1723" t="s">
        <v>18</v>
      </c>
    </row>
    <row r="1724" spans="2:3" x14ac:dyDescent="0.3">
      <c r="B1724">
        <v>4511566008</v>
      </c>
      <c r="C1724" t="s">
        <v>18</v>
      </c>
    </row>
    <row r="1725" spans="2:3" x14ac:dyDescent="0.3">
      <c r="B1725">
        <v>4511566008</v>
      </c>
      <c r="C1725" t="s">
        <v>18</v>
      </c>
    </row>
    <row r="1726" spans="2:3" x14ac:dyDescent="0.3">
      <c r="B1726">
        <v>4511566008</v>
      </c>
      <c r="C1726" t="s">
        <v>18</v>
      </c>
    </row>
    <row r="1727" spans="2:3" x14ac:dyDescent="0.3">
      <c r="B1727">
        <v>4511566008</v>
      </c>
      <c r="C1727" t="s">
        <v>18</v>
      </c>
    </row>
    <row r="1728" spans="2:3" x14ac:dyDescent="0.3">
      <c r="B1728">
        <v>4511566008</v>
      </c>
      <c r="C1728" t="s">
        <v>18</v>
      </c>
    </row>
    <row r="1729" spans="2:3" x14ac:dyDescent="0.3">
      <c r="B1729">
        <v>4511566008</v>
      </c>
      <c r="C1729" t="s">
        <v>18</v>
      </c>
    </row>
    <row r="1730" spans="2:3" x14ac:dyDescent="0.3">
      <c r="B1730">
        <v>4511566008</v>
      </c>
      <c r="C1730" t="s">
        <v>18</v>
      </c>
    </row>
    <row r="1731" spans="2:3" x14ac:dyDescent="0.3">
      <c r="B1731">
        <v>4511566008</v>
      </c>
      <c r="C1731" t="s">
        <v>18</v>
      </c>
    </row>
    <row r="1732" spans="2:3" x14ac:dyDescent="0.3">
      <c r="B1732">
        <v>4511566008</v>
      </c>
      <c r="C1732" t="s">
        <v>18</v>
      </c>
    </row>
    <row r="1733" spans="2:3" x14ac:dyDescent="0.3">
      <c r="B1733">
        <v>4511566008</v>
      </c>
      <c r="C1733" t="s">
        <v>18</v>
      </c>
    </row>
    <row r="1734" spans="2:3" x14ac:dyDescent="0.3">
      <c r="B1734">
        <v>4511566008</v>
      </c>
      <c r="C1734" t="s">
        <v>18</v>
      </c>
    </row>
    <row r="1735" spans="2:3" x14ac:dyDescent="0.3">
      <c r="B1735">
        <v>4511566008</v>
      </c>
      <c r="C1735" t="s">
        <v>18</v>
      </c>
    </row>
    <row r="1736" spans="2:3" x14ac:dyDescent="0.3">
      <c r="B1736">
        <v>4511566008</v>
      </c>
      <c r="C1736" t="s">
        <v>18</v>
      </c>
    </row>
    <row r="1737" spans="2:3" x14ac:dyDescent="0.3">
      <c r="B1737">
        <v>4511566008</v>
      </c>
      <c r="C1737" t="s">
        <v>18</v>
      </c>
    </row>
    <row r="1738" spans="2:3" x14ac:dyDescent="0.3">
      <c r="B1738">
        <v>4511566008</v>
      </c>
      <c r="C1738" t="s">
        <v>18</v>
      </c>
    </row>
    <row r="1739" spans="2:3" x14ac:dyDescent="0.3">
      <c r="B1739">
        <v>4511566008</v>
      </c>
      <c r="C1739" t="s">
        <v>18</v>
      </c>
    </row>
    <row r="1740" spans="2:3" x14ac:dyDescent="0.3">
      <c r="B1740">
        <v>4511566008</v>
      </c>
      <c r="C1740" t="s">
        <v>18</v>
      </c>
    </row>
    <row r="1741" spans="2:3" x14ac:dyDescent="0.3">
      <c r="B1741">
        <v>4511566008</v>
      </c>
      <c r="C1741" t="s">
        <v>18</v>
      </c>
    </row>
    <row r="1742" spans="2:3" x14ac:dyDescent="0.3">
      <c r="B1742">
        <v>4511566008</v>
      </c>
      <c r="C1742" t="s">
        <v>18</v>
      </c>
    </row>
    <row r="1743" spans="2:3" x14ac:dyDescent="0.3">
      <c r="B1743">
        <v>4511566008</v>
      </c>
      <c r="C1743" t="s">
        <v>18</v>
      </c>
    </row>
    <row r="1744" spans="2:3" x14ac:dyDescent="0.3">
      <c r="B1744">
        <v>4511566008</v>
      </c>
      <c r="C1744" t="s">
        <v>18</v>
      </c>
    </row>
    <row r="1745" spans="2:3" x14ac:dyDescent="0.3">
      <c r="B1745">
        <v>4511566008</v>
      </c>
      <c r="C1745" t="s">
        <v>18</v>
      </c>
    </row>
    <row r="1746" spans="2:3" x14ac:dyDescent="0.3">
      <c r="B1746">
        <v>4511566008</v>
      </c>
      <c r="C1746" t="s">
        <v>18</v>
      </c>
    </row>
    <row r="1747" spans="2:3" x14ac:dyDescent="0.3">
      <c r="B1747">
        <v>4511566008</v>
      </c>
      <c r="C1747" t="s">
        <v>18</v>
      </c>
    </row>
    <row r="1748" spans="2:3" x14ac:dyDescent="0.3">
      <c r="B1748">
        <v>4511566008</v>
      </c>
      <c r="C1748" t="s">
        <v>18</v>
      </c>
    </row>
    <row r="1749" spans="2:3" x14ac:dyDescent="0.3">
      <c r="B1749">
        <v>4511566008</v>
      </c>
      <c r="C1749" t="s">
        <v>18</v>
      </c>
    </row>
    <row r="1750" spans="2:3" x14ac:dyDescent="0.3">
      <c r="B1750">
        <v>4511566008</v>
      </c>
      <c r="C1750" t="s">
        <v>18</v>
      </c>
    </row>
    <row r="1751" spans="2:3" x14ac:dyDescent="0.3">
      <c r="B1751">
        <v>4511566008</v>
      </c>
      <c r="C1751" t="s">
        <v>18</v>
      </c>
    </row>
    <row r="1752" spans="2:3" x14ac:dyDescent="0.3">
      <c r="B1752">
        <v>4511566008</v>
      </c>
      <c r="C1752" t="s">
        <v>18</v>
      </c>
    </row>
    <row r="1753" spans="2:3" x14ac:dyDescent="0.3">
      <c r="B1753">
        <v>4511566008</v>
      </c>
      <c r="C1753" t="s">
        <v>18</v>
      </c>
    </row>
    <row r="1754" spans="2:3" x14ac:dyDescent="0.3">
      <c r="B1754">
        <v>4511566008</v>
      </c>
      <c r="C1754" t="s">
        <v>18</v>
      </c>
    </row>
    <row r="1755" spans="2:3" x14ac:dyDescent="0.3">
      <c r="B1755">
        <v>4511566008</v>
      </c>
      <c r="C1755" t="s">
        <v>18</v>
      </c>
    </row>
    <row r="1756" spans="2:3" x14ac:dyDescent="0.3">
      <c r="B1756">
        <v>4511566008</v>
      </c>
      <c r="C1756" t="s">
        <v>18</v>
      </c>
    </row>
    <row r="1757" spans="2:3" x14ac:dyDescent="0.3">
      <c r="B1757">
        <v>4511566008</v>
      </c>
      <c r="C1757" t="s">
        <v>18</v>
      </c>
    </row>
    <row r="1758" spans="2:3" x14ac:dyDescent="0.3">
      <c r="B1758">
        <v>4511566008</v>
      </c>
      <c r="C1758" t="s">
        <v>18</v>
      </c>
    </row>
    <row r="1759" spans="2:3" x14ac:dyDescent="0.3">
      <c r="B1759">
        <v>4511566008</v>
      </c>
      <c r="C1759" t="s">
        <v>18</v>
      </c>
    </row>
    <row r="1760" spans="2:3" x14ac:dyDescent="0.3">
      <c r="B1760">
        <v>4511566008</v>
      </c>
      <c r="C1760" t="s">
        <v>18</v>
      </c>
    </row>
    <row r="1761" spans="2:3" x14ac:dyDescent="0.3">
      <c r="B1761">
        <v>4511566008</v>
      </c>
      <c r="C1761" t="s">
        <v>18</v>
      </c>
    </row>
    <row r="1762" spans="2:3" x14ac:dyDescent="0.3">
      <c r="B1762">
        <v>4511566008</v>
      </c>
      <c r="C1762" t="s">
        <v>18</v>
      </c>
    </row>
    <row r="1763" spans="2:3" x14ac:dyDescent="0.3">
      <c r="B1763">
        <v>4511566008</v>
      </c>
      <c r="C1763" t="s">
        <v>18</v>
      </c>
    </row>
    <row r="1764" spans="2:3" x14ac:dyDescent="0.3">
      <c r="B1764">
        <v>4511566008</v>
      </c>
      <c r="C1764" t="s">
        <v>18</v>
      </c>
    </row>
    <row r="1765" spans="2:3" x14ac:dyDescent="0.3">
      <c r="B1765">
        <v>4511566008</v>
      </c>
      <c r="C1765" t="s">
        <v>18</v>
      </c>
    </row>
    <row r="1766" spans="2:3" x14ac:dyDescent="0.3">
      <c r="B1766">
        <v>4511566008</v>
      </c>
      <c r="C1766" t="s">
        <v>18</v>
      </c>
    </row>
    <row r="1767" spans="2:3" x14ac:dyDescent="0.3">
      <c r="B1767">
        <v>4511566008</v>
      </c>
      <c r="C1767" t="s">
        <v>18</v>
      </c>
    </row>
    <row r="1768" spans="2:3" x14ac:dyDescent="0.3">
      <c r="B1768">
        <v>4511566008</v>
      </c>
      <c r="C1768" t="s">
        <v>18</v>
      </c>
    </row>
    <row r="1769" spans="2:3" x14ac:dyDescent="0.3">
      <c r="B1769">
        <v>4511566008</v>
      </c>
      <c r="C1769" t="s">
        <v>18</v>
      </c>
    </row>
    <row r="1770" spans="2:3" x14ac:dyDescent="0.3">
      <c r="B1770">
        <v>4511566008</v>
      </c>
      <c r="C1770" t="s">
        <v>18</v>
      </c>
    </row>
    <row r="1771" spans="2:3" x14ac:dyDescent="0.3">
      <c r="B1771">
        <v>4511566008</v>
      </c>
      <c r="C1771" t="s">
        <v>18</v>
      </c>
    </row>
    <row r="1772" spans="2:3" x14ac:dyDescent="0.3">
      <c r="B1772">
        <v>4511566008</v>
      </c>
      <c r="C1772" t="s">
        <v>18</v>
      </c>
    </row>
    <row r="1773" spans="2:3" x14ac:dyDescent="0.3">
      <c r="B1773">
        <v>4511566008</v>
      </c>
      <c r="C1773" t="s">
        <v>18</v>
      </c>
    </row>
    <row r="1774" spans="2:3" x14ac:dyDescent="0.3">
      <c r="B1774">
        <v>4511566008</v>
      </c>
      <c r="C1774" t="s">
        <v>18</v>
      </c>
    </row>
    <row r="1775" spans="2:3" x14ac:dyDescent="0.3">
      <c r="B1775">
        <v>4511566008</v>
      </c>
      <c r="C1775" t="s">
        <v>18</v>
      </c>
    </row>
    <row r="1776" spans="2:3" x14ac:dyDescent="0.3">
      <c r="B1776">
        <v>4511566008</v>
      </c>
      <c r="C1776" t="s">
        <v>18</v>
      </c>
    </row>
    <row r="1777" spans="2:3" x14ac:dyDescent="0.3">
      <c r="B1777">
        <v>4511566008</v>
      </c>
      <c r="C1777" t="s">
        <v>18</v>
      </c>
    </row>
    <row r="1778" spans="2:3" x14ac:dyDescent="0.3">
      <c r="B1778">
        <v>4511566008</v>
      </c>
      <c r="C1778" t="s">
        <v>18</v>
      </c>
    </row>
    <row r="1779" spans="2:3" x14ac:dyDescent="0.3">
      <c r="B1779">
        <v>4511566008</v>
      </c>
      <c r="C1779" t="s">
        <v>18</v>
      </c>
    </row>
    <row r="1780" spans="2:3" x14ac:dyDescent="0.3">
      <c r="B1780">
        <v>4511566008</v>
      </c>
      <c r="C1780" t="s">
        <v>18</v>
      </c>
    </row>
    <row r="1781" spans="2:3" x14ac:dyDescent="0.3">
      <c r="B1781">
        <v>4511566008</v>
      </c>
      <c r="C1781" t="s">
        <v>18</v>
      </c>
    </row>
    <row r="1782" spans="2:3" x14ac:dyDescent="0.3">
      <c r="B1782">
        <v>4511566008</v>
      </c>
      <c r="C1782" t="s">
        <v>18</v>
      </c>
    </row>
    <row r="1783" spans="2:3" x14ac:dyDescent="0.3">
      <c r="B1783">
        <v>4511566008</v>
      </c>
      <c r="C1783" t="s">
        <v>18</v>
      </c>
    </row>
    <row r="1784" spans="2:3" x14ac:dyDescent="0.3">
      <c r="B1784">
        <v>4511566008</v>
      </c>
      <c r="C1784" t="s">
        <v>18</v>
      </c>
    </row>
    <row r="1785" spans="2:3" x14ac:dyDescent="0.3">
      <c r="B1785">
        <v>4511566008</v>
      </c>
      <c r="C1785" t="s">
        <v>18</v>
      </c>
    </row>
    <row r="1786" spans="2:3" x14ac:dyDescent="0.3">
      <c r="B1786">
        <v>4511566008</v>
      </c>
      <c r="C1786" t="s">
        <v>18</v>
      </c>
    </row>
    <row r="1787" spans="2:3" x14ac:dyDescent="0.3">
      <c r="B1787">
        <v>4511566008</v>
      </c>
      <c r="C1787" t="s">
        <v>18</v>
      </c>
    </row>
    <row r="1788" spans="2:3" x14ac:dyDescent="0.3">
      <c r="B1788">
        <v>4511566008</v>
      </c>
      <c r="C1788" t="s">
        <v>18</v>
      </c>
    </row>
    <row r="1789" spans="2:3" x14ac:dyDescent="0.3">
      <c r="B1789">
        <v>4511566008</v>
      </c>
      <c r="C1789" t="s">
        <v>18</v>
      </c>
    </row>
    <row r="1790" spans="2:3" x14ac:dyDescent="0.3">
      <c r="B1790">
        <v>4511566008</v>
      </c>
      <c r="C1790" t="s">
        <v>18</v>
      </c>
    </row>
    <row r="1791" spans="2:3" x14ac:dyDescent="0.3">
      <c r="B1791">
        <v>4511566008</v>
      </c>
      <c r="C1791" t="s">
        <v>18</v>
      </c>
    </row>
    <row r="1792" spans="2:3" x14ac:dyDescent="0.3">
      <c r="B1792">
        <v>4511566008</v>
      </c>
      <c r="C1792" t="s">
        <v>18</v>
      </c>
    </row>
    <row r="1793" spans="2:3" x14ac:dyDescent="0.3">
      <c r="B1793">
        <v>4511566008</v>
      </c>
      <c r="C1793" t="s">
        <v>18</v>
      </c>
    </row>
    <row r="1794" spans="2:3" x14ac:dyDescent="0.3">
      <c r="B1794">
        <v>4511566008</v>
      </c>
      <c r="C1794" t="s">
        <v>18</v>
      </c>
    </row>
    <row r="1795" spans="2:3" x14ac:dyDescent="0.3">
      <c r="B1795">
        <v>4511566008</v>
      </c>
      <c r="C1795" t="s">
        <v>18</v>
      </c>
    </row>
    <row r="1796" spans="2:3" x14ac:dyDescent="0.3">
      <c r="B1796">
        <v>4511566008</v>
      </c>
      <c r="C1796" t="s">
        <v>18</v>
      </c>
    </row>
    <row r="1797" spans="2:3" x14ac:dyDescent="0.3">
      <c r="B1797">
        <v>4511566008</v>
      </c>
      <c r="C1797" t="s">
        <v>18</v>
      </c>
    </row>
    <row r="1798" spans="2:3" x14ac:dyDescent="0.3">
      <c r="B1798">
        <v>4511566008</v>
      </c>
      <c r="C1798" t="s">
        <v>18</v>
      </c>
    </row>
    <row r="1799" spans="2:3" x14ac:dyDescent="0.3">
      <c r="B1799">
        <v>4511566008</v>
      </c>
      <c r="C1799" t="s">
        <v>18</v>
      </c>
    </row>
    <row r="1800" spans="2:3" x14ac:dyDescent="0.3">
      <c r="B1800">
        <v>4511566008</v>
      </c>
      <c r="C1800" t="s">
        <v>18</v>
      </c>
    </row>
    <row r="1801" spans="2:3" x14ac:dyDescent="0.3">
      <c r="B1801">
        <v>4511566008</v>
      </c>
      <c r="C1801" t="s">
        <v>18</v>
      </c>
    </row>
    <row r="1802" spans="2:3" x14ac:dyDescent="0.3">
      <c r="B1802">
        <v>4511566008</v>
      </c>
      <c r="C1802" t="s">
        <v>18</v>
      </c>
    </row>
    <row r="1803" spans="2:3" x14ac:dyDescent="0.3">
      <c r="B1803">
        <v>4511566008</v>
      </c>
      <c r="C1803" t="s">
        <v>18</v>
      </c>
    </row>
    <row r="1804" spans="2:3" x14ac:dyDescent="0.3">
      <c r="B1804">
        <v>4511566008</v>
      </c>
      <c r="C1804" t="s">
        <v>18</v>
      </c>
    </row>
    <row r="1805" spans="2:3" x14ac:dyDescent="0.3">
      <c r="B1805">
        <v>4511566008</v>
      </c>
      <c r="C1805" t="s">
        <v>18</v>
      </c>
    </row>
    <row r="1806" spans="2:3" x14ac:dyDescent="0.3">
      <c r="B1806">
        <v>4511566008</v>
      </c>
      <c r="C1806" t="s">
        <v>18</v>
      </c>
    </row>
    <row r="1807" spans="2:3" x14ac:dyDescent="0.3">
      <c r="B1807">
        <v>4511566008</v>
      </c>
      <c r="C1807" t="s">
        <v>18</v>
      </c>
    </row>
    <row r="1808" spans="2:3" x14ac:dyDescent="0.3">
      <c r="B1808">
        <v>4511566008</v>
      </c>
      <c r="C1808" t="s">
        <v>18</v>
      </c>
    </row>
    <row r="1809" spans="2:3" x14ac:dyDescent="0.3">
      <c r="B1809">
        <v>4511566008</v>
      </c>
      <c r="C1809" t="s">
        <v>18</v>
      </c>
    </row>
    <row r="1810" spans="2:3" x14ac:dyDescent="0.3">
      <c r="B1810">
        <v>4511566008</v>
      </c>
      <c r="C1810" t="s">
        <v>18</v>
      </c>
    </row>
    <row r="1811" spans="2:3" x14ac:dyDescent="0.3">
      <c r="B1811">
        <v>4511566008</v>
      </c>
      <c r="C1811" t="s">
        <v>18</v>
      </c>
    </row>
    <row r="1812" spans="2:3" x14ac:dyDescent="0.3">
      <c r="B1812">
        <v>4511566008</v>
      </c>
      <c r="C1812" t="s">
        <v>18</v>
      </c>
    </row>
    <row r="1813" spans="2:3" x14ac:dyDescent="0.3">
      <c r="B1813">
        <v>4511566008</v>
      </c>
      <c r="C1813" t="s">
        <v>18</v>
      </c>
    </row>
    <row r="1814" spans="2:3" x14ac:dyDescent="0.3">
      <c r="B1814">
        <v>4511566008</v>
      </c>
      <c r="C1814" t="s">
        <v>18</v>
      </c>
    </row>
    <row r="1815" spans="2:3" x14ac:dyDescent="0.3">
      <c r="B1815">
        <v>4511566008</v>
      </c>
      <c r="C1815" t="s">
        <v>18</v>
      </c>
    </row>
    <row r="1816" spans="2:3" x14ac:dyDescent="0.3">
      <c r="B1816">
        <v>4511566008</v>
      </c>
      <c r="C1816" t="s">
        <v>18</v>
      </c>
    </row>
    <row r="1817" spans="2:3" x14ac:dyDescent="0.3">
      <c r="B1817">
        <v>4511566008</v>
      </c>
      <c r="C1817" t="s">
        <v>18</v>
      </c>
    </row>
    <row r="1818" spans="2:3" x14ac:dyDescent="0.3">
      <c r="B1818">
        <v>4511566008</v>
      </c>
      <c r="C1818" t="s">
        <v>18</v>
      </c>
    </row>
    <row r="1819" spans="2:3" x14ac:dyDescent="0.3">
      <c r="B1819">
        <v>4511566008</v>
      </c>
      <c r="C1819" t="s">
        <v>18</v>
      </c>
    </row>
    <row r="1820" spans="2:3" x14ac:dyDescent="0.3">
      <c r="B1820">
        <v>4511566008</v>
      </c>
      <c r="C1820" t="s">
        <v>18</v>
      </c>
    </row>
    <row r="1821" spans="2:3" x14ac:dyDescent="0.3">
      <c r="B1821">
        <v>4511566008</v>
      </c>
      <c r="C1821" t="s">
        <v>18</v>
      </c>
    </row>
    <row r="1822" spans="2:3" x14ac:dyDescent="0.3">
      <c r="B1822">
        <v>4511566008</v>
      </c>
      <c r="C1822" t="s">
        <v>18</v>
      </c>
    </row>
    <row r="1823" spans="2:3" x14ac:dyDescent="0.3">
      <c r="B1823">
        <v>4511566008</v>
      </c>
      <c r="C1823" t="s">
        <v>18</v>
      </c>
    </row>
    <row r="1824" spans="2:3" x14ac:dyDescent="0.3">
      <c r="B1824">
        <v>4511566008</v>
      </c>
      <c r="C1824" t="s">
        <v>18</v>
      </c>
    </row>
    <row r="1825" spans="2:3" x14ac:dyDescent="0.3">
      <c r="B1825">
        <v>4511566008</v>
      </c>
      <c r="C1825" t="s">
        <v>18</v>
      </c>
    </row>
    <row r="1826" spans="2:3" x14ac:dyDescent="0.3">
      <c r="B1826">
        <v>4511566008</v>
      </c>
      <c r="C1826" t="s">
        <v>18</v>
      </c>
    </row>
    <row r="1827" spans="2:3" x14ac:dyDescent="0.3">
      <c r="B1827">
        <v>4511566008</v>
      </c>
      <c r="C1827" t="s">
        <v>18</v>
      </c>
    </row>
    <row r="1828" spans="2:3" x14ac:dyDescent="0.3">
      <c r="B1828">
        <v>4511566008</v>
      </c>
      <c r="C1828" t="s">
        <v>18</v>
      </c>
    </row>
    <row r="1829" spans="2:3" x14ac:dyDescent="0.3">
      <c r="B1829">
        <v>4511566008</v>
      </c>
      <c r="C1829" t="s">
        <v>18</v>
      </c>
    </row>
    <row r="1830" spans="2:3" x14ac:dyDescent="0.3">
      <c r="B1830">
        <v>4511566008</v>
      </c>
      <c r="C1830" t="s">
        <v>18</v>
      </c>
    </row>
    <row r="1831" spans="2:3" x14ac:dyDescent="0.3">
      <c r="B1831">
        <v>4511566008</v>
      </c>
      <c r="C1831" t="s">
        <v>18</v>
      </c>
    </row>
    <row r="1832" spans="2:3" x14ac:dyDescent="0.3">
      <c r="B1832">
        <v>4511566008</v>
      </c>
      <c r="C1832" t="s">
        <v>18</v>
      </c>
    </row>
    <row r="1833" spans="2:3" x14ac:dyDescent="0.3">
      <c r="B1833">
        <v>4511566008</v>
      </c>
      <c r="C1833" t="s">
        <v>18</v>
      </c>
    </row>
    <row r="1834" spans="2:3" x14ac:dyDescent="0.3">
      <c r="B1834">
        <v>4511566008</v>
      </c>
      <c r="C1834" t="s">
        <v>18</v>
      </c>
    </row>
    <row r="1835" spans="2:3" x14ac:dyDescent="0.3">
      <c r="B1835">
        <v>4511566008</v>
      </c>
      <c r="C1835" t="s">
        <v>18</v>
      </c>
    </row>
    <row r="1836" spans="2:3" x14ac:dyDescent="0.3">
      <c r="B1836">
        <v>4511566008</v>
      </c>
      <c r="C1836" t="s">
        <v>18</v>
      </c>
    </row>
    <row r="1837" spans="2:3" x14ac:dyDescent="0.3">
      <c r="B1837">
        <v>4511566008</v>
      </c>
      <c r="C1837" t="s">
        <v>18</v>
      </c>
    </row>
    <row r="1838" spans="2:3" x14ac:dyDescent="0.3">
      <c r="B1838">
        <v>4511566008</v>
      </c>
      <c r="C1838" t="s">
        <v>18</v>
      </c>
    </row>
    <row r="1839" spans="2:3" x14ac:dyDescent="0.3">
      <c r="B1839">
        <v>4511566008</v>
      </c>
      <c r="C1839" t="s">
        <v>18</v>
      </c>
    </row>
    <row r="1840" spans="2:3" x14ac:dyDescent="0.3">
      <c r="B1840">
        <v>4511566008</v>
      </c>
      <c r="C1840" t="s">
        <v>18</v>
      </c>
    </row>
    <row r="1841" spans="2:3" x14ac:dyDescent="0.3">
      <c r="B1841">
        <v>4511566008</v>
      </c>
      <c r="C1841" t="s">
        <v>18</v>
      </c>
    </row>
    <row r="1842" spans="2:3" x14ac:dyDescent="0.3">
      <c r="B1842">
        <v>4511566008</v>
      </c>
      <c r="C1842" t="s">
        <v>18</v>
      </c>
    </row>
    <row r="1843" spans="2:3" x14ac:dyDescent="0.3">
      <c r="B1843">
        <v>4511566008</v>
      </c>
      <c r="C1843" t="s">
        <v>18</v>
      </c>
    </row>
    <row r="1844" spans="2:3" x14ac:dyDescent="0.3">
      <c r="B1844">
        <v>4511566008</v>
      </c>
      <c r="C1844" t="s">
        <v>18</v>
      </c>
    </row>
    <row r="1845" spans="2:3" x14ac:dyDescent="0.3">
      <c r="B1845">
        <v>4511566008</v>
      </c>
      <c r="C1845" t="s">
        <v>18</v>
      </c>
    </row>
    <row r="1846" spans="2:3" x14ac:dyDescent="0.3">
      <c r="B1846">
        <v>4511566008</v>
      </c>
      <c r="C1846" t="s">
        <v>18</v>
      </c>
    </row>
    <row r="1847" spans="2:3" x14ac:dyDescent="0.3">
      <c r="B1847">
        <v>4511566008</v>
      </c>
      <c r="C1847" t="s">
        <v>18</v>
      </c>
    </row>
    <row r="1848" spans="2:3" x14ac:dyDescent="0.3">
      <c r="B1848">
        <v>4511566008</v>
      </c>
      <c r="C1848" t="s">
        <v>18</v>
      </c>
    </row>
    <row r="1849" spans="2:3" x14ac:dyDescent="0.3">
      <c r="B1849">
        <v>4511566008</v>
      </c>
      <c r="C1849" t="s">
        <v>18</v>
      </c>
    </row>
    <row r="1850" spans="2:3" x14ac:dyDescent="0.3">
      <c r="B1850">
        <v>4511566008</v>
      </c>
      <c r="C1850" t="s">
        <v>18</v>
      </c>
    </row>
    <row r="1851" spans="2:3" x14ac:dyDescent="0.3">
      <c r="B1851">
        <v>4511566008</v>
      </c>
      <c r="C1851" t="s">
        <v>18</v>
      </c>
    </row>
    <row r="1852" spans="2:3" x14ac:dyDescent="0.3">
      <c r="B1852">
        <v>4511566008</v>
      </c>
      <c r="C1852" t="s">
        <v>18</v>
      </c>
    </row>
    <row r="1853" spans="2:3" x14ac:dyDescent="0.3">
      <c r="B1853">
        <v>4511566008</v>
      </c>
      <c r="C1853" t="s">
        <v>18</v>
      </c>
    </row>
    <row r="1854" spans="2:3" x14ac:dyDescent="0.3">
      <c r="B1854">
        <v>4511566008</v>
      </c>
      <c r="C1854" t="s">
        <v>18</v>
      </c>
    </row>
    <row r="1855" spans="2:3" x14ac:dyDescent="0.3">
      <c r="B1855">
        <v>4511566008</v>
      </c>
      <c r="C1855" t="s">
        <v>18</v>
      </c>
    </row>
    <row r="1856" spans="2:3" x14ac:dyDescent="0.3">
      <c r="B1856">
        <v>4511566008</v>
      </c>
      <c r="C1856" t="s">
        <v>18</v>
      </c>
    </row>
    <row r="1857" spans="2:3" x14ac:dyDescent="0.3">
      <c r="B1857">
        <v>4511566008</v>
      </c>
      <c r="C1857" t="s">
        <v>18</v>
      </c>
    </row>
    <row r="1858" spans="2:3" x14ac:dyDescent="0.3">
      <c r="B1858">
        <v>4511566008</v>
      </c>
      <c r="C1858" t="s">
        <v>18</v>
      </c>
    </row>
    <row r="1859" spans="2:3" x14ac:dyDescent="0.3">
      <c r="B1859">
        <v>4511566008</v>
      </c>
      <c r="C1859" t="s">
        <v>18</v>
      </c>
    </row>
    <row r="1860" spans="2:3" x14ac:dyDescent="0.3">
      <c r="B1860">
        <v>4511566008</v>
      </c>
      <c r="C1860" t="s">
        <v>18</v>
      </c>
    </row>
    <row r="1861" spans="2:3" x14ac:dyDescent="0.3">
      <c r="B1861">
        <v>4511566008</v>
      </c>
      <c r="C1861" t="s">
        <v>18</v>
      </c>
    </row>
    <row r="1862" spans="2:3" x14ac:dyDescent="0.3">
      <c r="B1862">
        <v>4511566008</v>
      </c>
      <c r="C1862" t="s">
        <v>18</v>
      </c>
    </row>
    <row r="1863" spans="2:3" x14ac:dyDescent="0.3">
      <c r="B1863">
        <v>4511566008</v>
      </c>
      <c r="C1863" t="s">
        <v>18</v>
      </c>
    </row>
    <row r="1864" spans="2:3" x14ac:dyDescent="0.3">
      <c r="B1864">
        <v>4511566008</v>
      </c>
      <c r="C1864" t="s">
        <v>18</v>
      </c>
    </row>
    <row r="1865" spans="2:3" x14ac:dyDescent="0.3">
      <c r="B1865">
        <v>4511566008</v>
      </c>
      <c r="C1865" t="s">
        <v>18</v>
      </c>
    </row>
    <row r="1866" spans="2:3" x14ac:dyDescent="0.3">
      <c r="B1866">
        <v>4511566008</v>
      </c>
      <c r="C1866" t="s">
        <v>18</v>
      </c>
    </row>
    <row r="1867" spans="2:3" x14ac:dyDescent="0.3">
      <c r="B1867">
        <v>4511566008</v>
      </c>
      <c r="C1867" t="s">
        <v>18</v>
      </c>
    </row>
    <row r="1868" spans="2:3" x14ac:dyDescent="0.3">
      <c r="B1868">
        <v>4511566008</v>
      </c>
      <c r="C1868" t="s">
        <v>18</v>
      </c>
    </row>
    <row r="1869" spans="2:3" x14ac:dyDescent="0.3">
      <c r="B1869">
        <v>4511566008</v>
      </c>
      <c r="C1869" t="s">
        <v>18</v>
      </c>
    </row>
    <row r="1870" spans="2:3" x14ac:dyDescent="0.3">
      <c r="B1870">
        <v>4511566008</v>
      </c>
      <c r="C1870" t="s">
        <v>18</v>
      </c>
    </row>
    <row r="1871" spans="2:3" x14ac:dyDescent="0.3">
      <c r="B1871">
        <v>4511566008</v>
      </c>
      <c r="C1871" t="s">
        <v>18</v>
      </c>
    </row>
    <row r="1872" spans="2:3" x14ac:dyDescent="0.3">
      <c r="B1872">
        <v>4511566008</v>
      </c>
      <c r="C1872" t="s">
        <v>18</v>
      </c>
    </row>
    <row r="1873" spans="2:3" x14ac:dyDescent="0.3">
      <c r="B1873">
        <v>4511566008</v>
      </c>
      <c r="C1873" t="s">
        <v>18</v>
      </c>
    </row>
    <row r="1874" spans="2:3" x14ac:dyDescent="0.3">
      <c r="B1874">
        <v>4511566008</v>
      </c>
      <c r="C1874" t="s">
        <v>18</v>
      </c>
    </row>
    <row r="1875" spans="2:3" x14ac:dyDescent="0.3">
      <c r="B1875">
        <v>4511566008</v>
      </c>
      <c r="C1875" t="s">
        <v>18</v>
      </c>
    </row>
    <row r="1876" spans="2:3" x14ac:dyDescent="0.3">
      <c r="B1876">
        <v>4511566008</v>
      </c>
      <c r="C1876" t="s">
        <v>18</v>
      </c>
    </row>
    <row r="1877" spans="2:3" x14ac:dyDescent="0.3">
      <c r="B1877">
        <v>4511566008</v>
      </c>
      <c r="C1877" t="s">
        <v>18</v>
      </c>
    </row>
    <row r="1878" spans="2:3" x14ac:dyDescent="0.3">
      <c r="B1878">
        <v>4511566008</v>
      </c>
      <c r="C1878" t="s">
        <v>18</v>
      </c>
    </row>
    <row r="1879" spans="2:3" x14ac:dyDescent="0.3">
      <c r="B1879">
        <v>4511566008</v>
      </c>
      <c r="C1879" t="s">
        <v>18</v>
      </c>
    </row>
    <row r="1880" spans="2:3" x14ac:dyDescent="0.3">
      <c r="B1880">
        <v>4511566008</v>
      </c>
      <c r="C1880" t="s">
        <v>18</v>
      </c>
    </row>
    <row r="1881" spans="2:3" x14ac:dyDescent="0.3">
      <c r="B1881">
        <v>4511566008</v>
      </c>
      <c r="C1881" t="s">
        <v>18</v>
      </c>
    </row>
    <row r="1882" spans="2:3" x14ac:dyDescent="0.3">
      <c r="B1882">
        <v>4511566008</v>
      </c>
      <c r="C1882" t="s">
        <v>18</v>
      </c>
    </row>
    <row r="1883" spans="2:3" x14ac:dyDescent="0.3">
      <c r="B1883">
        <v>4511566008</v>
      </c>
      <c r="C1883" t="s">
        <v>18</v>
      </c>
    </row>
    <row r="1884" spans="2:3" x14ac:dyDescent="0.3">
      <c r="B1884">
        <v>4511566008</v>
      </c>
      <c r="C1884" t="s">
        <v>18</v>
      </c>
    </row>
    <row r="1885" spans="2:3" x14ac:dyDescent="0.3">
      <c r="B1885">
        <v>4511566008</v>
      </c>
      <c r="C1885" t="s">
        <v>18</v>
      </c>
    </row>
    <row r="1886" spans="2:3" x14ac:dyDescent="0.3">
      <c r="B1886">
        <v>4511566008</v>
      </c>
      <c r="C1886" t="s">
        <v>18</v>
      </c>
    </row>
    <row r="1887" spans="2:3" x14ac:dyDescent="0.3">
      <c r="B1887">
        <v>4511566008</v>
      </c>
      <c r="C1887" t="s">
        <v>18</v>
      </c>
    </row>
    <row r="1888" spans="2:3" x14ac:dyDescent="0.3">
      <c r="B1888">
        <v>4511566008</v>
      </c>
      <c r="C1888" t="s">
        <v>18</v>
      </c>
    </row>
    <row r="1889" spans="2:3" x14ac:dyDescent="0.3">
      <c r="B1889">
        <v>4511566008</v>
      </c>
      <c r="C1889" t="s">
        <v>18</v>
      </c>
    </row>
    <row r="1890" spans="2:3" x14ac:dyDescent="0.3">
      <c r="B1890">
        <v>4511566008</v>
      </c>
      <c r="C1890" t="s">
        <v>18</v>
      </c>
    </row>
    <row r="1891" spans="2:3" x14ac:dyDescent="0.3">
      <c r="B1891">
        <v>4511566008</v>
      </c>
      <c r="C1891" t="s">
        <v>18</v>
      </c>
    </row>
    <row r="1892" spans="2:3" x14ac:dyDescent="0.3">
      <c r="B1892">
        <v>4511566008</v>
      </c>
      <c r="C1892" t="s">
        <v>18</v>
      </c>
    </row>
    <row r="1893" spans="2:3" x14ac:dyDescent="0.3">
      <c r="B1893">
        <v>4511566008</v>
      </c>
      <c r="C1893" t="s">
        <v>18</v>
      </c>
    </row>
    <row r="1894" spans="2:3" x14ac:dyDescent="0.3">
      <c r="B1894">
        <v>4511566008</v>
      </c>
      <c r="C1894" t="s">
        <v>18</v>
      </c>
    </row>
    <row r="1895" spans="2:3" x14ac:dyDescent="0.3">
      <c r="B1895">
        <v>4511566008</v>
      </c>
      <c r="C1895" t="s">
        <v>18</v>
      </c>
    </row>
    <row r="1896" spans="2:3" x14ac:dyDescent="0.3">
      <c r="B1896">
        <v>4511566008</v>
      </c>
      <c r="C1896" t="s">
        <v>18</v>
      </c>
    </row>
    <row r="1897" spans="2:3" x14ac:dyDescent="0.3">
      <c r="B1897">
        <v>4511566008</v>
      </c>
      <c r="C1897" t="s">
        <v>18</v>
      </c>
    </row>
    <row r="1898" spans="2:3" x14ac:dyDescent="0.3">
      <c r="B1898">
        <v>4511566008</v>
      </c>
      <c r="C1898" t="s">
        <v>18</v>
      </c>
    </row>
    <row r="1899" spans="2:3" x14ac:dyDescent="0.3">
      <c r="B1899">
        <v>4511566008</v>
      </c>
      <c r="C1899" t="s">
        <v>18</v>
      </c>
    </row>
    <row r="1900" spans="2:3" x14ac:dyDescent="0.3">
      <c r="B1900">
        <v>4511566008</v>
      </c>
      <c r="C1900" t="s">
        <v>18</v>
      </c>
    </row>
    <row r="1901" spans="2:3" x14ac:dyDescent="0.3">
      <c r="B1901">
        <v>4511565941</v>
      </c>
      <c r="C1901" t="s">
        <v>18</v>
      </c>
    </row>
    <row r="1902" spans="2:3" x14ac:dyDescent="0.3">
      <c r="B1902">
        <v>4511565941</v>
      </c>
      <c r="C1902" t="s">
        <v>18</v>
      </c>
    </row>
    <row r="1903" spans="2:3" x14ac:dyDescent="0.3">
      <c r="B1903">
        <v>4511565941</v>
      </c>
      <c r="C1903" t="s">
        <v>18</v>
      </c>
    </row>
    <row r="1904" spans="2:3" x14ac:dyDescent="0.3">
      <c r="B1904">
        <v>4511565941</v>
      </c>
      <c r="C1904" t="s">
        <v>18</v>
      </c>
    </row>
    <row r="1905" spans="2:3" x14ac:dyDescent="0.3">
      <c r="B1905">
        <v>4511565941</v>
      </c>
      <c r="C1905" t="s">
        <v>18</v>
      </c>
    </row>
    <row r="1906" spans="2:3" x14ac:dyDescent="0.3">
      <c r="B1906">
        <v>4511565941</v>
      </c>
      <c r="C1906" t="s">
        <v>18</v>
      </c>
    </row>
    <row r="1907" spans="2:3" x14ac:dyDescent="0.3">
      <c r="B1907">
        <v>4511565941</v>
      </c>
      <c r="C1907" t="s">
        <v>18</v>
      </c>
    </row>
    <row r="1908" spans="2:3" x14ac:dyDescent="0.3">
      <c r="B1908">
        <v>4511565941</v>
      </c>
      <c r="C1908" t="s">
        <v>18</v>
      </c>
    </row>
    <row r="1909" spans="2:3" x14ac:dyDescent="0.3">
      <c r="B1909">
        <v>4511565941</v>
      </c>
      <c r="C1909" t="s">
        <v>18</v>
      </c>
    </row>
    <row r="1910" spans="2:3" x14ac:dyDescent="0.3">
      <c r="B1910">
        <v>4511565919</v>
      </c>
      <c r="C1910" t="s">
        <v>30</v>
      </c>
    </row>
    <row r="1911" spans="2:3" x14ac:dyDescent="0.3">
      <c r="B1911">
        <v>4511565883</v>
      </c>
      <c r="C1911" t="s">
        <v>18</v>
      </c>
    </row>
    <row r="1912" spans="2:3" x14ac:dyDescent="0.3">
      <c r="B1912">
        <v>4511565883</v>
      </c>
      <c r="C1912" t="s">
        <v>18</v>
      </c>
    </row>
    <row r="1913" spans="2:3" x14ac:dyDescent="0.3">
      <c r="B1913">
        <v>4511565883</v>
      </c>
      <c r="C1913" t="s">
        <v>18</v>
      </c>
    </row>
    <row r="1914" spans="2:3" x14ac:dyDescent="0.3">
      <c r="B1914">
        <v>4511565883</v>
      </c>
      <c r="C1914" t="s">
        <v>18</v>
      </c>
    </row>
    <row r="1915" spans="2:3" x14ac:dyDescent="0.3">
      <c r="B1915">
        <v>4511565883</v>
      </c>
      <c r="C1915" t="s">
        <v>18</v>
      </c>
    </row>
    <row r="1916" spans="2:3" x14ac:dyDescent="0.3">
      <c r="B1916">
        <v>4511565883</v>
      </c>
      <c r="C1916" t="s">
        <v>18</v>
      </c>
    </row>
    <row r="1917" spans="2:3" x14ac:dyDescent="0.3">
      <c r="B1917">
        <v>4511565883</v>
      </c>
      <c r="C1917" t="s">
        <v>18</v>
      </c>
    </row>
    <row r="1918" spans="2:3" x14ac:dyDescent="0.3">
      <c r="B1918">
        <v>4511565883</v>
      </c>
      <c r="C1918" t="s">
        <v>18</v>
      </c>
    </row>
    <row r="1919" spans="2:3" x14ac:dyDescent="0.3">
      <c r="B1919">
        <v>4511565883</v>
      </c>
      <c r="C1919" t="s">
        <v>18</v>
      </c>
    </row>
    <row r="1920" spans="2:3" x14ac:dyDescent="0.3">
      <c r="B1920">
        <v>4511565883</v>
      </c>
      <c r="C1920" t="s">
        <v>18</v>
      </c>
    </row>
    <row r="1921" spans="2:3" x14ac:dyDescent="0.3">
      <c r="B1921">
        <v>4511565883</v>
      </c>
      <c r="C1921" t="s">
        <v>18</v>
      </c>
    </row>
    <row r="1922" spans="2:3" x14ac:dyDescent="0.3">
      <c r="B1922">
        <v>4511565883</v>
      </c>
      <c r="C1922" t="s">
        <v>18</v>
      </c>
    </row>
    <row r="1923" spans="2:3" x14ac:dyDescent="0.3">
      <c r="B1923">
        <v>4511565883</v>
      </c>
      <c r="C1923" t="s">
        <v>18</v>
      </c>
    </row>
    <row r="1924" spans="2:3" x14ac:dyDescent="0.3">
      <c r="B1924">
        <v>4511565883</v>
      </c>
      <c r="C1924" t="s">
        <v>18</v>
      </c>
    </row>
    <row r="1925" spans="2:3" x14ac:dyDescent="0.3">
      <c r="B1925">
        <v>4511565883</v>
      </c>
      <c r="C1925" t="s">
        <v>18</v>
      </c>
    </row>
    <row r="1926" spans="2:3" x14ac:dyDescent="0.3">
      <c r="B1926">
        <v>4511565883</v>
      </c>
      <c r="C1926" t="s">
        <v>18</v>
      </c>
    </row>
    <row r="1927" spans="2:3" x14ac:dyDescent="0.3">
      <c r="B1927">
        <v>4511565709</v>
      </c>
      <c r="C1927" t="s">
        <v>30</v>
      </c>
    </row>
    <row r="1928" spans="2:3" x14ac:dyDescent="0.3">
      <c r="B1928">
        <v>4511565689</v>
      </c>
      <c r="C1928" t="s">
        <v>30</v>
      </c>
    </row>
    <row r="1929" spans="2:3" x14ac:dyDescent="0.3">
      <c r="B1929">
        <v>4511565482</v>
      </c>
      <c r="C1929" t="s">
        <v>18</v>
      </c>
    </row>
    <row r="1930" spans="2:3" x14ac:dyDescent="0.3">
      <c r="B1930">
        <v>4511565482</v>
      </c>
      <c r="C1930" t="s">
        <v>18</v>
      </c>
    </row>
    <row r="1931" spans="2:3" x14ac:dyDescent="0.3">
      <c r="B1931">
        <v>4511565482</v>
      </c>
      <c r="C1931" t="s">
        <v>18</v>
      </c>
    </row>
    <row r="1932" spans="2:3" x14ac:dyDescent="0.3">
      <c r="B1932">
        <v>4511565482</v>
      </c>
      <c r="C1932" t="s">
        <v>18</v>
      </c>
    </row>
    <row r="1933" spans="2:3" x14ac:dyDescent="0.3">
      <c r="B1933">
        <v>4511565482</v>
      </c>
      <c r="C1933" t="s">
        <v>18</v>
      </c>
    </row>
    <row r="1934" spans="2:3" x14ac:dyDescent="0.3">
      <c r="B1934">
        <v>4511565482</v>
      </c>
      <c r="C1934" t="s">
        <v>18</v>
      </c>
    </row>
    <row r="1935" spans="2:3" x14ac:dyDescent="0.3">
      <c r="B1935">
        <v>4511565482</v>
      </c>
      <c r="C1935" t="s">
        <v>18</v>
      </c>
    </row>
    <row r="1936" spans="2:3" x14ac:dyDescent="0.3">
      <c r="B1936">
        <v>4511565482</v>
      </c>
      <c r="C1936" t="s">
        <v>18</v>
      </c>
    </row>
    <row r="1937" spans="2:3" x14ac:dyDescent="0.3">
      <c r="B1937">
        <v>4511565482</v>
      </c>
      <c r="C1937" t="s">
        <v>18</v>
      </c>
    </row>
    <row r="1938" spans="2:3" x14ac:dyDescent="0.3">
      <c r="B1938">
        <v>4511565420</v>
      </c>
      <c r="C1938" t="s">
        <v>30</v>
      </c>
    </row>
    <row r="1939" spans="2:3" x14ac:dyDescent="0.3">
      <c r="B1939">
        <v>4511565420</v>
      </c>
      <c r="C1939" t="s">
        <v>30</v>
      </c>
    </row>
    <row r="1940" spans="2:3" x14ac:dyDescent="0.3">
      <c r="B1940">
        <v>4511565420</v>
      </c>
      <c r="C1940" t="s">
        <v>30</v>
      </c>
    </row>
    <row r="1941" spans="2:3" x14ac:dyDescent="0.3">
      <c r="B1941">
        <v>4511565353</v>
      </c>
      <c r="C1941" t="s">
        <v>18</v>
      </c>
    </row>
    <row r="1942" spans="2:3" x14ac:dyDescent="0.3">
      <c r="B1942">
        <v>4511565353</v>
      </c>
      <c r="C1942" t="s">
        <v>18</v>
      </c>
    </row>
    <row r="1943" spans="2:3" x14ac:dyDescent="0.3">
      <c r="B1943">
        <v>4511565353</v>
      </c>
      <c r="C1943" t="s">
        <v>18</v>
      </c>
    </row>
    <row r="1944" spans="2:3" x14ac:dyDescent="0.3">
      <c r="B1944">
        <v>4511565353</v>
      </c>
      <c r="C1944" t="s">
        <v>18</v>
      </c>
    </row>
    <row r="1945" spans="2:3" x14ac:dyDescent="0.3">
      <c r="B1945">
        <v>4511565353</v>
      </c>
      <c r="C1945" t="s">
        <v>18</v>
      </c>
    </row>
    <row r="1946" spans="2:3" x14ac:dyDescent="0.3">
      <c r="B1946">
        <v>4511565353</v>
      </c>
      <c r="C1946" t="s">
        <v>18</v>
      </c>
    </row>
    <row r="1947" spans="2:3" x14ac:dyDescent="0.3">
      <c r="B1947">
        <v>4511565353</v>
      </c>
      <c r="C1947" t="s">
        <v>18</v>
      </c>
    </row>
    <row r="1948" spans="2:3" x14ac:dyDescent="0.3">
      <c r="B1948">
        <v>4511565353</v>
      </c>
      <c r="C1948" t="s">
        <v>18</v>
      </c>
    </row>
    <row r="1949" spans="2:3" x14ac:dyDescent="0.3">
      <c r="B1949">
        <v>4511565353</v>
      </c>
      <c r="C1949" t="s">
        <v>18</v>
      </c>
    </row>
    <row r="1950" spans="2:3" x14ac:dyDescent="0.3">
      <c r="B1950">
        <v>4511565353</v>
      </c>
      <c r="C1950" t="s">
        <v>18</v>
      </c>
    </row>
    <row r="1951" spans="2:3" x14ac:dyDescent="0.3">
      <c r="B1951">
        <v>4511565353</v>
      </c>
      <c r="C1951" t="s">
        <v>18</v>
      </c>
    </row>
    <row r="1952" spans="2:3" x14ac:dyDescent="0.3">
      <c r="B1952">
        <v>4511565353</v>
      </c>
      <c r="C1952" t="s">
        <v>18</v>
      </c>
    </row>
    <row r="1953" spans="2:3" x14ac:dyDescent="0.3">
      <c r="B1953">
        <v>4511565353</v>
      </c>
      <c r="C1953" t="s">
        <v>18</v>
      </c>
    </row>
    <row r="1954" spans="2:3" x14ac:dyDescent="0.3">
      <c r="B1954">
        <v>4511565353</v>
      </c>
      <c r="C1954" t="s">
        <v>18</v>
      </c>
    </row>
    <row r="1955" spans="2:3" x14ac:dyDescent="0.3">
      <c r="B1955">
        <v>4511565353</v>
      </c>
      <c r="C1955" t="s">
        <v>18</v>
      </c>
    </row>
    <row r="1956" spans="2:3" x14ac:dyDescent="0.3">
      <c r="B1956">
        <v>4511565353</v>
      </c>
      <c r="C1956" t="s">
        <v>18</v>
      </c>
    </row>
    <row r="1957" spans="2:3" x14ac:dyDescent="0.3">
      <c r="B1957">
        <v>4511565353</v>
      </c>
      <c r="C1957" t="s">
        <v>18</v>
      </c>
    </row>
    <row r="1958" spans="2:3" x14ac:dyDescent="0.3">
      <c r="B1958">
        <v>4511565353</v>
      </c>
      <c r="C1958" t="s">
        <v>18</v>
      </c>
    </row>
    <row r="1959" spans="2:3" x14ac:dyDescent="0.3">
      <c r="B1959">
        <v>4511565353</v>
      </c>
      <c r="C1959" t="s">
        <v>18</v>
      </c>
    </row>
    <row r="1960" spans="2:3" x14ac:dyDescent="0.3">
      <c r="B1960">
        <v>4511565353</v>
      </c>
      <c r="C1960" t="s">
        <v>18</v>
      </c>
    </row>
    <row r="1961" spans="2:3" x14ac:dyDescent="0.3">
      <c r="B1961">
        <v>4511565353</v>
      </c>
      <c r="C1961" t="s">
        <v>18</v>
      </c>
    </row>
    <row r="1962" spans="2:3" x14ac:dyDescent="0.3">
      <c r="B1962">
        <v>4511565353</v>
      </c>
      <c r="C1962" t="s">
        <v>18</v>
      </c>
    </row>
    <row r="1963" spans="2:3" x14ac:dyDescent="0.3">
      <c r="B1963">
        <v>4511565353</v>
      </c>
      <c r="C1963" t="s">
        <v>18</v>
      </c>
    </row>
    <row r="1964" spans="2:3" x14ac:dyDescent="0.3">
      <c r="B1964">
        <v>4511565353</v>
      </c>
      <c r="C1964" t="s">
        <v>18</v>
      </c>
    </row>
    <row r="1965" spans="2:3" x14ac:dyDescent="0.3">
      <c r="B1965">
        <v>4511565353</v>
      </c>
      <c r="C1965" t="s">
        <v>18</v>
      </c>
    </row>
    <row r="1966" spans="2:3" x14ac:dyDescent="0.3">
      <c r="B1966">
        <v>4511565353</v>
      </c>
      <c r="C1966" t="s">
        <v>18</v>
      </c>
    </row>
    <row r="1967" spans="2:3" x14ac:dyDescent="0.3">
      <c r="B1967">
        <v>4511565353</v>
      </c>
      <c r="C1967" t="s">
        <v>18</v>
      </c>
    </row>
    <row r="1968" spans="2:3" x14ac:dyDescent="0.3">
      <c r="B1968">
        <v>4511565353</v>
      </c>
      <c r="C1968" t="s">
        <v>18</v>
      </c>
    </row>
    <row r="1969" spans="2:3" x14ac:dyDescent="0.3">
      <c r="B1969">
        <v>4511565353</v>
      </c>
      <c r="C1969" t="s">
        <v>18</v>
      </c>
    </row>
    <row r="1970" spans="2:3" x14ac:dyDescent="0.3">
      <c r="B1970">
        <v>4511565353</v>
      </c>
      <c r="C1970" t="s">
        <v>18</v>
      </c>
    </row>
    <row r="1971" spans="2:3" x14ac:dyDescent="0.3">
      <c r="B1971">
        <v>4511565353</v>
      </c>
      <c r="C1971" t="s">
        <v>18</v>
      </c>
    </row>
    <row r="1972" spans="2:3" x14ac:dyDescent="0.3">
      <c r="B1972">
        <v>4511565353</v>
      </c>
      <c r="C1972" t="s">
        <v>18</v>
      </c>
    </row>
    <row r="1973" spans="2:3" x14ac:dyDescent="0.3">
      <c r="B1973">
        <v>4511565353</v>
      </c>
      <c r="C1973" t="s">
        <v>18</v>
      </c>
    </row>
    <row r="1974" spans="2:3" x14ac:dyDescent="0.3">
      <c r="B1974">
        <v>4511565353</v>
      </c>
      <c r="C1974" t="s">
        <v>18</v>
      </c>
    </row>
    <row r="1975" spans="2:3" x14ac:dyDescent="0.3">
      <c r="B1975">
        <v>4511565353</v>
      </c>
      <c r="C1975" t="s">
        <v>18</v>
      </c>
    </row>
    <row r="1976" spans="2:3" x14ac:dyDescent="0.3">
      <c r="B1976">
        <v>4511565353</v>
      </c>
      <c r="C1976" t="s">
        <v>18</v>
      </c>
    </row>
    <row r="1977" spans="2:3" x14ac:dyDescent="0.3">
      <c r="B1977">
        <v>4511565353</v>
      </c>
      <c r="C1977" t="s">
        <v>18</v>
      </c>
    </row>
    <row r="1978" spans="2:3" x14ac:dyDescent="0.3">
      <c r="B1978">
        <v>4511565353</v>
      </c>
      <c r="C1978" t="s">
        <v>18</v>
      </c>
    </row>
    <row r="1979" spans="2:3" x14ac:dyDescent="0.3">
      <c r="B1979">
        <v>4511565353</v>
      </c>
      <c r="C1979" t="s">
        <v>18</v>
      </c>
    </row>
    <row r="1980" spans="2:3" x14ac:dyDescent="0.3">
      <c r="B1980">
        <v>4511565353</v>
      </c>
      <c r="C1980" t="s">
        <v>18</v>
      </c>
    </row>
    <row r="1981" spans="2:3" x14ac:dyDescent="0.3">
      <c r="B1981">
        <v>4511565353</v>
      </c>
      <c r="C1981" t="s">
        <v>18</v>
      </c>
    </row>
    <row r="1982" spans="2:3" x14ac:dyDescent="0.3">
      <c r="B1982">
        <v>4511565353</v>
      </c>
      <c r="C1982" t="s">
        <v>18</v>
      </c>
    </row>
    <row r="1983" spans="2:3" x14ac:dyDescent="0.3">
      <c r="B1983">
        <v>4511565353</v>
      </c>
      <c r="C1983" t="s">
        <v>18</v>
      </c>
    </row>
    <row r="1984" spans="2:3" x14ac:dyDescent="0.3">
      <c r="B1984">
        <v>4511565353</v>
      </c>
      <c r="C1984" t="s">
        <v>18</v>
      </c>
    </row>
    <row r="1985" spans="2:3" x14ac:dyDescent="0.3">
      <c r="B1985">
        <v>4511565353</v>
      </c>
      <c r="C1985" t="s">
        <v>18</v>
      </c>
    </row>
    <row r="1986" spans="2:3" x14ac:dyDescent="0.3">
      <c r="B1986">
        <v>4511565353</v>
      </c>
      <c r="C1986" t="s">
        <v>18</v>
      </c>
    </row>
    <row r="1987" spans="2:3" x14ac:dyDescent="0.3">
      <c r="B1987">
        <v>4511565353</v>
      </c>
      <c r="C1987" t="s">
        <v>18</v>
      </c>
    </row>
    <row r="1988" spans="2:3" x14ac:dyDescent="0.3">
      <c r="B1988">
        <v>4511565353</v>
      </c>
      <c r="C1988" t="s">
        <v>18</v>
      </c>
    </row>
    <row r="1989" spans="2:3" x14ac:dyDescent="0.3">
      <c r="B1989">
        <v>4511565353</v>
      </c>
      <c r="C1989" t="s">
        <v>18</v>
      </c>
    </row>
    <row r="1990" spans="2:3" x14ac:dyDescent="0.3">
      <c r="B1990">
        <v>4511565353</v>
      </c>
      <c r="C1990" t="s">
        <v>18</v>
      </c>
    </row>
    <row r="1991" spans="2:3" x14ac:dyDescent="0.3">
      <c r="B1991">
        <v>4511565353</v>
      </c>
      <c r="C1991" t="s">
        <v>18</v>
      </c>
    </row>
    <row r="1992" spans="2:3" x14ac:dyDescent="0.3">
      <c r="B1992">
        <v>4511565353</v>
      </c>
      <c r="C1992" t="s">
        <v>18</v>
      </c>
    </row>
    <row r="1993" spans="2:3" x14ac:dyDescent="0.3">
      <c r="B1993">
        <v>4511565353</v>
      </c>
      <c r="C1993" t="s">
        <v>18</v>
      </c>
    </row>
    <row r="1994" spans="2:3" x14ac:dyDescent="0.3">
      <c r="B1994">
        <v>4511565353</v>
      </c>
      <c r="C1994" t="s">
        <v>18</v>
      </c>
    </row>
    <row r="1995" spans="2:3" x14ac:dyDescent="0.3">
      <c r="B1995">
        <v>4511565353</v>
      </c>
      <c r="C1995" t="s">
        <v>18</v>
      </c>
    </row>
    <row r="1996" spans="2:3" x14ac:dyDescent="0.3">
      <c r="B1996">
        <v>4511565353</v>
      </c>
      <c r="C1996" t="s">
        <v>18</v>
      </c>
    </row>
    <row r="1997" spans="2:3" x14ac:dyDescent="0.3">
      <c r="B1997">
        <v>4511565353</v>
      </c>
      <c r="C1997" t="s">
        <v>18</v>
      </c>
    </row>
    <row r="1998" spans="2:3" x14ac:dyDescent="0.3">
      <c r="B1998">
        <v>4511565353</v>
      </c>
      <c r="C1998" t="s">
        <v>18</v>
      </c>
    </row>
    <row r="1999" spans="2:3" x14ac:dyDescent="0.3">
      <c r="B1999">
        <v>4511565353</v>
      </c>
      <c r="C1999" t="s">
        <v>18</v>
      </c>
    </row>
    <row r="2000" spans="2:3" x14ac:dyDescent="0.3">
      <c r="B2000">
        <v>4511565353</v>
      </c>
      <c r="C2000" t="s">
        <v>18</v>
      </c>
    </row>
    <row r="2001" spans="2:3" x14ac:dyDescent="0.3">
      <c r="B2001">
        <v>4511565353</v>
      </c>
      <c r="C2001" t="s">
        <v>18</v>
      </c>
    </row>
    <row r="2002" spans="2:3" x14ac:dyDescent="0.3">
      <c r="B2002">
        <v>4511565353</v>
      </c>
      <c r="C2002" t="s">
        <v>18</v>
      </c>
    </row>
    <row r="2003" spans="2:3" x14ac:dyDescent="0.3">
      <c r="B2003">
        <v>4511565353</v>
      </c>
      <c r="C2003" t="s">
        <v>18</v>
      </c>
    </row>
    <row r="2004" spans="2:3" x14ac:dyDescent="0.3">
      <c r="B2004">
        <v>4511565353</v>
      </c>
      <c r="C2004" t="s">
        <v>18</v>
      </c>
    </row>
    <row r="2005" spans="2:3" x14ac:dyDescent="0.3">
      <c r="B2005">
        <v>4511565353</v>
      </c>
      <c r="C2005" t="s">
        <v>18</v>
      </c>
    </row>
    <row r="2006" spans="2:3" x14ac:dyDescent="0.3">
      <c r="B2006">
        <v>4511565353</v>
      </c>
      <c r="C2006" t="s">
        <v>18</v>
      </c>
    </row>
    <row r="2007" spans="2:3" x14ac:dyDescent="0.3">
      <c r="B2007">
        <v>4511565353</v>
      </c>
      <c r="C2007" t="s">
        <v>18</v>
      </c>
    </row>
    <row r="2008" spans="2:3" x14ac:dyDescent="0.3">
      <c r="B2008">
        <v>4511565353</v>
      </c>
      <c r="C2008" t="s">
        <v>18</v>
      </c>
    </row>
    <row r="2009" spans="2:3" x14ac:dyDescent="0.3">
      <c r="B2009">
        <v>4511565353</v>
      </c>
      <c r="C2009" t="s">
        <v>18</v>
      </c>
    </row>
    <row r="2010" spans="2:3" x14ac:dyDescent="0.3">
      <c r="B2010">
        <v>4511565353</v>
      </c>
      <c r="C2010" t="s">
        <v>18</v>
      </c>
    </row>
    <row r="2011" spans="2:3" x14ac:dyDescent="0.3">
      <c r="B2011">
        <v>4511565353</v>
      </c>
      <c r="C2011" t="s">
        <v>18</v>
      </c>
    </row>
    <row r="2012" spans="2:3" x14ac:dyDescent="0.3">
      <c r="B2012">
        <v>4511565353</v>
      </c>
      <c r="C2012" t="s">
        <v>18</v>
      </c>
    </row>
    <row r="2013" spans="2:3" x14ac:dyDescent="0.3">
      <c r="B2013">
        <v>4511565353</v>
      </c>
      <c r="C2013" t="s">
        <v>18</v>
      </c>
    </row>
    <row r="2014" spans="2:3" x14ac:dyDescent="0.3">
      <c r="B2014">
        <v>4511565353</v>
      </c>
      <c r="C2014" t="s">
        <v>18</v>
      </c>
    </row>
    <row r="2015" spans="2:3" x14ac:dyDescent="0.3">
      <c r="B2015">
        <v>4511565353</v>
      </c>
      <c r="C2015" t="s">
        <v>18</v>
      </c>
    </row>
    <row r="2016" spans="2:3" x14ac:dyDescent="0.3">
      <c r="B2016">
        <v>4511565353</v>
      </c>
      <c r="C2016" t="s">
        <v>18</v>
      </c>
    </row>
    <row r="2017" spans="2:3" x14ac:dyDescent="0.3">
      <c r="B2017">
        <v>4511565353</v>
      </c>
      <c r="C2017" t="s">
        <v>18</v>
      </c>
    </row>
    <row r="2018" spans="2:3" x14ac:dyDescent="0.3">
      <c r="B2018">
        <v>4511565353</v>
      </c>
      <c r="C2018" t="s">
        <v>18</v>
      </c>
    </row>
    <row r="2019" spans="2:3" x14ac:dyDescent="0.3">
      <c r="B2019">
        <v>4511565353</v>
      </c>
      <c r="C2019" t="s">
        <v>18</v>
      </c>
    </row>
    <row r="2020" spans="2:3" x14ac:dyDescent="0.3">
      <c r="B2020">
        <v>4511565353</v>
      </c>
      <c r="C2020" t="s">
        <v>18</v>
      </c>
    </row>
    <row r="2021" spans="2:3" x14ac:dyDescent="0.3">
      <c r="B2021">
        <v>4511565353</v>
      </c>
      <c r="C2021" t="s">
        <v>18</v>
      </c>
    </row>
    <row r="2022" spans="2:3" x14ac:dyDescent="0.3">
      <c r="B2022">
        <v>4511565353</v>
      </c>
      <c r="C2022" t="s">
        <v>18</v>
      </c>
    </row>
    <row r="2023" spans="2:3" x14ac:dyDescent="0.3">
      <c r="B2023">
        <v>4511565353</v>
      </c>
      <c r="C2023" t="s">
        <v>18</v>
      </c>
    </row>
    <row r="2024" spans="2:3" x14ac:dyDescent="0.3">
      <c r="B2024">
        <v>4511565353</v>
      </c>
      <c r="C2024" t="s">
        <v>18</v>
      </c>
    </row>
    <row r="2025" spans="2:3" x14ac:dyDescent="0.3">
      <c r="B2025">
        <v>4511565353</v>
      </c>
      <c r="C2025" t="s">
        <v>18</v>
      </c>
    </row>
    <row r="2026" spans="2:3" x14ac:dyDescent="0.3">
      <c r="B2026">
        <v>4511565353</v>
      </c>
      <c r="C2026" t="s">
        <v>18</v>
      </c>
    </row>
    <row r="2027" spans="2:3" x14ac:dyDescent="0.3">
      <c r="B2027">
        <v>4511565353</v>
      </c>
      <c r="C2027" t="s">
        <v>18</v>
      </c>
    </row>
    <row r="2028" spans="2:3" x14ac:dyDescent="0.3">
      <c r="B2028">
        <v>4511565353</v>
      </c>
      <c r="C2028" t="s">
        <v>18</v>
      </c>
    </row>
    <row r="2029" spans="2:3" x14ac:dyDescent="0.3">
      <c r="B2029">
        <v>4511565250</v>
      </c>
      <c r="C2029" t="s">
        <v>18</v>
      </c>
    </row>
    <row r="2030" spans="2:3" x14ac:dyDescent="0.3">
      <c r="B2030">
        <v>4511565250</v>
      </c>
      <c r="C2030" t="s">
        <v>18</v>
      </c>
    </row>
    <row r="2031" spans="2:3" x14ac:dyDescent="0.3">
      <c r="B2031">
        <v>4520094942</v>
      </c>
      <c r="C2031" t="s">
        <v>30</v>
      </c>
    </row>
    <row r="2032" spans="2:3" x14ac:dyDescent="0.3">
      <c r="B2032">
        <v>4520094942</v>
      </c>
      <c r="C2032" t="s">
        <v>30</v>
      </c>
    </row>
    <row r="2033" spans="2:3" x14ac:dyDescent="0.3">
      <c r="B2033">
        <v>4520094942</v>
      </c>
      <c r="C2033" t="s">
        <v>30</v>
      </c>
    </row>
    <row r="2034" spans="2:3" x14ac:dyDescent="0.3">
      <c r="B2034">
        <v>4511565188</v>
      </c>
      <c r="C2034" t="s">
        <v>30</v>
      </c>
    </row>
    <row r="2035" spans="2:3" x14ac:dyDescent="0.3">
      <c r="B2035">
        <v>4511565188</v>
      </c>
      <c r="C2035" t="s">
        <v>30</v>
      </c>
    </row>
    <row r="2036" spans="2:3" x14ac:dyDescent="0.3">
      <c r="B2036">
        <v>4511565182</v>
      </c>
      <c r="C2036" t="s">
        <v>30</v>
      </c>
    </row>
    <row r="2037" spans="2:3" x14ac:dyDescent="0.3">
      <c r="B2037">
        <v>4511565001</v>
      </c>
      <c r="C2037" t="s">
        <v>30</v>
      </c>
    </row>
    <row r="2038" spans="2:3" x14ac:dyDescent="0.3">
      <c r="B2038">
        <v>4511565001</v>
      </c>
      <c r="C2038" t="s">
        <v>30</v>
      </c>
    </row>
    <row r="2039" spans="2:3" x14ac:dyDescent="0.3">
      <c r="B2039">
        <v>4511565001</v>
      </c>
      <c r="C2039" t="s">
        <v>30</v>
      </c>
    </row>
    <row r="2040" spans="2:3" x14ac:dyDescent="0.3">
      <c r="B2040">
        <v>4511565001</v>
      </c>
      <c r="C2040" t="s">
        <v>30</v>
      </c>
    </row>
    <row r="2041" spans="2:3" x14ac:dyDescent="0.3">
      <c r="B2041">
        <v>4511565001</v>
      </c>
      <c r="C2041" t="s">
        <v>30</v>
      </c>
    </row>
    <row r="2042" spans="2:3" x14ac:dyDescent="0.3">
      <c r="B2042">
        <v>4511565001</v>
      </c>
      <c r="C2042" t="s">
        <v>30</v>
      </c>
    </row>
    <row r="2043" spans="2:3" x14ac:dyDescent="0.3">
      <c r="B2043">
        <v>4511565001</v>
      </c>
      <c r="C2043" t="s">
        <v>30</v>
      </c>
    </row>
    <row r="2044" spans="2:3" x14ac:dyDescent="0.3">
      <c r="B2044">
        <v>4511565001</v>
      </c>
      <c r="C2044" t="s">
        <v>30</v>
      </c>
    </row>
    <row r="2045" spans="2:3" x14ac:dyDescent="0.3">
      <c r="B2045">
        <v>4511565001</v>
      </c>
      <c r="C2045" t="s">
        <v>30</v>
      </c>
    </row>
    <row r="2046" spans="2:3" x14ac:dyDescent="0.3">
      <c r="B2046">
        <v>4511565001</v>
      </c>
      <c r="C2046" t="s">
        <v>30</v>
      </c>
    </row>
    <row r="2047" spans="2:3" x14ac:dyDescent="0.3">
      <c r="B2047">
        <v>4511565001</v>
      </c>
      <c r="C2047" t="s">
        <v>30</v>
      </c>
    </row>
    <row r="2048" spans="2:3" x14ac:dyDescent="0.3">
      <c r="B2048">
        <v>4511565001</v>
      </c>
      <c r="C2048" t="s">
        <v>30</v>
      </c>
    </row>
    <row r="2049" spans="2:3" x14ac:dyDescent="0.3">
      <c r="B2049">
        <v>4511565001</v>
      </c>
      <c r="C2049" t="s">
        <v>30</v>
      </c>
    </row>
    <row r="2050" spans="2:3" x14ac:dyDescent="0.3">
      <c r="B2050">
        <v>4511565001</v>
      </c>
      <c r="C2050" t="s">
        <v>30</v>
      </c>
    </row>
    <row r="2051" spans="2:3" x14ac:dyDescent="0.3">
      <c r="B2051">
        <v>4511565001</v>
      </c>
      <c r="C2051" t="s">
        <v>30</v>
      </c>
    </row>
    <row r="2052" spans="2:3" x14ac:dyDescent="0.3">
      <c r="B2052">
        <v>4511565001</v>
      </c>
      <c r="C2052" t="s">
        <v>30</v>
      </c>
    </row>
    <row r="2053" spans="2:3" x14ac:dyDescent="0.3">
      <c r="B2053">
        <v>4511564990</v>
      </c>
      <c r="C2053" t="s">
        <v>30</v>
      </c>
    </row>
    <row r="2054" spans="2:3" x14ac:dyDescent="0.3">
      <c r="B2054">
        <v>4511564990</v>
      </c>
      <c r="C2054" t="s">
        <v>30</v>
      </c>
    </row>
    <row r="2055" spans="2:3" x14ac:dyDescent="0.3">
      <c r="B2055">
        <v>4511564990</v>
      </c>
      <c r="C2055" t="s">
        <v>30</v>
      </c>
    </row>
    <row r="2056" spans="2:3" x14ac:dyDescent="0.3">
      <c r="B2056">
        <v>4511564990</v>
      </c>
      <c r="C2056" t="s">
        <v>30</v>
      </c>
    </row>
    <row r="2057" spans="2:3" x14ac:dyDescent="0.3">
      <c r="B2057">
        <v>4511564990</v>
      </c>
      <c r="C2057" t="s">
        <v>30</v>
      </c>
    </row>
    <row r="2058" spans="2:3" x14ac:dyDescent="0.3">
      <c r="B2058">
        <v>4511564903</v>
      </c>
      <c r="C2058" t="s">
        <v>20</v>
      </c>
    </row>
    <row r="2059" spans="2:3" x14ac:dyDescent="0.3">
      <c r="B2059">
        <v>4511564517</v>
      </c>
      <c r="C2059" t="s">
        <v>37</v>
      </c>
    </row>
    <row r="2060" spans="2:3" x14ac:dyDescent="0.3">
      <c r="B2060">
        <v>4511564517</v>
      </c>
      <c r="C2060" t="s">
        <v>37</v>
      </c>
    </row>
    <row r="2061" spans="2:3" x14ac:dyDescent="0.3">
      <c r="B2061">
        <v>4511564517</v>
      </c>
      <c r="C2061" t="s">
        <v>37</v>
      </c>
    </row>
    <row r="2062" spans="2:3" x14ac:dyDescent="0.3">
      <c r="B2062">
        <v>4511564517</v>
      </c>
      <c r="C2062" t="s">
        <v>37</v>
      </c>
    </row>
    <row r="2063" spans="2:3" x14ac:dyDescent="0.3">
      <c r="B2063">
        <v>4511564517</v>
      </c>
      <c r="C2063" t="s">
        <v>37</v>
      </c>
    </row>
    <row r="2064" spans="2:3" x14ac:dyDescent="0.3">
      <c r="B2064">
        <v>4511564517</v>
      </c>
      <c r="C2064" t="s">
        <v>37</v>
      </c>
    </row>
    <row r="2065" spans="2:3" x14ac:dyDescent="0.3">
      <c r="B2065">
        <v>4511564517</v>
      </c>
      <c r="C2065" t="s">
        <v>37</v>
      </c>
    </row>
    <row r="2066" spans="2:3" x14ac:dyDescent="0.3">
      <c r="B2066">
        <v>4511564517</v>
      </c>
      <c r="C2066" t="s">
        <v>37</v>
      </c>
    </row>
    <row r="2067" spans="2:3" x14ac:dyDescent="0.3">
      <c r="B2067">
        <v>4511564284</v>
      </c>
      <c r="C2067" t="s">
        <v>18</v>
      </c>
    </row>
    <row r="2068" spans="2:3" x14ac:dyDescent="0.3">
      <c r="B2068">
        <v>4511564284</v>
      </c>
      <c r="C2068" t="s">
        <v>18</v>
      </c>
    </row>
    <row r="2069" spans="2:3" x14ac:dyDescent="0.3">
      <c r="B2069">
        <v>4511564284</v>
      </c>
      <c r="C2069" t="s">
        <v>18</v>
      </c>
    </row>
    <row r="2070" spans="2:3" x14ac:dyDescent="0.3">
      <c r="B2070">
        <v>4511564284</v>
      </c>
      <c r="C2070" t="s">
        <v>18</v>
      </c>
    </row>
    <row r="2071" spans="2:3" x14ac:dyDescent="0.3">
      <c r="B2071">
        <v>4511564284</v>
      </c>
      <c r="C2071" t="s">
        <v>18</v>
      </c>
    </row>
    <row r="2072" spans="2:3" x14ac:dyDescent="0.3">
      <c r="B2072">
        <v>4511564284</v>
      </c>
      <c r="C2072" t="s">
        <v>18</v>
      </c>
    </row>
    <row r="2073" spans="2:3" x14ac:dyDescent="0.3">
      <c r="B2073">
        <v>4511564284</v>
      </c>
      <c r="C2073" t="s">
        <v>18</v>
      </c>
    </row>
    <row r="2074" spans="2:3" x14ac:dyDescent="0.3">
      <c r="B2074">
        <v>4511564284</v>
      </c>
      <c r="C2074" t="s">
        <v>18</v>
      </c>
    </row>
    <row r="2075" spans="2:3" x14ac:dyDescent="0.3">
      <c r="B2075">
        <v>4511564284</v>
      </c>
      <c r="C2075" t="s">
        <v>18</v>
      </c>
    </row>
    <row r="2076" spans="2:3" x14ac:dyDescent="0.3">
      <c r="B2076">
        <v>4511564284</v>
      </c>
      <c r="C2076" t="s">
        <v>18</v>
      </c>
    </row>
    <row r="2077" spans="2:3" x14ac:dyDescent="0.3">
      <c r="B2077">
        <v>4511564284</v>
      </c>
      <c r="C2077" t="s">
        <v>18</v>
      </c>
    </row>
    <row r="2078" spans="2:3" x14ac:dyDescent="0.3">
      <c r="B2078">
        <v>4511564284</v>
      </c>
      <c r="C2078" t="s">
        <v>18</v>
      </c>
    </row>
    <row r="2079" spans="2:3" x14ac:dyDescent="0.3">
      <c r="B2079">
        <v>4511564284</v>
      </c>
      <c r="C2079" t="s">
        <v>18</v>
      </c>
    </row>
    <row r="2080" spans="2:3" x14ac:dyDescent="0.3">
      <c r="B2080">
        <v>4511564284</v>
      </c>
      <c r="C2080" t="s">
        <v>18</v>
      </c>
    </row>
    <row r="2081" spans="2:3" x14ac:dyDescent="0.3">
      <c r="B2081">
        <v>4511564284</v>
      </c>
      <c r="C2081" t="s">
        <v>18</v>
      </c>
    </row>
    <row r="2082" spans="2:3" x14ac:dyDescent="0.3">
      <c r="B2082">
        <v>4511564284</v>
      </c>
      <c r="C2082" t="s">
        <v>18</v>
      </c>
    </row>
    <row r="2083" spans="2:3" x14ac:dyDescent="0.3">
      <c r="B2083">
        <v>4511564284</v>
      </c>
      <c r="C2083" t="s">
        <v>18</v>
      </c>
    </row>
    <row r="2084" spans="2:3" x14ac:dyDescent="0.3">
      <c r="B2084">
        <v>4511564284</v>
      </c>
      <c r="C2084" t="s">
        <v>18</v>
      </c>
    </row>
    <row r="2085" spans="2:3" x14ac:dyDescent="0.3">
      <c r="B2085">
        <v>4511563992</v>
      </c>
      <c r="C2085" t="s">
        <v>18</v>
      </c>
    </row>
    <row r="2086" spans="2:3" x14ac:dyDescent="0.3">
      <c r="B2086">
        <v>4511563740</v>
      </c>
      <c r="C2086" t="s">
        <v>30</v>
      </c>
    </row>
    <row r="2087" spans="2:3" x14ac:dyDescent="0.3">
      <c r="B2087">
        <v>4511563740</v>
      </c>
      <c r="C2087" t="s">
        <v>30</v>
      </c>
    </row>
    <row r="2088" spans="2:3" x14ac:dyDescent="0.3">
      <c r="B2088">
        <v>4511563740</v>
      </c>
      <c r="C2088" t="s">
        <v>30</v>
      </c>
    </row>
    <row r="2089" spans="2:3" x14ac:dyDescent="0.3">
      <c r="B2089">
        <v>4511563182</v>
      </c>
      <c r="C2089" t="s">
        <v>20</v>
      </c>
    </row>
    <row r="2090" spans="2:3" x14ac:dyDescent="0.3">
      <c r="B2090">
        <v>4511563182</v>
      </c>
      <c r="C2090" t="s">
        <v>20</v>
      </c>
    </row>
    <row r="2091" spans="2:3" x14ac:dyDescent="0.3">
      <c r="B2091">
        <v>4511563182</v>
      </c>
      <c r="C2091" t="s">
        <v>20</v>
      </c>
    </row>
    <row r="2092" spans="2:3" x14ac:dyDescent="0.3">
      <c r="B2092">
        <v>4511563182</v>
      </c>
      <c r="C2092" t="s">
        <v>20</v>
      </c>
    </row>
    <row r="2093" spans="2:3" x14ac:dyDescent="0.3">
      <c r="B2093">
        <v>4511563182</v>
      </c>
      <c r="C2093" t="s">
        <v>20</v>
      </c>
    </row>
    <row r="2094" spans="2:3" x14ac:dyDescent="0.3">
      <c r="B2094">
        <v>4511562060</v>
      </c>
      <c r="C2094" t="s">
        <v>30</v>
      </c>
    </row>
    <row r="2095" spans="2:3" x14ac:dyDescent="0.3">
      <c r="B2095">
        <v>4511562060</v>
      </c>
      <c r="C2095" t="s">
        <v>30</v>
      </c>
    </row>
    <row r="2096" spans="2:3" x14ac:dyDescent="0.3">
      <c r="B2096">
        <v>4511562060</v>
      </c>
      <c r="C2096" t="s">
        <v>30</v>
      </c>
    </row>
    <row r="2097" spans="2:3" x14ac:dyDescent="0.3">
      <c r="B2097">
        <v>4511562060</v>
      </c>
      <c r="C2097" t="s">
        <v>30</v>
      </c>
    </row>
    <row r="2098" spans="2:3" x14ac:dyDescent="0.3">
      <c r="B2098">
        <v>4511562060</v>
      </c>
      <c r="C2098" t="s">
        <v>30</v>
      </c>
    </row>
    <row r="2099" spans="2:3" x14ac:dyDescent="0.3">
      <c r="B2099">
        <v>4511562060</v>
      </c>
      <c r="C2099" t="s">
        <v>30</v>
      </c>
    </row>
    <row r="2100" spans="2:3" x14ac:dyDescent="0.3">
      <c r="B2100">
        <v>4511562060</v>
      </c>
      <c r="C2100" t="s">
        <v>30</v>
      </c>
    </row>
    <row r="2101" spans="2:3" x14ac:dyDescent="0.3">
      <c r="B2101">
        <v>4511562060</v>
      </c>
      <c r="C2101" t="s">
        <v>30</v>
      </c>
    </row>
    <row r="2102" spans="2:3" x14ac:dyDescent="0.3">
      <c r="B2102">
        <v>4511562060</v>
      </c>
      <c r="C2102" t="s">
        <v>30</v>
      </c>
    </row>
    <row r="2103" spans="2:3" x14ac:dyDescent="0.3">
      <c r="B2103">
        <v>4511562060</v>
      </c>
      <c r="C2103" t="s">
        <v>30</v>
      </c>
    </row>
    <row r="2104" spans="2:3" x14ac:dyDescent="0.3">
      <c r="B2104">
        <v>4511562060</v>
      </c>
      <c r="C2104" t="s">
        <v>30</v>
      </c>
    </row>
    <row r="2105" spans="2:3" x14ac:dyDescent="0.3">
      <c r="B2105">
        <v>4511562060</v>
      </c>
      <c r="C2105" t="s">
        <v>30</v>
      </c>
    </row>
    <row r="2106" spans="2:3" x14ac:dyDescent="0.3">
      <c r="B2106">
        <v>4511562060</v>
      </c>
      <c r="C2106" t="s">
        <v>30</v>
      </c>
    </row>
    <row r="2107" spans="2:3" x14ac:dyDescent="0.3">
      <c r="B2107">
        <v>4511562060</v>
      </c>
      <c r="C2107" t="s">
        <v>30</v>
      </c>
    </row>
    <row r="2108" spans="2:3" x14ac:dyDescent="0.3">
      <c r="B2108">
        <v>4511561663</v>
      </c>
      <c r="C2108" t="s">
        <v>20</v>
      </c>
    </row>
    <row r="2109" spans="2:3" x14ac:dyDescent="0.3">
      <c r="B2109">
        <v>4511561663</v>
      </c>
      <c r="C2109" t="s">
        <v>20</v>
      </c>
    </row>
    <row r="2110" spans="2:3" x14ac:dyDescent="0.3">
      <c r="B2110">
        <v>4511561663</v>
      </c>
      <c r="C2110" t="s">
        <v>20</v>
      </c>
    </row>
    <row r="2111" spans="2:3" x14ac:dyDescent="0.3">
      <c r="B2111">
        <v>4511561663</v>
      </c>
      <c r="C2111" t="s">
        <v>20</v>
      </c>
    </row>
    <row r="2112" spans="2:3" x14ac:dyDescent="0.3">
      <c r="B2112">
        <v>4511561663</v>
      </c>
      <c r="C2112" t="s">
        <v>20</v>
      </c>
    </row>
    <row r="2113" spans="2:3" x14ac:dyDescent="0.3">
      <c r="B2113">
        <v>4511561663</v>
      </c>
      <c r="C2113" t="s">
        <v>20</v>
      </c>
    </row>
    <row r="2114" spans="2:3" x14ac:dyDescent="0.3">
      <c r="B2114">
        <v>4511561663</v>
      </c>
      <c r="C2114" t="s">
        <v>20</v>
      </c>
    </row>
    <row r="2115" spans="2:3" x14ac:dyDescent="0.3">
      <c r="B2115">
        <v>4511561663</v>
      </c>
      <c r="C2115" t="s">
        <v>20</v>
      </c>
    </row>
    <row r="2116" spans="2:3" x14ac:dyDescent="0.3">
      <c r="B2116">
        <v>4511561663</v>
      </c>
      <c r="C2116" t="s">
        <v>20</v>
      </c>
    </row>
    <row r="2117" spans="2:3" x14ac:dyDescent="0.3">
      <c r="B2117">
        <v>4511561663</v>
      </c>
      <c r="C2117" t="s">
        <v>20</v>
      </c>
    </row>
    <row r="2118" spans="2:3" x14ac:dyDescent="0.3">
      <c r="B2118">
        <v>4511561153</v>
      </c>
      <c r="C2118" t="s">
        <v>20</v>
      </c>
    </row>
    <row r="2119" spans="2:3" x14ac:dyDescent="0.3">
      <c r="B2119">
        <v>4511560831</v>
      </c>
      <c r="C2119" t="s">
        <v>30</v>
      </c>
    </row>
    <row r="2120" spans="2:3" x14ac:dyDescent="0.3">
      <c r="B2120">
        <v>4511560831</v>
      </c>
      <c r="C2120" t="s">
        <v>30</v>
      </c>
    </row>
    <row r="2121" spans="2:3" x14ac:dyDescent="0.3">
      <c r="B2121">
        <v>4511560831</v>
      </c>
      <c r="C2121" t="s">
        <v>30</v>
      </c>
    </row>
    <row r="2122" spans="2:3" x14ac:dyDescent="0.3">
      <c r="B2122">
        <v>4511560831</v>
      </c>
      <c r="C2122" t="s">
        <v>30</v>
      </c>
    </row>
    <row r="2123" spans="2:3" x14ac:dyDescent="0.3">
      <c r="B2123">
        <v>4511560831</v>
      </c>
      <c r="C2123" t="s">
        <v>30</v>
      </c>
    </row>
    <row r="2124" spans="2:3" x14ac:dyDescent="0.3">
      <c r="B2124">
        <v>4511560831</v>
      </c>
      <c r="C2124" t="s">
        <v>30</v>
      </c>
    </row>
    <row r="2125" spans="2:3" x14ac:dyDescent="0.3">
      <c r="B2125">
        <v>4511560831</v>
      </c>
      <c r="C2125" t="s">
        <v>30</v>
      </c>
    </row>
    <row r="2126" spans="2:3" x14ac:dyDescent="0.3">
      <c r="B2126">
        <v>4511560831</v>
      </c>
      <c r="C2126" t="s">
        <v>30</v>
      </c>
    </row>
    <row r="2127" spans="2:3" x14ac:dyDescent="0.3">
      <c r="B2127">
        <v>4511560831</v>
      </c>
      <c r="C2127" t="s">
        <v>30</v>
      </c>
    </row>
    <row r="2128" spans="2:3" x14ac:dyDescent="0.3">
      <c r="B2128">
        <v>4511560816</v>
      </c>
      <c r="C2128" t="s">
        <v>18</v>
      </c>
    </row>
    <row r="2129" spans="2:3" x14ac:dyDescent="0.3">
      <c r="B2129">
        <v>4511560357</v>
      </c>
      <c r="C2129" t="s">
        <v>18</v>
      </c>
    </row>
    <row r="2130" spans="2:3" x14ac:dyDescent="0.3">
      <c r="B2130">
        <v>4511560050</v>
      </c>
      <c r="C2130" t="s">
        <v>30</v>
      </c>
    </row>
    <row r="2131" spans="2:3" x14ac:dyDescent="0.3">
      <c r="B2131">
        <v>4511559255</v>
      </c>
      <c r="C2131" t="s">
        <v>18</v>
      </c>
    </row>
    <row r="2132" spans="2:3" x14ac:dyDescent="0.3">
      <c r="B2132">
        <v>4511538552</v>
      </c>
      <c r="C2132" t="s">
        <v>30</v>
      </c>
    </row>
    <row r="2133" spans="2:3" x14ac:dyDescent="0.3">
      <c r="B2133">
        <v>4511538552</v>
      </c>
      <c r="C2133" t="s">
        <v>30</v>
      </c>
    </row>
    <row r="2134" spans="2:3" x14ac:dyDescent="0.3">
      <c r="B2134">
        <v>4511538552</v>
      </c>
      <c r="C2134" t="s">
        <v>30</v>
      </c>
    </row>
    <row r="2135" spans="2:3" x14ac:dyDescent="0.3">
      <c r="B2135">
        <v>4511538552</v>
      </c>
      <c r="C2135" t="s">
        <v>30</v>
      </c>
    </row>
    <row r="2136" spans="2:3" x14ac:dyDescent="0.3">
      <c r="B2136">
        <v>4511520480</v>
      </c>
      <c r="C2136" t="s">
        <v>30</v>
      </c>
    </row>
    <row r="2137" spans="2:3" x14ac:dyDescent="0.3">
      <c r="B2137">
        <v>4511520480</v>
      </c>
      <c r="C2137" t="s">
        <v>30</v>
      </c>
    </row>
    <row r="2138" spans="2:3" x14ac:dyDescent="0.3">
      <c r="B2138">
        <v>4511520480</v>
      </c>
      <c r="C2138" t="s">
        <v>30</v>
      </c>
    </row>
    <row r="2139" spans="2:3" x14ac:dyDescent="0.3">
      <c r="B2139">
        <v>4511520480</v>
      </c>
      <c r="C2139" t="s">
        <v>30</v>
      </c>
    </row>
    <row r="2140" spans="2:3" x14ac:dyDescent="0.3">
      <c r="B2140">
        <v>4511574256</v>
      </c>
      <c r="C2140" t="s">
        <v>20</v>
      </c>
    </row>
    <row r="2141" spans="2:3" x14ac:dyDescent="0.3">
      <c r="B2141">
        <v>4511574245</v>
      </c>
      <c r="C2141" t="s">
        <v>37</v>
      </c>
    </row>
    <row r="2142" spans="2:3" x14ac:dyDescent="0.3">
      <c r="B2142">
        <v>4511574245</v>
      </c>
      <c r="C2142" t="s">
        <v>37</v>
      </c>
    </row>
    <row r="2143" spans="2:3" x14ac:dyDescent="0.3">
      <c r="B2143">
        <v>4511574245</v>
      </c>
      <c r="C2143" t="s">
        <v>37</v>
      </c>
    </row>
    <row r="2144" spans="2:3" x14ac:dyDescent="0.3">
      <c r="B2144">
        <v>4511574239</v>
      </c>
      <c r="C2144" t="s">
        <v>20</v>
      </c>
    </row>
    <row r="2145" spans="2:3" x14ac:dyDescent="0.3">
      <c r="B2145">
        <v>4511574239</v>
      </c>
      <c r="C2145" t="s">
        <v>20</v>
      </c>
    </row>
    <row r="2146" spans="2:3" x14ac:dyDescent="0.3">
      <c r="B2146">
        <v>4511574239</v>
      </c>
      <c r="C2146" t="s">
        <v>20</v>
      </c>
    </row>
    <row r="2147" spans="2:3" x14ac:dyDescent="0.3">
      <c r="B2147">
        <v>4511574239</v>
      </c>
      <c r="C2147" t="s">
        <v>20</v>
      </c>
    </row>
    <row r="2148" spans="2:3" x14ac:dyDescent="0.3">
      <c r="B2148">
        <v>4511574239</v>
      </c>
      <c r="C2148" t="s">
        <v>20</v>
      </c>
    </row>
    <row r="2149" spans="2:3" x14ac:dyDescent="0.3">
      <c r="B2149">
        <v>4511574239</v>
      </c>
      <c r="C2149" t="s">
        <v>20</v>
      </c>
    </row>
    <row r="2150" spans="2:3" x14ac:dyDescent="0.3">
      <c r="B2150">
        <v>4511574239</v>
      </c>
      <c r="C2150" t="s">
        <v>20</v>
      </c>
    </row>
    <row r="2151" spans="2:3" x14ac:dyDescent="0.3">
      <c r="B2151">
        <v>4511574134</v>
      </c>
      <c r="C2151" t="s">
        <v>20</v>
      </c>
    </row>
    <row r="2152" spans="2:3" x14ac:dyDescent="0.3">
      <c r="B2152">
        <v>4511574134</v>
      </c>
      <c r="C2152" t="s">
        <v>20</v>
      </c>
    </row>
    <row r="2153" spans="2:3" x14ac:dyDescent="0.3">
      <c r="B2153">
        <v>4511574105</v>
      </c>
      <c r="C2153" t="s">
        <v>37</v>
      </c>
    </row>
    <row r="2154" spans="2:3" x14ac:dyDescent="0.3">
      <c r="B2154">
        <v>4511574105</v>
      </c>
      <c r="C2154" t="s">
        <v>37</v>
      </c>
    </row>
    <row r="2155" spans="2:3" x14ac:dyDescent="0.3">
      <c r="B2155">
        <v>4511573960</v>
      </c>
      <c r="C2155" t="s">
        <v>37</v>
      </c>
    </row>
    <row r="2156" spans="2:3" x14ac:dyDescent="0.3">
      <c r="B2156">
        <v>4511573960</v>
      </c>
      <c r="C2156" t="s">
        <v>37</v>
      </c>
    </row>
    <row r="2157" spans="2:3" x14ac:dyDescent="0.3">
      <c r="B2157">
        <v>4511573960</v>
      </c>
      <c r="C2157" t="s">
        <v>37</v>
      </c>
    </row>
    <row r="2158" spans="2:3" x14ac:dyDescent="0.3">
      <c r="B2158">
        <v>4511573960</v>
      </c>
      <c r="C2158" t="s">
        <v>37</v>
      </c>
    </row>
    <row r="2159" spans="2:3" x14ac:dyDescent="0.3">
      <c r="B2159">
        <v>4511573960</v>
      </c>
      <c r="C2159" t="s">
        <v>37</v>
      </c>
    </row>
    <row r="2160" spans="2:3" x14ac:dyDescent="0.3">
      <c r="B2160">
        <v>4511573960</v>
      </c>
      <c r="C2160" t="s">
        <v>37</v>
      </c>
    </row>
    <row r="2161" spans="2:3" x14ac:dyDescent="0.3">
      <c r="B2161">
        <v>4511573958</v>
      </c>
      <c r="C2161" t="s">
        <v>20</v>
      </c>
    </row>
    <row r="2162" spans="2:3" x14ac:dyDescent="0.3">
      <c r="B2162">
        <v>4511573958</v>
      </c>
      <c r="C2162" t="s">
        <v>20</v>
      </c>
    </row>
    <row r="2163" spans="2:3" x14ac:dyDescent="0.3">
      <c r="B2163">
        <v>4511573949</v>
      </c>
      <c r="C2163" t="s">
        <v>37</v>
      </c>
    </row>
    <row r="2164" spans="2:3" x14ac:dyDescent="0.3">
      <c r="B2164">
        <v>4511573949</v>
      </c>
      <c r="C2164" t="s">
        <v>37</v>
      </c>
    </row>
    <row r="2165" spans="2:3" x14ac:dyDescent="0.3">
      <c r="B2165">
        <v>4511573949</v>
      </c>
      <c r="C2165" t="s">
        <v>37</v>
      </c>
    </row>
    <row r="2166" spans="2:3" x14ac:dyDescent="0.3">
      <c r="B2166">
        <v>4511573938</v>
      </c>
      <c r="C2166" t="s">
        <v>37</v>
      </c>
    </row>
    <row r="2167" spans="2:3" x14ac:dyDescent="0.3">
      <c r="B2167">
        <v>4511573938</v>
      </c>
      <c r="C2167" t="s">
        <v>37</v>
      </c>
    </row>
    <row r="2168" spans="2:3" x14ac:dyDescent="0.3">
      <c r="B2168">
        <v>4511573857</v>
      </c>
      <c r="C2168" t="s">
        <v>30</v>
      </c>
    </row>
    <row r="2169" spans="2:3" x14ac:dyDescent="0.3">
      <c r="B2169">
        <v>4511573825</v>
      </c>
      <c r="C2169" t="s">
        <v>37</v>
      </c>
    </row>
    <row r="2170" spans="2:3" x14ac:dyDescent="0.3">
      <c r="B2170">
        <v>4511573825</v>
      </c>
      <c r="C2170" t="s">
        <v>37</v>
      </c>
    </row>
    <row r="2171" spans="2:3" x14ac:dyDescent="0.3">
      <c r="B2171">
        <v>4511573825</v>
      </c>
      <c r="C2171" t="s">
        <v>37</v>
      </c>
    </row>
    <row r="2172" spans="2:3" x14ac:dyDescent="0.3">
      <c r="B2172">
        <v>4511573781</v>
      </c>
      <c r="C2172" t="s">
        <v>20</v>
      </c>
    </row>
    <row r="2173" spans="2:3" x14ac:dyDescent="0.3">
      <c r="B2173">
        <v>4511573755</v>
      </c>
      <c r="C2173" t="s">
        <v>20</v>
      </c>
    </row>
    <row r="2174" spans="2:3" x14ac:dyDescent="0.3">
      <c r="B2174">
        <v>4511573750</v>
      </c>
      <c r="C2174" t="s">
        <v>20</v>
      </c>
    </row>
    <row r="2175" spans="2:3" x14ac:dyDescent="0.3">
      <c r="B2175">
        <v>4511573737</v>
      </c>
      <c r="C2175" t="s">
        <v>20</v>
      </c>
    </row>
    <row r="2176" spans="2:3" x14ac:dyDescent="0.3">
      <c r="B2176">
        <v>4511573734</v>
      </c>
      <c r="C2176" t="s">
        <v>37</v>
      </c>
    </row>
    <row r="2177" spans="2:3" x14ac:dyDescent="0.3">
      <c r="B2177">
        <v>4511573734</v>
      </c>
      <c r="C2177" t="s">
        <v>37</v>
      </c>
    </row>
    <row r="2178" spans="2:3" x14ac:dyDescent="0.3">
      <c r="B2178">
        <v>4511573734</v>
      </c>
      <c r="C2178" t="s">
        <v>37</v>
      </c>
    </row>
    <row r="2179" spans="2:3" x14ac:dyDescent="0.3">
      <c r="B2179">
        <v>4511573734</v>
      </c>
      <c r="C2179" t="s">
        <v>37</v>
      </c>
    </row>
    <row r="2180" spans="2:3" x14ac:dyDescent="0.3">
      <c r="B2180">
        <v>4511573734</v>
      </c>
      <c r="C2180" t="s">
        <v>37</v>
      </c>
    </row>
    <row r="2181" spans="2:3" x14ac:dyDescent="0.3">
      <c r="B2181">
        <v>4511573734</v>
      </c>
      <c r="C2181" t="s">
        <v>37</v>
      </c>
    </row>
    <row r="2182" spans="2:3" x14ac:dyDescent="0.3">
      <c r="B2182">
        <v>4511573734</v>
      </c>
      <c r="C2182" t="s">
        <v>37</v>
      </c>
    </row>
    <row r="2183" spans="2:3" x14ac:dyDescent="0.3">
      <c r="B2183">
        <v>4511573734</v>
      </c>
      <c r="C2183" t="s">
        <v>37</v>
      </c>
    </row>
    <row r="2184" spans="2:3" x14ac:dyDescent="0.3">
      <c r="B2184">
        <v>4511573734</v>
      </c>
      <c r="C2184" t="s">
        <v>37</v>
      </c>
    </row>
    <row r="2185" spans="2:3" x14ac:dyDescent="0.3">
      <c r="B2185">
        <v>4511573734</v>
      </c>
      <c r="C2185" t="s">
        <v>37</v>
      </c>
    </row>
    <row r="2186" spans="2:3" x14ac:dyDescent="0.3">
      <c r="B2186">
        <v>4511573734</v>
      </c>
      <c r="C2186" t="s">
        <v>37</v>
      </c>
    </row>
    <row r="2187" spans="2:3" x14ac:dyDescent="0.3">
      <c r="B2187">
        <v>4511573734</v>
      </c>
      <c r="C2187" t="s">
        <v>37</v>
      </c>
    </row>
    <row r="2188" spans="2:3" x14ac:dyDescent="0.3">
      <c r="B2188">
        <v>4511573734</v>
      </c>
      <c r="C2188" t="s">
        <v>37</v>
      </c>
    </row>
    <row r="2189" spans="2:3" x14ac:dyDescent="0.3">
      <c r="B2189">
        <v>4511573709</v>
      </c>
      <c r="C2189" t="s">
        <v>20</v>
      </c>
    </row>
    <row r="2190" spans="2:3" x14ac:dyDescent="0.3">
      <c r="B2190">
        <v>4511573686</v>
      </c>
      <c r="C2190" t="s">
        <v>37</v>
      </c>
    </row>
    <row r="2191" spans="2:3" x14ac:dyDescent="0.3">
      <c r="B2191">
        <v>4511573686</v>
      </c>
      <c r="C2191" t="s">
        <v>37</v>
      </c>
    </row>
    <row r="2192" spans="2:3" x14ac:dyDescent="0.3">
      <c r="B2192">
        <v>4511573686</v>
      </c>
      <c r="C2192" t="s">
        <v>37</v>
      </c>
    </row>
    <row r="2193" spans="2:3" x14ac:dyDescent="0.3">
      <c r="B2193">
        <v>4511573686</v>
      </c>
      <c r="C2193" t="s">
        <v>37</v>
      </c>
    </row>
    <row r="2194" spans="2:3" x14ac:dyDescent="0.3">
      <c r="B2194">
        <v>4511573686</v>
      </c>
      <c r="C2194" t="s">
        <v>37</v>
      </c>
    </row>
    <row r="2195" spans="2:3" x14ac:dyDescent="0.3">
      <c r="B2195">
        <v>4511573685</v>
      </c>
      <c r="C2195" t="s">
        <v>20</v>
      </c>
    </row>
    <row r="2196" spans="2:3" x14ac:dyDescent="0.3">
      <c r="B2196">
        <v>4511573681</v>
      </c>
      <c r="C2196" t="s">
        <v>37</v>
      </c>
    </row>
    <row r="2197" spans="2:3" x14ac:dyDescent="0.3">
      <c r="B2197">
        <v>4511573681</v>
      </c>
      <c r="C2197" t="s">
        <v>37</v>
      </c>
    </row>
    <row r="2198" spans="2:3" x14ac:dyDescent="0.3">
      <c r="B2198">
        <v>4511573678</v>
      </c>
      <c r="C2198" t="s">
        <v>20</v>
      </c>
    </row>
    <row r="2199" spans="2:3" x14ac:dyDescent="0.3">
      <c r="B2199">
        <v>4511573678</v>
      </c>
      <c r="C2199" t="s">
        <v>20</v>
      </c>
    </row>
    <row r="2200" spans="2:3" x14ac:dyDescent="0.3">
      <c r="B2200">
        <v>4511573678</v>
      </c>
      <c r="C2200" t="s">
        <v>20</v>
      </c>
    </row>
    <row r="2201" spans="2:3" x14ac:dyDescent="0.3">
      <c r="B2201">
        <v>4511573678</v>
      </c>
      <c r="C2201" t="s">
        <v>20</v>
      </c>
    </row>
    <row r="2202" spans="2:3" x14ac:dyDescent="0.3">
      <c r="B2202">
        <v>4511573678</v>
      </c>
      <c r="C2202" t="s">
        <v>20</v>
      </c>
    </row>
    <row r="2203" spans="2:3" x14ac:dyDescent="0.3">
      <c r="B2203">
        <v>4511573678</v>
      </c>
      <c r="C2203" t="s">
        <v>20</v>
      </c>
    </row>
    <row r="2204" spans="2:3" x14ac:dyDescent="0.3">
      <c r="B2204">
        <v>4511573678</v>
      </c>
      <c r="C2204" t="s">
        <v>20</v>
      </c>
    </row>
    <row r="2205" spans="2:3" x14ac:dyDescent="0.3">
      <c r="B2205">
        <v>4511573623</v>
      </c>
      <c r="C2205" t="s">
        <v>30</v>
      </c>
    </row>
    <row r="2206" spans="2:3" x14ac:dyDescent="0.3">
      <c r="B2206">
        <v>4511573603</v>
      </c>
      <c r="C2206" t="s">
        <v>18</v>
      </c>
    </row>
    <row r="2207" spans="2:3" x14ac:dyDescent="0.3">
      <c r="B2207">
        <v>4511573603</v>
      </c>
      <c r="C2207" t="s">
        <v>18</v>
      </c>
    </row>
    <row r="2208" spans="2:3" x14ac:dyDescent="0.3">
      <c r="B2208">
        <v>4511573586</v>
      </c>
      <c r="C2208" t="s">
        <v>37</v>
      </c>
    </row>
    <row r="2209" spans="2:3" x14ac:dyDescent="0.3">
      <c r="B2209">
        <v>4511573585</v>
      </c>
      <c r="C2209" t="s">
        <v>37</v>
      </c>
    </row>
    <row r="2210" spans="2:3" x14ac:dyDescent="0.3">
      <c r="B2210">
        <v>4511573574</v>
      </c>
      <c r="C2210" t="s">
        <v>37</v>
      </c>
    </row>
    <row r="2211" spans="2:3" x14ac:dyDescent="0.3">
      <c r="B2211">
        <v>4511573574</v>
      </c>
      <c r="C2211" t="s">
        <v>37</v>
      </c>
    </row>
    <row r="2212" spans="2:3" x14ac:dyDescent="0.3">
      <c r="B2212">
        <v>4511573574</v>
      </c>
      <c r="C2212" t="s">
        <v>37</v>
      </c>
    </row>
    <row r="2213" spans="2:3" x14ac:dyDescent="0.3">
      <c r="B2213">
        <v>4511573574</v>
      </c>
      <c r="C2213" t="s">
        <v>37</v>
      </c>
    </row>
    <row r="2214" spans="2:3" x14ac:dyDescent="0.3">
      <c r="B2214">
        <v>4511573571</v>
      </c>
      <c r="C2214" t="s">
        <v>18</v>
      </c>
    </row>
    <row r="2215" spans="2:3" x14ac:dyDescent="0.3">
      <c r="B2215">
        <v>4511573559</v>
      </c>
      <c r="C2215" t="s">
        <v>20</v>
      </c>
    </row>
    <row r="2216" spans="2:3" x14ac:dyDescent="0.3">
      <c r="B2216">
        <v>4511573559</v>
      </c>
      <c r="C2216" t="s">
        <v>20</v>
      </c>
    </row>
    <row r="2217" spans="2:3" x14ac:dyDescent="0.3">
      <c r="B2217">
        <v>4511573514</v>
      </c>
      <c r="C2217" t="s">
        <v>18</v>
      </c>
    </row>
    <row r="2218" spans="2:3" x14ac:dyDescent="0.3">
      <c r="B2218">
        <v>4511573514</v>
      </c>
      <c r="C2218" t="s">
        <v>18</v>
      </c>
    </row>
    <row r="2219" spans="2:3" x14ac:dyDescent="0.3">
      <c r="B2219">
        <v>4511573512</v>
      </c>
      <c r="C2219" t="s">
        <v>20</v>
      </c>
    </row>
    <row r="2220" spans="2:3" x14ac:dyDescent="0.3">
      <c r="B2220">
        <v>4511573509</v>
      </c>
      <c r="C2220" t="s">
        <v>20</v>
      </c>
    </row>
    <row r="2221" spans="2:3" x14ac:dyDescent="0.3">
      <c r="B2221">
        <v>4511573502</v>
      </c>
      <c r="C2221" t="s">
        <v>18</v>
      </c>
    </row>
    <row r="2222" spans="2:3" x14ac:dyDescent="0.3">
      <c r="B2222">
        <v>4511573497</v>
      </c>
      <c r="C2222" t="s">
        <v>37</v>
      </c>
    </row>
    <row r="2223" spans="2:3" x14ac:dyDescent="0.3">
      <c r="B2223">
        <v>4511573497</v>
      </c>
      <c r="C2223" t="s">
        <v>37</v>
      </c>
    </row>
    <row r="2224" spans="2:3" x14ac:dyDescent="0.3">
      <c r="B2224">
        <v>4511573484</v>
      </c>
      <c r="C2224" t="s">
        <v>37</v>
      </c>
    </row>
    <row r="2225" spans="2:3" x14ac:dyDescent="0.3">
      <c r="B2225">
        <v>4511573481</v>
      </c>
      <c r="C2225" t="s">
        <v>37</v>
      </c>
    </row>
    <row r="2226" spans="2:3" x14ac:dyDescent="0.3">
      <c r="B2226">
        <v>4511573329</v>
      </c>
      <c r="C2226" t="s">
        <v>18</v>
      </c>
    </row>
    <row r="2227" spans="2:3" x14ac:dyDescent="0.3">
      <c r="B2227">
        <v>4511573329</v>
      </c>
      <c r="C2227" t="s">
        <v>18</v>
      </c>
    </row>
    <row r="2228" spans="2:3" x14ac:dyDescent="0.3">
      <c r="B2228">
        <v>4511573240</v>
      </c>
      <c r="C2228" t="s">
        <v>20</v>
      </c>
    </row>
    <row r="2229" spans="2:3" x14ac:dyDescent="0.3">
      <c r="B2229">
        <v>4511573057</v>
      </c>
      <c r="C2229" t="s">
        <v>20</v>
      </c>
    </row>
    <row r="2230" spans="2:3" x14ac:dyDescent="0.3">
      <c r="B2230">
        <v>4511572979</v>
      </c>
      <c r="C2230" t="s">
        <v>20</v>
      </c>
    </row>
    <row r="2231" spans="2:3" x14ac:dyDescent="0.3">
      <c r="B2231">
        <v>4511572976</v>
      </c>
      <c r="C2231" t="s">
        <v>20</v>
      </c>
    </row>
    <row r="2232" spans="2:3" x14ac:dyDescent="0.3">
      <c r="B2232">
        <v>4511572956</v>
      </c>
      <c r="C2232" t="s">
        <v>20</v>
      </c>
    </row>
    <row r="2233" spans="2:3" x14ac:dyDescent="0.3">
      <c r="B2233">
        <v>4511572930</v>
      </c>
      <c r="C2233" t="s">
        <v>30</v>
      </c>
    </row>
    <row r="2234" spans="2:3" x14ac:dyDescent="0.3">
      <c r="B2234">
        <v>4511572920</v>
      </c>
      <c r="C2234" t="s">
        <v>20</v>
      </c>
    </row>
    <row r="2235" spans="2:3" x14ac:dyDescent="0.3">
      <c r="B2235">
        <v>4511572916</v>
      </c>
      <c r="C2235" t="s">
        <v>20</v>
      </c>
    </row>
    <row r="2236" spans="2:3" x14ac:dyDescent="0.3">
      <c r="B2236">
        <v>4511572915</v>
      </c>
      <c r="C2236" t="s">
        <v>30</v>
      </c>
    </row>
    <row r="2237" spans="2:3" x14ac:dyDescent="0.3">
      <c r="B2237">
        <v>4511572904</v>
      </c>
      <c r="C2237" t="s">
        <v>30</v>
      </c>
    </row>
    <row r="2238" spans="2:3" x14ac:dyDescent="0.3">
      <c r="B2238">
        <v>4511572900</v>
      </c>
      <c r="C2238" t="s">
        <v>20</v>
      </c>
    </row>
    <row r="2239" spans="2:3" x14ac:dyDescent="0.3">
      <c r="B2239">
        <v>4511572900</v>
      </c>
      <c r="C2239" t="s">
        <v>20</v>
      </c>
    </row>
    <row r="2240" spans="2:3" x14ac:dyDescent="0.3">
      <c r="B2240">
        <v>4511572900</v>
      </c>
      <c r="C2240" t="s">
        <v>20</v>
      </c>
    </row>
    <row r="2241" spans="2:3" x14ac:dyDescent="0.3">
      <c r="B2241">
        <v>4511572900</v>
      </c>
      <c r="C2241" t="s">
        <v>20</v>
      </c>
    </row>
    <row r="2242" spans="2:3" x14ac:dyDescent="0.3">
      <c r="B2242">
        <v>4511572900</v>
      </c>
      <c r="C2242" t="s">
        <v>20</v>
      </c>
    </row>
    <row r="2243" spans="2:3" x14ac:dyDescent="0.3">
      <c r="B2243">
        <v>4511572900</v>
      </c>
      <c r="C2243" t="s">
        <v>20</v>
      </c>
    </row>
    <row r="2244" spans="2:3" x14ac:dyDescent="0.3">
      <c r="B2244">
        <v>4511572862</v>
      </c>
      <c r="C2244" t="s">
        <v>30</v>
      </c>
    </row>
    <row r="2245" spans="2:3" x14ac:dyDescent="0.3">
      <c r="B2245">
        <v>4511572834</v>
      </c>
      <c r="C2245" t="s">
        <v>30</v>
      </c>
    </row>
    <row r="2246" spans="2:3" x14ac:dyDescent="0.3">
      <c r="B2246">
        <v>4511572834</v>
      </c>
      <c r="C2246" t="s">
        <v>30</v>
      </c>
    </row>
    <row r="2247" spans="2:3" x14ac:dyDescent="0.3">
      <c r="B2247">
        <v>4511572830</v>
      </c>
      <c r="C2247" t="s">
        <v>30</v>
      </c>
    </row>
    <row r="2248" spans="2:3" x14ac:dyDescent="0.3">
      <c r="B2248">
        <v>4511572830</v>
      </c>
      <c r="C2248" t="s">
        <v>30</v>
      </c>
    </row>
    <row r="2249" spans="2:3" x14ac:dyDescent="0.3">
      <c r="B2249">
        <v>4511572830</v>
      </c>
      <c r="C2249" t="s">
        <v>30</v>
      </c>
    </row>
    <row r="2250" spans="2:3" x14ac:dyDescent="0.3">
      <c r="B2250">
        <v>4511572830</v>
      </c>
      <c r="C2250" t="s">
        <v>30</v>
      </c>
    </row>
    <row r="2251" spans="2:3" x14ac:dyDescent="0.3">
      <c r="B2251">
        <v>4511572808</v>
      </c>
      <c r="C2251" t="s">
        <v>30</v>
      </c>
    </row>
    <row r="2252" spans="2:3" x14ac:dyDescent="0.3">
      <c r="B2252">
        <v>4511572808</v>
      </c>
      <c r="C2252" t="s">
        <v>30</v>
      </c>
    </row>
    <row r="2253" spans="2:3" x14ac:dyDescent="0.3">
      <c r="B2253">
        <v>4511572790</v>
      </c>
      <c r="C2253" t="s">
        <v>20</v>
      </c>
    </row>
    <row r="2254" spans="2:3" x14ac:dyDescent="0.3">
      <c r="B2254">
        <v>4511572770</v>
      </c>
      <c r="C2254" t="s">
        <v>20</v>
      </c>
    </row>
    <row r="2255" spans="2:3" x14ac:dyDescent="0.3">
      <c r="B2255">
        <v>4511572764</v>
      </c>
      <c r="C2255" t="s">
        <v>30</v>
      </c>
    </row>
    <row r="2256" spans="2:3" x14ac:dyDescent="0.3">
      <c r="B2256">
        <v>4511572743</v>
      </c>
      <c r="C2256" t="s">
        <v>30</v>
      </c>
    </row>
    <row r="2257" spans="2:3" x14ac:dyDescent="0.3">
      <c r="B2257">
        <v>4511572743</v>
      </c>
      <c r="C2257" t="s">
        <v>30</v>
      </c>
    </row>
    <row r="2258" spans="2:3" x14ac:dyDescent="0.3">
      <c r="B2258">
        <v>4511572734</v>
      </c>
      <c r="C2258" t="s">
        <v>20</v>
      </c>
    </row>
    <row r="2259" spans="2:3" x14ac:dyDescent="0.3">
      <c r="B2259">
        <v>4511572724</v>
      </c>
      <c r="C2259" t="s">
        <v>30</v>
      </c>
    </row>
    <row r="2260" spans="2:3" x14ac:dyDescent="0.3">
      <c r="B2260">
        <v>4511572723</v>
      </c>
      <c r="C2260" t="s">
        <v>20</v>
      </c>
    </row>
    <row r="2261" spans="2:3" x14ac:dyDescent="0.3">
      <c r="B2261">
        <v>4511572711</v>
      </c>
      <c r="C2261" t="s">
        <v>20</v>
      </c>
    </row>
    <row r="2262" spans="2:3" x14ac:dyDescent="0.3">
      <c r="B2262">
        <v>4511572711</v>
      </c>
      <c r="C2262" t="s">
        <v>20</v>
      </c>
    </row>
    <row r="2263" spans="2:3" x14ac:dyDescent="0.3">
      <c r="B2263">
        <v>4511572711</v>
      </c>
      <c r="C2263" t="s">
        <v>20</v>
      </c>
    </row>
    <row r="2264" spans="2:3" x14ac:dyDescent="0.3">
      <c r="B2264">
        <v>4511572711</v>
      </c>
      <c r="C2264" t="s">
        <v>20</v>
      </c>
    </row>
    <row r="2265" spans="2:3" x14ac:dyDescent="0.3">
      <c r="B2265">
        <v>4511572708</v>
      </c>
      <c r="C2265" t="s">
        <v>20</v>
      </c>
    </row>
    <row r="2266" spans="2:3" x14ac:dyDescent="0.3">
      <c r="B2266">
        <v>4511572708</v>
      </c>
      <c r="C2266" t="s">
        <v>20</v>
      </c>
    </row>
    <row r="2267" spans="2:3" x14ac:dyDescent="0.3">
      <c r="B2267">
        <v>4511572704</v>
      </c>
      <c r="C2267" t="s">
        <v>20</v>
      </c>
    </row>
    <row r="2268" spans="2:3" x14ac:dyDescent="0.3">
      <c r="B2268">
        <v>4511572704</v>
      </c>
      <c r="C2268" t="s">
        <v>20</v>
      </c>
    </row>
    <row r="2269" spans="2:3" x14ac:dyDescent="0.3">
      <c r="B2269">
        <v>4511572704</v>
      </c>
      <c r="C2269" t="s">
        <v>20</v>
      </c>
    </row>
    <row r="2270" spans="2:3" x14ac:dyDescent="0.3">
      <c r="B2270">
        <v>4511572699</v>
      </c>
      <c r="C2270" t="s">
        <v>30</v>
      </c>
    </row>
    <row r="2271" spans="2:3" x14ac:dyDescent="0.3">
      <c r="B2271">
        <v>4511572689</v>
      </c>
      <c r="C2271" t="s">
        <v>20</v>
      </c>
    </row>
    <row r="2272" spans="2:3" x14ac:dyDescent="0.3">
      <c r="B2272">
        <v>4511572689</v>
      </c>
      <c r="C2272" t="s">
        <v>20</v>
      </c>
    </row>
    <row r="2273" spans="2:3" x14ac:dyDescent="0.3">
      <c r="B2273">
        <v>4511572689</v>
      </c>
      <c r="C2273" t="s">
        <v>20</v>
      </c>
    </row>
    <row r="2274" spans="2:3" x14ac:dyDescent="0.3">
      <c r="B2274">
        <v>4511572689</v>
      </c>
      <c r="C2274" t="s">
        <v>20</v>
      </c>
    </row>
    <row r="2275" spans="2:3" x14ac:dyDescent="0.3">
      <c r="B2275">
        <v>4511572689</v>
      </c>
      <c r="C2275" t="s">
        <v>20</v>
      </c>
    </row>
    <row r="2276" spans="2:3" x14ac:dyDescent="0.3">
      <c r="B2276">
        <v>4511572689</v>
      </c>
      <c r="C2276" t="s">
        <v>20</v>
      </c>
    </row>
    <row r="2277" spans="2:3" x14ac:dyDescent="0.3">
      <c r="B2277">
        <v>4511572689</v>
      </c>
      <c r="C2277" t="s">
        <v>20</v>
      </c>
    </row>
    <row r="2278" spans="2:3" x14ac:dyDescent="0.3">
      <c r="B2278">
        <v>4511572689</v>
      </c>
      <c r="C2278" t="s">
        <v>20</v>
      </c>
    </row>
    <row r="2279" spans="2:3" x14ac:dyDescent="0.3">
      <c r="B2279">
        <v>4511572689</v>
      </c>
      <c r="C2279" t="s">
        <v>20</v>
      </c>
    </row>
    <row r="2280" spans="2:3" x14ac:dyDescent="0.3">
      <c r="B2280">
        <v>4511572689</v>
      </c>
      <c r="C2280" t="s">
        <v>20</v>
      </c>
    </row>
    <row r="2281" spans="2:3" x14ac:dyDescent="0.3">
      <c r="B2281">
        <v>4511572682</v>
      </c>
      <c r="C2281" t="s">
        <v>20</v>
      </c>
    </row>
    <row r="2282" spans="2:3" x14ac:dyDescent="0.3">
      <c r="B2282">
        <v>4511572682</v>
      </c>
      <c r="C2282" t="s">
        <v>20</v>
      </c>
    </row>
    <row r="2283" spans="2:3" x14ac:dyDescent="0.3">
      <c r="B2283">
        <v>4511572682</v>
      </c>
      <c r="C2283" t="s">
        <v>20</v>
      </c>
    </row>
    <row r="2284" spans="2:3" x14ac:dyDescent="0.3">
      <c r="B2284">
        <v>4511572682</v>
      </c>
      <c r="C2284" t="s">
        <v>20</v>
      </c>
    </row>
    <row r="2285" spans="2:3" x14ac:dyDescent="0.3">
      <c r="B2285">
        <v>4511572682</v>
      </c>
      <c r="C2285" t="s">
        <v>20</v>
      </c>
    </row>
    <row r="2286" spans="2:3" x14ac:dyDescent="0.3">
      <c r="B2286">
        <v>4511572682</v>
      </c>
      <c r="C2286" t="s">
        <v>20</v>
      </c>
    </row>
    <row r="2287" spans="2:3" x14ac:dyDescent="0.3">
      <c r="B2287">
        <v>4511572682</v>
      </c>
      <c r="C2287" t="s">
        <v>20</v>
      </c>
    </row>
    <row r="2288" spans="2:3" x14ac:dyDescent="0.3">
      <c r="B2288">
        <v>4511572682</v>
      </c>
      <c r="C2288" t="s">
        <v>20</v>
      </c>
    </row>
    <row r="2289" spans="2:3" x14ac:dyDescent="0.3">
      <c r="B2289">
        <v>4511572682</v>
      </c>
      <c r="C2289" t="s">
        <v>20</v>
      </c>
    </row>
    <row r="2290" spans="2:3" x14ac:dyDescent="0.3">
      <c r="B2290">
        <v>4511572682</v>
      </c>
      <c r="C2290" t="s">
        <v>20</v>
      </c>
    </row>
    <row r="2291" spans="2:3" x14ac:dyDescent="0.3">
      <c r="B2291">
        <v>4511572682</v>
      </c>
      <c r="C2291" t="s">
        <v>20</v>
      </c>
    </row>
    <row r="2292" spans="2:3" x14ac:dyDescent="0.3">
      <c r="B2292">
        <v>4511572682</v>
      </c>
      <c r="C2292" t="s">
        <v>20</v>
      </c>
    </row>
    <row r="2293" spans="2:3" x14ac:dyDescent="0.3">
      <c r="B2293">
        <v>4511572682</v>
      </c>
      <c r="C2293" t="s">
        <v>20</v>
      </c>
    </row>
    <row r="2294" spans="2:3" x14ac:dyDescent="0.3">
      <c r="B2294">
        <v>4511572682</v>
      </c>
      <c r="C2294" t="s">
        <v>20</v>
      </c>
    </row>
    <row r="2295" spans="2:3" x14ac:dyDescent="0.3">
      <c r="B2295">
        <v>4511572682</v>
      </c>
      <c r="C2295" t="s">
        <v>20</v>
      </c>
    </row>
    <row r="2296" spans="2:3" x14ac:dyDescent="0.3">
      <c r="B2296">
        <v>4511572682</v>
      </c>
      <c r="C2296" t="s">
        <v>20</v>
      </c>
    </row>
    <row r="2297" spans="2:3" x14ac:dyDescent="0.3">
      <c r="B2297">
        <v>4511572682</v>
      </c>
      <c r="C2297" t="s">
        <v>20</v>
      </c>
    </row>
    <row r="2298" spans="2:3" x14ac:dyDescent="0.3">
      <c r="B2298">
        <v>4511572682</v>
      </c>
      <c r="C2298" t="s">
        <v>20</v>
      </c>
    </row>
    <row r="2299" spans="2:3" x14ac:dyDescent="0.3">
      <c r="B2299">
        <v>4511572682</v>
      </c>
      <c r="C2299" t="s">
        <v>20</v>
      </c>
    </row>
    <row r="2300" spans="2:3" x14ac:dyDescent="0.3">
      <c r="B2300">
        <v>4511572682</v>
      </c>
      <c r="C2300" t="s">
        <v>20</v>
      </c>
    </row>
    <row r="2301" spans="2:3" x14ac:dyDescent="0.3">
      <c r="B2301">
        <v>4511572682</v>
      </c>
      <c r="C2301" t="s">
        <v>20</v>
      </c>
    </row>
    <row r="2302" spans="2:3" x14ac:dyDescent="0.3">
      <c r="B2302">
        <v>4511572677</v>
      </c>
      <c r="C2302" t="s">
        <v>20</v>
      </c>
    </row>
    <row r="2303" spans="2:3" x14ac:dyDescent="0.3">
      <c r="B2303">
        <v>4511572677</v>
      </c>
      <c r="C2303" t="s">
        <v>20</v>
      </c>
    </row>
    <row r="2304" spans="2:3" x14ac:dyDescent="0.3">
      <c r="B2304">
        <v>4511572672</v>
      </c>
      <c r="C2304" t="s">
        <v>30</v>
      </c>
    </row>
    <row r="2305" spans="2:3" x14ac:dyDescent="0.3">
      <c r="B2305">
        <v>4511572670</v>
      </c>
      <c r="C2305" t="s">
        <v>30</v>
      </c>
    </row>
    <row r="2306" spans="2:3" x14ac:dyDescent="0.3">
      <c r="B2306">
        <v>4511572670</v>
      </c>
      <c r="C2306" t="s">
        <v>30</v>
      </c>
    </row>
    <row r="2307" spans="2:3" x14ac:dyDescent="0.3">
      <c r="B2307">
        <v>4511572670</v>
      </c>
      <c r="C2307" t="s">
        <v>30</v>
      </c>
    </row>
    <row r="2308" spans="2:3" x14ac:dyDescent="0.3">
      <c r="B2308">
        <v>4511572670</v>
      </c>
      <c r="C2308" t="s">
        <v>30</v>
      </c>
    </row>
    <row r="2309" spans="2:3" x14ac:dyDescent="0.3">
      <c r="B2309">
        <v>4511572670</v>
      </c>
      <c r="C2309" t="s">
        <v>30</v>
      </c>
    </row>
    <row r="2310" spans="2:3" x14ac:dyDescent="0.3">
      <c r="B2310">
        <v>4511572668</v>
      </c>
      <c r="C2310" t="s">
        <v>30</v>
      </c>
    </row>
    <row r="2311" spans="2:3" x14ac:dyDescent="0.3">
      <c r="B2311">
        <v>4511572660</v>
      </c>
      <c r="C2311" t="s">
        <v>20</v>
      </c>
    </row>
    <row r="2312" spans="2:3" x14ac:dyDescent="0.3">
      <c r="B2312">
        <v>4511572660</v>
      </c>
      <c r="C2312" t="s">
        <v>20</v>
      </c>
    </row>
    <row r="2313" spans="2:3" x14ac:dyDescent="0.3">
      <c r="B2313">
        <v>4511572660</v>
      </c>
      <c r="C2313" t="s">
        <v>20</v>
      </c>
    </row>
    <row r="2314" spans="2:3" x14ac:dyDescent="0.3">
      <c r="B2314">
        <v>4511572660</v>
      </c>
      <c r="C2314" t="s">
        <v>20</v>
      </c>
    </row>
    <row r="2315" spans="2:3" x14ac:dyDescent="0.3">
      <c r="B2315">
        <v>4511572660</v>
      </c>
      <c r="C2315" t="s">
        <v>20</v>
      </c>
    </row>
    <row r="2316" spans="2:3" x14ac:dyDescent="0.3">
      <c r="B2316">
        <v>4511572660</v>
      </c>
      <c r="C2316" t="s">
        <v>20</v>
      </c>
    </row>
    <row r="2317" spans="2:3" x14ac:dyDescent="0.3">
      <c r="B2317">
        <v>4511572653</v>
      </c>
      <c r="C2317" t="s">
        <v>20</v>
      </c>
    </row>
    <row r="2318" spans="2:3" x14ac:dyDescent="0.3">
      <c r="B2318">
        <v>4511572651</v>
      </c>
      <c r="C2318" t="s">
        <v>20</v>
      </c>
    </row>
    <row r="2319" spans="2:3" x14ac:dyDescent="0.3">
      <c r="B2319">
        <v>4511572593</v>
      </c>
      <c r="C2319" t="s">
        <v>20</v>
      </c>
    </row>
    <row r="2320" spans="2:3" x14ac:dyDescent="0.3">
      <c r="B2320">
        <v>4511572593</v>
      </c>
      <c r="C2320" t="s">
        <v>20</v>
      </c>
    </row>
    <row r="2321" spans="2:3" x14ac:dyDescent="0.3">
      <c r="B2321">
        <v>4511572593</v>
      </c>
      <c r="C2321" t="s">
        <v>20</v>
      </c>
    </row>
    <row r="2322" spans="2:3" x14ac:dyDescent="0.3">
      <c r="B2322">
        <v>4511572593</v>
      </c>
      <c r="C2322" t="s">
        <v>20</v>
      </c>
    </row>
    <row r="2323" spans="2:3" x14ac:dyDescent="0.3">
      <c r="B2323">
        <v>4511572593</v>
      </c>
      <c r="C2323" t="s">
        <v>20</v>
      </c>
    </row>
    <row r="2324" spans="2:3" x14ac:dyDescent="0.3">
      <c r="B2324">
        <v>4511572588</v>
      </c>
      <c r="C2324" t="s">
        <v>20</v>
      </c>
    </row>
    <row r="2325" spans="2:3" x14ac:dyDescent="0.3">
      <c r="B2325">
        <v>4511572588</v>
      </c>
      <c r="C2325" t="s">
        <v>20</v>
      </c>
    </row>
    <row r="2326" spans="2:3" x14ac:dyDescent="0.3">
      <c r="B2326">
        <v>4511572588</v>
      </c>
      <c r="C2326" t="s">
        <v>20</v>
      </c>
    </row>
    <row r="2327" spans="2:3" x14ac:dyDescent="0.3">
      <c r="B2327">
        <v>4511572588</v>
      </c>
      <c r="C2327" t="s">
        <v>20</v>
      </c>
    </row>
    <row r="2328" spans="2:3" x14ac:dyDescent="0.3">
      <c r="B2328">
        <v>4511572588</v>
      </c>
      <c r="C2328" t="s">
        <v>20</v>
      </c>
    </row>
    <row r="2329" spans="2:3" x14ac:dyDescent="0.3">
      <c r="B2329">
        <v>4511572575</v>
      </c>
      <c r="C2329" t="s">
        <v>30</v>
      </c>
    </row>
    <row r="2330" spans="2:3" x14ac:dyDescent="0.3">
      <c r="B2330">
        <v>4511572575</v>
      </c>
      <c r="C2330" t="s">
        <v>30</v>
      </c>
    </row>
    <row r="2331" spans="2:3" x14ac:dyDescent="0.3">
      <c r="B2331">
        <v>4511572575</v>
      </c>
      <c r="C2331" t="s">
        <v>30</v>
      </c>
    </row>
    <row r="2332" spans="2:3" x14ac:dyDescent="0.3">
      <c r="B2332">
        <v>4511572575</v>
      </c>
      <c r="C2332" t="s">
        <v>30</v>
      </c>
    </row>
    <row r="2333" spans="2:3" x14ac:dyDescent="0.3">
      <c r="B2333">
        <v>4511572575</v>
      </c>
      <c r="C2333" t="s">
        <v>30</v>
      </c>
    </row>
    <row r="2334" spans="2:3" x14ac:dyDescent="0.3">
      <c r="B2334">
        <v>4511572575</v>
      </c>
      <c r="C2334" t="s">
        <v>30</v>
      </c>
    </row>
    <row r="2335" spans="2:3" x14ac:dyDescent="0.3">
      <c r="B2335">
        <v>4511572575</v>
      </c>
      <c r="C2335" t="s">
        <v>30</v>
      </c>
    </row>
    <row r="2336" spans="2:3" x14ac:dyDescent="0.3">
      <c r="B2336">
        <v>4511572575</v>
      </c>
      <c r="C2336" t="s">
        <v>30</v>
      </c>
    </row>
    <row r="2337" spans="2:3" x14ac:dyDescent="0.3">
      <c r="B2337">
        <v>4511572575</v>
      </c>
      <c r="C2337" t="s">
        <v>30</v>
      </c>
    </row>
    <row r="2338" spans="2:3" x14ac:dyDescent="0.3">
      <c r="B2338">
        <v>4511572575</v>
      </c>
      <c r="C2338" t="s">
        <v>30</v>
      </c>
    </row>
    <row r="2339" spans="2:3" x14ac:dyDescent="0.3">
      <c r="B2339">
        <v>4511572575</v>
      </c>
      <c r="C2339" t="s">
        <v>30</v>
      </c>
    </row>
    <row r="2340" spans="2:3" x14ac:dyDescent="0.3">
      <c r="B2340">
        <v>4511572575</v>
      </c>
      <c r="C2340" t="s">
        <v>30</v>
      </c>
    </row>
    <row r="2341" spans="2:3" x14ac:dyDescent="0.3">
      <c r="B2341">
        <v>4511572575</v>
      </c>
      <c r="C2341" t="s">
        <v>30</v>
      </c>
    </row>
    <row r="2342" spans="2:3" x14ac:dyDescent="0.3">
      <c r="B2342">
        <v>4511572575</v>
      </c>
      <c r="C2342" t="s">
        <v>30</v>
      </c>
    </row>
    <row r="2343" spans="2:3" x14ac:dyDescent="0.3">
      <c r="B2343">
        <v>4511572575</v>
      </c>
      <c r="C2343" t="s">
        <v>30</v>
      </c>
    </row>
    <row r="2344" spans="2:3" x14ac:dyDescent="0.3">
      <c r="B2344">
        <v>4511572564</v>
      </c>
      <c r="C2344" t="s">
        <v>20</v>
      </c>
    </row>
    <row r="2345" spans="2:3" x14ac:dyDescent="0.3">
      <c r="B2345">
        <v>4511572562</v>
      </c>
      <c r="C2345" t="s">
        <v>20</v>
      </c>
    </row>
    <row r="2346" spans="2:3" x14ac:dyDescent="0.3">
      <c r="B2346">
        <v>4511572517</v>
      </c>
      <c r="C2346" t="s">
        <v>18</v>
      </c>
    </row>
    <row r="2347" spans="2:3" x14ac:dyDescent="0.3">
      <c r="B2347">
        <v>4511572517</v>
      </c>
      <c r="C2347" t="s">
        <v>18</v>
      </c>
    </row>
    <row r="2348" spans="2:3" x14ac:dyDescent="0.3">
      <c r="B2348">
        <v>4511572517</v>
      </c>
      <c r="C2348" t="s">
        <v>18</v>
      </c>
    </row>
    <row r="2349" spans="2:3" x14ac:dyDescent="0.3">
      <c r="B2349">
        <v>4511572517</v>
      </c>
      <c r="C2349" t="s">
        <v>18</v>
      </c>
    </row>
    <row r="2350" spans="2:3" x14ac:dyDescent="0.3">
      <c r="B2350">
        <v>4511572517</v>
      </c>
      <c r="C2350" t="s">
        <v>18</v>
      </c>
    </row>
    <row r="2351" spans="2:3" x14ac:dyDescent="0.3">
      <c r="B2351">
        <v>4511572517</v>
      </c>
      <c r="C2351" t="s">
        <v>18</v>
      </c>
    </row>
    <row r="2352" spans="2:3" x14ac:dyDescent="0.3">
      <c r="B2352">
        <v>4511572517</v>
      </c>
      <c r="C2352" t="s">
        <v>18</v>
      </c>
    </row>
    <row r="2353" spans="2:3" x14ac:dyDescent="0.3">
      <c r="B2353">
        <v>4511572517</v>
      </c>
      <c r="C2353" t="s">
        <v>18</v>
      </c>
    </row>
    <row r="2354" spans="2:3" x14ac:dyDescent="0.3">
      <c r="B2354">
        <v>4511572516</v>
      </c>
      <c r="C2354" t="s">
        <v>20</v>
      </c>
    </row>
    <row r="2355" spans="2:3" x14ac:dyDescent="0.3">
      <c r="B2355">
        <v>4511572516</v>
      </c>
      <c r="C2355" t="s">
        <v>20</v>
      </c>
    </row>
    <row r="2356" spans="2:3" x14ac:dyDescent="0.3">
      <c r="B2356">
        <v>4511572513</v>
      </c>
      <c r="C2356" t="s">
        <v>20</v>
      </c>
    </row>
    <row r="2357" spans="2:3" x14ac:dyDescent="0.3">
      <c r="B2357">
        <v>4511572470</v>
      </c>
      <c r="C2357" t="s">
        <v>20</v>
      </c>
    </row>
    <row r="2358" spans="2:3" x14ac:dyDescent="0.3">
      <c r="B2358">
        <v>4511572418</v>
      </c>
      <c r="C2358" t="s">
        <v>30</v>
      </c>
    </row>
    <row r="2359" spans="2:3" x14ac:dyDescent="0.3">
      <c r="B2359">
        <v>4511572403</v>
      </c>
      <c r="C2359" t="s">
        <v>18</v>
      </c>
    </row>
    <row r="2360" spans="2:3" x14ac:dyDescent="0.3">
      <c r="B2360">
        <v>4511572403</v>
      </c>
      <c r="C2360" t="s">
        <v>18</v>
      </c>
    </row>
    <row r="2361" spans="2:3" x14ac:dyDescent="0.3">
      <c r="B2361">
        <v>4511572399</v>
      </c>
      <c r="C2361" t="s">
        <v>18</v>
      </c>
    </row>
    <row r="2362" spans="2:3" x14ac:dyDescent="0.3">
      <c r="B2362">
        <v>4511572399</v>
      </c>
      <c r="C2362" t="s">
        <v>18</v>
      </c>
    </row>
    <row r="2363" spans="2:3" x14ac:dyDescent="0.3">
      <c r="B2363">
        <v>4511572399</v>
      </c>
      <c r="C2363" t="s">
        <v>18</v>
      </c>
    </row>
    <row r="2364" spans="2:3" x14ac:dyDescent="0.3">
      <c r="B2364">
        <v>4511572398</v>
      </c>
      <c r="C2364" t="s">
        <v>20</v>
      </c>
    </row>
    <row r="2365" spans="2:3" x14ac:dyDescent="0.3">
      <c r="B2365">
        <v>4511572393</v>
      </c>
      <c r="C2365" t="s">
        <v>20</v>
      </c>
    </row>
    <row r="2366" spans="2:3" x14ac:dyDescent="0.3">
      <c r="B2366">
        <v>4511572370</v>
      </c>
      <c r="C2366" t="s">
        <v>18</v>
      </c>
    </row>
    <row r="2367" spans="2:3" x14ac:dyDescent="0.3">
      <c r="B2367">
        <v>4511572353</v>
      </c>
      <c r="C2367" t="s">
        <v>30</v>
      </c>
    </row>
    <row r="2368" spans="2:3" x14ac:dyDescent="0.3">
      <c r="B2368">
        <v>4511572353</v>
      </c>
      <c r="C2368" t="s">
        <v>30</v>
      </c>
    </row>
    <row r="2369" spans="2:3" x14ac:dyDescent="0.3">
      <c r="B2369">
        <v>4511572332</v>
      </c>
      <c r="C2369" t="s">
        <v>20</v>
      </c>
    </row>
    <row r="2370" spans="2:3" x14ac:dyDescent="0.3">
      <c r="B2370">
        <v>4511572319</v>
      </c>
      <c r="C2370" t="s">
        <v>30</v>
      </c>
    </row>
    <row r="2371" spans="2:3" x14ac:dyDescent="0.3">
      <c r="B2371">
        <v>4511572319</v>
      </c>
      <c r="C2371" t="s">
        <v>30</v>
      </c>
    </row>
    <row r="2372" spans="2:3" x14ac:dyDescent="0.3">
      <c r="B2372">
        <v>4511572313</v>
      </c>
      <c r="C2372" t="s">
        <v>18</v>
      </c>
    </row>
    <row r="2373" spans="2:3" x14ac:dyDescent="0.3">
      <c r="B2373">
        <v>4511572313</v>
      </c>
      <c r="C2373" t="s">
        <v>18</v>
      </c>
    </row>
    <row r="2374" spans="2:3" x14ac:dyDescent="0.3">
      <c r="B2374">
        <v>4511572313</v>
      </c>
      <c r="C2374" t="s">
        <v>18</v>
      </c>
    </row>
    <row r="2375" spans="2:3" x14ac:dyDescent="0.3">
      <c r="B2375">
        <v>4511572313</v>
      </c>
      <c r="C2375" t="s">
        <v>18</v>
      </c>
    </row>
    <row r="2376" spans="2:3" x14ac:dyDescent="0.3">
      <c r="B2376">
        <v>4511572313</v>
      </c>
      <c r="C2376" t="s">
        <v>18</v>
      </c>
    </row>
    <row r="2377" spans="2:3" x14ac:dyDescent="0.3">
      <c r="B2377">
        <v>4511572313</v>
      </c>
      <c r="C2377" t="s">
        <v>18</v>
      </c>
    </row>
    <row r="2378" spans="2:3" x14ac:dyDescent="0.3">
      <c r="B2378">
        <v>4511572305</v>
      </c>
      <c r="C2378" t="s">
        <v>18</v>
      </c>
    </row>
    <row r="2379" spans="2:3" x14ac:dyDescent="0.3">
      <c r="B2379">
        <v>4511572303</v>
      </c>
      <c r="C2379" t="s">
        <v>18</v>
      </c>
    </row>
    <row r="2380" spans="2:3" x14ac:dyDescent="0.3">
      <c r="B2380">
        <v>4511572303</v>
      </c>
      <c r="C2380" t="s">
        <v>18</v>
      </c>
    </row>
    <row r="2381" spans="2:3" x14ac:dyDescent="0.3">
      <c r="B2381">
        <v>4511572303</v>
      </c>
      <c r="C2381" t="s">
        <v>18</v>
      </c>
    </row>
    <row r="2382" spans="2:3" x14ac:dyDescent="0.3">
      <c r="B2382">
        <v>4511572303</v>
      </c>
      <c r="C2382" t="s">
        <v>18</v>
      </c>
    </row>
    <row r="2383" spans="2:3" x14ac:dyDescent="0.3">
      <c r="B2383">
        <v>4511572303</v>
      </c>
      <c r="C2383" t="s">
        <v>18</v>
      </c>
    </row>
    <row r="2384" spans="2:3" x14ac:dyDescent="0.3">
      <c r="B2384">
        <v>4511572303</v>
      </c>
      <c r="C2384" t="s">
        <v>18</v>
      </c>
    </row>
    <row r="2385" spans="2:3" x14ac:dyDescent="0.3">
      <c r="B2385">
        <v>4511572303</v>
      </c>
      <c r="C2385" t="s">
        <v>18</v>
      </c>
    </row>
    <row r="2386" spans="2:3" x14ac:dyDescent="0.3">
      <c r="B2386">
        <v>4511572302</v>
      </c>
      <c r="C2386" t="s">
        <v>18</v>
      </c>
    </row>
    <row r="2387" spans="2:3" x14ac:dyDescent="0.3">
      <c r="B2387">
        <v>4511572294</v>
      </c>
      <c r="C2387" t="s">
        <v>18</v>
      </c>
    </row>
    <row r="2388" spans="2:3" x14ac:dyDescent="0.3">
      <c r="B2388">
        <v>4511572294</v>
      </c>
      <c r="C2388" t="s">
        <v>18</v>
      </c>
    </row>
    <row r="2389" spans="2:3" x14ac:dyDescent="0.3">
      <c r="B2389">
        <v>4511572294</v>
      </c>
      <c r="C2389" t="s">
        <v>18</v>
      </c>
    </row>
    <row r="2390" spans="2:3" x14ac:dyDescent="0.3">
      <c r="B2390">
        <v>4511572294</v>
      </c>
      <c r="C2390" t="s">
        <v>18</v>
      </c>
    </row>
    <row r="2391" spans="2:3" x14ac:dyDescent="0.3">
      <c r="B2391">
        <v>4511572290</v>
      </c>
      <c r="C2391" t="s">
        <v>18</v>
      </c>
    </row>
    <row r="2392" spans="2:3" x14ac:dyDescent="0.3">
      <c r="B2392">
        <v>4511572287</v>
      </c>
      <c r="C2392" t="s">
        <v>18</v>
      </c>
    </row>
    <row r="2393" spans="2:3" x14ac:dyDescent="0.3">
      <c r="B2393">
        <v>4511572271</v>
      </c>
      <c r="C2393" t="s">
        <v>30</v>
      </c>
    </row>
    <row r="2394" spans="2:3" x14ac:dyDescent="0.3">
      <c r="B2394">
        <v>4511572271</v>
      </c>
      <c r="C2394" t="s">
        <v>30</v>
      </c>
    </row>
    <row r="2395" spans="2:3" x14ac:dyDescent="0.3">
      <c r="B2395">
        <v>4511572271</v>
      </c>
      <c r="C2395" t="s">
        <v>30</v>
      </c>
    </row>
    <row r="2396" spans="2:3" x14ac:dyDescent="0.3">
      <c r="B2396">
        <v>4511572271</v>
      </c>
      <c r="C2396" t="s">
        <v>30</v>
      </c>
    </row>
    <row r="2397" spans="2:3" x14ac:dyDescent="0.3">
      <c r="B2397">
        <v>4511572270</v>
      </c>
      <c r="C2397" t="s">
        <v>30</v>
      </c>
    </row>
    <row r="2398" spans="2:3" x14ac:dyDescent="0.3">
      <c r="B2398">
        <v>4511572267</v>
      </c>
      <c r="C2398" t="s">
        <v>30</v>
      </c>
    </row>
    <row r="2399" spans="2:3" x14ac:dyDescent="0.3">
      <c r="B2399">
        <v>4511572260</v>
      </c>
      <c r="C2399" t="s">
        <v>20</v>
      </c>
    </row>
    <row r="2400" spans="2:3" x14ac:dyDescent="0.3">
      <c r="B2400">
        <v>4511572260</v>
      </c>
      <c r="C2400" t="s">
        <v>20</v>
      </c>
    </row>
    <row r="2401" spans="2:3" x14ac:dyDescent="0.3">
      <c r="B2401">
        <v>4511572224</v>
      </c>
      <c r="C2401" t="s">
        <v>30</v>
      </c>
    </row>
    <row r="2402" spans="2:3" x14ac:dyDescent="0.3">
      <c r="B2402">
        <v>4511572224</v>
      </c>
      <c r="C2402" t="s">
        <v>30</v>
      </c>
    </row>
    <row r="2403" spans="2:3" x14ac:dyDescent="0.3">
      <c r="B2403">
        <v>4511572224</v>
      </c>
      <c r="C2403" t="s">
        <v>30</v>
      </c>
    </row>
    <row r="2404" spans="2:3" x14ac:dyDescent="0.3">
      <c r="B2404">
        <v>4511572197</v>
      </c>
      <c r="C2404" t="s">
        <v>20</v>
      </c>
    </row>
    <row r="2405" spans="2:3" x14ac:dyDescent="0.3">
      <c r="B2405">
        <v>4511572197</v>
      </c>
      <c r="C2405" t="s">
        <v>20</v>
      </c>
    </row>
    <row r="2406" spans="2:3" x14ac:dyDescent="0.3">
      <c r="B2406">
        <v>4511572197</v>
      </c>
      <c r="C2406" t="s">
        <v>20</v>
      </c>
    </row>
    <row r="2407" spans="2:3" x14ac:dyDescent="0.3">
      <c r="B2407">
        <v>4511572195</v>
      </c>
      <c r="C2407" t="s">
        <v>20</v>
      </c>
    </row>
    <row r="2408" spans="2:3" x14ac:dyDescent="0.3">
      <c r="B2408">
        <v>4511572182</v>
      </c>
      <c r="C2408" t="s">
        <v>20</v>
      </c>
    </row>
    <row r="2409" spans="2:3" x14ac:dyDescent="0.3">
      <c r="B2409">
        <v>4511572182</v>
      </c>
      <c r="C2409" t="s">
        <v>20</v>
      </c>
    </row>
    <row r="2410" spans="2:3" x14ac:dyDescent="0.3">
      <c r="B2410">
        <v>4511572181</v>
      </c>
      <c r="C2410" t="s">
        <v>30</v>
      </c>
    </row>
    <row r="2411" spans="2:3" x14ac:dyDescent="0.3">
      <c r="B2411">
        <v>4511572174</v>
      </c>
      <c r="C2411" t="s">
        <v>20</v>
      </c>
    </row>
    <row r="2412" spans="2:3" x14ac:dyDescent="0.3">
      <c r="B2412">
        <v>4511572174</v>
      </c>
      <c r="C2412" t="s">
        <v>20</v>
      </c>
    </row>
    <row r="2413" spans="2:3" x14ac:dyDescent="0.3">
      <c r="B2413">
        <v>4511572165</v>
      </c>
      <c r="C2413" t="s">
        <v>20</v>
      </c>
    </row>
    <row r="2414" spans="2:3" x14ac:dyDescent="0.3">
      <c r="B2414">
        <v>4511572157</v>
      </c>
      <c r="C2414" t="s">
        <v>20</v>
      </c>
    </row>
    <row r="2415" spans="2:3" x14ac:dyDescent="0.3">
      <c r="B2415">
        <v>4511572150</v>
      </c>
      <c r="C2415" t="s">
        <v>30</v>
      </c>
    </row>
    <row r="2416" spans="2:3" x14ac:dyDescent="0.3">
      <c r="B2416">
        <v>4511572150</v>
      </c>
      <c r="C2416" t="s">
        <v>30</v>
      </c>
    </row>
    <row r="2417" spans="2:3" x14ac:dyDescent="0.3">
      <c r="B2417">
        <v>4511572137</v>
      </c>
      <c r="C2417" t="s">
        <v>20</v>
      </c>
    </row>
    <row r="2418" spans="2:3" x14ac:dyDescent="0.3">
      <c r="B2418">
        <v>4511572130</v>
      </c>
      <c r="C2418" t="s">
        <v>30</v>
      </c>
    </row>
    <row r="2419" spans="2:3" x14ac:dyDescent="0.3">
      <c r="B2419">
        <v>4511572130</v>
      </c>
      <c r="C2419" t="s">
        <v>30</v>
      </c>
    </row>
    <row r="2420" spans="2:3" x14ac:dyDescent="0.3">
      <c r="B2420">
        <v>4511572130</v>
      </c>
      <c r="C2420" t="s">
        <v>30</v>
      </c>
    </row>
    <row r="2421" spans="2:3" x14ac:dyDescent="0.3">
      <c r="B2421">
        <v>4511572128</v>
      </c>
      <c r="C2421" t="s">
        <v>30</v>
      </c>
    </row>
    <row r="2422" spans="2:3" x14ac:dyDescent="0.3">
      <c r="B2422">
        <v>4511572128</v>
      </c>
      <c r="C2422" t="s">
        <v>30</v>
      </c>
    </row>
    <row r="2423" spans="2:3" x14ac:dyDescent="0.3">
      <c r="B2423">
        <v>4511572091</v>
      </c>
      <c r="C2423" t="s">
        <v>20</v>
      </c>
    </row>
    <row r="2424" spans="2:3" x14ac:dyDescent="0.3">
      <c r="B2424">
        <v>4511572072</v>
      </c>
      <c r="C2424" t="s">
        <v>20</v>
      </c>
    </row>
    <row r="2425" spans="2:3" x14ac:dyDescent="0.3">
      <c r="B2425">
        <v>4511571988</v>
      </c>
      <c r="C2425" t="s">
        <v>20</v>
      </c>
    </row>
    <row r="2426" spans="2:3" x14ac:dyDescent="0.3">
      <c r="B2426">
        <v>4511571985</v>
      </c>
      <c r="C2426" t="s">
        <v>18</v>
      </c>
    </row>
    <row r="2427" spans="2:3" x14ac:dyDescent="0.3">
      <c r="B2427">
        <v>4511571985</v>
      </c>
      <c r="C2427" t="s">
        <v>18</v>
      </c>
    </row>
    <row r="2428" spans="2:3" x14ac:dyDescent="0.3">
      <c r="B2428">
        <v>4511571982</v>
      </c>
      <c r="C2428" t="s">
        <v>18</v>
      </c>
    </row>
    <row r="2429" spans="2:3" x14ac:dyDescent="0.3">
      <c r="B2429">
        <v>4511571982</v>
      </c>
      <c r="C2429" t="s">
        <v>18</v>
      </c>
    </row>
    <row r="2430" spans="2:3" x14ac:dyDescent="0.3">
      <c r="B2430">
        <v>4511571982</v>
      </c>
      <c r="C2430" t="s">
        <v>18</v>
      </c>
    </row>
    <row r="2431" spans="2:3" x14ac:dyDescent="0.3">
      <c r="B2431">
        <v>4511571942</v>
      </c>
      <c r="C2431" t="s">
        <v>18</v>
      </c>
    </row>
    <row r="2432" spans="2:3" x14ac:dyDescent="0.3">
      <c r="B2432">
        <v>4511571912</v>
      </c>
      <c r="C2432" t="s">
        <v>18</v>
      </c>
    </row>
    <row r="2433" spans="2:3" x14ac:dyDescent="0.3">
      <c r="B2433">
        <v>4511571837</v>
      </c>
      <c r="C2433" t="s">
        <v>20</v>
      </c>
    </row>
    <row r="2434" spans="2:3" x14ac:dyDescent="0.3">
      <c r="B2434">
        <v>4511571827</v>
      </c>
      <c r="C2434" t="s">
        <v>18</v>
      </c>
    </row>
    <row r="2435" spans="2:3" x14ac:dyDescent="0.3">
      <c r="B2435">
        <v>4511571816</v>
      </c>
      <c r="C2435" t="s">
        <v>30</v>
      </c>
    </row>
    <row r="2436" spans="2:3" x14ac:dyDescent="0.3">
      <c r="B2436">
        <v>4511571802</v>
      </c>
      <c r="C2436" t="s">
        <v>30</v>
      </c>
    </row>
    <row r="2437" spans="2:3" x14ac:dyDescent="0.3">
      <c r="B2437">
        <v>4511571754</v>
      </c>
      <c r="C2437" t="s">
        <v>30</v>
      </c>
    </row>
    <row r="2438" spans="2:3" x14ac:dyDescent="0.3">
      <c r="B2438">
        <v>4511571754</v>
      </c>
      <c r="C2438" t="s">
        <v>30</v>
      </c>
    </row>
    <row r="2439" spans="2:3" x14ac:dyDescent="0.3">
      <c r="B2439">
        <v>4511571754</v>
      </c>
      <c r="C2439" t="s">
        <v>30</v>
      </c>
    </row>
    <row r="2440" spans="2:3" x14ac:dyDescent="0.3">
      <c r="B2440">
        <v>4511571754</v>
      </c>
      <c r="C2440" t="s">
        <v>30</v>
      </c>
    </row>
    <row r="2441" spans="2:3" x14ac:dyDescent="0.3">
      <c r="B2441">
        <v>4511571754</v>
      </c>
      <c r="C2441" t="s">
        <v>30</v>
      </c>
    </row>
    <row r="2442" spans="2:3" x14ac:dyDescent="0.3">
      <c r="B2442">
        <v>4511571754</v>
      </c>
      <c r="C2442" t="s">
        <v>30</v>
      </c>
    </row>
    <row r="2443" spans="2:3" x14ac:dyDescent="0.3">
      <c r="B2443">
        <v>4511571754</v>
      </c>
      <c r="C2443" t="s">
        <v>30</v>
      </c>
    </row>
    <row r="2444" spans="2:3" x14ac:dyDescent="0.3">
      <c r="B2444">
        <v>4511571754</v>
      </c>
      <c r="C2444" t="s">
        <v>30</v>
      </c>
    </row>
    <row r="2445" spans="2:3" x14ac:dyDescent="0.3">
      <c r="B2445">
        <v>4511571754</v>
      </c>
      <c r="C2445" t="s">
        <v>30</v>
      </c>
    </row>
    <row r="2446" spans="2:3" x14ac:dyDescent="0.3">
      <c r="B2446">
        <v>4511571745</v>
      </c>
      <c r="C2446" t="s">
        <v>18</v>
      </c>
    </row>
    <row r="2447" spans="2:3" x14ac:dyDescent="0.3">
      <c r="B2447">
        <v>4511571744</v>
      </c>
      <c r="C2447" t="s">
        <v>30</v>
      </c>
    </row>
    <row r="2448" spans="2:3" x14ac:dyDescent="0.3">
      <c r="B2448">
        <v>4511571744</v>
      </c>
      <c r="C2448" t="s">
        <v>30</v>
      </c>
    </row>
    <row r="2449" spans="2:3" x14ac:dyDescent="0.3">
      <c r="B2449">
        <v>4511571744</v>
      </c>
      <c r="C2449" t="s">
        <v>30</v>
      </c>
    </row>
    <row r="2450" spans="2:3" x14ac:dyDescent="0.3">
      <c r="B2450">
        <v>4511571744</v>
      </c>
      <c r="C2450" t="s">
        <v>30</v>
      </c>
    </row>
    <row r="2451" spans="2:3" x14ac:dyDescent="0.3">
      <c r="B2451">
        <v>4511571744</v>
      </c>
      <c r="C2451" t="s">
        <v>30</v>
      </c>
    </row>
    <row r="2452" spans="2:3" x14ac:dyDescent="0.3">
      <c r="B2452">
        <v>4511571744</v>
      </c>
      <c r="C2452" t="s">
        <v>30</v>
      </c>
    </row>
    <row r="2453" spans="2:3" x14ac:dyDescent="0.3">
      <c r="B2453">
        <v>4511571681</v>
      </c>
      <c r="C2453" t="s">
        <v>20</v>
      </c>
    </row>
    <row r="2454" spans="2:3" x14ac:dyDescent="0.3">
      <c r="B2454">
        <v>4511571681</v>
      </c>
      <c r="C2454" t="s">
        <v>20</v>
      </c>
    </row>
    <row r="2455" spans="2:3" x14ac:dyDescent="0.3">
      <c r="B2455">
        <v>4511571681</v>
      </c>
      <c r="C2455" t="s">
        <v>20</v>
      </c>
    </row>
    <row r="2456" spans="2:3" x14ac:dyDescent="0.3">
      <c r="B2456">
        <v>4511571666</v>
      </c>
      <c r="C2456" t="s">
        <v>20</v>
      </c>
    </row>
    <row r="2457" spans="2:3" x14ac:dyDescent="0.3">
      <c r="B2457">
        <v>4511571645</v>
      </c>
      <c r="C2457" t="s">
        <v>20</v>
      </c>
    </row>
    <row r="2458" spans="2:3" x14ac:dyDescent="0.3">
      <c r="B2458">
        <v>4511571645</v>
      </c>
      <c r="C2458" t="s">
        <v>20</v>
      </c>
    </row>
    <row r="2459" spans="2:3" x14ac:dyDescent="0.3">
      <c r="B2459">
        <v>4511571645</v>
      </c>
      <c r="C2459" t="s">
        <v>20</v>
      </c>
    </row>
    <row r="2460" spans="2:3" x14ac:dyDescent="0.3">
      <c r="B2460">
        <v>4511571645</v>
      </c>
      <c r="C2460" t="s">
        <v>20</v>
      </c>
    </row>
    <row r="2461" spans="2:3" x14ac:dyDescent="0.3">
      <c r="B2461">
        <v>4511571645</v>
      </c>
      <c r="C2461" t="s">
        <v>20</v>
      </c>
    </row>
    <row r="2462" spans="2:3" x14ac:dyDescent="0.3">
      <c r="B2462">
        <v>4511571645</v>
      </c>
      <c r="C2462" t="s">
        <v>20</v>
      </c>
    </row>
    <row r="2463" spans="2:3" x14ac:dyDescent="0.3">
      <c r="B2463">
        <v>4511571645</v>
      </c>
      <c r="C2463" t="s">
        <v>20</v>
      </c>
    </row>
    <row r="2464" spans="2:3" x14ac:dyDescent="0.3">
      <c r="B2464">
        <v>4511571645</v>
      </c>
      <c r="C2464" t="s">
        <v>20</v>
      </c>
    </row>
    <row r="2465" spans="2:3" x14ac:dyDescent="0.3">
      <c r="B2465">
        <v>4511571645</v>
      </c>
      <c r="C2465" t="s">
        <v>20</v>
      </c>
    </row>
    <row r="2466" spans="2:3" x14ac:dyDescent="0.3">
      <c r="B2466">
        <v>4511571644</v>
      </c>
      <c r="C2466" t="s">
        <v>30</v>
      </c>
    </row>
    <row r="2467" spans="2:3" x14ac:dyDescent="0.3">
      <c r="B2467">
        <v>4511571642</v>
      </c>
      <c r="C2467" t="s">
        <v>30</v>
      </c>
    </row>
    <row r="2468" spans="2:3" x14ac:dyDescent="0.3">
      <c r="B2468">
        <v>4511571642</v>
      </c>
      <c r="C2468" t="s">
        <v>30</v>
      </c>
    </row>
    <row r="2469" spans="2:3" x14ac:dyDescent="0.3">
      <c r="B2469">
        <v>4511571640</v>
      </c>
      <c r="C2469" t="s">
        <v>20</v>
      </c>
    </row>
    <row r="2470" spans="2:3" x14ac:dyDescent="0.3">
      <c r="B2470">
        <v>4511571640</v>
      </c>
      <c r="C2470" t="s">
        <v>20</v>
      </c>
    </row>
    <row r="2471" spans="2:3" x14ac:dyDescent="0.3">
      <c r="B2471">
        <v>4511571640</v>
      </c>
      <c r="C2471" t="s">
        <v>20</v>
      </c>
    </row>
    <row r="2472" spans="2:3" x14ac:dyDescent="0.3">
      <c r="B2472">
        <v>4511571640</v>
      </c>
      <c r="C2472" t="s">
        <v>20</v>
      </c>
    </row>
    <row r="2473" spans="2:3" x14ac:dyDescent="0.3">
      <c r="B2473">
        <v>4511571640</v>
      </c>
      <c r="C2473" t="s">
        <v>20</v>
      </c>
    </row>
    <row r="2474" spans="2:3" x14ac:dyDescent="0.3">
      <c r="B2474">
        <v>4511571634</v>
      </c>
      <c r="C2474" t="s">
        <v>20</v>
      </c>
    </row>
    <row r="2475" spans="2:3" x14ac:dyDescent="0.3">
      <c r="B2475">
        <v>4511571617</v>
      </c>
      <c r="C2475" t="s">
        <v>20</v>
      </c>
    </row>
    <row r="2476" spans="2:3" x14ac:dyDescent="0.3">
      <c r="B2476">
        <v>4511571591</v>
      </c>
      <c r="C2476" t="s">
        <v>20</v>
      </c>
    </row>
    <row r="2477" spans="2:3" x14ac:dyDescent="0.3">
      <c r="B2477">
        <v>4511571576</v>
      </c>
      <c r="C2477" t="s">
        <v>30</v>
      </c>
    </row>
    <row r="2478" spans="2:3" x14ac:dyDescent="0.3">
      <c r="B2478">
        <v>4511571576</v>
      </c>
      <c r="C2478" t="s">
        <v>30</v>
      </c>
    </row>
    <row r="2479" spans="2:3" x14ac:dyDescent="0.3">
      <c r="B2479">
        <v>4511571576</v>
      </c>
      <c r="C2479" t="s">
        <v>30</v>
      </c>
    </row>
    <row r="2480" spans="2:3" x14ac:dyDescent="0.3">
      <c r="B2480">
        <v>4511571576</v>
      </c>
      <c r="C2480" t="s">
        <v>30</v>
      </c>
    </row>
    <row r="2481" spans="2:3" x14ac:dyDescent="0.3">
      <c r="B2481">
        <v>4511571576</v>
      </c>
      <c r="C2481" t="s">
        <v>30</v>
      </c>
    </row>
    <row r="2482" spans="2:3" x14ac:dyDescent="0.3">
      <c r="B2482">
        <v>4511571576</v>
      </c>
      <c r="C2482" t="s">
        <v>30</v>
      </c>
    </row>
    <row r="2483" spans="2:3" x14ac:dyDescent="0.3">
      <c r="B2483">
        <v>4511571576</v>
      </c>
      <c r="C2483" t="s">
        <v>30</v>
      </c>
    </row>
    <row r="2484" spans="2:3" x14ac:dyDescent="0.3">
      <c r="B2484">
        <v>4511571576</v>
      </c>
      <c r="C2484" t="s">
        <v>30</v>
      </c>
    </row>
    <row r="2485" spans="2:3" x14ac:dyDescent="0.3">
      <c r="B2485">
        <v>4511571573</v>
      </c>
      <c r="C2485" t="s">
        <v>20</v>
      </c>
    </row>
    <row r="2486" spans="2:3" x14ac:dyDescent="0.3">
      <c r="B2486">
        <v>4511571571</v>
      </c>
      <c r="C2486" t="s">
        <v>30</v>
      </c>
    </row>
    <row r="2487" spans="2:3" x14ac:dyDescent="0.3">
      <c r="B2487">
        <v>4511571571</v>
      </c>
      <c r="C2487" t="s">
        <v>30</v>
      </c>
    </row>
    <row r="2488" spans="2:3" x14ac:dyDescent="0.3">
      <c r="B2488">
        <v>4511571571</v>
      </c>
      <c r="C2488" t="s">
        <v>30</v>
      </c>
    </row>
    <row r="2489" spans="2:3" x14ac:dyDescent="0.3">
      <c r="B2489">
        <v>4511571571</v>
      </c>
      <c r="C2489" t="s">
        <v>30</v>
      </c>
    </row>
    <row r="2490" spans="2:3" x14ac:dyDescent="0.3">
      <c r="B2490">
        <v>4511571571</v>
      </c>
      <c r="C2490" t="s">
        <v>30</v>
      </c>
    </row>
    <row r="2491" spans="2:3" x14ac:dyDescent="0.3">
      <c r="B2491">
        <v>4511571571</v>
      </c>
      <c r="C2491" t="s">
        <v>30</v>
      </c>
    </row>
    <row r="2492" spans="2:3" x14ac:dyDescent="0.3">
      <c r="B2492">
        <v>4511571571</v>
      </c>
      <c r="C2492" t="s">
        <v>30</v>
      </c>
    </row>
    <row r="2493" spans="2:3" x14ac:dyDescent="0.3">
      <c r="B2493">
        <v>4511571571</v>
      </c>
      <c r="C2493" t="s">
        <v>30</v>
      </c>
    </row>
    <row r="2494" spans="2:3" x14ac:dyDescent="0.3">
      <c r="B2494">
        <v>4511571551</v>
      </c>
      <c r="C2494" t="s">
        <v>30</v>
      </c>
    </row>
    <row r="2495" spans="2:3" x14ac:dyDescent="0.3">
      <c r="B2495">
        <v>4511571537</v>
      </c>
      <c r="C2495" t="s">
        <v>30</v>
      </c>
    </row>
    <row r="2496" spans="2:3" x14ac:dyDescent="0.3">
      <c r="B2496">
        <v>4511571512</v>
      </c>
      <c r="C2496" t="s">
        <v>30</v>
      </c>
    </row>
    <row r="2497" spans="2:3" x14ac:dyDescent="0.3">
      <c r="B2497">
        <v>4511571512</v>
      </c>
      <c r="C2497" t="s">
        <v>30</v>
      </c>
    </row>
    <row r="2498" spans="2:3" x14ac:dyDescent="0.3">
      <c r="B2498">
        <v>4511571486</v>
      </c>
      <c r="C2498" t="s">
        <v>37</v>
      </c>
    </row>
    <row r="2499" spans="2:3" x14ac:dyDescent="0.3">
      <c r="B2499">
        <v>4511571486</v>
      </c>
      <c r="C2499" t="s">
        <v>37</v>
      </c>
    </row>
    <row r="2500" spans="2:3" x14ac:dyDescent="0.3">
      <c r="B2500">
        <v>4511571477</v>
      </c>
      <c r="C2500" t="s">
        <v>30</v>
      </c>
    </row>
    <row r="2501" spans="2:3" x14ac:dyDescent="0.3">
      <c r="B2501">
        <v>4511571476</v>
      </c>
      <c r="C2501" t="s">
        <v>20</v>
      </c>
    </row>
    <row r="2502" spans="2:3" x14ac:dyDescent="0.3">
      <c r="B2502">
        <v>4511571473</v>
      </c>
      <c r="C2502" t="s">
        <v>30</v>
      </c>
    </row>
    <row r="2503" spans="2:3" x14ac:dyDescent="0.3">
      <c r="B2503">
        <v>4511571473</v>
      </c>
      <c r="C2503" t="s">
        <v>30</v>
      </c>
    </row>
    <row r="2504" spans="2:3" x14ac:dyDescent="0.3">
      <c r="B2504">
        <v>4511571468</v>
      </c>
      <c r="C2504" t="s">
        <v>20</v>
      </c>
    </row>
    <row r="2505" spans="2:3" x14ac:dyDescent="0.3">
      <c r="B2505">
        <v>4511571468</v>
      </c>
      <c r="C2505" t="s">
        <v>20</v>
      </c>
    </row>
    <row r="2506" spans="2:3" x14ac:dyDescent="0.3">
      <c r="B2506">
        <v>4511571457</v>
      </c>
      <c r="C2506" t="s">
        <v>20</v>
      </c>
    </row>
    <row r="2507" spans="2:3" x14ac:dyDescent="0.3">
      <c r="B2507">
        <v>4511571457</v>
      </c>
      <c r="C2507" t="s">
        <v>20</v>
      </c>
    </row>
    <row r="2508" spans="2:3" x14ac:dyDescent="0.3">
      <c r="B2508">
        <v>4511571457</v>
      </c>
      <c r="C2508" t="s">
        <v>20</v>
      </c>
    </row>
    <row r="2509" spans="2:3" x14ac:dyDescent="0.3">
      <c r="B2509">
        <v>4511571457</v>
      </c>
      <c r="C2509" t="s">
        <v>20</v>
      </c>
    </row>
    <row r="2510" spans="2:3" x14ac:dyDescent="0.3">
      <c r="B2510">
        <v>4511571457</v>
      </c>
      <c r="C2510" t="s">
        <v>20</v>
      </c>
    </row>
    <row r="2511" spans="2:3" x14ac:dyDescent="0.3">
      <c r="B2511">
        <v>4511571436</v>
      </c>
      <c r="C2511" t="s">
        <v>20</v>
      </c>
    </row>
    <row r="2512" spans="2:3" x14ac:dyDescent="0.3">
      <c r="B2512">
        <v>4511571386</v>
      </c>
      <c r="C2512" t="s">
        <v>37</v>
      </c>
    </row>
    <row r="2513" spans="2:3" x14ac:dyDescent="0.3">
      <c r="B2513">
        <v>4511571386</v>
      </c>
      <c r="C2513" t="s">
        <v>37</v>
      </c>
    </row>
    <row r="2514" spans="2:3" x14ac:dyDescent="0.3">
      <c r="B2514">
        <v>4511571386</v>
      </c>
      <c r="C2514" t="s">
        <v>37</v>
      </c>
    </row>
    <row r="2515" spans="2:3" x14ac:dyDescent="0.3">
      <c r="B2515">
        <v>4511571386</v>
      </c>
      <c r="C2515" t="s">
        <v>37</v>
      </c>
    </row>
    <row r="2516" spans="2:3" x14ac:dyDescent="0.3">
      <c r="B2516">
        <v>4511571386</v>
      </c>
      <c r="C2516" t="s">
        <v>37</v>
      </c>
    </row>
    <row r="2517" spans="2:3" x14ac:dyDescent="0.3">
      <c r="B2517">
        <v>4511571386</v>
      </c>
      <c r="C2517" t="s">
        <v>37</v>
      </c>
    </row>
    <row r="2518" spans="2:3" x14ac:dyDescent="0.3">
      <c r="B2518">
        <v>4511571386</v>
      </c>
      <c r="C2518" t="s">
        <v>37</v>
      </c>
    </row>
    <row r="2519" spans="2:3" x14ac:dyDescent="0.3">
      <c r="B2519">
        <v>4511571386</v>
      </c>
      <c r="C2519" t="s">
        <v>37</v>
      </c>
    </row>
    <row r="2520" spans="2:3" x14ac:dyDescent="0.3">
      <c r="B2520">
        <v>4511571386</v>
      </c>
      <c r="C2520" t="s">
        <v>37</v>
      </c>
    </row>
    <row r="2521" spans="2:3" x14ac:dyDescent="0.3">
      <c r="B2521">
        <v>4511571386</v>
      </c>
      <c r="C2521" t="s">
        <v>37</v>
      </c>
    </row>
    <row r="2522" spans="2:3" x14ac:dyDescent="0.3">
      <c r="B2522">
        <v>4511571332</v>
      </c>
      <c r="C2522" t="s">
        <v>20</v>
      </c>
    </row>
    <row r="2523" spans="2:3" x14ac:dyDescent="0.3">
      <c r="B2523">
        <v>4511571235</v>
      </c>
      <c r="C2523" t="s">
        <v>30</v>
      </c>
    </row>
    <row r="2524" spans="2:3" x14ac:dyDescent="0.3">
      <c r="B2524">
        <v>4511571235</v>
      </c>
      <c r="C2524" t="s">
        <v>30</v>
      </c>
    </row>
    <row r="2525" spans="2:3" x14ac:dyDescent="0.3">
      <c r="B2525">
        <v>4511571235</v>
      </c>
      <c r="C2525" t="s">
        <v>30</v>
      </c>
    </row>
    <row r="2526" spans="2:3" x14ac:dyDescent="0.3">
      <c r="B2526">
        <v>4511571224</v>
      </c>
      <c r="C2526" t="s">
        <v>30</v>
      </c>
    </row>
    <row r="2527" spans="2:3" x14ac:dyDescent="0.3">
      <c r="B2527">
        <v>4511571224</v>
      </c>
      <c r="C2527" t="s">
        <v>30</v>
      </c>
    </row>
    <row r="2528" spans="2:3" x14ac:dyDescent="0.3">
      <c r="B2528">
        <v>4511571174</v>
      </c>
      <c r="C2528" t="s">
        <v>30</v>
      </c>
    </row>
    <row r="2529" spans="2:3" x14ac:dyDescent="0.3">
      <c r="B2529">
        <v>4511571174</v>
      </c>
      <c r="C2529" t="s">
        <v>30</v>
      </c>
    </row>
    <row r="2530" spans="2:3" x14ac:dyDescent="0.3">
      <c r="B2530">
        <v>4511571174</v>
      </c>
      <c r="C2530" t="s">
        <v>30</v>
      </c>
    </row>
    <row r="2531" spans="2:3" x14ac:dyDescent="0.3">
      <c r="B2531">
        <v>4511571161</v>
      </c>
      <c r="C2531" t="s">
        <v>37</v>
      </c>
    </row>
    <row r="2532" spans="2:3" x14ac:dyDescent="0.3">
      <c r="B2532">
        <v>4511571122</v>
      </c>
      <c r="C2532" t="s">
        <v>30</v>
      </c>
    </row>
    <row r="2533" spans="2:3" x14ac:dyDescent="0.3">
      <c r="B2533">
        <v>4511571122</v>
      </c>
      <c r="C2533" t="s">
        <v>30</v>
      </c>
    </row>
    <row r="2534" spans="2:3" x14ac:dyDescent="0.3">
      <c r="B2534">
        <v>4511571113</v>
      </c>
      <c r="C2534" t="s">
        <v>30</v>
      </c>
    </row>
    <row r="2535" spans="2:3" x14ac:dyDescent="0.3">
      <c r="B2535">
        <v>4511570991</v>
      </c>
      <c r="C2535" t="s">
        <v>18</v>
      </c>
    </row>
    <row r="2536" spans="2:3" x14ac:dyDescent="0.3">
      <c r="B2536">
        <v>4511570991</v>
      </c>
      <c r="C2536" t="s">
        <v>18</v>
      </c>
    </row>
    <row r="2537" spans="2:3" x14ac:dyDescent="0.3">
      <c r="B2537">
        <v>4511570991</v>
      </c>
      <c r="C2537" t="s">
        <v>18</v>
      </c>
    </row>
    <row r="2538" spans="2:3" x14ac:dyDescent="0.3">
      <c r="B2538">
        <v>4511570989</v>
      </c>
      <c r="C2538" t="s">
        <v>18</v>
      </c>
    </row>
    <row r="2539" spans="2:3" x14ac:dyDescent="0.3">
      <c r="B2539">
        <v>4511570989</v>
      </c>
      <c r="C2539" t="s">
        <v>18</v>
      </c>
    </row>
    <row r="2540" spans="2:3" x14ac:dyDescent="0.3">
      <c r="B2540">
        <v>4511570989</v>
      </c>
      <c r="C2540" t="s">
        <v>18</v>
      </c>
    </row>
    <row r="2541" spans="2:3" x14ac:dyDescent="0.3">
      <c r="B2541">
        <v>4511570988</v>
      </c>
      <c r="C2541" t="s">
        <v>18</v>
      </c>
    </row>
    <row r="2542" spans="2:3" x14ac:dyDescent="0.3">
      <c r="B2542">
        <v>4511570988</v>
      </c>
      <c r="C2542" t="s">
        <v>18</v>
      </c>
    </row>
    <row r="2543" spans="2:3" x14ac:dyDescent="0.3">
      <c r="B2543">
        <v>4511570986</v>
      </c>
      <c r="C2543" t="s">
        <v>18</v>
      </c>
    </row>
    <row r="2544" spans="2:3" x14ac:dyDescent="0.3">
      <c r="B2544">
        <v>4511570984</v>
      </c>
      <c r="C2544" t="s">
        <v>18</v>
      </c>
    </row>
    <row r="2545" spans="2:3" x14ac:dyDescent="0.3">
      <c r="B2545">
        <v>4511570980</v>
      </c>
      <c r="C2545" t="s">
        <v>18</v>
      </c>
    </row>
    <row r="2546" spans="2:3" x14ac:dyDescent="0.3">
      <c r="B2546">
        <v>4511570975</v>
      </c>
      <c r="C2546" t="s">
        <v>18</v>
      </c>
    </row>
    <row r="2547" spans="2:3" x14ac:dyDescent="0.3">
      <c r="B2547">
        <v>4511570975</v>
      </c>
      <c r="C2547" t="s">
        <v>18</v>
      </c>
    </row>
    <row r="2548" spans="2:3" x14ac:dyDescent="0.3">
      <c r="B2548">
        <v>4511570958</v>
      </c>
      <c r="C2548" t="s">
        <v>20</v>
      </c>
    </row>
    <row r="2549" spans="2:3" x14ac:dyDescent="0.3">
      <c r="B2549">
        <v>4511570958</v>
      </c>
      <c r="C2549" t="s">
        <v>20</v>
      </c>
    </row>
    <row r="2550" spans="2:3" x14ac:dyDescent="0.3">
      <c r="B2550">
        <v>4511570958</v>
      </c>
      <c r="C2550" t="s">
        <v>20</v>
      </c>
    </row>
    <row r="2551" spans="2:3" x14ac:dyDescent="0.3">
      <c r="B2551">
        <v>4511570958</v>
      </c>
      <c r="C2551" t="s">
        <v>20</v>
      </c>
    </row>
    <row r="2552" spans="2:3" x14ac:dyDescent="0.3">
      <c r="B2552">
        <v>4511570958</v>
      </c>
      <c r="C2552" t="s">
        <v>20</v>
      </c>
    </row>
    <row r="2553" spans="2:3" x14ac:dyDescent="0.3">
      <c r="B2553">
        <v>4511570956</v>
      </c>
      <c r="C2553" t="s">
        <v>30</v>
      </c>
    </row>
    <row r="2554" spans="2:3" x14ac:dyDescent="0.3">
      <c r="B2554">
        <v>4511570933</v>
      </c>
      <c r="C2554" t="s">
        <v>20</v>
      </c>
    </row>
    <row r="2555" spans="2:3" x14ac:dyDescent="0.3">
      <c r="B2555">
        <v>4511570933</v>
      </c>
      <c r="C2555" t="s">
        <v>20</v>
      </c>
    </row>
    <row r="2556" spans="2:3" x14ac:dyDescent="0.3">
      <c r="B2556">
        <v>4511570933</v>
      </c>
      <c r="C2556" t="s">
        <v>20</v>
      </c>
    </row>
    <row r="2557" spans="2:3" x14ac:dyDescent="0.3">
      <c r="B2557">
        <v>4511570933</v>
      </c>
      <c r="C2557" t="s">
        <v>20</v>
      </c>
    </row>
    <row r="2558" spans="2:3" x14ac:dyDescent="0.3">
      <c r="B2558">
        <v>4511570723</v>
      </c>
      <c r="C2558" t="s">
        <v>18</v>
      </c>
    </row>
    <row r="2559" spans="2:3" x14ac:dyDescent="0.3">
      <c r="B2559">
        <v>4511570682</v>
      </c>
      <c r="C2559" t="s">
        <v>30</v>
      </c>
    </row>
    <row r="2560" spans="2:3" x14ac:dyDescent="0.3">
      <c r="B2560">
        <v>4511570682</v>
      </c>
      <c r="C2560" t="s">
        <v>30</v>
      </c>
    </row>
    <row r="2561" spans="2:3" x14ac:dyDescent="0.3">
      <c r="B2561">
        <v>4511570682</v>
      </c>
      <c r="C2561" t="s">
        <v>30</v>
      </c>
    </row>
    <row r="2562" spans="2:3" x14ac:dyDescent="0.3">
      <c r="B2562">
        <v>4511570682</v>
      </c>
      <c r="C2562" t="s">
        <v>30</v>
      </c>
    </row>
    <row r="2563" spans="2:3" x14ac:dyDescent="0.3">
      <c r="B2563">
        <v>4511570676</v>
      </c>
      <c r="C2563" t="s">
        <v>30</v>
      </c>
    </row>
    <row r="2564" spans="2:3" x14ac:dyDescent="0.3">
      <c r="B2564">
        <v>4511570676</v>
      </c>
      <c r="C2564" t="s">
        <v>30</v>
      </c>
    </row>
    <row r="2565" spans="2:3" x14ac:dyDescent="0.3">
      <c r="B2565">
        <v>4511570667</v>
      </c>
      <c r="C2565" t="s">
        <v>20</v>
      </c>
    </row>
    <row r="2566" spans="2:3" x14ac:dyDescent="0.3">
      <c r="B2566">
        <v>4511570643</v>
      </c>
      <c r="C2566" t="s">
        <v>20</v>
      </c>
    </row>
    <row r="2567" spans="2:3" x14ac:dyDescent="0.3">
      <c r="B2567">
        <v>4511570641</v>
      </c>
      <c r="C2567" t="s">
        <v>18</v>
      </c>
    </row>
    <row r="2568" spans="2:3" x14ac:dyDescent="0.3">
      <c r="B2568">
        <v>4511570641</v>
      </c>
      <c r="C2568" t="s">
        <v>18</v>
      </c>
    </row>
    <row r="2569" spans="2:3" x14ac:dyDescent="0.3">
      <c r="B2569">
        <v>4511570641</v>
      </c>
      <c r="C2569" t="s">
        <v>18</v>
      </c>
    </row>
    <row r="2570" spans="2:3" x14ac:dyDescent="0.3">
      <c r="B2570">
        <v>4511570641</v>
      </c>
      <c r="C2570" t="s">
        <v>18</v>
      </c>
    </row>
    <row r="2571" spans="2:3" x14ac:dyDescent="0.3">
      <c r="B2571">
        <v>4511570485</v>
      </c>
      <c r="C2571" t="s">
        <v>18</v>
      </c>
    </row>
    <row r="2572" spans="2:3" x14ac:dyDescent="0.3">
      <c r="B2572">
        <v>4511570464</v>
      </c>
      <c r="C2572" t="s">
        <v>18</v>
      </c>
    </row>
    <row r="2573" spans="2:3" x14ac:dyDescent="0.3">
      <c r="B2573">
        <v>4511570464</v>
      </c>
      <c r="C2573" t="s">
        <v>18</v>
      </c>
    </row>
    <row r="2574" spans="2:3" x14ac:dyDescent="0.3">
      <c r="B2574">
        <v>4511570464</v>
      </c>
      <c r="C2574" t="s">
        <v>18</v>
      </c>
    </row>
    <row r="2575" spans="2:3" x14ac:dyDescent="0.3">
      <c r="B2575">
        <v>4511570464</v>
      </c>
      <c r="C2575" t="s">
        <v>18</v>
      </c>
    </row>
    <row r="2576" spans="2:3" x14ac:dyDescent="0.3">
      <c r="B2576">
        <v>4511570464</v>
      </c>
      <c r="C2576" t="s">
        <v>18</v>
      </c>
    </row>
    <row r="2577" spans="2:3" x14ac:dyDescent="0.3">
      <c r="B2577">
        <v>4511570464</v>
      </c>
      <c r="C2577" t="s">
        <v>18</v>
      </c>
    </row>
    <row r="2578" spans="2:3" x14ac:dyDescent="0.3">
      <c r="B2578">
        <v>4511570464</v>
      </c>
      <c r="C2578" t="s">
        <v>18</v>
      </c>
    </row>
    <row r="2579" spans="2:3" x14ac:dyDescent="0.3">
      <c r="B2579">
        <v>4511570443</v>
      </c>
      <c r="C2579" t="s">
        <v>20</v>
      </c>
    </row>
    <row r="2580" spans="2:3" x14ac:dyDescent="0.3">
      <c r="B2580">
        <v>4511570425</v>
      </c>
      <c r="C2580" t="s">
        <v>20</v>
      </c>
    </row>
    <row r="2581" spans="2:3" x14ac:dyDescent="0.3">
      <c r="B2581">
        <v>4511570425</v>
      </c>
      <c r="C2581" t="s">
        <v>20</v>
      </c>
    </row>
    <row r="2582" spans="2:3" x14ac:dyDescent="0.3">
      <c r="B2582">
        <v>4511570425</v>
      </c>
      <c r="C2582" t="s">
        <v>20</v>
      </c>
    </row>
    <row r="2583" spans="2:3" x14ac:dyDescent="0.3">
      <c r="B2583">
        <v>4511570349</v>
      </c>
      <c r="C2583" t="s">
        <v>20</v>
      </c>
    </row>
    <row r="2584" spans="2:3" x14ac:dyDescent="0.3">
      <c r="B2584">
        <v>4511570349</v>
      </c>
      <c r="C2584" t="s">
        <v>20</v>
      </c>
    </row>
    <row r="2585" spans="2:3" x14ac:dyDescent="0.3">
      <c r="B2585">
        <v>4511570349</v>
      </c>
      <c r="C2585" t="s">
        <v>20</v>
      </c>
    </row>
    <row r="2586" spans="2:3" x14ac:dyDescent="0.3">
      <c r="B2586">
        <v>4511570349</v>
      </c>
      <c r="C2586" t="s">
        <v>20</v>
      </c>
    </row>
    <row r="2587" spans="2:3" x14ac:dyDescent="0.3">
      <c r="B2587">
        <v>4511570266</v>
      </c>
      <c r="C2587" t="s">
        <v>20</v>
      </c>
    </row>
    <row r="2588" spans="2:3" x14ac:dyDescent="0.3">
      <c r="B2588">
        <v>4511570262</v>
      </c>
      <c r="C2588" t="s">
        <v>20</v>
      </c>
    </row>
    <row r="2589" spans="2:3" x14ac:dyDescent="0.3">
      <c r="B2589">
        <v>4511570262</v>
      </c>
      <c r="C2589" t="s">
        <v>20</v>
      </c>
    </row>
    <row r="2590" spans="2:3" x14ac:dyDescent="0.3">
      <c r="B2590">
        <v>4511570239</v>
      </c>
      <c r="C2590" t="s">
        <v>30</v>
      </c>
    </row>
    <row r="2591" spans="2:3" x14ac:dyDescent="0.3">
      <c r="B2591">
        <v>4511570238</v>
      </c>
      <c r="C2591" t="s">
        <v>20</v>
      </c>
    </row>
    <row r="2592" spans="2:3" x14ac:dyDescent="0.3">
      <c r="B2592">
        <v>4511570238</v>
      </c>
      <c r="C2592" t="s">
        <v>20</v>
      </c>
    </row>
    <row r="2593" spans="2:3" x14ac:dyDescent="0.3">
      <c r="B2593">
        <v>4511570238</v>
      </c>
      <c r="C2593" t="s">
        <v>20</v>
      </c>
    </row>
    <row r="2594" spans="2:3" x14ac:dyDescent="0.3">
      <c r="B2594">
        <v>4511570238</v>
      </c>
      <c r="C2594" t="s">
        <v>20</v>
      </c>
    </row>
    <row r="2595" spans="2:3" x14ac:dyDescent="0.3">
      <c r="B2595">
        <v>4511570218</v>
      </c>
      <c r="C2595" t="s">
        <v>18</v>
      </c>
    </row>
    <row r="2596" spans="2:3" x14ac:dyDescent="0.3">
      <c r="B2596">
        <v>4511570218</v>
      </c>
      <c r="C2596" t="s">
        <v>18</v>
      </c>
    </row>
    <row r="2597" spans="2:3" x14ac:dyDescent="0.3">
      <c r="B2597">
        <v>4511570110</v>
      </c>
      <c r="C2597" t="s">
        <v>30</v>
      </c>
    </row>
    <row r="2598" spans="2:3" x14ac:dyDescent="0.3">
      <c r="B2598">
        <v>4511570109</v>
      </c>
      <c r="C2598" t="s">
        <v>30</v>
      </c>
    </row>
    <row r="2599" spans="2:3" x14ac:dyDescent="0.3">
      <c r="B2599">
        <v>4511570105</v>
      </c>
      <c r="C2599" t="s">
        <v>30</v>
      </c>
    </row>
    <row r="2600" spans="2:3" x14ac:dyDescent="0.3">
      <c r="B2600">
        <v>4511570099</v>
      </c>
      <c r="C2600" t="s">
        <v>37</v>
      </c>
    </row>
    <row r="2601" spans="2:3" x14ac:dyDescent="0.3">
      <c r="B2601">
        <v>4511570099</v>
      </c>
      <c r="C2601" t="s">
        <v>37</v>
      </c>
    </row>
    <row r="2602" spans="2:3" x14ac:dyDescent="0.3">
      <c r="B2602">
        <v>4511570006</v>
      </c>
      <c r="C2602" t="s">
        <v>18</v>
      </c>
    </row>
    <row r="2603" spans="2:3" x14ac:dyDescent="0.3">
      <c r="B2603">
        <v>4511570006</v>
      </c>
      <c r="C2603" t="s">
        <v>18</v>
      </c>
    </row>
    <row r="2604" spans="2:3" x14ac:dyDescent="0.3">
      <c r="B2604">
        <v>4511570006</v>
      </c>
      <c r="C2604" t="s">
        <v>18</v>
      </c>
    </row>
    <row r="2605" spans="2:3" x14ac:dyDescent="0.3">
      <c r="B2605">
        <v>4511570006</v>
      </c>
      <c r="C2605" t="s">
        <v>18</v>
      </c>
    </row>
    <row r="2606" spans="2:3" x14ac:dyDescent="0.3">
      <c r="B2606">
        <v>4511569997</v>
      </c>
      <c r="C2606" t="s">
        <v>18</v>
      </c>
    </row>
    <row r="2607" spans="2:3" x14ac:dyDescent="0.3">
      <c r="B2607">
        <v>4511569941</v>
      </c>
      <c r="C2607" t="s">
        <v>18</v>
      </c>
    </row>
    <row r="2608" spans="2:3" x14ac:dyDescent="0.3">
      <c r="B2608">
        <v>4511569813</v>
      </c>
      <c r="C2608" t="s">
        <v>20</v>
      </c>
    </row>
    <row r="2609" spans="2:3" x14ac:dyDescent="0.3">
      <c r="B2609">
        <v>4511569813</v>
      </c>
      <c r="C2609" t="s">
        <v>20</v>
      </c>
    </row>
    <row r="2610" spans="2:3" x14ac:dyDescent="0.3">
      <c r="B2610">
        <v>4511569813</v>
      </c>
      <c r="C2610" t="s">
        <v>20</v>
      </c>
    </row>
    <row r="2611" spans="2:3" x14ac:dyDescent="0.3">
      <c r="B2611">
        <v>4511569811</v>
      </c>
      <c r="C2611" t="s">
        <v>20</v>
      </c>
    </row>
    <row r="2612" spans="2:3" x14ac:dyDescent="0.3">
      <c r="B2612">
        <v>4511569763</v>
      </c>
      <c r="C2612" t="s">
        <v>18</v>
      </c>
    </row>
    <row r="2613" spans="2:3" x14ac:dyDescent="0.3">
      <c r="B2613">
        <v>4511569758</v>
      </c>
      <c r="C2613" t="s">
        <v>20</v>
      </c>
    </row>
    <row r="2614" spans="2:3" x14ac:dyDescent="0.3">
      <c r="B2614">
        <v>4511569758</v>
      </c>
      <c r="C2614" t="s">
        <v>20</v>
      </c>
    </row>
    <row r="2615" spans="2:3" x14ac:dyDescent="0.3">
      <c r="B2615">
        <v>4520095132</v>
      </c>
      <c r="C2615" t="s">
        <v>30</v>
      </c>
    </row>
    <row r="2616" spans="2:3" x14ac:dyDescent="0.3">
      <c r="B2616">
        <v>4520095132</v>
      </c>
      <c r="C2616" t="s">
        <v>30</v>
      </c>
    </row>
    <row r="2617" spans="2:3" x14ac:dyDescent="0.3">
      <c r="B2617">
        <v>4520095132</v>
      </c>
      <c r="C2617" t="s">
        <v>30</v>
      </c>
    </row>
    <row r="2618" spans="2:3" x14ac:dyDescent="0.3">
      <c r="B2618">
        <v>4511569750</v>
      </c>
      <c r="C2618" t="s">
        <v>30</v>
      </c>
    </row>
    <row r="2619" spans="2:3" x14ac:dyDescent="0.3">
      <c r="B2619">
        <v>4511569736</v>
      </c>
      <c r="C2619" t="s">
        <v>20</v>
      </c>
    </row>
    <row r="2620" spans="2:3" x14ac:dyDescent="0.3">
      <c r="B2620">
        <v>4511569736</v>
      </c>
      <c r="C2620" t="s">
        <v>20</v>
      </c>
    </row>
    <row r="2621" spans="2:3" x14ac:dyDescent="0.3">
      <c r="B2621">
        <v>4511569736</v>
      </c>
      <c r="C2621" t="s">
        <v>20</v>
      </c>
    </row>
    <row r="2622" spans="2:3" x14ac:dyDescent="0.3">
      <c r="B2622">
        <v>4511569736</v>
      </c>
      <c r="C2622" t="s">
        <v>20</v>
      </c>
    </row>
    <row r="2623" spans="2:3" x14ac:dyDescent="0.3">
      <c r="B2623">
        <v>4511569663</v>
      </c>
      <c r="C2623" t="s">
        <v>20</v>
      </c>
    </row>
    <row r="2624" spans="2:3" x14ac:dyDescent="0.3">
      <c r="B2624">
        <v>4511569610</v>
      </c>
      <c r="C2624" t="s">
        <v>20</v>
      </c>
    </row>
    <row r="2625" spans="2:3" x14ac:dyDescent="0.3">
      <c r="B2625">
        <v>4511569610</v>
      </c>
      <c r="C2625" t="s">
        <v>20</v>
      </c>
    </row>
    <row r="2626" spans="2:3" x14ac:dyDescent="0.3">
      <c r="B2626">
        <v>4511569610</v>
      </c>
      <c r="C2626" t="s">
        <v>20</v>
      </c>
    </row>
    <row r="2627" spans="2:3" x14ac:dyDescent="0.3">
      <c r="B2627">
        <v>4511569576</v>
      </c>
      <c r="C2627" t="s">
        <v>30</v>
      </c>
    </row>
    <row r="2628" spans="2:3" x14ac:dyDescent="0.3">
      <c r="B2628">
        <v>4511569417</v>
      </c>
      <c r="C2628" t="s">
        <v>30</v>
      </c>
    </row>
    <row r="2629" spans="2:3" x14ac:dyDescent="0.3">
      <c r="B2629">
        <v>4511569391</v>
      </c>
      <c r="C2629" t="s">
        <v>30</v>
      </c>
    </row>
    <row r="2630" spans="2:3" x14ac:dyDescent="0.3">
      <c r="B2630">
        <v>4511569366</v>
      </c>
      <c r="C2630" t="s">
        <v>30</v>
      </c>
    </row>
    <row r="2631" spans="2:3" x14ac:dyDescent="0.3">
      <c r="B2631">
        <v>4511569149</v>
      </c>
      <c r="C2631" t="s">
        <v>20</v>
      </c>
    </row>
    <row r="2632" spans="2:3" x14ac:dyDescent="0.3">
      <c r="B2632">
        <v>4511569089</v>
      </c>
      <c r="C2632" t="s">
        <v>37</v>
      </c>
    </row>
    <row r="2633" spans="2:3" x14ac:dyDescent="0.3">
      <c r="B2633">
        <v>4511568977</v>
      </c>
      <c r="C2633" t="s">
        <v>20</v>
      </c>
    </row>
    <row r="2634" spans="2:3" x14ac:dyDescent="0.3">
      <c r="B2634">
        <v>4511568602</v>
      </c>
      <c r="C2634" t="s">
        <v>20</v>
      </c>
    </row>
    <row r="2635" spans="2:3" x14ac:dyDescent="0.3">
      <c r="B2635">
        <v>4511568394</v>
      </c>
      <c r="C2635" t="s">
        <v>20</v>
      </c>
    </row>
    <row r="2636" spans="2:3" x14ac:dyDescent="0.3">
      <c r="B2636">
        <v>4511568166</v>
      </c>
      <c r="C2636" t="s">
        <v>20</v>
      </c>
    </row>
    <row r="2637" spans="2:3" x14ac:dyDescent="0.3">
      <c r="B2637">
        <v>4511568166</v>
      </c>
      <c r="C2637" t="s">
        <v>20</v>
      </c>
    </row>
    <row r="2638" spans="2:3" x14ac:dyDescent="0.3">
      <c r="B2638">
        <v>4511568164</v>
      </c>
      <c r="C2638" t="s">
        <v>20</v>
      </c>
    </row>
    <row r="2639" spans="2:3" x14ac:dyDescent="0.3">
      <c r="B2639">
        <v>4511568164</v>
      </c>
      <c r="C2639" t="s">
        <v>20</v>
      </c>
    </row>
    <row r="2640" spans="2:3" x14ac:dyDescent="0.3">
      <c r="B2640">
        <v>4511568164</v>
      </c>
      <c r="C2640" t="s">
        <v>20</v>
      </c>
    </row>
    <row r="2641" spans="2:3" x14ac:dyDescent="0.3">
      <c r="B2641">
        <v>4511568164</v>
      </c>
      <c r="C2641" t="s">
        <v>20</v>
      </c>
    </row>
    <row r="2642" spans="2:3" x14ac:dyDescent="0.3">
      <c r="B2642">
        <v>4511568164</v>
      </c>
      <c r="C2642" t="s">
        <v>20</v>
      </c>
    </row>
    <row r="2643" spans="2:3" x14ac:dyDescent="0.3">
      <c r="B2643">
        <v>4511568164</v>
      </c>
      <c r="C2643" t="s">
        <v>20</v>
      </c>
    </row>
    <row r="2644" spans="2:3" x14ac:dyDescent="0.3">
      <c r="B2644">
        <v>4511568164</v>
      </c>
      <c r="C2644" t="s">
        <v>20</v>
      </c>
    </row>
    <row r="2645" spans="2:3" x14ac:dyDescent="0.3">
      <c r="B2645">
        <v>4511568164</v>
      </c>
      <c r="C2645" t="s">
        <v>20</v>
      </c>
    </row>
    <row r="2646" spans="2:3" x14ac:dyDescent="0.3">
      <c r="B2646">
        <v>4511568164</v>
      </c>
      <c r="C2646" t="s">
        <v>20</v>
      </c>
    </row>
    <row r="2647" spans="2:3" x14ac:dyDescent="0.3">
      <c r="B2647">
        <v>4511568097</v>
      </c>
      <c r="C2647" t="s">
        <v>30</v>
      </c>
    </row>
    <row r="2648" spans="2:3" x14ac:dyDescent="0.3">
      <c r="B2648">
        <v>4511568097</v>
      </c>
      <c r="C2648" t="s">
        <v>30</v>
      </c>
    </row>
    <row r="2649" spans="2:3" x14ac:dyDescent="0.3">
      <c r="B2649">
        <v>4511568097</v>
      </c>
      <c r="C2649" t="s">
        <v>30</v>
      </c>
    </row>
    <row r="2650" spans="2:3" x14ac:dyDescent="0.3">
      <c r="B2650">
        <v>4511568097</v>
      </c>
      <c r="C2650" t="s">
        <v>30</v>
      </c>
    </row>
    <row r="2651" spans="2:3" x14ac:dyDescent="0.3">
      <c r="B2651">
        <v>4511568097</v>
      </c>
      <c r="C2651" t="s">
        <v>30</v>
      </c>
    </row>
    <row r="2652" spans="2:3" x14ac:dyDescent="0.3">
      <c r="B2652">
        <v>4511568097</v>
      </c>
      <c r="C2652" t="s">
        <v>30</v>
      </c>
    </row>
    <row r="2653" spans="2:3" x14ac:dyDescent="0.3">
      <c r="B2653">
        <v>4511568097</v>
      </c>
      <c r="C2653" t="s">
        <v>30</v>
      </c>
    </row>
    <row r="2654" spans="2:3" x14ac:dyDescent="0.3">
      <c r="B2654">
        <v>4511568097</v>
      </c>
      <c r="C2654" t="s">
        <v>30</v>
      </c>
    </row>
    <row r="2655" spans="2:3" x14ac:dyDescent="0.3">
      <c r="B2655">
        <v>4511568017</v>
      </c>
      <c r="C2655" t="s">
        <v>18</v>
      </c>
    </row>
    <row r="2656" spans="2:3" x14ac:dyDescent="0.3">
      <c r="B2656">
        <v>4511567999</v>
      </c>
      <c r="C2656" t="s">
        <v>30</v>
      </c>
    </row>
    <row r="2657" spans="2:3" x14ac:dyDescent="0.3">
      <c r="B2657">
        <v>4511567999</v>
      </c>
      <c r="C2657" t="s">
        <v>30</v>
      </c>
    </row>
    <row r="2658" spans="2:3" x14ac:dyDescent="0.3">
      <c r="B2658">
        <v>4511567999</v>
      </c>
      <c r="C2658" t="s">
        <v>30</v>
      </c>
    </row>
    <row r="2659" spans="2:3" x14ac:dyDescent="0.3">
      <c r="B2659">
        <v>4511567999</v>
      </c>
      <c r="C2659" t="s">
        <v>30</v>
      </c>
    </row>
    <row r="2660" spans="2:3" x14ac:dyDescent="0.3">
      <c r="B2660">
        <v>4511567999</v>
      </c>
      <c r="C2660" t="s">
        <v>30</v>
      </c>
    </row>
    <row r="2661" spans="2:3" x14ac:dyDescent="0.3">
      <c r="B2661">
        <v>4511567999</v>
      </c>
      <c r="C2661" t="s">
        <v>30</v>
      </c>
    </row>
    <row r="2662" spans="2:3" x14ac:dyDescent="0.3">
      <c r="B2662">
        <v>4511567986</v>
      </c>
      <c r="C2662" t="s">
        <v>30</v>
      </c>
    </row>
    <row r="2663" spans="2:3" x14ac:dyDescent="0.3">
      <c r="B2663">
        <v>4511567986</v>
      </c>
      <c r="C2663" t="s">
        <v>30</v>
      </c>
    </row>
    <row r="2664" spans="2:3" x14ac:dyDescent="0.3">
      <c r="B2664">
        <v>4511567983</v>
      </c>
      <c r="C2664" t="s">
        <v>30</v>
      </c>
    </row>
    <row r="2665" spans="2:3" x14ac:dyDescent="0.3">
      <c r="B2665">
        <v>4511567983</v>
      </c>
      <c r="C2665" t="s">
        <v>30</v>
      </c>
    </row>
    <row r="2666" spans="2:3" x14ac:dyDescent="0.3">
      <c r="B2666">
        <v>4511567983</v>
      </c>
      <c r="C2666" t="s">
        <v>30</v>
      </c>
    </row>
    <row r="2667" spans="2:3" x14ac:dyDescent="0.3">
      <c r="B2667">
        <v>4511567983</v>
      </c>
      <c r="C2667" t="s">
        <v>30</v>
      </c>
    </row>
    <row r="2668" spans="2:3" x14ac:dyDescent="0.3">
      <c r="B2668">
        <v>4511567983</v>
      </c>
      <c r="C2668" t="s">
        <v>30</v>
      </c>
    </row>
    <row r="2669" spans="2:3" x14ac:dyDescent="0.3">
      <c r="B2669">
        <v>4511567983</v>
      </c>
      <c r="C2669" t="s">
        <v>30</v>
      </c>
    </row>
    <row r="2670" spans="2:3" x14ac:dyDescent="0.3">
      <c r="B2670">
        <v>4511567983</v>
      </c>
      <c r="C2670" t="s">
        <v>30</v>
      </c>
    </row>
    <row r="2671" spans="2:3" x14ac:dyDescent="0.3">
      <c r="B2671">
        <v>4511567983</v>
      </c>
      <c r="C2671" t="s">
        <v>30</v>
      </c>
    </row>
    <row r="2672" spans="2:3" x14ac:dyDescent="0.3">
      <c r="B2672">
        <v>4511567983</v>
      </c>
      <c r="C2672" t="s">
        <v>30</v>
      </c>
    </row>
    <row r="2673" spans="2:3" x14ac:dyDescent="0.3">
      <c r="B2673">
        <v>4511567983</v>
      </c>
      <c r="C2673" t="s">
        <v>30</v>
      </c>
    </row>
    <row r="2674" spans="2:3" x14ac:dyDescent="0.3">
      <c r="B2674">
        <v>4511567983</v>
      </c>
      <c r="C2674" t="s">
        <v>30</v>
      </c>
    </row>
    <row r="2675" spans="2:3" x14ac:dyDescent="0.3">
      <c r="B2675">
        <v>4511567983</v>
      </c>
      <c r="C2675" t="s">
        <v>30</v>
      </c>
    </row>
    <row r="2676" spans="2:3" x14ac:dyDescent="0.3">
      <c r="B2676">
        <v>4511567954</v>
      </c>
      <c r="C2676" t="s">
        <v>30</v>
      </c>
    </row>
    <row r="2677" spans="2:3" x14ac:dyDescent="0.3">
      <c r="B2677">
        <v>4511567954</v>
      </c>
      <c r="C2677" t="s">
        <v>30</v>
      </c>
    </row>
    <row r="2678" spans="2:3" x14ac:dyDescent="0.3">
      <c r="B2678">
        <v>4511567954</v>
      </c>
      <c r="C2678" t="s">
        <v>30</v>
      </c>
    </row>
    <row r="2679" spans="2:3" x14ac:dyDescent="0.3">
      <c r="B2679">
        <v>4511567782</v>
      </c>
      <c r="C2679" t="s">
        <v>18</v>
      </c>
    </row>
    <row r="2680" spans="2:3" x14ac:dyDescent="0.3">
      <c r="B2680">
        <v>4511567782</v>
      </c>
      <c r="C2680" t="s">
        <v>18</v>
      </c>
    </row>
    <row r="2681" spans="2:3" x14ac:dyDescent="0.3">
      <c r="B2681">
        <v>4511567775</v>
      </c>
      <c r="C2681" t="s">
        <v>30</v>
      </c>
    </row>
    <row r="2682" spans="2:3" x14ac:dyDescent="0.3">
      <c r="B2682">
        <v>4511567725</v>
      </c>
      <c r="C2682" t="s">
        <v>20</v>
      </c>
    </row>
    <row r="2683" spans="2:3" x14ac:dyDescent="0.3">
      <c r="B2683">
        <v>4511567699</v>
      </c>
      <c r="C2683" t="s">
        <v>30</v>
      </c>
    </row>
    <row r="2684" spans="2:3" x14ac:dyDescent="0.3">
      <c r="B2684">
        <v>4511567699</v>
      </c>
      <c r="C2684" t="s">
        <v>30</v>
      </c>
    </row>
    <row r="2685" spans="2:3" x14ac:dyDescent="0.3">
      <c r="B2685">
        <v>4511567699</v>
      </c>
      <c r="C2685" t="s">
        <v>30</v>
      </c>
    </row>
    <row r="2686" spans="2:3" x14ac:dyDescent="0.3">
      <c r="B2686">
        <v>4511567699</v>
      </c>
      <c r="C2686" t="s">
        <v>30</v>
      </c>
    </row>
    <row r="2687" spans="2:3" x14ac:dyDescent="0.3">
      <c r="B2687">
        <v>4511567699</v>
      </c>
      <c r="C2687" t="s">
        <v>30</v>
      </c>
    </row>
    <row r="2688" spans="2:3" x14ac:dyDescent="0.3">
      <c r="B2688">
        <v>4511567699</v>
      </c>
      <c r="C2688" t="s">
        <v>30</v>
      </c>
    </row>
    <row r="2689" spans="2:3" x14ac:dyDescent="0.3">
      <c r="B2689">
        <v>4511567699</v>
      </c>
      <c r="C2689" t="s">
        <v>30</v>
      </c>
    </row>
    <row r="2690" spans="2:3" x14ac:dyDescent="0.3">
      <c r="B2690">
        <v>4511567699</v>
      </c>
      <c r="C2690" t="s">
        <v>30</v>
      </c>
    </row>
    <row r="2691" spans="2:3" x14ac:dyDescent="0.3">
      <c r="B2691">
        <v>4511567699</v>
      </c>
      <c r="C2691" t="s">
        <v>30</v>
      </c>
    </row>
    <row r="2692" spans="2:3" x14ac:dyDescent="0.3">
      <c r="B2692">
        <v>4511567699</v>
      </c>
      <c r="C2692" t="s">
        <v>30</v>
      </c>
    </row>
    <row r="2693" spans="2:3" x14ac:dyDescent="0.3">
      <c r="B2693">
        <v>4511567699</v>
      </c>
      <c r="C2693" t="s">
        <v>30</v>
      </c>
    </row>
    <row r="2694" spans="2:3" x14ac:dyDescent="0.3">
      <c r="B2694">
        <v>4511567694</v>
      </c>
      <c r="C2694" t="s">
        <v>20</v>
      </c>
    </row>
    <row r="2695" spans="2:3" x14ac:dyDescent="0.3">
      <c r="B2695">
        <v>4511567543</v>
      </c>
      <c r="C2695" t="s">
        <v>20</v>
      </c>
    </row>
    <row r="2696" spans="2:3" x14ac:dyDescent="0.3">
      <c r="B2696">
        <v>4511567543</v>
      </c>
      <c r="C2696" t="s">
        <v>20</v>
      </c>
    </row>
    <row r="2697" spans="2:3" x14ac:dyDescent="0.3">
      <c r="B2697">
        <v>4511567543</v>
      </c>
      <c r="C2697" t="s">
        <v>20</v>
      </c>
    </row>
    <row r="2698" spans="2:3" x14ac:dyDescent="0.3">
      <c r="B2698">
        <v>4511567543</v>
      </c>
      <c r="C2698" t="s">
        <v>20</v>
      </c>
    </row>
    <row r="2699" spans="2:3" x14ac:dyDescent="0.3">
      <c r="B2699">
        <v>4520095044</v>
      </c>
      <c r="C2699" t="s">
        <v>30</v>
      </c>
    </row>
    <row r="2700" spans="2:3" x14ac:dyDescent="0.3">
      <c r="B2700">
        <v>4520095044</v>
      </c>
      <c r="C2700" t="s">
        <v>30</v>
      </c>
    </row>
    <row r="2701" spans="2:3" x14ac:dyDescent="0.3">
      <c r="B2701">
        <v>4520095044</v>
      </c>
      <c r="C2701" t="s">
        <v>30</v>
      </c>
    </row>
    <row r="2702" spans="2:3" x14ac:dyDescent="0.3">
      <c r="B2702">
        <v>4520095044</v>
      </c>
      <c r="C2702" t="s">
        <v>30</v>
      </c>
    </row>
    <row r="2703" spans="2:3" x14ac:dyDescent="0.3">
      <c r="B2703">
        <v>4511567435</v>
      </c>
      <c r="C2703" t="s">
        <v>20</v>
      </c>
    </row>
    <row r="2704" spans="2:3" x14ac:dyDescent="0.3">
      <c r="B2704">
        <v>4511567431</v>
      </c>
      <c r="C2704" t="s">
        <v>20</v>
      </c>
    </row>
    <row r="2705" spans="2:3" x14ac:dyDescent="0.3">
      <c r="B2705">
        <v>4511567431</v>
      </c>
      <c r="C2705" t="s">
        <v>20</v>
      </c>
    </row>
    <row r="2706" spans="2:3" x14ac:dyDescent="0.3">
      <c r="B2706">
        <v>4511567431</v>
      </c>
      <c r="C2706" t="s">
        <v>20</v>
      </c>
    </row>
    <row r="2707" spans="2:3" x14ac:dyDescent="0.3">
      <c r="B2707">
        <v>4511567431</v>
      </c>
      <c r="C2707" t="s">
        <v>20</v>
      </c>
    </row>
    <row r="2708" spans="2:3" x14ac:dyDescent="0.3">
      <c r="B2708">
        <v>4511567431</v>
      </c>
      <c r="C2708" t="s">
        <v>20</v>
      </c>
    </row>
    <row r="2709" spans="2:3" x14ac:dyDescent="0.3">
      <c r="B2709">
        <v>4511567431</v>
      </c>
      <c r="C2709" t="s">
        <v>20</v>
      </c>
    </row>
    <row r="2710" spans="2:3" x14ac:dyDescent="0.3">
      <c r="B2710">
        <v>4511567431</v>
      </c>
      <c r="C2710" t="s">
        <v>20</v>
      </c>
    </row>
    <row r="2711" spans="2:3" x14ac:dyDescent="0.3">
      <c r="B2711">
        <v>4511567431</v>
      </c>
      <c r="C2711" t="s">
        <v>20</v>
      </c>
    </row>
    <row r="2712" spans="2:3" x14ac:dyDescent="0.3">
      <c r="B2712">
        <v>4511567431</v>
      </c>
      <c r="C2712" t="s">
        <v>20</v>
      </c>
    </row>
    <row r="2713" spans="2:3" x14ac:dyDescent="0.3">
      <c r="B2713">
        <v>4511567431</v>
      </c>
      <c r="C2713" t="s">
        <v>20</v>
      </c>
    </row>
    <row r="2714" spans="2:3" x14ac:dyDescent="0.3">
      <c r="B2714">
        <v>4511567390</v>
      </c>
      <c r="C2714" t="s">
        <v>30</v>
      </c>
    </row>
    <row r="2715" spans="2:3" x14ac:dyDescent="0.3">
      <c r="B2715">
        <v>4511567390</v>
      </c>
      <c r="C2715" t="s">
        <v>30</v>
      </c>
    </row>
    <row r="2716" spans="2:3" x14ac:dyDescent="0.3">
      <c r="B2716">
        <v>4511567390</v>
      </c>
      <c r="C2716" t="s">
        <v>30</v>
      </c>
    </row>
    <row r="2717" spans="2:3" x14ac:dyDescent="0.3">
      <c r="B2717">
        <v>4511567390</v>
      </c>
      <c r="C2717" t="s">
        <v>30</v>
      </c>
    </row>
    <row r="2718" spans="2:3" x14ac:dyDescent="0.3">
      <c r="B2718">
        <v>4511567388</v>
      </c>
      <c r="C2718" t="s">
        <v>30</v>
      </c>
    </row>
    <row r="2719" spans="2:3" x14ac:dyDescent="0.3">
      <c r="B2719">
        <v>4511567388</v>
      </c>
      <c r="C2719" t="s">
        <v>30</v>
      </c>
    </row>
    <row r="2720" spans="2:3" x14ac:dyDescent="0.3">
      <c r="B2720">
        <v>4511567388</v>
      </c>
      <c r="C2720" t="s">
        <v>30</v>
      </c>
    </row>
    <row r="2721" spans="2:3" x14ac:dyDescent="0.3">
      <c r="B2721">
        <v>4511566845</v>
      </c>
      <c r="C2721" t="s">
        <v>30</v>
      </c>
    </row>
    <row r="2722" spans="2:3" x14ac:dyDescent="0.3">
      <c r="B2722">
        <v>4511566845</v>
      </c>
      <c r="C2722" t="s">
        <v>30</v>
      </c>
    </row>
    <row r="2723" spans="2:3" x14ac:dyDescent="0.3">
      <c r="B2723">
        <v>4511566845</v>
      </c>
      <c r="C2723" t="s">
        <v>30</v>
      </c>
    </row>
    <row r="2724" spans="2:3" x14ac:dyDescent="0.3">
      <c r="B2724">
        <v>4511566845</v>
      </c>
      <c r="C2724" t="s">
        <v>30</v>
      </c>
    </row>
    <row r="2725" spans="2:3" x14ac:dyDescent="0.3">
      <c r="B2725">
        <v>4511566845</v>
      </c>
      <c r="C2725" t="s">
        <v>30</v>
      </c>
    </row>
    <row r="2726" spans="2:3" x14ac:dyDescent="0.3">
      <c r="B2726">
        <v>4511566845</v>
      </c>
      <c r="C2726" t="s">
        <v>30</v>
      </c>
    </row>
    <row r="2727" spans="2:3" x14ac:dyDescent="0.3">
      <c r="B2727">
        <v>4511566845</v>
      </c>
      <c r="C2727" t="s">
        <v>30</v>
      </c>
    </row>
    <row r="2728" spans="2:3" x14ac:dyDescent="0.3">
      <c r="B2728">
        <v>4511566845</v>
      </c>
      <c r="C2728" t="s">
        <v>30</v>
      </c>
    </row>
    <row r="2729" spans="2:3" x14ac:dyDescent="0.3">
      <c r="B2729">
        <v>4511566845</v>
      </c>
      <c r="C2729" t="s">
        <v>30</v>
      </c>
    </row>
    <row r="2730" spans="2:3" x14ac:dyDescent="0.3">
      <c r="B2730">
        <v>4511566788</v>
      </c>
      <c r="C2730" t="s">
        <v>20</v>
      </c>
    </row>
    <row r="2731" spans="2:3" x14ac:dyDescent="0.3">
      <c r="B2731">
        <v>4511566788</v>
      </c>
      <c r="C2731" t="s">
        <v>20</v>
      </c>
    </row>
    <row r="2732" spans="2:3" x14ac:dyDescent="0.3">
      <c r="B2732">
        <v>4511566637</v>
      </c>
      <c r="C2732" t="s">
        <v>18</v>
      </c>
    </row>
    <row r="2733" spans="2:3" x14ac:dyDescent="0.3">
      <c r="B2733">
        <v>4511566637</v>
      </c>
      <c r="C2733" t="s">
        <v>18</v>
      </c>
    </row>
    <row r="2734" spans="2:3" x14ac:dyDescent="0.3">
      <c r="B2734">
        <v>4511566637</v>
      </c>
      <c r="C2734" t="s">
        <v>18</v>
      </c>
    </row>
    <row r="2735" spans="2:3" x14ac:dyDescent="0.3">
      <c r="B2735">
        <v>4511566637</v>
      </c>
      <c r="C2735" t="s">
        <v>18</v>
      </c>
    </row>
    <row r="2736" spans="2:3" x14ac:dyDescent="0.3">
      <c r="B2736">
        <v>4511566637</v>
      </c>
      <c r="C2736" t="s">
        <v>18</v>
      </c>
    </row>
    <row r="2737" spans="2:3" x14ac:dyDescent="0.3">
      <c r="B2737">
        <v>4511566637</v>
      </c>
      <c r="C2737" t="s">
        <v>18</v>
      </c>
    </row>
    <row r="2738" spans="2:3" x14ac:dyDescent="0.3">
      <c r="B2738">
        <v>4511566637</v>
      </c>
      <c r="C2738" t="s">
        <v>18</v>
      </c>
    </row>
    <row r="2739" spans="2:3" x14ac:dyDescent="0.3">
      <c r="B2739">
        <v>4511566637</v>
      </c>
      <c r="C2739" t="s">
        <v>18</v>
      </c>
    </row>
    <row r="2740" spans="2:3" x14ac:dyDescent="0.3">
      <c r="B2740">
        <v>4511566565</v>
      </c>
      <c r="C2740" t="s">
        <v>30</v>
      </c>
    </row>
    <row r="2741" spans="2:3" x14ac:dyDescent="0.3">
      <c r="B2741">
        <v>4511566234</v>
      </c>
      <c r="C2741" t="s">
        <v>18</v>
      </c>
    </row>
    <row r="2742" spans="2:3" x14ac:dyDescent="0.3">
      <c r="B2742">
        <v>4511566234</v>
      </c>
      <c r="C2742" t="s">
        <v>18</v>
      </c>
    </row>
    <row r="2743" spans="2:3" x14ac:dyDescent="0.3">
      <c r="B2743">
        <v>4511566234</v>
      </c>
      <c r="C2743" t="s">
        <v>18</v>
      </c>
    </row>
    <row r="2744" spans="2:3" x14ac:dyDescent="0.3">
      <c r="B2744">
        <v>4511566234</v>
      </c>
      <c r="C2744" t="s">
        <v>18</v>
      </c>
    </row>
    <row r="2745" spans="2:3" x14ac:dyDescent="0.3">
      <c r="B2745">
        <v>4511566144</v>
      </c>
      <c r="C2745" t="s">
        <v>20</v>
      </c>
    </row>
    <row r="2746" spans="2:3" x14ac:dyDescent="0.3">
      <c r="B2746">
        <v>4511566144</v>
      </c>
      <c r="C2746" t="s">
        <v>20</v>
      </c>
    </row>
    <row r="2747" spans="2:3" x14ac:dyDescent="0.3">
      <c r="B2747">
        <v>4511566009</v>
      </c>
      <c r="C2747" t="s">
        <v>18</v>
      </c>
    </row>
    <row r="2748" spans="2:3" x14ac:dyDescent="0.3">
      <c r="B2748">
        <v>4511566009</v>
      </c>
      <c r="C2748" t="s">
        <v>18</v>
      </c>
    </row>
    <row r="2749" spans="2:3" x14ac:dyDescent="0.3">
      <c r="B2749">
        <v>4511566009</v>
      </c>
      <c r="C2749" t="s">
        <v>18</v>
      </c>
    </row>
    <row r="2750" spans="2:3" x14ac:dyDescent="0.3">
      <c r="B2750">
        <v>4511566009</v>
      </c>
      <c r="C2750" t="s">
        <v>18</v>
      </c>
    </row>
    <row r="2751" spans="2:3" x14ac:dyDescent="0.3">
      <c r="B2751">
        <v>4511566009</v>
      </c>
      <c r="C2751" t="s">
        <v>18</v>
      </c>
    </row>
    <row r="2752" spans="2:3" x14ac:dyDescent="0.3">
      <c r="B2752">
        <v>4511566009</v>
      </c>
      <c r="C2752" t="s">
        <v>18</v>
      </c>
    </row>
    <row r="2753" spans="2:3" x14ac:dyDescent="0.3">
      <c r="B2753">
        <v>4511566009</v>
      </c>
      <c r="C2753" t="s">
        <v>18</v>
      </c>
    </row>
    <row r="2754" spans="2:3" x14ac:dyDescent="0.3">
      <c r="B2754">
        <v>4511566009</v>
      </c>
      <c r="C2754" t="s">
        <v>18</v>
      </c>
    </row>
    <row r="2755" spans="2:3" x14ac:dyDescent="0.3">
      <c r="B2755">
        <v>4511566009</v>
      </c>
      <c r="C2755" t="s">
        <v>18</v>
      </c>
    </row>
    <row r="2756" spans="2:3" x14ac:dyDescent="0.3">
      <c r="B2756">
        <v>4511566009</v>
      </c>
      <c r="C2756" t="s">
        <v>18</v>
      </c>
    </row>
    <row r="2757" spans="2:3" x14ac:dyDescent="0.3">
      <c r="B2757">
        <v>4511566009</v>
      </c>
      <c r="C2757" t="s">
        <v>18</v>
      </c>
    </row>
    <row r="2758" spans="2:3" x14ac:dyDescent="0.3">
      <c r="B2758">
        <v>4511566009</v>
      </c>
      <c r="C2758" t="s">
        <v>18</v>
      </c>
    </row>
    <row r="2759" spans="2:3" x14ac:dyDescent="0.3">
      <c r="B2759">
        <v>4511566009</v>
      </c>
      <c r="C2759" t="s">
        <v>18</v>
      </c>
    </row>
    <row r="2760" spans="2:3" x14ac:dyDescent="0.3">
      <c r="B2760">
        <v>4511566009</v>
      </c>
      <c r="C2760" t="s">
        <v>18</v>
      </c>
    </row>
    <row r="2761" spans="2:3" x14ac:dyDescent="0.3">
      <c r="B2761">
        <v>4511566009</v>
      </c>
      <c r="C2761" t="s">
        <v>18</v>
      </c>
    </row>
    <row r="2762" spans="2:3" x14ac:dyDescent="0.3">
      <c r="B2762">
        <v>4511566009</v>
      </c>
      <c r="C2762" t="s">
        <v>18</v>
      </c>
    </row>
    <row r="2763" spans="2:3" x14ac:dyDescent="0.3">
      <c r="B2763">
        <v>4511566009</v>
      </c>
      <c r="C2763" t="s">
        <v>18</v>
      </c>
    </row>
    <row r="2764" spans="2:3" x14ac:dyDescent="0.3">
      <c r="B2764">
        <v>4511566009</v>
      </c>
      <c r="C2764" t="s">
        <v>18</v>
      </c>
    </row>
    <row r="2765" spans="2:3" x14ac:dyDescent="0.3">
      <c r="B2765">
        <v>4511566009</v>
      </c>
      <c r="C2765" t="s">
        <v>18</v>
      </c>
    </row>
    <row r="2766" spans="2:3" x14ac:dyDescent="0.3">
      <c r="B2766">
        <v>4511566009</v>
      </c>
      <c r="C2766" t="s">
        <v>18</v>
      </c>
    </row>
    <row r="2767" spans="2:3" x14ac:dyDescent="0.3">
      <c r="B2767">
        <v>4511566009</v>
      </c>
      <c r="C2767" t="s">
        <v>18</v>
      </c>
    </row>
    <row r="2768" spans="2:3" x14ac:dyDescent="0.3">
      <c r="B2768">
        <v>4511566009</v>
      </c>
      <c r="C2768" t="s">
        <v>18</v>
      </c>
    </row>
    <row r="2769" spans="2:3" x14ac:dyDescent="0.3">
      <c r="B2769">
        <v>4511566009</v>
      </c>
      <c r="C2769" t="s">
        <v>18</v>
      </c>
    </row>
    <row r="2770" spans="2:3" x14ac:dyDescent="0.3">
      <c r="B2770">
        <v>4511566009</v>
      </c>
      <c r="C2770" t="s">
        <v>18</v>
      </c>
    </row>
    <row r="2771" spans="2:3" x14ac:dyDescent="0.3">
      <c r="B2771">
        <v>4511566009</v>
      </c>
      <c r="C2771" t="s">
        <v>18</v>
      </c>
    </row>
    <row r="2772" spans="2:3" x14ac:dyDescent="0.3">
      <c r="B2772">
        <v>4511566009</v>
      </c>
      <c r="C2772" t="s">
        <v>18</v>
      </c>
    </row>
    <row r="2773" spans="2:3" x14ac:dyDescent="0.3">
      <c r="B2773">
        <v>4511566009</v>
      </c>
      <c r="C2773" t="s">
        <v>18</v>
      </c>
    </row>
    <row r="2774" spans="2:3" x14ac:dyDescent="0.3">
      <c r="B2774">
        <v>4511566009</v>
      </c>
      <c r="C2774" t="s">
        <v>18</v>
      </c>
    </row>
    <row r="2775" spans="2:3" x14ac:dyDescent="0.3">
      <c r="B2775">
        <v>4511566009</v>
      </c>
      <c r="C2775" t="s">
        <v>18</v>
      </c>
    </row>
    <row r="2776" spans="2:3" x14ac:dyDescent="0.3">
      <c r="B2776">
        <v>4511566009</v>
      </c>
      <c r="C2776" t="s">
        <v>18</v>
      </c>
    </row>
    <row r="2777" spans="2:3" x14ac:dyDescent="0.3">
      <c r="B2777">
        <v>4511566009</v>
      </c>
      <c r="C2777" t="s">
        <v>18</v>
      </c>
    </row>
    <row r="2778" spans="2:3" x14ac:dyDescent="0.3">
      <c r="B2778">
        <v>4511566009</v>
      </c>
      <c r="C2778" t="s">
        <v>18</v>
      </c>
    </row>
    <row r="2779" spans="2:3" x14ac:dyDescent="0.3">
      <c r="B2779">
        <v>4511565937</v>
      </c>
      <c r="C2779" t="s">
        <v>18</v>
      </c>
    </row>
    <row r="2780" spans="2:3" x14ac:dyDescent="0.3">
      <c r="B2780">
        <v>4511565937</v>
      </c>
      <c r="C2780" t="s">
        <v>18</v>
      </c>
    </row>
    <row r="2781" spans="2:3" x14ac:dyDescent="0.3">
      <c r="B2781">
        <v>4511565937</v>
      </c>
      <c r="C2781" t="s">
        <v>18</v>
      </c>
    </row>
    <row r="2782" spans="2:3" x14ac:dyDescent="0.3">
      <c r="B2782">
        <v>4511565937</v>
      </c>
      <c r="C2782" t="s">
        <v>18</v>
      </c>
    </row>
    <row r="2783" spans="2:3" x14ac:dyDescent="0.3">
      <c r="B2783">
        <v>4511565937</v>
      </c>
      <c r="C2783" t="s">
        <v>18</v>
      </c>
    </row>
    <row r="2784" spans="2:3" x14ac:dyDescent="0.3">
      <c r="B2784">
        <v>4511565937</v>
      </c>
      <c r="C2784" t="s">
        <v>18</v>
      </c>
    </row>
    <row r="2785" spans="2:3" x14ac:dyDescent="0.3">
      <c r="B2785">
        <v>4511565702</v>
      </c>
      <c r="C2785" t="s">
        <v>30</v>
      </c>
    </row>
    <row r="2786" spans="2:3" x14ac:dyDescent="0.3">
      <c r="B2786">
        <v>4520094960</v>
      </c>
      <c r="C2786" t="s">
        <v>30</v>
      </c>
    </row>
    <row r="2787" spans="2:3" x14ac:dyDescent="0.3">
      <c r="B2787">
        <v>4511565483</v>
      </c>
      <c r="C2787" t="s">
        <v>18</v>
      </c>
    </row>
    <row r="2788" spans="2:3" x14ac:dyDescent="0.3">
      <c r="B2788">
        <v>4511565361</v>
      </c>
      <c r="C2788" t="s">
        <v>18</v>
      </c>
    </row>
    <row r="2789" spans="2:3" x14ac:dyDescent="0.3">
      <c r="B2789">
        <v>4511565361</v>
      </c>
      <c r="C2789" t="s">
        <v>18</v>
      </c>
    </row>
    <row r="2790" spans="2:3" x14ac:dyDescent="0.3">
      <c r="B2790">
        <v>4511565361</v>
      </c>
      <c r="C2790" t="s">
        <v>18</v>
      </c>
    </row>
    <row r="2791" spans="2:3" x14ac:dyDescent="0.3">
      <c r="B2791">
        <v>4511565361</v>
      </c>
      <c r="C2791" t="s">
        <v>18</v>
      </c>
    </row>
    <row r="2792" spans="2:3" x14ac:dyDescent="0.3">
      <c r="B2792">
        <v>4511565361</v>
      </c>
      <c r="C2792" t="s">
        <v>18</v>
      </c>
    </row>
    <row r="2793" spans="2:3" x14ac:dyDescent="0.3">
      <c r="B2793">
        <v>4511565361</v>
      </c>
      <c r="C2793" t="s">
        <v>18</v>
      </c>
    </row>
    <row r="2794" spans="2:3" x14ac:dyDescent="0.3">
      <c r="B2794">
        <v>4511565361</v>
      </c>
      <c r="C2794" t="s">
        <v>18</v>
      </c>
    </row>
    <row r="2795" spans="2:3" x14ac:dyDescent="0.3">
      <c r="B2795">
        <v>4511565361</v>
      </c>
      <c r="C2795" t="s">
        <v>18</v>
      </c>
    </row>
    <row r="2796" spans="2:3" x14ac:dyDescent="0.3">
      <c r="B2796">
        <v>4511565361</v>
      </c>
      <c r="C2796" t="s">
        <v>18</v>
      </c>
    </row>
    <row r="2797" spans="2:3" x14ac:dyDescent="0.3">
      <c r="B2797">
        <v>4511565361</v>
      </c>
      <c r="C2797" t="s">
        <v>18</v>
      </c>
    </row>
    <row r="2798" spans="2:3" x14ac:dyDescent="0.3">
      <c r="B2798">
        <v>4511565361</v>
      </c>
      <c r="C2798" t="s">
        <v>18</v>
      </c>
    </row>
    <row r="2799" spans="2:3" x14ac:dyDescent="0.3">
      <c r="B2799">
        <v>4511565361</v>
      </c>
      <c r="C2799" t="s">
        <v>18</v>
      </c>
    </row>
    <row r="2800" spans="2:3" x14ac:dyDescent="0.3">
      <c r="B2800">
        <v>4511565361</v>
      </c>
      <c r="C2800" t="s">
        <v>18</v>
      </c>
    </row>
    <row r="2801" spans="2:3" x14ac:dyDescent="0.3">
      <c r="B2801">
        <v>4511565361</v>
      </c>
      <c r="C2801" t="s">
        <v>18</v>
      </c>
    </row>
    <row r="2802" spans="2:3" x14ac:dyDescent="0.3">
      <c r="B2802">
        <v>4511565361</v>
      </c>
      <c r="C2802" t="s">
        <v>18</v>
      </c>
    </row>
    <row r="2803" spans="2:3" x14ac:dyDescent="0.3">
      <c r="B2803">
        <v>4511565361</v>
      </c>
      <c r="C2803" t="s">
        <v>18</v>
      </c>
    </row>
    <row r="2804" spans="2:3" x14ac:dyDescent="0.3">
      <c r="B2804">
        <v>4511565361</v>
      </c>
      <c r="C2804" t="s">
        <v>18</v>
      </c>
    </row>
    <row r="2805" spans="2:3" x14ac:dyDescent="0.3">
      <c r="B2805">
        <v>4511565361</v>
      </c>
      <c r="C2805" t="s">
        <v>18</v>
      </c>
    </row>
    <row r="2806" spans="2:3" x14ac:dyDescent="0.3">
      <c r="B2806">
        <v>4511565361</v>
      </c>
      <c r="C2806" t="s">
        <v>18</v>
      </c>
    </row>
    <row r="2807" spans="2:3" x14ac:dyDescent="0.3">
      <c r="B2807">
        <v>4511565361</v>
      </c>
      <c r="C2807" t="s">
        <v>18</v>
      </c>
    </row>
    <row r="2808" spans="2:3" x14ac:dyDescent="0.3">
      <c r="B2808">
        <v>4511565361</v>
      </c>
      <c r="C2808" t="s">
        <v>18</v>
      </c>
    </row>
    <row r="2809" spans="2:3" x14ac:dyDescent="0.3">
      <c r="B2809">
        <v>4511565361</v>
      </c>
      <c r="C2809" t="s">
        <v>18</v>
      </c>
    </row>
    <row r="2810" spans="2:3" x14ac:dyDescent="0.3">
      <c r="B2810">
        <v>4511565361</v>
      </c>
      <c r="C2810" t="s">
        <v>18</v>
      </c>
    </row>
    <row r="2811" spans="2:3" x14ac:dyDescent="0.3">
      <c r="B2811">
        <v>4511565361</v>
      </c>
      <c r="C2811" t="s">
        <v>18</v>
      </c>
    </row>
    <row r="2812" spans="2:3" x14ac:dyDescent="0.3">
      <c r="B2812">
        <v>4511565361</v>
      </c>
      <c r="C2812" t="s">
        <v>18</v>
      </c>
    </row>
    <row r="2813" spans="2:3" x14ac:dyDescent="0.3">
      <c r="B2813">
        <v>4511565361</v>
      </c>
      <c r="C2813" t="s">
        <v>18</v>
      </c>
    </row>
    <row r="2814" spans="2:3" x14ac:dyDescent="0.3">
      <c r="B2814">
        <v>4511565361</v>
      </c>
      <c r="C2814" t="s">
        <v>18</v>
      </c>
    </row>
    <row r="2815" spans="2:3" x14ac:dyDescent="0.3">
      <c r="B2815">
        <v>4511565361</v>
      </c>
      <c r="C2815" t="s">
        <v>18</v>
      </c>
    </row>
    <row r="2816" spans="2:3" x14ac:dyDescent="0.3">
      <c r="B2816">
        <v>4511565361</v>
      </c>
      <c r="C2816" t="s">
        <v>18</v>
      </c>
    </row>
    <row r="2817" spans="2:3" x14ac:dyDescent="0.3">
      <c r="B2817">
        <v>4511565361</v>
      </c>
      <c r="C2817" t="s">
        <v>18</v>
      </c>
    </row>
    <row r="2818" spans="2:3" x14ac:dyDescent="0.3">
      <c r="B2818">
        <v>4511565361</v>
      </c>
      <c r="C2818" t="s">
        <v>18</v>
      </c>
    </row>
    <row r="2819" spans="2:3" x14ac:dyDescent="0.3">
      <c r="B2819">
        <v>4511565361</v>
      </c>
      <c r="C2819" t="s">
        <v>18</v>
      </c>
    </row>
    <row r="2820" spans="2:3" x14ac:dyDescent="0.3">
      <c r="B2820">
        <v>4511565361</v>
      </c>
      <c r="C2820" t="s">
        <v>18</v>
      </c>
    </row>
    <row r="2821" spans="2:3" x14ac:dyDescent="0.3">
      <c r="B2821">
        <v>4511565361</v>
      </c>
      <c r="C2821" t="s">
        <v>18</v>
      </c>
    </row>
    <row r="2822" spans="2:3" x14ac:dyDescent="0.3">
      <c r="B2822">
        <v>4511565361</v>
      </c>
      <c r="C2822" t="s">
        <v>18</v>
      </c>
    </row>
    <row r="2823" spans="2:3" x14ac:dyDescent="0.3">
      <c r="B2823">
        <v>4511565361</v>
      </c>
      <c r="C2823" t="s">
        <v>18</v>
      </c>
    </row>
    <row r="2824" spans="2:3" x14ac:dyDescent="0.3">
      <c r="B2824">
        <v>4511565361</v>
      </c>
      <c r="C2824" t="s">
        <v>18</v>
      </c>
    </row>
    <row r="2825" spans="2:3" x14ac:dyDescent="0.3">
      <c r="B2825">
        <v>4511565361</v>
      </c>
      <c r="C2825" t="s">
        <v>18</v>
      </c>
    </row>
    <row r="2826" spans="2:3" x14ac:dyDescent="0.3">
      <c r="B2826">
        <v>4511565361</v>
      </c>
      <c r="C2826" t="s">
        <v>18</v>
      </c>
    </row>
    <row r="2827" spans="2:3" x14ac:dyDescent="0.3">
      <c r="B2827">
        <v>4511565361</v>
      </c>
      <c r="C2827" t="s">
        <v>18</v>
      </c>
    </row>
    <row r="2828" spans="2:3" x14ac:dyDescent="0.3">
      <c r="B2828">
        <v>4511565361</v>
      </c>
      <c r="C2828" t="s">
        <v>18</v>
      </c>
    </row>
    <row r="2829" spans="2:3" x14ac:dyDescent="0.3">
      <c r="B2829">
        <v>4511565361</v>
      </c>
      <c r="C2829" t="s">
        <v>18</v>
      </c>
    </row>
    <row r="2830" spans="2:3" x14ac:dyDescent="0.3">
      <c r="B2830">
        <v>4511565361</v>
      </c>
      <c r="C2830" t="s">
        <v>18</v>
      </c>
    </row>
    <row r="2831" spans="2:3" x14ac:dyDescent="0.3">
      <c r="B2831">
        <v>4511565361</v>
      </c>
      <c r="C2831" t="s">
        <v>18</v>
      </c>
    </row>
    <row r="2832" spans="2:3" x14ac:dyDescent="0.3">
      <c r="B2832">
        <v>4511565361</v>
      </c>
      <c r="C2832" t="s">
        <v>18</v>
      </c>
    </row>
    <row r="2833" spans="2:3" x14ac:dyDescent="0.3">
      <c r="B2833">
        <v>4511565361</v>
      </c>
      <c r="C2833" t="s">
        <v>18</v>
      </c>
    </row>
    <row r="2834" spans="2:3" x14ac:dyDescent="0.3">
      <c r="B2834">
        <v>4511565361</v>
      </c>
      <c r="C2834" t="s">
        <v>18</v>
      </c>
    </row>
    <row r="2835" spans="2:3" x14ac:dyDescent="0.3">
      <c r="B2835">
        <v>4511565361</v>
      </c>
      <c r="C2835" t="s">
        <v>18</v>
      </c>
    </row>
    <row r="2836" spans="2:3" x14ac:dyDescent="0.3">
      <c r="B2836">
        <v>4520094948</v>
      </c>
      <c r="C2836" t="s">
        <v>30</v>
      </c>
    </row>
    <row r="2837" spans="2:3" x14ac:dyDescent="0.3">
      <c r="B2837">
        <v>4520094948</v>
      </c>
      <c r="C2837" t="s">
        <v>30</v>
      </c>
    </row>
    <row r="2838" spans="2:3" x14ac:dyDescent="0.3">
      <c r="B2838">
        <v>4511564643</v>
      </c>
      <c r="C2838" t="s">
        <v>18</v>
      </c>
    </row>
    <row r="2839" spans="2:3" x14ac:dyDescent="0.3">
      <c r="B2839">
        <v>4511564581</v>
      </c>
      <c r="C2839" t="s">
        <v>20</v>
      </c>
    </row>
    <row r="2840" spans="2:3" x14ac:dyDescent="0.3">
      <c r="B2840">
        <v>4511564581</v>
      </c>
      <c r="C2840" t="s">
        <v>20</v>
      </c>
    </row>
    <row r="2841" spans="2:3" x14ac:dyDescent="0.3">
      <c r="B2841">
        <v>4511564581</v>
      </c>
      <c r="C2841" t="s">
        <v>20</v>
      </c>
    </row>
    <row r="2842" spans="2:3" x14ac:dyDescent="0.3">
      <c r="B2842">
        <v>4511564581</v>
      </c>
      <c r="C2842" t="s">
        <v>20</v>
      </c>
    </row>
    <row r="2843" spans="2:3" x14ac:dyDescent="0.3">
      <c r="B2843">
        <v>4511564581</v>
      </c>
      <c r="C2843" t="s">
        <v>20</v>
      </c>
    </row>
    <row r="2844" spans="2:3" x14ac:dyDescent="0.3">
      <c r="B2844">
        <v>4511564581</v>
      </c>
      <c r="C2844" t="s">
        <v>20</v>
      </c>
    </row>
    <row r="2845" spans="2:3" x14ac:dyDescent="0.3">
      <c r="B2845">
        <v>4511564341</v>
      </c>
      <c r="C2845" t="s">
        <v>20</v>
      </c>
    </row>
    <row r="2846" spans="2:3" x14ac:dyDescent="0.3">
      <c r="B2846">
        <v>4511564341</v>
      </c>
      <c r="C2846" t="s">
        <v>20</v>
      </c>
    </row>
    <row r="2847" spans="2:3" x14ac:dyDescent="0.3">
      <c r="B2847">
        <v>4511564341</v>
      </c>
      <c r="C2847" t="s">
        <v>20</v>
      </c>
    </row>
    <row r="2848" spans="2:3" x14ac:dyDescent="0.3">
      <c r="B2848">
        <v>4511564341</v>
      </c>
      <c r="C2848" t="s">
        <v>20</v>
      </c>
    </row>
    <row r="2849" spans="2:3" x14ac:dyDescent="0.3">
      <c r="B2849">
        <v>4520094903</v>
      </c>
      <c r="C2849" t="s">
        <v>30</v>
      </c>
    </row>
    <row r="2850" spans="2:3" x14ac:dyDescent="0.3">
      <c r="B2850">
        <v>4520094903</v>
      </c>
      <c r="C2850" t="s">
        <v>30</v>
      </c>
    </row>
    <row r="2851" spans="2:3" x14ac:dyDescent="0.3">
      <c r="B2851">
        <v>4520094903</v>
      </c>
      <c r="C2851" t="s">
        <v>30</v>
      </c>
    </row>
    <row r="2852" spans="2:3" x14ac:dyDescent="0.3">
      <c r="B2852">
        <v>4520094903</v>
      </c>
      <c r="C2852" t="s">
        <v>30</v>
      </c>
    </row>
    <row r="2853" spans="2:3" x14ac:dyDescent="0.3">
      <c r="B2853">
        <v>4520094903</v>
      </c>
      <c r="C2853" t="s">
        <v>30</v>
      </c>
    </row>
    <row r="2854" spans="2:3" x14ac:dyDescent="0.3">
      <c r="B2854">
        <v>4520094903</v>
      </c>
      <c r="C2854" t="s">
        <v>30</v>
      </c>
    </row>
    <row r="2855" spans="2:3" x14ac:dyDescent="0.3">
      <c r="B2855">
        <v>4511564285</v>
      </c>
      <c r="C2855" t="s">
        <v>18</v>
      </c>
    </row>
    <row r="2856" spans="2:3" x14ac:dyDescent="0.3">
      <c r="B2856">
        <v>4511564285</v>
      </c>
      <c r="C2856" t="s">
        <v>18</v>
      </c>
    </row>
    <row r="2857" spans="2:3" x14ac:dyDescent="0.3">
      <c r="B2857">
        <v>4511564285</v>
      </c>
      <c r="C2857" t="s">
        <v>18</v>
      </c>
    </row>
    <row r="2858" spans="2:3" x14ac:dyDescent="0.3">
      <c r="B2858">
        <v>4511564285</v>
      </c>
      <c r="C2858" t="s">
        <v>18</v>
      </c>
    </row>
    <row r="2859" spans="2:3" x14ac:dyDescent="0.3">
      <c r="B2859">
        <v>4511564285</v>
      </c>
      <c r="C2859" t="s">
        <v>18</v>
      </c>
    </row>
    <row r="2860" spans="2:3" x14ac:dyDescent="0.3">
      <c r="B2860">
        <v>4520094887</v>
      </c>
      <c r="C2860" t="s">
        <v>30</v>
      </c>
    </row>
    <row r="2861" spans="2:3" x14ac:dyDescent="0.3">
      <c r="B2861">
        <v>4511562148</v>
      </c>
      <c r="C2861" t="s">
        <v>30</v>
      </c>
    </row>
    <row r="2862" spans="2:3" x14ac:dyDescent="0.3">
      <c r="B2862">
        <v>4511561374</v>
      </c>
      <c r="C2862" t="s">
        <v>30</v>
      </c>
    </row>
    <row r="2863" spans="2:3" x14ac:dyDescent="0.3">
      <c r="B2863">
        <v>4511560805</v>
      </c>
      <c r="C2863" t="s">
        <v>30</v>
      </c>
    </row>
    <row r="2864" spans="2:3" x14ac:dyDescent="0.3">
      <c r="B2864">
        <v>4511560730</v>
      </c>
      <c r="C2864" t="s">
        <v>18</v>
      </c>
    </row>
    <row r="2865" spans="2:3" x14ac:dyDescent="0.3">
      <c r="B2865">
        <v>4511560730</v>
      </c>
      <c r="C2865" t="s">
        <v>18</v>
      </c>
    </row>
    <row r="2866" spans="2:3" x14ac:dyDescent="0.3">
      <c r="B2866">
        <v>4511560730</v>
      </c>
      <c r="C2866" t="s">
        <v>18</v>
      </c>
    </row>
    <row r="2867" spans="2:3" x14ac:dyDescent="0.3">
      <c r="B2867">
        <v>4520094595</v>
      </c>
      <c r="C2867" t="s">
        <v>802</v>
      </c>
    </row>
    <row r="2868" spans="2:3" x14ac:dyDescent="0.3">
      <c r="B2868">
        <v>4520094595</v>
      </c>
      <c r="C2868" t="s">
        <v>802</v>
      </c>
    </row>
    <row r="2869" spans="2:3" x14ac:dyDescent="0.3">
      <c r="B2869">
        <v>4520094595</v>
      </c>
      <c r="C2869" t="s">
        <v>802</v>
      </c>
    </row>
    <row r="2870" spans="2:3" x14ac:dyDescent="0.3">
      <c r="B2870">
        <v>4520094595</v>
      </c>
      <c r="C2870" t="s">
        <v>802</v>
      </c>
    </row>
    <row r="2871" spans="2:3" x14ac:dyDescent="0.3">
      <c r="B2871">
        <v>4520094595</v>
      </c>
      <c r="C2871" t="s">
        <v>802</v>
      </c>
    </row>
    <row r="2872" spans="2:3" x14ac:dyDescent="0.3">
      <c r="B2872">
        <v>4520094595</v>
      </c>
      <c r="C2872" t="s">
        <v>802</v>
      </c>
    </row>
    <row r="2873" spans="2:3" x14ac:dyDescent="0.3">
      <c r="B2873">
        <v>4520094595</v>
      </c>
      <c r="C2873" t="s">
        <v>802</v>
      </c>
    </row>
    <row r="2874" spans="2:3" x14ac:dyDescent="0.3">
      <c r="B2874">
        <v>4520094595</v>
      </c>
      <c r="C2874" t="s">
        <v>802</v>
      </c>
    </row>
    <row r="2875" spans="2:3" x14ac:dyDescent="0.3">
      <c r="B2875">
        <v>4520094595</v>
      </c>
      <c r="C2875" t="s">
        <v>802</v>
      </c>
    </row>
    <row r="2876" spans="2:3" x14ac:dyDescent="0.3">
      <c r="B2876">
        <v>4520094595</v>
      </c>
      <c r="C2876" t="s">
        <v>802</v>
      </c>
    </row>
    <row r="2877" spans="2:3" x14ac:dyDescent="0.3">
      <c r="B2877">
        <v>4520094595</v>
      </c>
      <c r="C2877" t="s">
        <v>802</v>
      </c>
    </row>
    <row r="2878" spans="2:3" x14ac:dyDescent="0.3">
      <c r="B2878">
        <v>4520094595</v>
      </c>
      <c r="C2878" t="s">
        <v>802</v>
      </c>
    </row>
    <row r="2879" spans="2:3" x14ac:dyDescent="0.3">
      <c r="B2879">
        <v>4511556090</v>
      </c>
      <c r="C2879" t="s">
        <v>803</v>
      </c>
    </row>
    <row r="2880" spans="2:3" x14ac:dyDescent="0.3">
      <c r="B2880">
        <v>4511554831</v>
      </c>
      <c r="C2880" t="s">
        <v>18</v>
      </c>
    </row>
    <row r="2881" spans="2:3" x14ac:dyDescent="0.3">
      <c r="B2881">
        <v>4511539582</v>
      </c>
      <c r="C2881" t="s">
        <v>30</v>
      </c>
    </row>
    <row r="2882" spans="2:3" x14ac:dyDescent="0.3">
      <c r="B2882">
        <v>4511539582</v>
      </c>
      <c r="C2882" t="s">
        <v>30</v>
      </c>
    </row>
    <row r="2883" spans="2:3" x14ac:dyDescent="0.3">
      <c r="B2883">
        <v>4511539582</v>
      </c>
      <c r="C2883" t="s">
        <v>30</v>
      </c>
    </row>
    <row r="2884" spans="2:3" x14ac:dyDescent="0.3">
      <c r="B2884">
        <v>4511539582</v>
      </c>
      <c r="C2884" t="s">
        <v>30</v>
      </c>
    </row>
    <row r="2885" spans="2:3" x14ac:dyDescent="0.3">
      <c r="B2885">
        <v>4511539582</v>
      </c>
      <c r="C2885" t="s">
        <v>30</v>
      </c>
    </row>
    <row r="2886" spans="2:3" x14ac:dyDescent="0.3">
      <c r="B2886">
        <v>4511539582</v>
      </c>
      <c r="C2886" t="s">
        <v>30</v>
      </c>
    </row>
    <row r="2887" spans="2:3" x14ac:dyDescent="0.3">
      <c r="B2887">
        <v>4511539582</v>
      </c>
      <c r="C2887" t="s">
        <v>30</v>
      </c>
    </row>
    <row r="2888" spans="2:3" x14ac:dyDescent="0.3">
      <c r="B2888">
        <v>4511539582</v>
      </c>
      <c r="C2888" t="s">
        <v>30</v>
      </c>
    </row>
    <row r="2889" spans="2:3" x14ac:dyDescent="0.3">
      <c r="B2889">
        <v>4511539582</v>
      </c>
      <c r="C2889" t="s">
        <v>30</v>
      </c>
    </row>
    <row r="2890" spans="2:3" x14ac:dyDescent="0.3">
      <c r="B2890">
        <v>4511539582</v>
      </c>
      <c r="C2890" t="s">
        <v>30</v>
      </c>
    </row>
    <row r="2891" spans="2:3" x14ac:dyDescent="0.3">
      <c r="B2891">
        <v>4511539582</v>
      </c>
      <c r="C2891" t="s">
        <v>30</v>
      </c>
    </row>
    <row r="2892" spans="2:3" x14ac:dyDescent="0.3">
      <c r="B2892">
        <v>4511539582</v>
      </c>
      <c r="C2892" t="s">
        <v>30</v>
      </c>
    </row>
    <row r="2893" spans="2:3" x14ac:dyDescent="0.3">
      <c r="B2893">
        <v>4511539582</v>
      </c>
      <c r="C2893" t="s">
        <v>30</v>
      </c>
    </row>
    <row r="2894" spans="2:3" x14ac:dyDescent="0.3">
      <c r="B2894">
        <v>4511539582</v>
      </c>
      <c r="C2894" t="s">
        <v>30</v>
      </c>
    </row>
    <row r="2895" spans="2:3" x14ac:dyDescent="0.3">
      <c r="B2895">
        <v>4511539582</v>
      </c>
      <c r="C2895" t="s">
        <v>30</v>
      </c>
    </row>
    <row r="2896" spans="2:3" x14ac:dyDescent="0.3">
      <c r="B2896">
        <v>4511539582</v>
      </c>
      <c r="C2896" t="s">
        <v>30</v>
      </c>
    </row>
    <row r="2897" spans="2:3" x14ac:dyDescent="0.3">
      <c r="B2897">
        <v>4511535963</v>
      </c>
      <c r="C2897" t="s">
        <v>30</v>
      </c>
    </row>
    <row r="2898" spans="2:3" x14ac:dyDescent="0.3">
      <c r="B2898">
        <v>4511535963</v>
      </c>
      <c r="C2898" t="s">
        <v>30</v>
      </c>
    </row>
    <row r="2899" spans="2:3" x14ac:dyDescent="0.3">
      <c r="B2899">
        <v>4511535963</v>
      </c>
      <c r="C2899" t="s">
        <v>30</v>
      </c>
    </row>
    <row r="2900" spans="2:3" x14ac:dyDescent="0.3">
      <c r="B2900">
        <v>4511535963</v>
      </c>
      <c r="C2900" t="s">
        <v>30</v>
      </c>
    </row>
    <row r="2901" spans="2:3" x14ac:dyDescent="0.3">
      <c r="B2901">
        <v>4511535963</v>
      </c>
      <c r="C2901" t="s">
        <v>30</v>
      </c>
    </row>
    <row r="2902" spans="2:3" x14ac:dyDescent="0.3">
      <c r="B2902">
        <v>4511535963</v>
      </c>
      <c r="C2902" t="s">
        <v>30</v>
      </c>
    </row>
    <row r="2903" spans="2:3" x14ac:dyDescent="0.3">
      <c r="B2903">
        <v>4511535963</v>
      </c>
      <c r="C2903" t="s">
        <v>30</v>
      </c>
    </row>
    <row r="2904" spans="2:3" x14ac:dyDescent="0.3">
      <c r="B2904">
        <v>4511535963</v>
      </c>
      <c r="C2904" t="s">
        <v>30</v>
      </c>
    </row>
    <row r="2905" spans="2:3" x14ac:dyDescent="0.3">
      <c r="B2905">
        <v>4511535963</v>
      </c>
      <c r="C2905" t="s">
        <v>30</v>
      </c>
    </row>
    <row r="2906" spans="2:3" x14ac:dyDescent="0.3">
      <c r="B2906">
        <v>4511535963</v>
      </c>
      <c r="C2906" t="s">
        <v>30</v>
      </c>
    </row>
    <row r="2907" spans="2:3" x14ac:dyDescent="0.3">
      <c r="B2907">
        <v>4511535963</v>
      </c>
      <c r="C2907" t="s">
        <v>30</v>
      </c>
    </row>
    <row r="2908" spans="2:3" x14ac:dyDescent="0.3">
      <c r="B2908">
        <v>4511535963</v>
      </c>
      <c r="C2908" t="s">
        <v>30</v>
      </c>
    </row>
    <row r="2909" spans="2:3" x14ac:dyDescent="0.3">
      <c r="B2909">
        <v>4511535963</v>
      </c>
      <c r="C2909" t="s">
        <v>30</v>
      </c>
    </row>
    <row r="2910" spans="2:3" x14ac:dyDescent="0.3">
      <c r="B2910">
        <v>4511535963</v>
      </c>
      <c r="C2910" t="s">
        <v>30</v>
      </c>
    </row>
    <row r="2911" spans="2:3" x14ac:dyDescent="0.3">
      <c r="B2911">
        <v>4511535963</v>
      </c>
      <c r="C2911" t="s">
        <v>30</v>
      </c>
    </row>
    <row r="2912" spans="2:3" x14ac:dyDescent="0.3">
      <c r="B2912">
        <v>4511535963</v>
      </c>
      <c r="C2912" t="s">
        <v>30</v>
      </c>
    </row>
    <row r="2913" spans="2:3" x14ac:dyDescent="0.3">
      <c r="B2913">
        <v>4511535963</v>
      </c>
      <c r="C2913" t="s">
        <v>30</v>
      </c>
    </row>
    <row r="2914" spans="2:3" x14ac:dyDescent="0.3">
      <c r="B2914">
        <v>4511535963</v>
      </c>
      <c r="C2914" t="s">
        <v>30</v>
      </c>
    </row>
    <row r="2915" spans="2:3" x14ac:dyDescent="0.3">
      <c r="B2915">
        <v>4511535963</v>
      </c>
      <c r="C2915" t="s">
        <v>30</v>
      </c>
    </row>
    <row r="2916" spans="2:3" x14ac:dyDescent="0.3">
      <c r="B2916">
        <v>4511535963</v>
      </c>
      <c r="C2916" t="s">
        <v>30</v>
      </c>
    </row>
    <row r="2917" spans="2:3" x14ac:dyDescent="0.3">
      <c r="B2917">
        <v>4511535963</v>
      </c>
      <c r="C2917" t="s">
        <v>30</v>
      </c>
    </row>
    <row r="2918" spans="2:3" x14ac:dyDescent="0.3">
      <c r="B2918">
        <v>4511535963</v>
      </c>
      <c r="C2918" t="s">
        <v>30</v>
      </c>
    </row>
    <row r="2919" spans="2:3" x14ac:dyDescent="0.3">
      <c r="B2919">
        <v>4511535963</v>
      </c>
      <c r="C2919" t="s">
        <v>30</v>
      </c>
    </row>
    <row r="2920" spans="2:3" x14ac:dyDescent="0.3">
      <c r="B2920">
        <v>4511574271</v>
      </c>
      <c r="C2920" t="s">
        <v>30</v>
      </c>
    </row>
    <row r="2921" spans="2:3" x14ac:dyDescent="0.3">
      <c r="B2921">
        <v>4511573957</v>
      </c>
      <c r="C2921" t="s">
        <v>20</v>
      </c>
    </row>
    <row r="2922" spans="2:3" x14ac:dyDescent="0.3">
      <c r="B2922">
        <v>4511573957</v>
      </c>
      <c r="C2922" t="s">
        <v>20</v>
      </c>
    </row>
    <row r="2923" spans="2:3" x14ac:dyDescent="0.3">
      <c r="B2923">
        <v>4511573939</v>
      </c>
      <c r="C2923" t="s">
        <v>37</v>
      </c>
    </row>
    <row r="2924" spans="2:3" x14ac:dyDescent="0.3">
      <c r="B2924">
        <v>4511573827</v>
      </c>
      <c r="C2924" t="s">
        <v>37</v>
      </c>
    </row>
    <row r="2925" spans="2:3" x14ac:dyDescent="0.3">
      <c r="B2925">
        <v>4511573741</v>
      </c>
      <c r="C2925" t="s">
        <v>30</v>
      </c>
    </row>
    <row r="2926" spans="2:3" x14ac:dyDescent="0.3">
      <c r="B2926">
        <v>4511573740</v>
      </c>
      <c r="C2926" t="s">
        <v>30</v>
      </c>
    </row>
    <row r="2927" spans="2:3" x14ac:dyDescent="0.3">
      <c r="B2927">
        <v>4511573680</v>
      </c>
      <c r="C2927" t="s">
        <v>20</v>
      </c>
    </row>
    <row r="2928" spans="2:3" x14ac:dyDescent="0.3">
      <c r="B2928">
        <v>4511573602</v>
      </c>
      <c r="C2928" t="s">
        <v>18</v>
      </c>
    </row>
    <row r="2929" spans="2:3" x14ac:dyDescent="0.3">
      <c r="B2929">
        <v>4511573575</v>
      </c>
      <c r="C2929" t="s">
        <v>37</v>
      </c>
    </row>
    <row r="2930" spans="2:3" x14ac:dyDescent="0.3">
      <c r="B2930">
        <v>4511573331</v>
      </c>
      <c r="C2930" t="s">
        <v>18</v>
      </c>
    </row>
    <row r="2931" spans="2:3" x14ac:dyDescent="0.3">
      <c r="B2931">
        <v>4511572819</v>
      </c>
      <c r="C2931" t="s">
        <v>30</v>
      </c>
    </row>
    <row r="2932" spans="2:3" x14ac:dyDescent="0.3">
      <c r="B2932">
        <v>4511572767</v>
      </c>
      <c r="C2932" t="s">
        <v>30</v>
      </c>
    </row>
    <row r="2933" spans="2:3" x14ac:dyDescent="0.3">
      <c r="B2933">
        <v>4511572674</v>
      </c>
      <c r="C2933" t="s">
        <v>30</v>
      </c>
    </row>
    <row r="2934" spans="2:3" x14ac:dyDescent="0.3">
      <c r="B2934">
        <v>4511572669</v>
      </c>
      <c r="C2934" t="s">
        <v>30</v>
      </c>
    </row>
    <row r="2935" spans="2:3" x14ac:dyDescent="0.3">
      <c r="B2935">
        <v>4511572518</v>
      </c>
      <c r="C2935" t="s">
        <v>20</v>
      </c>
    </row>
    <row r="2936" spans="2:3" x14ac:dyDescent="0.3">
      <c r="B2936">
        <v>4511572395</v>
      </c>
      <c r="C2936" t="s">
        <v>30</v>
      </c>
    </row>
    <row r="2937" spans="2:3" x14ac:dyDescent="0.3">
      <c r="B2937">
        <v>4511572392</v>
      </c>
      <c r="C2937" t="s">
        <v>20</v>
      </c>
    </row>
    <row r="2938" spans="2:3" x14ac:dyDescent="0.3">
      <c r="B2938">
        <v>4511572390</v>
      </c>
      <c r="C2938" t="s">
        <v>30</v>
      </c>
    </row>
    <row r="2939" spans="2:3" x14ac:dyDescent="0.3">
      <c r="B2939">
        <v>4511572217</v>
      </c>
      <c r="C2939" t="s">
        <v>20</v>
      </c>
    </row>
    <row r="2940" spans="2:3" x14ac:dyDescent="0.3">
      <c r="B2940">
        <v>4511572183</v>
      </c>
      <c r="C2940" t="s">
        <v>20</v>
      </c>
    </row>
    <row r="2941" spans="2:3" x14ac:dyDescent="0.3">
      <c r="B2941">
        <v>4511572170</v>
      </c>
      <c r="C2941" t="s">
        <v>20</v>
      </c>
    </row>
    <row r="2942" spans="2:3" x14ac:dyDescent="0.3">
      <c r="B2942">
        <v>4511572129</v>
      </c>
      <c r="C2942" t="s">
        <v>30</v>
      </c>
    </row>
    <row r="2943" spans="2:3" x14ac:dyDescent="0.3">
      <c r="B2943">
        <v>4511572124</v>
      </c>
      <c r="C2943" t="s">
        <v>30</v>
      </c>
    </row>
    <row r="2944" spans="2:3" x14ac:dyDescent="0.3">
      <c r="B2944">
        <v>4511571992</v>
      </c>
      <c r="C2944" t="s">
        <v>30</v>
      </c>
    </row>
    <row r="2945" spans="2:3" x14ac:dyDescent="0.3">
      <c r="B2945">
        <v>4511571987</v>
      </c>
      <c r="C2945" t="s">
        <v>30</v>
      </c>
    </row>
    <row r="2946" spans="2:3" x14ac:dyDescent="0.3">
      <c r="B2946">
        <v>4511571470</v>
      </c>
      <c r="C2946" t="s">
        <v>30</v>
      </c>
    </row>
    <row r="2947" spans="2:3" x14ac:dyDescent="0.3">
      <c r="B2947">
        <v>4511571109</v>
      </c>
      <c r="C2947" t="s">
        <v>20</v>
      </c>
    </row>
    <row r="2948" spans="2:3" x14ac:dyDescent="0.3">
      <c r="B2948">
        <v>4511571055</v>
      </c>
      <c r="C2948" t="s">
        <v>20</v>
      </c>
    </row>
    <row r="2949" spans="2:3" x14ac:dyDescent="0.3">
      <c r="B2949">
        <v>4511570983</v>
      </c>
      <c r="C2949" t="s">
        <v>18</v>
      </c>
    </row>
    <row r="2950" spans="2:3" x14ac:dyDescent="0.3">
      <c r="B2950">
        <v>4511570960</v>
      </c>
      <c r="C2950" t="s">
        <v>20</v>
      </c>
    </row>
    <row r="2951" spans="2:3" x14ac:dyDescent="0.3">
      <c r="B2951">
        <v>4511570957</v>
      </c>
      <c r="C2951" t="s">
        <v>30</v>
      </c>
    </row>
    <row r="2952" spans="2:3" x14ac:dyDescent="0.3">
      <c r="B2952">
        <v>4511570317</v>
      </c>
      <c r="C2952" t="s">
        <v>20</v>
      </c>
    </row>
    <row r="2953" spans="2:3" x14ac:dyDescent="0.3">
      <c r="B2953">
        <v>4511570289</v>
      </c>
      <c r="C2953" t="s">
        <v>18</v>
      </c>
    </row>
    <row r="2954" spans="2:3" x14ac:dyDescent="0.3">
      <c r="B2954">
        <v>4511566321</v>
      </c>
      <c r="C2954" t="s">
        <v>20</v>
      </c>
    </row>
    <row r="2955" spans="2:3" x14ac:dyDescent="0.3">
      <c r="B2955">
        <v>4511566321</v>
      </c>
      <c r="C2955" t="s">
        <v>20</v>
      </c>
    </row>
    <row r="2956" spans="2:3" x14ac:dyDescent="0.3">
      <c r="B2956">
        <v>4511566321</v>
      </c>
      <c r="C2956" t="s">
        <v>20</v>
      </c>
    </row>
    <row r="2957" spans="2:3" x14ac:dyDescent="0.3">
      <c r="B2957">
        <v>4511565672</v>
      </c>
      <c r="C2957" t="s">
        <v>18</v>
      </c>
    </row>
    <row r="2958" spans="2:3" x14ac:dyDescent="0.3">
      <c r="B2958">
        <v>4511565672</v>
      </c>
      <c r="C2958" t="s">
        <v>18</v>
      </c>
    </row>
    <row r="2959" spans="2:3" x14ac:dyDescent="0.3">
      <c r="B2959">
        <v>4511565367</v>
      </c>
      <c r="C2959" t="s">
        <v>18</v>
      </c>
    </row>
    <row r="2960" spans="2:3" x14ac:dyDescent="0.3">
      <c r="B2960">
        <v>4511565367</v>
      </c>
      <c r="C2960" t="s">
        <v>18</v>
      </c>
    </row>
    <row r="2961" spans="2:3" x14ac:dyDescent="0.3">
      <c r="B2961">
        <v>4511565367</v>
      </c>
      <c r="C2961" t="s">
        <v>18</v>
      </c>
    </row>
    <row r="2962" spans="2:3" x14ac:dyDescent="0.3">
      <c r="B2962">
        <v>4511565367</v>
      </c>
      <c r="C2962" t="s">
        <v>18</v>
      </c>
    </row>
    <row r="2963" spans="2:3" x14ac:dyDescent="0.3">
      <c r="B2963">
        <v>4511565367</v>
      </c>
      <c r="C2963" t="s">
        <v>18</v>
      </c>
    </row>
    <row r="2964" spans="2:3" x14ac:dyDescent="0.3">
      <c r="B2964">
        <v>4511565367</v>
      </c>
      <c r="C2964" t="s">
        <v>18</v>
      </c>
    </row>
    <row r="2965" spans="2:3" x14ac:dyDescent="0.3">
      <c r="B2965">
        <v>4511565367</v>
      </c>
      <c r="C2965" t="s">
        <v>18</v>
      </c>
    </row>
    <row r="2966" spans="2:3" x14ac:dyDescent="0.3">
      <c r="B2966">
        <v>4511565367</v>
      </c>
      <c r="C2966" t="s">
        <v>18</v>
      </c>
    </row>
    <row r="2967" spans="2:3" x14ac:dyDescent="0.3">
      <c r="B2967">
        <v>4511565367</v>
      </c>
      <c r="C2967" t="s">
        <v>18</v>
      </c>
    </row>
    <row r="2968" spans="2:3" x14ac:dyDescent="0.3">
      <c r="B2968">
        <v>4511565367</v>
      </c>
      <c r="C2968" t="s">
        <v>18</v>
      </c>
    </row>
    <row r="2969" spans="2:3" x14ac:dyDescent="0.3">
      <c r="B2969">
        <v>4511565367</v>
      </c>
      <c r="C2969" t="s">
        <v>18</v>
      </c>
    </row>
    <row r="2970" spans="2:3" x14ac:dyDescent="0.3">
      <c r="B2970">
        <v>4511565367</v>
      </c>
      <c r="C2970" t="s">
        <v>18</v>
      </c>
    </row>
    <row r="2971" spans="2:3" x14ac:dyDescent="0.3">
      <c r="B2971">
        <v>4511565367</v>
      </c>
      <c r="C2971" t="s">
        <v>18</v>
      </c>
    </row>
    <row r="2972" spans="2:3" x14ac:dyDescent="0.3">
      <c r="B2972">
        <v>4511565367</v>
      </c>
      <c r="C2972" t="s">
        <v>18</v>
      </c>
    </row>
    <row r="2973" spans="2:3" x14ac:dyDescent="0.3">
      <c r="B2973">
        <v>4511565162</v>
      </c>
      <c r="C2973" t="s">
        <v>30</v>
      </c>
    </row>
    <row r="2974" spans="2:3" x14ac:dyDescent="0.3">
      <c r="B2974">
        <v>4511565162</v>
      </c>
      <c r="C2974" t="s">
        <v>30</v>
      </c>
    </row>
    <row r="2975" spans="2:3" x14ac:dyDescent="0.3">
      <c r="B2975">
        <v>4511565162</v>
      </c>
      <c r="C2975" t="s">
        <v>30</v>
      </c>
    </row>
    <row r="2976" spans="2:3" x14ac:dyDescent="0.3">
      <c r="B2976">
        <v>4511564286</v>
      </c>
      <c r="C2976" t="s">
        <v>18</v>
      </c>
    </row>
    <row r="2977" spans="2:3" x14ac:dyDescent="0.3">
      <c r="B2977">
        <v>4511563737</v>
      </c>
      <c r="C2977" t="s">
        <v>30</v>
      </c>
    </row>
    <row r="2978" spans="2:3" x14ac:dyDescent="0.3">
      <c r="B2978">
        <v>4511563707</v>
      </c>
      <c r="C2978" t="s">
        <v>20</v>
      </c>
    </row>
    <row r="2979" spans="2:3" x14ac:dyDescent="0.3">
      <c r="B2979">
        <v>4511560710</v>
      </c>
      <c r="C2979" t="s">
        <v>18</v>
      </c>
    </row>
  </sheetData>
  <dataValidations count="1">
    <dataValidation type="list" allowBlank="1" showInputMessage="1" showErrorMessage="1" sqref="C2:E2" xr:uid="{00000000-0002-0000-0400-000000000000}">
      <formula1>"153,157,158"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053F6-5B2C-4CEE-9F9F-4BEA4C0994AD}">
  <sheetPr codeName="Hoja8"/>
  <dimension ref="A1:G60"/>
  <sheetViews>
    <sheetView showGridLines="0" workbookViewId="0">
      <selection activeCell="A2" sqref="A2"/>
    </sheetView>
  </sheetViews>
  <sheetFormatPr baseColWidth="10" defaultColWidth="11.44140625" defaultRowHeight="14.4" x14ac:dyDescent="0.3"/>
  <cols>
    <col min="1" max="1" width="29.5546875" bestFit="1" customWidth="1"/>
    <col min="2" max="2" width="27.5546875" bestFit="1" customWidth="1"/>
    <col min="3" max="3" width="5.109375" bestFit="1" customWidth="1"/>
    <col min="4" max="4" width="17.44140625" bestFit="1" customWidth="1"/>
  </cols>
  <sheetData>
    <row r="1" spans="1:7" x14ac:dyDescent="0.3">
      <c r="A1" s="12" t="s">
        <v>804</v>
      </c>
      <c r="B1" s="12" t="s">
        <v>805</v>
      </c>
      <c r="C1" s="12" t="s">
        <v>806</v>
      </c>
      <c r="D1" s="12" t="s">
        <v>807</v>
      </c>
      <c r="E1" s="12" t="s">
        <v>808</v>
      </c>
      <c r="F1" s="12" t="s">
        <v>809</v>
      </c>
      <c r="G1" s="12" t="s">
        <v>810</v>
      </c>
    </row>
    <row r="2" spans="1:7" x14ac:dyDescent="0.3">
      <c r="A2" t="str">
        <f t="shared" ref="A2:A33" si="0">B2&amp;C2</f>
        <v>Agricola del Chira Planta1</v>
      </c>
      <c r="B2" t="s">
        <v>12</v>
      </c>
      <c r="C2">
        <v>1</v>
      </c>
      <c r="D2" t="s">
        <v>72</v>
      </c>
      <c r="E2" t="str">
        <f>F2&amp;C2</f>
        <v>32021</v>
      </c>
      <c r="F2">
        <v>3202</v>
      </c>
      <c r="G2" t="s">
        <v>72</v>
      </c>
    </row>
    <row r="3" spans="1:7" x14ac:dyDescent="0.3">
      <c r="A3" t="str">
        <f t="shared" si="0"/>
        <v>Agricola del Chira Planta2</v>
      </c>
      <c r="B3" t="s">
        <v>12</v>
      </c>
      <c r="C3">
        <v>2</v>
      </c>
      <c r="D3" t="s">
        <v>811</v>
      </c>
      <c r="E3" t="str">
        <f t="shared" ref="E3:E60" si="1">F3&amp;C3</f>
        <v>32022</v>
      </c>
      <c r="F3">
        <v>3202</v>
      </c>
      <c r="G3" t="s">
        <v>811</v>
      </c>
    </row>
    <row r="4" spans="1:7" x14ac:dyDescent="0.3">
      <c r="A4" t="str">
        <f t="shared" si="0"/>
        <v>Agricola del Chira Planta3</v>
      </c>
      <c r="B4" t="s">
        <v>12</v>
      </c>
      <c r="C4">
        <v>3</v>
      </c>
      <c r="D4" t="s">
        <v>812</v>
      </c>
      <c r="E4" t="str">
        <f t="shared" si="1"/>
        <v>32023</v>
      </c>
      <c r="F4">
        <v>3202</v>
      </c>
      <c r="G4" t="s">
        <v>812</v>
      </c>
    </row>
    <row r="5" spans="1:7" x14ac:dyDescent="0.3">
      <c r="A5" t="str">
        <f t="shared" si="0"/>
        <v>Agricola del Chira Planta4</v>
      </c>
      <c r="B5" t="s">
        <v>12</v>
      </c>
      <c r="C5">
        <v>4</v>
      </c>
      <c r="D5" t="s">
        <v>813</v>
      </c>
      <c r="E5" t="str">
        <f t="shared" si="1"/>
        <v>32024</v>
      </c>
      <c r="F5">
        <v>3202</v>
      </c>
      <c r="G5" t="s">
        <v>813</v>
      </c>
    </row>
    <row r="6" spans="1:7" x14ac:dyDescent="0.3">
      <c r="A6" t="str">
        <f t="shared" si="0"/>
        <v>Agricola del Chira Planta5</v>
      </c>
      <c r="B6" t="s">
        <v>12</v>
      </c>
      <c r="C6">
        <v>5</v>
      </c>
      <c r="D6" t="s">
        <v>814</v>
      </c>
      <c r="E6" t="str">
        <f t="shared" si="1"/>
        <v>32025</v>
      </c>
      <c r="F6">
        <v>3202</v>
      </c>
      <c r="G6" t="s">
        <v>814</v>
      </c>
    </row>
    <row r="7" spans="1:7" x14ac:dyDescent="0.3">
      <c r="A7" t="str">
        <f t="shared" si="0"/>
        <v>Agricola del Chira Planta6</v>
      </c>
      <c r="B7" t="s">
        <v>12</v>
      </c>
      <c r="C7">
        <v>6</v>
      </c>
      <c r="D7" t="s">
        <v>815</v>
      </c>
      <c r="E7" t="str">
        <f t="shared" si="1"/>
        <v>32026</v>
      </c>
      <c r="F7">
        <v>3202</v>
      </c>
      <c r="G7" t="s">
        <v>815</v>
      </c>
    </row>
    <row r="8" spans="1:7" x14ac:dyDescent="0.3">
      <c r="A8" t="str">
        <f t="shared" si="0"/>
        <v>Agricola del Chira Planta7</v>
      </c>
      <c r="B8" t="s">
        <v>12</v>
      </c>
      <c r="C8">
        <v>7</v>
      </c>
      <c r="D8" t="s">
        <v>816</v>
      </c>
      <c r="E8" t="str">
        <f t="shared" si="1"/>
        <v>32027</v>
      </c>
      <c r="F8">
        <v>3202</v>
      </c>
      <c r="G8" t="s">
        <v>816</v>
      </c>
    </row>
    <row r="9" spans="1:7" x14ac:dyDescent="0.3">
      <c r="A9" t="str">
        <f t="shared" si="0"/>
        <v>Agricola del Chira Planta8</v>
      </c>
      <c r="B9" t="s">
        <v>12</v>
      </c>
      <c r="C9">
        <v>8</v>
      </c>
      <c r="D9" t="s">
        <v>817</v>
      </c>
      <c r="E9" t="str">
        <f t="shared" si="1"/>
        <v>32028</v>
      </c>
      <c r="F9">
        <v>3202</v>
      </c>
      <c r="G9" t="s">
        <v>817</v>
      </c>
    </row>
    <row r="10" spans="1:7" x14ac:dyDescent="0.3">
      <c r="A10" t="str">
        <f t="shared" si="0"/>
        <v>Agricola del Chira Planta9</v>
      </c>
      <c r="B10" t="s">
        <v>12</v>
      </c>
      <c r="C10">
        <v>9</v>
      </c>
      <c r="D10" t="s">
        <v>818</v>
      </c>
      <c r="E10" t="str">
        <f t="shared" si="1"/>
        <v>32029</v>
      </c>
      <c r="F10">
        <v>3202</v>
      </c>
      <c r="G10" t="s">
        <v>818</v>
      </c>
    </row>
    <row r="11" spans="1:7" x14ac:dyDescent="0.3">
      <c r="A11" t="str">
        <f t="shared" si="0"/>
        <v>Agricola del Chira Planta10</v>
      </c>
      <c r="B11" t="s">
        <v>12</v>
      </c>
      <c r="C11">
        <v>10</v>
      </c>
      <c r="D11" t="s">
        <v>819</v>
      </c>
      <c r="E11" t="str">
        <f t="shared" si="1"/>
        <v>320210</v>
      </c>
      <c r="F11">
        <v>3202</v>
      </c>
      <c r="G11" t="s">
        <v>819</v>
      </c>
    </row>
    <row r="12" spans="1:7" x14ac:dyDescent="0.3">
      <c r="A12" t="str">
        <f t="shared" si="0"/>
        <v>Agricola del Chira Planta11</v>
      </c>
      <c r="B12" t="s">
        <v>12</v>
      </c>
      <c r="C12">
        <v>11</v>
      </c>
      <c r="D12" t="s">
        <v>820</v>
      </c>
      <c r="E12" t="str">
        <f t="shared" si="1"/>
        <v>320211</v>
      </c>
      <c r="F12">
        <v>3202</v>
      </c>
      <c r="G12" t="s">
        <v>820</v>
      </c>
    </row>
    <row r="13" spans="1:7" x14ac:dyDescent="0.3">
      <c r="A13" t="str">
        <f t="shared" si="0"/>
        <v>Agricola del Chira Planta12</v>
      </c>
      <c r="B13" t="s">
        <v>12</v>
      </c>
      <c r="C13">
        <v>12</v>
      </c>
      <c r="D13" t="s">
        <v>821</v>
      </c>
      <c r="E13" t="str">
        <f t="shared" si="1"/>
        <v>320212</v>
      </c>
      <c r="F13">
        <v>3202</v>
      </c>
      <c r="G13" t="s">
        <v>821</v>
      </c>
    </row>
    <row r="14" spans="1:7" x14ac:dyDescent="0.3">
      <c r="A14" t="str">
        <f t="shared" si="0"/>
        <v>Agricola del Chira Planta13</v>
      </c>
      <c r="B14" t="s">
        <v>12</v>
      </c>
      <c r="C14">
        <v>13</v>
      </c>
      <c r="D14" t="s">
        <v>822</v>
      </c>
      <c r="E14" t="str">
        <f t="shared" si="1"/>
        <v>320213</v>
      </c>
      <c r="F14">
        <v>3202</v>
      </c>
      <c r="G14" t="s">
        <v>822</v>
      </c>
    </row>
    <row r="15" spans="1:7" x14ac:dyDescent="0.3">
      <c r="A15" t="str">
        <f t="shared" si="0"/>
        <v>Agricola del Chira Planta14</v>
      </c>
      <c r="B15" t="s">
        <v>12</v>
      </c>
      <c r="C15">
        <v>14</v>
      </c>
      <c r="D15" t="s">
        <v>823</v>
      </c>
      <c r="E15" t="str">
        <f t="shared" si="1"/>
        <v>320214</v>
      </c>
      <c r="F15">
        <v>3202</v>
      </c>
      <c r="G15" t="s">
        <v>823</v>
      </c>
    </row>
    <row r="16" spans="1:7" x14ac:dyDescent="0.3">
      <c r="A16" t="str">
        <f t="shared" si="0"/>
        <v>Agricola del Chira Planta15</v>
      </c>
      <c r="B16" t="s">
        <v>12</v>
      </c>
      <c r="C16">
        <v>15</v>
      </c>
      <c r="D16" t="s">
        <v>824</v>
      </c>
      <c r="E16" t="str">
        <f t="shared" si="1"/>
        <v>320215</v>
      </c>
      <c r="F16">
        <v>3202</v>
      </c>
      <c r="G16" t="s">
        <v>824</v>
      </c>
    </row>
    <row r="17" spans="1:7" x14ac:dyDescent="0.3">
      <c r="A17" t="str">
        <f t="shared" si="0"/>
        <v>Agricola del Chira Planta16</v>
      </c>
      <c r="B17" t="s">
        <v>12</v>
      </c>
      <c r="C17">
        <v>16</v>
      </c>
      <c r="D17" t="s">
        <v>825</v>
      </c>
      <c r="E17" t="str">
        <f t="shared" si="1"/>
        <v>320216</v>
      </c>
      <c r="F17">
        <v>3202</v>
      </c>
      <c r="G17" t="s">
        <v>825</v>
      </c>
    </row>
    <row r="18" spans="1:7" x14ac:dyDescent="0.3">
      <c r="A18" t="str">
        <f t="shared" si="0"/>
        <v>Agricola del Chira Planta17</v>
      </c>
      <c r="B18" t="s">
        <v>12</v>
      </c>
      <c r="C18">
        <v>17</v>
      </c>
      <c r="D18" t="s">
        <v>826</v>
      </c>
      <c r="E18" t="str">
        <f t="shared" si="1"/>
        <v>320217</v>
      </c>
      <c r="F18">
        <v>3202</v>
      </c>
      <c r="G18" t="s">
        <v>826</v>
      </c>
    </row>
    <row r="19" spans="1:7" x14ac:dyDescent="0.3">
      <c r="A19" t="str">
        <f t="shared" si="0"/>
        <v>Agricola del Chira Planta18</v>
      </c>
      <c r="B19" t="s">
        <v>12</v>
      </c>
      <c r="C19">
        <v>18</v>
      </c>
      <c r="D19" t="s">
        <v>827</v>
      </c>
      <c r="E19" t="str">
        <f t="shared" si="1"/>
        <v>320218</v>
      </c>
      <c r="F19">
        <v>3202</v>
      </c>
      <c r="G19" t="s">
        <v>827</v>
      </c>
    </row>
    <row r="20" spans="1:7" x14ac:dyDescent="0.3">
      <c r="A20" t="str">
        <f t="shared" si="0"/>
        <v>Agricola del Chira Planta19</v>
      </c>
      <c r="B20" t="s">
        <v>12</v>
      </c>
      <c r="C20">
        <v>19</v>
      </c>
      <c r="D20" t="s">
        <v>828</v>
      </c>
      <c r="E20" t="str">
        <f t="shared" si="1"/>
        <v>320219</v>
      </c>
      <c r="F20">
        <v>3202</v>
      </c>
      <c r="G20" t="s">
        <v>828</v>
      </c>
    </row>
    <row r="21" spans="1:7" x14ac:dyDescent="0.3">
      <c r="A21" t="str">
        <f t="shared" si="0"/>
        <v>Agricola del Chira Planta20</v>
      </c>
      <c r="B21" t="s">
        <v>12</v>
      </c>
      <c r="C21">
        <v>20</v>
      </c>
      <c r="D21" t="s">
        <v>829</v>
      </c>
      <c r="E21" t="str">
        <f t="shared" si="1"/>
        <v>320220</v>
      </c>
      <c r="F21">
        <v>3202</v>
      </c>
      <c r="G21" t="s">
        <v>829</v>
      </c>
    </row>
    <row r="22" spans="1:7" x14ac:dyDescent="0.3">
      <c r="A22" t="str">
        <f t="shared" si="0"/>
        <v>Agricola del Chira Planta21</v>
      </c>
      <c r="B22" t="s">
        <v>12</v>
      </c>
      <c r="C22">
        <v>21</v>
      </c>
      <c r="D22" t="s">
        <v>830</v>
      </c>
      <c r="E22" t="str">
        <f t="shared" si="1"/>
        <v>320221</v>
      </c>
      <c r="F22">
        <v>3202</v>
      </c>
      <c r="G22" t="s">
        <v>830</v>
      </c>
    </row>
    <row r="23" spans="1:7" x14ac:dyDescent="0.3">
      <c r="A23" t="str">
        <f t="shared" si="0"/>
        <v>Agricola del Chira Planta22</v>
      </c>
      <c r="B23" t="s">
        <v>12</v>
      </c>
      <c r="C23">
        <v>22</v>
      </c>
      <c r="D23" t="s">
        <v>831</v>
      </c>
      <c r="E23" t="str">
        <f t="shared" si="1"/>
        <v>320222</v>
      </c>
      <c r="F23">
        <v>3202</v>
      </c>
      <c r="G23" t="s">
        <v>831</v>
      </c>
    </row>
    <row r="24" spans="1:7" x14ac:dyDescent="0.3">
      <c r="A24" t="str">
        <f t="shared" si="0"/>
        <v>Agricola del Chira Planta23</v>
      </c>
      <c r="B24" t="s">
        <v>12</v>
      </c>
      <c r="C24">
        <v>23</v>
      </c>
      <c r="D24" t="s">
        <v>832</v>
      </c>
      <c r="E24" t="str">
        <f t="shared" si="1"/>
        <v>320223</v>
      </c>
      <c r="F24">
        <v>3202</v>
      </c>
      <c r="G24" t="s">
        <v>832</v>
      </c>
    </row>
    <row r="25" spans="1:7" x14ac:dyDescent="0.3">
      <c r="A25" t="str">
        <f t="shared" si="0"/>
        <v>Agricola del Chira Planta24</v>
      </c>
      <c r="B25" t="s">
        <v>12</v>
      </c>
      <c r="C25">
        <v>24</v>
      </c>
      <c r="D25" t="s">
        <v>833</v>
      </c>
      <c r="E25" t="str">
        <f t="shared" si="1"/>
        <v>320224</v>
      </c>
      <c r="F25">
        <v>3202</v>
      </c>
      <c r="G25" t="s">
        <v>833</v>
      </c>
    </row>
    <row r="26" spans="1:7" x14ac:dyDescent="0.3">
      <c r="A26" t="str">
        <f t="shared" si="0"/>
        <v>Agricola del Chira Planta25</v>
      </c>
      <c r="B26" t="s">
        <v>12</v>
      </c>
      <c r="C26">
        <v>25</v>
      </c>
      <c r="D26" t="s">
        <v>834</v>
      </c>
      <c r="E26" t="str">
        <f t="shared" si="1"/>
        <v>320225</v>
      </c>
      <c r="F26">
        <v>3202</v>
      </c>
      <c r="G26" t="s">
        <v>834</v>
      </c>
    </row>
    <row r="27" spans="1:7" x14ac:dyDescent="0.3">
      <c r="A27" t="str">
        <f t="shared" si="0"/>
        <v>Agricola del Chira Planta26</v>
      </c>
      <c r="B27" t="s">
        <v>12</v>
      </c>
      <c r="C27">
        <v>26</v>
      </c>
      <c r="D27" t="s">
        <v>835</v>
      </c>
      <c r="E27" t="str">
        <f t="shared" si="1"/>
        <v>320226</v>
      </c>
      <c r="F27">
        <v>3202</v>
      </c>
      <c r="G27" t="s">
        <v>835</v>
      </c>
    </row>
    <row r="28" spans="1:7" x14ac:dyDescent="0.3">
      <c r="A28" t="str">
        <f t="shared" si="0"/>
        <v>Agricola del Chira Planta27</v>
      </c>
      <c r="B28" t="s">
        <v>12</v>
      </c>
      <c r="C28">
        <v>27</v>
      </c>
      <c r="D28" t="s">
        <v>836</v>
      </c>
      <c r="E28" t="str">
        <f t="shared" si="1"/>
        <v>320227</v>
      </c>
      <c r="F28">
        <v>3202</v>
      </c>
      <c r="G28" t="s">
        <v>836</v>
      </c>
    </row>
    <row r="29" spans="1:7" x14ac:dyDescent="0.3">
      <c r="A29" t="str">
        <f t="shared" si="0"/>
        <v>Agricola del Chira Planta28</v>
      </c>
      <c r="B29" t="s">
        <v>12</v>
      </c>
      <c r="C29">
        <v>28</v>
      </c>
      <c r="D29" t="s">
        <v>837</v>
      </c>
      <c r="E29" t="str">
        <f t="shared" si="1"/>
        <v>320228</v>
      </c>
      <c r="F29">
        <v>3202</v>
      </c>
      <c r="G29" t="s">
        <v>837</v>
      </c>
    </row>
    <row r="30" spans="1:7" x14ac:dyDescent="0.3">
      <c r="A30" t="str">
        <f t="shared" si="0"/>
        <v>Agricola del Chira Planta29</v>
      </c>
      <c r="B30" t="s">
        <v>12</v>
      </c>
      <c r="C30">
        <v>29</v>
      </c>
      <c r="D30" t="s">
        <v>838</v>
      </c>
      <c r="E30" t="str">
        <f t="shared" si="1"/>
        <v>320229</v>
      </c>
      <c r="F30">
        <v>3202</v>
      </c>
      <c r="G30" t="s">
        <v>838</v>
      </c>
    </row>
    <row r="31" spans="1:7" x14ac:dyDescent="0.3">
      <c r="A31" t="str">
        <f t="shared" si="0"/>
        <v>Agricola del Chira Planta30</v>
      </c>
      <c r="B31" t="s">
        <v>12</v>
      </c>
      <c r="C31">
        <v>30</v>
      </c>
      <c r="D31" t="s">
        <v>839</v>
      </c>
      <c r="E31" t="str">
        <f t="shared" si="1"/>
        <v>320230</v>
      </c>
      <c r="F31">
        <v>3202</v>
      </c>
      <c r="G31" t="s">
        <v>839</v>
      </c>
    </row>
    <row r="32" spans="1:7" x14ac:dyDescent="0.3">
      <c r="A32" t="str">
        <f t="shared" si="0"/>
        <v>Agricola del Chira Planta31</v>
      </c>
      <c r="B32" t="s">
        <v>12</v>
      </c>
      <c r="C32">
        <v>31</v>
      </c>
      <c r="D32" t="s">
        <v>840</v>
      </c>
      <c r="E32" t="str">
        <f t="shared" si="1"/>
        <v>320231</v>
      </c>
      <c r="F32">
        <v>3202</v>
      </c>
      <c r="G32" t="s">
        <v>840</v>
      </c>
    </row>
    <row r="33" spans="1:7" x14ac:dyDescent="0.3">
      <c r="A33" t="str">
        <f t="shared" si="0"/>
        <v>Agricola del Chira Planta32</v>
      </c>
      <c r="B33" t="s">
        <v>12</v>
      </c>
      <c r="C33">
        <v>32</v>
      </c>
      <c r="D33" t="s">
        <v>841</v>
      </c>
      <c r="E33" t="str">
        <f t="shared" si="1"/>
        <v>320232</v>
      </c>
      <c r="F33">
        <v>3202</v>
      </c>
      <c r="G33" t="s">
        <v>841</v>
      </c>
    </row>
    <row r="34" spans="1:7" x14ac:dyDescent="0.3">
      <c r="A34" t="str">
        <f t="shared" ref="A34:A60" si="2">B34&amp;C34</f>
        <v>Agricola del Chira Planta33</v>
      </c>
      <c r="B34" t="s">
        <v>12</v>
      </c>
      <c r="C34">
        <v>33</v>
      </c>
      <c r="D34" t="s">
        <v>842</v>
      </c>
      <c r="E34" t="str">
        <f t="shared" si="1"/>
        <v>320233</v>
      </c>
      <c r="F34">
        <v>3202</v>
      </c>
      <c r="G34" t="s">
        <v>842</v>
      </c>
    </row>
    <row r="35" spans="1:7" x14ac:dyDescent="0.3">
      <c r="A35" t="str">
        <f t="shared" si="2"/>
        <v>Agricola del Chira Planta34</v>
      </c>
      <c r="B35" t="s">
        <v>12</v>
      </c>
      <c r="C35">
        <v>34</v>
      </c>
      <c r="D35" t="s">
        <v>843</v>
      </c>
      <c r="E35" t="str">
        <f t="shared" si="1"/>
        <v>320234</v>
      </c>
      <c r="F35">
        <v>3202</v>
      </c>
      <c r="G35" t="s">
        <v>843</v>
      </c>
    </row>
    <row r="36" spans="1:7" x14ac:dyDescent="0.3">
      <c r="A36" t="str">
        <f t="shared" si="2"/>
        <v>Agricola del Chira Planta35</v>
      </c>
      <c r="B36" t="s">
        <v>12</v>
      </c>
      <c r="C36">
        <v>35</v>
      </c>
      <c r="D36" t="s">
        <v>844</v>
      </c>
      <c r="E36" t="str">
        <f t="shared" si="1"/>
        <v>320235</v>
      </c>
      <c r="F36">
        <v>3202</v>
      </c>
      <c r="G36" t="s">
        <v>844</v>
      </c>
    </row>
    <row r="37" spans="1:7" x14ac:dyDescent="0.3">
      <c r="A37" t="str">
        <f t="shared" si="2"/>
        <v>Agricola del Chira Planta36</v>
      </c>
      <c r="B37" t="s">
        <v>12</v>
      </c>
      <c r="C37">
        <v>36</v>
      </c>
      <c r="D37" t="s">
        <v>845</v>
      </c>
      <c r="E37" t="str">
        <f t="shared" si="1"/>
        <v>320236</v>
      </c>
      <c r="F37">
        <v>3202</v>
      </c>
      <c r="G37" t="s">
        <v>845</v>
      </c>
    </row>
    <row r="38" spans="1:7" x14ac:dyDescent="0.3">
      <c r="A38" t="str">
        <f t="shared" si="2"/>
        <v>Agricola del Chira Planta37</v>
      </c>
      <c r="B38" t="s">
        <v>12</v>
      </c>
      <c r="C38">
        <v>37</v>
      </c>
      <c r="D38" t="s">
        <v>846</v>
      </c>
      <c r="E38" t="str">
        <f t="shared" si="1"/>
        <v>320237</v>
      </c>
      <c r="F38">
        <v>3202</v>
      </c>
      <c r="G38" t="s">
        <v>846</v>
      </c>
    </row>
    <row r="39" spans="1:7" x14ac:dyDescent="0.3">
      <c r="A39" t="str">
        <f t="shared" si="2"/>
        <v>Agricola del Chira Planta38</v>
      </c>
      <c r="B39" t="s">
        <v>12</v>
      </c>
      <c r="C39">
        <v>38</v>
      </c>
      <c r="D39" t="s">
        <v>847</v>
      </c>
      <c r="E39" t="str">
        <f t="shared" si="1"/>
        <v>320238</v>
      </c>
      <c r="F39">
        <v>3202</v>
      </c>
      <c r="G39" t="s">
        <v>847</v>
      </c>
    </row>
    <row r="40" spans="1:7" x14ac:dyDescent="0.3">
      <c r="A40" t="str">
        <f t="shared" si="2"/>
        <v>Bioenergía del Chira Planta1</v>
      </c>
      <c r="B40" t="s">
        <v>86</v>
      </c>
      <c r="C40">
        <v>1</v>
      </c>
      <c r="D40" t="s">
        <v>72</v>
      </c>
      <c r="E40" t="str">
        <f t="shared" si="1"/>
        <v>35021</v>
      </c>
      <c r="F40">
        <v>3502</v>
      </c>
      <c r="G40" t="s">
        <v>72</v>
      </c>
    </row>
    <row r="41" spans="1:7" x14ac:dyDescent="0.3">
      <c r="A41" t="str">
        <f t="shared" si="2"/>
        <v>Bioenergía del Chira Planta2</v>
      </c>
      <c r="B41" t="s">
        <v>86</v>
      </c>
      <c r="C41">
        <v>2</v>
      </c>
      <c r="D41" t="s">
        <v>848</v>
      </c>
      <c r="E41" t="str">
        <f t="shared" si="1"/>
        <v>35022</v>
      </c>
      <c r="F41">
        <v>3502</v>
      </c>
      <c r="G41" t="s">
        <v>848</v>
      </c>
    </row>
    <row r="42" spans="1:7" x14ac:dyDescent="0.3">
      <c r="A42" t="str">
        <f t="shared" si="2"/>
        <v>Bioenergía del Chira Planta3</v>
      </c>
      <c r="B42" t="s">
        <v>86</v>
      </c>
      <c r="C42">
        <v>3</v>
      </c>
      <c r="D42" t="s">
        <v>849</v>
      </c>
      <c r="E42" t="str">
        <f t="shared" si="1"/>
        <v>35023</v>
      </c>
      <c r="F42">
        <v>3502</v>
      </c>
      <c r="G42" t="s">
        <v>849</v>
      </c>
    </row>
    <row r="43" spans="1:7" x14ac:dyDescent="0.3">
      <c r="A43" t="str">
        <f t="shared" si="2"/>
        <v>Bioenergía del Chira Planta4</v>
      </c>
      <c r="B43" t="s">
        <v>86</v>
      </c>
      <c r="C43">
        <v>4</v>
      </c>
      <c r="D43" t="s">
        <v>850</v>
      </c>
      <c r="E43" t="str">
        <f t="shared" si="1"/>
        <v>35024</v>
      </c>
      <c r="F43">
        <v>3502</v>
      </c>
      <c r="G43" t="s">
        <v>850</v>
      </c>
    </row>
    <row r="44" spans="1:7" x14ac:dyDescent="0.3">
      <c r="A44" t="str">
        <f t="shared" si="2"/>
        <v>Bioenergía del Chira Planta32</v>
      </c>
      <c r="B44" t="s">
        <v>86</v>
      </c>
      <c r="C44">
        <v>32</v>
      </c>
      <c r="D44" t="s">
        <v>851</v>
      </c>
      <c r="E44" t="str">
        <f t="shared" si="1"/>
        <v>350232</v>
      </c>
      <c r="F44">
        <v>3502</v>
      </c>
      <c r="G44" t="s">
        <v>851</v>
      </c>
    </row>
    <row r="45" spans="1:7" x14ac:dyDescent="0.3">
      <c r="A45" t="str">
        <f t="shared" si="2"/>
        <v>Sucroalcolera del Chira Planta1</v>
      </c>
      <c r="B45" t="s">
        <v>85</v>
      </c>
      <c r="C45">
        <v>1</v>
      </c>
      <c r="D45" t="s">
        <v>72</v>
      </c>
      <c r="E45" t="str">
        <f t="shared" si="1"/>
        <v>34021</v>
      </c>
      <c r="F45">
        <v>3402</v>
      </c>
      <c r="G45" t="s">
        <v>72</v>
      </c>
    </row>
    <row r="46" spans="1:7" x14ac:dyDescent="0.3">
      <c r="A46" t="str">
        <f t="shared" si="2"/>
        <v>Sucroalcolera del Chira Planta2</v>
      </c>
      <c r="B46" t="s">
        <v>85</v>
      </c>
      <c r="C46">
        <v>2</v>
      </c>
      <c r="D46" t="s">
        <v>848</v>
      </c>
      <c r="E46" t="str">
        <f t="shared" si="1"/>
        <v>34022</v>
      </c>
      <c r="F46">
        <v>3402</v>
      </c>
      <c r="G46" t="s">
        <v>848</v>
      </c>
    </row>
    <row r="47" spans="1:7" x14ac:dyDescent="0.3">
      <c r="A47" t="str">
        <f t="shared" si="2"/>
        <v>Sucroalcolera del Chira Planta3</v>
      </c>
      <c r="B47" t="s">
        <v>85</v>
      </c>
      <c r="C47">
        <v>3</v>
      </c>
      <c r="D47" t="s">
        <v>852</v>
      </c>
      <c r="E47" t="str">
        <f t="shared" si="1"/>
        <v>34023</v>
      </c>
      <c r="F47">
        <v>3402</v>
      </c>
      <c r="G47" t="s">
        <v>852</v>
      </c>
    </row>
    <row r="48" spans="1:7" x14ac:dyDescent="0.3">
      <c r="A48" t="str">
        <f t="shared" si="2"/>
        <v>Sucroalcolera del Chira Planta4</v>
      </c>
      <c r="B48" t="s">
        <v>85</v>
      </c>
      <c r="C48">
        <v>4</v>
      </c>
      <c r="D48" t="s">
        <v>853</v>
      </c>
      <c r="E48" t="str">
        <f t="shared" si="1"/>
        <v>34024</v>
      </c>
      <c r="F48">
        <v>3402</v>
      </c>
      <c r="G48" t="s">
        <v>853</v>
      </c>
    </row>
    <row r="49" spans="1:7" x14ac:dyDescent="0.3">
      <c r="A49" t="str">
        <f t="shared" si="2"/>
        <v>Sucroalcolera del Chira Planta5</v>
      </c>
      <c r="B49" t="s">
        <v>85</v>
      </c>
      <c r="C49">
        <v>5</v>
      </c>
      <c r="D49" t="s">
        <v>854</v>
      </c>
      <c r="E49" t="str">
        <f t="shared" si="1"/>
        <v>34025</v>
      </c>
      <c r="F49">
        <v>3402</v>
      </c>
      <c r="G49" t="s">
        <v>854</v>
      </c>
    </row>
    <row r="50" spans="1:7" x14ac:dyDescent="0.3">
      <c r="A50" t="str">
        <f t="shared" si="2"/>
        <v>Sucroalcolera del Chira Planta6</v>
      </c>
      <c r="B50" t="s">
        <v>85</v>
      </c>
      <c r="C50">
        <v>6</v>
      </c>
      <c r="D50" t="s">
        <v>855</v>
      </c>
      <c r="E50" t="str">
        <f t="shared" si="1"/>
        <v>34026</v>
      </c>
      <c r="F50">
        <v>3402</v>
      </c>
      <c r="G50" t="s">
        <v>855</v>
      </c>
    </row>
    <row r="51" spans="1:7" x14ac:dyDescent="0.3">
      <c r="A51" t="str">
        <f t="shared" si="2"/>
        <v>Sucroalcolera del Chira Planta7</v>
      </c>
      <c r="B51" t="s">
        <v>85</v>
      </c>
      <c r="C51">
        <v>7</v>
      </c>
      <c r="D51" t="s">
        <v>835</v>
      </c>
      <c r="E51" t="str">
        <f t="shared" si="1"/>
        <v>34027</v>
      </c>
      <c r="F51">
        <v>3402</v>
      </c>
      <c r="G51" t="s">
        <v>835</v>
      </c>
    </row>
    <row r="52" spans="1:7" x14ac:dyDescent="0.3">
      <c r="A52" t="str">
        <f t="shared" si="2"/>
        <v>Sucroalcolera del Chira Planta8</v>
      </c>
      <c r="B52" t="s">
        <v>85</v>
      </c>
      <c r="C52">
        <v>8</v>
      </c>
      <c r="D52" t="s">
        <v>856</v>
      </c>
      <c r="E52" t="str">
        <f t="shared" si="1"/>
        <v>34028</v>
      </c>
      <c r="F52">
        <v>3402</v>
      </c>
      <c r="G52" t="s">
        <v>856</v>
      </c>
    </row>
    <row r="53" spans="1:7" x14ac:dyDescent="0.3">
      <c r="A53" t="str">
        <f t="shared" si="2"/>
        <v>Sucroalcolera del Chira Planta9</v>
      </c>
      <c r="B53" t="s">
        <v>85</v>
      </c>
      <c r="C53">
        <v>9</v>
      </c>
      <c r="D53" t="s">
        <v>850</v>
      </c>
      <c r="E53" t="str">
        <f t="shared" si="1"/>
        <v>34029</v>
      </c>
      <c r="F53">
        <v>3402</v>
      </c>
      <c r="G53" t="s">
        <v>850</v>
      </c>
    </row>
    <row r="54" spans="1:7" x14ac:dyDescent="0.3">
      <c r="A54" t="str">
        <f t="shared" si="2"/>
        <v>Sucroalcolera del Chira Planta10</v>
      </c>
      <c r="B54" t="s">
        <v>85</v>
      </c>
      <c r="C54">
        <v>10</v>
      </c>
      <c r="D54" t="s">
        <v>857</v>
      </c>
      <c r="E54" t="str">
        <f t="shared" si="1"/>
        <v>340210</v>
      </c>
      <c r="F54">
        <v>3402</v>
      </c>
      <c r="G54" t="s">
        <v>857</v>
      </c>
    </row>
    <row r="55" spans="1:7" x14ac:dyDescent="0.3">
      <c r="A55" t="str">
        <f t="shared" si="2"/>
        <v>Sucroalcolera del Chira Planta11</v>
      </c>
      <c r="B55" t="s">
        <v>85</v>
      </c>
      <c r="C55">
        <v>11</v>
      </c>
      <c r="D55" t="s">
        <v>845</v>
      </c>
      <c r="E55" t="str">
        <f t="shared" si="1"/>
        <v>340211</v>
      </c>
      <c r="F55">
        <v>3402</v>
      </c>
      <c r="G55" t="s">
        <v>845</v>
      </c>
    </row>
    <row r="56" spans="1:7" x14ac:dyDescent="0.3">
      <c r="A56" t="str">
        <f t="shared" si="2"/>
        <v>Sucroalcolera del Chira Planta12</v>
      </c>
      <c r="B56" t="s">
        <v>85</v>
      </c>
      <c r="C56">
        <v>12</v>
      </c>
      <c r="D56" t="s">
        <v>858</v>
      </c>
      <c r="E56" t="str">
        <f t="shared" si="1"/>
        <v>340212</v>
      </c>
      <c r="F56">
        <v>3402</v>
      </c>
      <c r="G56" t="s">
        <v>858</v>
      </c>
    </row>
    <row r="57" spans="1:7" x14ac:dyDescent="0.3">
      <c r="A57" t="str">
        <f t="shared" si="2"/>
        <v>Sucroalcolera del Chira Planta13</v>
      </c>
      <c r="B57" t="s">
        <v>85</v>
      </c>
      <c r="C57">
        <v>13</v>
      </c>
      <c r="D57" t="s">
        <v>859</v>
      </c>
      <c r="E57" t="str">
        <f t="shared" si="1"/>
        <v>340213</v>
      </c>
      <c r="F57">
        <v>3402</v>
      </c>
      <c r="G57" t="s">
        <v>859</v>
      </c>
    </row>
    <row r="58" spans="1:7" x14ac:dyDescent="0.3">
      <c r="A58" t="str">
        <f t="shared" si="2"/>
        <v>Sucroalcolera del Chira Planta14</v>
      </c>
      <c r="B58" t="s">
        <v>85</v>
      </c>
      <c r="C58">
        <v>14</v>
      </c>
      <c r="D58" t="s">
        <v>860</v>
      </c>
      <c r="E58" t="str">
        <f t="shared" si="1"/>
        <v>340214</v>
      </c>
      <c r="F58">
        <v>3402</v>
      </c>
      <c r="G58" t="s">
        <v>860</v>
      </c>
    </row>
    <row r="59" spans="1:7" x14ac:dyDescent="0.3">
      <c r="A59" t="str">
        <f t="shared" si="2"/>
        <v>Sucroalcolera del Chira Planta28</v>
      </c>
      <c r="B59" t="s">
        <v>85</v>
      </c>
      <c r="C59">
        <v>28</v>
      </c>
      <c r="D59" t="s">
        <v>837</v>
      </c>
      <c r="E59" t="str">
        <f t="shared" si="1"/>
        <v>340228</v>
      </c>
      <c r="F59">
        <v>3402</v>
      </c>
      <c r="G59" t="s">
        <v>837</v>
      </c>
    </row>
    <row r="60" spans="1:7" x14ac:dyDescent="0.3">
      <c r="A60" t="str">
        <f t="shared" si="2"/>
        <v>Sucroalcolera del Chira Planta32</v>
      </c>
      <c r="B60" t="s">
        <v>85</v>
      </c>
      <c r="C60">
        <v>32</v>
      </c>
      <c r="D60" t="s">
        <v>851</v>
      </c>
      <c r="E60" t="str">
        <f t="shared" si="1"/>
        <v>340232</v>
      </c>
      <c r="F60">
        <v>3402</v>
      </c>
      <c r="G60" t="s">
        <v>851</v>
      </c>
    </row>
  </sheetData>
  <autoFilter ref="A1:G60" xr:uid="{2F8053F6-5B2C-4CEE-9F9F-4BEA4C0994AD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Formato_Enviar</vt:lpstr>
      <vt:lpstr>Resumen</vt:lpstr>
      <vt:lpstr>Informe_Ingresos</vt:lpstr>
      <vt:lpstr>LH</vt:lpstr>
      <vt:lpstr>IMPUTADOS</vt:lpstr>
      <vt:lpstr>TD</vt:lpstr>
      <vt:lpstr>Compradores</vt:lpstr>
      <vt:lpstr>Almacen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Saulo Renelmo Garcia Pasapera</dc:creator>
  <cp:keywords/>
  <dc:description/>
  <cp:lastModifiedBy>Elvira Josefina Cortez Sandoval</cp:lastModifiedBy>
  <cp:revision/>
  <dcterms:created xsi:type="dcterms:W3CDTF">2015-06-05T18:19:34Z</dcterms:created>
  <dcterms:modified xsi:type="dcterms:W3CDTF">2025-01-14T17:32:36Z</dcterms:modified>
  <cp:category/>
  <cp:contentStatus/>
</cp:coreProperties>
</file>